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ngwoo\Documents\Price-analyzer\.worktrees\local-data-foundation\견적서\3차 학습\바츠 추출 견적서\tmp_20260803\"/>
    </mc:Choice>
  </mc:AlternateContent>
  <xr:revisionPtr revIDLastSave="0" documentId="8_{724F9DCD-5E7D-41B7-82C9-78ADDF33126E}" xr6:coauthVersionLast="47" xr6:coauthVersionMax="47" xr10:uidLastSave="{00000000-0000-0000-0000-000000000000}"/>
  <bookViews>
    <workbookView xWindow="-120" yWindow="-120" windowWidth="29040" windowHeight="15840" tabRatio="812" xr2:uid="{EDEFE0AE-1D3D-4FFD-82B2-9C4C9A543F9A}"/>
  </bookViews>
  <sheets>
    <sheet name="갑지" sheetId="16" r:id="rId1"/>
    <sheet name="원가항목별(집계)1" sheetId="1" r:id="rId2"/>
    <sheet name="단위장비별(집계)2" sheetId="2" r:id="rId3"/>
    <sheet name="전기" sheetId="3" r:id="rId4"/>
    <sheet name="단위장비1" sheetId="11" r:id="rId5"/>
    <sheet name="단위장비2" sheetId="10" r:id="rId6"/>
    <sheet name="단위장비3" sheetId="9" r:id="rId7"/>
    <sheet name="단위장비4" sheetId="25" state="hidden" r:id="rId8"/>
    <sheet name="단위장비5" sheetId="8" r:id="rId9"/>
    <sheet name="단위장비6" sheetId="7" r:id="rId10"/>
    <sheet name="단위장비7" sheetId="6" r:id="rId11"/>
    <sheet name="단위장비8" sheetId="5" r:id="rId12"/>
    <sheet name="단위장비9" sheetId="4" r:id="rId13"/>
    <sheet name="단위장비10" sheetId="15" state="hidden" r:id="rId14"/>
    <sheet name="단위장비11" sheetId="14" state="hidden" r:id="rId15"/>
    <sheet name="단위장비12" sheetId="19" state="hidden" r:id="rId16"/>
    <sheet name="단위장비13" sheetId="24" state="hidden" r:id="rId17"/>
    <sheet name="단위장비14" sheetId="26" state="hidden" r:id="rId18"/>
    <sheet name="단위장비15" sheetId="27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</externalReferences>
  <definedNames>
    <definedName name="_1_" localSheetId="17">'[131]#REF'!#REF!</definedName>
    <definedName name="_2_">'[131]#REF'!#REF!</definedName>
    <definedName name="_3_" localSheetId="17">'[131]#REF'!#REF!</definedName>
    <definedName name="_4_">'[131]#REF'!#REF!</definedName>
    <definedName name="_5_0" localSheetId="17">#REF!</definedName>
    <definedName name="_6_0">#REF!</definedName>
    <definedName name="_7_?" localSheetId="17">#REF!</definedName>
    <definedName name="_8_?">#REF!</definedName>
    <definedName name="_9_?쨲?f">#REF!</definedName>
    <definedName name="_10_?춑_TOTAL" localSheetId="17">[54]major!#REF!</definedName>
    <definedName name="_11_?춑_TOTAL">[54]major!#REF!</definedName>
    <definedName name="_12_?춮t2" localSheetId="17">[10]현금경비중역!#REF!</definedName>
    <definedName name="_13_?춮t2">[10]현금경비중역!#REF!</definedName>
    <definedName name="_14_?춮ta" localSheetId="17">[10]현금경비중역!#REF!</definedName>
    <definedName name="_15_?춮ta">[10]현금경비중역!#REF!</definedName>
    <definedName name="_16_?춮tb" localSheetId="17">[10]현금경비중역!#REF!</definedName>
    <definedName name="_17_?춮tb">[10]현금경비중역!#REF!</definedName>
    <definedName name="_">#REF!</definedName>
    <definedName name="_1">#REF!</definedName>
    <definedName name="_2">#REF!</definedName>
    <definedName name="_xlnm._FilterDatabase" localSheetId="4" hidden="1">단위장비1!$A$2:$I$214</definedName>
    <definedName name="_xlnm._FilterDatabase" localSheetId="5" hidden="1">단위장비2!$A$2:$I$243</definedName>
    <definedName name="_xlnm._FilterDatabase" localSheetId="6" hidden="1">단위장비3!$A$2:$I$269</definedName>
    <definedName name="_xlnm._FilterDatabase" localSheetId="8" hidden="1">단위장비5!$J$2:$J$197</definedName>
    <definedName name="_xlnm._FilterDatabase" localSheetId="9" hidden="1">단위장비6!$J$2:$J$85</definedName>
    <definedName name="_xlnm._FilterDatabase" localSheetId="10" hidden="1">단위장비7!$J$2:$J$93</definedName>
    <definedName name="_xlnm._FilterDatabase" localSheetId="11" hidden="1">단위장비8!$J$2:$J$118</definedName>
    <definedName name="_xlnm._FilterDatabase" localSheetId="12" hidden="1">단위장비9!$J$2:$J$81</definedName>
    <definedName name="_xlnm._FilterDatabase" localSheetId="3" hidden="1">전기!$D$1:$D$166</definedName>
    <definedName name="_xlnm._FilterDatabase" hidden="1">#REF!</definedName>
    <definedName name="_Sort" hidden="1">#REF!</definedName>
    <definedName name="¤·¤≪¤¤¤·¤≪¤¤" localSheetId="17">#REF!</definedName>
    <definedName name="¤·¤≪¤¤¤·¤≪¤¤">#REF!</definedName>
    <definedName name="±a¾E°ⓒ" localSheetId="17">#REF!</definedName>
    <definedName name="±a¾E°ⓒ">#REF!</definedName>
    <definedName name="±a¾EA≫" localSheetId="17">#REF!</definedName>
    <definedName name="±a¾EA≫">#REF!</definedName>
    <definedName name="√">"SQRT"</definedName>
    <definedName name="※_추후_NAVA__PROJECT는__부품_">[11]기안!$A$43</definedName>
    <definedName name="_18_0" localSheetId="17">'[129]#REF'!#REF!</definedName>
    <definedName name="_19_0">'[129]#REF'!#REF!</definedName>
    <definedName name="_20_0" localSheetId="17">[141]●목차!#REF!</definedName>
    <definedName name="_21_0">[141]●목차!#REF!</definedName>
    <definedName name="_22_0" localSheetId="17">'[115]2.대외공문'!#REF!</definedName>
    <definedName name="_23_0">'[115]2.대외공문'!#REF!</definedName>
    <definedName name="_24_0_0" localSheetId="17">[85]표지!#REF!</definedName>
    <definedName name="_25_0_0">[85]표지!#REF!</definedName>
    <definedName name="_26_01" localSheetId="17">'[129]#REF'!#REF!</definedName>
    <definedName name="_27_01">'[129]#REF'!#REF!</definedName>
    <definedName name="_28_02" localSheetId="17">'[129]#REF'!#REF!</definedName>
    <definedName name="_29_02">'[129]#REF'!#REF!</definedName>
    <definedName name="_30_03" localSheetId="17">'[129]#REF'!#REF!</definedName>
    <definedName name="_31_03">'[129]#REF'!#REF!</definedName>
    <definedName name="_32_04" localSheetId="17">'[129]#REF'!#REF!</definedName>
    <definedName name="_33_04">'[129]#REF'!#REF!</definedName>
    <definedName name="_34_05" localSheetId="17">'[129]#REF'!#REF!</definedName>
    <definedName name="_35_05">'[129]#REF'!#REF!</definedName>
    <definedName name="_36_06" localSheetId="17">'[129]#REF'!#REF!</definedName>
    <definedName name="_37_06">'[129]#REF'!#REF!</definedName>
    <definedName name="_38_0Crite" localSheetId="17">[142]●목차!#REF!</definedName>
    <definedName name="_39_0Crite">[142]●목차!#REF!</definedName>
    <definedName name="_40_0Extr" localSheetId="17">[142]●목차!#REF!</definedName>
    <definedName name="_41_0Extr">[142]●목차!#REF!</definedName>
    <definedName name="_42_0ㅁ" localSheetId="17">[142]●현황!#REF!</definedName>
    <definedName name="_43_0ㅁ">[142]●현황!#REF!</definedName>
    <definedName name="_44_0엉댜" localSheetId="17">'[127]#REF'!#REF!</definedName>
    <definedName name="_45_0엉댜">'[127]#REF'!#REF!</definedName>
    <definedName name="_46_0투" localSheetId="17">'[127]#REF'!#REF!</definedName>
    <definedName name="_47_0투">'[127]#REF'!#REF!</definedName>
    <definedName name="A" localSheetId="17">[10]현금경비중역!#REF!</definedName>
    <definedName name="A">[10]현금경비중역!#REF!</definedName>
    <definedName name="_A300000" localSheetId="17">#REF!</definedName>
    <definedName name="_A300000">#REF!</definedName>
    <definedName name="_48Ａ４_" localSheetId="17">[130]주행!#REF!</definedName>
    <definedName name="_49Ａ４_">[130]주행!#REF!</definedName>
    <definedName name="AA" localSheetId="17">#REF!</definedName>
    <definedName name="AA">#REF!</definedName>
    <definedName name="AAA" localSheetId="17">#REF!</definedName>
    <definedName name="AAA">#REF!</definedName>
    <definedName name="AAAAA" localSheetId="15" hidden="1">{#N/A,#N/A,FALSE,"단축1";#N/A,#N/A,FALSE,"단축2";#N/A,#N/A,FALSE,"단축3";#N/A,#N/A,FALSE,"장축";#N/A,#N/A,FALSE,"4WD"}</definedName>
    <definedName name="AAAAA" hidden="1">{#N/A,#N/A,FALSE,"단축1";#N/A,#N/A,FALSE,"단축2";#N/A,#N/A,FALSE,"단축3";#N/A,#N/A,FALSE,"장축";#N/A,#N/A,FALSE,"4WD"}</definedName>
    <definedName name="AAAAAA" localSheetId="17">[100]GRACE!#REF!</definedName>
    <definedName name="AAAAAA">[100]GRACE!#REF!</definedName>
    <definedName name="AAL" localSheetId="17">#REF!</definedName>
    <definedName name="AAL">#REF!</definedName>
    <definedName name="AAP" localSheetId="17">#REF!</definedName>
    <definedName name="AAP">#REF!</definedName>
    <definedName name="AB" localSheetId="17">#REF!</definedName>
    <definedName name="AB">#REF!</definedName>
    <definedName name="abcd" localSheetId="17">#REF!</definedName>
    <definedName name="abcd">#REF!</definedName>
    <definedName name="ABL" localSheetId="17">#REF!</definedName>
    <definedName name="ABL">#REF!</definedName>
    <definedName name="ABP" localSheetId="17">#REF!</definedName>
    <definedName name="ABP">#REF!</definedName>
    <definedName name="AC" localSheetId="17">#REF!</definedName>
    <definedName name="AC">#REF!</definedName>
    <definedName name="Access_Button" hidden="1">"F분석표_1_100_List"</definedName>
    <definedName name="AccessDatabase" hidden="1">"W:\품질문제\DB1.MDB"</definedName>
    <definedName name="ACL" localSheetId="17">#REF!</definedName>
    <definedName name="ACL">#REF!</definedName>
    <definedName name="ACP" localSheetId="17">#REF!</definedName>
    <definedName name="ACP">#REF!</definedName>
    <definedName name="AD" localSheetId="17">#REF!</definedName>
    <definedName name="AD">#REF!</definedName>
    <definedName name="ADL" localSheetId="17">#REF!</definedName>
    <definedName name="ADL">#REF!</definedName>
    <definedName name="ADP" localSheetId="17">#REF!</definedName>
    <definedName name="ADP">#REF!</definedName>
    <definedName name="AI" localSheetId="17">[50]신규DEP!#REF!</definedName>
    <definedName name="AI">[50]신규DEP!#REF!</definedName>
    <definedName name="all" localSheetId="17">#REF!</definedName>
    <definedName name="all">#REF!</definedName>
    <definedName name="AS" localSheetId="17">[94]존4!#REF!</definedName>
    <definedName name="AS">[94]존4!#REF!</definedName>
    <definedName name="ASTA" localSheetId="17">#REF!</definedName>
    <definedName name="ASTA">#REF!</definedName>
    <definedName name="ASTL" localSheetId="17">#REF!</definedName>
    <definedName name="ASTL">#REF!</definedName>
    <definedName name="ASTR" localSheetId="17">#REF!</definedName>
    <definedName name="ASTR">#REF!</definedName>
    <definedName name="ASTX" localSheetId="17">#REF!</definedName>
    <definedName name="ASTX">#REF!</definedName>
    <definedName name="aut" localSheetId="17">#REF!</definedName>
    <definedName name="aut">#REF!</definedName>
    <definedName name="awc" localSheetId="17">#REF!</definedName>
    <definedName name="awc">#REF!</definedName>
    <definedName name="AZ" localSheetId="17">'[95]94B'!#REF!</definedName>
    <definedName name="AZ">'[95]94B'!#REF!</definedName>
    <definedName name="A급문제" localSheetId="17">#REF!</definedName>
    <definedName name="A급문제">#REF!</definedName>
    <definedName name="B" localSheetId="17">#REF!</definedName>
    <definedName name="B">#REF!</definedName>
    <definedName name="b_t2" localSheetId="17">[10]현금경비중역!#REF!</definedName>
    <definedName name="b_t2">[10]현금경비중역!#REF!</definedName>
    <definedName name="BA" localSheetId="17">#REF!</definedName>
    <definedName name="BA">#REF!</definedName>
    <definedName name="BAL" localSheetId="17">#REF!</definedName>
    <definedName name="BAL">#REF!</definedName>
    <definedName name="BAP" localSheetId="17">#REF!</definedName>
    <definedName name="BAP">#REF!</definedName>
    <definedName name="BB" localSheetId="17">#REF!</definedName>
    <definedName name="BB">#REF!</definedName>
    <definedName name="BBL" localSheetId="17">#REF!</definedName>
    <definedName name="BBL">#REF!</definedName>
    <definedName name="BBP" localSheetId="17">#REF!</definedName>
    <definedName name="BBP">#REF!</definedName>
    <definedName name="bc" localSheetId="17">#REF!</definedName>
    <definedName name="bc">#REF!</definedName>
    <definedName name="BCL" localSheetId="17">#REF!</definedName>
    <definedName name="BCL">#REF!</definedName>
    <definedName name="BCP" localSheetId="17">#REF!</definedName>
    <definedName name="BCP">#REF!</definedName>
    <definedName name="BD" localSheetId="17">#REF!</definedName>
    <definedName name="BD">#REF!</definedName>
    <definedName name="BDL" localSheetId="17">#REF!</definedName>
    <definedName name="BDL">#REF!</definedName>
    <definedName name="BDP" localSheetId="17">#REF!</definedName>
    <definedName name="BDP">#REF!</definedName>
    <definedName name="BRKT_ASST" localSheetId="17">#REF!</definedName>
    <definedName name="BRKT_ASST">#REF!</definedName>
    <definedName name="BSTA" localSheetId="17">#REF!</definedName>
    <definedName name="BSTA">#REF!</definedName>
    <definedName name="BSTL" localSheetId="17">#REF!</definedName>
    <definedName name="BSTL">#REF!</definedName>
    <definedName name="BSTR" localSheetId="17">#REF!</definedName>
    <definedName name="BSTR">#REF!</definedName>
    <definedName name="BSTX" localSheetId="17">#REF!</definedName>
    <definedName name="BSTX">#REF!</definedName>
    <definedName name="btw_">[31]Sheet5!$A$12:$IV$12,[31]Sheet5!$A$18:$IV$18,[31]Sheet5!$A$23:$IV$23,[31]Sheet5!$A$28:$IV$28</definedName>
    <definedName name="btw_01" localSheetId="17">#REF!,#REF!,#REF!,#REF!,#REF!,#REF!,#REF!,#REF!,#REF!</definedName>
    <definedName name="btw_01">#REF!,#REF!,#REF!,#REF!,#REF!,#REF!,#REF!,#REF!,#REF!</definedName>
    <definedName name="btw_02" localSheetId="17">'[31]Sheet6 (3)'!#REF!,'[31]Sheet6 (3)'!#REF!,'[31]Sheet6 (3)'!#REF!,'[31]Sheet6 (3)'!#REF!,'[31]Sheet6 (3)'!#REF!</definedName>
    <definedName name="btw_02">'[31]Sheet6 (3)'!#REF!,'[31]Sheet6 (3)'!#REF!,'[31]Sheet6 (3)'!#REF!,'[31]Sheet6 (3)'!#REF!,'[31]Sheet6 (3)'!#REF!</definedName>
    <definedName name="btw_03">#REF!,#REF!,#REF!,#REF!,#REF!</definedName>
    <definedName name="c1.">#REF!</definedName>
    <definedName name="C1244ㅁ1430" localSheetId="17">#REF!</definedName>
    <definedName name="C1244ㅁ1430">#REF!</definedName>
    <definedName name="CA" localSheetId="17">#REF!</definedName>
    <definedName name="CA">#REF!</definedName>
    <definedName name="CAL" localSheetId="17">#REF!</definedName>
    <definedName name="CAL">#REF!</definedName>
    <definedName name="CAP" localSheetId="17">#REF!</definedName>
    <definedName name="CAP">#REF!</definedName>
    <definedName name="CB" localSheetId="17">#REF!</definedName>
    <definedName name="CB">#REF!</definedName>
    <definedName name="CBL" localSheetId="17">#REF!</definedName>
    <definedName name="CBL">#REF!</definedName>
    <definedName name="CBP" localSheetId="17">#REF!</definedName>
    <definedName name="CBP">#REF!</definedName>
    <definedName name="CC" localSheetId="17">#REF!</definedName>
    <definedName name="CC">#REF!</definedName>
    <definedName name="CC.QQ" localSheetId="17">#REF!</definedName>
    <definedName name="CC.QQ">#REF!</definedName>
    <definedName name="CCC" localSheetId="17">#REF!</definedName>
    <definedName name="CCC">#REF!</definedName>
    <definedName name="CCL" localSheetId="17">#REF!</definedName>
    <definedName name="CCL">#REF!</definedName>
    <definedName name="CCP" localSheetId="17">#REF!</definedName>
    <definedName name="CCP">#REF!</definedName>
    <definedName name="CD" localSheetId="17">#REF!</definedName>
    <definedName name="CD">#REF!</definedName>
    <definedName name="CDL" localSheetId="17">#REF!</definedName>
    <definedName name="CDL">#REF!</definedName>
    <definedName name="CDP" localSheetId="17">#REF!</definedName>
    <definedName name="CDP">#REF!</definedName>
    <definedName name="CNFGRKBS18TBTB2DKDKRT" localSheetId="17">#REF!</definedName>
    <definedName name="CNFGRKBS18TBTB2DKDKRT">#REF!</definedName>
    <definedName name="CNFGRKBS18TBTB2RTDKDKRT" localSheetId="17">#REF!</definedName>
    <definedName name="CNFGRKBS18TBTB2RTDKDKRT">#REF!</definedName>
    <definedName name="CNFGTBTB1RT" localSheetId="17">#REF!</definedName>
    <definedName name="CNFGTBTB1RT">#REF!</definedName>
    <definedName name="CNFGTBTB2RTDKDKDK" localSheetId="17">#REF!</definedName>
    <definedName name="CNFGTBTB2RTDKDKDK">#REF!</definedName>
    <definedName name="CNRTCLDLRTDK">#REF!</definedName>
    <definedName name="con" localSheetId="17">#REF!</definedName>
    <definedName name="con">#REF!</definedName>
    <definedName name="_xlnm.Criteria" localSheetId="17">[54]major!#REF!</definedName>
    <definedName name="_xlnm.Criteria">[54]major!#REF!</definedName>
    <definedName name="CSTA" localSheetId="17">#REF!</definedName>
    <definedName name="CSTA">#REF!</definedName>
    <definedName name="CSTL" localSheetId="17">#REF!</definedName>
    <definedName name="CSTL">#REF!</definedName>
    <definedName name="CSTR" localSheetId="17">#REF!</definedName>
    <definedName name="CSTR">#REF!</definedName>
    <definedName name="CSTX" localSheetId="17">#REF!</definedName>
    <definedName name="CSTX">#REF!</definedName>
    <definedName name="d" localSheetId="17">#REF!</definedName>
    <definedName name="d">#REF!</definedName>
    <definedName name="_xlnm.Database">#REF!</definedName>
    <definedName name="DD" localSheetId="17">#REF!</definedName>
    <definedName name="DD">#REF!</definedName>
    <definedName name="DDD" localSheetId="17">#REF!</definedName>
    <definedName name="DDD">#REF!</definedName>
    <definedName name="DDDDD" localSheetId="17">#REF!</definedName>
    <definedName name="DDDDD">#REF!</definedName>
    <definedName name="dek" localSheetId="17">#REF!</definedName>
    <definedName name="dek">#REF!</definedName>
    <definedName name="DKDKDKFGTBTB2RT" localSheetId="17">#REF!</definedName>
    <definedName name="DKDKDKFGTBTB2RT">#REF!</definedName>
    <definedName name="DKDKFG8TBTB2RT" localSheetId="17">#REF!</definedName>
    <definedName name="DKDKFG8TBTB2RT">#REF!</definedName>
    <definedName name="DS" localSheetId="17">#REF!</definedName>
    <definedName name="DS">#REF!</definedName>
    <definedName name="EE" localSheetId="17">#REF!</definedName>
    <definedName name="EE">#REF!</definedName>
    <definedName name="_xlnm.Extract" localSheetId="17">[54]major!#REF!</definedName>
    <definedName name="_xlnm.Extract">[54]major!#REF!</definedName>
    <definedName name="FF" localSheetId="17">#REF!</definedName>
    <definedName name="FF">#REF!</definedName>
    <definedName name="fff">[125]협조전!$A$32</definedName>
    <definedName name="FG10TBTB2RT" localSheetId="17">#REF!</definedName>
    <definedName name="FG10TBTB2RT">#REF!</definedName>
    <definedName name="FG12TBTB2RTDKDKGMLRT" localSheetId="17">[7]협조전!#REF!</definedName>
    <definedName name="FG12TBTB2RTDKDKGMLRT">[7]협조전!#REF!</definedName>
    <definedName name="FG22TBTB3RTDKDKDK" localSheetId="17">[35]차수!#REF!</definedName>
    <definedName name="FG22TBTB3RTDKDKDK">[35]차수!#REF!</definedName>
    <definedName name="FG46TBTB4RTDKDK" localSheetId="17">#REF!</definedName>
    <definedName name="FG46TBTB4RTDKDK">#REF!</definedName>
    <definedName name="FGBS12TBTB0RT" localSheetId="17">#REF!</definedName>
    <definedName name="FGBS12TBTB0RT">#REF!</definedName>
    <definedName name="fgPRPRRKRKRKRKRKTBTB2RT" localSheetId="17">'[61]11'!#REF!</definedName>
    <definedName name="fgPRPRRKRKRKRKRKTBTB2RT">'[61]11'!#REF!</definedName>
    <definedName name="FGPRRKRKRKTBTB2RTDKDKDK">#REF!</definedName>
    <definedName name="FGPRTBTB1RTDKDK" localSheetId="17">#REF!</definedName>
    <definedName name="FGPRTBTB1RTDKDK">#REF!</definedName>
    <definedName name="FGRKBS11TBTB2RT" localSheetId="17">#REF!</definedName>
    <definedName name="FGRKBS11TBTB2RT">#REF!</definedName>
    <definedName name="FGRKBS11TBTB3RTDKDK" localSheetId="17">[12]협조전!#REF!</definedName>
    <definedName name="FGRKBS11TBTB3RTDKDK">[12]협조전!#REF!</definedName>
    <definedName name="FGrkbs7tbtbsprt" localSheetId="17">[42]전체현황!#REF!</definedName>
    <definedName name="FGrkbs7tbtbsprt">[42]전체현황!#REF!</definedName>
    <definedName name="fgRKBS8TBTB3RT" localSheetId="17">[12]협조전!#REF!</definedName>
    <definedName name="fgRKBS8TBTB3RT">[12]협조전!#REF!</definedName>
    <definedName name="FGRKRKRKRKRKRKRKRKRKRKRKRKTBTB5" localSheetId="17">[65]타임챠트!#REF!</definedName>
    <definedName name="FGRKRKRKRKRKRKRKRKRKRKRKRKTBTB5">[65]타임챠트!#REF!</definedName>
    <definedName name="fgRKRKRKRKRKTBTB2RTDKDK" localSheetId="17">#REF!</definedName>
    <definedName name="fgRKRKRKRKRKTBTB2RTDKDK">#REF!</definedName>
    <definedName name="FGtbtbspspsprtdkdk" localSheetId="17">[51]BUS제원1!#REF!</definedName>
    <definedName name="FGtbtbspspsprtdkdk">[51]BUS제원1!#REF!</definedName>
    <definedName name="FO투입시UPH조정" localSheetId="15" hidden="1">{#N/A,#N/A,FALSE,"단축1";#N/A,#N/A,FALSE,"단축2";#N/A,#N/A,FALSE,"단축3";#N/A,#N/A,FALSE,"장축";#N/A,#N/A,FALSE,"4WD"}</definedName>
    <definedName name="FO투입시UPH조정" hidden="1">{#N/A,#N/A,FALSE,"단축1";#N/A,#N/A,FALSE,"단축2";#N/A,#N/A,FALSE,"단축3";#N/A,#N/A,FALSE,"장축";#N/A,#N/A,FALSE,"4WD"}</definedName>
    <definedName name="FRTDRFC3" localSheetId="17">#REF!</definedName>
    <definedName name="FRTDRFC3">#REF!</definedName>
    <definedName name="FRTDRFC4" localSheetId="17">#REF!</definedName>
    <definedName name="FRTDRFC4">#REF!</definedName>
    <definedName name="FW2RTRK" localSheetId="17">'[29]626TD'!#REF!</definedName>
    <definedName name="FW2RTRK">'[29]626TD'!#REF!</definedName>
    <definedName name="F분석표_1_100_List">#REF!</definedName>
    <definedName name="gap" localSheetId="17">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$A$8:$IV$8,[32]TCA!$A$12:$IV$13,[32]TCA!$A$18:$IV$38,[32]TCA!$A$42:$IV$42</definedName>
    <definedName name="gap">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#REF!,[32]TCA!$A$8:$IV$8,[32]TCA!$A$12:$IV$13,[32]TCA!$A$18:$IV$38,[32]TCA!$A$42:$IV$42</definedName>
    <definedName name="_GAP1" localSheetId="17">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</definedName>
    <definedName name="_GAP1">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,'[37]1.변경범위'!#REF!</definedName>
    <definedName name="GF" localSheetId="17">#REF!</definedName>
    <definedName name="GF">#REF!</definedName>
    <definedName name="GG" localSheetId="17">#REF!</definedName>
    <definedName name="GG">#REF!</definedName>
    <definedName name="GH" localSheetId="17">'[95]94B'!#REF!</definedName>
    <definedName name="GH">'[95]94B'!#REF!</definedName>
    <definedName name="GHJGH" localSheetId="17">'[96]소유주(원)'!#REF!</definedName>
    <definedName name="GHJGH">'[96]소유주(원)'!#REF!</definedName>
    <definedName name="GLS">'[60]full (2)'!$C$6:$C$62</definedName>
    <definedName name="GRACE" localSheetId="17">[92]PTR台손익!#REF!</definedName>
    <definedName name="GRACE">[92]PTR台손익!#REF!</definedName>
    <definedName name="hh" localSheetId="17">#REF!</definedName>
    <definedName name="hh">#REF!</definedName>
    <definedName name="HHH" localSheetId="17">'[8]96수출'!#REF!</definedName>
    <definedName name="HHH">'[8]96수출'!#REF!</definedName>
    <definedName name="II" localSheetId="17">#REF!</definedName>
    <definedName name="II">#REF!</definedName>
    <definedName name="imsi">[33]Sheet5!$A$12:$IV$12,[33]Sheet5!$A$18:$IV$18,[33]Sheet5!$A$23:$IV$23,[33]Sheet5!$A$28:$IV$28</definedName>
    <definedName name="imsi_2" localSheetId="17">'[33]Sheet6 (3)'!#REF!,'[33]Sheet6 (3)'!#REF!,'[33]Sheet6 (3)'!#REF!,'[33]Sheet6 (3)'!#REF!,'[33]Sheet6 (3)'!#REF!</definedName>
    <definedName name="imsi_2">'[33]Sheet6 (3)'!#REF!,'[33]Sheet6 (3)'!#REF!,'[33]Sheet6 (3)'!#REF!,'[33]Sheet6 (3)'!#REF!,'[33]Sheet6 (3)'!#REF!</definedName>
    <definedName name="imsi_3" localSheetId="17">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$A$8:$IV$8,[34]TCA!$A$12:$IV$13,[34]TCA!$A$18:$IV$38,[34]TCA!$A$42:$IV$42</definedName>
    <definedName name="imsi_3">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#REF!,[34]TCA!$A$8:$IV$8,[34]TCA!$A$12:$IV$13,[34]TCA!$A$18:$IV$38,[34]TCA!$A$42:$IV$42</definedName>
    <definedName name="INDEX" localSheetId="17">#REF!</definedName>
    <definedName name="INDEX">#REF!</definedName>
    <definedName name="JJ" localSheetId="17">[94]존4!#REF!</definedName>
    <definedName name="JJ">[94]존4!#REF!</definedName>
    <definedName name="JJJ">#REF!</definedName>
    <definedName name="K" localSheetId="17">#REF!</definedName>
    <definedName name="K">#REF!</definedName>
    <definedName name="_50k7_" localSheetId="15" hidden="1">{#N/A,#N/A,FALSE,"단축1";#N/A,#N/A,FALSE,"단축2";#N/A,#N/A,FALSE,"단축3";#N/A,#N/A,FALSE,"장축";#N/A,#N/A,FALSE,"4WD"}</definedName>
    <definedName name="_51k7_" hidden="1">{#N/A,#N/A,FALSE,"단축1";#N/A,#N/A,FALSE,"단축2";#N/A,#N/A,FALSE,"단축3";#N/A,#N/A,FALSE,"장축";#N/A,#N/A,FALSE,"4WD"}</definedName>
    <definedName name="_52k8_" localSheetId="15" hidden="1">{#N/A,#N/A,FALSE,"단축1";#N/A,#N/A,FALSE,"단축2";#N/A,#N/A,FALSE,"단축3";#N/A,#N/A,FALSE,"장축";#N/A,#N/A,FALSE,"4WD"}</definedName>
    <definedName name="_53k8_" hidden="1">{#N/A,#N/A,FALSE,"단축1";#N/A,#N/A,FALSE,"단축2";#N/A,#N/A,FALSE,"단축3";#N/A,#N/A,FALSE,"장축";#N/A,#N/A,FALSE,"4WD"}</definedName>
    <definedName name="_54k9_" localSheetId="15" hidden="1">{#N/A,#N/A,FALSE,"단축1";#N/A,#N/A,FALSE,"단축2";#N/A,#N/A,FALSE,"단축3";#N/A,#N/A,FALSE,"장축";#N/A,#N/A,FALSE,"4WD"}</definedName>
    <definedName name="_55k9_" hidden="1">{#N/A,#N/A,FALSE,"단축1";#N/A,#N/A,FALSE,"단축2";#N/A,#N/A,FALSE,"단축3";#N/A,#N/A,FALSE,"장축";#N/A,#N/A,FALSE,"4WD"}</definedName>
    <definedName name="KK" localSheetId="17">[72]세목별!#REF!</definedName>
    <definedName name="KK">[72]세목별!#REF!</definedName>
    <definedName name="KKK">#REF!</definedName>
    <definedName name="L" localSheetId="17">[7]협조전!#REF!</definedName>
    <definedName name="L">[7]협조전!#REF!</definedName>
    <definedName name="MA">#REF!</definedName>
    <definedName name="Macro1" localSheetId="15">단위장비12!Macro1</definedName>
    <definedName name="Macro1">[0]!Macro1</definedName>
    <definedName name="Macro2" localSheetId="15">단위장비12!Macro2</definedName>
    <definedName name="Macro2">[0]!Macro2</definedName>
    <definedName name="Macro3" localSheetId="15">단위장비12!Macro3</definedName>
    <definedName name="Macro3">[0]!Macro3</definedName>
    <definedName name="Macro5" localSheetId="15">단위장비12!Macro5</definedName>
    <definedName name="Macro5">[0]!Macro5</definedName>
    <definedName name="MB" localSheetId="17">[93]인원01!#REF!</definedName>
    <definedName name="MB">[93]인원01!#REF!</definedName>
    <definedName name="Module1.Macro1" localSheetId="15">단위장비12!Module1.Macro1</definedName>
    <definedName name="Module1.Macro1">[0]!Module1.Macro1</definedName>
    <definedName name="Module1.Macro2" localSheetId="15">단위장비12!Module1.Macro2</definedName>
    <definedName name="Module1.Macro2">[0]!Module1.Macro2</definedName>
    <definedName name="Module1.Macro3" localSheetId="15">단위장비12!Module1.Macro3</definedName>
    <definedName name="Module1.Macro3">[0]!Module1.Macro3</definedName>
    <definedName name="Module2.Macro5" localSheetId="15">단위장비12!Module2.Macro5</definedName>
    <definedName name="Module2.Macro5">[0]!Module2.Macro5</definedName>
    <definedName name="Module4.매크로10" localSheetId="15">단위장비12!Module4.매크로10</definedName>
    <definedName name="Module4.매크로10">[0]!Module4.매크로10</definedName>
    <definedName name="Module4.매크로11" localSheetId="15">단위장비12!Module4.매크로11</definedName>
    <definedName name="Module4.매크로11">[0]!Module4.매크로11</definedName>
    <definedName name="Module4.매크로12" localSheetId="15">단위장비12!Module4.매크로12</definedName>
    <definedName name="Module4.매크로12">[0]!Module4.매크로12</definedName>
    <definedName name="Module4.매크로13" localSheetId="15">단위장비12!Module4.매크로13</definedName>
    <definedName name="Module4.매크로13">[0]!Module4.매크로13</definedName>
    <definedName name="Module4.매크로14" localSheetId="15">단위장비12!Module4.매크로14</definedName>
    <definedName name="Module4.매크로14">[0]!Module4.매크로14</definedName>
    <definedName name="Module4.매크로15" localSheetId="15">단위장비12!Module4.매크로15</definedName>
    <definedName name="Module4.매크로15">[0]!Module4.매크로15</definedName>
    <definedName name="Module4.매크로16" localSheetId="15">단위장비12!Module4.매크로16</definedName>
    <definedName name="Module4.매크로16">[0]!Module4.매크로16</definedName>
    <definedName name="Module4.매크로17" localSheetId="15">단위장비12!Module4.매크로17</definedName>
    <definedName name="Module4.매크로17">[0]!Module4.매크로17</definedName>
    <definedName name="Module4.매크로6" localSheetId="15">단위장비12!Module4.매크로6</definedName>
    <definedName name="Module4.매크로6">[0]!Module4.매크로6</definedName>
    <definedName name="Module4.매크로8" localSheetId="15">단위장비12!Module4.매크로8</definedName>
    <definedName name="Module4.매크로8">[0]!Module4.매크로8</definedName>
    <definedName name="Module4.매크로9" localSheetId="15">단위장비12!Module4.매크로9</definedName>
    <definedName name="Module4.매크로9">[0]!Module4.매크로9</definedName>
    <definedName name="Mq" localSheetId="17">'[14]소상 "1"'!#REF!</definedName>
    <definedName name="Mq">'[14]소상 "1"'!#REF!</definedName>
    <definedName name="MZ">[87]KD율!$C$52</definedName>
    <definedName name="M행">[30]대외공문!$V$11:$AC$11</definedName>
    <definedName name="name">#REF!</definedName>
    <definedName name="NET" localSheetId="17">#REF!</definedName>
    <definedName name="NET">#REF!</definedName>
    <definedName name="N행">[30]대외공문!$V$13:$AC$13</definedName>
    <definedName name="O">#REF!</definedName>
    <definedName name="O행">[30]대외공문!$V$17:$AC$17</definedName>
    <definedName name="_56P2_" localSheetId="15" hidden="1">{#N/A,#N/A,FALSE,"단축1";#N/A,#N/A,FALSE,"단축2";#N/A,#N/A,FALSE,"단축3";#N/A,#N/A,FALSE,"장축";#N/A,#N/A,FALSE,"4WD"}</definedName>
    <definedName name="_57P2_" hidden="1">{#N/A,#N/A,FALSE,"단축1";#N/A,#N/A,FALSE,"단축2";#N/A,#N/A,FALSE,"단축3";#N/A,#N/A,FALSE,"장축";#N/A,#N/A,FALSE,"4WD"}</definedName>
    <definedName name="PM0tb0tb198tb32tb34rtOR132C13rt" localSheetId="17">[55]HCCE01!#REF!</definedName>
    <definedName name="PM0tb0tb198tb32tb34rtOR132C13rt">[55]HCCE01!#REF!</definedName>
    <definedName name="PM0tb0tb198tb36tb37rtOR136C13rt" localSheetId="17">[55]HCCE01!#REF!</definedName>
    <definedName name="PM0tb0tb198tb36tb37rtOR136C13rt">[55]HCCE01!#REF!</definedName>
    <definedName name="PM0tb0tb198tb36tb37rtOR136C14rt" localSheetId="17">[55]HCCE01!#REF!</definedName>
    <definedName name="PM0tb0tb198tb36tb37rtOR136C14rt">[55]HCCE01!#REF!</definedName>
    <definedName name="PM0tb0tb198tb36tb38rtOR136C13rt" localSheetId="17">[55]HCCE01!#REF!</definedName>
    <definedName name="PM0tb0tb198tb36tb38rtOR136C13rt">[55]HCCE01!#REF!</definedName>
    <definedName name="POR137C13RTSC60L40RTM0TB0TB0TB0" localSheetId="17">[55]HCCE01!#REF!</definedName>
    <definedName name="POR137C13RTSC60L40RTM0TB0TB0TB0">[55]HCCE01!#REF!</definedName>
    <definedName name="POR439C124RTSQKS15C4LRTM0TB0TB0" localSheetId="17">#REF!</definedName>
    <definedName name="POR439C124RTSQKS15C4LRTM0TB0TB0">#REF!</definedName>
    <definedName name="_xlnm.Print_Area" localSheetId="0">갑지!$B$1:$I$41</definedName>
    <definedName name="_xlnm.Print_Area" localSheetId="13">단위장비10!$A$1:$I$153</definedName>
    <definedName name="_xlnm.Print_Area" localSheetId="14">단위장비11!$A$1:$I$75</definedName>
    <definedName name="_xlnm.Print_Area" localSheetId="17">'[52]RD제품개발투자비(매가)'!#REF!</definedName>
    <definedName name="_xlnm.Print_Area" localSheetId="5">단위장비2!$A$1:$I$243</definedName>
    <definedName name="_xlnm.Print_Area" localSheetId="8">단위장비5!$A$1:$I$340</definedName>
    <definedName name="_xlnm.Print_Area" localSheetId="9">단위장비6!$A$1:$I$85</definedName>
    <definedName name="_xlnm.Print_Area" localSheetId="11">단위장비8!$A$1:$I$118</definedName>
    <definedName name="_xlnm.Print_Area" localSheetId="12">단위장비9!$A$1:$I$81</definedName>
    <definedName name="_xlnm.Print_Area" localSheetId="2">'단위장비별(집계)2'!$A$1:$O$24</definedName>
    <definedName name="_xlnm.Print_Area" localSheetId="1">'원가항목별(집계)1'!$A$1:$J$44</definedName>
    <definedName name="_xlnm.Print_Area" localSheetId="3">전기!$A$1:$I$164</definedName>
    <definedName name="_xlnm.Print_Area">'[52]RD제품개발투자비(매가)'!#REF!</definedName>
    <definedName name="PRINT_AREA_MI" localSheetId="17">'[52]RD제품개발투자비(매가)'!#REF!</definedName>
    <definedName name="PRINT_AREA_MI">'[52]RD제품개발투자비(매가)'!#REF!</definedName>
    <definedName name="_xlnm.Print_Titles" localSheetId="3">전기!$1:$2</definedName>
    <definedName name="P행">[30]대외공문!$V$19:$AC$19</definedName>
    <definedName name="Q" localSheetId="17">'[62]내수1.8GL'!#REF!</definedName>
    <definedName name="Q">'[62]내수1.8GL'!#REF!</definedName>
    <definedName name="QH">#REF!</definedName>
    <definedName name="QKQH" localSheetId="17">'[114]2.대외공문'!#REF!</definedName>
    <definedName name="QKQH">'[114]2.대외공문'!#REF!</definedName>
    <definedName name="qqq" localSheetId="17">#REF!</definedName>
    <definedName name="qqq">#REF!</definedName>
    <definedName name="Q행">[30]대외공문!$V$23:$AC$23</definedName>
    <definedName name="R_COVER" localSheetId="15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RRR">#REF!</definedName>
    <definedName name="RTCLSPRT" localSheetId="17">'[61]11'!#REF!</definedName>
    <definedName name="RTCLSPRT">'[61]11'!#REF!</definedName>
    <definedName name="R행">[30]대외공문!$V$26:$AC$26</definedName>
    <definedName name="SPEED_D170" localSheetId="17">#REF!</definedName>
    <definedName name="SPEED_D170">#REF!</definedName>
    <definedName name="SSS" localSheetId="17">'[102]R&amp;D'!#REF!</definedName>
    <definedName name="SSS">'[102]R&amp;D'!#REF!</definedName>
    <definedName name="SUMMER" localSheetId="17">#REF!</definedName>
    <definedName name="SUMMER">#REF!</definedName>
    <definedName name="S행" localSheetId="17">[30]대외공문!#REF!</definedName>
    <definedName name="S행">[30]대외공문!#REF!</definedName>
    <definedName name="_58T2_" localSheetId="15" hidden="1">{#N/A,#N/A,FALSE,"단축1";#N/A,#N/A,FALSE,"단축2";#N/A,#N/A,FALSE,"단축3";#N/A,#N/A,FALSE,"장축";#N/A,#N/A,FALSE,"4WD"}</definedName>
    <definedName name="_59T2_" hidden="1">{#N/A,#N/A,FALSE,"단축1";#N/A,#N/A,FALSE,"단축2";#N/A,#N/A,FALSE,"단축3";#N/A,#N/A,FALSE,"장축";#N/A,#N/A,FALSE,"4WD"}</definedName>
    <definedName name="_60T3_" localSheetId="15" hidden="1">{#N/A,#N/A,FALSE,"단축1";#N/A,#N/A,FALSE,"단축2";#N/A,#N/A,FALSE,"단축3";#N/A,#N/A,FALSE,"장축";#N/A,#N/A,FALSE,"4WD"}</definedName>
    <definedName name="_61T3_" hidden="1">{#N/A,#N/A,FALSE,"단축1";#N/A,#N/A,FALSE,"단축2";#N/A,#N/A,FALSE,"단축3";#N/A,#N/A,FALSE,"장축";#N/A,#N/A,FALSE,"4WD"}</definedName>
    <definedName name="_62T5_" localSheetId="15" hidden="1">{#N/A,#N/A,FALSE,"단축1";#N/A,#N/A,FALSE,"단축2";#N/A,#N/A,FALSE,"단축3";#N/A,#N/A,FALSE,"장축";#N/A,#N/A,FALSE,"4WD"}</definedName>
    <definedName name="_63T5_" hidden="1">{#N/A,#N/A,FALSE,"단축1";#N/A,#N/A,FALSE,"단축2";#N/A,#N/A,FALSE,"단축3";#N/A,#N/A,FALSE,"장축";#N/A,#N/A,FALSE,"4WD"}</definedName>
    <definedName name="TEAM">[108]계정!$E$3:$F$102</definedName>
    <definedName name="TPQN" localSheetId="17">#REF!</definedName>
    <definedName name="TPQN">#REF!</definedName>
    <definedName name="T행" localSheetId="17">'[13]2.대외공문'!#REF!</definedName>
    <definedName name="T행">'[13]2.대외공문'!#REF!</definedName>
    <definedName name="uu" localSheetId="17">#REF!</definedName>
    <definedName name="uu">#REF!</definedName>
    <definedName name="U행">[30]대외공문!$V$28:$AC$28</definedName>
    <definedName name="VNADNL" localSheetId="15" hidden="1">{#N/A,#N/A,FALSE,"단축1";#N/A,#N/A,FALSE,"단축2";#N/A,#N/A,FALSE,"단축3";#N/A,#N/A,FALSE,"장축";#N/A,#N/A,FALSE,"4WD"}</definedName>
    <definedName name="VNADNL" hidden="1">{#N/A,#N/A,FALSE,"단축1";#N/A,#N/A,FALSE,"단축2";#N/A,#N/A,FALSE,"단축3";#N/A,#N/A,FALSE,"장축";#N/A,#N/A,FALSE,"4WD"}</definedName>
    <definedName name="VSUMCL" localSheetId="17">[10]현금경비중역!#REF!</definedName>
    <definedName name="VSUMCL">[10]현금경비중역!#REF!</definedName>
    <definedName name="VV" localSheetId="17">#REF!</definedName>
    <definedName name="VV">#REF!</definedName>
    <definedName name="V행">[30]대외공문!$V$29:$AC$29</definedName>
    <definedName name="W" localSheetId="17">#REF!</definedName>
    <definedName name="W">#REF!</definedName>
    <definedName name="WAQEFQ" localSheetId="15" hidden="1">{#N/A,#N/A,FALSE,"단축1";#N/A,#N/A,FALSE,"단축2";#N/A,#N/A,FALSE,"단축3";#N/A,#N/A,FALSE,"장축";#N/A,#N/A,FALSE,"4WD"}</definedName>
    <definedName name="WAQEFQ" hidden="1">{#N/A,#N/A,FALSE,"단축1";#N/A,#N/A,FALSE,"단축2";#N/A,#N/A,FALSE,"단축3";#N/A,#N/A,FALSE,"장축";#N/A,#N/A,FALSE,"4WD"}</definedName>
    <definedName name="WCa" localSheetId="17">#REF!</definedName>
    <definedName name="WCa">#REF!</definedName>
    <definedName name="wkrdjq">#REF!</definedName>
    <definedName name="WON">#REF!</definedName>
    <definedName name="wrn.전부인쇄." localSheetId="15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w" localSheetId="17">#REF!</definedName>
    <definedName name="ww">#REF!</definedName>
    <definedName name="WWW">#REF!</definedName>
    <definedName name="W행" localSheetId="17">#REF!</definedName>
    <definedName name="W행">#REF!</definedName>
    <definedName name="X9802장판원본_원본_List">#REF!</definedName>
    <definedName name="XG액션" localSheetId="17">#REF!</definedName>
    <definedName name="XG액션">#REF!</definedName>
    <definedName name="xx" localSheetId="17">#REF!</definedName>
    <definedName name="xx">#REF!</definedName>
    <definedName name="X행">[30]대외공문!$V$31:$AC$31</definedName>
    <definedName name="yy" localSheetId="17">#REF!</definedName>
    <definedName name="yy">#REF!</definedName>
    <definedName name="ZZ" localSheetId="17">#REF!</definedName>
    <definedName name="ZZ">#REF!</definedName>
    <definedName name="δ3eng" localSheetId="17">[146]경쟁실분!#REF!</definedName>
    <definedName name="δ3eng">[146]경쟁실분!#REF!</definedName>
    <definedName name="π">PI()</definedName>
    <definedName name="ㄱㅇ" localSheetId="15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17">'[9]#REF'!#REF!</definedName>
    <definedName name="가">'[9]#REF'!#REF!</definedName>
    <definedName name="개발일정수정" localSheetId="15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과정" localSheetId="15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건가이자">[90]건가이자전체!$F$2:$J$173</definedName>
    <definedName name="견적대비" localSheetId="17">#REF!</definedName>
    <definedName name="견적대비">#REF!</definedName>
    <definedName name="견적대비4대" localSheetId="17">#REF!</definedName>
    <definedName name="견적대비4대">#REF!</definedName>
    <definedName name="경상비8월" localSheetId="15" hidden="1">{#N/A,#N/A,FALSE,"단축1";#N/A,#N/A,FALSE,"단축2";#N/A,#N/A,FALSE,"단축3";#N/A,#N/A,FALSE,"장축";#N/A,#N/A,FALSE,"4WD"}</definedName>
    <definedName name="경상비8월" hidden="1">{#N/A,#N/A,FALSE,"단축1";#N/A,#N/A,FALSE,"단축2";#N/A,#N/A,FALSE,"단축3";#N/A,#N/A,FALSE,"장축";#N/A,#N/A,FALSE,"4WD"}</definedName>
    <definedName name="계상산" localSheetId="17">#REF!</definedName>
    <definedName name="계상산">#REF!</definedName>
    <definedName name="계승산" localSheetId="17">#REF!</definedName>
    <definedName name="계승산">#REF!</definedName>
    <definedName name="계약91" localSheetId="17">[146]경쟁실분!#REF!</definedName>
    <definedName name="계약91">[146]경쟁실분!#REF!</definedName>
    <definedName name="계전산" localSheetId="17">#REF!</definedName>
    <definedName name="계전산">#REF!</definedName>
    <definedName name="계획" localSheetId="15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대비실적" localSheetId="17">'[89]RD제품개발투자비(매가)'!#REF!</definedName>
    <definedName name="계획대비실적">'[89]RD제품개발투자비(매가)'!#REF!</definedName>
    <definedName name="계획추진팀_투자예산.">#REF!</definedName>
    <definedName name="공정운영계획" localSheetId="17">#REF!</definedName>
    <definedName name="공정운영계획">#REF!</definedName>
    <definedName name="구매" localSheetId="17">'[66]W-A운영'!#REF!</definedName>
    <definedName name="구매">'[66]W-A운영'!#REF!</definedName>
    <definedName name="국내abs">#REF!</definedName>
    <definedName name="그것" localSheetId="17">[146]경쟁실분!#REF!</definedName>
    <definedName name="그것">[146]경쟁실분!#REF!</definedName>
    <definedName name="글라스11" localSheetId="17">[124]협조전!#REF!</definedName>
    <definedName name="글라스11">[124]협조전!#REF!</definedName>
    <definedName name="글라스2">[124]협조전!$A$41</definedName>
    <definedName name="기능" localSheetId="17">#REF!</definedName>
    <definedName name="기능">#REF!</definedName>
    <definedName name="기안2" localSheetId="17">#REF!</definedName>
    <definedName name="기안2">#REF!</definedName>
    <definedName name="기안3" localSheetId="17">#REF!</definedName>
    <definedName name="기안3">#REF!</definedName>
    <definedName name="기안갑" localSheetId="17">#REF!</definedName>
    <definedName name="기안갑">#REF!</definedName>
    <definedName name="기안갑1" localSheetId="17">#REF!</definedName>
    <definedName name="기안갑1">#REF!</definedName>
    <definedName name="기안용지" localSheetId="17">#REF!</definedName>
    <definedName name="기안용지">#REF!</definedName>
    <definedName name="기안용지2" localSheetId="17">#REF!</definedName>
    <definedName name="기안용지2">#REF!</definedName>
    <definedName name="기안을" localSheetId="17">#REF!</definedName>
    <definedName name="기안을">#REF!</definedName>
    <definedName name="기획실" localSheetId="17">#REF!</definedName>
    <definedName name="기획실">#REF!</definedName>
    <definedName name="기획예산">#REF!</definedName>
    <definedName name="ㄴㄴ" localSheetId="17">#REF!</definedName>
    <definedName name="ㄴㄴ">#REF!</definedName>
    <definedName name="나" localSheetId="17">#REF!</definedName>
    <definedName name="나">#REF!</definedName>
    <definedName name="남영환" localSheetId="17">#REF!</definedName>
    <definedName name="남영환">#REF!</definedName>
    <definedName name="납품보고" localSheetId="17">[94]존4!#REF!</definedName>
    <definedName name="납품보고">[94]존4!#REF!</definedName>
    <definedName name="너너너" localSheetId="17">#REF!</definedName>
    <definedName name="너너너">#REF!</definedName>
    <definedName name="년도__실적추정은_건설이자_미포" localSheetId="17">'[43]R&amp;D'!#REF!</definedName>
    <definedName name="년도__실적추정은_건설이자_미포">'[43]R&amp;D'!#REF!</definedName>
    <definedName name="년도실적추정" localSheetId="17">'[77]R&amp;D'!#REF!</definedName>
    <definedName name="년도실적추정">'[77]R&amp;D'!#REF!</definedName>
    <definedName name="다" localSheetId="17">[10]현금경비중역!#REF!</definedName>
    <definedName name="다">[10]현금경비중역!#REF!</definedName>
    <definedName name="單位阡원_阡￥" localSheetId="17">#REF!</definedName>
    <definedName name="單位阡원_阡￥">#REF!</definedName>
    <definedName name="대회">[30]대외공문!$A$19:$U$31</definedName>
    <definedName name="디젤엔진개발실" localSheetId="17">#REF!</definedName>
    <definedName name="디젤엔진개발실">#REF!</definedName>
    <definedName name="ㄹㄴㅇ러ㅏ" localSheetId="15" hidden="1">{#N/A,#N/A,FALSE,"단축1";#N/A,#N/A,FALSE,"단축2";#N/A,#N/A,FALSE,"단축3";#N/A,#N/A,FALSE,"장축";#N/A,#N/A,FALSE,"4WD"}</definedName>
    <definedName name="ㄹㄴㅇ러ㅏ" hidden="1">{#N/A,#N/A,FALSE,"단축1";#N/A,#N/A,FALSE,"단축2";#N/A,#N/A,FALSE,"단축3";#N/A,#N/A,FALSE,"장축";#N/A,#N/A,FALSE,"4WD"}</definedName>
    <definedName name="ㄹㄹ" localSheetId="17">[63]기안!#REF!</definedName>
    <definedName name="ㄹㄹ">[63]기안!#REF!</definedName>
    <definedName name="ㄹㄹㄹ" localSheetId="17">#REF!</definedName>
    <definedName name="ㄹㄹㄹ">#REF!</definedName>
    <definedName name="라" localSheetId="17">#REF!</definedName>
    <definedName name="라">#REF!</definedName>
    <definedName name="로커망러ㅏ" localSheetId="15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15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ㅁ1" localSheetId="17">[50]신규DEP!#REF!</definedName>
    <definedName name="ㅁ1">[50]신규DEP!#REF!</definedName>
    <definedName name="ㅁ1430" localSheetId="17">#REF!</definedName>
    <definedName name="ㅁ1430">#REF!</definedName>
    <definedName name="ㅁㄴㅇ" localSheetId="15">단위장비12!ㅁㄴㅇ</definedName>
    <definedName name="ㅁㄴㅇ">[0]!ㅁㄴㅇ</definedName>
    <definedName name="ㅁㅁ" localSheetId="17">#REF!</definedName>
    <definedName name="ㅁㅁ">#REF!</definedName>
    <definedName name="ㅁㅁㅁ" localSheetId="17">'[9]#REF'!#REF!</definedName>
    <definedName name="ㅁㅁㅁ">'[9]#REF'!#REF!</definedName>
    <definedName name="ㅁㅁㅁㅁㅁ" localSheetId="17">#REF!</definedName>
    <definedName name="ㅁㅁㅁㅁㅁ">#REF!</definedName>
    <definedName name="ㅁㅇㄹ" localSheetId="17">#REF!</definedName>
    <definedName name="ㅁㅇㄹ">#REF!</definedName>
    <definedName name="마" localSheetId="17">[10]현금경비중역!#REF!</definedName>
    <definedName name="마">[10]현금경비중역!#REF!</definedName>
    <definedName name="만" localSheetId="17">#REF!</definedName>
    <definedName name="만">#REF!</definedName>
    <definedName name="매크로10" localSheetId="15">단위장비12!매크로10</definedName>
    <definedName name="매크로10">[0]!매크로10</definedName>
    <definedName name="매크로11" localSheetId="15">단위장비12!매크로11</definedName>
    <definedName name="매크로11">[0]!매크로11</definedName>
    <definedName name="매크로12" localSheetId="15">단위장비12!매크로12</definedName>
    <definedName name="매크로12">[0]!매크로12</definedName>
    <definedName name="매크로13" localSheetId="15">단위장비12!매크로13</definedName>
    <definedName name="매크로13">[0]!매크로13</definedName>
    <definedName name="매크로14" localSheetId="15">단위장비12!매크로14</definedName>
    <definedName name="매크로14">[0]!매크로14</definedName>
    <definedName name="매크로15" localSheetId="15">단위장비12!매크로15</definedName>
    <definedName name="매크로15">[0]!매크로15</definedName>
    <definedName name="매크로16" localSheetId="15">단위장비12!매크로16</definedName>
    <definedName name="매크로16">[0]!매크로16</definedName>
    <definedName name="매크로17" localSheetId="15">단위장비12!매크로17</definedName>
    <definedName name="매크로17">[0]!매크로17</definedName>
    <definedName name="매크로6" localSheetId="15">단위장비12!매크로6</definedName>
    <definedName name="매크로6">[0]!매크로6</definedName>
    <definedName name="매크로7" localSheetId="15">단위장비12!매크로7</definedName>
    <definedName name="매크로7">[0]!매크로7</definedName>
    <definedName name="매크로8" localSheetId="15">단위장비12!매크로8</definedName>
    <definedName name="매크로8">[0]!매크로8</definedName>
    <definedName name="매크로9" localSheetId="15">단위장비12!매크로9</definedName>
    <definedName name="매크로9">[0]!매크로9</definedName>
    <definedName name="모" localSheetId="17">#REF!</definedName>
    <definedName name="모">#REF!</definedName>
    <definedName name="무빙" localSheetId="17">#REF!</definedName>
    <definedName name="무빙">#REF!</definedName>
    <definedName name="무빙.문" localSheetId="17">#REF!</definedName>
    <definedName name="무빙.문">#REF!</definedName>
    <definedName name="무빙문제" localSheetId="17">#REF!</definedName>
    <definedName name="무빙문제">#REF!</definedName>
    <definedName name="미승인7TON" localSheetId="17">#REF!</definedName>
    <definedName name="미승인7TON">#REF!</definedName>
    <definedName name="미승인예산7TON" localSheetId="17">#REF!</definedName>
    <definedName name="미승인예산7TON">#REF!</definedName>
    <definedName name="밋션별" localSheetId="17">#REF!</definedName>
    <definedName name="밋션별">#REF!</definedName>
    <definedName name="바" localSheetId="17">[7]협조전!#REF!</definedName>
    <definedName name="바">[7]협조전!#REF!</definedName>
    <definedName name="박상" localSheetId="17">#REF!</definedName>
    <definedName name="박상">#REF!</definedName>
    <definedName name="박형식" localSheetId="17">#REF!</definedName>
    <definedName name="박형식">#REF!</definedName>
    <definedName name="반영">#REF!</definedName>
    <definedName name="반영1">#REF!</definedName>
    <definedName name="반영2">#REF!</definedName>
    <definedName name="반영3">#REF!</definedName>
    <definedName name="반영결과">#REF!</definedName>
    <definedName name="반영현황">#REF!</definedName>
    <definedName name="발" localSheetId="17">#REF!</definedName>
    <definedName name="발">#REF!</definedName>
    <definedName name="변경" localSheetId="17">#REF!</definedName>
    <definedName name="변경">#REF!</definedName>
    <definedName name="부서" localSheetId="17">#REF!</definedName>
    <definedName name="부서">#REF!</definedName>
    <definedName name="부서별예산" localSheetId="17">#REF!</definedName>
    <definedName name="부서별예산">#REF!</definedName>
    <definedName name="비교A" localSheetId="17">#REF!</definedName>
    <definedName name="비교A">#REF!</definedName>
    <definedName name="빈양결과">#REF!</definedName>
    <definedName name="ㅅㅅ" localSheetId="17">#REF!</definedName>
    <definedName name="ㅅㅅ">#REF!</definedName>
    <definedName name="사" localSheetId="17">'[8]96수출'!#REF!</definedName>
    <definedName name="사">'[8]96수출'!#REF!</definedName>
    <definedName name="사업투자" localSheetId="17">#REF!</definedName>
    <definedName name="사업투자">#REF!</definedName>
    <definedName name="사업투자1" localSheetId="17">#REF!</definedName>
    <definedName name="사업투자1">#REF!</definedName>
    <definedName name="삼" localSheetId="17">#REF!</definedName>
    <definedName name="삼">#REF!</definedName>
    <definedName name="샤시" localSheetId="17">#REF!</definedName>
    <definedName name="샤시">#REF!</definedName>
    <definedName name="샤시.문제" localSheetId="17">#REF!</definedName>
    <definedName name="샤시.문제">#REF!</definedName>
    <definedName name="샤시Ⅲ" localSheetId="17">#REF!</definedName>
    <definedName name="샤시Ⅲ">#REF!</definedName>
    <definedName name="설비사양검토" localSheetId="17">#REF!</definedName>
    <definedName name="설비사양검토">#REF!</definedName>
    <definedName name="소물_BRKT_SUB_용접RH" localSheetId="17">[126]보고!#REF!</definedName>
    <definedName name="소물_BRKT_SUB_용접RH">[126]보고!#REF!</definedName>
    <definedName name="소재검토" localSheetId="17">#REF!</definedName>
    <definedName name="소재검토">#REF!</definedName>
    <definedName name="승인권한2" localSheetId="15" hidden="1">{#N/A,#N/A,FALSE,"단축1";#N/A,#N/A,FALSE,"단축2";#N/A,#N/A,FALSE,"단축3";#N/A,#N/A,FALSE,"장축";#N/A,#N/A,FALSE,"4WD"}</definedName>
    <definedName name="승인권한2" hidden="1">{#N/A,#N/A,FALSE,"단축1";#N/A,#N/A,FALSE,"단축2";#N/A,#N/A,FALSE,"단축3";#N/A,#N/A,FALSE,"장축";#N/A,#N/A,FALSE,"4WD"}</definedName>
    <definedName name="신차" localSheetId="17">#REF!</definedName>
    <definedName name="신차">#REF!</definedName>
    <definedName name="신차품질일정" localSheetId="15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십이월" localSheetId="17">#REF!</definedName>
    <definedName name="십이월">#REF!</definedName>
    <definedName name="ㅇㄴㅁㄻㄴㅇㄹㄴㅇㅁ" localSheetId="17">#REF!</definedName>
    <definedName name="ㅇㄴㅁㄻㄴㅇㄹㄴㅇㅁ">#REF!</definedName>
    <definedName name="ㅇㄻㄴㅇㄻㄴ" localSheetId="17">#REF!</definedName>
    <definedName name="ㅇㄻㄴㅇㄻㄴ">#REF!</definedName>
    <definedName name="아" localSheetId="17">[7]협조전!#REF!</definedName>
    <definedName name="아">[7]협조전!#REF!</definedName>
    <definedName name="아아앙" localSheetId="17">#REF!</definedName>
    <definedName name="아아앙">#REF!</definedName>
    <definedName name="안현모" localSheetId="15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티브셀삭제" localSheetId="17">[70]SHEET1!액티브셀삭제</definedName>
    <definedName name="액티브셀삭제">[70]SHEET1!액티브셀삭제</definedName>
    <definedName name="양식" localSheetId="17">#REF!</definedName>
    <definedName name="양식">#REF!</definedName>
    <definedName name="어쩌구" localSheetId="17">#REF!</definedName>
    <definedName name="어쩌구">#REF!</definedName>
    <definedName name="업무연락안양식_209_List" localSheetId="17">[105]본문!#REF!</definedName>
    <definedName name="업무연락안양식_209_List">[105]본문!#REF!</definedName>
    <definedName name="여유분">'[38]DAT(목표)'!$Y$2</definedName>
    <definedName name="예쁜말밥">[113]기초!$A$7:$AF$160</definedName>
    <definedName name="예산총괄시트설ONLY" localSheetId="17">#REF!</definedName>
    <definedName name="예산총괄시트설ONLY">#REF!</definedName>
    <definedName name="오" localSheetId="17">#REF!</definedName>
    <definedName name="오">#REF!</definedName>
    <definedName name="운영" localSheetId="17">#REF!</definedName>
    <definedName name="운영">#REF!</definedName>
    <definedName name="원가1" localSheetId="17">#REF!</definedName>
    <definedName name="원가1">#REF!</definedName>
    <definedName name="육" localSheetId="17">#REF!</definedName>
    <definedName name="육">#REF!</definedName>
    <definedName name="의장설계" localSheetId="17">#REF!</definedName>
    <definedName name="의장설계">#REF!</definedName>
    <definedName name="이" localSheetId="17">#REF!</definedName>
    <definedName name="이">#REF!</definedName>
    <definedName name="이1">'[118]2COMPO_TABLE'!$AY$4:$AY$892</definedName>
    <definedName name="이12">'[118]2COMPO_TABLE'!$BI$4:$BI$892</definedName>
    <definedName name="이1312">'[118]2COMPO_TABLE'!$BU$4:$BU$892</definedName>
    <definedName name="이4">'[118]2COMPO_TABLE'!$BA$4:$BA$892</definedName>
    <definedName name="이6">'[118]2COMPO_TABLE'!$BC$4:$BC$892</definedName>
    <definedName name="이715">'[118]2COMPO_TABLE'!$BW$4:$BW$892</definedName>
    <definedName name="이78">'[118]2COMPO_TABLE'!$BS$4:$BS$892</definedName>
    <definedName name="일" localSheetId="17">#REF!</definedName>
    <definedName name="일">#REF!</definedName>
    <definedName name="자" localSheetId="17">'[14]소상 "1"'!#REF!</definedName>
    <definedName name="자">'[14]소상 "1"'!#REF!</definedName>
    <definedName name="장기" localSheetId="17">#REF!</definedName>
    <definedName name="장기">#REF!</definedName>
    <definedName name="장기투자.94.BB" localSheetId="17">#REF!</definedName>
    <definedName name="장기투자.94.BB">#REF!</definedName>
    <definedName name="저쩌구" localSheetId="17">#REF!</definedName>
    <definedName name="저쩌구">#REF!</definedName>
    <definedName name="전개계획" localSheetId="15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15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장.문" localSheetId="17">#REF!</definedName>
    <definedName name="전장.문">#REF!</definedName>
    <definedName name="전체" localSheetId="17">#REF!</definedName>
    <definedName name="전체">#REF!</definedName>
    <definedName name="전체현황" localSheetId="15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제목">[30]대외공문!$D$20</definedName>
    <definedName name="제어23">[125]협조전!$A$41</definedName>
    <definedName name="조직도" localSheetId="17">'[114]#REF'!#REF!</definedName>
    <definedName name="조직도">'[114]#REF'!#REF!</definedName>
    <definedName name="종합" localSheetId="17">#REF!</definedName>
    <definedName name="종합">#REF!</definedName>
    <definedName name="주재원" localSheetId="17">'[114]#REF'!#REF!</definedName>
    <definedName name="주재원">'[114]#REF'!#REF!</definedName>
    <definedName name="중앙" localSheetId="15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쫪즊" localSheetId="17">#REF!</definedName>
    <definedName name="쫪즊">#REF!</definedName>
    <definedName name="차체기술4" localSheetId="17">[41]GRACE!#REF!</definedName>
    <definedName name="차체기술4">[41]GRACE!#REF!</definedName>
    <definedName name="첨부0" localSheetId="17">#REF!</definedName>
    <definedName name="첨부0">#REF!</definedName>
    <definedName name="첨부1" localSheetId="17">#REF!</definedName>
    <definedName name="첨부1">#REF!</definedName>
    <definedName name="첨부2" localSheetId="17">#REF!</definedName>
    <definedName name="첨부2">#REF!</definedName>
    <definedName name="첨첨11" localSheetId="17">#REF!</definedName>
    <definedName name="첨첨11">#REF!</definedName>
    <definedName name="총무3" localSheetId="15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최신본" localSheetId="17">#REF!</definedName>
    <definedName name="최신본">#REF!</definedName>
    <definedName name="칠" localSheetId="17">#REF!</definedName>
    <definedName name="칠">#REF!</definedName>
    <definedName name="ㅋㅋ" localSheetId="17">#REF!</definedName>
    <definedName name="ㅋㅋ">#REF!</definedName>
    <definedName name="타이어구입311월" localSheetId="17">#REF!</definedName>
    <definedName name="타이어구입311월">#REF!</definedName>
    <definedName name="태1">'[118]2COMPO_TABLE'!$AY$4:$AZ$892</definedName>
    <definedName name="태12">'[118]2COMPO_TABLE'!$BI$4:$BJ$892</definedName>
    <definedName name="태1312">'[118]2COMPO_TABLE'!$BU$4:$BV$892</definedName>
    <definedName name="태4">'[118]2COMPO_TABLE'!$BA$4:$BB$892</definedName>
    <definedName name="태6">'[118]2COMPO_TABLE'!$BC$4:$BD$892</definedName>
    <definedName name="태715">'[118]2COMPO_TABLE'!$BW$4:$BX$892</definedName>
    <definedName name="태78">'[118]2COMPO_TABLE'!$BS$4:$BT$892</definedName>
    <definedName name="투자비실적" localSheetId="15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트럭p" localSheetId="17">#REF!</definedName>
    <definedName name="트럭p">#REF!</definedName>
    <definedName name="트럭proj" localSheetId="17">[100]GRACE!#REF!</definedName>
    <definedName name="트럭proj">[100]GRACE!#REF!</definedName>
    <definedName name="팀별" localSheetId="17">#REF!</definedName>
    <definedName name="팀별">#REF!</definedName>
    <definedName name="판매목표2" localSheetId="15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푸하하하" localSheetId="17">'[91]2.대외공문'!#REF!</definedName>
    <definedName name="푸하하하">'[91]2.대외공문'!#REF!</definedName>
    <definedName name="ㅎㅎ" localSheetId="17">#REF!</definedName>
    <definedName name="ㅎㅎ">#REF!</definedName>
    <definedName name="하" localSheetId="17">[10]현금경비중역!#REF!</definedName>
    <definedName name="하">[10]현금경비중역!#REF!</definedName>
    <definedName name="하기" localSheetId="17">#REF!</definedName>
    <definedName name="하기">#REF!</definedName>
    <definedName name="解_任_">[11]기안!$A$34</definedName>
    <definedName name="現代綜合商事經由分" localSheetId="17">#REF!</definedName>
    <definedName name="現代綜合商事經由分">#REF!</definedName>
    <definedName name="현지인" localSheetId="17">'[114]2.대외공문'!#REF!</definedName>
    <definedName name="현지인">'[114]2.대외공문'!#REF!</definedName>
    <definedName name="협조전" localSheetId="17">#REF!</definedName>
    <definedName name="협조전">#REF!</definedName>
    <definedName name="흵____R3_t" localSheetId="17">#REF!</definedName>
    <definedName name="흵____R3_t">#REF!</definedName>
    <definedName name="ㅏㅏ" localSheetId="17">#REF!</definedName>
    <definedName name="ㅏㅏ">#REF!</definedName>
    <definedName name="ㅗ쇼" localSheetId="17">#REF!</definedName>
    <definedName name="ㅗ쇼">#REF!</definedName>
    <definedName name="ㅗㅓ올\" localSheetId="15" hidden="1">{#N/A,#N/A,FALSE,"단축1";#N/A,#N/A,FALSE,"단축2";#N/A,#N/A,FALSE,"단축3";#N/A,#N/A,FALSE,"장축";#N/A,#N/A,FALSE,"4WD"}</definedName>
    <definedName name="ㅗㅓ올\" hidden="1">{#N/A,#N/A,FALSE,"단축1";#N/A,#N/A,FALSE,"단축2";#N/A,#N/A,FALSE,"단축3";#N/A,#N/A,FALSE,"장축";#N/A,#N/A,FALSE,"4WD"}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2" i="4" l="1"/>
  <c r="H43" i="4"/>
  <c r="H44" i="4"/>
  <c r="H45" i="4"/>
  <c r="H46" i="4"/>
  <c r="H47" i="4"/>
  <c r="H48" i="4"/>
  <c r="H49" i="4"/>
  <c r="H50" i="4"/>
  <c r="H33" i="4"/>
  <c r="H34" i="4"/>
  <c r="H35" i="4"/>
  <c r="H36" i="4"/>
  <c r="H37" i="4"/>
  <c r="H38" i="4"/>
  <c r="H39" i="4"/>
  <c r="H40" i="4"/>
  <c r="H23" i="4"/>
  <c r="H24" i="4"/>
  <c r="H25" i="4"/>
  <c r="H26" i="4"/>
  <c r="H27" i="4"/>
  <c r="H28" i="4"/>
  <c r="H29" i="4"/>
  <c r="H30" i="4"/>
  <c r="H31" i="4"/>
  <c r="H32" i="4"/>
  <c r="F20" i="4"/>
  <c r="H77" i="5"/>
  <c r="H78" i="5"/>
  <c r="H79" i="5"/>
  <c r="H80" i="5"/>
  <c r="H81" i="5"/>
  <c r="H82" i="5"/>
  <c r="H83" i="5"/>
  <c r="H84" i="5"/>
  <c r="H85" i="5"/>
  <c r="H86" i="5"/>
  <c r="H87" i="5"/>
  <c r="H88" i="5"/>
  <c r="H54" i="5"/>
  <c r="H55" i="5"/>
  <c r="H56" i="5"/>
  <c r="H57" i="5"/>
  <c r="H58" i="5"/>
  <c r="H59" i="5"/>
  <c r="H60" i="5"/>
  <c r="H104" i="5" s="1"/>
  <c r="H105" i="5" s="1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31" i="5"/>
  <c r="H32" i="5"/>
  <c r="H33" i="5"/>
  <c r="H34" i="5"/>
  <c r="H35" i="5"/>
  <c r="H36" i="5"/>
  <c r="H37" i="5"/>
  <c r="H38" i="5"/>
  <c r="H52" i="5" s="1"/>
  <c r="H39" i="5"/>
  <c r="H40" i="5"/>
  <c r="H41" i="5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92" i="8"/>
  <c r="H293" i="8"/>
  <c r="H135" i="8"/>
  <c r="H136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105" i="10"/>
  <c r="H106" i="10"/>
  <c r="H20" i="10"/>
  <c r="H21" i="10"/>
  <c r="H36" i="10"/>
  <c r="H37" i="10"/>
  <c r="H38" i="10"/>
  <c r="H44" i="3"/>
  <c r="H45" i="3"/>
  <c r="H151" i="3" s="1"/>
  <c r="H152" i="3" s="1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34" i="3"/>
  <c r="H35" i="3"/>
  <c r="H74" i="4"/>
  <c r="H248" i="9"/>
  <c r="H249" i="9"/>
  <c r="H250" i="9"/>
  <c r="H251" i="9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53" i="15"/>
  <c r="H17" i="15"/>
  <c r="H18" i="15"/>
  <c r="H52" i="15" s="1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16" i="15"/>
  <c r="H49" i="26"/>
  <c r="H55" i="26" s="1"/>
  <c r="H50" i="26"/>
  <c r="H51" i="26"/>
  <c r="H52" i="26"/>
  <c r="H53" i="26"/>
  <c r="H20" i="2"/>
  <c r="H54" i="26"/>
  <c r="H48" i="26"/>
  <c r="H45" i="19"/>
  <c r="H35" i="19"/>
  <c r="H75" i="4"/>
  <c r="H15" i="2"/>
  <c r="H69" i="14"/>
  <c r="H17" i="2" s="1"/>
  <c r="H29" i="5"/>
  <c r="H36" i="24"/>
  <c r="H35" i="24"/>
  <c r="H42" i="24" s="1"/>
  <c r="H24" i="19"/>
  <c r="I24" i="1"/>
  <c r="I10" i="1"/>
  <c r="G19" i="1"/>
  <c r="G18" i="1"/>
  <c r="G17" i="1"/>
  <c r="G16" i="1"/>
  <c r="G15" i="1"/>
  <c r="G14" i="1"/>
  <c r="G13" i="1"/>
  <c r="G12" i="1"/>
  <c r="F8" i="27"/>
  <c r="F14" i="24"/>
  <c r="H63" i="27"/>
  <c r="H64" i="27"/>
  <c r="H65" i="27"/>
  <c r="G21" i="2"/>
  <c r="H66" i="27"/>
  <c r="H67" i="27"/>
  <c r="H21" i="2"/>
  <c r="H68" i="27"/>
  <c r="H62" i="27"/>
  <c r="H61" i="27"/>
  <c r="E21" i="2" s="1"/>
  <c r="H7" i="27"/>
  <c r="H4" i="27"/>
  <c r="H3" i="27"/>
  <c r="H8" i="27" s="1"/>
  <c r="H11" i="27"/>
  <c r="H12" i="27"/>
  <c r="H13" i="27"/>
  <c r="H14" i="27"/>
  <c r="H15" i="27"/>
  <c r="H24" i="27" s="1"/>
  <c r="H16" i="27"/>
  <c r="H17" i="27"/>
  <c r="H18" i="27"/>
  <c r="H19" i="27"/>
  <c r="H20" i="27"/>
  <c r="H21" i="27"/>
  <c r="H27" i="27"/>
  <c r="H28" i="27"/>
  <c r="H29" i="27"/>
  <c r="H30" i="27"/>
  <c r="H31" i="27"/>
  <c r="H32" i="27"/>
  <c r="H59" i="27" s="1"/>
  <c r="H60" i="27" s="1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26" i="27"/>
  <c r="H25" i="27"/>
  <c r="H10" i="27"/>
  <c r="H9" i="27"/>
  <c r="B20" i="2"/>
  <c r="C31" i="16" s="1"/>
  <c r="H46" i="24"/>
  <c r="H47" i="24"/>
  <c r="H48" i="24"/>
  <c r="H49" i="24"/>
  <c r="G19" i="2" s="1"/>
  <c r="H50" i="24"/>
  <c r="H51" i="24"/>
  <c r="F19" i="2"/>
  <c r="H45" i="24"/>
  <c r="H36" i="26"/>
  <c r="H37" i="26"/>
  <c r="H35" i="26"/>
  <c r="H47" i="26"/>
  <c r="E20" i="2" s="1"/>
  <c r="H14" i="26"/>
  <c r="H45" i="26"/>
  <c r="H41" i="14"/>
  <c r="H42" i="14"/>
  <c r="H43" i="14"/>
  <c r="H44" i="14"/>
  <c r="H45" i="14"/>
  <c r="H46" i="14"/>
  <c r="H47" i="14"/>
  <c r="H48" i="14"/>
  <c r="H49" i="14"/>
  <c r="H50" i="14"/>
  <c r="H39" i="14"/>
  <c r="H40" i="14"/>
  <c r="H31" i="14"/>
  <c r="H53" i="14" s="1"/>
  <c r="H32" i="14"/>
  <c r="H30" i="14"/>
  <c r="H29" i="14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42" i="6"/>
  <c r="H33" i="6"/>
  <c r="H34" i="6"/>
  <c r="H35" i="6"/>
  <c r="H36" i="6"/>
  <c r="H37" i="6"/>
  <c r="H17" i="6"/>
  <c r="H16" i="6"/>
  <c r="H40" i="6"/>
  <c r="H33" i="25"/>
  <c r="H32" i="25"/>
  <c r="H31" i="25"/>
  <c r="H29" i="25"/>
  <c r="H26" i="25"/>
  <c r="H27" i="25"/>
  <c r="H25" i="25"/>
  <c r="H16" i="25"/>
  <c r="H15" i="25"/>
  <c r="H14" i="25"/>
  <c r="H9" i="9"/>
  <c r="H10" i="9"/>
  <c r="H11" i="9"/>
  <c r="H12" i="9"/>
  <c r="H13" i="9"/>
  <c r="H14" i="9"/>
  <c r="H15" i="9"/>
  <c r="H16" i="9"/>
  <c r="H17" i="9"/>
  <c r="H18" i="9"/>
  <c r="H19" i="9"/>
  <c r="H97" i="9" s="1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7" i="9"/>
  <c r="H9" i="25"/>
  <c r="B10" i="2"/>
  <c r="C21" i="16" s="1"/>
  <c r="H70" i="25"/>
  <c r="H69" i="25"/>
  <c r="H68" i="25"/>
  <c r="H67" i="25"/>
  <c r="H66" i="25"/>
  <c r="H65" i="25"/>
  <c r="H64" i="25"/>
  <c r="I13" i="1" s="1"/>
  <c r="H63" i="25"/>
  <c r="H13" i="25"/>
  <c r="H12" i="25"/>
  <c r="H11" i="25"/>
  <c r="H10" i="25"/>
  <c r="H37" i="25" s="1"/>
  <c r="H62" i="25" s="1"/>
  <c r="F8" i="25"/>
  <c r="H4" i="8"/>
  <c r="H4" i="9"/>
  <c r="H236" i="9"/>
  <c r="H237" i="9"/>
  <c r="H238" i="9"/>
  <c r="H239" i="9"/>
  <c r="H240" i="9"/>
  <c r="H241" i="9"/>
  <c r="H242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00" i="9"/>
  <c r="H101" i="9"/>
  <c r="H255" i="9" s="1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99" i="9"/>
  <c r="H98" i="9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43" i="3"/>
  <c r="H25" i="3"/>
  <c r="H26" i="3"/>
  <c r="H27" i="3"/>
  <c r="H28" i="3"/>
  <c r="H29" i="3"/>
  <c r="H22" i="3"/>
  <c r="H23" i="3"/>
  <c r="H2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4" i="3"/>
  <c r="H42" i="3" s="1"/>
  <c r="H3" i="3"/>
  <c r="H39" i="3"/>
  <c r="H38" i="3"/>
  <c r="H37" i="3"/>
  <c r="H36" i="3"/>
  <c r="H33" i="3"/>
  <c r="H32" i="3"/>
  <c r="H31" i="3"/>
  <c r="H30" i="3"/>
  <c r="H191" i="11"/>
  <c r="H192" i="11"/>
  <c r="H193" i="11"/>
  <c r="H194" i="11"/>
  <c r="H195" i="11"/>
  <c r="H196" i="11"/>
  <c r="H197" i="11"/>
  <c r="H198" i="11"/>
  <c r="H177" i="11"/>
  <c r="H178" i="11"/>
  <c r="H179" i="11"/>
  <c r="H180" i="11"/>
  <c r="H181" i="11"/>
  <c r="H182" i="11"/>
  <c r="H183" i="11"/>
  <c r="H184" i="11"/>
  <c r="H185" i="11"/>
  <c r="H174" i="11"/>
  <c r="H175" i="11"/>
  <c r="H176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26" i="11"/>
  <c r="H127" i="11"/>
  <c r="H128" i="11"/>
  <c r="H129" i="11"/>
  <c r="H130" i="11"/>
  <c r="H131" i="11"/>
  <c r="H132" i="11"/>
  <c r="H120" i="11"/>
  <c r="H121" i="11"/>
  <c r="H122" i="11"/>
  <c r="H116" i="11"/>
  <c r="H117" i="11"/>
  <c r="H118" i="11"/>
  <c r="H119" i="11"/>
  <c r="H107" i="11"/>
  <c r="H108" i="11"/>
  <c r="H109" i="11"/>
  <c r="H110" i="11"/>
  <c r="H106" i="11"/>
  <c r="H200" i="11" s="1"/>
  <c r="H105" i="11"/>
  <c r="H99" i="11"/>
  <c r="H100" i="11"/>
  <c r="H101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226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35" i="10"/>
  <c r="H136" i="10"/>
  <c r="H137" i="10"/>
  <c r="H138" i="10"/>
  <c r="H139" i="10"/>
  <c r="H140" i="10"/>
  <c r="H141" i="10"/>
  <c r="H142" i="10"/>
  <c r="H143" i="10"/>
  <c r="H121" i="10"/>
  <c r="H122" i="10"/>
  <c r="H123" i="10"/>
  <c r="H124" i="10"/>
  <c r="H125" i="10"/>
  <c r="H126" i="10"/>
  <c r="H127" i="10"/>
  <c r="H128" i="10"/>
  <c r="H129" i="10"/>
  <c r="H130" i="10"/>
  <c r="H131" i="10"/>
  <c r="H110" i="10"/>
  <c r="H111" i="10"/>
  <c r="H112" i="10"/>
  <c r="H113" i="10"/>
  <c r="H114" i="10"/>
  <c r="H115" i="10"/>
  <c r="H116" i="10"/>
  <c r="H117" i="10"/>
  <c r="H118" i="10"/>
  <c r="H119" i="10"/>
  <c r="H109" i="10"/>
  <c r="H108" i="10"/>
  <c r="H97" i="10"/>
  <c r="H98" i="10"/>
  <c r="H99" i="10"/>
  <c r="H100" i="10"/>
  <c r="H95" i="10"/>
  <c r="H96" i="10"/>
  <c r="H92" i="10"/>
  <c r="H93" i="10"/>
  <c r="H94" i="10"/>
  <c r="H88" i="10"/>
  <c r="H82" i="10"/>
  <c r="H83" i="10"/>
  <c r="H73" i="10"/>
  <c r="H74" i="10"/>
  <c r="H75" i="10"/>
  <c r="H76" i="10"/>
  <c r="H77" i="10"/>
  <c r="H78" i="10"/>
  <c r="H71" i="10"/>
  <c r="H61" i="10"/>
  <c r="H62" i="10"/>
  <c r="H56" i="10"/>
  <c r="H42" i="10"/>
  <c r="H43" i="10"/>
  <c r="H44" i="10"/>
  <c r="H45" i="10"/>
  <c r="H46" i="10"/>
  <c r="H24" i="10"/>
  <c r="H25" i="10"/>
  <c r="H26" i="10"/>
  <c r="H16" i="10"/>
  <c r="H14" i="10"/>
  <c r="H14" i="15"/>
  <c r="H15" i="15"/>
  <c r="H3" i="15"/>
  <c r="H29" i="7"/>
  <c r="H28" i="7"/>
  <c r="H27" i="7"/>
  <c r="H26" i="7"/>
  <c r="H25" i="7"/>
  <c r="H24" i="7"/>
  <c r="H23" i="7"/>
  <c r="H35" i="7"/>
  <c r="H34" i="7"/>
  <c r="H71" i="7" s="1"/>
  <c r="H72" i="7" s="1"/>
  <c r="B19" i="2"/>
  <c r="I19" i="2" s="1"/>
  <c r="H56" i="26" s="1"/>
  <c r="F15" i="15"/>
  <c r="H13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1" i="8"/>
  <c r="H317" i="8"/>
  <c r="H318" i="8"/>
  <c r="H319" i="8"/>
  <c r="H320" i="8"/>
  <c r="H321" i="8"/>
  <c r="H322" i="8"/>
  <c r="H323" i="8"/>
  <c r="H324" i="8"/>
  <c r="H325" i="8"/>
  <c r="H310" i="8"/>
  <c r="H311" i="8"/>
  <c r="H312" i="8"/>
  <c r="H313" i="8"/>
  <c r="H314" i="8"/>
  <c r="H315" i="8"/>
  <c r="H316" i="8"/>
  <c r="H308" i="8"/>
  <c r="H309" i="8"/>
  <c r="H303" i="8"/>
  <c r="H304" i="8"/>
  <c r="H305" i="8"/>
  <c r="H306" i="8"/>
  <c r="H307" i="8"/>
  <c r="H298" i="8"/>
  <c r="H299" i="8"/>
  <c r="H300" i="8"/>
  <c r="H295" i="8"/>
  <c r="H296" i="8"/>
  <c r="H288" i="8"/>
  <c r="H289" i="8"/>
  <c r="H290" i="8"/>
  <c r="H291" i="8"/>
  <c r="H285" i="8"/>
  <c r="H138" i="8"/>
  <c r="H5" i="9"/>
  <c r="H6" i="9" s="1"/>
  <c r="H3" i="9"/>
  <c r="H44" i="24"/>
  <c r="H3" i="24"/>
  <c r="H14" i="24" s="1"/>
  <c r="G30" i="1"/>
  <c r="B15" i="2"/>
  <c r="B13" i="2"/>
  <c r="C24" i="16"/>
  <c r="H294" i="8"/>
  <c r="H297" i="8"/>
  <c r="H238" i="10"/>
  <c r="H14" i="6"/>
  <c r="H3" i="6"/>
  <c r="H81" i="6"/>
  <c r="F13" i="2" s="1"/>
  <c r="H74" i="7"/>
  <c r="F12" i="2" s="1"/>
  <c r="H80" i="6"/>
  <c r="H82" i="6"/>
  <c r="H65" i="14"/>
  <c r="H83" i="6"/>
  <c r="H205" i="11"/>
  <c r="H234" i="10"/>
  <c r="H260" i="9"/>
  <c r="H331" i="8"/>
  <c r="H66" i="14"/>
  <c r="I15" i="1" s="1"/>
  <c r="H84" i="6"/>
  <c r="H77" i="7"/>
  <c r="H85" i="6"/>
  <c r="H207" i="11"/>
  <c r="H236" i="10"/>
  <c r="I17" i="1" s="1"/>
  <c r="H262" i="9"/>
  <c r="H333" i="8"/>
  <c r="H78" i="7"/>
  <c r="H146" i="15"/>
  <c r="H68" i="14"/>
  <c r="H63" i="19"/>
  <c r="G18" i="2"/>
  <c r="H86" i="6"/>
  <c r="H13" i="2" s="1"/>
  <c r="H208" i="11"/>
  <c r="H7" i="2" s="1"/>
  <c r="H237" i="10"/>
  <c r="H8" i="2" s="1"/>
  <c r="H263" i="9"/>
  <c r="H9" i="2"/>
  <c r="H334" i="8"/>
  <c r="H11" i="2"/>
  <c r="H79" i="7"/>
  <c r="H12" i="2" s="1"/>
  <c r="H112" i="5"/>
  <c r="H14" i="2" s="1"/>
  <c r="H64" i="19"/>
  <c r="H87" i="6"/>
  <c r="H209" i="11"/>
  <c r="H264" i="9"/>
  <c r="H335" i="8"/>
  <c r="I19" i="1" s="1"/>
  <c r="H76" i="4"/>
  <c r="H158" i="3"/>
  <c r="H5" i="6"/>
  <c r="H6" i="6"/>
  <c r="H7" i="6"/>
  <c r="H8" i="6"/>
  <c r="H9" i="6"/>
  <c r="H10" i="6"/>
  <c r="H11" i="6"/>
  <c r="H12" i="6"/>
  <c r="H13" i="6"/>
  <c r="H4" i="6"/>
  <c r="H15" i="6" s="1"/>
  <c r="H4" i="11"/>
  <c r="H4" i="10"/>
  <c r="H13" i="10" s="1"/>
  <c r="H232" i="10"/>
  <c r="H153" i="3"/>
  <c r="I25" i="1" s="1"/>
  <c r="H154" i="3"/>
  <c r="I26" i="1"/>
  <c r="H155" i="3"/>
  <c r="I27" i="1"/>
  <c r="H156" i="3"/>
  <c r="I28" i="1" s="1"/>
  <c r="H157" i="3"/>
  <c r="I29" i="1"/>
  <c r="H159" i="3"/>
  <c r="H160" i="3" s="1"/>
  <c r="E19" i="2"/>
  <c r="H34" i="24"/>
  <c r="H12" i="24"/>
  <c r="B16" i="2"/>
  <c r="C27" i="16"/>
  <c r="B14" i="2"/>
  <c r="C25" i="16"/>
  <c r="B12" i="2"/>
  <c r="B11" i="2"/>
  <c r="B9" i="2"/>
  <c r="B8" i="2"/>
  <c r="B7" i="2"/>
  <c r="A7" i="2" s="1"/>
  <c r="A8" i="2" s="1"/>
  <c r="A9" i="2" s="1"/>
  <c r="B17" i="2"/>
  <c r="I17" i="2" s="1"/>
  <c r="B18" i="2"/>
  <c r="H141" i="15"/>
  <c r="H142" i="15"/>
  <c r="H143" i="15"/>
  <c r="H149" i="15" s="1"/>
  <c r="H144" i="15"/>
  <c r="H145" i="15"/>
  <c r="H147" i="15"/>
  <c r="H148" i="15"/>
  <c r="H19" i="4"/>
  <c r="H186" i="11"/>
  <c r="H187" i="11"/>
  <c r="H188" i="11"/>
  <c r="H189" i="11"/>
  <c r="H190" i="11"/>
  <c r="H125" i="11"/>
  <c r="H3" i="11"/>
  <c r="H14" i="11" s="1"/>
  <c r="H15" i="10"/>
  <c r="H17" i="10"/>
  <c r="H18" i="10"/>
  <c r="H107" i="10" s="1"/>
  <c r="H19" i="10"/>
  <c r="H23" i="10"/>
  <c r="H27" i="10"/>
  <c r="H28" i="10"/>
  <c r="H29" i="10"/>
  <c r="H30" i="10"/>
  <c r="H3" i="10"/>
  <c r="H8" i="9"/>
  <c r="H143" i="9"/>
  <c r="H144" i="9"/>
  <c r="H147" i="9"/>
  <c r="H154" i="9"/>
  <c r="H234" i="9"/>
  <c r="H235" i="9"/>
  <c r="H139" i="9"/>
  <c r="H140" i="9"/>
  <c r="H141" i="9"/>
  <c r="H142" i="9"/>
  <c r="H145" i="9"/>
  <c r="H146" i="9"/>
  <c r="H148" i="9"/>
  <c r="H149" i="9"/>
  <c r="H150" i="9"/>
  <c r="H151" i="9"/>
  <c r="H152" i="9"/>
  <c r="H153" i="9"/>
  <c r="H233" i="9"/>
  <c r="H243" i="9"/>
  <c r="H244" i="9"/>
  <c r="H245" i="9"/>
  <c r="H246" i="9"/>
  <c r="H247" i="9"/>
  <c r="H252" i="9"/>
  <c r="H253" i="9"/>
  <c r="H286" i="8"/>
  <c r="H287" i="8"/>
  <c r="H326" i="8" s="1"/>
  <c r="H327" i="8" s="1"/>
  <c r="H302" i="8"/>
  <c r="H3" i="8"/>
  <c r="H3" i="7"/>
  <c r="H3" i="4"/>
  <c r="H203" i="11"/>
  <c r="H204" i="11"/>
  <c r="H330" i="8"/>
  <c r="F11" i="2" s="1"/>
  <c r="H329" i="8"/>
  <c r="H233" i="10"/>
  <c r="H259" i="9"/>
  <c r="I14" i="1" s="1"/>
  <c r="H258" i="9"/>
  <c r="H75" i="7"/>
  <c r="H81" i="7" s="1"/>
  <c r="H71" i="4"/>
  <c r="H72" i="4"/>
  <c r="H61" i="19"/>
  <c r="H257" i="9"/>
  <c r="H261" i="9"/>
  <c r="H73" i="4"/>
  <c r="H77" i="4" s="1"/>
  <c r="H67" i="14"/>
  <c r="H63" i="14"/>
  <c r="E17" i="2" s="1"/>
  <c r="H90" i="3"/>
  <c r="H89" i="3"/>
  <c r="H91" i="3"/>
  <c r="H39" i="19"/>
  <c r="H40" i="19"/>
  <c r="H41" i="19"/>
  <c r="H42" i="19"/>
  <c r="H43" i="19"/>
  <c r="H38" i="19"/>
  <c r="H34" i="14"/>
  <c r="H35" i="14"/>
  <c r="H36" i="14"/>
  <c r="H37" i="14"/>
  <c r="H38" i="14"/>
  <c r="H54" i="4"/>
  <c r="H55" i="4"/>
  <c r="H67" i="4" s="1"/>
  <c r="H56" i="4"/>
  <c r="H57" i="4"/>
  <c r="H58" i="4"/>
  <c r="H59" i="4"/>
  <c r="H41" i="4"/>
  <c r="H13" i="7"/>
  <c r="H33" i="7" s="1"/>
  <c r="H14" i="7"/>
  <c r="H15" i="7"/>
  <c r="H16" i="7"/>
  <c r="H17" i="7"/>
  <c r="H18" i="7"/>
  <c r="H19" i="7"/>
  <c r="H20" i="7"/>
  <c r="H21" i="7"/>
  <c r="H22" i="7"/>
  <c r="H301" i="8"/>
  <c r="H174" i="10"/>
  <c r="H229" i="10"/>
  <c r="H175" i="10"/>
  <c r="H176" i="10"/>
  <c r="H177" i="10"/>
  <c r="H134" i="10"/>
  <c r="H133" i="10"/>
  <c r="H102" i="10"/>
  <c r="H103" i="10"/>
  <c r="H104" i="10"/>
  <c r="H90" i="10"/>
  <c r="H91" i="10"/>
  <c r="H85" i="10"/>
  <c r="H86" i="10"/>
  <c r="H87" i="10"/>
  <c r="H80" i="10"/>
  <c r="H81" i="10"/>
  <c r="H72" i="10"/>
  <c r="H64" i="10"/>
  <c r="H65" i="10"/>
  <c r="H66" i="10"/>
  <c r="H67" i="10"/>
  <c r="H68" i="10"/>
  <c r="H69" i="10"/>
  <c r="H70" i="10"/>
  <c r="H58" i="10"/>
  <c r="H59" i="10"/>
  <c r="H60" i="10"/>
  <c r="H48" i="10"/>
  <c r="H49" i="10"/>
  <c r="H50" i="10"/>
  <c r="H51" i="10"/>
  <c r="H52" i="10"/>
  <c r="H53" i="10"/>
  <c r="H54" i="10"/>
  <c r="H55" i="10"/>
  <c r="H40" i="10"/>
  <c r="H41" i="10"/>
  <c r="H31" i="10"/>
  <c r="H32" i="10"/>
  <c r="H33" i="10"/>
  <c r="H34" i="10"/>
  <c r="H35" i="10"/>
  <c r="H124" i="11"/>
  <c r="H112" i="11"/>
  <c r="H113" i="11"/>
  <c r="H114" i="11"/>
  <c r="H115" i="11"/>
  <c r="H173" i="11"/>
  <c r="H172" i="11"/>
  <c r="H123" i="11"/>
  <c r="H133" i="11"/>
  <c r="H146" i="11"/>
  <c r="H147" i="11"/>
  <c r="H73" i="7"/>
  <c r="E12" i="2"/>
  <c r="H76" i="7"/>
  <c r="H80" i="7"/>
  <c r="H69" i="4"/>
  <c r="E15" i="2"/>
  <c r="H62" i="19"/>
  <c r="H64" i="14"/>
  <c r="F17" i="2" s="1"/>
  <c r="H202" i="11"/>
  <c r="H210" i="11" s="1"/>
  <c r="H106" i="5"/>
  <c r="E14" i="2" s="1"/>
  <c r="H231" i="10"/>
  <c r="H239" i="10" s="1"/>
  <c r="H16" i="1"/>
  <c r="H206" i="11"/>
  <c r="I16" i="1" s="1"/>
  <c r="G7" i="2"/>
  <c r="H111" i="5"/>
  <c r="H235" i="10"/>
  <c r="G25" i="1"/>
  <c r="H47" i="19"/>
  <c r="H32" i="19"/>
  <c r="H33" i="14"/>
  <c r="H70" i="14"/>
  <c r="H26" i="14"/>
  <c r="H27" i="14"/>
  <c r="H3" i="14"/>
  <c r="H28" i="14" s="1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1" i="19"/>
  <c r="H54" i="14"/>
  <c r="H55" i="14"/>
  <c r="H56" i="14"/>
  <c r="H57" i="14"/>
  <c r="H58" i="14"/>
  <c r="H59" i="14"/>
  <c r="H61" i="14" s="1"/>
  <c r="H62" i="14" s="1"/>
  <c r="H60" i="14"/>
  <c r="H51" i="19"/>
  <c r="H52" i="19"/>
  <c r="H56" i="19" s="1"/>
  <c r="H57" i="19" s="1"/>
  <c r="H53" i="19"/>
  <c r="H54" i="19"/>
  <c r="H22" i="4"/>
  <c r="H21" i="4"/>
  <c r="H51" i="4" s="1"/>
  <c r="H53" i="4"/>
  <c r="H52" i="4"/>
  <c r="H53" i="5"/>
  <c r="H111" i="11"/>
  <c r="F11" i="7"/>
  <c r="H12" i="7"/>
  <c r="H4" i="7"/>
  <c r="H11" i="7" s="1"/>
  <c r="H5" i="7"/>
  <c r="H6" i="7"/>
  <c r="H7" i="7"/>
  <c r="H8" i="7"/>
  <c r="H9" i="7"/>
  <c r="H10" i="7"/>
  <c r="H9" i="8"/>
  <c r="H10" i="8"/>
  <c r="H12" i="8"/>
  <c r="F10" i="8"/>
  <c r="F6" i="9"/>
  <c r="H328" i="8"/>
  <c r="I12" i="1" s="1"/>
  <c r="H107" i="5"/>
  <c r="H70" i="4"/>
  <c r="H108" i="5"/>
  <c r="H109" i="5"/>
  <c r="H332" i="8"/>
  <c r="G11" i="2"/>
  <c r="H110" i="5"/>
  <c r="H113" i="5"/>
  <c r="H26" i="5"/>
  <c r="H3" i="5"/>
  <c r="H4" i="5"/>
  <c r="H28" i="5" s="1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4" i="4"/>
  <c r="H20" i="4" s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30" i="5"/>
  <c r="H45" i="5"/>
  <c r="H46" i="5"/>
  <c r="H47" i="5"/>
  <c r="H48" i="5"/>
  <c r="H49" i="5"/>
  <c r="H50" i="5"/>
  <c r="H99" i="5"/>
  <c r="H100" i="5"/>
  <c r="H101" i="5"/>
  <c r="H102" i="5"/>
  <c r="H103" i="5"/>
  <c r="H120" i="10"/>
  <c r="H173" i="10"/>
  <c r="H204" i="10"/>
  <c r="H205" i="10"/>
  <c r="H22" i="10"/>
  <c r="H39" i="10"/>
  <c r="H47" i="10"/>
  <c r="H57" i="10"/>
  <c r="H63" i="10"/>
  <c r="H79" i="10"/>
  <c r="H84" i="10"/>
  <c r="H89" i="10"/>
  <c r="H101" i="10"/>
  <c r="H5" i="10"/>
  <c r="H6" i="10"/>
  <c r="H7" i="10"/>
  <c r="H8" i="10"/>
  <c r="H9" i="10"/>
  <c r="H10" i="10"/>
  <c r="H11" i="10"/>
  <c r="H12" i="10"/>
  <c r="F13" i="10"/>
  <c r="G7" i="1" s="1"/>
  <c r="H16" i="11"/>
  <c r="H15" i="11"/>
  <c r="H104" i="11" s="1"/>
  <c r="H5" i="11"/>
  <c r="H6" i="11"/>
  <c r="H7" i="11"/>
  <c r="H8" i="11"/>
  <c r="H9" i="11"/>
  <c r="H10" i="11"/>
  <c r="H11" i="11"/>
  <c r="H12" i="11"/>
  <c r="H13" i="11"/>
  <c r="F14" i="11"/>
  <c r="F28" i="5"/>
  <c r="F28" i="14"/>
  <c r="H49" i="19"/>
  <c r="H50" i="19"/>
  <c r="H55" i="19"/>
  <c r="H3" i="19"/>
  <c r="H4" i="19"/>
  <c r="H23" i="19" s="1"/>
  <c r="H5" i="19"/>
  <c r="H6" i="19"/>
  <c r="H7" i="19"/>
  <c r="H8" i="19"/>
  <c r="H9" i="19"/>
  <c r="H10" i="19"/>
  <c r="H11" i="19"/>
  <c r="H12" i="19"/>
  <c r="H13" i="19"/>
  <c r="H14" i="19"/>
  <c r="H15" i="19"/>
  <c r="H16" i="19"/>
  <c r="H17" i="19"/>
  <c r="H18" i="19"/>
  <c r="H19" i="19"/>
  <c r="H20" i="19"/>
  <c r="H58" i="19"/>
  <c r="E18" i="2" s="1"/>
  <c r="H59" i="19"/>
  <c r="F18" i="2" s="1"/>
  <c r="H60" i="19"/>
  <c r="H65" i="19"/>
  <c r="F23" i="19"/>
  <c r="G26" i="1"/>
  <c r="G27" i="1"/>
  <c r="G28" i="1"/>
  <c r="G29" i="1"/>
  <c r="G31" i="1"/>
  <c r="H19" i="1"/>
  <c r="H18" i="1"/>
  <c r="H17" i="1"/>
  <c r="H15" i="1"/>
  <c r="H14" i="1"/>
  <c r="H13" i="1"/>
  <c r="H12" i="1"/>
  <c r="H25" i="1"/>
  <c r="H31" i="1"/>
  <c r="H30" i="1"/>
  <c r="H29" i="1"/>
  <c r="H28" i="1"/>
  <c r="H27" i="1"/>
  <c r="H26" i="1"/>
  <c r="H8" i="25"/>
  <c r="H61" i="25"/>
  <c r="G10" i="2"/>
  <c r="E10" i="2"/>
  <c r="H19" i="2"/>
  <c r="H10" i="2"/>
  <c r="H33" i="26"/>
  <c r="H46" i="26"/>
  <c r="F21" i="2"/>
  <c r="H69" i="27"/>
  <c r="E16" i="2"/>
  <c r="E13" i="2"/>
  <c r="G20" i="2"/>
  <c r="G16" i="2"/>
  <c r="G17" i="2"/>
  <c r="C29" i="16"/>
  <c r="F15" i="2"/>
  <c r="H88" i="6"/>
  <c r="H139" i="15"/>
  <c r="E7" i="2"/>
  <c r="H16" i="2"/>
  <c r="H52" i="24"/>
  <c r="H18" i="2"/>
  <c r="D16" i="2"/>
  <c r="E9" i="2"/>
  <c r="K20" i="2"/>
  <c r="I18" i="2"/>
  <c r="K18" i="2"/>
  <c r="L20" i="2"/>
  <c r="L19" i="2"/>
  <c r="H53" i="24" s="1"/>
  <c r="K17" i="2"/>
  <c r="I20" i="2"/>
  <c r="L18" i="2"/>
  <c r="H67" i="19"/>
  <c r="C26" i="16"/>
  <c r="G14" i="2"/>
  <c r="G13" i="2"/>
  <c r="C22" i="16"/>
  <c r="A11" i="2"/>
  <c r="G9" i="2"/>
  <c r="I10" i="2"/>
  <c r="L10" i="2"/>
  <c r="K10" i="2"/>
  <c r="F8" i="2"/>
  <c r="H78" i="6"/>
  <c r="H79" i="6" s="1"/>
  <c r="H41" i="6"/>
  <c r="F14" i="2"/>
  <c r="H137" i="8"/>
  <c r="H265" i="9"/>
  <c r="F9" i="2"/>
  <c r="F7" i="2"/>
  <c r="G12" i="2"/>
  <c r="I30" i="1"/>
  <c r="L21" i="2"/>
  <c r="I21" i="2"/>
  <c r="K21" i="2"/>
  <c r="L16" i="2"/>
  <c r="I16" i="2"/>
  <c r="L17" i="2"/>
  <c r="H72" i="14" s="1"/>
  <c r="C28" i="16"/>
  <c r="K16" i="2"/>
  <c r="H150" i="15"/>
  <c r="I8" i="1" l="1"/>
  <c r="H22" i="2"/>
  <c r="H23" i="2" s="1"/>
  <c r="D14" i="2"/>
  <c r="H72" i="27"/>
  <c r="H71" i="27"/>
  <c r="D21" i="2"/>
  <c r="D10" i="2"/>
  <c r="H84" i="7"/>
  <c r="H83" i="7"/>
  <c r="M12" i="2" s="1"/>
  <c r="D12" i="2"/>
  <c r="H338" i="8"/>
  <c r="D11" i="2"/>
  <c r="H90" i="6"/>
  <c r="D13" i="2"/>
  <c r="H91" i="6"/>
  <c r="F22" i="2"/>
  <c r="E22" i="2"/>
  <c r="E23" i="2" s="1"/>
  <c r="H57" i="26"/>
  <c r="M20" i="2" s="1"/>
  <c r="I7" i="1"/>
  <c r="H152" i="15"/>
  <c r="H151" i="15"/>
  <c r="H163" i="3"/>
  <c r="I23" i="1"/>
  <c r="H162" i="3"/>
  <c r="J49" i="1"/>
  <c r="I49" i="1" s="1"/>
  <c r="I32" i="1"/>
  <c r="J39" i="1"/>
  <c r="H212" i="11"/>
  <c r="H213" i="11"/>
  <c r="D17" i="2"/>
  <c r="H73" i="14"/>
  <c r="D18" i="2"/>
  <c r="H230" i="10"/>
  <c r="H68" i="4"/>
  <c r="H201" i="11"/>
  <c r="I9" i="1"/>
  <c r="H256" i="9"/>
  <c r="H43" i="24"/>
  <c r="F20" i="2"/>
  <c r="G15" i="2"/>
  <c r="C23" i="16"/>
  <c r="C30" i="16"/>
  <c r="F10" i="2"/>
  <c r="E11" i="2"/>
  <c r="H336" i="8"/>
  <c r="I18" i="1"/>
  <c r="I20" i="1" s="1"/>
  <c r="F16" i="2"/>
  <c r="J16" i="2" s="1"/>
  <c r="D20" i="2"/>
  <c r="G8" i="2"/>
  <c r="G22" i="2" s="1"/>
  <c r="H71" i="25"/>
  <c r="H74" i="25" s="1"/>
  <c r="A12" i="2"/>
  <c r="A13" i="2" s="1"/>
  <c r="A14" i="2" s="1"/>
  <c r="A15" i="2" s="1"/>
  <c r="K19" i="2"/>
  <c r="H71" i="14"/>
  <c r="H74" i="14" s="1"/>
  <c r="H58" i="26"/>
  <c r="H66" i="19"/>
  <c r="H68" i="19" s="1"/>
  <c r="H114" i="5"/>
  <c r="H116" i="5" s="1"/>
  <c r="E8" i="2"/>
  <c r="I31" i="1"/>
  <c r="J17" i="2" l="1"/>
  <c r="H59" i="26"/>
  <c r="P20" i="2"/>
  <c r="J20" i="2"/>
  <c r="N20" i="2" s="1"/>
  <c r="D9" i="2"/>
  <c r="H267" i="9"/>
  <c r="M9" i="2" s="1"/>
  <c r="H268" i="9"/>
  <c r="H75" i="14"/>
  <c r="M16" i="2"/>
  <c r="M21" i="2"/>
  <c r="P12" i="2"/>
  <c r="P16" i="2"/>
  <c r="N16" i="2"/>
  <c r="H73" i="25"/>
  <c r="M10" i="2" s="1"/>
  <c r="D7" i="2"/>
  <c r="I33" i="1"/>
  <c r="I34" i="1" s="1"/>
  <c r="H69" i="19"/>
  <c r="M18" i="2" s="1"/>
  <c r="P18" i="2" s="1"/>
  <c r="H164" i="3"/>
  <c r="P13" i="2"/>
  <c r="J10" i="2"/>
  <c r="N10" i="2" s="1"/>
  <c r="P10" i="2"/>
  <c r="H117" i="5"/>
  <c r="M14" i="2" s="1"/>
  <c r="P14" i="2" s="1"/>
  <c r="M7" i="2"/>
  <c r="H79" i="4"/>
  <c r="M15" i="2" s="1"/>
  <c r="D15" i="2"/>
  <c r="H80" i="4"/>
  <c r="H241" i="10"/>
  <c r="M8" i="2" s="1"/>
  <c r="H242" i="10"/>
  <c r="I41" i="1" s="1"/>
  <c r="D8" i="2"/>
  <c r="J18" i="2"/>
  <c r="I35" i="1"/>
  <c r="M13" i="2"/>
  <c r="J48" i="1"/>
  <c r="I48" i="1" s="1"/>
  <c r="I39" i="1" s="1"/>
  <c r="I11" i="1"/>
  <c r="M17" i="2"/>
  <c r="P17" i="2" s="1"/>
  <c r="H339" i="8"/>
  <c r="M11" i="2" s="1"/>
  <c r="P11" i="2" s="1"/>
  <c r="P21" i="2"/>
  <c r="J21" i="2"/>
  <c r="I36" i="1"/>
  <c r="H55" i="24"/>
  <c r="D19" i="2"/>
  <c r="H54" i="24"/>
  <c r="M19" i="2" s="1"/>
  <c r="H153" i="15"/>
  <c r="H73" i="27"/>
  <c r="P9" i="2" l="1"/>
  <c r="P15" i="2"/>
  <c r="H31" i="16"/>
  <c r="E31" i="16"/>
  <c r="G31" i="16"/>
  <c r="E27" i="16"/>
  <c r="G27" i="16"/>
  <c r="H27" i="16"/>
  <c r="I40" i="1"/>
  <c r="H56" i="24"/>
  <c r="J19" i="2"/>
  <c r="N19" i="2" s="1"/>
  <c r="P19" i="2"/>
  <c r="H70" i="19"/>
  <c r="M22" i="2"/>
  <c r="I21" i="1"/>
  <c r="I22" i="1" s="1"/>
  <c r="I42" i="1" s="1"/>
  <c r="D22" i="2"/>
  <c r="P7" i="2"/>
  <c r="N17" i="2"/>
  <c r="I37" i="1"/>
  <c r="N18" i="2"/>
  <c r="E21" i="16"/>
  <c r="H21" i="16"/>
  <c r="G21" i="16"/>
  <c r="N21" i="2"/>
  <c r="P8" i="2"/>
  <c r="G32" i="16" l="1"/>
  <c r="H32" i="16"/>
  <c r="E32" i="16"/>
  <c r="E29" i="16"/>
  <c r="H29" i="16"/>
  <c r="G29" i="16"/>
  <c r="I9" i="2"/>
  <c r="J9" i="2" s="1"/>
  <c r="I7" i="2"/>
  <c r="L9" i="2"/>
  <c r="E28" i="16"/>
  <c r="G28" i="16"/>
  <c r="H28" i="16"/>
  <c r="P22" i="2"/>
  <c r="K9" i="2" s="1"/>
  <c r="I15" i="2"/>
  <c r="J15" i="2" s="1"/>
  <c r="L7" i="2"/>
  <c r="I8" i="2"/>
  <c r="J8" i="2" s="1"/>
  <c r="L8" i="2"/>
  <c r="H240" i="10" s="1"/>
  <c r="H243" i="10" s="1"/>
  <c r="H30" i="16"/>
  <c r="E30" i="16"/>
  <c r="G30" i="16"/>
  <c r="H266" i="9" l="1"/>
  <c r="H269" i="9" s="1"/>
  <c r="H72" i="25"/>
  <c r="H75" i="25" s="1"/>
  <c r="N9" i="2"/>
  <c r="H211" i="11"/>
  <c r="H214" i="11" s="1"/>
  <c r="J7" i="2"/>
  <c r="N15" i="2"/>
  <c r="N8" i="2"/>
  <c r="I14" i="2"/>
  <c r="J14" i="2" s="1"/>
  <c r="N14" i="2" s="1"/>
  <c r="I11" i="2"/>
  <c r="J11" i="2" s="1"/>
  <c r="N11" i="2" s="1"/>
  <c r="L11" i="2"/>
  <c r="L22" i="2" s="1"/>
  <c r="L15" i="2"/>
  <c r="H78" i="4" s="1"/>
  <c r="H81" i="4" s="1"/>
  <c r="K14" i="2"/>
  <c r="L13" i="2"/>
  <c r="K8" i="2"/>
  <c r="K13" i="2"/>
  <c r="K15" i="2"/>
  <c r="L12" i="2"/>
  <c r="K12" i="2"/>
  <c r="K11" i="2"/>
  <c r="I12" i="2"/>
  <c r="I13" i="2"/>
  <c r="K7" i="2"/>
  <c r="K22" i="2" s="1"/>
  <c r="L14" i="2"/>
  <c r="E26" i="16" l="1"/>
  <c r="H26" i="16"/>
  <c r="G26" i="16"/>
  <c r="H89" i="6"/>
  <c r="H92" i="6" s="1"/>
  <c r="J13" i="2"/>
  <c r="N13" i="2" s="1"/>
  <c r="G19" i="16"/>
  <c r="H19" i="16"/>
  <c r="E19" i="16"/>
  <c r="C19" i="16"/>
  <c r="G22" i="16"/>
  <c r="E22" i="16"/>
  <c r="H22" i="16"/>
  <c r="N7" i="2"/>
  <c r="G20" i="16"/>
  <c r="C20" i="16"/>
  <c r="H20" i="16"/>
  <c r="E20" i="16"/>
  <c r="H337" i="8"/>
  <c r="H340" i="8" s="1"/>
  <c r="H82" i="7"/>
  <c r="H85" i="7" s="1"/>
  <c r="J12" i="2"/>
  <c r="N12" i="2" s="1"/>
  <c r="I22" i="2"/>
  <c r="E25" i="16"/>
  <c r="G25" i="16"/>
  <c r="H25" i="16"/>
  <c r="H115" i="5"/>
  <c r="H118" i="5" s="1"/>
  <c r="J22" i="2" l="1"/>
  <c r="H23" i="16"/>
  <c r="E23" i="16"/>
  <c r="G23" i="16"/>
  <c r="H24" i="16"/>
  <c r="G24" i="16"/>
  <c r="E24" i="16"/>
  <c r="N22" i="2"/>
  <c r="E18" i="16"/>
  <c r="E33" i="16" s="1"/>
  <c r="H18" i="16"/>
  <c r="H33" i="16" s="1"/>
  <c r="C18" i="16"/>
  <c r="F18" i="16"/>
  <c r="F33" i="16" s="1"/>
  <c r="G18" i="16"/>
  <c r="D14" i="16" l="1"/>
  <c r="G14" i="16"/>
  <c r="J23" i="2"/>
  <c r="N23" i="2"/>
  <c r="G23" i="2"/>
  <c r="F23" i="2"/>
  <c r="N24" i="2"/>
  <c r="N25" i="2"/>
  <c r="J25" i="2" s="1"/>
  <c r="M23" i="2"/>
  <c r="D23" i="2"/>
  <c r="L23" i="2"/>
  <c r="K23" i="2"/>
  <c r="G33" i="16"/>
  <c r="I2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백종엽</author>
  </authors>
  <commentList>
    <comment ref="F53" authorId="0" shapeId="0" xr:uid="{321E3757-28E8-46E8-B1EA-4F837702A5EB}">
      <text>
        <r>
          <rPr>
            <b/>
            <sz val="9"/>
            <color indexed="81"/>
            <rFont val="돋움"/>
            <family val="3"/>
            <charset val="129"/>
          </rPr>
          <t>백종엽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<sst xmlns="http://schemas.openxmlformats.org/spreadsheetml/2006/main" count="4675" uniqueCount="1580">
  <si>
    <t>JAPAN KOKUSAI</t>
    <phoneticPr fontId="3" type="noConversion"/>
  </si>
  <si>
    <t>표준안전관리비</t>
  </si>
  <si>
    <t>일반관리비</t>
    <phoneticPr fontId="3" type="noConversion"/>
  </si>
  <si>
    <t>비  고</t>
    <phoneticPr fontId="3" type="noConversion"/>
  </si>
  <si>
    <t>수량</t>
    <phoneticPr fontId="3" type="noConversion"/>
  </si>
  <si>
    <t>구매품</t>
    <phoneticPr fontId="3" type="noConversion"/>
  </si>
  <si>
    <t>외주제작품</t>
    <phoneticPr fontId="3" type="noConversion"/>
  </si>
  <si>
    <t>품  명</t>
    <phoneticPr fontId="3" type="noConversion"/>
  </si>
  <si>
    <t>(유공압품외)</t>
    <phoneticPr fontId="3" type="noConversion"/>
  </si>
  <si>
    <t>原MAKER</t>
    <phoneticPr fontId="3" type="noConversion"/>
  </si>
  <si>
    <t>운반및중장비사용,표준안전관리비</t>
    <phoneticPr fontId="3" type="noConversion"/>
  </si>
  <si>
    <t>M/D</t>
  </si>
  <si>
    <t>M/D</t>
    <phoneticPr fontId="3" type="noConversion"/>
  </si>
  <si>
    <t>노
무
비</t>
    <phoneticPr fontId="3" type="noConversion"/>
  </si>
  <si>
    <t>기계
부문</t>
    <phoneticPr fontId="3" type="noConversion"/>
  </si>
  <si>
    <t>전기
부문</t>
    <phoneticPr fontId="3" type="noConversion"/>
  </si>
  <si>
    <t>기계 설계</t>
    <phoneticPr fontId="3" type="noConversion"/>
  </si>
  <si>
    <r>
      <t>기계 제작</t>
    </r>
    <r>
      <rPr>
        <sz val="10"/>
        <rFont val="굴림"/>
        <family val="3"/>
        <charset val="129"/>
      </rPr>
      <t>(제관,가공)</t>
    </r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</si>
  <si>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</si>
  <si>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</si>
  <si>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</si>
  <si>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</si>
  <si>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</si>
  <si>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번호</t>
    <phoneticPr fontId="3" type="noConversion"/>
  </si>
  <si>
    <t>1. VAT 제외</t>
    <phoneticPr fontId="3" type="noConversion"/>
  </si>
  <si>
    <t>2. 기본 유틸리티공사 제외</t>
    <phoneticPr fontId="3" type="noConversion"/>
  </si>
  <si>
    <t>특기사항</t>
    <phoneticPr fontId="3" type="noConversion"/>
  </si>
  <si>
    <r>
      <t xml:space="preserve">합 </t>
    </r>
    <r>
      <rPr>
        <sz val="11"/>
        <rFont val="굴림"/>
        <family val="3"/>
        <charset val="129"/>
      </rPr>
      <t xml:space="preserve"> </t>
    </r>
    <r>
      <rPr>
        <sz val="11"/>
        <rFont val="굴림"/>
        <family val="3"/>
        <charset val="129"/>
      </rPr>
      <t>계</t>
    </r>
    <phoneticPr fontId="3" type="noConversion"/>
  </si>
  <si>
    <t>견적번호</t>
    <phoneticPr fontId="3" type="noConversion"/>
  </si>
  <si>
    <t>납기</t>
    <phoneticPr fontId="3" type="noConversion"/>
  </si>
  <si>
    <t>견적유효기간</t>
    <phoneticPr fontId="3" type="noConversion"/>
  </si>
  <si>
    <t>인도장소</t>
    <phoneticPr fontId="3" type="noConversion"/>
  </si>
  <si>
    <t>지불조건</t>
    <phoneticPr fontId="3" type="noConversion"/>
  </si>
  <si>
    <t>설계외주</t>
    <phoneticPr fontId="3" type="noConversion"/>
  </si>
  <si>
    <t>제작외주</t>
    <phoneticPr fontId="3" type="noConversion"/>
  </si>
  <si>
    <t>전기외주</t>
    <phoneticPr fontId="3" type="noConversion"/>
  </si>
  <si>
    <t>설치외주</t>
    <phoneticPr fontId="3" type="noConversion"/>
  </si>
  <si>
    <t>기계부문</t>
    <phoneticPr fontId="3" type="noConversion"/>
  </si>
  <si>
    <t>전기부문</t>
    <phoneticPr fontId="3" type="noConversion"/>
  </si>
  <si>
    <r>
      <t xml:space="preserve">견적금액 </t>
    </r>
    <r>
      <rPr>
        <sz val="11"/>
        <rFont val="굴림"/>
        <family val="3"/>
        <charset val="129"/>
      </rPr>
      <t>(천원)</t>
    </r>
    <phoneticPr fontId="3" type="noConversion"/>
  </si>
  <si>
    <t xml:space="preserve">見  積  書   </t>
    <phoneticPr fontId="3" type="noConversion"/>
  </si>
  <si>
    <r>
      <t xml:space="preserve">관리/이윤
</t>
    </r>
    <r>
      <rPr>
        <sz val="8"/>
        <rFont val="굴림"/>
        <family val="3"/>
        <charset val="129"/>
      </rPr>
      <t>(안전관리비포함)</t>
    </r>
    <phoneticPr fontId="3" type="noConversion"/>
  </si>
  <si>
    <r>
      <t xml:space="preserve">공개입찰가 </t>
    </r>
    <r>
      <rPr>
        <sz val="10"/>
        <rFont val="굴림"/>
        <family val="3"/>
        <charset val="129"/>
      </rPr>
      <t>(견적時 공란)</t>
    </r>
    <phoneticPr fontId="3" type="noConversion"/>
  </si>
  <si>
    <t>입하</t>
    <phoneticPr fontId="3" type="noConversion"/>
  </si>
  <si>
    <t>최종검수</t>
    <phoneticPr fontId="3" type="noConversion"/>
  </si>
  <si>
    <t>(현대/기아차 설비협력업체 견적통일양식)</t>
    <phoneticPr fontId="3" type="noConversion"/>
  </si>
  <si>
    <t>1식</t>
  </si>
  <si>
    <r>
      <t xml:space="preserve">외주계획 업체명 </t>
    </r>
    <r>
      <rPr>
        <sz val="10"/>
        <rFont val="굴림"/>
        <family val="3"/>
        <charset val="129"/>
      </rPr>
      <t>(자작時 공란)</t>
    </r>
    <phoneticPr fontId="3" type="noConversion"/>
  </si>
  <si>
    <t>상세품목내역</t>
    <phoneticPr fontId="3" type="noConversion"/>
  </si>
  <si>
    <t>이         윤</t>
    <phoneticPr fontId="3" type="noConversion"/>
  </si>
  <si>
    <t>합         계</t>
    <phoneticPr fontId="3" type="noConversion"/>
  </si>
  <si>
    <t>공 사 명:</t>
    <phoneticPr fontId="3" type="noConversion"/>
  </si>
  <si>
    <t>견적금액:</t>
    <phoneticPr fontId="3" type="noConversion"/>
  </si>
  <si>
    <t>(첨부)</t>
    <phoneticPr fontId="3" type="noConversion"/>
  </si>
  <si>
    <r>
      <t xml:space="preserve">제출후 </t>
    </r>
    <r>
      <rPr>
        <sz val="11"/>
        <rFont val="굴림"/>
        <family val="3"/>
        <charset val="129"/>
      </rPr>
      <t>1개월</t>
    </r>
    <phoneticPr fontId="3" type="noConversion"/>
  </si>
  <si>
    <t>귀사정기결재조건</t>
    <phoneticPr fontId="3" type="noConversion"/>
  </si>
  <si>
    <t>기타자재</t>
    <phoneticPr fontId="3" type="noConversion"/>
  </si>
  <si>
    <t>구분</t>
    <phoneticPr fontId="3" type="noConversion"/>
  </si>
  <si>
    <t>규격</t>
    <phoneticPr fontId="3" type="noConversion"/>
  </si>
  <si>
    <t>단위</t>
    <phoneticPr fontId="3" type="noConversion"/>
  </si>
  <si>
    <t>단가(원)</t>
    <phoneticPr fontId="3" type="noConversion"/>
  </si>
  <si>
    <t>금액(원)</t>
    <phoneticPr fontId="3" type="noConversion"/>
  </si>
  <si>
    <t>자
재
비</t>
    <phoneticPr fontId="3" type="noConversion"/>
  </si>
  <si>
    <t>철자재</t>
    <phoneticPr fontId="3" type="noConversion"/>
  </si>
  <si>
    <t>자재비 소계</t>
    <phoneticPr fontId="3" type="noConversion"/>
  </si>
  <si>
    <t>기존설비 철거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</si>
  <si>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</si>
  <si>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</si>
  <si>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이         윤</t>
    <phoneticPr fontId="3" type="noConversion"/>
  </si>
  <si>
    <t>합         계</t>
    <phoneticPr fontId="3" type="noConversion"/>
  </si>
  <si>
    <r>
      <t>3-1.단위장비명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</si>
  <si>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3-2.단위장비명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</si>
  <si>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</si>
  <si>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</si>
  <si>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</si>
  <si>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</si>
  <si>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</si>
  <si>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</si>
  <si>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</si>
  <si>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</si>
  <si>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</si>
  <si>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자재비 소계</t>
    <phoneticPr fontId="3" type="noConversion"/>
  </si>
  <si>
    <t>노
무
비</t>
    <phoneticPr fontId="3" type="noConversion"/>
  </si>
  <si>
    <t>기존설비 철거</t>
    <phoneticPr fontId="3" type="noConversion"/>
  </si>
  <si>
    <t>M/D</t>
    <phoneticPr fontId="3" type="noConversion"/>
  </si>
  <si>
    <t>기계 설계</t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</si>
  <si>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</si>
  <si>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</si>
  <si>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</si>
  <si>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</si>
  <si>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</si>
  <si>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</si>
  <si>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</si>
  <si>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일반관리비</t>
    <phoneticPr fontId="3" type="noConversion"/>
  </si>
  <si>
    <t>이         윤</t>
    <phoneticPr fontId="3" type="noConversion"/>
  </si>
  <si>
    <t>합         계</t>
    <phoneticPr fontId="3" type="noConversion"/>
  </si>
  <si>
    <r>
      <t>3-3.단위장비명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</si>
  <si>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3-4.단위장비명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</si>
  <si>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</si>
  <si>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</si>
  <si>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</si>
  <si>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</si>
  <si>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</si>
  <si>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</si>
  <si>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</si>
  <si>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</si>
  <si>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</si>
  <si>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노
무
비</t>
    <phoneticPr fontId="3" type="noConversion"/>
  </si>
  <si>
    <t>기존설비 철거</t>
    <phoneticPr fontId="3" type="noConversion"/>
  </si>
  <si>
    <t>M/D</t>
    <phoneticPr fontId="3" type="noConversion"/>
  </si>
  <si>
    <t>기계 설계</t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</si>
  <si>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</si>
  <si>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</si>
  <si>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</si>
  <si>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</si>
  <si>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</si>
  <si>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노무비 소계</t>
    <phoneticPr fontId="3" type="noConversion"/>
  </si>
  <si>
    <t>일반관리비</t>
    <phoneticPr fontId="3" type="noConversion"/>
  </si>
  <si>
    <r>
      <t>3-5.단위장비명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</si>
  <si>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3-8.단위장비명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</si>
  <si>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3-9.단위장비명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</si>
  <si>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</si>
  <si>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</si>
  <si>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</si>
  <si>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</si>
  <si>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</si>
  <si>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</si>
  <si>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</si>
  <si>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</si>
  <si>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</si>
  <si>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</si>
  <si>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</si>
  <si>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구매품</t>
    <phoneticPr fontId="3" type="noConversion"/>
  </si>
  <si>
    <t>(유공압품외)</t>
    <phoneticPr fontId="3" type="noConversion"/>
  </si>
  <si>
    <t>외주제작품</t>
    <phoneticPr fontId="3" type="noConversion"/>
  </si>
  <si>
    <t>자재비 소계</t>
    <phoneticPr fontId="3" type="noConversion"/>
  </si>
  <si>
    <t>노
무
비</t>
    <phoneticPr fontId="3" type="noConversion"/>
  </si>
  <si>
    <t>기존설비 철거</t>
    <phoneticPr fontId="3" type="noConversion"/>
  </si>
  <si>
    <t>M/D</t>
    <phoneticPr fontId="3" type="noConversion"/>
  </si>
  <si>
    <t>기계 설계</t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</si>
  <si>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</si>
  <si>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</si>
  <si>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</si>
  <si>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</si>
  <si>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</si>
  <si>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</si>
  <si>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</si>
  <si>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일반관리비</t>
    <phoneticPr fontId="3" type="noConversion"/>
  </si>
  <si>
    <t>이         윤</t>
    <phoneticPr fontId="3" type="noConversion"/>
  </si>
  <si>
    <t>합         계</t>
    <phoneticPr fontId="3" type="noConversion"/>
  </si>
  <si>
    <r>
      <t>3-10.단위장비명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</si>
  <si>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3-11.단위장비명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</si>
  <si>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4. 전기부문:</t>
    <phoneticPr fontId="3" type="noConversion"/>
  </si>
  <si>
    <t>전기부문(공통)</t>
    <phoneticPr fontId="3" type="noConversion"/>
  </si>
  <si>
    <t>전기자재</t>
    <phoneticPr fontId="3" type="noConversion"/>
  </si>
  <si>
    <t>전기 설계/프로그램</t>
    <phoneticPr fontId="3" type="noConversion"/>
  </si>
  <si>
    <t>전기 제작</t>
    <phoneticPr fontId="3" type="noConversion"/>
  </si>
  <si>
    <t>전기 조립</t>
    <phoneticPr fontId="3" type="noConversion"/>
  </si>
  <si>
    <t>전기 설치</t>
    <phoneticPr fontId="3" type="noConversion"/>
  </si>
  <si>
    <t>전기 시운전</t>
    <phoneticPr fontId="3" type="noConversion"/>
  </si>
  <si>
    <t>* 기계부문에 포함시킴</t>
    <phoneticPr fontId="3" type="noConversion"/>
  </si>
  <si>
    <r>
      <t>2. 단위장비별 견적가 종합</t>
    </r>
    <r>
      <rPr>
        <b/>
        <sz val="12"/>
        <color indexed="8"/>
        <rFont val="굴림"/>
        <family val="3"/>
        <charset val="129"/>
      </rPr>
      <t>(상세견적 첨부)</t>
    </r>
    <phoneticPr fontId="3" type="noConversion"/>
  </si>
  <si>
    <t>단위:원</t>
    <phoneticPr fontId="3" type="noConversion"/>
  </si>
  <si>
    <t>포장/운송</t>
    <phoneticPr fontId="3" type="noConversion"/>
  </si>
  <si>
    <t>표준안전</t>
    <phoneticPr fontId="3" type="noConversion"/>
  </si>
  <si>
    <t>순번</t>
    <phoneticPr fontId="3" type="noConversion"/>
  </si>
  <si>
    <t>단위장비명</t>
    <phoneticPr fontId="3" type="noConversion"/>
  </si>
  <si>
    <t>자재비</t>
    <phoneticPr fontId="3" type="noConversion"/>
  </si>
  <si>
    <t>철거</t>
    <phoneticPr fontId="3" type="noConversion"/>
  </si>
  <si>
    <t>제작</t>
    <phoneticPr fontId="3" type="noConversion"/>
  </si>
  <si>
    <t>설치/시운전</t>
    <phoneticPr fontId="3" type="noConversion"/>
  </si>
  <si>
    <t>양산대응</t>
    <phoneticPr fontId="3" type="noConversion"/>
  </si>
  <si>
    <t>중장비사용</t>
    <phoneticPr fontId="3" type="noConversion"/>
  </si>
  <si>
    <t>기계소계</t>
    <phoneticPr fontId="3" type="noConversion"/>
  </si>
  <si>
    <t>전기소계</t>
    <phoneticPr fontId="3" type="noConversion"/>
  </si>
  <si>
    <t>관리비</t>
    <phoneticPr fontId="3" type="noConversion"/>
  </si>
  <si>
    <t>이윤(기계)</t>
    <phoneticPr fontId="3" type="noConversion"/>
  </si>
  <si>
    <t>합  계</t>
    <phoneticPr fontId="3" type="noConversion"/>
  </si>
  <si>
    <t>비  고</t>
    <phoneticPr fontId="3" type="noConversion"/>
  </si>
  <si>
    <t>합   계</t>
    <phoneticPr fontId="3" type="noConversion"/>
  </si>
  <si>
    <t xml:space="preserve"> 주) 전기비용은 턴키장비의 공통비용으로서 총 전기비용을 단위장비별 기계금액의 비율에 따라 배분함</t>
    <phoneticPr fontId="3" type="noConversion"/>
  </si>
  <si>
    <r>
      <t>1. 원가항목별 견적가 종합</t>
    </r>
    <r>
      <rPr>
        <b/>
        <sz val="12"/>
        <color indexed="8"/>
        <rFont val="굴림"/>
        <family val="3"/>
        <charset val="129"/>
      </rPr>
      <t>(상세견적 첨부)</t>
    </r>
    <phoneticPr fontId="3" type="noConversion"/>
  </si>
  <si>
    <t>원가구분</t>
    <phoneticPr fontId="3" type="noConversion"/>
  </si>
  <si>
    <t>단가</t>
    <phoneticPr fontId="3" type="noConversion"/>
  </si>
  <si>
    <r>
      <t>금  액</t>
    </r>
    <r>
      <rPr>
        <sz val="11"/>
        <rFont val="굴림"/>
        <family val="3"/>
        <charset val="129"/>
      </rPr>
      <t>(원)</t>
    </r>
    <phoneticPr fontId="3" type="noConversion"/>
  </si>
  <si>
    <r>
      <t xml:space="preserve">비 </t>
    </r>
    <r>
      <rPr>
        <sz val="11"/>
        <rFont val="굴림"/>
        <family val="3"/>
        <charset val="129"/>
      </rPr>
      <t xml:space="preserve"> 고</t>
    </r>
    <phoneticPr fontId="3" type="noConversion"/>
  </si>
  <si>
    <r>
      <t>철자재(</t>
    </r>
    <r>
      <rPr>
        <sz val="11"/>
        <rFont val="굴림"/>
        <family val="3"/>
        <charset val="129"/>
      </rPr>
      <t>SS.SUS등)</t>
    </r>
    <phoneticPr fontId="3" type="noConversion"/>
  </si>
  <si>
    <t>kg</t>
    <phoneticPr fontId="3" type="noConversion"/>
  </si>
  <si>
    <t>일반구매품</t>
    <phoneticPr fontId="3" type="noConversion"/>
  </si>
  <si>
    <t>식</t>
    <phoneticPr fontId="3" type="noConversion"/>
  </si>
  <si>
    <r>
      <t>소</t>
    </r>
    <r>
      <rPr>
        <sz val="11"/>
        <rFont val="굴림"/>
        <family val="3"/>
        <charset val="129"/>
      </rPr>
      <t>계</t>
    </r>
    <phoneticPr fontId="3" type="noConversion"/>
  </si>
  <si>
    <t>노무비</t>
    <phoneticPr fontId="3" type="noConversion"/>
  </si>
  <si>
    <t>설계</t>
    <phoneticPr fontId="3" type="noConversion"/>
  </si>
  <si>
    <t>제작(제관,가공)</t>
    <phoneticPr fontId="3" type="noConversion"/>
  </si>
  <si>
    <t>조립</t>
    <phoneticPr fontId="3" type="noConversion"/>
  </si>
  <si>
    <t>설치</t>
    <phoneticPr fontId="3" type="noConversion"/>
  </si>
  <si>
    <t>시운전</t>
    <phoneticPr fontId="3" type="noConversion"/>
  </si>
  <si>
    <t>도장</t>
    <phoneticPr fontId="3" type="noConversion"/>
  </si>
  <si>
    <t>일반관리 및 이윤</t>
    <phoneticPr fontId="3" type="noConversion"/>
  </si>
  <si>
    <t>기계 소계</t>
    <phoneticPr fontId="3" type="noConversion"/>
  </si>
  <si>
    <t>기계/전기자재</t>
    <phoneticPr fontId="3" type="noConversion"/>
  </si>
  <si>
    <t>철거(개조시)</t>
    <phoneticPr fontId="3" type="noConversion"/>
  </si>
  <si>
    <t>설계,프로그램</t>
    <phoneticPr fontId="3" type="noConversion"/>
  </si>
  <si>
    <t>소계</t>
    <phoneticPr fontId="3" type="noConversion"/>
  </si>
  <si>
    <t>전기 소계</t>
    <phoneticPr fontId="3" type="noConversion"/>
  </si>
  <si>
    <t>자재비 합계</t>
    <phoneticPr fontId="3" type="noConversion"/>
  </si>
  <si>
    <t>노무비 합계</t>
    <phoneticPr fontId="3" type="noConversion"/>
  </si>
  <si>
    <r>
      <t xml:space="preserve">중간 </t>
    </r>
    <r>
      <rPr>
        <sz val="11"/>
        <rFont val="굴림"/>
        <family val="3"/>
        <charset val="129"/>
      </rPr>
      <t xml:space="preserve"> 합계</t>
    </r>
    <phoneticPr fontId="3" type="noConversion"/>
  </si>
  <si>
    <t>포장,운송 및 중장비 사용료</t>
    <phoneticPr fontId="3" type="noConversion"/>
  </si>
  <si>
    <r>
      <t xml:space="preserve">이 </t>
    </r>
    <r>
      <rPr>
        <sz val="11"/>
        <rFont val="굴림"/>
        <family val="3"/>
        <charset val="129"/>
      </rPr>
      <t xml:space="preserve">        윤</t>
    </r>
    <phoneticPr fontId="3" type="noConversion"/>
  </si>
  <si>
    <r>
      <t xml:space="preserve">합 </t>
    </r>
    <r>
      <rPr>
        <sz val="11"/>
        <rFont val="굴림"/>
        <family val="3"/>
        <charset val="129"/>
      </rPr>
      <t xml:space="preserve">        계</t>
    </r>
    <phoneticPr fontId="3" type="noConversion"/>
  </si>
  <si>
    <t>3~7항 합계</t>
    <phoneticPr fontId="3" type="noConversion"/>
  </si>
  <si>
    <r>
      <t>주</t>
    </r>
    <r>
      <rPr>
        <sz val="11"/>
        <rFont val="굴림"/>
        <family val="3"/>
        <charset val="129"/>
      </rPr>
      <t>1. 표준안전관리비:(재료비+직접노무비)의 ⓐ2.66%,ⓑ1.95%+기초액,ⓒ2.02%(50억 이상일경우)</t>
    </r>
    <phoneticPr fontId="3" type="noConversion"/>
  </si>
  <si>
    <r>
      <t>주2</t>
    </r>
    <r>
      <rPr>
        <sz val="11"/>
        <rFont val="굴림"/>
        <family val="3"/>
        <charset val="129"/>
      </rPr>
      <t>. 제작을 전량 외주할경우 자재비중 [외주제작품] 항목은 삭제함</t>
    </r>
    <phoneticPr fontId="3" type="noConversion"/>
  </si>
  <si>
    <t>견적 합계</t>
    <phoneticPr fontId="3" type="noConversion"/>
  </si>
  <si>
    <t>EA</t>
    <phoneticPr fontId="3" type="noConversion"/>
  </si>
  <si>
    <t>〃</t>
    <phoneticPr fontId="3" type="noConversion"/>
  </si>
  <si>
    <t>PLATE</t>
    <phoneticPr fontId="3" type="noConversion"/>
  </si>
  <si>
    <t>KG</t>
    <phoneticPr fontId="3" type="noConversion"/>
  </si>
  <si>
    <t>EA</t>
    <phoneticPr fontId="3" type="noConversion"/>
  </si>
  <si>
    <t>〃</t>
    <phoneticPr fontId="3" type="noConversion"/>
  </si>
  <si>
    <t>%</t>
    <phoneticPr fontId="3" type="noConversion"/>
  </si>
  <si>
    <t>EA</t>
    <phoneticPr fontId="3" type="noConversion"/>
  </si>
  <si>
    <t>〃</t>
    <phoneticPr fontId="3" type="noConversion"/>
  </si>
  <si>
    <t>%</t>
    <phoneticPr fontId="3" type="noConversion"/>
  </si>
  <si>
    <t>(첨부)</t>
    <phoneticPr fontId="3" type="noConversion"/>
  </si>
  <si>
    <t>구분</t>
    <phoneticPr fontId="3" type="noConversion"/>
  </si>
  <si>
    <t>품  명</t>
    <phoneticPr fontId="3" type="noConversion"/>
  </si>
  <si>
    <t>규격</t>
    <phoneticPr fontId="3" type="noConversion"/>
  </si>
  <si>
    <t>단위</t>
    <phoneticPr fontId="3" type="noConversion"/>
  </si>
  <si>
    <t>수량</t>
    <phoneticPr fontId="3" type="noConversion"/>
  </si>
  <si>
    <t>단가(원)</t>
    <phoneticPr fontId="3" type="noConversion"/>
  </si>
  <si>
    <t>금액(원)</t>
    <phoneticPr fontId="3" type="noConversion"/>
  </si>
  <si>
    <t>原MAKER</t>
    <phoneticPr fontId="3" type="noConversion"/>
  </si>
  <si>
    <t>자
재
비</t>
    <phoneticPr fontId="3" type="noConversion"/>
  </si>
  <si>
    <t>철자재</t>
    <phoneticPr fontId="3" type="noConversion"/>
  </si>
  <si>
    <t>PLATE</t>
    <phoneticPr fontId="3" type="noConversion"/>
  </si>
  <si>
    <t>KG</t>
    <phoneticPr fontId="3" type="noConversion"/>
  </si>
  <si>
    <t>기타자재</t>
    <phoneticPr fontId="3" type="noConversion"/>
  </si>
  <si>
    <t>SET</t>
    <phoneticPr fontId="3" type="noConversion"/>
  </si>
  <si>
    <t>구매품</t>
    <phoneticPr fontId="3" type="noConversion"/>
  </si>
  <si>
    <t>(유공압품외)</t>
    <phoneticPr fontId="3" type="noConversion"/>
  </si>
  <si>
    <t>외주제작품</t>
    <phoneticPr fontId="3" type="noConversion"/>
  </si>
  <si>
    <t>자재비 소계</t>
    <phoneticPr fontId="3" type="noConversion"/>
  </si>
  <si>
    <t>노
무
비</t>
    <phoneticPr fontId="3" type="noConversion"/>
  </si>
  <si>
    <t>기존설비 철거</t>
    <phoneticPr fontId="3" type="noConversion"/>
  </si>
  <si>
    <t>M/D</t>
    <phoneticPr fontId="3" type="noConversion"/>
  </si>
  <si>
    <t>기계 설계</t>
    <phoneticPr fontId="3" type="noConversion"/>
  </si>
  <si>
    <t>기계 조립</t>
    <phoneticPr fontId="3" type="noConversion"/>
  </si>
  <si>
    <t>기계 설치</t>
    <phoneticPr fontId="3" type="noConversion"/>
  </si>
  <si>
    <t>기계 시운전</t>
    <phoneticPr fontId="3" type="noConversion"/>
  </si>
  <si>
    <t>기계 양산대응</t>
    <phoneticPr fontId="3" type="noConversion"/>
  </si>
  <si>
    <t>기계 도장</t>
    <phoneticPr fontId="3" type="noConversion"/>
  </si>
  <si>
    <t>노무비 소계</t>
    <phoneticPr fontId="3" type="noConversion"/>
  </si>
  <si>
    <t>운반및중장비사용,표준안전관리비</t>
    <phoneticPr fontId="3" type="noConversion"/>
  </si>
  <si>
    <t>업체명 : 코리아 고꾸사이㈜</t>
    <phoneticPr fontId="3" type="noConversion"/>
  </si>
  <si>
    <t>대표이사 : 마쯔모토 시게루</t>
    <phoneticPr fontId="3" type="noConversion"/>
  </si>
  <si>
    <t>주소 : 대구광역시 달서구 호림동 5-6번지</t>
    <phoneticPr fontId="3" type="noConversion"/>
  </si>
  <si>
    <t>전화 : 053-584-9955</t>
    <phoneticPr fontId="3" type="noConversion"/>
  </si>
  <si>
    <t>FAX : 053-588-9955</t>
    <phoneticPr fontId="3" type="noConversion"/>
  </si>
  <si>
    <t>SMC</t>
    <phoneticPr fontId="3" type="noConversion"/>
  </si>
  <si>
    <t>〃</t>
    <phoneticPr fontId="51"/>
  </si>
  <si>
    <t>〃</t>
    <phoneticPr fontId="3" type="noConversion"/>
  </si>
  <si>
    <t>〃</t>
    <phoneticPr fontId="51"/>
  </si>
  <si>
    <t>〃</t>
    <phoneticPr fontId="3" type="noConversion"/>
  </si>
  <si>
    <t>THK</t>
    <phoneticPr fontId="3" type="noConversion"/>
  </si>
  <si>
    <t>기타자재</t>
    <phoneticPr fontId="3" type="noConversion"/>
  </si>
  <si>
    <t>외주제작품</t>
    <phoneticPr fontId="3" type="noConversion"/>
  </si>
  <si>
    <t>〃</t>
    <phoneticPr fontId="3" type="noConversion"/>
  </si>
  <si>
    <t>자재비 소계</t>
    <phoneticPr fontId="3" type="noConversion"/>
  </si>
  <si>
    <t>〃</t>
    <phoneticPr fontId="3" type="noConversion"/>
  </si>
  <si>
    <t>〃</t>
    <phoneticPr fontId="3" type="noConversion"/>
  </si>
  <si>
    <t>PALTE</t>
    <phoneticPr fontId="3" type="noConversion"/>
  </si>
  <si>
    <t>시운전</t>
    <phoneticPr fontId="3" type="noConversion"/>
  </si>
  <si>
    <t>양산대응</t>
    <phoneticPr fontId="3" type="noConversion"/>
  </si>
  <si>
    <t>기계양산대응</t>
    <phoneticPr fontId="3" type="noConversion"/>
  </si>
  <si>
    <t>1식</t>
    <phoneticPr fontId="3" type="noConversion"/>
  </si>
  <si>
    <r>
      <t>3-13.단위장비명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</si>
  <si>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기계 설계</t>
    <phoneticPr fontId="3" type="noConversion"/>
  </si>
  <si>
    <t>기계 조립</t>
    <phoneticPr fontId="3" type="noConversion"/>
  </si>
  <si>
    <t>배관자재</t>
    <phoneticPr fontId="3" type="noConversion"/>
  </si>
  <si>
    <t>M</t>
    <phoneticPr fontId="3" type="noConversion"/>
  </si>
  <si>
    <t>〃</t>
  </si>
  <si>
    <t xml:space="preserve">〃 </t>
    <phoneticPr fontId="3" type="noConversion"/>
  </si>
  <si>
    <t>배선자재</t>
    <phoneticPr fontId="3" type="noConversion"/>
  </si>
  <si>
    <t>배선 자재</t>
    <phoneticPr fontId="3" type="noConversion"/>
  </si>
  <si>
    <t>기계 조립</t>
    <phoneticPr fontId="3" type="noConversion"/>
  </si>
  <si>
    <t>배선</t>
    <phoneticPr fontId="3" type="noConversion"/>
  </si>
  <si>
    <t>SMC</t>
    <phoneticPr fontId="52"/>
  </si>
  <si>
    <t>〃</t>
    <phoneticPr fontId="3" type="noConversion"/>
  </si>
  <si>
    <t>기타 배관자재</t>
    <phoneticPr fontId="3" type="noConversion"/>
  </si>
  <si>
    <r>
      <t>S</t>
    </r>
    <r>
      <rPr>
        <sz val="11"/>
        <rFont val="굴림"/>
        <family val="3"/>
        <charset val="129"/>
      </rPr>
      <t>ET</t>
    </r>
    <phoneticPr fontId="3" type="noConversion"/>
  </si>
  <si>
    <t>MISUMI</t>
    <phoneticPr fontId="3" type="noConversion"/>
  </si>
  <si>
    <t>견적일자</t>
    <phoneticPr fontId="3" type="noConversion"/>
  </si>
  <si>
    <t>기계시운전</t>
    <phoneticPr fontId="3" type="noConversion"/>
  </si>
  <si>
    <t>2식</t>
    <phoneticPr fontId="3" type="noConversion"/>
  </si>
  <si>
    <t>4식</t>
    <phoneticPr fontId="3" type="noConversion"/>
  </si>
  <si>
    <r>
      <t>기계 제작</t>
    </r>
    <r>
      <rPr>
        <sz val="10"/>
        <rFont val="굴림체"/>
        <family val="3"/>
        <charset val="129"/>
      </rPr>
      <t>(제관,가공)</t>
    </r>
    <phoneticPr fontId="3" type="noConversion"/>
  </si>
  <si>
    <t>기계 제작(제관, 가공)</t>
    <phoneticPr fontId="3" type="noConversion"/>
  </si>
  <si>
    <t>OMRON</t>
    <phoneticPr fontId="3" type="noConversion"/>
  </si>
  <si>
    <r>
      <t>3-6.단위장비명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</si>
  <si>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3-7.단위공사명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</si>
  <si>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r>
      <t>3-12.단위장비명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</si>
  <si>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LOT</t>
    <phoneticPr fontId="3" type="noConversion"/>
  </si>
  <si>
    <r>
      <t>3-14.단위장비명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</si>
  <si>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EA</t>
  </si>
  <si>
    <t>식</t>
  </si>
  <si>
    <t>Korea kokusai</t>
  </si>
  <si>
    <r>
      <t>3-15.단위장비명</t>
    </r>
    <r>
      <rPr>
        <b/>
        <sz val="10"/>
        <rFont val="굴림"/>
        <family val="3"/>
        <charset val="129"/>
      </rPr>
      <t>(전기제외)</t>
    </r>
    <r>
      <rPr>
        <b/>
        <sz val="12"/>
        <rFont val="굴림"/>
        <family val="3"/>
        <charset val="129"/>
      </rPr>
      <t>:</t>
    </r>
    <phoneticPr fontId="3" type="noConversion"/>
  </si>
  <si>
    <t>WEIGHT PRESS</t>
    <phoneticPr fontId="3" type="noConversion"/>
  </si>
  <si>
    <t>산업안전관리비
[일반건설공사(을)]</t>
    <phoneticPr fontId="3" type="noConversion"/>
  </si>
  <si>
    <t>기준</t>
    <phoneticPr fontId="3" type="noConversion"/>
  </si>
  <si>
    <t>안전관리비</t>
    <phoneticPr fontId="3" type="noConversion"/>
  </si>
  <si>
    <t>대상액</t>
    <phoneticPr fontId="3" type="noConversion"/>
  </si>
  <si>
    <t>비고</t>
    <phoneticPr fontId="3" type="noConversion"/>
  </si>
  <si>
    <t>계상기준1</t>
    <phoneticPr fontId="3" type="noConversion"/>
  </si>
  <si>
    <t>제작/설치 전체</t>
    <phoneticPr fontId="3" type="noConversion"/>
  </si>
  <si>
    <t>계상기준2</t>
    <phoneticPr fontId="3" type="noConversion"/>
  </si>
  <si>
    <t>당사내 설치비限</t>
    <phoneticPr fontId="3" type="noConversion"/>
  </si>
  <si>
    <r>
      <t>※ 계상기준</t>
    </r>
    <r>
      <rPr>
        <sz val="11"/>
        <rFont val="굴림"/>
        <family val="3"/>
        <charset val="129"/>
      </rPr>
      <t>1 : 대상액*요율 / 계상기준2 : 대상액*요율*1.2</t>
    </r>
    <phoneticPr fontId="3" type="noConversion"/>
  </si>
  <si>
    <t>加工必要資材</t>
    <phoneticPr fontId="3" type="noConversion"/>
  </si>
  <si>
    <t>加工不要資材</t>
    <phoneticPr fontId="3" type="noConversion"/>
  </si>
  <si>
    <r>
      <t>旣加工S</t>
    </r>
    <r>
      <rPr>
        <sz val="11"/>
        <rFont val="굴림"/>
        <family val="3"/>
        <charset val="129"/>
      </rPr>
      <t>UB</t>
    </r>
    <r>
      <rPr>
        <sz val="11"/>
        <rFont val="굴림"/>
        <family val="3"/>
        <charset val="129"/>
      </rPr>
      <t>資材</t>
    </r>
    <phoneticPr fontId="3" type="noConversion"/>
  </si>
  <si>
    <t>설치/해체 공사 자재</t>
    <phoneticPr fontId="3" type="noConversion"/>
  </si>
  <si>
    <t>시운전 자재 포함</t>
    <phoneticPr fontId="3" type="noConversion"/>
  </si>
  <si>
    <t>설치/철거/수리금액 기준</t>
    <phoneticPr fontId="3" type="noConversion"/>
  </si>
  <si>
    <t>협의</t>
    <phoneticPr fontId="3" type="noConversion"/>
  </si>
  <si>
    <t>연락처 : 010-2520-3186</t>
    <phoneticPr fontId="3" type="noConversion"/>
  </si>
  <si>
    <t>2식</t>
    <phoneticPr fontId="3" type="noConversion"/>
  </si>
  <si>
    <t>SET</t>
    <phoneticPr fontId="3" type="noConversion"/>
  </si>
  <si>
    <t>EA</t>
    <phoneticPr fontId="3" type="noConversion"/>
  </si>
  <si>
    <t>전기 설계</t>
    <phoneticPr fontId="3" type="noConversion"/>
  </si>
  <si>
    <r>
      <t>전기 제작</t>
    </r>
    <r>
      <rPr>
        <sz val="10"/>
        <rFont val="굴림체"/>
        <family val="3"/>
        <charset val="129"/>
      </rPr>
      <t>(제관,가공)</t>
    </r>
    <phoneticPr fontId="3" type="noConversion"/>
  </si>
  <si>
    <t>전기 조립</t>
    <phoneticPr fontId="3" type="noConversion"/>
  </si>
  <si>
    <t>전기 설치</t>
    <phoneticPr fontId="3" type="noConversion"/>
  </si>
  <si>
    <t>시운전</t>
    <phoneticPr fontId="3" type="noConversion"/>
  </si>
  <si>
    <t>양산대응</t>
    <phoneticPr fontId="3" type="noConversion"/>
  </si>
  <si>
    <t>KOREA KOKUSAI</t>
    <phoneticPr fontId="3" type="noConversion"/>
  </si>
  <si>
    <t>SMC</t>
    <phoneticPr fontId="3" type="noConversion"/>
  </si>
  <si>
    <t>MISUMI</t>
    <phoneticPr fontId="3" type="noConversion"/>
  </si>
  <si>
    <t>KOYO</t>
    <phoneticPr fontId="3" type="noConversion"/>
  </si>
  <si>
    <t>NSK</t>
    <phoneticPr fontId="3" type="noConversion"/>
  </si>
  <si>
    <t>LUBO</t>
    <phoneticPr fontId="3" type="noConversion"/>
  </si>
  <si>
    <t>DONG IL</t>
    <phoneticPr fontId="3" type="noConversion"/>
  </si>
  <si>
    <t>SUMITOMO</t>
    <phoneticPr fontId="3" type="noConversion"/>
  </si>
  <si>
    <t>OMRON</t>
    <phoneticPr fontId="3" type="noConversion"/>
  </si>
  <si>
    <t>KS</t>
    <phoneticPr fontId="3" type="noConversion"/>
  </si>
  <si>
    <t>KBC</t>
    <phoneticPr fontId="3" type="noConversion"/>
  </si>
  <si>
    <t>EA</t>
    <phoneticPr fontId="3" type="noConversion"/>
  </si>
  <si>
    <t>현대위아(주) 貴下</t>
    <phoneticPr fontId="3" type="noConversion"/>
  </si>
  <si>
    <t>MAIN CONTROL BOX</t>
    <phoneticPr fontId="3" type="noConversion"/>
  </si>
  <si>
    <t>1790*2000*600</t>
    <phoneticPr fontId="67" type="noConversion"/>
  </si>
  <si>
    <t>〃</t>
    <phoneticPr fontId="3" type="noConversion"/>
  </si>
  <si>
    <t>OP PANEL BOX</t>
    <phoneticPr fontId="49"/>
  </si>
  <si>
    <t>794*2000*600</t>
    <phoneticPr fontId="67" type="noConversion"/>
  </si>
  <si>
    <t>REMOTE BOX1</t>
    <phoneticPr fontId="67" type="noConversion"/>
  </si>
  <si>
    <t>775*400*160</t>
    <phoneticPr fontId="67" type="noConversion"/>
  </si>
  <si>
    <t>REMOTE BOX3</t>
    <phoneticPr fontId="67" type="noConversion"/>
  </si>
  <si>
    <t>1000*700*250</t>
    <phoneticPr fontId="67" type="noConversion"/>
  </si>
  <si>
    <t>1000*400*160</t>
    <phoneticPr fontId="67" type="noConversion"/>
  </si>
  <si>
    <t>966*400*160</t>
    <phoneticPr fontId="67" type="noConversion"/>
  </si>
  <si>
    <t>TB BOX</t>
    <phoneticPr fontId="67" type="noConversion"/>
  </si>
  <si>
    <t>180*450*90</t>
    <phoneticPr fontId="67" type="noConversion"/>
  </si>
  <si>
    <t>350*180*90</t>
    <phoneticPr fontId="67" type="noConversion"/>
  </si>
  <si>
    <t>120*250*90</t>
    <phoneticPr fontId="67" type="noConversion"/>
  </si>
  <si>
    <t>200*150*90</t>
    <phoneticPr fontId="67" type="noConversion"/>
  </si>
  <si>
    <t>메인 MCCE 취부</t>
    <phoneticPr fontId="67" type="noConversion"/>
  </si>
  <si>
    <t>910*250*450</t>
    <phoneticPr fontId="67" type="noConversion"/>
  </si>
  <si>
    <t xml:space="preserve">PANEL DUCT </t>
    <phoneticPr fontId="68" type="noConversion"/>
  </si>
  <si>
    <t>TA2307044</t>
    <phoneticPr fontId="68" type="noConversion"/>
  </si>
  <si>
    <t>PANEL DUCT COVER</t>
    <phoneticPr fontId="68" type="noConversion"/>
  </si>
  <si>
    <t>TA2307045</t>
    <phoneticPr fontId="68" type="noConversion"/>
  </si>
  <si>
    <t>상부 DUCT A</t>
    <phoneticPr fontId="68" type="noConversion"/>
  </si>
  <si>
    <t>TA2307046</t>
  </si>
  <si>
    <t>상부 DUCT SUPPORT BRACKET</t>
    <phoneticPr fontId="68" type="noConversion"/>
  </si>
  <si>
    <t>TA2307047</t>
  </si>
  <si>
    <t>상부 DUCT B</t>
    <phoneticPr fontId="68" type="noConversion"/>
  </si>
  <si>
    <t>TA2307048</t>
  </si>
  <si>
    <t>상부 DUCT C</t>
    <phoneticPr fontId="68" type="noConversion"/>
  </si>
  <si>
    <t>TA2307049</t>
  </si>
  <si>
    <t>DUCT SUPPORT BRACKET</t>
    <phoneticPr fontId="68" type="noConversion"/>
  </si>
  <si>
    <t>TA2307050</t>
  </si>
  <si>
    <t>DUCT COVER 1</t>
    <phoneticPr fontId="68" type="noConversion"/>
  </si>
  <si>
    <t>TA2307051</t>
  </si>
  <si>
    <t>DUCT COVER 2</t>
    <phoneticPr fontId="68" type="noConversion"/>
  </si>
  <si>
    <t>TA2307052</t>
  </si>
  <si>
    <t>TA2307053</t>
  </si>
  <si>
    <t>WASHER</t>
    <phoneticPr fontId="68" type="noConversion"/>
  </si>
  <si>
    <t>TA2307059</t>
  </si>
  <si>
    <t xml:space="preserve">연결 DUCT </t>
    <phoneticPr fontId="68" type="noConversion"/>
  </si>
  <si>
    <t>TA2307061</t>
    <phoneticPr fontId="68" type="noConversion"/>
  </si>
  <si>
    <t xml:space="preserve">END BRACKET  </t>
    <phoneticPr fontId="68" type="noConversion"/>
  </si>
  <si>
    <t>TA2307062</t>
  </si>
  <si>
    <t>AIR PIPE SUPPORT BRACKET 1</t>
    <phoneticPr fontId="68" type="noConversion"/>
  </si>
  <si>
    <t>TA2307065</t>
    <phoneticPr fontId="68" type="noConversion"/>
  </si>
  <si>
    <t>KOREA KOKUSAI</t>
    <phoneticPr fontId="3" type="noConversion"/>
  </si>
  <si>
    <t>ELB</t>
    <phoneticPr fontId="3" type="noConversion"/>
  </si>
  <si>
    <t>ELB53/50A</t>
    <phoneticPr fontId="3" type="noConversion"/>
  </si>
  <si>
    <t>EA</t>
    <phoneticPr fontId="3" type="noConversion"/>
  </si>
  <si>
    <t>ELB HANDLE</t>
    <phoneticPr fontId="3" type="noConversion"/>
  </si>
  <si>
    <t>D-35S</t>
    <phoneticPr fontId="3" type="noConversion"/>
  </si>
  <si>
    <t>COVER</t>
    <phoneticPr fontId="3" type="noConversion"/>
  </si>
  <si>
    <t>TBL/S-33B</t>
    <phoneticPr fontId="3" type="noConversion"/>
  </si>
  <si>
    <t>제어반조명</t>
    <phoneticPr fontId="3" type="noConversion"/>
  </si>
  <si>
    <t>QELS-300</t>
    <phoneticPr fontId="3" type="noConversion"/>
  </si>
  <si>
    <t>CIRCUIT PORTECTOR</t>
    <phoneticPr fontId="3" type="noConversion"/>
  </si>
  <si>
    <t>GCP32/10A</t>
    <phoneticPr fontId="3" type="noConversion"/>
  </si>
  <si>
    <t>GCP32/5A</t>
    <phoneticPr fontId="3" type="noConversion"/>
  </si>
  <si>
    <t>NOISE FILTER</t>
    <phoneticPr fontId="3" type="noConversion"/>
  </si>
  <si>
    <t>SN-E10H-CN</t>
    <phoneticPr fontId="3" type="noConversion"/>
  </si>
  <si>
    <t>POWER SUPPLY</t>
    <phoneticPr fontId="3" type="noConversion"/>
  </si>
  <si>
    <t>S8VS-18024A</t>
    <phoneticPr fontId="3" type="noConversion"/>
  </si>
  <si>
    <t>CONSENT</t>
    <phoneticPr fontId="3" type="noConversion"/>
  </si>
  <si>
    <t>220V 노출접지</t>
    <phoneticPr fontId="3" type="noConversion"/>
  </si>
  <si>
    <t>HUB</t>
    <phoneticPr fontId="3" type="noConversion"/>
  </si>
  <si>
    <t>IES10-SW8</t>
    <phoneticPr fontId="3" type="noConversion"/>
  </si>
  <si>
    <t>LIMIT S/W</t>
    <phoneticPr fontId="3" type="noConversion"/>
  </si>
  <si>
    <t>TCZ-L12</t>
    <phoneticPr fontId="3" type="noConversion"/>
  </si>
  <si>
    <t>NO FUSE BRAKER</t>
    <phoneticPr fontId="3" type="noConversion"/>
  </si>
  <si>
    <t>ABS33B 5A</t>
    <phoneticPr fontId="3" type="noConversion"/>
  </si>
  <si>
    <t>ABS33B 10A</t>
    <phoneticPr fontId="3" type="noConversion"/>
  </si>
  <si>
    <t>ABS33B 30A</t>
    <phoneticPr fontId="3" type="noConversion"/>
  </si>
  <si>
    <t>ABS33B 50A</t>
    <phoneticPr fontId="3" type="noConversion"/>
  </si>
  <si>
    <t>MAGNET CONTACTOR</t>
    <phoneticPr fontId="3" type="noConversion"/>
  </si>
  <si>
    <t>MC-12 COIL 24V</t>
    <phoneticPr fontId="3" type="noConversion"/>
  </si>
  <si>
    <t>MC-22 COIL 24V</t>
    <phoneticPr fontId="3" type="noConversion"/>
  </si>
  <si>
    <t>MC-32 COIL 24V</t>
    <phoneticPr fontId="3" type="noConversion"/>
  </si>
  <si>
    <t>RELAY</t>
    <phoneticPr fontId="3" type="noConversion"/>
  </si>
  <si>
    <t>LY4N-DC 24V</t>
    <phoneticPr fontId="3" type="noConversion"/>
  </si>
  <si>
    <t>RELAY SOCKET</t>
    <phoneticPr fontId="3" type="noConversion"/>
  </si>
  <si>
    <t>PTF-14A</t>
    <phoneticPr fontId="3" type="noConversion"/>
  </si>
  <si>
    <t>LY2N-24V</t>
    <phoneticPr fontId="3" type="noConversion"/>
  </si>
  <si>
    <t>2260YF</t>
    <phoneticPr fontId="3" type="noConversion"/>
  </si>
  <si>
    <t>TERMINAL RELAY</t>
    <phoneticPr fontId="3" type="noConversion"/>
  </si>
  <si>
    <t>G6B-47BND</t>
    <phoneticPr fontId="3" type="noConversion"/>
  </si>
  <si>
    <t>SK3304.500</t>
    <phoneticPr fontId="3" type="noConversion"/>
  </si>
  <si>
    <t>MAIN PANEL</t>
    <phoneticPr fontId="3" type="noConversion"/>
  </si>
  <si>
    <t>AIR CONDITIONER</t>
    <phoneticPr fontId="3" type="noConversion"/>
  </si>
  <si>
    <t>LG</t>
    <phoneticPr fontId="3" type="noConversion"/>
  </si>
  <si>
    <t>Q-LIGHT</t>
    <phoneticPr fontId="3" type="noConversion"/>
  </si>
  <si>
    <t>HONEYWELL</t>
    <phoneticPr fontId="3" type="noConversion"/>
  </si>
  <si>
    <t>WOONGYOUNG</t>
    <phoneticPr fontId="3" type="noConversion"/>
  </si>
  <si>
    <t>OMRON</t>
    <phoneticPr fontId="3" type="noConversion"/>
  </si>
  <si>
    <t>WEIDMULLER</t>
    <phoneticPr fontId="3" type="noConversion"/>
  </si>
  <si>
    <t>대한</t>
    <phoneticPr fontId="3" type="noConversion"/>
  </si>
  <si>
    <t>RITTAL</t>
    <phoneticPr fontId="3" type="noConversion"/>
  </si>
  <si>
    <t>OP PANEL</t>
    <phoneticPr fontId="3" type="noConversion"/>
  </si>
  <si>
    <t>POWER KEY S/W</t>
    <phoneticPr fontId="3" type="noConversion"/>
  </si>
  <si>
    <t>KH-2202-2K</t>
    <phoneticPr fontId="3" type="noConversion"/>
  </si>
  <si>
    <t>2단 SELECT S/W</t>
    <phoneticPr fontId="3" type="noConversion"/>
  </si>
  <si>
    <t>KSL22L2</t>
    <phoneticPr fontId="3" type="noConversion"/>
  </si>
  <si>
    <t>LAMP S/W(운전준비)</t>
    <phoneticPr fontId="3" type="noConversion"/>
  </si>
  <si>
    <t>KH-2204P-TL(22mm)-G</t>
    <phoneticPr fontId="3" type="noConversion"/>
  </si>
  <si>
    <t>LAMP S/W(자동)</t>
    <phoneticPr fontId="3" type="noConversion"/>
  </si>
  <si>
    <t>LAMP S/W(싸이클정지)</t>
    <phoneticPr fontId="3" type="noConversion"/>
  </si>
  <si>
    <t>KH-2204P-TL(22mm)-R</t>
    <phoneticPr fontId="3" type="noConversion"/>
  </si>
  <si>
    <t>비상리턴 S/W</t>
    <phoneticPr fontId="3" type="noConversion"/>
  </si>
  <si>
    <t>KH-2201ER(22mm)-R</t>
    <phoneticPr fontId="3" type="noConversion"/>
  </si>
  <si>
    <t>비상정지</t>
    <phoneticPr fontId="3" type="noConversion"/>
  </si>
  <si>
    <t>KH-2201EB(22mm)-Y</t>
    <phoneticPr fontId="3" type="noConversion"/>
  </si>
  <si>
    <t>ALL HOME LAMP</t>
    <phoneticPr fontId="3" type="noConversion"/>
  </si>
  <si>
    <t>KH-5030(22mm)-G</t>
    <phoneticPr fontId="3" type="noConversion"/>
  </si>
  <si>
    <t>이상해제 S/W</t>
    <phoneticPr fontId="3" type="noConversion"/>
  </si>
  <si>
    <t>KH-2204P-T-Y</t>
    <phoneticPr fontId="3" type="noConversion"/>
  </si>
  <si>
    <t>전량배출 S/W</t>
    <phoneticPr fontId="3" type="noConversion"/>
  </si>
  <si>
    <t>KH-2201-G</t>
    <phoneticPr fontId="3" type="noConversion"/>
  </si>
  <si>
    <t>TOWER LAMP LED TYPE</t>
    <phoneticPr fontId="3" type="noConversion"/>
  </si>
  <si>
    <t>STA45SLM-BZ-3-24-RAG-SZ18A</t>
    <phoneticPr fontId="3" type="noConversion"/>
  </si>
  <si>
    <t>FAN COOLER</t>
    <phoneticPr fontId="3" type="noConversion"/>
  </si>
  <si>
    <t>AFC-4</t>
    <phoneticPr fontId="3" type="noConversion"/>
  </si>
  <si>
    <t>인터페이스 BOX</t>
    <phoneticPr fontId="3" type="noConversion"/>
  </si>
  <si>
    <t>KDU200-LUA</t>
    <phoneticPr fontId="3" type="noConversion"/>
  </si>
  <si>
    <t>DC POWER SUPPLY</t>
    <phoneticPr fontId="3" type="noConversion"/>
  </si>
  <si>
    <t>VSF50-DD</t>
    <phoneticPr fontId="3" type="noConversion"/>
  </si>
  <si>
    <t>S/W</t>
    <phoneticPr fontId="3" type="noConversion"/>
  </si>
  <si>
    <t>KH2201-R</t>
    <phoneticPr fontId="3" type="noConversion"/>
  </si>
  <si>
    <t>KH2201-G</t>
    <phoneticPr fontId="3" type="noConversion"/>
  </si>
  <si>
    <t>USB CABLE</t>
    <phoneticPr fontId="3" type="noConversion"/>
  </si>
  <si>
    <t>A-B(M/M) 1m</t>
    <phoneticPr fontId="3" type="noConversion"/>
  </si>
  <si>
    <t>USB-USB 1m</t>
    <phoneticPr fontId="3" type="noConversion"/>
  </si>
  <si>
    <t>RGB M/M CABLE</t>
    <phoneticPr fontId="3" type="noConversion"/>
  </si>
  <si>
    <t>IN-RGB02(2m)</t>
    <phoneticPr fontId="3" type="noConversion"/>
  </si>
  <si>
    <t>이더넷 케이블</t>
    <phoneticPr fontId="3" type="noConversion"/>
  </si>
  <si>
    <t>CROSS 10m</t>
    <phoneticPr fontId="3" type="noConversion"/>
  </si>
  <si>
    <t>미니 키보드</t>
    <phoneticPr fontId="3" type="noConversion"/>
  </si>
  <si>
    <t>SPR-8695TU</t>
    <phoneticPr fontId="3" type="noConversion"/>
  </si>
  <si>
    <t>광마우스</t>
    <phoneticPr fontId="3" type="noConversion"/>
  </si>
  <si>
    <t>CROSS 2m</t>
    <phoneticPr fontId="3" type="noConversion"/>
  </si>
  <si>
    <t>건흥</t>
    <phoneticPr fontId="3" type="noConversion"/>
  </si>
  <si>
    <t>AIR MAJOR</t>
    <phoneticPr fontId="3" type="noConversion"/>
  </si>
  <si>
    <t>KEM</t>
    <phoneticPr fontId="3" type="noConversion"/>
  </si>
  <si>
    <t>대흥</t>
    <phoneticPr fontId="3" type="noConversion"/>
  </si>
  <si>
    <t>강원전자</t>
    <phoneticPr fontId="3" type="noConversion"/>
  </si>
  <si>
    <t>인네트워크</t>
    <phoneticPr fontId="3" type="noConversion"/>
  </si>
  <si>
    <t>삼성</t>
    <phoneticPr fontId="3" type="noConversion"/>
  </si>
  <si>
    <t>BASE UNIT</t>
    <phoneticPr fontId="3" type="noConversion"/>
  </si>
  <si>
    <t>Q312B</t>
    <phoneticPr fontId="3" type="noConversion"/>
  </si>
  <si>
    <t>POWER</t>
    <phoneticPr fontId="3" type="noConversion"/>
  </si>
  <si>
    <t>Q62P</t>
    <phoneticPr fontId="3" type="noConversion"/>
  </si>
  <si>
    <t>CPU</t>
    <phoneticPr fontId="3" type="noConversion"/>
  </si>
  <si>
    <t>Q06UDV</t>
    <phoneticPr fontId="3" type="noConversion"/>
  </si>
  <si>
    <t>I/O UNIT</t>
    <phoneticPr fontId="3" type="noConversion"/>
  </si>
  <si>
    <t>QX42</t>
    <phoneticPr fontId="3" type="noConversion"/>
  </si>
  <si>
    <t>QY42P</t>
    <phoneticPr fontId="3" type="noConversion"/>
  </si>
  <si>
    <t>QY40P</t>
    <phoneticPr fontId="3" type="noConversion"/>
  </si>
  <si>
    <t>위치결정 UNIT</t>
    <phoneticPr fontId="3" type="noConversion"/>
  </si>
  <si>
    <t>QD77MS2</t>
    <phoneticPr fontId="3" type="noConversion"/>
  </si>
  <si>
    <t>TOUCH PANEL</t>
    <phoneticPr fontId="3" type="noConversion"/>
  </si>
  <si>
    <t>PFXGP4621-TAA</t>
    <phoneticPr fontId="3" type="noConversion"/>
  </si>
  <si>
    <t>ETHERNET CARD</t>
    <phoneticPr fontId="3" type="noConversion"/>
  </si>
  <si>
    <t>QJ71E7-100</t>
    <phoneticPr fontId="3" type="noConversion"/>
  </si>
  <si>
    <t>QJ71PB93D</t>
    <phoneticPr fontId="3" type="noConversion"/>
  </si>
  <si>
    <t>SERVO AMP</t>
    <phoneticPr fontId="3" type="noConversion"/>
  </si>
  <si>
    <t>MR-J4S-10A</t>
    <phoneticPr fontId="3" type="noConversion"/>
  </si>
  <si>
    <t>ENCODER CABLE</t>
    <phoneticPr fontId="3" type="noConversion"/>
  </si>
  <si>
    <t>MR-J3ENCVL5M-A1-L</t>
    <phoneticPr fontId="3" type="noConversion"/>
  </si>
  <si>
    <t>전원 CABLE</t>
    <phoneticPr fontId="3" type="noConversion"/>
  </si>
  <si>
    <t>MR-PWS1CBL5M-A1-L</t>
    <phoneticPr fontId="3" type="noConversion"/>
  </si>
  <si>
    <t>중계 단자대</t>
    <phoneticPr fontId="3" type="noConversion"/>
  </si>
  <si>
    <t>XTB-50H</t>
    <phoneticPr fontId="3" type="noConversion"/>
  </si>
  <si>
    <t>중계 단자대 CABLE</t>
    <phoneticPr fontId="3" type="noConversion"/>
  </si>
  <si>
    <t>MR-J2M-CN1TBL2M</t>
    <phoneticPr fontId="3" type="noConversion"/>
  </si>
  <si>
    <t>MR-J4S-40A</t>
    <phoneticPr fontId="3" type="noConversion"/>
  </si>
  <si>
    <t>MR-J3ENCVL8M-A1-L</t>
    <phoneticPr fontId="3" type="noConversion"/>
  </si>
  <si>
    <t>전원용 콘넥트세트</t>
    <phoneticPr fontId="3" type="noConversion"/>
  </si>
  <si>
    <t>MR-PWSICML8M-A1-L</t>
    <phoneticPr fontId="3" type="noConversion"/>
  </si>
  <si>
    <t>중계단자대</t>
    <phoneticPr fontId="3" type="noConversion"/>
  </si>
  <si>
    <t>중계단자대 CABLE</t>
    <phoneticPr fontId="3" type="noConversion"/>
  </si>
  <si>
    <t>MR-J4S-500B</t>
    <phoneticPr fontId="3" type="noConversion"/>
  </si>
  <si>
    <t>MR-JHSCBL5M-H</t>
    <phoneticPr fontId="3" type="noConversion"/>
  </si>
  <si>
    <t>종단 CONNECTOR</t>
    <phoneticPr fontId="3" type="noConversion"/>
  </si>
  <si>
    <t>MR-A-TM</t>
    <phoneticPr fontId="3" type="noConversion"/>
  </si>
  <si>
    <t>BATTERY</t>
    <phoneticPr fontId="3" type="noConversion"/>
  </si>
  <si>
    <t>MR-BAT</t>
    <phoneticPr fontId="3" type="noConversion"/>
  </si>
  <si>
    <t>BUS CABLE</t>
    <phoneticPr fontId="3" type="noConversion"/>
  </si>
  <si>
    <t>MR-J2HUBS2M</t>
    <phoneticPr fontId="3" type="noConversion"/>
  </si>
  <si>
    <t>전원용 CONNECTOR</t>
    <phoneticPr fontId="3" type="noConversion"/>
  </si>
  <si>
    <t>MR-PWCNS2</t>
    <phoneticPr fontId="3" type="noConversion"/>
  </si>
  <si>
    <t>LINE NOISE FILTER</t>
    <phoneticPr fontId="3" type="noConversion"/>
  </si>
  <si>
    <t>FR-BSF01</t>
    <phoneticPr fontId="3" type="noConversion"/>
  </si>
  <si>
    <t>FR-BLF</t>
    <phoneticPr fontId="3" type="noConversion"/>
  </si>
  <si>
    <t>I/O LINK</t>
    <phoneticPr fontId="3" type="noConversion"/>
  </si>
  <si>
    <t>TXB-40H</t>
    <phoneticPr fontId="3" type="noConversion"/>
  </si>
  <si>
    <t>I/O LINK CABLE</t>
    <phoneticPr fontId="3" type="noConversion"/>
  </si>
  <si>
    <t>C40HF-15PB-1</t>
    <phoneticPr fontId="3" type="noConversion"/>
  </si>
  <si>
    <t>C40HF-20PB-1</t>
    <phoneticPr fontId="3" type="noConversion"/>
  </si>
  <si>
    <t>C40HF-30PB-1</t>
    <phoneticPr fontId="3" type="noConversion"/>
  </si>
  <si>
    <t>PLC</t>
    <phoneticPr fontId="3" type="noConversion"/>
  </si>
  <si>
    <t>SERVO</t>
    <phoneticPr fontId="3" type="noConversion"/>
  </si>
  <si>
    <t>MITSUBISHI</t>
    <phoneticPr fontId="3" type="noConversion"/>
  </si>
  <si>
    <t>PRO-FACE</t>
    <phoneticPr fontId="3" type="noConversion"/>
  </si>
  <si>
    <t>SAMWON</t>
    <phoneticPr fontId="3" type="noConversion"/>
  </si>
  <si>
    <t>BASE PART</t>
    <phoneticPr fontId="3" type="noConversion"/>
  </si>
  <si>
    <t>BRUSHING M/C</t>
    <phoneticPr fontId="3" type="noConversion"/>
  </si>
  <si>
    <t>BRUSHING M/C</t>
    <phoneticPr fontId="3" type="noConversion"/>
  </si>
  <si>
    <t>LEVEL FOOT</t>
    <phoneticPr fontId="3" type="noConversion"/>
  </si>
  <si>
    <t>MF78-20-100</t>
    <phoneticPr fontId="3" type="noConversion"/>
  </si>
  <si>
    <t>EA</t>
    <phoneticPr fontId="3" type="noConversion"/>
  </si>
  <si>
    <t>AREA SENSOR</t>
    <phoneticPr fontId="3" type="noConversion"/>
  </si>
  <si>
    <t>BW20-12</t>
    <phoneticPr fontId="3" type="noConversion"/>
  </si>
  <si>
    <t>CABLE</t>
    <phoneticPr fontId="3" type="noConversion"/>
  </si>
  <si>
    <t>CID4-5R</t>
    <phoneticPr fontId="3" type="noConversion"/>
  </si>
  <si>
    <t>CID4-5T</t>
    <phoneticPr fontId="3" type="noConversion"/>
  </si>
  <si>
    <t>WOOIL</t>
    <phoneticPr fontId="3" type="noConversion"/>
  </si>
  <si>
    <t>AUTONICS</t>
    <phoneticPr fontId="3" type="noConversion"/>
  </si>
  <si>
    <t>STRAIGHTENING M/C</t>
    <phoneticPr fontId="3" type="noConversion"/>
  </si>
  <si>
    <t>STRAIGHTENING M/C</t>
    <phoneticPr fontId="3" type="noConversion"/>
  </si>
  <si>
    <t>FRAME</t>
    <phoneticPr fontId="3" type="noConversion"/>
  </si>
  <si>
    <t>FRAME</t>
    <phoneticPr fontId="3" type="noConversion"/>
  </si>
  <si>
    <t>ST4112001-003</t>
    <phoneticPr fontId="3" type="noConversion"/>
  </si>
  <si>
    <t>COVER</t>
    <phoneticPr fontId="3" type="noConversion"/>
  </si>
  <si>
    <t>ST4117003-001</t>
    <phoneticPr fontId="3" type="noConversion"/>
  </si>
  <si>
    <t>ST4117004-001</t>
    <phoneticPr fontId="3" type="noConversion"/>
  </si>
  <si>
    <t>CHIP BOX</t>
    <phoneticPr fontId="3" type="noConversion"/>
  </si>
  <si>
    <t>ST4112005-001</t>
    <phoneticPr fontId="3" type="noConversion"/>
  </si>
  <si>
    <t>FRONT COVER</t>
    <phoneticPr fontId="3" type="noConversion"/>
  </si>
  <si>
    <t>FRONT COVER</t>
    <phoneticPr fontId="3" type="noConversion"/>
  </si>
  <si>
    <t>ST4112006-001</t>
    <phoneticPr fontId="3" type="noConversion"/>
  </si>
  <si>
    <t>SUPPORT COLUMN(F)</t>
    <phoneticPr fontId="3" type="noConversion"/>
  </si>
  <si>
    <t>ST0110048-010</t>
    <phoneticPr fontId="3" type="noConversion"/>
  </si>
  <si>
    <t>SUPPORT COLUMN(R)</t>
    <phoneticPr fontId="3" type="noConversion"/>
  </si>
  <si>
    <t>ST01100490010</t>
    <phoneticPr fontId="3" type="noConversion"/>
  </si>
  <si>
    <t>BASE PLATE</t>
    <phoneticPr fontId="3" type="noConversion"/>
  </si>
  <si>
    <t>ST0109054-002</t>
    <phoneticPr fontId="3" type="noConversion"/>
  </si>
  <si>
    <t>CENTER RAIL-1</t>
    <phoneticPr fontId="3" type="noConversion"/>
  </si>
  <si>
    <t>ST0109055-002</t>
    <phoneticPr fontId="3" type="noConversion"/>
  </si>
  <si>
    <t>CENTER RAIL-2</t>
    <phoneticPr fontId="3" type="noConversion"/>
  </si>
  <si>
    <t>ST0109056-002</t>
    <phoneticPr fontId="3" type="noConversion"/>
  </si>
  <si>
    <t>LEVEL BLOCK</t>
    <phoneticPr fontId="3" type="noConversion"/>
  </si>
  <si>
    <t>ST0109058-001</t>
    <phoneticPr fontId="3" type="noConversion"/>
  </si>
  <si>
    <t>LEVEL BOLT</t>
    <phoneticPr fontId="3" type="noConversion"/>
  </si>
  <si>
    <t>ST0109059-001</t>
    <phoneticPr fontId="3" type="noConversion"/>
  </si>
  <si>
    <t>BASE FRAME</t>
    <phoneticPr fontId="3" type="noConversion"/>
  </si>
  <si>
    <t>ST0123001-001</t>
    <phoneticPr fontId="3" type="noConversion"/>
  </si>
  <si>
    <t>CRWON FRAME</t>
    <phoneticPr fontId="3" type="noConversion"/>
  </si>
  <si>
    <t>ST0123002-001</t>
    <phoneticPr fontId="3" type="noConversion"/>
  </si>
  <si>
    <t>DUCT-1</t>
    <phoneticPr fontId="3" type="noConversion"/>
  </si>
  <si>
    <t>ST0109076-003</t>
    <phoneticPr fontId="3" type="noConversion"/>
  </si>
  <si>
    <t>DUCT-2</t>
    <phoneticPr fontId="3" type="noConversion"/>
  </si>
  <si>
    <t>ST0109077-002</t>
    <phoneticPr fontId="3" type="noConversion"/>
  </si>
  <si>
    <t>FENCE-1</t>
    <phoneticPr fontId="3" type="noConversion"/>
  </si>
  <si>
    <t>ST0111301-001</t>
    <phoneticPr fontId="3" type="noConversion"/>
  </si>
  <si>
    <t>ST0111109-006</t>
    <phoneticPr fontId="3" type="noConversion"/>
  </si>
  <si>
    <t>OP FIX PLATE</t>
    <phoneticPr fontId="3" type="noConversion"/>
  </si>
  <si>
    <t>ST0111125-002</t>
    <phoneticPr fontId="3" type="noConversion"/>
  </si>
  <si>
    <t>MANIFOLD BLOCK</t>
    <phoneticPr fontId="3" type="noConversion"/>
  </si>
  <si>
    <t>ST0111019-002</t>
    <phoneticPr fontId="3" type="noConversion"/>
  </si>
  <si>
    <t>ST0117024-001</t>
    <phoneticPr fontId="3" type="noConversion"/>
  </si>
  <si>
    <t>DUCT</t>
    <phoneticPr fontId="3" type="noConversion"/>
  </si>
  <si>
    <t>DUCT</t>
    <phoneticPr fontId="3" type="noConversion"/>
  </si>
  <si>
    <t>ST0120012-002</t>
    <phoneticPr fontId="3" type="noConversion"/>
  </si>
  <si>
    <t>LIFT BRACKET</t>
    <phoneticPr fontId="3" type="noConversion"/>
  </si>
  <si>
    <t>ST0122002-003</t>
    <phoneticPr fontId="3" type="noConversion"/>
  </si>
  <si>
    <t>KOREA KOKUSAI</t>
    <phoneticPr fontId="51"/>
  </si>
  <si>
    <t>KOREA KOKUSAI</t>
    <phoneticPr fontId="51"/>
  </si>
  <si>
    <t>TRANSFER PART</t>
    <phoneticPr fontId="3" type="noConversion"/>
  </si>
  <si>
    <t>AIR CYLINDER</t>
    <phoneticPr fontId="3" type="noConversion"/>
  </si>
  <si>
    <t>CY1SG32-100BZ</t>
    <phoneticPr fontId="3" type="noConversion"/>
  </si>
  <si>
    <t>SPEED CON'</t>
    <phoneticPr fontId="3" type="noConversion"/>
  </si>
  <si>
    <t>AS2201F-02-08S</t>
    <phoneticPr fontId="3" type="noConversion"/>
  </si>
  <si>
    <t>LM GUIDE</t>
    <phoneticPr fontId="3" type="noConversion"/>
  </si>
  <si>
    <t>HSR25RQZ2UU+1360(G:20)</t>
    <phoneticPr fontId="3" type="noConversion"/>
  </si>
  <si>
    <t>HSR25RQZ2UU+880(G:20)</t>
    <phoneticPr fontId="3" type="noConversion"/>
  </si>
  <si>
    <t>SET COLLAR</t>
    <phoneticPr fontId="3" type="noConversion"/>
  </si>
  <si>
    <t>PSCS25-15</t>
    <phoneticPr fontId="3" type="noConversion"/>
  </si>
  <si>
    <t>BALL BUSH</t>
    <phoneticPr fontId="3" type="noConversion"/>
  </si>
  <si>
    <t>SC20UU</t>
    <phoneticPr fontId="3" type="noConversion"/>
  </si>
  <si>
    <t>SHAFT</t>
    <phoneticPr fontId="3" type="noConversion"/>
  </si>
  <si>
    <t>SHAFT</t>
    <phoneticPr fontId="3" type="noConversion"/>
  </si>
  <si>
    <t>PSFJ20-238L</t>
    <phoneticPr fontId="3" type="noConversion"/>
  </si>
  <si>
    <t>PHOTO SENSOR</t>
    <phoneticPr fontId="3" type="noConversion"/>
  </si>
  <si>
    <t>E3Z-T66</t>
    <phoneticPr fontId="3" type="noConversion"/>
  </si>
  <si>
    <t>XS3F-M421-405-A</t>
    <phoneticPr fontId="3" type="noConversion"/>
  </si>
  <si>
    <t>LM25UU</t>
    <phoneticPr fontId="3" type="noConversion"/>
  </si>
  <si>
    <t>SNAP RING</t>
    <phoneticPr fontId="3" type="noConversion"/>
  </si>
  <si>
    <t>S-40</t>
    <phoneticPr fontId="3" type="noConversion"/>
  </si>
  <si>
    <t>PSFJT25-320-M8</t>
    <phoneticPr fontId="3" type="noConversion"/>
  </si>
  <si>
    <t>PSFJT25-420-M8</t>
    <phoneticPr fontId="3" type="noConversion"/>
  </si>
  <si>
    <t>PROXIMITY SENSOR</t>
    <phoneticPr fontId="3" type="noConversion"/>
  </si>
  <si>
    <t>E2E-X3D1-M1G</t>
    <phoneticPr fontId="3" type="noConversion"/>
  </si>
  <si>
    <t>SENSOR CABLE</t>
    <phoneticPr fontId="3" type="noConversion"/>
  </si>
  <si>
    <t>XS2F-D422-GA0-A</t>
    <phoneticPr fontId="3" type="noConversion"/>
  </si>
  <si>
    <t>LM GUIDE CLAMP</t>
    <phoneticPr fontId="3" type="noConversion"/>
  </si>
  <si>
    <t>SVCN33</t>
    <phoneticPr fontId="3" type="noConversion"/>
  </si>
  <si>
    <t>FLOATING JOINT</t>
    <phoneticPr fontId="3" type="noConversion"/>
  </si>
  <si>
    <t>JAF80-22-150</t>
    <phoneticPr fontId="3" type="noConversion"/>
  </si>
  <si>
    <t>CG1LA80-50Z</t>
    <phoneticPr fontId="3" type="noConversion"/>
  </si>
  <si>
    <t>AS3201F-03-08S</t>
    <phoneticPr fontId="3" type="noConversion"/>
  </si>
  <si>
    <t>HSR25RQZ2UU+1360L(G:20)</t>
    <phoneticPr fontId="3" type="noConversion"/>
  </si>
  <si>
    <t>HSR25RQZ2UU+880L(G:20)</t>
    <phoneticPr fontId="3" type="noConversion"/>
  </si>
  <si>
    <t>PSFJ20-238</t>
    <phoneticPr fontId="3" type="noConversion"/>
  </si>
  <si>
    <t>ROD END BRG</t>
    <phoneticPr fontId="3" type="noConversion"/>
  </si>
  <si>
    <t>RBLD16</t>
    <phoneticPr fontId="3" type="noConversion"/>
  </si>
  <si>
    <t>LBRBF16-340</t>
    <phoneticPr fontId="3" type="noConversion"/>
  </si>
  <si>
    <t>RBLDL16</t>
    <phoneticPr fontId="3" type="noConversion"/>
  </si>
  <si>
    <t>BALL BEARING</t>
    <phoneticPr fontId="3" type="noConversion"/>
  </si>
  <si>
    <t>6206ZZ</t>
    <phoneticPr fontId="3" type="noConversion"/>
  </si>
  <si>
    <t>CG1LA80-50Z(에어쿠션)</t>
    <phoneticPr fontId="3" type="noConversion"/>
  </si>
  <si>
    <t>SHAFT SUPPORT</t>
    <phoneticPr fontId="3" type="noConversion"/>
  </si>
  <si>
    <t>SK20</t>
    <phoneticPr fontId="3" type="noConversion"/>
  </si>
  <si>
    <t>PHS 20</t>
    <phoneticPr fontId="3" type="noConversion"/>
  </si>
  <si>
    <t>MF78-M20-100</t>
    <phoneticPr fontId="3" type="noConversion"/>
  </si>
  <si>
    <t>ANCHOR STAY</t>
    <phoneticPr fontId="3" type="noConversion"/>
  </si>
  <si>
    <t>STYD12</t>
    <phoneticPr fontId="3" type="noConversion"/>
  </si>
  <si>
    <t>HSR25RQZ3UU+1110L</t>
    <phoneticPr fontId="3" type="noConversion"/>
  </si>
  <si>
    <t>LM CLAMP</t>
    <phoneticPr fontId="3" type="noConversion"/>
  </si>
  <si>
    <t>SMC</t>
    <phoneticPr fontId="3" type="noConversion"/>
  </si>
  <si>
    <t>THK</t>
    <phoneticPr fontId="3" type="noConversion"/>
  </si>
  <si>
    <t>MISUMI</t>
    <phoneticPr fontId="3" type="noConversion"/>
  </si>
  <si>
    <t>OMRON</t>
    <phoneticPr fontId="3" type="noConversion"/>
  </si>
  <si>
    <t>KS</t>
    <phoneticPr fontId="3" type="noConversion"/>
  </si>
  <si>
    <t>NTN</t>
    <phoneticPr fontId="3" type="noConversion"/>
  </si>
  <si>
    <t>OUT CHUTE</t>
    <phoneticPr fontId="3" type="noConversion"/>
  </si>
  <si>
    <t>STAND</t>
    <phoneticPr fontId="3" type="noConversion"/>
  </si>
  <si>
    <t>STAND</t>
    <phoneticPr fontId="3" type="noConversion"/>
  </si>
  <si>
    <t>ST4212004-003</t>
    <phoneticPr fontId="3" type="noConversion"/>
  </si>
  <si>
    <t>BRACKET</t>
    <phoneticPr fontId="3" type="noConversion"/>
  </si>
  <si>
    <t>BRACKET</t>
    <phoneticPr fontId="3" type="noConversion"/>
  </si>
  <si>
    <t>ST4212005-001</t>
    <phoneticPr fontId="3" type="noConversion"/>
  </si>
  <si>
    <t>DOG</t>
    <phoneticPr fontId="3" type="noConversion"/>
  </si>
  <si>
    <t>DOG</t>
    <phoneticPr fontId="3" type="noConversion"/>
  </si>
  <si>
    <t>ST4212011</t>
    <phoneticPr fontId="3" type="noConversion"/>
  </si>
  <si>
    <t>GUIDE JOINT</t>
    <phoneticPr fontId="3" type="noConversion"/>
  </si>
  <si>
    <t>ST4212012</t>
    <phoneticPr fontId="3" type="noConversion"/>
  </si>
  <si>
    <t>BLOCK</t>
    <phoneticPr fontId="3" type="noConversion"/>
  </si>
  <si>
    <t>BLOCK</t>
    <phoneticPr fontId="3" type="noConversion"/>
  </si>
  <si>
    <t>ST4212013</t>
    <phoneticPr fontId="3" type="noConversion"/>
  </si>
  <si>
    <t>PLATE</t>
    <phoneticPr fontId="3" type="noConversion"/>
  </si>
  <si>
    <t>ST4212014-001</t>
    <phoneticPr fontId="3" type="noConversion"/>
  </si>
  <si>
    <t>ADJUST BLOCK</t>
    <phoneticPr fontId="3" type="noConversion"/>
  </si>
  <si>
    <t>ST4212015</t>
    <phoneticPr fontId="3" type="noConversion"/>
  </si>
  <si>
    <t>SENSOR BRACKET</t>
    <phoneticPr fontId="3" type="noConversion"/>
  </si>
  <si>
    <t>SENSOR BRACKET</t>
    <phoneticPr fontId="3" type="noConversion"/>
  </si>
  <si>
    <t>ST4212018</t>
    <phoneticPr fontId="3" type="noConversion"/>
  </si>
  <si>
    <t>UP/DN PL(CYL)</t>
    <phoneticPr fontId="3" type="noConversion"/>
  </si>
  <si>
    <t>ST4224003</t>
    <phoneticPr fontId="3" type="noConversion"/>
  </si>
  <si>
    <t>SHAFT SUPP</t>
    <phoneticPr fontId="3" type="noConversion"/>
  </si>
  <si>
    <t>ST4224004</t>
    <phoneticPr fontId="3" type="noConversion"/>
  </si>
  <si>
    <t>BUSH SPACER</t>
    <phoneticPr fontId="3" type="noConversion"/>
  </si>
  <si>
    <t>ST4224005</t>
    <phoneticPr fontId="3" type="noConversion"/>
  </si>
  <si>
    <t>CYL SPACER</t>
    <phoneticPr fontId="3" type="noConversion"/>
  </si>
  <si>
    <t>ST4224006</t>
    <phoneticPr fontId="3" type="noConversion"/>
  </si>
  <si>
    <t>CARRY PL</t>
    <phoneticPr fontId="3" type="noConversion"/>
  </si>
  <si>
    <t>ST4224007</t>
    <phoneticPr fontId="3" type="noConversion"/>
  </si>
  <si>
    <t>CARRY PL(CYL)</t>
    <phoneticPr fontId="3" type="noConversion"/>
  </si>
  <si>
    <t>ST4224008</t>
    <phoneticPr fontId="3" type="noConversion"/>
  </si>
  <si>
    <t>SENSOR PL</t>
    <phoneticPr fontId="3" type="noConversion"/>
  </si>
  <si>
    <t>ST4224009</t>
    <phoneticPr fontId="3" type="noConversion"/>
  </si>
  <si>
    <t>BUSH COVER</t>
    <phoneticPr fontId="3" type="noConversion"/>
  </si>
  <si>
    <t>ST4224010</t>
    <phoneticPr fontId="3" type="noConversion"/>
  </si>
  <si>
    <t>CYL COVER-1</t>
    <phoneticPr fontId="3" type="noConversion"/>
  </si>
  <si>
    <t>ST4224011</t>
    <phoneticPr fontId="3" type="noConversion"/>
  </si>
  <si>
    <t>CYL COVER-2</t>
    <phoneticPr fontId="3" type="noConversion"/>
  </si>
  <si>
    <t>ST4224012</t>
    <phoneticPr fontId="3" type="noConversion"/>
  </si>
  <si>
    <t>SCALE</t>
    <phoneticPr fontId="3" type="noConversion"/>
  </si>
  <si>
    <t>SCALE</t>
    <phoneticPr fontId="3" type="noConversion"/>
  </si>
  <si>
    <t>ST4224013</t>
    <phoneticPr fontId="3" type="noConversion"/>
  </si>
  <si>
    <t>ST4224014</t>
    <phoneticPr fontId="3" type="noConversion"/>
  </si>
  <si>
    <t>LH FRAME</t>
    <phoneticPr fontId="3" type="noConversion"/>
  </si>
  <si>
    <t>ST4212031-003</t>
    <phoneticPr fontId="3" type="noConversion"/>
  </si>
  <si>
    <t>RH FRAME</t>
    <phoneticPr fontId="3" type="noConversion"/>
  </si>
  <si>
    <t>ST4212032-004</t>
    <phoneticPr fontId="3" type="noConversion"/>
  </si>
  <si>
    <t>SIDE COVER</t>
    <phoneticPr fontId="3" type="noConversion"/>
  </si>
  <si>
    <t>ST4212033</t>
    <phoneticPr fontId="3" type="noConversion"/>
  </si>
  <si>
    <t>REAR COVER</t>
    <phoneticPr fontId="3" type="noConversion"/>
  </si>
  <si>
    <t>REAR COVER</t>
    <phoneticPr fontId="3" type="noConversion"/>
  </si>
  <si>
    <t>ST4212034-001</t>
    <phoneticPr fontId="3" type="noConversion"/>
  </si>
  <si>
    <t>ST4212035-001</t>
    <phoneticPr fontId="3" type="noConversion"/>
  </si>
  <si>
    <t>ST4212036-001</t>
    <phoneticPr fontId="3" type="noConversion"/>
  </si>
  <si>
    <t>OIL PAN</t>
    <phoneticPr fontId="3" type="noConversion"/>
  </si>
  <si>
    <t>ST4212038-001</t>
    <phoneticPr fontId="3" type="noConversion"/>
  </si>
  <si>
    <t>ST4212039-001</t>
    <phoneticPr fontId="3" type="noConversion"/>
  </si>
  <si>
    <t>RIGHT GUIDE PLATE</t>
    <phoneticPr fontId="3" type="noConversion"/>
  </si>
  <si>
    <t>ST4212040-003</t>
    <phoneticPr fontId="3" type="noConversion"/>
  </si>
  <si>
    <t>LEFT GUIDE PLATE</t>
    <phoneticPr fontId="3" type="noConversion"/>
  </si>
  <si>
    <t>ST4212041-001</t>
    <phoneticPr fontId="3" type="noConversion"/>
  </si>
  <si>
    <t>V BLOCK-1</t>
    <phoneticPr fontId="3" type="noConversion"/>
  </si>
  <si>
    <t>ST4212042</t>
    <phoneticPr fontId="3" type="noConversion"/>
  </si>
  <si>
    <t>V BLOCK-2</t>
    <phoneticPr fontId="3" type="noConversion"/>
  </si>
  <si>
    <t>ST4212043</t>
    <phoneticPr fontId="3" type="noConversion"/>
  </si>
  <si>
    <t>V BLOCK-3</t>
    <phoneticPr fontId="3" type="noConversion"/>
  </si>
  <si>
    <t>ST4212044</t>
    <phoneticPr fontId="3" type="noConversion"/>
  </si>
  <si>
    <t>LIFT RAIL</t>
    <phoneticPr fontId="3" type="noConversion"/>
  </si>
  <si>
    <t>ST4212045-001</t>
    <phoneticPr fontId="3" type="noConversion"/>
  </si>
  <si>
    <t>PUSHER CYL PLATE</t>
    <phoneticPr fontId="3" type="noConversion"/>
  </si>
  <si>
    <t>ST4212046-001</t>
    <phoneticPr fontId="3" type="noConversion"/>
  </si>
  <si>
    <t>ST4219005-002</t>
    <phoneticPr fontId="3" type="noConversion"/>
  </si>
  <si>
    <t>ST4219007-002</t>
    <phoneticPr fontId="3" type="noConversion"/>
  </si>
  <si>
    <t>STOPPER</t>
    <phoneticPr fontId="3" type="noConversion"/>
  </si>
  <si>
    <t>STOPPER</t>
    <phoneticPr fontId="3" type="noConversion"/>
  </si>
  <si>
    <t>ST4221015-002</t>
    <phoneticPr fontId="3" type="noConversion"/>
  </si>
  <si>
    <t>ARROW</t>
    <phoneticPr fontId="3" type="noConversion"/>
  </si>
  <si>
    <t>ARROW</t>
    <phoneticPr fontId="3" type="noConversion"/>
  </si>
  <si>
    <t>ST4224016</t>
    <phoneticPr fontId="3" type="noConversion"/>
  </si>
  <si>
    <t>SENSOR DOG</t>
    <phoneticPr fontId="3" type="noConversion"/>
  </si>
  <si>
    <t>SENSOR DOG</t>
    <phoneticPr fontId="3" type="noConversion"/>
  </si>
  <si>
    <t>ST4222001</t>
    <phoneticPr fontId="3" type="noConversion"/>
  </si>
  <si>
    <t>COLLAR</t>
    <phoneticPr fontId="3" type="noConversion"/>
  </si>
  <si>
    <t>COLLAR</t>
    <phoneticPr fontId="3" type="noConversion"/>
  </si>
  <si>
    <t>ST4222002</t>
    <phoneticPr fontId="3" type="noConversion"/>
  </si>
  <si>
    <t>ST4222003</t>
    <phoneticPr fontId="3" type="noConversion"/>
  </si>
  <si>
    <t>ST4222004-001</t>
    <phoneticPr fontId="3" type="noConversion"/>
  </si>
  <si>
    <t>LINK LEVER</t>
    <phoneticPr fontId="3" type="noConversion"/>
  </si>
  <si>
    <t>ST0209121-000</t>
    <phoneticPr fontId="3" type="noConversion"/>
  </si>
  <si>
    <t>ST0209210-006</t>
    <phoneticPr fontId="3" type="noConversion"/>
  </si>
  <si>
    <t>ST0209211-003</t>
    <phoneticPr fontId="3" type="noConversion"/>
  </si>
  <si>
    <t>ROD END BLOCK</t>
    <phoneticPr fontId="3" type="noConversion"/>
  </si>
  <si>
    <t>ST0209125-000</t>
    <phoneticPr fontId="3" type="noConversion"/>
  </si>
  <si>
    <t>BRG HOUSING</t>
    <phoneticPr fontId="3" type="noConversion"/>
  </si>
  <si>
    <t>ST0209126-000</t>
    <phoneticPr fontId="3" type="noConversion"/>
  </si>
  <si>
    <t>ST0209127-000</t>
    <phoneticPr fontId="3" type="noConversion"/>
  </si>
  <si>
    <t>ST0209128-000</t>
    <phoneticPr fontId="3" type="noConversion"/>
  </si>
  <si>
    <t>ST0224020</t>
    <phoneticPr fontId="3" type="noConversion"/>
  </si>
  <si>
    <t>ST0209130-000</t>
    <phoneticPr fontId="3" type="noConversion"/>
  </si>
  <si>
    <t>ST0209131-000</t>
    <phoneticPr fontId="3" type="noConversion"/>
  </si>
  <si>
    <t>ST0209201-001</t>
    <phoneticPr fontId="3" type="noConversion"/>
  </si>
  <si>
    <t>ST0209201-002</t>
    <phoneticPr fontId="3" type="noConversion"/>
  </si>
  <si>
    <t>ST0209133-000</t>
    <phoneticPr fontId="3" type="noConversion"/>
  </si>
  <si>
    <t>ST0209140-000</t>
    <phoneticPr fontId="3" type="noConversion"/>
  </si>
  <si>
    <t>ROD FOR END BRG</t>
    <phoneticPr fontId="3" type="noConversion"/>
  </si>
  <si>
    <t>ST0209203-007</t>
    <phoneticPr fontId="3" type="noConversion"/>
  </si>
  <si>
    <t>GUIDE PLATE</t>
    <phoneticPr fontId="3" type="noConversion"/>
  </si>
  <si>
    <t>GUIDE PLATE</t>
    <phoneticPr fontId="3" type="noConversion"/>
  </si>
  <si>
    <t>ST0211291-004</t>
    <phoneticPr fontId="3" type="noConversion"/>
  </si>
  <si>
    <t>ST0211292-004</t>
    <phoneticPr fontId="3" type="noConversion"/>
  </si>
  <si>
    <t>ST0211294-009</t>
    <phoneticPr fontId="3" type="noConversion"/>
  </si>
  <si>
    <t>V-BLOCK SEAT-1</t>
    <phoneticPr fontId="3" type="noConversion"/>
  </si>
  <si>
    <t>ST0209239-015</t>
    <phoneticPr fontId="3" type="noConversion"/>
  </si>
  <si>
    <t>ST0209239-016</t>
    <phoneticPr fontId="3" type="noConversion"/>
  </si>
  <si>
    <t>ST0209163-000</t>
    <phoneticPr fontId="3" type="noConversion"/>
  </si>
  <si>
    <t>ST0211288-012</t>
    <phoneticPr fontId="3" type="noConversion"/>
  </si>
  <si>
    <t>ST0211289-012</t>
    <phoneticPr fontId="3" type="noConversion"/>
  </si>
  <si>
    <t>ST0209234-017</t>
    <phoneticPr fontId="3" type="noConversion"/>
  </si>
  <si>
    <t>ST0209234-018</t>
    <phoneticPr fontId="3" type="noConversion"/>
  </si>
  <si>
    <t>ST0209192-045</t>
    <phoneticPr fontId="3" type="noConversion"/>
  </si>
  <si>
    <t>ST0209192-046</t>
    <phoneticPr fontId="3" type="noConversion"/>
  </si>
  <si>
    <t>ST0209192-047</t>
    <phoneticPr fontId="3" type="noConversion"/>
  </si>
  <si>
    <t>ST0209192-048</t>
    <phoneticPr fontId="3" type="noConversion"/>
  </si>
  <si>
    <t>ST0224027-001</t>
    <phoneticPr fontId="3" type="noConversion"/>
  </si>
  <si>
    <t>UP/DN PL</t>
    <phoneticPr fontId="3" type="noConversion"/>
  </si>
  <si>
    <t>ST0224028-001</t>
    <phoneticPr fontId="3" type="noConversion"/>
  </si>
  <si>
    <t>ST0224029</t>
    <phoneticPr fontId="3" type="noConversion"/>
  </si>
  <si>
    <t>ST0224030</t>
    <phoneticPr fontId="3" type="noConversion"/>
  </si>
  <si>
    <t>ST0224031</t>
    <phoneticPr fontId="3" type="noConversion"/>
  </si>
  <si>
    <t>ST0224032-001</t>
    <phoneticPr fontId="3" type="noConversion"/>
  </si>
  <si>
    <t>ST0224033-001</t>
    <phoneticPr fontId="3" type="noConversion"/>
  </si>
  <si>
    <t>ST0224034-001</t>
    <phoneticPr fontId="3" type="noConversion"/>
  </si>
  <si>
    <t>ST0224035-001</t>
    <phoneticPr fontId="3" type="noConversion"/>
  </si>
  <si>
    <t>ST0224036</t>
    <phoneticPr fontId="3" type="noConversion"/>
  </si>
  <si>
    <t>ST0224037-001</t>
    <phoneticPr fontId="3" type="noConversion"/>
  </si>
  <si>
    <t>ST0211286-006</t>
    <phoneticPr fontId="3" type="noConversion"/>
  </si>
  <si>
    <t>ST0219009-001</t>
    <phoneticPr fontId="3" type="noConversion"/>
  </si>
  <si>
    <t>ST0219010-001</t>
    <phoneticPr fontId="3" type="noConversion"/>
  </si>
  <si>
    <t>ST0221050-001</t>
    <phoneticPr fontId="3" type="noConversion"/>
  </si>
  <si>
    <t>BOX-1</t>
    <phoneticPr fontId="3" type="noConversion"/>
  </si>
  <si>
    <t>ST4224001-001</t>
    <phoneticPr fontId="3" type="noConversion"/>
  </si>
  <si>
    <t>BOX-2</t>
    <phoneticPr fontId="3" type="noConversion"/>
  </si>
  <si>
    <t>ST4224001-002</t>
    <phoneticPr fontId="3" type="noConversion"/>
  </si>
  <si>
    <t>ST0209134-001</t>
    <phoneticPr fontId="3" type="noConversion"/>
  </si>
  <si>
    <t>ST0225006</t>
    <phoneticPr fontId="3" type="noConversion"/>
  </si>
  <si>
    <t>ST0412058-003</t>
    <phoneticPr fontId="3" type="noConversion"/>
  </si>
  <si>
    <t>SHAFT SUPPRORT</t>
    <phoneticPr fontId="3" type="noConversion"/>
  </si>
  <si>
    <t>ST0412059-001</t>
    <phoneticPr fontId="3" type="noConversion"/>
  </si>
  <si>
    <t>ST0410039-002</t>
    <phoneticPr fontId="3" type="noConversion"/>
  </si>
  <si>
    <t>SUPPORT PLATE</t>
    <phoneticPr fontId="3" type="noConversion"/>
  </si>
  <si>
    <t>ST0410040-002</t>
    <phoneticPr fontId="3" type="noConversion"/>
  </si>
  <si>
    <t>ST0410041-002</t>
    <phoneticPr fontId="3" type="noConversion"/>
  </si>
  <si>
    <t>SIDE PLATE</t>
    <phoneticPr fontId="3" type="noConversion"/>
  </si>
  <si>
    <t>ST0410042-001</t>
    <phoneticPr fontId="3" type="noConversion"/>
  </si>
  <si>
    <t>STOPPER 2</t>
    <phoneticPr fontId="3" type="noConversion"/>
  </si>
  <si>
    <t>ST0410048-002</t>
    <phoneticPr fontId="3" type="noConversion"/>
  </si>
  <si>
    <t>STOPPER 3</t>
    <phoneticPr fontId="3" type="noConversion"/>
  </si>
  <si>
    <t>ST0410049-003</t>
    <phoneticPr fontId="3" type="noConversion"/>
  </si>
  <si>
    <t>ST0411174-001</t>
    <phoneticPr fontId="3" type="noConversion"/>
  </si>
  <si>
    <t>SCREW</t>
    <phoneticPr fontId="3" type="noConversion"/>
  </si>
  <si>
    <t>ST0410047-000</t>
    <phoneticPr fontId="3" type="noConversion"/>
  </si>
  <si>
    <t>ST0412060-003</t>
    <phoneticPr fontId="3" type="noConversion"/>
  </si>
  <si>
    <t>ST0412061-03</t>
    <phoneticPr fontId="3" type="noConversion"/>
  </si>
  <si>
    <t>GUIDE PLATE COVER(F)</t>
    <phoneticPr fontId="3" type="noConversion"/>
  </si>
  <si>
    <t>ST0421002</t>
    <phoneticPr fontId="3" type="noConversion"/>
  </si>
  <si>
    <t>GUIDE PLATE COVER®</t>
    <phoneticPr fontId="3" type="noConversion"/>
  </si>
  <si>
    <t>ST0421003</t>
    <phoneticPr fontId="3" type="noConversion"/>
  </si>
  <si>
    <t>KOREA KOKUSAI</t>
    <phoneticPr fontId="3" type="noConversion"/>
  </si>
  <si>
    <t>SLIDE COVER</t>
    <phoneticPr fontId="3" type="noConversion"/>
  </si>
  <si>
    <t>ST4323001</t>
    <phoneticPr fontId="3" type="noConversion"/>
  </si>
  <si>
    <t>JABARA COVER</t>
    <phoneticPr fontId="3" type="noConversion"/>
  </si>
  <si>
    <t>ST4323002</t>
    <phoneticPr fontId="3" type="noConversion"/>
  </si>
  <si>
    <t>TM SHAFT</t>
    <phoneticPr fontId="3" type="noConversion"/>
  </si>
  <si>
    <t>TM SHAFT</t>
    <phoneticPr fontId="3" type="noConversion"/>
  </si>
  <si>
    <t>ST4312006-001</t>
    <phoneticPr fontId="3" type="noConversion"/>
  </si>
  <si>
    <t>HSR20R 3QZ UU+1480</t>
    <phoneticPr fontId="3" type="noConversion"/>
  </si>
  <si>
    <t>LEVER</t>
    <phoneticPr fontId="3" type="noConversion"/>
  </si>
  <si>
    <t>CLDM8-32-B</t>
    <phoneticPr fontId="3" type="noConversion"/>
  </si>
  <si>
    <t>HANDLE</t>
    <phoneticPr fontId="3" type="noConversion"/>
  </si>
  <si>
    <t>AHTN125-KC12</t>
    <phoneticPr fontId="3" type="noConversion"/>
  </si>
  <si>
    <t>BEARING HOLDER</t>
    <phoneticPr fontId="3" type="noConversion"/>
  </si>
  <si>
    <t>BGSCB60002ZZ-30</t>
    <phoneticPr fontId="3" type="noConversion"/>
  </si>
  <si>
    <t>U-NUT</t>
    <phoneticPr fontId="3" type="noConversion"/>
  </si>
  <si>
    <t>FU02</t>
    <phoneticPr fontId="3" type="noConversion"/>
  </si>
  <si>
    <t>KEY</t>
    <phoneticPr fontId="3" type="noConversion"/>
  </si>
  <si>
    <t>KES4-20</t>
    <phoneticPr fontId="3" type="noConversion"/>
  </si>
  <si>
    <t>CLBUM15-19-4</t>
    <phoneticPr fontId="3" type="noConversion"/>
  </si>
  <si>
    <t>BALL SCREW COVER</t>
    <phoneticPr fontId="3" type="noConversion"/>
  </si>
  <si>
    <t>SF40/900/60(V)</t>
    <phoneticPr fontId="3" type="noConversion"/>
  </si>
  <si>
    <t>LIMIT SWITCH</t>
    <phoneticPr fontId="3" type="noConversion"/>
  </si>
  <si>
    <t>WLG2-LDK43</t>
    <phoneticPr fontId="3" type="noConversion"/>
  </si>
  <si>
    <t>E2E-X10D1-M1G</t>
    <phoneticPr fontId="3" type="noConversion"/>
  </si>
  <si>
    <t>SCREW NUT</t>
    <phoneticPr fontId="3" type="noConversion"/>
  </si>
  <si>
    <t>MTBLR20</t>
    <phoneticPr fontId="3" type="noConversion"/>
  </si>
  <si>
    <t>CLRA10-32-B</t>
    <phoneticPr fontId="3" type="noConversion"/>
  </si>
  <si>
    <t>CDQ2B32-40-A93L</t>
    <phoneticPr fontId="3" type="noConversion"/>
  </si>
  <si>
    <t>SPEED CON</t>
    <phoneticPr fontId="3" type="noConversion"/>
  </si>
  <si>
    <t>AS2201F-01-06S</t>
    <phoneticPr fontId="3" type="noConversion"/>
  </si>
  <si>
    <t>SPRING</t>
    <phoneticPr fontId="3" type="noConversion"/>
  </si>
  <si>
    <t>WF6-20</t>
    <phoneticPr fontId="3" type="noConversion"/>
  </si>
  <si>
    <t>DOWEL PIN</t>
    <phoneticPr fontId="3" type="noConversion"/>
  </si>
  <si>
    <t>MST8-20</t>
    <phoneticPr fontId="3" type="noConversion"/>
  </si>
  <si>
    <t>PARALLEL PIN</t>
    <phoneticPr fontId="3" type="noConversion"/>
  </si>
  <si>
    <t>MSY4-15</t>
    <phoneticPr fontId="3" type="noConversion"/>
  </si>
  <si>
    <t>MST10-35</t>
    <phoneticPr fontId="3" type="noConversion"/>
  </si>
  <si>
    <t>E3T-ST12</t>
    <phoneticPr fontId="3" type="noConversion"/>
  </si>
  <si>
    <t>한성</t>
    <phoneticPr fontId="3" type="noConversion"/>
  </si>
  <si>
    <t>MIISUMI</t>
    <phoneticPr fontId="3" type="noConversion"/>
  </si>
  <si>
    <t>FUKUDA</t>
    <phoneticPr fontId="3" type="noConversion"/>
  </si>
  <si>
    <t>JIG PART</t>
    <phoneticPr fontId="3" type="noConversion"/>
  </si>
  <si>
    <t>LM RAIL</t>
    <phoneticPr fontId="3" type="noConversion"/>
  </si>
  <si>
    <t>ST4312001-001</t>
    <phoneticPr fontId="3" type="noConversion"/>
  </si>
  <si>
    <t>ST4312002-001</t>
    <phoneticPr fontId="3" type="noConversion"/>
  </si>
  <si>
    <t>NUT HOUSING</t>
    <phoneticPr fontId="3" type="noConversion"/>
  </si>
  <si>
    <t>ST4312003</t>
    <phoneticPr fontId="3" type="noConversion"/>
  </si>
  <si>
    <t>SPACER</t>
    <phoneticPr fontId="3" type="noConversion"/>
  </si>
  <si>
    <t>ST4312004</t>
    <phoneticPr fontId="3" type="noConversion"/>
  </si>
  <si>
    <t>SHAFT HOLDER</t>
    <phoneticPr fontId="3" type="noConversion"/>
  </si>
  <si>
    <t>SHAFT HOLDER</t>
    <phoneticPr fontId="3" type="noConversion"/>
  </si>
  <si>
    <t>ST4312005</t>
    <phoneticPr fontId="3" type="noConversion"/>
  </si>
  <si>
    <t>ST4312007</t>
    <phoneticPr fontId="3" type="noConversion"/>
  </si>
  <si>
    <t>ST4312009</t>
    <phoneticPr fontId="3" type="noConversion"/>
  </si>
  <si>
    <t>ANVIL SUPPORT</t>
    <phoneticPr fontId="3" type="noConversion"/>
  </si>
  <si>
    <t>ST4312010</t>
    <phoneticPr fontId="3" type="noConversion"/>
  </si>
  <si>
    <t>FIXED BLOCK</t>
    <phoneticPr fontId="3" type="noConversion"/>
  </si>
  <si>
    <t>ST4312011</t>
    <phoneticPr fontId="3" type="noConversion"/>
  </si>
  <si>
    <t>ST4312015</t>
    <phoneticPr fontId="3" type="noConversion"/>
  </si>
  <si>
    <t>ST4312016</t>
    <phoneticPr fontId="3" type="noConversion"/>
  </si>
  <si>
    <t>ST4312017</t>
    <phoneticPr fontId="3" type="noConversion"/>
  </si>
  <si>
    <t>ST4317011</t>
    <phoneticPr fontId="3" type="noConversion"/>
  </si>
  <si>
    <t>SENSOR BKT</t>
    <phoneticPr fontId="3" type="noConversion"/>
  </si>
  <si>
    <t>ST4317018</t>
    <phoneticPr fontId="3" type="noConversion"/>
  </si>
  <si>
    <t>JABARA BRACKET-1</t>
    <phoneticPr fontId="3" type="noConversion"/>
  </si>
  <si>
    <t>ST4317012</t>
    <phoneticPr fontId="3" type="noConversion"/>
  </si>
  <si>
    <t>JABARA BRACKET-2</t>
    <phoneticPr fontId="3" type="noConversion"/>
  </si>
  <si>
    <t>ST4317013</t>
    <phoneticPr fontId="3" type="noConversion"/>
  </si>
  <si>
    <t>JABARA BRACKET-3</t>
    <phoneticPr fontId="3" type="noConversion"/>
  </si>
  <si>
    <t>ST4317014</t>
    <phoneticPr fontId="3" type="noConversion"/>
  </si>
  <si>
    <t>ST4317015</t>
    <phoneticPr fontId="3" type="noConversion"/>
  </si>
  <si>
    <t>SUPPORT BRACKET</t>
    <phoneticPr fontId="3" type="noConversion"/>
  </si>
  <si>
    <t>ST4321001</t>
    <phoneticPr fontId="3" type="noConversion"/>
  </si>
  <si>
    <t>ST4321002</t>
    <phoneticPr fontId="3" type="noConversion"/>
  </si>
  <si>
    <t>ST4321003-001</t>
    <phoneticPr fontId="3" type="noConversion"/>
  </si>
  <si>
    <t>SLIDE GUIDE</t>
    <phoneticPr fontId="3" type="noConversion"/>
  </si>
  <si>
    <t>ST4323006-001</t>
    <phoneticPr fontId="3" type="noConversion"/>
  </si>
  <si>
    <t>ST4323006-0012</t>
    <phoneticPr fontId="3" type="noConversion"/>
  </si>
  <si>
    <t>ANVIIL BLOCK(Φ23.741)</t>
    <phoneticPr fontId="3" type="noConversion"/>
  </si>
  <si>
    <t>ST4312012-151</t>
    <phoneticPr fontId="3" type="noConversion"/>
  </si>
  <si>
    <t>ANVIL BLOCK(Φ24.606)</t>
    <phoneticPr fontId="3" type="noConversion"/>
  </si>
  <si>
    <t>ST4312012-152</t>
    <phoneticPr fontId="3" type="noConversion"/>
  </si>
  <si>
    <t>ANVIL BLOCK(Φ24.8)</t>
    <phoneticPr fontId="3" type="noConversion"/>
  </si>
  <si>
    <t>ST4312012-153</t>
    <phoneticPr fontId="3" type="noConversion"/>
  </si>
  <si>
    <t>ANVIL BLOCK(Φ25.859)</t>
    <phoneticPr fontId="3" type="noConversion"/>
  </si>
  <si>
    <t>ST4312012-154</t>
    <phoneticPr fontId="3" type="noConversion"/>
  </si>
  <si>
    <t>ANVIL BLOCK(Φ26.194)</t>
    <phoneticPr fontId="3" type="noConversion"/>
  </si>
  <si>
    <t>ST4312012-155</t>
    <phoneticPr fontId="3" type="noConversion"/>
  </si>
  <si>
    <t>ANVIL BLOCK(Φ26.196)</t>
    <phoneticPr fontId="3" type="noConversion"/>
  </si>
  <si>
    <t>ST4312012-156</t>
    <phoneticPr fontId="3" type="noConversion"/>
  </si>
  <si>
    <t>ANVIL BLOCK(Φ29.369)</t>
    <phoneticPr fontId="3" type="noConversion"/>
  </si>
  <si>
    <t>ST4312012-157</t>
    <phoneticPr fontId="3" type="noConversion"/>
  </si>
  <si>
    <t>ANVIL BLOCK(Φ26.198)</t>
  </si>
  <si>
    <t>ST4312012-158</t>
    <phoneticPr fontId="3" type="noConversion"/>
  </si>
  <si>
    <t>ST0509024-000</t>
    <phoneticPr fontId="3" type="noConversion"/>
  </si>
  <si>
    <t>ST0509025-000</t>
    <phoneticPr fontId="3" type="noConversion"/>
  </si>
  <si>
    <t>WEDGE</t>
    <phoneticPr fontId="3" type="noConversion"/>
  </si>
  <si>
    <t>ST0509026-000</t>
    <phoneticPr fontId="3" type="noConversion"/>
  </si>
  <si>
    <t>PIVOT</t>
    <phoneticPr fontId="3" type="noConversion"/>
  </si>
  <si>
    <t>ST0509027-000</t>
    <phoneticPr fontId="3" type="noConversion"/>
  </si>
  <si>
    <t>ST0509028-000</t>
    <phoneticPr fontId="3" type="noConversion"/>
  </si>
  <si>
    <t>ST0509029-000</t>
    <phoneticPr fontId="3" type="noConversion"/>
  </si>
  <si>
    <t>CYL'BRACKET</t>
    <phoneticPr fontId="3" type="noConversion"/>
  </si>
  <si>
    <t>ST0509030-000</t>
    <phoneticPr fontId="3" type="noConversion"/>
  </si>
  <si>
    <t>ST0512001-001</t>
    <phoneticPr fontId="3" type="noConversion"/>
  </si>
  <si>
    <t>GIB</t>
    <phoneticPr fontId="3" type="noConversion"/>
  </si>
  <si>
    <t>GIB</t>
    <phoneticPr fontId="3" type="noConversion"/>
  </si>
  <si>
    <t>ST0509032-000</t>
    <phoneticPr fontId="3" type="noConversion"/>
  </si>
  <si>
    <t>GUIDE PLATE-1</t>
    <phoneticPr fontId="3" type="noConversion"/>
  </si>
  <si>
    <t>GUIDE PLATE-1</t>
    <phoneticPr fontId="3" type="noConversion"/>
  </si>
  <si>
    <t>ST0509033-000</t>
    <phoneticPr fontId="3" type="noConversion"/>
  </si>
  <si>
    <t>GUIDE PLATE-2</t>
    <phoneticPr fontId="3" type="noConversion"/>
  </si>
  <si>
    <t>ST0509034-000</t>
    <phoneticPr fontId="3" type="noConversion"/>
  </si>
  <si>
    <t>ST0509035-000</t>
    <phoneticPr fontId="3" type="noConversion"/>
  </si>
  <si>
    <t>ST0518034</t>
    <phoneticPr fontId="3" type="noConversion"/>
  </si>
  <si>
    <t>ST0509036-000</t>
    <phoneticPr fontId="3" type="noConversion"/>
  </si>
  <si>
    <t>ANVIL BASE</t>
    <phoneticPr fontId="3" type="noConversion"/>
  </si>
  <si>
    <t>ST0509037-000</t>
    <phoneticPr fontId="3" type="noConversion"/>
  </si>
  <si>
    <t>MOVING ANVIL(Φ22.5)</t>
    <phoneticPr fontId="3" type="noConversion"/>
  </si>
  <si>
    <t>ST0509079-151</t>
    <phoneticPr fontId="3" type="noConversion"/>
  </si>
  <si>
    <t>MOVING ANVIL(Φ24.5)</t>
    <phoneticPr fontId="3" type="noConversion"/>
  </si>
  <si>
    <t>ST0509079-152</t>
  </si>
  <si>
    <t>MOVING ANVIL(Φ25)</t>
    <phoneticPr fontId="3" type="noConversion"/>
  </si>
  <si>
    <t>ST0509079-153</t>
  </si>
  <si>
    <t>MOVING ANVIL(Φ26.5)</t>
    <phoneticPr fontId="3" type="noConversion"/>
  </si>
  <si>
    <t>ST0509079-154</t>
  </si>
  <si>
    <t>MOVING ANVIL(Φ28.5)</t>
    <phoneticPr fontId="3" type="noConversion"/>
  </si>
  <si>
    <t>ST0509079-155</t>
  </si>
  <si>
    <t>MOVING ANVIL(Φ30)</t>
    <phoneticPr fontId="3" type="noConversion"/>
  </si>
  <si>
    <t>ST0509079-156</t>
  </si>
  <si>
    <t>MOVING ANVIL(Φ30.4)</t>
    <phoneticPr fontId="3" type="noConversion"/>
  </si>
  <si>
    <t>ST0509079-157</t>
  </si>
  <si>
    <t>ST0709012-000</t>
    <phoneticPr fontId="3" type="noConversion"/>
  </si>
  <si>
    <t>ST0709014-000</t>
    <phoneticPr fontId="3" type="noConversion"/>
  </si>
  <si>
    <t>ST0709015-002</t>
    <phoneticPr fontId="3" type="noConversion"/>
  </si>
  <si>
    <t>ST0709023-001</t>
    <phoneticPr fontId="3" type="noConversion"/>
  </si>
  <si>
    <t>BLOCK TABLE</t>
    <phoneticPr fontId="3" type="noConversion"/>
  </si>
  <si>
    <t>BLOCK TABLE</t>
    <phoneticPr fontId="3" type="noConversion"/>
  </si>
  <si>
    <t>ST0709025-003</t>
    <phoneticPr fontId="3" type="noConversion"/>
  </si>
  <si>
    <t>ST0709005</t>
    <phoneticPr fontId="3" type="noConversion"/>
  </si>
  <si>
    <t>ANVIL BLOCK(Φ23.741)</t>
    <phoneticPr fontId="3" type="noConversion"/>
  </si>
  <si>
    <t>ST0709026-151</t>
    <phoneticPr fontId="3" type="noConversion"/>
  </si>
  <si>
    <t>ST0709026-152</t>
  </si>
  <si>
    <t>ST0709026-153</t>
  </si>
  <si>
    <t>ST0709026-154</t>
  </si>
  <si>
    <t>ST0709026-155</t>
  </si>
  <si>
    <t>ANVIL BLOCK(Φ26.916)</t>
    <phoneticPr fontId="3" type="noConversion"/>
  </si>
  <si>
    <t>ST0709026-156</t>
  </si>
  <si>
    <t>ST0709026-157</t>
  </si>
  <si>
    <t>ANVIL BLOCK(Φ34.131)</t>
    <phoneticPr fontId="3" type="noConversion"/>
  </si>
  <si>
    <t>ST0709026-158</t>
  </si>
  <si>
    <t>FIXED ANVIL</t>
    <phoneticPr fontId="3" type="noConversion"/>
  </si>
  <si>
    <t>MOVING ANVIL</t>
    <phoneticPr fontId="3" type="noConversion"/>
  </si>
  <si>
    <t>MEASURING PART</t>
    <phoneticPr fontId="3" type="noConversion"/>
  </si>
  <si>
    <t>SPEED CONTROLLER</t>
    <phoneticPr fontId="3" type="noConversion"/>
  </si>
  <si>
    <t>AS2201F-02-06S</t>
    <phoneticPr fontId="3" type="noConversion"/>
  </si>
  <si>
    <t>CDQ2B50-35DM</t>
    <phoneticPr fontId="3" type="noConversion"/>
  </si>
  <si>
    <t>J-1815</t>
    <phoneticPr fontId="3" type="noConversion"/>
  </si>
  <si>
    <t>DUST SEAL</t>
    <phoneticPr fontId="3" type="noConversion"/>
  </si>
  <si>
    <t>ORA45</t>
    <phoneticPr fontId="3" type="noConversion"/>
  </si>
  <si>
    <t>LIVE CENTER</t>
    <phoneticPr fontId="3" type="noConversion"/>
  </si>
  <si>
    <t>KSA1-18-C014JOO</t>
    <phoneticPr fontId="3" type="noConversion"/>
  </si>
  <si>
    <t>DU BUSH</t>
    <phoneticPr fontId="3" type="noConversion"/>
  </si>
  <si>
    <t>MB1215DU</t>
    <phoneticPr fontId="3" type="noConversion"/>
  </si>
  <si>
    <t>OIL SEAL</t>
    <phoneticPr fontId="3" type="noConversion"/>
  </si>
  <si>
    <t>SC55709</t>
    <phoneticPr fontId="3" type="noConversion"/>
  </si>
  <si>
    <t>TAPER ROLLER BEARING</t>
    <phoneticPr fontId="3" type="noConversion"/>
  </si>
  <si>
    <t>HR30206J P5</t>
    <phoneticPr fontId="3" type="noConversion"/>
  </si>
  <si>
    <t>SC45609</t>
    <phoneticPr fontId="3" type="noConversion"/>
  </si>
  <si>
    <t>ZM NUT</t>
    <phoneticPr fontId="3" type="noConversion"/>
  </si>
  <si>
    <t>ZM 30</t>
    <phoneticPr fontId="3" type="noConversion"/>
  </si>
  <si>
    <t>INDUCTION MOTOR</t>
    <phoneticPr fontId="3" type="noConversion"/>
  </si>
  <si>
    <t>TEFC-80</t>
    <phoneticPr fontId="3" type="noConversion"/>
  </si>
  <si>
    <t>TIIMING BELT</t>
    <phoneticPr fontId="3" type="noConversion"/>
  </si>
  <si>
    <t>250 S5M 600</t>
    <phoneticPr fontId="3" type="noConversion"/>
  </si>
  <si>
    <t>POWER LOCK</t>
    <phoneticPr fontId="3" type="noConversion"/>
  </si>
  <si>
    <t>MLM25</t>
    <phoneticPr fontId="3" type="noConversion"/>
  </si>
  <si>
    <t>JAL80-22-150</t>
    <phoneticPr fontId="3" type="noConversion"/>
  </si>
  <si>
    <t>CDQ2B80-50DM-A73L</t>
    <phoneticPr fontId="3" type="noConversion"/>
  </si>
  <si>
    <t>SPEED CONTROLLER V/V</t>
    <phoneticPr fontId="3" type="noConversion"/>
  </si>
  <si>
    <t>AS3201F-02-08S</t>
    <phoneticPr fontId="3" type="noConversion"/>
  </si>
  <si>
    <t>HSR25R2QZ UU+330L</t>
    <phoneticPr fontId="3" type="noConversion"/>
  </si>
  <si>
    <t>AHTN140-KC15</t>
    <phoneticPr fontId="3" type="noConversion"/>
  </si>
  <si>
    <t>6002ZZ</t>
    <phoneticPr fontId="3" type="noConversion"/>
  </si>
  <si>
    <t>U NUT</t>
    <phoneticPr fontId="3" type="noConversion"/>
  </si>
  <si>
    <t>XS2F-D422-GA0-F</t>
    <phoneticPr fontId="3" type="noConversion"/>
  </si>
  <si>
    <t>PSCS12-12</t>
    <phoneticPr fontId="3" type="noConversion"/>
  </si>
  <si>
    <t>HSR20R 2QZ UU+340L</t>
    <phoneticPr fontId="3" type="noConversion"/>
  </si>
  <si>
    <t>HSR20R 2QZ UU+280L</t>
    <phoneticPr fontId="3" type="noConversion"/>
  </si>
  <si>
    <t>CBA2F63-100HN</t>
    <phoneticPr fontId="3" type="noConversion"/>
  </si>
  <si>
    <t>SPEED CONTROL V/V</t>
    <phoneticPr fontId="3" type="noConversion"/>
  </si>
  <si>
    <t>JA63-18-150</t>
    <phoneticPr fontId="3" type="noConversion"/>
  </si>
  <si>
    <t>MOTOR</t>
    <phoneticPr fontId="3" type="noConversion"/>
  </si>
  <si>
    <t>BHI 62UT2-5(300RPM)</t>
    <phoneticPr fontId="3" type="noConversion"/>
  </si>
  <si>
    <t>SC32458</t>
    <phoneticPr fontId="3" type="noConversion"/>
  </si>
  <si>
    <t>HR30205J</t>
    <phoneticPr fontId="3" type="noConversion"/>
  </si>
  <si>
    <t>TIMING BELT</t>
    <phoneticPr fontId="3" type="noConversion"/>
  </si>
  <si>
    <t>250 S5M 520</t>
    <phoneticPr fontId="3" type="noConversion"/>
  </si>
  <si>
    <t>KES6-15</t>
    <phoneticPr fontId="3" type="noConversion"/>
  </si>
  <si>
    <t>ZM 20</t>
    <phoneticPr fontId="3" type="noConversion"/>
  </si>
  <si>
    <t>GEARED MOTOR</t>
    <phoneticPr fontId="3" type="noConversion"/>
  </si>
  <si>
    <t>G3K22N20-MM04TENTN</t>
    <phoneticPr fontId="3" type="noConversion"/>
  </si>
  <si>
    <t>HSR25R2QZ UU+1420L</t>
    <phoneticPr fontId="3" type="noConversion"/>
  </si>
  <si>
    <t>CABLEVEYOR</t>
    <phoneticPr fontId="3" type="noConversion"/>
  </si>
  <si>
    <t>ST055N.050.R100/F-1870L</t>
    <phoneticPr fontId="3" type="noConversion"/>
  </si>
  <si>
    <t>E2E-X7D1-M1G</t>
    <phoneticPr fontId="3" type="noConversion"/>
  </si>
  <si>
    <t>SHOCK ABSOBER</t>
    <phoneticPr fontId="3" type="noConversion"/>
  </si>
  <si>
    <t>OEM. 5MB</t>
    <phoneticPr fontId="3" type="noConversion"/>
  </si>
  <si>
    <t>STOPPER BLOCK</t>
    <phoneticPr fontId="3" type="noConversion"/>
  </si>
  <si>
    <t>STOPPER BLOCK</t>
    <phoneticPr fontId="3" type="noConversion"/>
  </si>
  <si>
    <t>STBN12-30</t>
    <phoneticPr fontId="3" type="noConversion"/>
  </si>
  <si>
    <t>STOPPER BOLT</t>
    <phoneticPr fontId="3" type="noConversion"/>
  </si>
  <si>
    <t>ANBN12-45</t>
    <phoneticPr fontId="3" type="noConversion"/>
  </si>
  <si>
    <t>KES5-20</t>
    <phoneticPr fontId="3" type="noConversion"/>
  </si>
  <si>
    <t>RADIAL BRISTLE</t>
    <phoneticPr fontId="3" type="noConversion"/>
  </si>
  <si>
    <t>50X T-A</t>
    <phoneticPr fontId="3" type="noConversion"/>
  </si>
  <si>
    <t>SET</t>
    <phoneticPr fontId="3" type="noConversion"/>
  </si>
  <si>
    <t>SC365007</t>
    <phoneticPr fontId="3" type="noConversion"/>
  </si>
  <si>
    <t>HSR25R 1QZ UU+1420L</t>
    <phoneticPr fontId="3" type="noConversion"/>
  </si>
  <si>
    <t>AWY6-35</t>
    <phoneticPr fontId="3" type="noConversion"/>
  </si>
  <si>
    <t>DTF SENSOR</t>
    <phoneticPr fontId="3" type="noConversion"/>
  </si>
  <si>
    <t>DTD-B8C-A</t>
    <phoneticPr fontId="3" type="noConversion"/>
  </si>
  <si>
    <t>SPRING POST</t>
    <phoneticPr fontId="3" type="noConversion"/>
  </si>
  <si>
    <t>ASP04-20</t>
    <phoneticPr fontId="3" type="noConversion"/>
  </si>
  <si>
    <t>ASP04-15</t>
    <phoneticPr fontId="3" type="noConversion"/>
  </si>
  <si>
    <t>BEARING</t>
    <phoneticPr fontId="3" type="noConversion"/>
  </si>
  <si>
    <t>6800Z-P4</t>
    <phoneticPr fontId="3" type="noConversion"/>
  </si>
  <si>
    <t>SERVO MOTOR</t>
    <phoneticPr fontId="3" type="noConversion"/>
  </si>
  <si>
    <t>HG-KR13</t>
    <phoneticPr fontId="3" type="noConversion"/>
  </si>
  <si>
    <t>J-1415</t>
    <phoneticPr fontId="3" type="noConversion"/>
  </si>
  <si>
    <t>CONNECTOR</t>
    <phoneticPr fontId="3" type="noConversion"/>
  </si>
  <si>
    <t>CQ2B50-30DM</t>
    <phoneticPr fontId="3" type="noConversion"/>
  </si>
  <si>
    <t>K2A1-18-C014J00</t>
    <phoneticPr fontId="3" type="noConversion"/>
  </si>
  <si>
    <t>CLAMP LEVER</t>
    <phoneticPr fontId="3" type="noConversion"/>
  </si>
  <si>
    <t>CLRA10-50-B</t>
    <phoneticPr fontId="3" type="noConversion"/>
  </si>
  <si>
    <t>ENCODER</t>
    <phoneticPr fontId="3" type="noConversion"/>
  </si>
  <si>
    <t>TRD-N1000-RZB</t>
    <phoneticPr fontId="3" type="noConversion"/>
  </si>
  <si>
    <t>COUPLER</t>
    <phoneticPr fontId="3" type="noConversion"/>
  </si>
  <si>
    <t>GJ-8</t>
    <phoneticPr fontId="3" type="noConversion"/>
  </si>
  <si>
    <t>FU01SC</t>
    <phoneticPr fontId="3" type="noConversion"/>
  </si>
  <si>
    <t>6201ZZ</t>
    <phoneticPr fontId="3" type="noConversion"/>
  </si>
  <si>
    <t>CQ2B40-30DM</t>
    <phoneticPr fontId="3" type="noConversion"/>
  </si>
  <si>
    <t>REDUCER</t>
    <phoneticPr fontId="3" type="noConversion"/>
  </si>
  <si>
    <t>AB042-010-S2-P2/HG-KR13</t>
    <phoneticPr fontId="3" type="noConversion"/>
  </si>
  <si>
    <t>MB0810DU</t>
    <phoneticPr fontId="3" type="noConversion"/>
  </si>
  <si>
    <t>CENTER</t>
    <phoneticPr fontId="3" type="noConversion"/>
  </si>
  <si>
    <t>SPINDLE</t>
    <phoneticPr fontId="3" type="noConversion"/>
  </si>
  <si>
    <t>AUTO LOADER</t>
    <phoneticPr fontId="3" type="noConversion"/>
  </si>
  <si>
    <t>MEASURING</t>
    <phoneticPr fontId="3" type="noConversion"/>
  </si>
  <si>
    <t>CENTER HOUSING</t>
    <phoneticPr fontId="3" type="noConversion"/>
  </si>
  <si>
    <t>ST4412001-001</t>
    <phoneticPr fontId="3" type="noConversion"/>
  </si>
  <si>
    <t>CENTER SLEEVE</t>
    <phoneticPr fontId="3" type="noConversion"/>
  </si>
  <si>
    <t>ST4412002-001</t>
    <phoneticPr fontId="3" type="noConversion"/>
  </si>
  <si>
    <t>ST4412003</t>
    <phoneticPr fontId="3" type="noConversion"/>
  </si>
  <si>
    <t>ST4412004</t>
    <phoneticPr fontId="3" type="noConversion"/>
  </si>
  <si>
    <t>ST4412005</t>
    <phoneticPr fontId="3" type="noConversion"/>
  </si>
  <si>
    <t>SENSOR PLATE</t>
    <phoneticPr fontId="3" type="noConversion"/>
  </si>
  <si>
    <t>ST4412006</t>
    <phoneticPr fontId="3" type="noConversion"/>
  </si>
  <si>
    <t>CYLINDER BRACKET</t>
    <phoneticPr fontId="3" type="noConversion"/>
  </si>
  <si>
    <t>ST4412007-001</t>
    <phoneticPr fontId="3" type="noConversion"/>
  </si>
  <si>
    <t>GUIDE SHAFT</t>
    <phoneticPr fontId="3" type="noConversion"/>
  </si>
  <si>
    <t>ST4412008</t>
    <phoneticPr fontId="3" type="noConversion"/>
  </si>
  <si>
    <t>SEAL COVER</t>
    <phoneticPr fontId="3" type="noConversion"/>
  </si>
  <si>
    <t>ST4412009</t>
    <phoneticPr fontId="3" type="noConversion"/>
  </si>
  <si>
    <t>SWITCH BRACKET</t>
    <phoneticPr fontId="3" type="noConversion"/>
  </si>
  <si>
    <t>ST4412011-001</t>
    <phoneticPr fontId="3" type="noConversion"/>
  </si>
  <si>
    <t>CENTER NUT</t>
    <phoneticPr fontId="3" type="noConversion"/>
  </si>
  <si>
    <t>ST4421003</t>
    <phoneticPr fontId="3" type="noConversion"/>
  </si>
  <si>
    <t>SPINDLE HOUSING</t>
    <phoneticPr fontId="3" type="noConversion"/>
  </si>
  <si>
    <t>ST4512001</t>
    <phoneticPr fontId="3" type="noConversion"/>
  </si>
  <si>
    <t>SPINDLE</t>
    <phoneticPr fontId="3" type="noConversion"/>
  </si>
  <si>
    <t>ST4512002-001</t>
    <phoneticPr fontId="3" type="noConversion"/>
  </si>
  <si>
    <t>CENTER</t>
    <phoneticPr fontId="3" type="noConversion"/>
  </si>
  <si>
    <t>ST4512003</t>
    <phoneticPr fontId="3" type="noConversion"/>
  </si>
  <si>
    <t>ST4512004</t>
    <phoneticPr fontId="3" type="noConversion"/>
  </si>
  <si>
    <t>ST4512005</t>
    <phoneticPr fontId="3" type="noConversion"/>
  </si>
  <si>
    <t>ST4512006</t>
    <phoneticPr fontId="3" type="noConversion"/>
  </si>
  <si>
    <t>ST4512007</t>
    <phoneticPr fontId="3" type="noConversion"/>
  </si>
  <si>
    <t>MOTOR PULLEY</t>
    <phoneticPr fontId="3" type="noConversion"/>
  </si>
  <si>
    <t>ST4512008</t>
    <phoneticPr fontId="3" type="noConversion"/>
  </si>
  <si>
    <t>SPINDLE PULLEY</t>
    <phoneticPr fontId="3" type="noConversion"/>
  </si>
  <si>
    <t>ST4512009</t>
    <phoneticPr fontId="3" type="noConversion"/>
  </si>
  <si>
    <t>WASHER</t>
    <phoneticPr fontId="3" type="noConversion"/>
  </si>
  <si>
    <t>ST4512010</t>
    <phoneticPr fontId="3" type="noConversion"/>
  </si>
  <si>
    <t>POST</t>
    <phoneticPr fontId="3" type="noConversion"/>
  </si>
  <si>
    <t>POST</t>
    <phoneticPr fontId="3" type="noConversion"/>
  </si>
  <si>
    <t>ST4512011-001</t>
    <phoneticPr fontId="3" type="noConversion"/>
  </si>
  <si>
    <t>MOTOR PLATE</t>
    <phoneticPr fontId="3" type="noConversion"/>
  </si>
  <si>
    <t>MOTOR PLATE</t>
    <phoneticPr fontId="3" type="noConversion"/>
  </si>
  <si>
    <t>ST4512012</t>
    <phoneticPr fontId="3" type="noConversion"/>
  </si>
  <si>
    <t>MAIN PLATE</t>
    <phoneticPr fontId="3" type="noConversion"/>
  </si>
  <si>
    <t>ST4512013</t>
    <phoneticPr fontId="3" type="noConversion"/>
  </si>
  <si>
    <t>ST4512014</t>
    <phoneticPr fontId="3" type="noConversion"/>
  </si>
  <si>
    <t>SODE COVER</t>
    <phoneticPr fontId="3" type="noConversion"/>
  </si>
  <si>
    <t>ST4512015</t>
    <phoneticPr fontId="3" type="noConversion"/>
  </si>
  <si>
    <t>LM PLATE</t>
    <phoneticPr fontId="3" type="noConversion"/>
  </si>
  <si>
    <t>ST4512016</t>
    <phoneticPr fontId="3" type="noConversion"/>
  </si>
  <si>
    <t>ST4512017</t>
    <phoneticPr fontId="3" type="noConversion"/>
  </si>
  <si>
    <t>PULLEY COVER</t>
    <phoneticPr fontId="3" type="noConversion"/>
  </si>
  <si>
    <t>ST4512018-001</t>
    <phoneticPr fontId="3" type="noConversion"/>
  </si>
  <si>
    <t>MOTOR COVER</t>
    <phoneticPr fontId="3" type="noConversion"/>
  </si>
  <si>
    <t>ST4517004</t>
    <phoneticPr fontId="3" type="noConversion"/>
  </si>
  <si>
    <t>ST4519001</t>
    <phoneticPr fontId="3" type="noConversion"/>
  </si>
  <si>
    <t>ST4612001-003</t>
    <phoneticPr fontId="3" type="noConversion"/>
  </si>
  <si>
    <t>ST4612002-001</t>
    <phoneticPr fontId="3" type="noConversion"/>
  </si>
  <si>
    <t>RAIL GUIDE</t>
    <phoneticPr fontId="3" type="noConversion"/>
  </si>
  <si>
    <t>ST4612003-002</t>
    <phoneticPr fontId="3" type="noConversion"/>
  </si>
  <si>
    <t>ST4612004-001</t>
    <phoneticPr fontId="3" type="noConversion"/>
  </si>
  <si>
    <t>ST4612005-001</t>
    <phoneticPr fontId="3" type="noConversion"/>
  </si>
  <si>
    <t>S4612006-003</t>
    <phoneticPr fontId="3" type="noConversion"/>
  </si>
  <si>
    <t>ST4612007</t>
    <phoneticPr fontId="3" type="noConversion"/>
  </si>
  <si>
    <t>ST4612008</t>
    <phoneticPr fontId="3" type="noConversion"/>
  </si>
  <si>
    <t>ST4612009</t>
    <phoneticPr fontId="3" type="noConversion"/>
  </si>
  <si>
    <t>ST4612009-001</t>
    <phoneticPr fontId="3" type="noConversion"/>
  </si>
  <si>
    <t>ST4612010</t>
    <phoneticPr fontId="3" type="noConversion"/>
  </si>
  <si>
    <t>PULLEY</t>
    <phoneticPr fontId="3" type="noConversion"/>
  </si>
  <si>
    <t>ST4612011</t>
    <phoneticPr fontId="3" type="noConversion"/>
  </si>
  <si>
    <t>MOTOR HOUSING</t>
    <phoneticPr fontId="3" type="noConversion"/>
  </si>
  <si>
    <t>ST4612013</t>
    <phoneticPr fontId="3" type="noConversion"/>
  </si>
  <si>
    <t>LOADER PLATE</t>
    <phoneticPr fontId="3" type="noConversion"/>
  </si>
  <si>
    <t>ST4612014</t>
    <phoneticPr fontId="3" type="noConversion"/>
  </si>
  <si>
    <t>ST4612015</t>
    <phoneticPr fontId="3" type="noConversion"/>
  </si>
  <si>
    <t>ST4612016</t>
    <phoneticPr fontId="3" type="noConversion"/>
  </si>
  <si>
    <t>ST4612017</t>
    <phoneticPr fontId="3" type="noConversion"/>
  </si>
  <si>
    <t>ST4612018</t>
    <phoneticPr fontId="3" type="noConversion"/>
  </si>
  <si>
    <t>ST4612018-001</t>
    <phoneticPr fontId="3" type="noConversion"/>
  </si>
  <si>
    <t>ST4612019</t>
    <phoneticPr fontId="3" type="noConversion"/>
  </si>
  <si>
    <t>ST4612020</t>
    <phoneticPr fontId="3" type="noConversion"/>
  </si>
  <si>
    <t>ST4612021</t>
    <phoneticPr fontId="3" type="noConversion"/>
  </si>
  <si>
    <t>ST4612022</t>
    <phoneticPr fontId="3" type="noConversion"/>
  </si>
  <si>
    <t>MOVING PLATE</t>
    <phoneticPr fontId="3" type="noConversion"/>
  </si>
  <si>
    <t>ST4612023-001</t>
    <phoneticPr fontId="3" type="noConversion"/>
  </si>
  <si>
    <t>ST4612024-001</t>
    <phoneticPr fontId="3" type="noConversion"/>
  </si>
  <si>
    <t>ST4612025</t>
    <phoneticPr fontId="3" type="noConversion"/>
  </si>
  <si>
    <t>ST4612026</t>
    <phoneticPr fontId="3" type="noConversion"/>
  </si>
  <si>
    <t>BEARING HOUSING</t>
    <phoneticPr fontId="3" type="noConversion"/>
  </si>
  <si>
    <t>ST4612027</t>
    <phoneticPr fontId="3" type="noConversion"/>
  </si>
  <si>
    <t>JOINT BLOCK</t>
    <phoneticPr fontId="3" type="noConversion"/>
  </si>
  <si>
    <t>ST4612028</t>
    <phoneticPr fontId="3" type="noConversion"/>
  </si>
  <si>
    <t>ST4612029-002</t>
    <phoneticPr fontId="3" type="noConversion"/>
  </si>
  <si>
    <t>GEAR</t>
    <phoneticPr fontId="3" type="noConversion"/>
  </si>
  <si>
    <t>ST4612031</t>
    <phoneticPr fontId="3" type="noConversion"/>
  </si>
  <si>
    <t>ST4612032-002</t>
    <phoneticPr fontId="3" type="noConversion"/>
  </si>
  <si>
    <t>STOPPER BRACKET</t>
    <phoneticPr fontId="3" type="noConversion"/>
  </si>
  <si>
    <t>ST4612033-001</t>
    <phoneticPr fontId="3" type="noConversion"/>
  </si>
  <si>
    <t>RACK GEAR</t>
    <phoneticPr fontId="3" type="noConversion"/>
  </si>
  <si>
    <t>ST4612034-002</t>
    <phoneticPr fontId="3" type="noConversion"/>
  </si>
  <si>
    <t>WINDOW</t>
    <phoneticPr fontId="3" type="noConversion"/>
  </si>
  <si>
    <t>ST4612035</t>
    <phoneticPr fontId="3" type="noConversion"/>
  </si>
  <si>
    <t>ST4613001</t>
    <phoneticPr fontId="3" type="noConversion"/>
  </si>
  <si>
    <t>LIMIT SWITCH DOG</t>
    <phoneticPr fontId="3" type="noConversion"/>
  </si>
  <si>
    <t>ST4617006-001</t>
    <phoneticPr fontId="3" type="noConversion"/>
  </si>
  <si>
    <t>ST4617007</t>
    <phoneticPr fontId="3" type="noConversion"/>
  </si>
  <si>
    <t>ST4617008-001</t>
    <phoneticPr fontId="3" type="noConversion"/>
  </si>
  <si>
    <t>HOLDER</t>
    <phoneticPr fontId="3" type="noConversion"/>
  </si>
  <si>
    <t>ST4617009-002</t>
    <phoneticPr fontId="3" type="noConversion"/>
  </si>
  <si>
    <t>WHEEL COVER</t>
    <phoneticPr fontId="3" type="noConversion"/>
  </si>
  <si>
    <t>ST4617011-004</t>
    <phoneticPr fontId="3" type="noConversion"/>
  </si>
  <si>
    <t>ST4617012</t>
    <phoneticPr fontId="3" type="noConversion"/>
  </si>
  <si>
    <t>CAP</t>
    <phoneticPr fontId="3" type="noConversion"/>
  </si>
  <si>
    <t>ST4617013-001</t>
    <phoneticPr fontId="3" type="noConversion"/>
  </si>
  <si>
    <t>ST4617016-002</t>
    <phoneticPr fontId="3" type="noConversion"/>
  </si>
  <si>
    <t>ST4624002-001</t>
    <phoneticPr fontId="3" type="noConversion"/>
  </si>
  <si>
    <t>ST4619001</t>
    <phoneticPr fontId="3" type="noConversion"/>
  </si>
  <si>
    <t>NUT</t>
    <phoneticPr fontId="3" type="noConversion"/>
  </si>
  <si>
    <t>ST4619002</t>
    <phoneticPr fontId="3" type="noConversion"/>
  </si>
  <si>
    <t>ST4619003</t>
    <phoneticPr fontId="3" type="noConversion"/>
  </si>
  <si>
    <t>ST4612030</t>
    <phoneticPr fontId="3" type="noConversion"/>
  </si>
  <si>
    <t>ST0809045-000</t>
    <phoneticPr fontId="3" type="noConversion"/>
  </si>
  <si>
    <t>ST0809046-000</t>
    <phoneticPr fontId="3" type="noConversion"/>
  </si>
  <si>
    <t>SWING ARM</t>
    <phoneticPr fontId="3" type="noConversion"/>
  </si>
  <si>
    <t>ST0809047-000</t>
    <phoneticPr fontId="3" type="noConversion"/>
  </si>
  <si>
    <t>DTF COVER</t>
    <phoneticPr fontId="3" type="noConversion"/>
  </si>
  <si>
    <t>ST0809048-001</t>
    <phoneticPr fontId="3" type="noConversion"/>
  </si>
  <si>
    <t>HOLDER HANDLE</t>
    <phoneticPr fontId="3" type="noConversion"/>
  </si>
  <si>
    <t>ST0809049-000</t>
    <phoneticPr fontId="3" type="noConversion"/>
  </si>
  <si>
    <t>STOPPER PAD</t>
    <phoneticPr fontId="3" type="noConversion"/>
  </si>
  <si>
    <t>ST0809050-000</t>
    <phoneticPr fontId="3" type="noConversion"/>
  </si>
  <si>
    <t>HINGE SHAFT</t>
    <phoneticPr fontId="3" type="noConversion"/>
  </si>
  <si>
    <t>ST0809051-000</t>
    <phoneticPr fontId="3" type="noConversion"/>
  </si>
  <si>
    <t>BRG COVER</t>
    <phoneticPr fontId="3" type="noConversion"/>
  </si>
  <si>
    <t>ST0809052-000</t>
    <phoneticPr fontId="3" type="noConversion"/>
  </si>
  <si>
    <t>BRG COLLAR</t>
    <phoneticPr fontId="3" type="noConversion"/>
  </si>
  <si>
    <t>ST0809053-000</t>
    <phoneticPr fontId="3" type="noConversion"/>
  </si>
  <si>
    <t>ST0809054-000</t>
    <phoneticPr fontId="3" type="noConversion"/>
  </si>
  <si>
    <t>DTF HOLDER</t>
    <phoneticPr fontId="3" type="noConversion"/>
  </si>
  <si>
    <t>ST0809055-000</t>
    <phoneticPr fontId="3" type="noConversion"/>
  </si>
  <si>
    <t>DTF CLAMP</t>
    <phoneticPr fontId="3" type="noConversion"/>
  </si>
  <si>
    <t>ST0809056-000</t>
    <phoneticPr fontId="3" type="noConversion"/>
  </si>
  <si>
    <t>ST0809057-000</t>
    <phoneticPr fontId="3" type="noConversion"/>
  </si>
  <si>
    <t>ST0809063-000</t>
    <phoneticPr fontId="3" type="noConversion"/>
  </si>
  <si>
    <t>ST0809017-000</t>
    <phoneticPr fontId="3" type="noConversion"/>
  </si>
  <si>
    <t>GAUGE BAR</t>
    <phoneticPr fontId="3" type="noConversion"/>
  </si>
  <si>
    <t>ST0809012-000</t>
    <phoneticPr fontId="3" type="noConversion"/>
  </si>
  <si>
    <t>GAUGE BLOCK(Φ22.2)</t>
    <phoneticPr fontId="3" type="noConversion"/>
  </si>
  <si>
    <t>ST0822001-051</t>
    <phoneticPr fontId="3" type="noConversion"/>
  </si>
  <si>
    <t>GAUGE BLOCK(Φ22.5)</t>
    <phoneticPr fontId="3" type="noConversion"/>
  </si>
  <si>
    <t>ST0822001-052</t>
    <phoneticPr fontId="3" type="noConversion"/>
  </si>
  <si>
    <t>GAUGE BLOCK(Φ23.2)</t>
    <phoneticPr fontId="3" type="noConversion"/>
  </si>
  <si>
    <t>ST0822001-053</t>
    <phoneticPr fontId="3" type="noConversion"/>
  </si>
  <si>
    <t>GAUGE BLOCK(Φ24.2)</t>
    <phoneticPr fontId="3" type="noConversion"/>
  </si>
  <si>
    <t>ST0822001-054</t>
    <phoneticPr fontId="3" type="noConversion"/>
  </si>
  <si>
    <t>GAUGE BLOCK(Φ24.5)</t>
    <phoneticPr fontId="3" type="noConversion"/>
  </si>
  <si>
    <t>ST0822001-055</t>
    <phoneticPr fontId="3" type="noConversion"/>
  </si>
  <si>
    <t>GAUGE BLOCK(Φ25)</t>
    <phoneticPr fontId="3" type="noConversion"/>
  </si>
  <si>
    <t>ST0822001-056</t>
    <phoneticPr fontId="3" type="noConversion"/>
  </si>
  <si>
    <t>GAUGE BLOCK(Φ25.4)</t>
    <phoneticPr fontId="3" type="noConversion"/>
  </si>
  <si>
    <t>ST0822001-057</t>
    <phoneticPr fontId="3" type="noConversion"/>
  </si>
  <si>
    <t>GAUGE BLOCK(Φ27.8)</t>
    <phoneticPr fontId="3" type="noConversion"/>
  </si>
  <si>
    <t>ST0822001-058</t>
    <phoneticPr fontId="3" type="noConversion"/>
  </si>
  <si>
    <t>GAUGE BLOCK(Φ28.5)</t>
    <phoneticPr fontId="3" type="noConversion"/>
  </si>
  <si>
    <t>ST0822001-059</t>
    <phoneticPr fontId="3" type="noConversion"/>
  </si>
  <si>
    <t>GAUGE BLOCK(Φ29.7)</t>
    <phoneticPr fontId="3" type="noConversion"/>
  </si>
  <si>
    <t>ST0822001-060</t>
    <phoneticPr fontId="3" type="noConversion"/>
  </si>
  <si>
    <t>GAUGE BLOCK(Φ30)</t>
    <phoneticPr fontId="3" type="noConversion"/>
  </si>
  <si>
    <t>ST0822001-061</t>
    <phoneticPr fontId="3" type="noConversion"/>
  </si>
  <si>
    <t>GAUGE BLOCK(Φ30.4)</t>
    <phoneticPr fontId="3" type="noConversion"/>
  </si>
  <si>
    <t>ST0822001-062</t>
    <phoneticPr fontId="3" type="noConversion"/>
  </si>
  <si>
    <t>CENTER HOUSING-1</t>
    <phoneticPr fontId="3" type="noConversion"/>
  </si>
  <si>
    <t>ST0909004-002</t>
    <phoneticPr fontId="3" type="noConversion"/>
  </si>
  <si>
    <t>CENTER HOUSING-2</t>
    <phoneticPr fontId="3" type="noConversion"/>
  </si>
  <si>
    <t>ST0909005-002</t>
    <phoneticPr fontId="3" type="noConversion"/>
  </si>
  <si>
    <t>CYL' BRACKET</t>
    <phoneticPr fontId="3" type="noConversion"/>
  </si>
  <si>
    <t>ST0909006-000</t>
    <phoneticPr fontId="3" type="noConversion"/>
  </si>
  <si>
    <t>BASE</t>
    <phoneticPr fontId="3" type="noConversion"/>
  </si>
  <si>
    <t>ST0909007-000</t>
    <phoneticPr fontId="3" type="noConversion"/>
  </si>
  <si>
    <t>MOTOR BRACKET</t>
    <phoneticPr fontId="3" type="noConversion"/>
  </si>
  <si>
    <t>ST0909008-005</t>
    <phoneticPr fontId="3" type="noConversion"/>
  </si>
  <si>
    <t>CENTER SLEEVE-1</t>
    <phoneticPr fontId="3" type="noConversion"/>
  </si>
  <si>
    <t>ST0909010-002</t>
    <phoneticPr fontId="3" type="noConversion"/>
  </si>
  <si>
    <t>CENTER SLEEVE-2</t>
    <phoneticPr fontId="3" type="noConversion"/>
  </si>
  <si>
    <t>ST0909011-003</t>
    <phoneticPr fontId="3" type="noConversion"/>
  </si>
  <si>
    <t>ST0909012-000</t>
    <phoneticPr fontId="3" type="noConversion"/>
  </si>
  <si>
    <t>ST0909014-000</t>
    <phoneticPr fontId="3" type="noConversion"/>
  </si>
  <si>
    <t>ST0909016-000</t>
    <phoneticPr fontId="3" type="noConversion"/>
  </si>
  <si>
    <t>GEAR 가공도</t>
    <phoneticPr fontId="3" type="noConversion"/>
  </si>
  <si>
    <t>ST0909017-000</t>
    <phoneticPr fontId="3" type="noConversion"/>
  </si>
  <si>
    <t>GEAR(MOTOR)</t>
    <phoneticPr fontId="3" type="noConversion"/>
  </si>
  <si>
    <t>ST0909018-001</t>
    <phoneticPr fontId="3" type="noConversion"/>
  </si>
  <si>
    <t>ST0909019-000</t>
    <phoneticPr fontId="3" type="noConversion"/>
  </si>
  <si>
    <t>ST0909020-000</t>
    <phoneticPr fontId="3" type="noConversion"/>
  </si>
  <si>
    <t>ST0909021-001</t>
    <phoneticPr fontId="3" type="noConversion"/>
  </si>
  <si>
    <t>ST0909022-000</t>
    <phoneticPr fontId="3" type="noConversion"/>
  </si>
  <si>
    <t>HOUSING</t>
    <phoneticPr fontId="3" type="noConversion"/>
  </si>
  <si>
    <t>ST0909023-000</t>
    <phoneticPr fontId="3" type="noConversion"/>
  </si>
  <si>
    <t>GEAR(ENCODER)</t>
    <phoneticPr fontId="3" type="noConversion"/>
  </si>
  <si>
    <t>ST0909024-000</t>
    <phoneticPr fontId="3" type="noConversion"/>
  </si>
  <si>
    <t>ENCODER BKT</t>
    <phoneticPr fontId="3" type="noConversion"/>
  </si>
  <si>
    <t>ST0909026-001</t>
    <phoneticPr fontId="3" type="noConversion"/>
  </si>
  <si>
    <t>ST0909027-000</t>
    <phoneticPr fontId="3" type="noConversion"/>
  </si>
  <si>
    <t>ENCODER PLATE-1</t>
    <phoneticPr fontId="3" type="noConversion"/>
  </si>
  <si>
    <t>ST0909028-000</t>
    <phoneticPr fontId="3" type="noConversion"/>
  </si>
  <si>
    <t>ST0909029-001</t>
    <phoneticPr fontId="3" type="noConversion"/>
  </si>
  <si>
    <t>BEARING CASE</t>
    <phoneticPr fontId="3" type="noConversion"/>
  </si>
  <si>
    <t>ST0909030-000</t>
    <phoneticPr fontId="3" type="noConversion"/>
  </si>
  <si>
    <t>CYL BRACKET</t>
    <phoneticPr fontId="3" type="noConversion"/>
  </si>
  <si>
    <t>ST0909034-002</t>
    <phoneticPr fontId="3" type="noConversion"/>
  </si>
  <si>
    <t>ST0909035-001</t>
    <phoneticPr fontId="3" type="noConversion"/>
  </si>
  <si>
    <t>GUIDE BAR</t>
    <phoneticPr fontId="3" type="noConversion"/>
  </si>
  <si>
    <t>ST0909036-000</t>
    <phoneticPr fontId="3" type="noConversion"/>
  </si>
  <si>
    <t>BOLT</t>
    <phoneticPr fontId="3" type="noConversion"/>
  </si>
  <si>
    <t>ST0909037-000</t>
    <phoneticPr fontId="3" type="noConversion"/>
  </si>
  <si>
    <t>ST0910018-002</t>
    <phoneticPr fontId="3" type="noConversion"/>
  </si>
  <si>
    <t>ST0910019-002</t>
    <phoneticPr fontId="3" type="noConversion"/>
  </si>
  <si>
    <t>ST0910020-000</t>
    <phoneticPr fontId="3" type="noConversion"/>
  </si>
  <si>
    <t>ST0917002</t>
    <phoneticPr fontId="3" type="noConversion"/>
  </si>
  <si>
    <t>ST0917003</t>
    <phoneticPr fontId="3" type="noConversion"/>
  </si>
  <si>
    <t>ST0918009</t>
    <phoneticPr fontId="3" type="noConversion"/>
  </si>
  <si>
    <t>ST0918057</t>
    <phoneticPr fontId="3" type="noConversion"/>
  </si>
  <si>
    <t>AUTO LOADER</t>
    <phoneticPr fontId="3" type="noConversion"/>
  </si>
  <si>
    <t>MEASURING</t>
    <phoneticPr fontId="3" type="noConversion"/>
  </si>
  <si>
    <t>전기 이벤트 &amp; 양산대응</t>
    <phoneticPr fontId="3" type="noConversion"/>
  </si>
  <si>
    <t>RAM PART</t>
    <phoneticPr fontId="3" type="noConversion"/>
  </si>
  <si>
    <t>HYD CYLINDER</t>
    <phoneticPr fontId="3" type="noConversion"/>
  </si>
  <si>
    <t>CJT140-FA140B100N-BND</t>
    <phoneticPr fontId="3" type="noConversion"/>
  </si>
  <si>
    <t>HSR55LR1QZUU+1380L</t>
    <phoneticPr fontId="3" type="noConversion"/>
  </si>
  <si>
    <t>BALL SCREW</t>
    <phoneticPr fontId="3" type="noConversion"/>
  </si>
  <si>
    <t>BLK2525-3.6ZZ-1564</t>
    <phoneticPr fontId="3" type="noConversion"/>
  </si>
  <si>
    <t>HG-KR43</t>
    <phoneticPr fontId="3" type="noConversion"/>
  </si>
  <si>
    <t>LMF30UU</t>
    <phoneticPr fontId="3" type="noConversion"/>
  </si>
  <si>
    <t>SWITCH</t>
    <phoneticPr fontId="3" type="noConversion"/>
  </si>
  <si>
    <t>ZC-Q2255</t>
    <phoneticPr fontId="3" type="noConversion"/>
  </si>
  <si>
    <t>SUPPORT</t>
    <phoneticPr fontId="3" type="noConversion"/>
  </si>
  <si>
    <t>FK20</t>
    <phoneticPr fontId="3" type="noConversion"/>
  </si>
  <si>
    <t>FF20</t>
    <phoneticPr fontId="3" type="noConversion"/>
  </si>
  <si>
    <t>B150-S5M-690L</t>
    <phoneticPr fontId="3" type="noConversion"/>
  </si>
  <si>
    <t>SWIBEL ELBOW</t>
    <phoneticPr fontId="3" type="noConversion"/>
  </si>
  <si>
    <t>SLO-1404</t>
    <phoneticPr fontId="3" type="noConversion"/>
  </si>
  <si>
    <t>HSS0601A-005-K-S</t>
    <phoneticPr fontId="3" type="noConversion"/>
  </si>
  <si>
    <t>K0389.10X18</t>
    <phoneticPr fontId="3" type="noConversion"/>
  </si>
  <si>
    <t>POWER MEISTER</t>
    <phoneticPr fontId="3" type="noConversion"/>
  </si>
  <si>
    <t>UPS-1A-11V35C1S4</t>
    <phoneticPr fontId="3" type="noConversion"/>
  </si>
  <si>
    <t>YUKEN</t>
    <phoneticPr fontId="3" type="noConversion"/>
  </si>
  <si>
    <t>MITSUBISHI</t>
    <phoneticPr fontId="3" type="noConversion"/>
  </si>
  <si>
    <t>MITSUBOSHI</t>
    <phoneticPr fontId="3" type="noConversion"/>
  </si>
  <si>
    <t>KOKUSAI</t>
    <phoneticPr fontId="3" type="noConversion"/>
  </si>
  <si>
    <t>LS</t>
    <phoneticPr fontId="3" type="noConversion"/>
  </si>
  <si>
    <t>JAPAN KOKUSAI</t>
    <phoneticPr fontId="3" type="noConversion"/>
  </si>
  <si>
    <t>CYL PLATE</t>
    <phoneticPr fontId="3" type="noConversion"/>
  </si>
  <si>
    <t>ST1107001-004</t>
    <phoneticPr fontId="3" type="noConversion"/>
  </si>
  <si>
    <t>ST1108015-001</t>
    <phoneticPr fontId="3" type="noConversion"/>
  </si>
  <si>
    <t>절연 PLATE</t>
    <phoneticPr fontId="3" type="noConversion"/>
  </si>
  <si>
    <t>ST1108016-001</t>
    <phoneticPr fontId="3" type="noConversion"/>
  </si>
  <si>
    <t>PUNCH(HEAT)</t>
    <phoneticPr fontId="3" type="noConversion"/>
  </si>
  <si>
    <t>ST1108018-001</t>
    <phoneticPr fontId="3" type="noConversion"/>
  </si>
  <si>
    <t>PUNCH(NO HEAT)</t>
    <phoneticPr fontId="3" type="noConversion"/>
  </si>
  <si>
    <t>ST1108018-002</t>
    <phoneticPr fontId="3" type="noConversion"/>
  </si>
  <si>
    <t>ST1108019-000</t>
    <phoneticPr fontId="3" type="noConversion"/>
  </si>
  <si>
    <t>GUIDE BLOCK(1)</t>
    <phoneticPr fontId="3" type="noConversion"/>
  </si>
  <si>
    <t>ST1107007-003</t>
    <phoneticPr fontId="3" type="noConversion"/>
  </si>
  <si>
    <t>ST1108021-002</t>
    <phoneticPr fontId="3" type="noConversion"/>
  </si>
  <si>
    <t>DOG(1)</t>
    <phoneticPr fontId="3" type="noConversion"/>
  </si>
  <si>
    <t>ST1108024-000</t>
    <phoneticPr fontId="3" type="noConversion"/>
  </si>
  <si>
    <t>DOG(2)</t>
    <phoneticPr fontId="3" type="noConversion"/>
  </si>
  <si>
    <t>ST1108025-000</t>
    <phoneticPr fontId="3" type="noConversion"/>
  </si>
  <si>
    <t>DOG(3)</t>
    <phoneticPr fontId="3" type="noConversion"/>
  </si>
  <si>
    <t>ST1108026-000</t>
    <phoneticPr fontId="3" type="noConversion"/>
  </si>
  <si>
    <t>DOG BAR</t>
    <phoneticPr fontId="3" type="noConversion"/>
  </si>
  <si>
    <t>ST1108027-000</t>
    <phoneticPr fontId="3" type="noConversion"/>
  </si>
  <si>
    <t>SHAFT BRACKET</t>
    <phoneticPr fontId="3" type="noConversion"/>
  </si>
  <si>
    <t>ST1108028-000</t>
    <phoneticPr fontId="3" type="noConversion"/>
  </si>
  <si>
    <t>L/S PLATE</t>
    <phoneticPr fontId="3" type="noConversion"/>
  </si>
  <si>
    <t>ST1108029-000</t>
    <phoneticPr fontId="3" type="noConversion"/>
  </si>
  <si>
    <t>GUIDE BAR</t>
    <phoneticPr fontId="3" type="noConversion"/>
  </si>
  <si>
    <t>ST1108030-000</t>
    <phoneticPr fontId="3" type="noConversion"/>
  </si>
  <si>
    <t>GUIDE BLOCK(2)</t>
    <phoneticPr fontId="3" type="noConversion"/>
  </si>
  <si>
    <t>ST1108031-000</t>
    <phoneticPr fontId="3" type="noConversion"/>
  </si>
  <si>
    <t>ST1108032-000</t>
    <phoneticPr fontId="3" type="noConversion"/>
  </si>
  <si>
    <t>L/S BRACKET</t>
    <phoneticPr fontId="3" type="noConversion"/>
  </si>
  <si>
    <t>ST1108033-002</t>
    <phoneticPr fontId="3" type="noConversion"/>
  </si>
  <si>
    <t>ADJUST PLATE</t>
    <phoneticPr fontId="3" type="noConversion"/>
  </si>
  <si>
    <t>ST1108034-000</t>
    <phoneticPr fontId="3" type="noConversion"/>
  </si>
  <si>
    <t>ST1108035-000</t>
    <phoneticPr fontId="3" type="noConversion"/>
  </si>
  <si>
    <t>ST1108036-000</t>
    <phoneticPr fontId="3" type="noConversion"/>
  </si>
  <si>
    <t>TIM'G PULLEY(M)</t>
    <phoneticPr fontId="3" type="noConversion"/>
  </si>
  <si>
    <t>ST1108037-001</t>
    <phoneticPr fontId="3" type="noConversion"/>
  </si>
  <si>
    <t>TIM'G PULLEY(S)</t>
    <phoneticPr fontId="3" type="noConversion"/>
  </si>
  <si>
    <t>ST1108038-000</t>
    <phoneticPr fontId="3" type="noConversion"/>
  </si>
  <si>
    <t>BELT COVER</t>
    <phoneticPr fontId="3" type="noConversion"/>
  </si>
  <si>
    <t>ST1108039-000</t>
    <phoneticPr fontId="3" type="noConversion"/>
  </si>
  <si>
    <t>절연 BUSH</t>
    <phoneticPr fontId="3" type="noConversion"/>
  </si>
  <si>
    <t>ST1108041-000</t>
    <phoneticPr fontId="3" type="noConversion"/>
  </si>
  <si>
    <t>PUNCH HOLDER</t>
    <phoneticPr fontId="3" type="noConversion"/>
  </si>
  <si>
    <t>ST1109073-001</t>
    <phoneticPr fontId="3" type="noConversion"/>
  </si>
  <si>
    <t>ZERO B/K-1</t>
    <phoneticPr fontId="3" type="noConversion"/>
  </si>
  <si>
    <t>ST1124005-003</t>
    <phoneticPr fontId="3" type="noConversion"/>
  </si>
  <si>
    <t>ZERO B/K-2</t>
    <phoneticPr fontId="3" type="noConversion"/>
  </si>
  <si>
    <t>ST1124006-003</t>
    <phoneticPr fontId="3" type="noConversion"/>
  </si>
  <si>
    <t>FIX PLATE</t>
    <phoneticPr fontId="3" type="noConversion"/>
  </si>
  <si>
    <t>ST1124007-003</t>
    <phoneticPr fontId="3" type="noConversion"/>
  </si>
  <si>
    <t>MASTER/NG PART</t>
    <phoneticPr fontId="3" type="noConversion"/>
  </si>
  <si>
    <t>HSR20AQZ1UU+360</t>
    <phoneticPr fontId="3" type="noConversion"/>
  </si>
  <si>
    <t>AWU6-30</t>
    <phoneticPr fontId="3" type="noConversion"/>
  </si>
  <si>
    <t>ASP04-25</t>
    <phoneticPr fontId="3" type="noConversion"/>
  </si>
  <si>
    <t>JAF40-14-150</t>
    <phoneticPr fontId="3" type="noConversion"/>
  </si>
  <si>
    <t>CG1FA40-250Z</t>
    <phoneticPr fontId="3" type="noConversion"/>
  </si>
  <si>
    <t>AS2201F-01-06SA</t>
    <phoneticPr fontId="3" type="noConversion"/>
  </si>
  <si>
    <t>HSR25RQZ2UU-880L</t>
    <phoneticPr fontId="3" type="noConversion"/>
  </si>
  <si>
    <t>KNOB</t>
    <phoneticPr fontId="3" type="noConversion"/>
  </si>
  <si>
    <t>NKSM8-40</t>
    <phoneticPr fontId="3" type="noConversion"/>
  </si>
  <si>
    <t>MARKER PIN</t>
    <phoneticPr fontId="3" type="noConversion"/>
  </si>
  <si>
    <t>JPLB5-P8-B8</t>
    <phoneticPr fontId="3" type="noConversion"/>
  </si>
  <si>
    <t>PSCS16-12</t>
    <phoneticPr fontId="3" type="noConversion"/>
  </si>
  <si>
    <t>TOOL BOX</t>
    <phoneticPr fontId="3" type="noConversion"/>
  </si>
  <si>
    <t>RTP119T3D</t>
    <phoneticPr fontId="3" type="noConversion"/>
  </si>
  <si>
    <t>ROCKY</t>
    <phoneticPr fontId="3" type="noConversion"/>
  </si>
  <si>
    <t>NG PART</t>
    <phoneticPr fontId="3" type="noConversion"/>
  </si>
  <si>
    <t>MASTER PART</t>
    <phoneticPr fontId="3" type="noConversion"/>
  </si>
  <si>
    <t>ST1224005-002</t>
    <phoneticPr fontId="3" type="noConversion"/>
  </si>
  <si>
    <t>ST1224007</t>
    <phoneticPr fontId="3" type="noConversion"/>
  </si>
  <si>
    <t>LM PLATE</t>
    <phoneticPr fontId="3" type="noConversion"/>
  </si>
  <si>
    <t>ST1224008-003</t>
    <phoneticPr fontId="3" type="noConversion"/>
  </si>
  <si>
    <t>ST1209066-002</t>
    <phoneticPr fontId="3" type="noConversion"/>
  </si>
  <si>
    <t>ST1223026-002</t>
    <phoneticPr fontId="3" type="noConversion"/>
  </si>
  <si>
    <t>LM GUIDE BRACKET</t>
    <phoneticPr fontId="3" type="noConversion"/>
  </si>
  <si>
    <t>ST1224009</t>
    <phoneticPr fontId="3" type="noConversion"/>
  </si>
  <si>
    <t>CYD BRACKET</t>
    <phoneticPr fontId="3" type="noConversion"/>
  </si>
  <si>
    <t>ST1223029</t>
    <phoneticPr fontId="3" type="noConversion"/>
  </si>
  <si>
    <t>ST1224010</t>
    <phoneticPr fontId="3" type="noConversion"/>
  </si>
  <si>
    <t>ST1209050-000</t>
    <phoneticPr fontId="3" type="noConversion"/>
  </si>
  <si>
    <t>TABLE</t>
    <phoneticPr fontId="3" type="noConversion"/>
  </si>
  <si>
    <t>ST1209049-002</t>
    <phoneticPr fontId="3" type="noConversion"/>
  </si>
  <si>
    <t>GUIDE BRACKET</t>
    <phoneticPr fontId="3" type="noConversion"/>
  </si>
  <si>
    <t>ST1209051-005</t>
    <phoneticPr fontId="3" type="noConversion"/>
  </si>
  <si>
    <t>ST1221015</t>
    <phoneticPr fontId="3" type="noConversion"/>
  </si>
  <si>
    <t>PIN</t>
    <phoneticPr fontId="3" type="noConversion"/>
  </si>
  <si>
    <t>ST1209053-000</t>
    <phoneticPr fontId="3" type="noConversion"/>
  </si>
  <si>
    <t>LINK</t>
    <phoneticPr fontId="3" type="noConversion"/>
  </si>
  <si>
    <t>ST1209054-004</t>
    <phoneticPr fontId="3" type="noConversion"/>
  </si>
  <si>
    <t>CHUTE BRACKET</t>
    <phoneticPr fontId="3" type="noConversion"/>
  </si>
  <si>
    <t>ST1218003-002</t>
    <phoneticPr fontId="3" type="noConversion"/>
  </si>
  <si>
    <t>ST1218004-001</t>
    <phoneticPr fontId="3" type="noConversion"/>
  </si>
  <si>
    <t>ST1218005-001</t>
    <phoneticPr fontId="3" type="noConversion"/>
  </si>
  <si>
    <t>ST1218006-002</t>
    <phoneticPr fontId="3" type="noConversion"/>
  </si>
  <si>
    <t>NG BOX</t>
    <phoneticPr fontId="3" type="noConversion"/>
  </si>
  <si>
    <t>ST1218007-002</t>
    <phoneticPr fontId="3" type="noConversion"/>
  </si>
  <si>
    <t>MASTER BAR</t>
    <phoneticPr fontId="3" type="noConversion"/>
  </si>
  <si>
    <t>ST1323002-001</t>
    <phoneticPr fontId="3" type="noConversion"/>
  </si>
  <si>
    <t>PLATE A</t>
    <phoneticPr fontId="3" type="noConversion"/>
  </si>
  <si>
    <t>ST1324016</t>
    <phoneticPr fontId="3" type="noConversion"/>
  </si>
  <si>
    <t>GUIDE A-1</t>
    <phoneticPr fontId="3" type="noConversion"/>
  </si>
  <si>
    <t>ST1324017</t>
    <phoneticPr fontId="3" type="noConversion"/>
  </si>
  <si>
    <t>GUIDE A-2</t>
    <phoneticPr fontId="3" type="noConversion"/>
  </si>
  <si>
    <t>ST1324018</t>
    <phoneticPr fontId="3" type="noConversion"/>
  </si>
  <si>
    <t>GUIDE A-3</t>
    <phoneticPr fontId="3" type="noConversion"/>
  </si>
  <si>
    <t>ST1324019</t>
    <phoneticPr fontId="3" type="noConversion"/>
  </si>
  <si>
    <t>PLATE B</t>
    <phoneticPr fontId="3" type="noConversion"/>
  </si>
  <si>
    <t>ST1324020</t>
    <phoneticPr fontId="3" type="noConversion"/>
  </si>
  <si>
    <t>GUIDE B-1</t>
    <phoneticPr fontId="3" type="noConversion"/>
  </si>
  <si>
    <t>ST1324021</t>
    <phoneticPr fontId="3" type="noConversion"/>
  </si>
  <si>
    <t>GUIDE B-2</t>
    <phoneticPr fontId="3" type="noConversion"/>
  </si>
  <si>
    <t>ST1324022</t>
    <phoneticPr fontId="3" type="noConversion"/>
  </si>
  <si>
    <t>BLOCK B-1</t>
    <phoneticPr fontId="3" type="noConversion"/>
  </si>
  <si>
    <t>ST1324023</t>
    <phoneticPr fontId="3" type="noConversion"/>
  </si>
  <si>
    <t>BLOCK B-2</t>
    <phoneticPr fontId="3" type="noConversion"/>
  </si>
  <si>
    <t>ST1324024</t>
    <phoneticPr fontId="3" type="noConversion"/>
  </si>
  <si>
    <t>DOOR&amp;COVER PART</t>
    <phoneticPr fontId="3" type="noConversion"/>
  </si>
  <si>
    <t>기타자재</t>
    <phoneticPr fontId="3" type="noConversion"/>
  </si>
  <si>
    <t>STAINLESS HINGE</t>
    <phoneticPr fontId="3" type="noConversion"/>
  </si>
  <si>
    <t>SHHPSD6-3</t>
    <phoneticPr fontId="3" type="noConversion"/>
  </si>
  <si>
    <t>PULL</t>
    <phoneticPr fontId="3" type="noConversion"/>
  </si>
  <si>
    <t>UWANG100</t>
    <phoneticPr fontId="3" type="noConversion"/>
  </si>
  <si>
    <t>STAINLESS HAPS</t>
    <phoneticPr fontId="3" type="noConversion"/>
  </si>
  <si>
    <t>C1249-3</t>
    <phoneticPr fontId="3" type="noConversion"/>
  </si>
  <si>
    <t>MAGNET CATCHES</t>
    <phoneticPr fontId="3" type="noConversion"/>
  </si>
  <si>
    <t>MGCE1</t>
    <phoneticPr fontId="3" type="noConversion"/>
  </si>
  <si>
    <t>HASPS</t>
    <phoneticPr fontId="3" type="noConversion"/>
  </si>
  <si>
    <t>HSUKJ6</t>
    <phoneticPr fontId="3" type="noConversion"/>
  </si>
  <si>
    <t>HINGE</t>
    <phoneticPr fontId="3" type="noConversion"/>
  </si>
  <si>
    <t>HHPSNA5</t>
    <phoneticPr fontId="3" type="noConversion"/>
  </si>
  <si>
    <t>POOLS</t>
    <phoneticPr fontId="3" type="noConversion"/>
  </si>
  <si>
    <t>UPCN21-B-36</t>
    <phoneticPr fontId="3" type="noConversion"/>
  </si>
  <si>
    <t>MAGNET</t>
    <phoneticPr fontId="3" type="noConversion"/>
  </si>
  <si>
    <t>MGCE2</t>
    <phoneticPr fontId="3" type="noConversion"/>
  </si>
  <si>
    <t>TAKIGEN</t>
    <phoneticPr fontId="3" type="noConversion"/>
  </si>
  <si>
    <t>MC COVER</t>
    <phoneticPr fontId="3" type="noConversion"/>
  </si>
  <si>
    <t>FRONT DOOR</t>
    <phoneticPr fontId="3" type="noConversion"/>
  </si>
  <si>
    <t>ST4712001-002</t>
    <phoneticPr fontId="3" type="noConversion"/>
  </si>
  <si>
    <t>DOOR</t>
    <phoneticPr fontId="3" type="noConversion"/>
  </si>
  <si>
    <t>ST4712002</t>
    <phoneticPr fontId="3" type="noConversion"/>
  </si>
  <si>
    <t>WINDOW</t>
    <phoneticPr fontId="3" type="noConversion"/>
  </si>
  <si>
    <t>ST4712003-002</t>
    <phoneticPr fontId="3" type="noConversion"/>
  </si>
  <si>
    <t>ST4712004-001</t>
    <phoneticPr fontId="3" type="noConversion"/>
  </si>
  <si>
    <t>ST4712005-002</t>
    <phoneticPr fontId="3" type="noConversion"/>
  </si>
  <si>
    <t>ST4712005-003</t>
    <phoneticPr fontId="3" type="noConversion"/>
  </si>
  <si>
    <t>SIDE WINDOW</t>
    <phoneticPr fontId="3" type="noConversion"/>
  </si>
  <si>
    <t>ST4712006-006</t>
    <phoneticPr fontId="3" type="noConversion"/>
  </si>
  <si>
    <t>ST4712007</t>
    <phoneticPr fontId="3" type="noConversion"/>
  </si>
  <si>
    <t>UPPER COVER</t>
    <phoneticPr fontId="3" type="noConversion"/>
  </si>
  <si>
    <t>ST4712008-001</t>
    <phoneticPr fontId="3" type="noConversion"/>
  </si>
  <si>
    <t>ST4712009-001</t>
    <phoneticPr fontId="3" type="noConversion"/>
  </si>
  <si>
    <t>ST4712001</t>
    <phoneticPr fontId="3" type="noConversion"/>
  </si>
  <si>
    <t>ST4712016</t>
    <phoneticPr fontId="3" type="noConversion"/>
  </si>
  <si>
    <t>ST4712017-003</t>
    <phoneticPr fontId="3" type="noConversion"/>
  </si>
  <si>
    <t>ST4717001-001</t>
    <phoneticPr fontId="3" type="noConversion"/>
  </si>
  <si>
    <t>ST4717002-001</t>
    <phoneticPr fontId="3" type="noConversion"/>
  </si>
  <si>
    <t>ST4717001-002</t>
    <phoneticPr fontId="3" type="noConversion"/>
  </si>
  <si>
    <t>ST4717002-002</t>
    <phoneticPr fontId="3" type="noConversion"/>
  </si>
  <si>
    <t>ST4717003-001</t>
    <phoneticPr fontId="3" type="noConversion"/>
  </si>
  <si>
    <t>BOTTOM COVER</t>
    <phoneticPr fontId="3" type="noConversion"/>
  </si>
  <si>
    <t>ST4717004-002</t>
    <phoneticPr fontId="3" type="noConversion"/>
  </si>
  <si>
    <t>ST4717005-002</t>
    <phoneticPr fontId="3" type="noConversion"/>
  </si>
  <si>
    <t>ST4912001-002</t>
    <phoneticPr fontId="3" type="noConversion"/>
  </si>
  <si>
    <t>ST4912002</t>
    <phoneticPr fontId="3" type="noConversion"/>
  </si>
  <si>
    <t>FRONT DOOR</t>
    <phoneticPr fontId="3" type="noConversion"/>
  </si>
  <si>
    <t>LOW DOOR</t>
    <phoneticPr fontId="3" type="noConversion"/>
  </si>
  <si>
    <t>ST1409022-008</t>
    <phoneticPr fontId="3" type="noConversion"/>
  </si>
  <si>
    <t>UPPER DOOR</t>
    <phoneticPr fontId="3" type="noConversion"/>
  </si>
  <si>
    <t>ST1409023-002</t>
    <phoneticPr fontId="3" type="noConversion"/>
  </si>
  <si>
    <t>ST1409024-009</t>
    <phoneticPr fontId="3" type="noConversion"/>
  </si>
  <si>
    <t>ST1409025-001</t>
    <phoneticPr fontId="3" type="noConversion"/>
  </si>
  <si>
    <t>ST1409025-002</t>
    <phoneticPr fontId="3" type="noConversion"/>
  </si>
  <si>
    <t>MOTOR COVER</t>
    <phoneticPr fontId="3" type="noConversion"/>
  </si>
  <si>
    <t>ST1422001</t>
    <phoneticPr fontId="3" type="noConversion"/>
  </si>
  <si>
    <t>ST1909006-000</t>
    <phoneticPr fontId="3" type="noConversion"/>
  </si>
  <si>
    <t>CONSOLE HANGER</t>
    <phoneticPr fontId="3" type="noConversion"/>
  </si>
  <si>
    <t>ST1909007-000</t>
    <phoneticPr fontId="3" type="noConversion"/>
  </si>
  <si>
    <t>ST1909008-000</t>
    <phoneticPr fontId="3" type="noConversion"/>
  </si>
  <si>
    <t>ST1909028-006</t>
    <phoneticPr fontId="3" type="noConversion"/>
  </si>
  <si>
    <t>AIR CIRCUIT PART</t>
    <phoneticPr fontId="3" type="noConversion"/>
  </si>
  <si>
    <t>AIR UNIT</t>
    <phoneticPr fontId="3" type="noConversion"/>
  </si>
  <si>
    <t>AC40-04DM-SV</t>
    <phoneticPr fontId="3" type="noConversion"/>
  </si>
  <si>
    <t>SILENCER</t>
    <phoneticPr fontId="3" type="noConversion"/>
  </si>
  <si>
    <t>AN200-02</t>
    <phoneticPr fontId="3" type="noConversion"/>
  </si>
  <si>
    <t>REGULATOR</t>
    <phoneticPr fontId="3" type="noConversion"/>
  </si>
  <si>
    <t>AR20K-02BM</t>
    <phoneticPr fontId="3" type="noConversion"/>
  </si>
  <si>
    <t>SOLENOIDE VALVE</t>
    <phoneticPr fontId="3" type="noConversion"/>
  </si>
  <si>
    <t>VFS2300-5FZA</t>
    <phoneticPr fontId="3" type="noConversion"/>
  </si>
  <si>
    <t>VFS2200-RFZA</t>
    <phoneticPr fontId="3" type="noConversion"/>
  </si>
  <si>
    <t>MANIFOLD</t>
    <phoneticPr fontId="3" type="noConversion"/>
  </si>
  <si>
    <t>VV5FS2-01T-081-02</t>
    <phoneticPr fontId="3" type="noConversion"/>
  </si>
  <si>
    <t>AN101-01</t>
    <phoneticPr fontId="3" type="noConversion"/>
  </si>
  <si>
    <t>AN400-04</t>
    <phoneticPr fontId="3" type="noConversion"/>
  </si>
  <si>
    <t>BLANKING PLATE</t>
    <phoneticPr fontId="3" type="noConversion"/>
  </si>
  <si>
    <t>VVFS2000-10A</t>
    <phoneticPr fontId="3" type="noConversion"/>
  </si>
  <si>
    <t>VFS2100-5FZA</t>
    <phoneticPr fontId="3" type="noConversion"/>
  </si>
  <si>
    <t>AC40-04DM-SV-A</t>
    <phoneticPr fontId="3" type="noConversion"/>
  </si>
  <si>
    <t>VV5FS2-01T-101-02</t>
    <phoneticPr fontId="3" type="noConversion"/>
  </si>
  <si>
    <t>KOREA KOKUSAI</t>
    <phoneticPr fontId="3" type="noConversion"/>
  </si>
  <si>
    <t>OMRON</t>
    <phoneticPr fontId="3" type="noConversion"/>
  </si>
  <si>
    <t>SMC</t>
    <phoneticPr fontId="3" type="noConversion"/>
  </si>
  <si>
    <t>HAGASA</t>
    <phoneticPr fontId="3" type="noConversion"/>
  </si>
  <si>
    <t>KYOWA</t>
    <phoneticPr fontId="3" type="noConversion"/>
  </si>
  <si>
    <t>POINTTECH</t>
    <phoneticPr fontId="3" type="noConversion"/>
  </si>
  <si>
    <t>LUBO</t>
    <phoneticPr fontId="3" type="noConversion"/>
  </si>
  <si>
    <t>NOK</t>
    <phoneticPr fontId="3" type="noConversion"/>
  </si>
  <si>
    <t>NSK</t>
    <phoneticPr fontId="3" type="noConversion"/>
  </si>
  <si>
    <t>FUKUDA</t>
    <phoneticPr fontId="3" type="noConversion"/>
  </si>
  <si>
    <t>HYOSUNG</t>
    <phoneticPr fontId="3" type="noConversion"/>
  </si>
  <si>
    <t>THK</t>
    <phoneticPr fontId="3" type="noConversion"/>
  </si>
  <si>
    <t>MITSUBOSHI</t>
    <phoneticPr fontId="3" type="noConversion"/>
  </si>
  <si>
    <t>MISUMI</t>
    <phoneticPr fontId="3" type="noConversion"/>
  </si>
  <si>
    <t>NSK</t>
    <phoneticPr fontId="3" type="noConversion"/>
  </si>
  <si>
    <t>ORIENTAL</t>
    <phoneticPr fontId="3" type="noConversion"/>
  </si>
  <si>
    <t>NISSEI</t>
    <phoneticPr fontId="3" type="noConversion"/>
  </si>
  <si>
    <t>CPS</t>
    <phoneticPr fontId="3" type="noConversion"/>
  </si>
  <si>
    <t>ENIDINE</t>
    <phoneticPr fontId="3" type="noConversion"/>
  </si>
  <si>
    <t>3M</t>
    <phoneticPr fontId="3" type="noConversion"/>
  </si>
  <si>
    <t>JAPAN KOKUSAI</t>
    <phoneticPr fontId="3" type="noConversion"/>
  </si>
  <si>
    <t>MITSUBISHI</t>
    <phoneticPr fontId="3" type="noConversion"/>
  </si>
  <si>
    <t>HIGASA</t>
    <phoneticPr fontId="3" type="noConversion"/>
  </si>
  <si>
    <t>POINTTECH</t>
    <phoneticPr fontId="3" type="noConversion"/>
  </si>
  <si>
    <t>KOYO</t>
    <phoneticPr fontId="3" type="noConversion"/>
  </si>
  <si>
    <t>DURI</t>
    <phoneticPr fontId="3" type="noConversion"/>
  </si>
  <si>
    <t>NTN</t>
    <phoneticPr fontId="3" type="noConversion"/>
  </si>
  <si>
    <t>APEX</t>
    <phoneticPr fontId="3" type="noConversion"/>
  </si>
  <si>
    <t>견적 담당자 : 백종엽 차장</t>
    <phoneticPr fontId="3" type="noConversion"/>
  </si>
  <si>
    <t>PUNE PORT(FOB)</t>
    <phoneticPr fontId="3" type="noConversion"/>
  </si>
  <si>
    <t>현대위아(INDIA PUNE) CVJ DRIVE SHAFT 교정기(1대분) 신작</t>
    <phoneticPr fontId="3" type="noConversion"/>
  </si>
  <si>
    <t>1</t>
    <phoneticPr fontId="3" type="noConversion"/>
  </si>
  <si>
    <t>기계 설계</t>
    <phoneticPr fontId="3" type="noConversion"/>
  </si>
  <si>
    <t>KS-225151-2</t>
    <phoneticPr fontId="3" type="noConversion"/>
  </si>
  <si>
    <t>QASS CRACK</t>
    <phoneticPr fontId="3" type="noConversion"/>
  </si>
  <si>
    <t>Cis.02</t>
    <phoneticPr fontId="3" type="noConversion"/>
  </si>
  <si>
    <t>CRACK CHECKER UNIT</t>
    <phoneticPr fontId="3" type="noConversion"/>
  </si>
  <si>
    <t>QASS</t>
    <phoneticPr fontId="3" type="noConversion"/>
  </si>
  <si>
    <t>3. QASS CRACK UNIT 추가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</si>
</sst>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7" formatCode="0.0\K\G"/>
    <numFmt numFmtId="179" formatCode="#,##0_);[Red]\(#,##0\)"/>
    <numFmt numFmtId="180" formatCode="#,##0_ "/>
    <numFmt numFmtId="181" formatCode="General&quot;상세견적&quot;"/>
    <numFmt numFmtId="188" formatCode="0_);[Red]\(0\)"/>
    <numFmt numFmtId="191" formatCode="0_ "/>
    <numFmt numFmtId="198" formatCode="_-* #,##0.00000_-;\-* #,##0.00000_-;_-* &quot;-&quot;_-;_-@_-"/>
    <numFmt numFmtId="206" formatCode="0_ ;[Red]\-0\ "/>
    <numFmt numFmtId="210" formatCode="&quot;₩&quot;#,##0;[Red]&quot;₩&quot;\-#,##0"/>
  </numFmts>
  <fonts count="71">
    <font>
      <sz val="11"/>
      <name val="굴림"/>
      <family val="3"/>
      <charset val="129"/>
    </font>
    <font>
      <sz val="11"/>
      <name val="굴림"/>
      <family val="3"/>
      <charset val="129"/>
    </font>
    <font>
      <sz val="11"/>
      <name val="굴림"/>
      <family val="3"/>
      <charset val="129"/>
    </font>
    <font>
      <sz val="8"/>
      <name val="굴림"/>
      <family val="3"/>
      <charset val="129"/>
    </font>
    <font>
      <sz val="10"/>
      <name val="굴림"/>
      <family val="3"/>
      <charset val="129"/>
    </font>
    <font>
      <b/>
      <sz val="11"/>
      <name val="굴림"/>
      <family val="3"/>
      <charset val="129"/>
    </font>
    <font>
      <sz val="11"/>
      <name val="굴림"/>
      <family val="3"/>
      <charset val="129"/>
    </font>
    <font>
      <sz val="11"/>
      <color indexed="10"/>
      <name val="굴림"/>
      <family val="3"/>
      <charset val="129"/>
    </font>
    <font>
      <b/>
      <sz val="12"/>
      <name val="굴림"/>
      <family val="3"/>
      <charset val="129"/>
    </font>
    <font>
      <b/>
      <sz val="11"/>
      <color indexed="10"/>
      <name val="굴림"/>
      <family val="3"/>
      <charset val="129"/>
    </font>
    <font>
      <b/>
      <sz val="10"/>
      <name val="굴림"/>
      <family val="3"/>
      <charset val="129"/>
    </font>
    <font>
      <sz val="12"/>
      <name val="굴림"/>
      <family val="3"/>
      <charset val="129"/>
    </font>
    <font>
      <sz val="14"/>
      <name val="굴림"/>
      <family val="3"/>
      <charset val="129"/>
    </font>
    <font>
      <b/>
      <sz val="16"/>
      <name val="굴림"/>
      <family val="3"/>
      <charset val="129"/>
    </font>
    <font>
      <sz val="30"/>
      <name val="HY견고딕"/>
      <family val="1"/>
      <charset val="129"/>
    </font>
    <font>
      <i/>
      <sz val="11"/>
      <name val="굴림"/>
      <family val="3"/>
      <charset val="129"/>
    </font>
    <font>
      <b/>
      <i/>
      <sz val="11"/>
      <name val="굴림"/>
      <family val="3"/>
      <charset val="129"/>
    </font>
    <font>
      <b/>
      <u val="double"/>
      <sz val="12"/>
      <name val="굴림"/>
      <family val="3"/>
      <charset val="129"/>
    </font>
    <font>
      <sz val="11"/>
      <name val="굴림"/>
      <family val="3"/>
      <charset val="129"/>
    </font>
    <font>
      <b/>
      <sz val="16"/>
      <color indexed="8"/>
      <name val="굴림"/>
      <family val="3"/>
      <charset val="129"/>
    </font>
    <font>
      <b/>
      <sz val="12"/>
      <color indexed="8"/>
      <name val="굴림"/>
      <family val="3"/>
      <charset val="129"/>
    </font>
    <font>
      <sz val="10"/>
      <name val="Arial"/>
      <family val="2"/>
    </font>
    <font>
      <sz val="12"/>
      <name val="¹UAAA¼"/>
      <family val="1"/>
      <charset val="129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name val="ⓒoUAAA¨u"/>
      <family val="1"/>
      <charset val="129"/>
    </font>
    <font>
      <sz val="11"/>
      <name val="±¼¸²A¼"/>
      <family val="3"/>
      <charset val="129"/>
    </font>
    <font>
      <sz val="11"/>
      <name val="µ¸¿ò"/>
      <family val="3"/>
      <charset val="129"/>
    </font>
    <font>
      <sz val="11"/>
      <name val="μ¸¿o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2"/>
      <name val="¹ÙÅÁÃ¼"/>
      <family val="1"/>
      <charset val="129"/>
    </font>
    <font>
      <sz val="10"/>
      <name val="±¼¸²A¼"/>
      <family val="3"/>
      <charset val="129"/>
    </font>
    <font>
      <sz val="12"/>
      <name val="돋움체"/>
      <family val="3"/>
      <charset val="129"/>
    </font>
    <font>
      <sz val="12"/>
      <name val="System"/>
      <family val="2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2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0"/>
      <name val="µ¸¿ò"/>
      <family val="3"/>
      <charset val="129"/>
    </font>
    <font>
      <b/>
      <sz val="14"/>
      <name val="굴림"/>
      <family val="3"/>
      <charset val="129"/>
    </font>
    <font>
      <sz val="11"/>
      <name val="굴림"/>
      <family val="3"/>
      <charset val="129"/>
    </font>
    <font>
      <sz val="16"/>
      <color indexed="8"/>
      <name val="굴림"/>
      <family val="3"/>
      <charset val="129"/>
    </font>
    <font>
      <sz val="11"/>
      <color indexed="8"/>
      <name val="굴림"/>
      <family val="3"/>
      <charset val="129"/>
    </font>
    <font>
      <sz val="11"/>
      <name val="굴림"/>
      <family val="3"/>
      <charset val="129"/>
    </font>
    <font>
      <b/>
      <sz val="11"/>
      <color indexed="8"/>
      <name val="굴림"/>
      <family val="3"/>
      <charset val="129"/>
    </font>
    <font>
      <sz val="6"/>
      <name val="ＭＳ Ｐゴシック"/>
      <family val="2"/>
      <charset val="128"/>
    </font>
    <font>
      <sz val="11"/>
      <name val="ＭＳ Ｐゴシック"/>
      <family val="2"/>
      <charset val="128"/>
    </font>
    <font>
      <sz val="11"/>
      <color indexed="10"/>
      <name val="ＭＳ 明朝"/>
      <family val="3"/>
      <charset val="128"/>
    </font>
    <font>
      <sz val="8"/>
      <name val="ＭＳ Ｐゴシック"/>
      <family val="2"/>
      <charset val="128"/>
    </font>
    <font>
      <sz val="10"/>
      <name val="굴림체"/>
      <family val="3"/>
      <charset val="129"/>
    </font>
    <font>
      <sz val="11"/>
      <name val="굴림체"/>
      <family val="3"/>
      <charset val="129"/>
    </font>
    <font>
      <sz val="9"/>
      <name val="굴림"/>
      <family val="3"/>
      <charset val="129"/>
    </font>
    <font>
      <sz val="9"/>
      <name val="굴림체"/>
      <family val="3"/>
      <charset val="129"/>
    </font>
    <font>
      <sz val="12"/>
      <name val="굴림체"/>
      <family val="3"/>
      <charset val="129"/>
    </font>
    <font>
      <sz val="11"/>
      <color indexed="12"/>
      <name val="굴림체"/>
      <family val="3"/>
      <charset val="129"/>
    </font>
    <font>
      <sz val="11"/>
      <color indexed="14"/>
      <name val="굴림체"/>
      <family val="3"/>
      <charset val="129"/>
    </font>
    <font>
      <sz val="11"/>
      <color indexed="16"/>
      <name val="굴림체"/>
      <family val="3"/>
      <charset val="129"/>
    </font>
    <font>
      <sz val="11"/>
      <color indexed="8"/>
      <name val="굴림체"/>
      <family val="3"/>
      <charset val="129"/>
    </font>
    <font>
      <b/>
      <sz val="11"/>
      <name val="굴림체"/>
      <family val="3"/>
      <charset val="129"/>
    </font>
    <font>
      <sz val="12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8"/>
      <name val="돋움"/>
      <family val="3"/>
      <charset val="129"/>
    </font>
    <font>
      <sz val="8"/>
      <name val="바탕"/>
      <family val="1"/>
      <charset val="129"/>
    </font>
    <font>
      <b/>
      <sz val="10"/>
      <name val="굴림체"/>
      <family val="3"/>
      <charset val="129"/>
    </font>
    <font>
      <sz val="8"/>
      <name val="굴림체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2060"/>
        <bgColor indexed="64"/>
      </patternFill>
    </fill>
  </fills>
  <borders count="123">
    <border>
      <left/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</borders>
  <cellStyleXfs count="279">
    <xf numFmtId="0" fontId="0" fillId="0" borderId="0"/>
    <xf numFmtId="0" fontId="23" fillId="0" borderId="0"/>
    <xf numFmtId="0" fontId="21" fillId="0" borderId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42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5" fillId="0" borderId="0" applyFont="0" applyFill="0" applyBorder="0" applyAlignment="0" applyProtection="0"/>
    <xf numFmtId="44" fontId="2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41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5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5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29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27" fillId="0" borderId="0"/>
    <xf numFmtId="0" fontId="31" fillId="0" borderId="0"/>
    <xf numFmtId="0" fontId="33" fillId="0" borderId="0"/>
    <xf numFmtId="0" fontId="30" fillId="0" borderId="0"/>
    <xf numFmtId="0" fontId="29" fillId="0" borderId="0"/>
    <xf numFmtId="0" fontId="36" fillId="0" borderId="0"/>
    <xf numFmtId="0" fontId="33" fillId="0" borderId="0"/>
    <xf numFmtId="0" fontId="22" fillId="0" borderId="0"/>
    <xf numFmtId="0" fontId="37" fillId="0" borderId="0"/>
    <xf numFmtId="0" fontId="38" fillId="0" borderId="0"/>
    <xf numFmtId="0" fontId="37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31" fillId="0" borderId="0"/>
    <xf numFmtId="0" fontId="32" fillId="0" borderId="0"/>
    <xf numFmtId="0" fontId="22" fillId="0" borderId="0"/>
    <xf numFmtId="0" fontId="33" fillId="0" borderId="0"/>
    <xf numFmtId="0" fontId="22" fillId="0" borderId="0"/>
    <xf numFmtId="0" fontId="33" fillId="0" borderId="0"/>
    <xf numFmtId="0" fontId="30" fillId="0" borderId="0"/>
    <xf numFmtId="0" fontId="29" fillId="0" borderId="0"/>
    <xf numFmtId="0" fontId="22" fillId="0" borderId="0"/>
    <xf numFmtId="0" fontId="33" fillId="0" borderId="0"/>
    <xf numFmtId="0" fontId="22" fillId="0" borderId="0"/>
    <xf numFmtId="0" fontId="33" fillId="0" borderId="0"/>
    <xf numFmtId="0" fontId="39" fillId="0" borderId="0"/>
    <xf numFmtId="0" fontId="40" fillId="0" borderId="0"/>
    <xf numFmtId="0" fontId="22" fillId="0" borderId="0"/>
    <xf numFmtId="0" fontId="33" fillId="0" borderId="0"/>
    <xf numFmtId="0" fontId="31" fillId="0" borderId="0"/>
    <xf numFmtId="0" fontId="32" fillId="0" borderId="0"/>
    <xf numFmtId="0" fontId="41" fillId="0" borderId="0"/>
    <xf numFmtId="0" fontId="42" fillId="0" borderId="0"/>
    <xf numFmtId="0" fontId="22" fillId="0" borderId="0"/>
    <xf numFmtId="0" fontId="33" fillId="0" borderId="0"/>
    <xf numFmtId="0" fontId="22" fillId="0" borderId="0"/>
    <xf numFmtId="0" fontId="33" fillId="0" borderId="0"/>
    <xf numFmtId="0" fontId="30" fillId="0" borderId="0"/>
    <xf numFmtId="0" fontId="29" fillId="0" borderId="0"/>
    <xf numFmtId="0" fontId="21" fillId="0" borderId="0"/>
    <xf numFmtId="0" fontId="21" fillId="0" borderId="0"/>
    <xf numFmtId="0" fontId="30" fillId="0" borderId="0"/>
    <xf numFmtId="0" fontId="29" fillId="0" borderId="0"/>
    <xf numFmtId="0" fontId="22" fillId="0" borderId="0"/>
    <xf numFmtId="0" fontId="33" fillId="0" borderId="0"/>
    <xf numFmtId="0" fontId="36" fillId="0" borderId="0"/>
    <xf numFmtId="0" fontId="36" fillId="0" borderId="0"/>
    <xf numFmtId="0" fontId="30" fillId="0" borderId="0"/>
    <xf numFmtId="0" fontId="29" fillId="0" borderId="0"/>
    <xf numFmtId="0" fontId="30" fillId="0" borderId="0"/>
    <xf numFmtId="0" fontId="29" fillId="0" borderId="0"/>
    <xf numFmtId="0" fontId="22" fillId="0" borderId="0"/>
    <xf numFmtId="0" fontId="33" fillId="0" borderId="0"/>
    <xf numFmtId="0" fontId="22" fillId="0" borderId="0"/>
    <xf numFmtId="0" fontId="40" fillId="0" borderId="0"/>
    <xf numFmtId="0" fontId="30" fillId="0" borderId="0"/>
    <xf numFmtId="0" fontId="33" fillId="0" borderId="0"/>
    <xf numFmtId="0" fontId="22" fillId="0" borderId="0" applyBorder="0"/>
    <xf numFmtId="0" fontId="33" fillId="0" borderId="0" applyBorder="0"/>
    <xf numFmtId="0" fontId="30" fillId="0" borderId="0"/>
    <xf numFmtId="0" fontId="29" fillId="0" borderId="0"/>
    <xf numFmtId="0" fontId="22" fillId="0" borderId="0"/>
    <xf numFmtId="0" fontId="33" fillId="0" borderId="0"/>
    <xf numFmtId="0" fontId="22" fillId="0" borderId="0"/>
    <xf numFmtId="38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4" fillId="0" borderId="0"/>
    <xf numFmtId="0" fontId="21" fillId="0" borderId="0"/>
    <xf numFmtId="0" fontId="22" fillId="0" borderId="0"/>
    <xf numFmtId="0" fontId="24" fillId="0" borderId="0" applyFont="0" applyFill="0" applyBorder="0" applyAlignment="0" applyProtection="0"/>
    <xf numFmtId="40" fontId="25" fillId="0" borderId="0" applyFont="0" applyFill="0" applyBorder="0" applyAlignment="0" applyProtection="0"/>
    <xf numFmtId="3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6" fillId="0" borderId="0"/>
    <xf numFmtId="41" fontId="2" fillId="0" borderId="0" applyFont="0" applyFill="0" applyBorder="0" applyAlignment="0" applyProtection="0"/>
    <xf numFmtId="41" fontId="2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21" fillId="0" borderId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50" fillId="0" borderId="0">
      <alignment vertical="center"/>
    </xf>
    <xf numFmtId="0" fontId="24" fillId="0" borderId="0"/>
    <xf numFmtId="0" fontId="50" fillId="0" borderId="0">
      <alignment vertical="center"/>
    </xf>
    <xf numFmtId="0" fontId="24" fillId="0" borderId="0"/>
    <xf numFmtId="0" fontId="24" fillId="0" borderId="0"/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4" fillId="0" borderId="0">
      <alignment vertical="center"/>
    </xf>
    <xf numFmtId="0" fontId="1" fillId="0" borderId="0"/>
    <xf numFmtId="0" fontId="50" fillId="0" borderId="0">
      <alignment vertical="center"/>
    </xf>
    <xf numFmtId="0" fontId="24" fillId="0" borderId="0"/>
  </cellStyleXfs>
  <cellXfs count="982">
    <xf numFmtId="0" fontId="0" fillId="0" borderId="0" xfId="0"/>
    <xf numFmtId="0" fontId="6" fillId="0" borderId="1" xfId="0" applyFont="1" applyBorder="1" applyAlignment="1">
      <alignment horizontal="center" vertical="center"/>
    </xf>
    <xf numFmtId="3" fontId="6" fillId="0" borderId="0" xfId="0" applyNumberFormat="1" applyFont="1" applyFill="1" applyAlignment="1">
      <alignment vertical="center"/>
    </xf>
    <xf numFmtId="3" fontId="6" fillId="0" borderId="0" xfId="0" applyNumberFormat="1" applyFont="1" applyFill="1" applyAlignment="1">
      <alignment horizontal="center" vertical="center"/>
    </xf>
    <xf numFmtId="3" fontId="6" fillId="0" borderId="2" xfId="0" applyNumberFormat="1" applyFont="1" applyFill="1" applyBorder="1" applyAlignment="1">
      <alignment horizontal="center" vertical="center"/>
    </xf>
    <xf numFmtId="3" fontId="6" fillId="0" borderId="3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179" fontId="6" fillId="0" borderId="0" xfId="0" applyNumberFormat="1" applyFont="1" applyFill="1" applyAlignment="1">
      <alignment horizontal="center" vertical="center"/>
    </xf>
    <xf numFmtId="179" fontId="6" fillId="0" borderId="2" xfId="0" applyNumberFormat="1" applyFont="1" applyFill="1" applyBorder="1" applyAlignment="1">
      <alignment vertical="center"/>
    </xf>
    <xf numFmtId="179" fontId="6" fillId="0" borderId="3" xfId="0" applyNumberFormat="1" applyFont="1" applyFill="1" applyBorder="1" applyAlignment="1">
      <alignment vertical="center"/>
    </xf>
    <xf numFmtId="3" fontId="6" fillId="0" borderId="7" xfId="0" applyNumberFormat="1" applyFont="1" applyFill="1" applyBorder="1" applyAlignment="1">
      <alignment horizontal="center" vertical="center"/>
    </xf>
    <xf numFmtId="3" fontId="6" fillId="0" borderId="8" xfId="0" applyNumberFormat="1" applyFont="1" applyFill="1" applyBorder="1" applyAlignment="1">
      <alignment horizontal="center" vertical="center"/>
    </xf>
    <xf numFmtId="179" fontId="6" fillId="0" borderId="0" xfId="0" applyNumberFormat="1" applyFont="1" applyFill="1" applyAlignment="1">
      <alignment vertical="center"/>
    </xf>
    <xf numFmtId="179" fontId="6" fillId="0" borderId="8" xfId="0" applyNumberFormat="1" applyFont="1" applyFill="1" applyBorder="1" applyAlignment="1">
      <alignment horizontal="center" vertical="center"/>
    </xf>
    <xf numFmtId="179" fontId="6" fillId="0" borderId="7" xfId="0" applyNumberFormat="1" applyFont="1" applyFill="1" applyBorder="1" applyAlignment="1">
      <alignment vertical="center"/>
    </xf>
    <xf numFmtId="179" fontId="5" fillId="0" borderId="3" xfId="0" applyNumberFormat="1" applyFont="1" applyFill="1" applyBorder="1" applyAlignment="1">
      <alignment vertical="center"/>
    </xf>
    <xf numFmtId="179" fontId="5" fillId="0" borderId="9" xfId="0" applyNumberFormat="1" applyFont="1" applyFill="1" applyBorder="1" applyAlignment="1">
      <alignment vertical="center"/>
    </xf>
    <xf numFmtId="179" fontId="5" fillId="0" borderId="2" xfId="0" applyNumberFormat="1" applyFont="1" applyFill="1" applyBorder="1" applyAlignment="1">
      <alignment vertical="center"/>
    </xf>
    <xf numFmtId="179" fontId="5" fillId="0" borderId="10" xfId="0" applyNumberFormat="1" applyFont="1" applyFill="1" applyBorder="1" applyAlignment="1">
      <alignment vertical="center"/>
    </xf>
    <xf numFmtId="179" fontId="5" fillId="0" borderId="11" xfId="0" applyNumberFormat="1" applyFont="1" applyFill="1" applyBorder="1" applyAlignment="1">
      <alignment vertical="center"/>
    </xf>
    <xf numFmtId="180" fontId="7" fillId="0" borderId="0" xfId="0" applyNumberFormat="1" applyFont="1" applyFill="1" applyAlignment="1">
      <alignment vertical="center"/>
    </xf>
    <xf numFmtId="4" fontId="6" fillId="0" borderId="0" xfId="0" applyNumberFormat="1" applyFont="1" applyFill="1" applyAlignment="1">
      <alignment vertical="center"/>
    </xf>
    <xf numFmtId="4" fontId="6" fillId="0" borderId="0" xfId="0" applyNumberFormat="1" applyFont="1" applyFill="1" applyAlignment="1">
      <alignment horizontal="center" vertical="center"/>
    </xf>
    <xf numFmtId="179" fontId="6" fillId="0" borderId="7" xfId="0" applyNumberFormat="1" applyFont="1" applyFill="1" applyBorder="1" applyAlignment="1">
      <alignment horizontal="right" vertical="center"/>
    </xf>
    <xf numFmtId="179" fontId="6" fillId="0" borderId="3" xfId="257" applyNumberFormat="1" applyFont="1" applyFill="1" applyBorder="1" applyAlignment="1">
      <alignment horizontal="right" vertical="center"/>
    </xf>
    <xf numFmtId="179" fontId="6" fillId="0" borderId="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79" fontId="5" fillId="0" borderId="7" xfId="0" applyNumberFormat="1" applyFont="1" applyFill="1" applyBorder="1" applyAlignment="1">
      <alignment vertical="center"/>
    </xf>
    <xf numFmtId="3" fontId="5" fillId="0" borderId="0" xfId="0" applyNumberFormat="1" applyFont="1" applyFill="1" applyAlignment="1">
      <alignment vertical="center"/>
    </xf>
    <xf numFmtId="3" fontId="6" fillId="0" borderId="12" xfId="0" applyNumberFormat="1" applyFont="1" applyFill="1" applyBorder="1" applyAlignment="1">
      <alignment horizontal="center" vertical="center"/>
    </xf>
    <xf numFmtId="3" fontId="6" fillId="0" borderId="1" xfId="0" applyNumberFormat="1" applyFont="1" applyFill="1" applyBorder="1" applyAlignment="1">
      <alignment horizontal="left" vertical="center"/>
    </xf>
    <xf numFmtId="3" fontId="8" fillId="0" borderId="0" xfId="0" applyNumberFormat="1" applyFont="1" applyFill="1" applyAlignment="1">
      <alignment vertical="center"/>
    </xf>
    <xf numFmtId="3" fontId="4" fillId="0" borderId="3" xfId="0" applyNumberFormat="1" applyFont="1" applyFill="1" applyBorder="1" applyAlignment="1">
      <alignment horizontal="center" vertical="center"/>
    </xf>
    <xf numFmtId="3" fontId="4" fillId="0" borderId="2" xfId="0" applyNumberFormat="1" applyFont="1" applyFill="1" applyBorder="1" applyAlignment="1">
      <alignment horizontal="center" vertical="center"/>
    </xf>
    <xf numFmtId="3" fontId="4" fillId="0" borderId="7" xfId="0" applyNumberFormat="1" applyFont="1" applyFill="1" applyBorder="1" applyAlignment="1">
      <alignment horizontal="center" vertical="center"/>
    </xf>
    <xf numFmtId="10" fontId="6" fillId="0" borderId="0" xfId="257" applyNumberFormat="1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180" fontId="2" fillId="0" borderId="13" xfId="0" applyNumberFormat="1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180" fontId="2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5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8" fillId="0" borderId="0" xfId="0" applyFont="1" applyBorder="1" applyAlignment="1">
      <alignment vertical="center"/>
    </xf>
    <xf numFmtId="0" fontId="18" fillId="0" borderId="0" xfId="0" applyFont="1" applyAlignment="1">
      <alignment vertical="center"/>
    </xf>
    <xf numFmtId="180" fontId="2" fillId="0" borderId="0" xfId="0" applyNumberFormat="1" applyFont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180" fontId="5" fillId="2" borderId="17" xfId="0" applyNumberFormat="1" applyFont="1" applyFill="1" applyBorder="1" applyAlignment="1">
      <alignment vertical="center"/>
    </xf>
    <xf numFmtId="180" fontId="2" fillId="3" borderId="18" xfId="0" applyNumberFormat="1" applyFont="1" applyFill="1" applyBorder="1" applyAlignment="1">
      <alignment vertical="center"/>
    </xf>
    <xf numFmtId="181" fontId="8" fillId="3" borderId="19" xfId="0" applyNumberFormat="1" applyFont="1" applyFill="1" applyBorder="1" applyAlignment="1">
      <alignment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179" fontId="5" fillId="3" borderId="18" xfId="0" applyNumberFormat="1" applyFont="1" applyFill="1" applyBorder="1" applyAlignment="1">
      <alignment vertical="center"/>
    </xf>
    <xf numFmtId="3" fontId="6" fillId="0" borderId="22" xfId="0" applyNumberFormat="1" applyFont="1" applyFill="1" applyBorder="1" applyAlignment="1">
      <alignment horizontal="center" vertical="center"/>
    </xf>
    <xf numFmtId="3" fontId="6" fillId="0" borderId="23" xfId="0" applyNumberFormat="1" applyFont="1" applyFill="1" applyBorder="1" applyAlignment="1">
      <alignment horizontal="center" vertical="center"/>
    </xf>
    <xf numFmtId="179" fontId="6" fillId="0" borderId="23" xfId="0" applyNumberFormat="1" applyFont="1" applyFill="1" applyBorder="1" applyAlignment="1">
      <alignment horizontal="center" vertical="center"/>
    </xf>
    <xf numFmtId="3" fontId="6" fillId="0" borderId="24" xfId="0" applyNumberFormat="1" applyFont="1" applyFill="1" applyBorder="1" applyAlignment="1">
      <alignment horizontal="center" vertical="center"/>
    </xf>
    <xf numFmtId="3" fontId="6" fillId="0" borderId="25" xfId="0" applyNumberFormat="1" applyFont="1" applyFill="1" applyBorder="1" applyAlignment="1">
      <alignment horizontal="center" vertical="center"/>
    </xf>
    <xf numFmtId="3" fontId="6" fillId="0" borderId="26" xfId="0" applyNumberFormat="1" applyFont="1" applyFill="1" applyBorder="1" applyAlignment="1">
      <alignment horizontal="center" vertical="center"/>
    </xf>
    <xf numFmtId="3" fontId="6" fillId="0" borderId="27" xfId="0" applyNumberFormat="1" applyFont="1" applyFill="1" applyBorder="1" applyAlignment="1">
      <alignment vertical="center"/>
    </xf>
    <xf numFmtId="3" fontId="6" fillId="0" borderId="28" xfId="0" applyNumberFormat="1" applyFont="1" applyFill="1" applyBorder="1" applyAlignment="1">
      <alignment vertical="center"/>
    </xf>
    <xf numFmtId="3" fontId="6" fillId="0" borderId="29" xfId="0" applyNumberFormat="1" applyFont="1" applyFill="1" applyBorder="1" applyAlignment="1">
      <alignment vertical="center"/>
    </xf>
    <xf numFmtId="3" fontId="6" fillId="0" borderId="30" xfId="0" applyNumberFormat="1" applyFont="1" applyFill="1" applyBorder="1" applyAlignment="1">
      <alignment vertical="center"/>
    </xf>
    <xf numFmtId="3" fontId="6" fillId="0" borderId="31" xfId="0" applyNumberFormat="1" applyFont="1" applyFill="1" applyBorder="1" applyAlignment="1">
      <alignment vertical="center"/>
    </xf>
    <xf numFmtId="3" fontId="6" fillId="0" borderId="32" xfId="0" applyNumberFormat="1" applyFont="1" applyFill="1" applyBorder="1" applyAlignment="1">
      <alignment horizontal="center" vertical="center"/>
    </xf>
    <xf numFmtId="3" fontId="6" fillId="0" borderId="33" xfId="0" applyNumberFormat="1" applyFont="1" applyFill="1" applyBorder="1" applyAlignment="1">
      <alignment vertical="center"/>
    </xf>
    <xf numFmtId="3" fontId="6" fillId="0" borderId="34" xfId="0" applyNumberFormat="1" applyFont="1" applyFill="1" applyBorder="1" applyAlignment="1">
      <alignment horizontal="center" vertical="center"/>
    </xf>
    <xf numFmtId="3" fontId="6" fillId="0" borderId="35" xfId="0" applyNumberFormat="1" applyFont="1" applyFill="1" applyBorder="1" applyAlignment="1">
      <alignment horizontal="center" vertical="center"/>
    </xf>
    <xf numFmtId="3" fontId="6" fillId="0" borderId="36" xfId="0" applyNumberFormat="1" applyFont="1" applyFill="1" applyBorder="1" applyAlignment="1">
      <alignment horizontal="left" vertical="center"/>
    </xf>
    <xf numFmtId="3" fontId="6" fillId="0" borderId="37" xfId="0" applyNumberFormat="1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3" fontId="19" fillId="0" borderId="0" xfId="0" applyNumberFormat="1" applyFont="1" applyFill="1" applyAlignment="1">
      <alignment vertical="center"/>
    </xf>
    <xf numFmtId="180" fontId="5" fillId="0" borderId="38" xfId="0" applyNumberFormat="1" applyFont="1" applyFill="1" applyBorder="1" applyAlignment="1">
      <alignment vertical="center"/>
    </xf>
    <xf numFmtId="180" fontId="5" fillId="0" borderId="39" xfId="0" applyNumberFormat="1" applyFont="1" applyFill="1" applyBorder="1" applyAlignment="1">
      <alignment vertical="center"/>
    </xf>
    <xf numFmtId="180" fontId="5" fillId="0" borderId="40" xfId="0" applyNumberFormat="1" applyFont="1" applyFill="1" applyBorder="1" applyAlignment="1">
      <alignment vertical="center"/>
    </xf>
    <xf numFmtId="180" fontId="5" fillId="0" borderId="41" xfId="0" applyNumberFormat="1" applyFont="1" applyFill="1" applyBorder="1" applyAlignment="1">
      <alignment vertical="center"/>
    </xf>
    <xf numFmtId="180" fontId="4" fillId="0" borderId="42" xfId="0" applyNumberFormat="1" applyFont="1" applyFill="1" applyBorder="1" applyAlignment="1">
      <alignment horizontal="center" vertical="center"/>
    </xf>
    <xf numFmtId="180" fontId="4" fillId="0" borderId="19" xfId="0" applyNumberFormat="1" applyFont="1" applyFill="1" applyBorder="1" applyAlignment="1">
      <alignment horizontal="center" vertical="center"/>
    </xf>
    <xf numFmtId="180" fontId="4" fillId="0" borderId="43" xfId="0" applyNumberFormat="1" applyFont="1" applyFill="1" applyBorder="1" applyAlignment="1">
      <alignment horizontal="center" vertical="center"/>
    </xf>
    <xf numFmtId="9" fontId="4" fillId="0" borderId="44" xfId="257" applyFont="1" applyFill="1" applyBorder="1" applyAlignment="1">
      <alignment vertical="center"/>
    </xf>
    <xf numFmtId="9" fontId="4" fillId="0" borderId="45" xfId="257" applyFont="1" applyFill="1" applyBorder="1" applyAlignment="1">
      <alignment vertical="center"/>
    </xf>
    <xf numFmtId="9" fontId="4" fillId="0" borderId="46" xfId="257" applyFont="1" applyFill="1" applyBorder="1" applyAlignment="1">
      <alignment vertical="center"/>
    </xf>
    <xf numFmtId="9" fontId="4" fillId="0" borderId="47" xfId="257" applyFont="1" applyFill="1" applyBorder="1" applyAlignment="1">
      <alignment vertical="center"/>
    </xf>
    <xf numFmtId="180" fontId="4" fillId="0" borderId="43" xfId="0" applyNumberFormat="1" applyFont="1" applyFill="1" applyBorder="1" applyAlignment="1">
      <alignment vertical="center"/>
    </xf>
    <xf numFmtId="180" fontId="4" fillId="0" borderId="0" xfId="0" applyNumberFormat="1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41" fontId="9" fillId="0" borderId="0" xfId="259" applyFont="1" applyFill="1" applyAlignment="1">
      <alignment vertical="center"/>
    </xf>
    <xf numFmtId="198" fontId="6" fillId="0" borderId="0" xfId="259" applyNumberFormat="1" applyFont="1" applyFill="1" applyAlignment="1">
      <alignment vertical="center"/>
    </xf>
    <xf numFmtId="31" fontId="1" fillId="3" borderId="3" xfId="0" applyNumberFormat="1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17" fillId="3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  <xf numFmtId="0" fontId="16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15" fillId="0" borderId="0" xfId="0" applyFont="1" applyFill="1" applyBorder="1" applyAlignment="1">
      <alignment horizontal="left" vertical="center"/>
    </xf>
    <xf numFmtId="0" fontId="6" fillId="0" borderId="18" xfId="0" applyFont="1" applyBorder="1" applyAlignment="1">
      <alignment vertical="center"/>
    </xf>
    <xf numFmtId="0" fontId="18" fillId="0" borderId="0" xfId="0" applyFont="1" applyFill="1" applyAlignment="1">
      <alignment vertical="center"/>
    </xf>
    <xf numFmtId="180" fontId="18" fillId="0" borderId="0" xfId="0" applyNumberFormat="1" applyFont="1" applyFill="1" applyAlignment="1">
      <alignment vertical="center"/>
    </xf>
    <xf numFmtId="180" fontId="18" fillId="0" borderId="0" xfId="0" applyNumberFormat="1" applyFont="1" applyAlignment="1">
      <alignment vertical="center"/>
    </xf>
    <xf numFmtId="0" fontId="18" fillId="0" borderId="48" xfId="0" applyFont="1" applyBorder="1" applyAlignment="1">
      <alignment horizontal="center" vertical="center"/>
    </xf>
    <xf numFmtId="0" fontId="18" fillId="0" borderId="49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50" xfId="0" applyFont="1" applyBorder="1" applyAlignment="1">
      <alignment vertical="center"/>
    </xf>
    <xf numFmtId="180" fontId="18" fillId="0" borderId="51" xfId="0" applyNumberFormat="1" applyFont="1" applyBorder="1" applyAlignment="1">
      <alignment vertical="center"/>
    </xf>
    <xf numFmtId="180" fontId="18" fillId="0" borderId="52" xfId="0" applyNumberFormat="1" applyFont="1" applyBorder="1" applyAlignment="1">
      <alignment vertical="center"/>
    </xf>
    <xf numFmtId="180" fontId="18" fillId="0" borderId="53" xfId="0" applyNumberFormat="1" applyFont="1" applyBorder="1" applyAlignment="1">
      <alignment vertical="center"/>
    </xf>
    <xf numFmtId="180" fontId="18" fillId="0" borderId="54" xfId="0" applyNumberFormat="1" applyFont="1" applyBorder="1" applyAlignment="1">
      <alignment vertical="center"/>
    </xf>
    <xf numFmtId="0" fontId="18" fillId="0" borderId="42" xfId="0" applyFont="1" applyBorder="1" applyAlignment="1">
      <alignment vertical="center"/>
    </xf>
    <xf numFmtId="180" fontId="18" fillId="0" borderId="49" xfId="0" applyNumberFormat="1" applyFont="1" applyBorder="1" applyAlignment="1">
      <alignment vertical="center"/>
    </xf>
    <xf numFmtId="0" fontId="18" fillId="0" borderId="55" xfId="0" applyFont="1" applyBorder="1" applyAlignment="1">
      <alignment vertical="center"/>
    </xf>
    <xf numFmtId="180" fontId="18" fillId="0" borderId="18" xfId="0" applyNumberFormat="1" applyFont="1" applyBorder="1" applyAlignment="1">
      <alignment vertical="center"/>
    </xf>
    <xf numFmtId="0" fontId="18" fillId="0" borderId="42" xfId="0" applyFont="1" applyBorder="1" applyAlignment="1">
      <alignment horizontal="center" vertical="center"/>
    </xf>
    <xf numFmtId="0" fontId="18" fillId="0" borderId="56" xfId="0" applyFont="1" applyBorder="1" applyAlignment="1">
      <alignment horizontal="left" vertical="center"/>
    </xf>
    <xf numFmtId="0" fontId="18" fillId="0" borderId="17" xfId="0" applyFont="1" applyBorder="1" applyAlignment="1">
      <alignment vertical="center"/>
    </xf>
    <xf numFmtId="180" fontId="18" fillId="0" borderId="57" xfId="0" applyNumberFormat="1" applyFont="1" applyBorder="1" applyAlignment="1">
      <alignment vertical="center"/>
    </xf>
    <xf numFmtId="0" fontId="18" fillId="0" borderId="14" xfId="0" applyFont="1" applyBorder="1" applyAlignment="1">
      <alignment vertical="center"/>
    </xf>
    <xf numFmtId="0" fontId="18" fillId="0" borderId="51" xfId="0" applyFont="1" applyBorder="1" applyAlignment="1">
      <alignment vertical="center"/>
    </xf>
    <xf numFmtId="0" fontId="18" fillId="0" borderId="15" xfId="0" applyFont="1" applyBorder="1" applyAlignment="1">
      <alignment vertical="center"/>
    </xf>
    <xf numFmtId="0" fontId="18" fillId="0" borderId="53" xfId="0" applyFont="1" applyBorder="1" applyAlignment="1">
      <alignment vertical="center"/>
    </xf>
    <xf numFmtId="0" fontId="18" fillId="0" borderId="16" xfId="0" applyFont="1" applyBorder="1" applyAlignment="1">
      <alignment vertical="center"/>
    </xf>
    <xf numFmtId="0" fontId="18" fillId="0" borderId="54" xfId="0" applyFont="1" applyBorder="1" applyAlignment="1">
      <alignment vertical="center"/>
    </xf>
    <xf numFmtId="0" fontId="18" fillId="0" borderId="56" xfId="0" applyFont="1" applyBorder="1" applyAlignment="1">
      <alignment vertical="center"/>
    </xf>
    <xf numFmtId="181" fontId="8" fillId="0" borderId="19" xfId="0" applyNumberFormat="1" applyFont="1" applyFill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180" fontId="18" fillId="0" borderId="57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80" fontId="6" fillId="0" borderId="0" xfId="0" applyNumberFormat="1" applyFont="1" applyAlignment="1">
      <alignment vertical="center"/>
    </xf>
    <xf numFmtId="177" fontId="18" fillId="0" borderId="49" xfId="0" applyNumberFormat="1" applyFont="1" applyBorder="1" applyAlignment="1">
      <alignment vertical="center"/>
    </xf>
    <xf numFmtId="0" fontId="6" fillId="0" borderId="0" xfId="0" applyFont="1" applyFill="1" applyAlignment="1">
      <alignment vertical="center"/>
    </xf>
    <xf numFmtId="0" fontId="44" fillId="0" borderId="0" xfId="0" applyFont="1" applyFill="1" applyAlignment="1">
      <alignment vertical="center"/>
    </xf>
    <xf numFmtId="0" fontId="44" fillId="0" borderId="57" xfId="0" applyFont="1" applyFill="1" applyBorder="1" applyAlignment="1">
      <alignment horizontal="center" vertical="center"/>
    </xf>
    <xf numFmtId="0" fontId="44" fillId="0" borderId="39" xfId="0" applyFont="1" applyFill="1" applyBorder="1" applyAlignment="1">
      <alignment horizontal="center" vertical="center"/>
    </xf>
    <xf numFmtId="0" fontId="44" fillId="0" borderId="40" xfId="0" applyFont="1" applyFill="1" applyBorder="1" applyAlignment="1">
      <alignment horizontal="center" vertical="center"/>
    </xf>
    <xf numFmtId="0" fontId="44" fillId="0" borderId="59" xfId="0" applyFont="1" applyFill="1" applyBorder="1" applyAlignment="1">
      <alignment horizontal="center" vertical="center"/>
    </xf>
    <xf numFmtId="0" fontId="44" fillId="0" borderId="60" xfId="0" applyFont="1" applyFill="1" applyBorder="1" applyAlignment="1">
      <alignment horizontal="center" vertical="center"/>
    </xf>
    <xf numFmtId="0" fontId="44" fillId="0" borderId="0" xfId="0" applyFont="1" applyFill="1" applyBorder="1" applyAlignment="1">
      <alignment horizontal="center" vertical="center"/>
    </xf>
    <xf numFmtId="0" fontId="44" fillId="0" borderId="58" xfId="0" applyFont="1" applyFill="1" applyBorder="1" applyAlignment="1">
      <alignment horizontal="center" vertical="center"/>
    </xf>
    <xf numFmtId="0" fontId="44" fillId="0" borderId="61" xfId="0" applyFont="1" applyFill="1" applyBorder="1" applyAlignment="1">
      <alignment horizontal="center" vertical="center"/>
    </xf>
    <xf numFmtId="0" fontId="44" fillId="0" borderId="62" xfId="0" applyFont="1" applyFill="1" applyBorder="1" applyAlignment="1">
      <alignment horizontal="center" vertical="center"/>
    </xf>
    <xf numFmtId="0" fontId="44" fillId="0" borderId="63" xfId="0" applyFont="1" applyFill="1" applyBorder="1" applyAlignment="1">
      <alignment horizontal="center" vertical="center"/>
    </xf>
    <xf numFmtId="0" fontId="44" fillId="0" borderId="64" xfId="0" applyFont="1" applyFill="1" applyBorder="1" applyAlignment="1">
      <alignment horizontal="center" vertical="center"/>
    </xf>
    <xf numFmtId="0" fontId="44" fillId="0" borderId="65" xfId="0" applyFont="1" applyFill="1" applyBorder="1" applyAlignment="1">
      <alignment horizontal="center" vertical="center"/>
    </xf>
    <xf numFmtId="0" fontId="44" fillId="0" borderId="66" xfId="0" applyFont="1" applyFill="1" applyBorder="1" applyAlignment="1">
      <alignment horizontal="center" vertical="center"/>
    </xf>
    <xf numFmtId="0" fontId="44" fillId="0" borderId="20" xfId="0" applyFont="1" applyFill="1" applyBorder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0" fontId="44" fillId="0" borderId="67" xfId="0" applyFont="1" applyFill="1" applyBorder="1" applyAlignment="1">
      <alignment horizontal="center" vertical="center"/>
    </xf>
    <xf numFmtId="0" fontId="44" fillId="0" borderId="68" xfId="0" applyFont="1" applyFill="1" applyBorder="1" applyAlignment="1">
      <alignment horizontal="center" vertical="center"/>
    </xf>
    <xf numFmtId="0" fontId="44" fillId="0" borderId="8" xfId="0" applyFont="1" applyFill="1" applyBorder="1" applyAlignment="1">
      <alignment horizontal="center" vertical="center"/>
    </xf>
    <xf numFmtId="0" fontId="44" fillId="0" borderId="69" xfId="0" applyFont="1" applyFill="1" applyBorder="1" applyAlignment="1">
      <alignment horizontal="center" vertical="center"/>
    </xf>
    <xf numFmtId="0" fontId="44" fillId="0" borderId="70" xfId="0" applyFont="1" applyFill="1" applyBorder="1" applyAlignment="1">
      <alignment horizontal="center" vertical="center"/>
    </xf>
    <xf numFmtId="0" fontId="44" fillId="0" borderId="26" xfId="0" applyFont="1" applyFill="1" applyBorder="1" applyAlignment="1">
      <alignment horizontal="center" vertical="center"/>
    </xf>
    <xf numFmtId="0" fontId="44" fillId="0" borderId="71" xfId="0" applyFont="1" applyFill="1" applyBorder="1" applyAlignment="1">
      <alignment horizontal="center" vertical="center"/>
    </xf>
    <xf numFmtId="0" fontId="44" fillId="0" borderId="72" xfId="0" applyFont="1" applyFill="1" applyBorder="1" applyAlignment="1">
      <alignment horizontal="center" vertical="center"/>
    </xf>
    <xf numFmtId="180" fontId="44" fillId="0" borderId="73" xfId="0" applyNumberFormat="1" applyFont="1" applyFill="1" applyBorder="1" applyAlignment="1">
      <alignment horizontal="center" vertical="center"/>
    </xf>
    <xf numFmtId="180" fontId="44" fillId="0" borderId="74" xfId="0" applyNumberFormat="1" applyFont="1" applyFill="1" applyBorder="1" applyAlignment="1">
      <alignment vertical="center"/>
    </xf>
    <xf numFmtId="180" fontId="44" fillId="0" borderId="75" xfId="0" applyNumberFormat="1" applyFont="1" applyFill="1" applyBorder="1" applyAlignment="1">
      <alignment vertical="center"/>
    </xf>
    <xf numFmtId="180" fontId="44" fillId="0" borderId="76" xfId="0" applyNumberFormat="1" applyFont="1" applyFill="1" applyBorder="1" applyAlignment="1">
      <alignment vertical="center"/>
    </xf>
    <xf numFmtId="180" fontId="44" fillId="0" borderId="77" xfId="0" applyNumberFormat="1" applyFont="1" applyFill="1" applyBorder="1" applyAlignment="1">
      <alignment vertical="center"/>
    </xf>
    <xf numFmtId="180" fontId="44" fillId="0" borderId="78" xfId="0" applyNumberFormat="1" applyFont="1" applyFill="1" applyBorder="1" applyAlignment="1">
      <alignment vertical="center"/>
    </xf>
    <xf numFmtId="180" fontId="44" fillId="0" borderId="79" xfId="0" applyNumberFormat="1" applyFont="1" applyFill="1" applyBorder="1" applyAlignment="1">
      <alignment vertical="center"/>
    </xf>
    <xf numFmtId="180" fontId="44" fillId="0" borderId="80" xfId="0" applyNumberFormat="1" applyFont="1" applyFill="1" applyBorder="1" applyAlignment="1">
      <alignment vertical="center"/>
    </xf>
    <xf numFmtId="180" fontId="44" fillId="0" borderId="0" xfId="0" applyNumberFormat="1" applyFont="1" applyFill="1" applyAlignment="1">
      <alignment vertical="center"/>
    </xf>
    <xf numFmtId="180" fontId="44" fillId="0" borderId="81" xfId="0" applyNumberFormat="1" applyFont="1" applyFill="1" applyBorder="1" applyAlignment="1">
      <alignment horizontal="center" vertical="center"/>
    </xf>
    <xf numFmtId="180" fontId="44" fillId="0" borderId="82" xfId="0" applyNumberFormat="1" applyFont="1" applyFill="1" applyBorder="1" applyAlignment="1">
      <alignment vertical="center"/>
    </xf>
    <xf numFmtId="180" fontId="44" fillId="0" borderId="3" xfId="0" applyNumberFormat="1" applyFont="1" applyFill="1" applyBorder="1" applyAlignment="1">
      <alignment vertical="center"/>
    </xf>
    <xf numFmtId="180" fontId="44" fillId="0" borderId="83" xfId="0" applyNumberFormat="1" applyFont="1" applyFill="1" applyBorder="1" applyAlignment="1">
      <alignment vertical="center"/>
    </xf>
    <xf numFmtId="180" fontId="44" fillId="0" borderId="4" xfId="0" applyNumberFormat="1" applyFont="1" applyFill="1" applyBorder="1" applyAlignment="1">
      <alignment vertical="center"/>
    </xf>
    <xf numFmtId="180" fontId="44" fillId="0" borderId="28" xfId="0" applyNumberFormat="1" applyFont="1" applyFill="1" applyBorder="1" applyAlignment="1">
      <alignment vertical="center"/>
    </xf>
    <xf numFmtId="180" fontId="44" fillId="0" borderId="84" xfId="0" applyNumberFormat="1" applyFont="1" applyFill="1" applyBorder="1" applyAlignment="1">
      <alignment vertical="center"/>
    </xf>
    <xf numFmtId="180" fontId="44" fillId="0" borderId="53" xfId="0" applyNumberFormat="1" applyFont="1" applyFill="1" applyBorder="1" applyAlignment="1">
      <alignment vertical="center"/>
    </xf>
    <xf numFmtId="180" fontId="44" fillId="0" borderId="85" xfId="0" applyNumberFormat="1" applyFont="1" applyFill="1" applyBorder="1" applyAlignment="1">
      <alignment vertical="center"/>
    </xf>
    <xf numFmtId="180" fontId="44" fillId="0" borderId="61" xfId="0" applyNumberFormat="1" applyFont="1" applyFill="1" applyBorder="1" applyAlignment="1">
      <alignment vertical="center"/>
    </xf>
    <xf numFmtId="180" fontId="44" fillId="0" borderId="39" xfId="0" applyNumberFormat="1" applyFont="1" applyFill="1" applyBorder="1" applyAlignment="1">
      <alignment vertical="center"/>
    </xf>
    <xf numFmtId="180" fontId="44" fillId="0" borderId="62" xfId="0" applyNumberFormat="1" applyFont="1" applyFill="1" applyBorder="1" applyAlignment="1">
      <alignment vertical="center"/>
    </xf>
    <xf numFmtId="180" fontId="6" fillId="0" borderId="60" xfId="0" applyNumberFormat="1" applyFont="1" applyFill="1" applyBorder="1" applyAlignment="1">
      <alignment vertical="center"/>
    </xf>
    <xf numFmtId="180" fontId="6" fillId="0" borderId="0" xfId="0" applyNumberFormat="1" applyFont="1" applyFill="1" applyAlignment="1">
      <alignment vertical="center"/>
    </xf>
    <xf numFmtId="9" fontId="4" fillId="0" borderId="86" xfId="257" applyFont="1" applyFill="1" applyBorder="1" applyAlignment="1">
      <alignment vertical="center"/>
    </xf>
    <xf numFmtId="9" fontId="4" fillId="0" borderId="87" xfId="257" applyFont="1" applyFill="1" applyBorder="1" applyAlignment="1">
      <alignment vertical="center"/>
    </xf>
    <xf numFmtId="41" fontId="6" fillId="0" borderId="0" xfId="0" applyNumberFormat="1" applyFont="1" applyFill="1" applyAlignment="1">
      <alignment vertical="center"/>
    </xf>
    <xf numFmtId="0" fontId="18" fillId="0" borderId="0" xfId="0" quotePrefix="1" applyFont="1" applyFill="1" applyAlignment="1">
      <alignment vertical="center"/>
    </xf>
    <xf numFmtId="41" fontId="18" fillId="0" borderId="0" xfId="259" applyFont="1" applyFill="1" applyAlignment="1">
      <alignment vertical="center"/>
    </xf>
    <xf numFmtId="3" fontId="1" fillId="0" borderId="0" xfId="0" applyNumberFormat="1" applyFont="1" applyFill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horizontal="center" vertical="center"/>
    </xf>
    <xf numFmtId="179" fontId="1" fillId="0" borderId="0" xfId="0" applyNumberFormat="1" applyFont="1" applyFill="1" applyAlignment="1">
      <alignment vertical="center"/>
    </xf>
    <xf numFmtId="4" fontId="1" fillId="0" borderId="0" xfId="0" applyNumberFormat="1" applyFont="1" applyFill="1" applyAlignment="1">
      <alignment vertical="center"/>
    </xf>
    <xf numFmtId="3" fontId="45" fillId="0" borderId="0" xfId="0" applyNumberFormat="1" applyFont="1" applyFill="1" applyAlignment="1">
      <alignment vertical="center"/>
    </xf>
    <xf numFmtId="3" fontId="46" fillId="0" borderId="0" xfId="0" applyNumberFormat="1" applyFont="1" applyFill="1" applyAlignment="1">
      <alignment vertical="center"/>
    </xf>
    <xf numFmtId="3" fontId="46" fillId="0" borderId="0" xfId="0" applyNumberFormat="1" applyFont="1" applyFill="1" applyAlignment="1">
      <alignment horizontal="center" vertical="center"/>
    </xf>
    <xf numFmtId="179" fontId="46" fillId="0" borderId="0" xfId="0" applyNumberFormat="1" applyFont="1" applyFill="1" applyAlignment="1">
      <alignment horizontal="center" vertical="center"/>
    </xf>
    <xf numFmtId="179" fontId="46" fillId="0" borderId="0" xfId="0" applyNumberFormat="1" applyFont="1" applyFill="1" applyAlignment="1">
      <alignment vertical="center"/>
    </xf>
    <xf numFmtId="4" fontId="47" fillId="0" borderId="0" xfId="0" applyNumberFormat="1" applyFont="1" applyFill="1" applyAlignment="1">
      <alignment vertical="center"/>
    </xf>
    <xf numFmtId="3" fontId="47" fillId="0" borderId="0" xfId="0" applyNumberFormat="1" applyFont="1" applyFill="1" applyAlignment="1">
      <alignment vertical="center"/>
    </xf>
    <xf numFmtId="3" fontId="48" fillId="0" borderId="0" xfId="0" applyNumberFormat="1" applyFont="1" applyFill="1" applyAlignment="1">
      <alignment vertical="center"/>
    </xf>
    <xf numFmtId="3" fontId="18" fillId="0" borderId="0" xfId="0" applyNumberFormat="1" applyFont="1" applyFill="1" applyAlignment="1">
      <alignment vertical="center"/>
    </xf>
    <xf numFmtId="41" fontId="18" fillId="0" borderId="18" xfId="0" applyNumberFormat="1" applyFont="1" applyBorder="1" applyAlignment="1">
      <alignment vertical="center"/>
    </xf>
    <xf numFmtId="41" fontId="18" fillId="0" borderId="49" xfId="0" applyNumberFormat="1" applyFont="1" applyBorder="1" applyAlignment="1">
      <alignment vertical="center"/>
    </xf>
    <xf numFmtId="41" fontId="18" fillId="0" borderId="57" xfId="0" applyNumberFormat="1" applyFont="1" applyBorder="1" applyAlignment="1">
      <alignment vertical="center"/>
    </xf>
    <xf numFmtId="0" fontId="18" fillId="0" borderId="14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8" fillId="0" borderId="16" xfId="0" applyFont="1" applyFill="1" applyBorder="1" applyAlignment="1">
      <alignment horizontal="center" vertical="center"/>
    </xf>
    <xf numFmtId="41" fontId="18" fillId="0" borderId="48" xfId="0" applyNumberFormat="1" applyFont="1" applyBorder="1" applyAlignment="1">
      <alignment vertical="center"/>
    </xf>
    <xf numFmtId="0" fontId="18" fillId="0" borderId="52" xfId="0" applyFont="1" applyBorder="1" applyAlignment="1">
      <alignment vertical="center"/>
    </xf>
    <xf numFmtId="0" fontId="18" fillId="0" borderId="88" xfId="0" applyFont="1" applyFill="1" applyBorder="1" applyAlignment="1">
      <alignment horizontal="center" vertical="center"/>
    </xf>
    <xf numFmtId="0" fontId="18" fillId="0" borderId="49" xfId="0" applyFont="1" applyBorder="1" applyAlignment="1">
      <alignment vertical="center" shrinkToFit="1"/>
    </xf>
    <xf numFmtId="0" fontId="18" fillId="0" borderId="0" xfId="0" quotePrefix="1" applyFont="1" applyAlignment="1">
      <alignment horizontal="center" vertical="center"/>
    </xf>
    <xf numFmtId="0" fontId="18" fillId="0" borderId="43" xfId="0" applyFont="1" applyBorder="1" applyAlignment="1">
      <alignment vertical="center" shrinkToFit="1"/>
    </xf>
    <xf numFmtId="41" fontId="18" fillId="0" borderId="0" xfId="0" applyNumberFormat="1" applyFont="1" applyAlignment="1">
      <alignment vertical="center"/>
    </xf>
    <xf numFmtId="41" fontId="18" fillId="0" borderId="0" xfId="0" applyNumberFormat="1" applyFont="1" applyAlignment="1">
      <alignment horizontal="center" vertical="center"/>
    </xf>
    <xf numFmtId="43" fontId="18" fillId="0" borderId="0" xfId="0" applyNumberFormat="1" applyFont="1" applyAlignment="1">
      <alignment vertical="center"/>
    </xf>
    <xf numFmtId="0" fontId="18" fillId="0" borderId="0" xfId="0" applyFont="1" applyAlignment="1">
      <alignment vertical="center" shrinkToFit="1"/>
    </xf>
    <xf numFmtId="0" fontId="18" fillId="0" borderId="89" xfId="0" applyFont="1" applyBorder="1" applyAlignment="1">
      <alignment vertical="center" shrinkToFit="1"/>
    </xf>
    <xf numFmtId="0" fontId="18" fillId="0" borderId="90" xfId="0" applyFont="1" applyBorder="1" applyAlignment="1">
      <alignment vertical="center" shrinkToFit="1"/>
    </xf>
    <xf numFmtId="0" fontId="18" fillId="0" borderId="81" xfId="0" applyFont="1" applyBorder="1" applyAlignment="1">
      <alignment vertical="center" shrinkToFit="1"/>
    </xf>
    <xf numFmtId="0" fontId="18" fillId="0" borderId="91" xfId="0" applyFont="1" applyBorder="1" applyAlignment="1">
      <alignment vertical="center" shrinkToFit="1"/>
    </xf>
    <xf numFmtId="0" fontId="18" fillId="0" borderId="18" xfId="0" applyFont="1" applyBorder="1" applyAlignment="1">
      <alignment vertical="center" shrinkToFit="1"/>
    </xf>
    <xf numFmtId="0" fontId="18" fillId="0" borderId="17" xfId="0" applyFont="1" applyBorder="1" applyAlignment="1">
      <alignment vertical="center" shrinkToFit="1"/>
    </xf>
    <xf numFmtId="0" fontId="18" fillId="0" borderId="57" xfId="0" applyFont="1" applyBorder="1" applyAlignment="1">
      <alignment horizontal="center" vertical="center" shrinkToFit="1"/>
    </xf>
    <xf numFmtId="0" fontId="18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 shrinkToFit="1"/>
    </xf>
    <xf numFmtId="0" fontId="18" fillId="0" borderId="0" xfId="0" applyFont="1" applyAlignment="1">
      <alignment horizontal="center" vertical="center" shrinkToFit="1"/>
    </xf>
    <xf numFmtId="180" fontId="1" fillId="0" borderId="73" xfId="0" applyNumberFormat="1" applyFont="1" applyFill="1" applyBorder="1" applyAlignment="1">
      <alignment horizontal="left" vertical="center" shrinkToFit="1"/>
    </xf>
    <xf numFmtId="180" fontId="1" fillId="0" borderId="81" xfId="0" applyNumberFormat="1" applyFont="1" applyFill="1" applyBorder="1" applyAlignment="1">
      <alignment horizontal="left" vertical="center" shrinkToFit="1"/>
    </xf>
    <xf numFmtId="0" fontId="1" fillId="0" borderId="89" xfId="0" applyFont="1" applyFill="1" applyBorder="1" applyAlignment="1">
      <alignment horizontal="center" vertical="center"/>
    </xf>
    <xf numFmtId="180" fontId="1" fillId="0" borderId="92" xfId="0" applyNumberFormat="1" applyFont="1" applyFill="1" applyBorder="1" applyAlignment="1">
      <alignment horizontal="right" vertical="center"/>
    </xf>
    <xf numFmtId="180" fontId="1" fillId="0" borderId="39" xfId="0" applyNumberFormat="1" applyFont="1" applyFill="1" applyBorder="1" applyAlignment="1">
      <alignment horizontal="right" vertical="center"/>
    </xf>
    <xf numFmtId="180" fontId="1" fillId="0" borderId="2" xfId="0" applyNumberFormat="1" applyFont="1" applyFill="1" applyBorder="1" applyAlignment="1">
      <alignment horizontal="right" vertical="center"/>
    </xf>
    <xf numFmtId="180" fontId="1" fillId="0" borderId="51" xfId="0" applyNumberFormat="1" applyFont="1" applyFill="1" applyBorder="1" applyAlignment="1">
      <alignment horizontal="right" vertical="center"/>
    </xf>
    <xf numFmtId="0" fontId="1" fillId="0" borderId="89" xfId="0" applyFont="1" applyFill="1" applyBorder="1" applyAlignment="1">
      <alignment vertical="center"/>
    </xf>
    <xf numFmtId="0" fontId="1" fillId="0" borderId="81" xfId="0" applyFont="1" applyFill="1" applyBorder="1" applyAlignment="1">
      <alignment horizontal="center" vertical="center"/>
    </xf>
    <xf numFmtId="180" fontId="1" fillId="0" borderId="82" xfId="0" applyNumberFormat="1" applyFont="1" applyFill="1" applyBorder="1" applyAlignment="1">
      <alignment horizontal="right" vertical="center"/>
    </xf>
    <xf numFmtId="0" fontId="1" fillId="0" borderId="3" xfId="0" applyFont="1" applyFill="1" applyBorder="1" applyAlignment="1">
      <alignment vertical="center"/>
    </xf>
    <xf numFmtId="180" fontId="1" fillId="0" borderId="3" xfId="0" applyNumberFormat="1" applyFont="1" applyFill="1" applyBorder="1" applyAlignment="1">
      <alignment horizontal="right" vertical="center"/>
    </xf>
    <xf numFmtId="180" fontId="1" fillId="0" borderId="53" xfId="0" applyNumberFormat="1" applyFont="1" applyFill="1" applyBorder="1" applyAlignment="1">
      <alignment horizontal="right" vertical="center"/>
    </xf>
    <xf numFmtId="0" fontId="1" fillId="0" borderId="81" xfId="0" applyFont="1" applyFill="1" applyBorder="1" applyAlignment="1">
      <alignment vertical="center"/>
    </xf>
    <xf numFmtId="0" fontId="1" fillId="0" borderId="15" xfId="0" applyFont="1" applyFill="1" applyBorder="1" applyAlignment="1">
      <alignment horizontal="center" vertical="center"/>
    </xf>
    <xf numFmtId="0" fontId="1" fillId="0" borderId="93" xfId="0" applyFont="1" applyFill="1" applyBorder="1" applyAlignment="1">
      <alignment vertical="center"/>
    </xf>
    <xf numFmtId="0" fontId="1" fillId="0" borderId="88" xfId="0" applyFont="1" applyFill="1" applyBorder="1" applyAlignment="1">
      <alignment horizontal="center" vertical="center"/>
    </xf>
    <xf numFmtId="180" fontId="1" fillId="0" borderId="94" xfId="0" applyNumberFormat="1" applyFont="1" applyBorder="1" applyAlignment="1">
      <alignment vertical="center"/>
    </xf>
    <xf numFmtId="180" fontId="1" fillId="0" borderId="95" xfId="0" applyNumberFormat="1" applyFont="1" applyBorder="1" applyAlignment="1">
      <alignment vertical="center"/>
    </xf>
    <xf numFmtId="0" fontId="18" fillId="0" borderId="49" xfId="0" applyFont="1" applyBorder="1" applyAlignment="1">
      <alignment horizontal="left" vertical="center" shrinkToFit="1"/>
    </xf>
    <xf numFmtId="41" fontId="1" fillId="0" borderId="0" xfId="0" applyNumberFormat="1" applyFont="1" applyAlignment="1">
      <alignment vertical="center"/>
    </xf>
    <xf numFmtId="0" fontId="18" fillId="0" borderId="0" xfId="0" applyFont="1" applyFill="1" applyAlignment="1">
      <alignment horizontal="left" vertical="center"/>
    </xf>
    <xf numFmtId="0" fontId="18" fillId="0" borderId="18" xfId="0" applyFont="1" applyBorder="1" applyAlignment="1">
      <alignment horizontal="left" vertical="center"/>
    </xf>
    <xf numFmtId="0" fontId="18" fillId="0" borderId="89" xfId="0" applyFont="1" applyFill="1" applyBorder="1" applyAlignment="1">
      <alignment horizontal="left" vertical="center"/>
    </xf>
    <xf numFmtId="0" fontId="18" fillId="0" borderId="90" xfId="0" applyFont="1" applyFill="1" applyBorder="1" applyAlignment="1">
      <alignment horizontal="left" vertical="center"/>
    </xf>
    <xf numFmtId="0" fontId="18" fillId="0" borderId="81" xfId="0" applyFont="1" applyFill="1" applyBorder="1" applyAlignment="1">
      <alignment horizontal="left" vertical="center"/>
    </xf>
    <xf numFmtId="0" fontId="18" fillId="0" borderId="91" xfId="0" applyFont="1" applyFill="1" applyBorder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3" borderId="0" xfId="0" applyFont="1" applyFill="1" applyBorder="1" applyAlignment="1">
      <alignment vertical="center"/>
    </xf>
    <xf numFmtId="0" fontId="0" fillId="0" borderId="18" xfId="0" applyBorder="1" applyAlignment="1">
      <alignment vertical="center"/>
    </xf>
    <xf numFmtId="180" fontId="0" fillId="0" borderId="18" xfId="0" applyNumberFormat="1" applyBorder="1" applyAlignment="1">
      <alignment vertical="center"/>
    </xf>
    <xf numFmtId="180" fontId="0" fillId="0" borderId="49" xfId="0" applyNumberFormat="1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180" fontId="0" fillId="0" borderId="0" xfId="0" applyNumberFormat="1" applyFill="1" applyAlignment="1">
      <alignment vertical="center"/>
    </xf>
    <xf numFmtId="18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42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9" xfId="0" applyBorder="1" applyAlignment="1">
      <alignment vertical="center"/>
    </xf>
    <xf numFmtId="0" fontId="0" fillId="0" borderId="55" xfId="0" applyBorder="1" applyAlignment="1">
      <alignment vertical="center"/>
    </xf>
    <xf numFmtId="0" fontId="0" fillId="0" borderId="43" xfId="0" applyFill="1" applyBorder="1" applyAlignment="1">
      <alignment vertical="center"/>
    </xf>
    <xf numFmtId="0" fontId="0" fillId="0" borderId="49" xfId="0" applyFill="1" applyBorder="1" applyAlignment="1">
      <alignment vertical="center"/>
    </xf>
    <xf numFmtId="180" fontId="0" fillId="0" borderId="49" xfId="0" applyNumberFormat="1" applyFill="1" applyBorder="1" applyAlignment="1">
      <alignment vertical="center"/>
    </xf>
    <xf numFmtId="180" fontId="24" fillId="0" borderId="81" xfId="0" applyNumberFormat="1" applyFont="1" applyFill="1" applyBorder="1" applyAlignment="1">
      <alignment vertical="center"/>
    </xf>
    <xf numFmtId="180" fontId="1" fillId="0" borderId="91" xfId="0" applyNumberFormat="1" applyFont="1" applyBorder="1" applyAlignment="1">
      <alignment vertical="center"/>
    </xf>
    <xf numFmtId="0" fontId="55" fillId="0" borderId="0" xfId="0" applyFont="1" applyFill="1" applyBorder="1" applyAlignment="1">
      <alignment vertical="center" shrinkToFit="1"/>
    </xf>
    <xf numFmtId="0" fontId="24" fillId="0" borderId="0" xfId="0" applyFont="1" applyFill="1" applyBorder="1" applyAlignment="1">
      <alignment vertical="center" shrinkToFit="1"/>
    </xf>
    <xf numFmtId="0" fontId="24" fillId="0" borderId="0" xfId="0" applyFont="1" applyAlignment="1">
      <alignment vertical="center"/>
    </xf>
    <xf numFmtId="41" fontId="24" fillId="0" borderId="0" xfId="0" applyNumberFormat="1" applyFont="1" applyAlignment="1">
      <alignment vertical="center"/>
    </xf>
    <xf numFmtId="0" fontId="24" fillId="0" borderId="0" xfId="275" applyFont="1" applyFill="1" applyBorder="1" applyAlignment="1">
      <alignment vertical="center"/>
    </xf>
    <xf numFmtId="41" fontId="24" fillId="0" borderId="0" xfId="259" applyFont="1" applyFill="1" applyBorder="1" applyAlignment="1">
      <alignment vertical="center"/>
    </xf>
    <xf numFmtId="0" fontId="24" fillId="0" borderId="0" xfId="275" applyFont="1" applyFill="1" applyAlignment="1">
      <alignment vertical="center"/>
    </xf>
    <xf numFmtId="41" fontId="24" fillId="0" borderId="0" xfId="259" applyFont="1" applyFill="1" applyAlignment="1">
      <alignment vertical="center"/>
    </xf>
    <xf numFmtId="41" fontId="18" fillId="0" borderId="49" xfId="0" applyNumberFormat="1" applyFont="1" applyBorder="1" applyAlignment="1">
      <alignment horizontal="center" vertical="center"/>
    </xf>
    <xf numFmtId="41" fontId="1" fillId="0" borderId="96" xfId="0" applyNumberFormat="1" applyFont="1" applyFill="1" applyBorder="1" applyAlignment="1">
      <alignment horizontal="center" vertical="center"/>
    </xf>
    <xf numFmtId="180" fontId="24" fillId="0" borderId="0" xfId="0" applyNumberFormat="1" applyFont="1" applyAlignment="1">
      <alignment vertical="center"/>
    </xf>
    <xf numFmtId="180" fontId="0" fillId="0" borderId="91" xfId="0" applyNumberFormat="1" applyBorder="1" applyAlignment="1">
      <alignment vertical="center"/>
    </xf>
    <xf numFmtId="0" fontId="1" fillId="0" borderId="91" xfId="0" applyFont="1" applyBorder="1" applyAlignment="1">
      <alignment horizontal="center" vertical="center" shrinkToFit="1"/>
    </xf>
    <xf numFmtId="180" fontId="0" fillId="0" borderId="81" xfId="0" applyNumberFormat="1" applyFill="1" applyBorder="1" applyAlignment="1">
      <alignment horizontal="center" vertical="center"/>
    </xf>
    <xf numFmtId="180" fontId="0" fillId="3" borderId="0" xfId="0" applyNumberFormat="1" applyFill="1" applyBorder="1" applyAlignment="1">
      <alignment vertical="center"/>
    </xf>
    <xf numFmtId="0" fontId="56" fillId="5" borderId="0" xfId="0" applyFont="1" applyFill="1" applyAlignment="1">
      <alignment horizontal="left" vertical="center" shrinkToFit="1"/>
    </xf>
    <xf numFmtId="0" fontId="54" fillId="6" borderId="81" xfId="0" applyFont="1" applyFill="1" applyBorder="1" applyAlignment="1">
      <alignment horizontal="left" vertical="center" shrinkToFit="1"/>
    </xf>
    <xf numFmtId="206" fontId="56" fillId="5" borderId="0" xfId="0" applyNumberFormat="1" applyFont="1" applyFill="1" applyAlignment="1">
      <alignment horizontal="center" vertical="center" shrinkToFit="1"/>
    </xf>
    <xf numFmtId="206" fontId="54" fillId="6" borderId="81" xfId="0" applyNumberFormat="1" applyFont="1" applyFill="1" applyBorder="1" applyAlignment="1">
      <alignment horizontal="center" vertical="center" shrinkToFit="1"/>
    </xf>
    <xf numFmtId="41" fontId="56" fillId="5" borderId="0" xfId="259" applyNumberFormat="1" applyFont="1" applyFill="1" applyAlignment="1">
      <alignment horizontal="right" vertical="center" shrinkToFit="1"/>
    </xf>
    <xf numFmtId="0" fontId="0" fillId="6" borderId="91" xfId="0" applyFill="1" applyBorder="1" applyAlignment="1">
      <alignment vertical="center"/>
    </xf>
    <xf numFmtId="180" fontId="0" fillId="6" borderId="91" xfId="0" applyNumberFormat="1" applyFill="1" applyBorder="1" applyAlignment="1">
      <alignment vertical="center"/>
    </xf>
    <xf numFmtId="0" fontId="54" fillId="6" borderId="89" xfId="0" applyFont="1" applyFill="1" applyBorder="1" applyAlignment="1">
      <alignment horizontal="center" vertical="center"/>
    </xf>
    <xf numFmtId="41" fontId="54" fillId="6" borderId="89" xfId="259" applyFont="1" applyFill="1" applyBorder="1" applyAlignment="1">
      <alignment horizontal="right" vertical="center"/>
    </xf>
    <xf numFmtId="41" fontId="54" fillId="0" borderId="89" xfId="259" applyFont="1" applyFill="1" applyBorder="1" applyAlignment="1">
      <alignment horizontal="right" vertical="center"/>
    </xf>
    <xf numFmtId="0" fontId="54" fillId="0" borderId="89" xfId="0" applyFont="1" applyBorder="1" applyAlignment="1">
      <alignment vertical="center"/>
    </xf>
    <xf numFmtId="0" fontId="54" fillId="6" borderId="81" xfId="0" applyFont="1" applyFill="1" applyBorder="1" applyAlignment="1">
      <alignment horizontal="center" vertical="center"/>
    </xf>
    <xf numFmtId="41" fontId="54" fillId="0" borderId="81" xfId="259" applyFont="1" applyFill="1" applyBorder="1" applyAlignment="1">
      <alignment horizontal="right" vertical="center"/>
    </xf>
    <xf numFmtId="0" fontId="54" fillId="0" borderId="81" xfId="0" applyFont="1" applyBorder="1" applyAlignment="1">
      <alignment horizontal="center" vertical="center" shrinkToFit="1"/>
    </xf>
    <xf numFmtId="0" fontId="54" fillId="6" borderId="81" xfId="0" applyFont="1" applyFill="1" applyBorder="1" applyAlignment="1">
      <alignment vertical="center"/>
    </xf>
    <xf numFmtId="180" fontId="54" fillId="6" borderId="81" xfId="0" applyNumberFormat="1" applyFont="1" applyFill="1" applyBorder="1" applyAlignment="1">
      <alignment vertical="center"/>
    </xf>
    <xf numFmtId="180" fontId="54" fillId="0" borderId="81" xfId="0" applyNumberFormat="1" applyFont="1" applyBorder="1" applyAlignment="1">
      <alignment vertical="center"/>
    </xf>
    <xf numFmtId="180" fontId="54" fillId="6" borderId="81" xfId="0" applyNumberFormat="1" applyFont="1" applyFill="1" applyBorder="1" applyAlignment="1">
      <alignment horizontal="center" vertical="center"/>
    </xf>
    <xf numFmtId="0" fontId="54" fillId="6" borderId="81" xfId="271" applyFont="1" applyFill="1" applyBorder="1" applyAlignment="1">
      <alignment horizontal="left" vertical="center" shrinkToFit="1"/>
    </xf>
    <xf numFmtId="0" fontId="54" fillId="6" borderId="81" xfId="271" applyFont="1" applyFill="1" applyBorder="1" applyAlignment="1">
      <alignment horizontal="right" vertical="center" shrinkToFit="1"/>
    </xf>
    <xf numFmtId="49" fontId="54" fillId="6" borderId="89" xfId="274" applyNumberFormat="1" applyFont="1" applyFill="1" applyBorder="1" applyAlignment="1">
      <alignment horizontal="left" vertical="center" shrinkToFit="1"/>
    </xf>
    <xf numFmtId="3" fontId="54" fillId="6" borderId="89" xfId="274" applyNumberFormat="1" applyFont="1" applyFill="1" applyBorder="1" applyAlignment="1">
      <alignment horizontal="left" vertical="center" shrinkToFit="1"/>
    </xf>
    <xf numFmtId="180" fontId="54" fillId="6" borderId="89" xfId="0" applyNumberFormat="1" applyFont="1" applyFill="1" applyBorder="1" applyAlignment="1">
      <alignment horizontal="center" vertical="center"/>
    </xf>
    <xf numFmtId="41" fontId="54" fillId="6" borderId="89" xfId="274" applyNumberFormat="1" applyFont="1" applyFill="1" applyBorder="1" applyAlignment="1">
      <alignment horizontal="center" vertical="center" shrinkToFit="1"/>
    </xf>
    <xf numFmtId="49" fontId="54" fillId="6" borderId="81" xfId="274" applyNumberFormat="1" applyFont="1" applyFill="1" applyBorder="1" applyAlignment="1"/>
    <xf numFmtId="3" fontId="54" fillId="6" borderId="81" xfId="274" applyNumberFormat="1" applyFont="1" applyFill="1" applyBorder="1" applyAlignment="1">
      <alignment horizontal="left" vertical="center" shrinkToFit="1"/>
    </xf>
    <xf numFmtId="41" fontId="54" fillId="6" borderId="81" xfId="274" applyNumberFormat="1" applyFont="1" applyFill="1" applyBorder="1" applyAlignment="1">
      <alignment horizontal="center" vertical="center" shrinkToFit="1"/>
    </xf>
    <xf numFmtId="0" fontId="54" fillId="6" borderId="81" xfId="0" applyFont="1" applyFill="1" applyBorder="1" applyAlignment="1">
      <alignment vertical="center" shrinkToFit="1"/>
    </xf>
    <xf numFmtId="0" fontId="54" fillId="6" borderId="91" xfId="0" applyFont="1" applyFill="1" applyBorder="1" applyAlignment="1">
      <alignment vertical="center" shrinkToFit="1"/>
    </xf>
    <xf numFmtId="0" fontId="54" fillId="6" borderId="91" xfId="0" applyFont="1" applyFill="1" applyBorder="1" applyAlignment="1">
      <alignment horizontal="left" vertical="center" shrinkToFit="1"/>
    </xf>
    <xf numFmtId="0" fontId="54" fillId="6" borderId="91" xfId="0" applyFont="1" applyFill="1" applyBorder="1" applyAlignment="1">
      <alignment horizontal="center" vertical="center" shrinkToFit="1"/>
    </xf>
    <xf numFmtId="180" fontId="54" fillId="6" borderId="91" xfId="0" applyNumberFormat="1" applyFont="1" applyFill="1" applyBorder="1" applyAlignment="1">
      <alignment horizontal="center" vertical="center"/>
    </xf>
    <xf numFmtId="180" fontId="54" fillId="6" borderId="91" xfId="0" applyNumberFormat="1" applyFont="1" applyFill="1" applyBorder="1" applyAlignment="1">
      <alignment vertical="center"/>
    </xf>
    <xf numFmtId="180" fontId="54" fillId="0" borderId="89" xfId="0" applyNumberFormat="1" applyFont="1" applyBorder="1" applyAlignment="1">
      <alignment vertical="center"/>
    </xf>
    <xf numFmtId="0" fontId="54" fillId="0" borderId="81" xfId="0" applyFont="1" applyBorder="1" applyAlignment="1">
      <alignment vertical="center"/>
    </xf>
    <xf numFmtId="180" fontId="54" fillId="0" borderId="91" xfId="0" applyNumberFormat="1" applyFont="1" applyBorder="1" applyAlignment="1">
      <alignment vertical="center"/>
    </xf>
    <xf numFmtId="0" fontId="54" fillId="0" borderId="91" xfId="0" applyFont="1" applyBorder="1" applyAlignment="1">
      <alignment vertical="center"/>
    </xf>
    <xf numFmtId="0" fontId="54" fillId="0" borderId="50" xfId="0" applyFont="1" applyBorder="1" applyAlignment="1">
      <alignment vertical="center"/>
    </xf>
    <xf numFmtId="0" fontId="54" fillId="0" borderId="42" xfId="0" applyFont="1" applyBorder="1" applyAlignment="1">
      <alignment vertical="center"/>
    </xf>
    <xf numFmtId="0" fontId="54" fillId="0" borderId="43" xfId="0" applyFont="1" applyBorder="1" applyAlignment="1">
      <alignment vertical="center"/>
    </xf>
    <xf numFmtId="0" fontId="54" fillId="0" borderId="49" xfId="0" applyFont="1" applyBorder="1" applyAlignment="1">
      <alignment vertical="center"/>
    </xf>
    <xf numFmtId="177" fontId="54" fillId="0" borderId="49" xfId="0" applyNumberFormat="1" applyFont="1" applyBorder="1" applyAlignment="1">
      <alignment vertical="center"/>
    </xf>
    <xf numFmtId="180" fontId="54" fillId="0" borderId="49" xfId="0" applyNumberFormat="1" applyFont="1" applyBorder="1" applyAlignment="1">
      <alignment vertical="center"/>
    </xf>
    <xf numFmtId="180" fontId="54" fillId="0" borderId="18" xfId="0" applyNumberFormat="1" applyFont="1" applyBorder="1" applyAlignment="1">
      <alignment vertical="center"/>
    </xf>
    <xf numFmtId="0" fontId="54" fillId="0" borderId="18" xfId="0" applyFont="1" applyBorder="1" applyAlignment="1">
      <alignment vertical="center"/>
    </xf>
    <xf numFmtId="0" fontId="54" fillId="0" borderId="55" xfId="0" applyFont="1" applyBorder="1" applyAlignment="1">
      <alignment vertical="center"/>
    </xf>
    <xf numFmtId="0" fontId="54" fillId="0" borderId="42" xfId="0" applyFont="1" applyBorder="1" applyAlignment="1">
      <alignment horizontal="center" vertical="center"/>
    </xf>
    <xf numFmtId="0" fontId="54" fillId="0" borderId="56" xfId="0" applyFont="1" applyBorder="1" applyAlignment="1">
      <alignment horizontal="left" vertical="center"/>
    </xf>
    <xf numFmtId="0" fontId="54" fillId="0" borderId="17" xfId="0" applyFont="1" applyBorder="1" applyAlignment="1">
      <alignment vertical="center"/>
    </xf>
    <xf numFmtId="180" fontId="54" fillId="0" borderId="57" xfId="0" applyNumberFormat="1" applyFont="1" applyBorder="1" applyAlignment="1">
      <alignment vertical="center"/>
    </xf>
    <xf numFmtId="0" fontId="54" fillId="0" borderId="14" xfId="0" applyFont="1" applyBorder="1" applyAlignment="1">
      <alignment vertical="center"/>
    </xf>
    <xf numFmtId="0" fontId="54" fillId="0" borderId="51" xfId="0" applyFont="1" applyBorder="1" applyAlignment="1">
      <alignment vertical="center"/>
    </xf>
    <xf numFmtId="0" fontId="54" fillId="0" borderId="89" xfId="0" applyFont="1" applyFill="1" applyBorder="1" applyAlignment="1">
      <alignment horizontal="left" vertical="center"/>
    </xf>
    <xf numFmtId="0" fontId="54" fillId="0" borderId="14" xfId="0" applyFont="1" applyFill="1" applyBorder="1" applyAlignment="1">
      <alignment horizontal="center" vertical="center"/>
    </xf>
    <xf numFmtId="180" fontId="54" fillId="0" borderId="51" xfId="0" applyNumberFormat="1" applyFont="1" applyBorder="1" applyAlignment="1">
      <alignment vertical="center"/>
    </xf>
    <xf numFmtId="0" fontId="54" fillId="0" borderId="58" xfId="0" applyFont="1" applyBorder="1" applyAlignment="1">
      <alignment horizontal="center" vertical="center"/>
    </xf>
    <xf numFmtId="0" fontId="54" fillId="0" borderId="88" xfId="0" applyFont="1" applyBorder="1" applyAlignment="1">
      <alignment vertical="center"/>
    </xf>
    <xf numFmtId="0" fontId="54" fillId="0" borderId="52" xfId="0" applyFont="1" applyBorder="1" applyAlignment="1">
      <alignment vertical="center"/>
    </xf>
    <xf numFmtId="0" fontId="54" fillId="0" borderId="90" xfId="0" applyFont="1" applyFill="1" applyBorder="1" applyAlignment="1">
      <alignment horizontal="left" vertical="center"/>
    </xf>
    <xf numFmtId="0" fontId="54" fillId="0" borderId="88" xfId="0" applyFont="1" applyFill="1" applyBorder="1" applyAlignment="1">
      <alignment horizontal="center" vertical="center"/>
    </xf>
    <xf numFmtId="180" fontId="54" fillId="0" borderId="52" xfId="0" applyNumberFormat="1" applyFont="1" applyBorder="1" applyAlignment="1">
      <alignment vertical="center"/>
    </xf>
    <xf numFmtId="0" fontId="54" fillId="0" borderId="15" xfId="0" applyFont="1" applyBorder="1" applyAlignment="1">
      <alignment vertical="center"/>
    </xf>
    <xf numFmtId="0" fontId="54" fillId="0" borderId="53" xfId="0" applyFont="1" applyBorder="1" applyAlignment="1">
      <alignment vertical="center"/>
    </xf>
    <xf numFmtId="0" fontId="54" fillId="0" borderId="81" xfId="0" applyFont="1" applyFill="1" applyBorder="1" applyAlignment="1">
      <alignment horizontal="left" vertical="center"/>
    </xf>
    <xf numFmtId="0" fontId="54" fillId="0" borderId="15" xfId="0" applyFont="1" applyFill="1" applyBorder="1" applyAlignment="1">
      <alignment horizontal="center" vertical="center"/>
    </xf>
    <xf numFmtId="180" fontId="54" fillId="0" borderId="53" xfId="0" applyNumberFormat="1" applyFont="1" applyBorder="1" applyAlignment="1">
      <alignment vertical="center"/>
    </xf>
    <xf numFmtId="0" fontId="54" fillId="0" borderId="16" xfId="0" applyFont="1" applyBorder="1" applyAlignment="1">
      <alignment vertical="center"/>
    </xf>
    <xf numFmtId="0" fontId="54" fillId="0" borderId="54" xfId="0" applyFont="1" applyBorder="1" applyAlignment="1">
      <alignment vertical="center"/>
    </xf>
    <xf numFmtId="0" fontId="54" fillId="0" borderId="91" xfId="0" applyFont="1" applyFill="1" applyBorder="1" applyAlignment="1">
      <alignment horizontal="left" vertical="center"/>
    </xf>
    <xf numFmtId="0" fontId="54" fillId="0" borderId="16" xfId="0" applyFont="1" applyFill="1" applyBorder="1" applyAlignment="1">
      <alignment horizontal="center" vertical="center"/>
    </xf>
    <xf numFmtId="180" fontId="54" fillId="0" borderId="54" xfId="0" applyNumberFormat="1" applyFont="1" applyBorder="1" applyAlignment="1">
      <alignment vertical="center"/>
    </xf>
    <xf numFmtId="0" fontId="54" fillId="0" borderId="56" xfId="0" applyFont="1" applyBorder="1" applyAlignment="1">
      <alignment vertical="center"/>
    </xf>
    <xf numFmtId="0" fontId="54" fillId="0" borderId="18" xfId="0" applyFont="1" applyBorder="1" applyAlignment="1">
      <alignment horizontal="left" vertical="center"/>
    </xf>
    <xf numFmtId="0" fontId="54" fillId="0" borderId="18" xfId="0" applyFont="1" applyBorder="1" applyAlignment="1">
      <alignment horizontal="center" vertical="center"/>
    </xf>
    <xf numFmtId="41" fontId="54" fillId="0" borderId="49" xfId="0" applyNumberFormat="1" applyFont="1" applyBorder="1" applyAlignment="1">
      <alignment vertical="center"/>
    </xf>
    <xf numFmtId="0" fontId="54" fillId="0" borderId="48" xfId="0" applyFont="1" applyBorder="1" applyAlignment="1">
      <alignment horizontal="center" vertical="center"/>
    </xf>
    <xf numFmtId="41" fontId="54" fillId="0" borderId="18" xfId="0" applyNumberFormat="1" applyFont="1" applyBorder="1" applyAlignment="1">
      <alignment vertical="center"/>
    </xf>
    <xf numFmtId="41" fontId="54" fillId="0" borderId="48" xfId="0" applyNumberFormat="1" applyFont="1" applyBorder="1" applyAlignment="1">
      <alignment vertical="center"/>
    </xf>
    <xf numFmtId="0" fontId="54" fillId="0" borderId="17" xfId="0" applyFont="1" applyBorder="1" applyAlignment="1">
      <alignment horizontal="center" vertical="center"/>
    </xf>
    <xf numFmtId="0" fontId="54" fillId="0" borderId="57" xfId="0" applyFont="1" applyBorder="1" applyAlignment="1">
      <alignment horizontal="center" vertical="center"/>
    </xf>
    <xf numFmtId="180" fontId="54" fillId="0" borderId="57" xfId="0" applyNumberFormat="1" applyFont="1" applyBorder="1" applyAlignment="1">
      <alignment horizontal="center" vertical="center"/>
    </xf>
    <xf numFmtId="0" fontId="54" fillId="0" borderId="57" xfId="0" applyFont="1" applyBorder="1" applyAlignment="1">
      <alignment horizontal="center" vertical="center" shrinkToFit="1"/>
    </xf>
    <xf numFmtId="0" fontId="54" fillId="0" borderId="89" xfId="0" applyFont="1" applyBorder="1" applyAlignment="1">
      <alignment vertical="center" shrinkToFit="1"/>
    </xf>
    <xf numFmtId="0" fontId="54" fillId="0" borderId="81" xfId="0" applyFont="1" applyBorder="1" applyAlignment="1">
      <alignment vertical="center" shrinkToFit="1"/>
    </xf>
    <xf numFmtId="0" fontId="54" fillId="0" borderId="91" xfId="0" applyFont="1" applyBorder="1" applyAlignment="1">
      <alignment vertical="center" shrinkToFit="1"/>
    </xf>
    <xf numFmtId="0" fontId="54" fillId="0" borderId="43" xfId="0" applyFont="1" applyBorder="1" applyAlignment="1">
      <alignment vertical="center" shrinkToFit="1"/>
    </xf>
    <xf numFmtId="0" fontId="54" fillId="0" borderId="49" xfId="0" applyFont="1" applyBorder="1" applyAlignment="1">
      <alignment horizontal="left" vertical="center" shrinkToFit="1"/>
    </xf>
    <xf numFmtId="0" fontId="54" fillId="0" borderId="49" xfId="0" applyFont="1" applyBorder="1" applyAlignment="1">
      <alignment horizontal="center" vertical="center"/>
    </xf>
    <xf numFmtId="0" fontId="54" fillId="0" borderId="18" xfId="0" applyFont="1" applyBorder="1" applyAlignment="1">
      <alignment vertical="center" shrinkToFit="1"/>
    </xf>
    <xf numFmtId="41" fontId="54" fillId="0" borderId="57" xfId="0" applyNumberFormat="1" applyFont="1" applyBorder="1" applyAlignment="1">
      <alignment vertical="center"/>
    </xf>
    <xf numFmtId="0" fontId="54" fillId="0" borderId="90" xfId="0" applyFont="1" applyBorder="1" applyAlignment="1">
      <alignment vertical="center" shrinkToFit="1"/>
    </xf>
    <xf numFmtId="0" fontId="54" fillId="0" borderId="49" xfId="0" applyFont="1" applyBorder="1" applyAlignment="1">
      <alignment vertical="center" shrinkToFit="1"/>
    </xf>
    <xf numFmtId="0" fontId="54" fillId="0" borderId="17" xfId="0" applyFont="1" applyBorder="1" applyAlignment="1">
      <alignment vertical="center" shrinkToFit="1"/>
    </xf>
    <xf numFmtId="0" fontId="54" fillId="6" borderId="90" xfId="0" applyFont="1" applyFill="1" applyBorder="1" applyAlignment="1">
      <alignment vertical="center"/>
    </xf>
    <xf numFmtId="0" fontId="54" fillId="6" borderId="90" xfId="0" applyFont="1" applyFill="1" applyBorder="1" applyAlignment="1">
      <alignment horizontal="center" vertical="center"/>
    </xf>
    <xf numFmtId="180" fontId="54" fillId="6" borderId="90" xfId="0" applyNumberFormat="1" applyFont="1" applyFill="1" applyBorder="1" applyAlignment="1">
      <alignment horizontal="center" vertical="center"/>
    </xf>
    <xf numFmtId="180" fontId="54" fillId="6" borderId="90" xfId="0" applyNumberFormat="1" applyFont="1" applyFill="1" applyBorder="1" applyAlignment="1">
      <alignment vertical="center"/>
    </xf>
    <xf numFmtId="0" fontId="54" fillId="6" borderId="3" xfId="0" applyFont="1" applyFill="1" applyBorder="1" applyAlignment="1">
      <alignment horizontal="center" vertical="center"/>
    </xf>
    <xf numFmtId="0" fontId="54" fillId="6" borderId="91" xfId="0" applyFont="1" applyFill="1" applyBorder="1" applyAlignment="1">
      <alignment vertical="center"/>
    </xf>
    <xf numFmtId="0" fontId="54" fillId="6" borderId="91" xfId="0" applyFont="1" applyFill="1" applyBorder="1" applyAlignment="1">
      <alignment horizontal="center" vertical="center"/>
    </xf>
    <xf numFmtId="179" fontId="54" fillId="6" borderId="81" xfId="0" applyNumberFormat="1" applyFont="1" applyFill="1" applyBorder="1"/>
    <xf numFmtId="179" fontId="54" fillId="6" borderId="81" xfId="0" applyNumberFormat="1" applyFont="1" applyFill="1" applyBorder="1" applyAlignment="1">
      <alignment horizontal="center"/>
    </xf>
    <xf numFmtId="41" fontId="54" fillId="6" borderId="81" xfId="0" applyNumberFormat="1" applyFont="1" applyFill="1" applyBorder="1" applyAlignment="1">
      <alignment vertical="center"/>
    </xf>
    <xf numFmtId="0" fontId="54" fillId="6" borderId="49" xfId="0" applyFont="1" applyFill="1" applyBorder="1" applyAlignment="1">
      <alignment vertical="center" shrinkToFit="1"/>
    </xf>
    <xf numFmtId="0" fontId="54" fillId="6" borderId="49" xfId="0" applyFont="1" applyFill="1" applyBorder="1" applyAlignment="1">
      <alignment horizontal="left" vertical="center" shrinkToFit="1"/>
    </xf>
    <xf numFmtId="0" fontId="54" fillId="6" borderId="49" xfId="0" applyFont="1" applyFill="1" applyBorder="1" applyAlignment="1">
      <alignment horizontal="center" vertical="center" shrinkToFit="1"/>
    </xf>
    <xf numFmtId="180" fontId="54" fillId="6" borderId="49" xfId="0" applyNumberFormat="1" applyFont="1" applyFill="1" applyBorder="1" applyAlignment="1">
      <alignment horizontal="center" vertical="center"/>
    </xf>
    <xf numFmtId="180" fontId="54" fillId="6" borderId="49" xfId="0" applyNumberFormat="1" applyFont="1" applyFill="1" applyBorder="1" applyAlignment="1">
      <alignment vertical="center"/>
    </xf>
    <xf numFmtId="0" fontId="54" fillId="6" borderId="89" xfId="0" applyFont="1" applyFill="1" applyBorder="1" applyAlignment="1">
      <alignment horizontal="left" vertical="center" shrinkToFit="1"/>
    </xf>
    <xf numFmtId="41" fontId="54" fillId="6" borderId="89" xfId="0" applyNumberFormat="1" applyFont="1" applyFill="1" applyBorder="1" applyAlignment="1">
      <alignment vertical="center"/>
    </xf>
    <xf numFmtId="41" fontId="54" fillId="6" borderId="91" xfId="0" applyNumberFormat="1" applyFont="1" applyFill="1" applyBorder="1" applyAlignment="1">
      <alignment vertical="center"/>
    </xf>
    <xf numFmtId="180" fontId="54" fillId="6" borderId="89" xfId="0" applyNumberFormat="1" applyFont="1" applyFill="1" applyBorder="1" applyAlignment="1">
      <alignment vertical="center"/>
    </xf>
    <xf numFmtId="180" fontId="54" fillId="6" borderId="18" xfId="0" applyNumberFormat="1" applyFont="1" applyFill="1" applyBorder="1" applyAlignment="1">
      <alignment vertical="center"/>
    </xf>
    <xf numFmtId="206" fontId="54" fillId="6" borderId="89" xfId="0" applyNumberFormat="1" applyFont="1" applyFill="1" applyBorder="1" applyAlignment="1">
      <alignment horizontal="center" vertical="center" shrinkToFit="1"/>
    </xf>
    <xf numFmtId="0" fontId="54" fillId="0" borderId="89" xfId="0" applyFont="1" applyBorder="1" applyAlignment="1">
      <alignment horizontal="center" vertical="center" shrinkToFit="1"/>
    </xf>
    <xf numFmtId="181" fontId="8" fillId="6" borderId="19" xfId="0" applyNumberFormat="1" applyFont="1" applyFill="1" applyBorder="1" applyAlignment="1">
      <alignment vertical="center"/>
    </xf>
    <xf numFmtId="0" fontId="54" fillId="6" borderId="89" xfId="0" applyFont="1" applyFill="1" applyBorder="1" applyAlignment="1">
      <alignment vertical="center"/>
    </xf>
    <xf numFmtId="180" fontId="0" fillId="0" borderId="81" xfId="0" applyNumberFormat="1" applyFont="1" applyFill="1" applyBorder="1" applyAlignment="1">
      <alignment horizontal="center" vertical="center"/>
    </xf>
    <xf numFmtId="41" fontId="53" fillId="6" borderId="81" xfId="274" applyNumberFormat="1" applyFont="1" applyFill="1" applyBorder="1" applyAlignment="1">
      <alignment horizontal="center" vertical="center" shrinkToFit="1"/>
    </xf>
    <xf numFmtId="14" fontId="54" fillId="6" borderId="81" xfId="0" quotePrefix="1" applyNumberFormat="1" applyFont="1" applyFill="1" applyBorder="1" applyAlignment="1">
      <alignment horizontal="left" vertical="center" shrinkToFit="1"/>
    </xf>
    <xf numFmtId="41" fontId="54" fillId="6" borderId="81" xfId="259" applyNumberFormat="1" applyFont="1" applyFill="1" applyBorder="1" applyAlignment="1">
      <alignment vertical="center"/>
    </xf>
    <xf numFmtId="9" fontId="54" fillId="6" borderId="81" xfId="0" applyNumberFormat="1" applyFont="1" applyFill="1" applyBorder="1" applyAlignment="1">
      <alignment horizontal="left" vertical="center" shrinkToFit="1"/>
    </xf>
    <xf numFmtId="0" fontId="54" fillId="6" borderId="81" xfId="0" applyFont="1" applyFill="1" applyBorder="1" applyAlignment="1">
      <alignment horizontal="center" vertical="center" shrinkToFit="1"/>
    </xf>
    <xf numFmtId="41" fontId="54" fillId="6" borderId="81" xfId="259" applyNumberFormat="1" applyFont="1" applyFill="1" applyBorder="1" applyAlignment="1">
      <alignment vertical="center" shrinkToFit="1"/>
    </xf>
    <xf numFmtId="41" fontId="53" fillId="6" borderId="81" xfId="259" quotePrefix="1" applyNumberFormat="1" applyFont="1" applyFill="1" applyBorder="1" applyAlignment="1">
      <alignment horizontal="right" vertical="center"/>
    </xf>
    <xf numFmtId="41" fontId="53" fillId="6" borderId="81" xfId="259" applyNumberFormat="1" applyFont="1" applyFill="1" applyBorder="1" applyAlignment="1">
      <alignment vertical="center"/>
    </xf>
    <xf numFmtId="0" fontId="54" fillId="0" borderId="49" xfId="0" applyFont="1" applyBorder="1" applyAlignment="1">
      <alignment horizontal="center" vertical="center" shrinkToFit="1"/>
    </xf>
    <xf numFmtId="177" fontId="54" fillId="0" borderId="49" xfId="0" applyNumberFormat="1" applyFont="1" applyBorder="1" applyAlignment="1">
      <alignment vertical="center" shrinkToFit="1"/>
    </xf>
    <xf numFmtId="0" fontId="54" fillId="0" borderId="89" xfId="274" applyFont="1" applyBorder="1" applyAlignment="1">
      <alignment horizontal="center"/>
    </xf>
    <xf numFmtId="49" fontId="54" fillId="6" borderId="81" xfId="274" applyNumberFormat="1" applyFont="1" applyFill="1" applyBorder="1" applyAlignment="1">
      <alignment horizontal="left" vertical="center" shrinkToFit="1"/>
    </xf>
    <xf numFmtId="49" fontId="54" fillId="6" borderId="81" xfId="274" applyNumberFormat="1" applyFont="1" applyFill="1" applyBorder="1" applyAlignment="1">
      <alignment horizontal="center" vertical="center"/>
    </xf>
    <xf numFmtId="0" fontId="54" fillId="0" borderId="81" xfId="274" applyFont="1" applyBorder="1" applyAlignment="1">
      <alignment horizontal="center"/>
    </xf>
    <xf numFmtId="0" fontId="54" fillId="0" borderId="0" xfId="0" applyFont="1" applyAlignment="1">
      <alignment vertical="center"/>
    </xf>
    <xf numFmtId="0" fontId="54" fillId="0" borderId="0" xfId="0" applyFont="1" applyBorder="1" applyAlignment="1">
      <alignment vertical="center"/>
    </xf>
    <xf numFmtId="0" fontId="54" fillId="6" borderId="81" xfId="0" applyFont="1" applyFill="1" applyBorder="1" applyAlignment="1">
      <alignment horizontal="left" vertical="center"/>
    </xf>
    <xf numFmtId="0" fontId="54" fillId="6" borderId="89" xfId="270" applyFont="1" applyFill="1" applyBorder="1" applyAlignment="1">
      <alignment vertical="center" shrinkToFit="1"/>
    </xf>
    <xf numFmtId="0" fontId="54" fillId="6" borderId="89" xfId="270" applyFont="1" applyFill="1" applyBorder="1" applyAlignment="1">
      <alignment vertical="center"/>
    </xf>
    <xf numFmtId="0" fontId="54" fillId="6" borderId="89" xfId="270" applyFont="1" applyFill="1" applyBorder="1" applyAlignment="1">
      <alignment horizontal="center" vertical="center"/>
    </xf>
    <xf numFmtId="49" fontId="54" fillId="6" borderId="81" xfId="0" applyNumberFormat="1" applyFont="1" applyFill="1" applyBorder="1" applyAlignment="1">
      <alignment horizontal="left" vertical="center" shrinkToFit="1"/>
    </xf>
    <xf numFmtId="49" fontId="54" fillId="6" borderId="81" xfId="274" applyNumberFormat="1" applyFont="1" applyFill="1" applyBorder="1" applyAlignment="1">
      <alignment vertical="center" shrinkToFit="1"/>
    </xf>
    <xf numFmtId="0" fontId="54" fillId="6" borderId="81" xfId="274" applyNumberFormat="1" applyFont="1" applyFill="1" applyBorder="1" applyAlignment="1">
      <alignment horizontal="center" vertical="center"/>
    </xf>
    <xf numFmtId="49" fontId="54" fillId="6" borderId="81" xfId="274" applyNumberFormat="1" applyFont="1" applyFill="1" applyBorder="1" applyAlignment="1">
      <alignment vertical="center"/>
    </xf>
    <xf numFmtId="49" fontId="54" fillId="6" borderId="81" xfId="274" applyNumberFormat="1" applyFont="1" applyFill="1" applyBorder="1" applyAlignment="1">
      <alignment horizontal="left" vertical="center"/>
    </xf>
    <xf numFmtId="0" fontId="54" fillId="6" borderId="81" xfId="274" applyFont="1" applyFill="1" applyBorder="1" applyAlignment="1">
      <alignment horizontal="left" vertical="center"/>
    </xf>
    <xf numFmtId="49" fontId="54" fillId="6" borderId="81" xfId="269" applyNumberFormat="1" applyFont="1" applyFill="1" applyBorder="1" applyAlignment="1">
      <alignment horizontal="left" vertical="center" shrinkToFit="1"/>
    </xf>
    <xf numFmtId="49" fontId="54" fillId="6" borderId="81" xfId="269" applyNumberFormat="1" applyFont="1" applyFill="1" applyBorder="1" applyAlignment="1">
      <alignment horizontal="center" vertical="center"/>
    </xf>
    <xf numFmtId="180" fontId="54" fillId="0" borderId="81" xfId="0" applyNumberFormat="1" applyFont="1" applyFill="1" applyBorder="1" applyAlignment="1">
      <alignment vertical="center"/>
    </xf>
    <xf numFmtId="41" fontId="54" fillId="6" borderId="81" xfId="269" applyNumberFormat="1" applyFont="1" applyFill="1" applyBorder="1" applyAlignment="1">
      <alignment horizontal="center" vertical="center" shrinkToFit="1"/>
    </xf>
    <xf numFmtId="191" fontId="54" fillId="6" borderId="81" xfId="269" applyNumberFormat="1" applyFont="1" applyFill="1" applyBorder="1" applyAlignment="1">
      <alignment horizontal="center" vertical="center" shrinkToFit="1"/>
    </xf>
    <xf numFmtId="49" fontId="54" fillId="6" borderId="81" xfId="270" applyNumberFormat="1" applyFont="1" applyFill="1" applyBorder="1" applyAlignment="1">
      <alignment horizontal="left" vertical="center"/>
    </xf>
    <xf numFmtId="49" fontId="54" fillId="6" borderId="81" xfId="270" applyNumberFormat="1" applyFont="1" applyFill="1" applyBorder="1" applyAlignment="1">
      <alignment horizontal="left" vertical="center" shrinkToFit="1"/>
    </xf>
    <xf numFmtId="49" fontId="54" fillId="6" borderId="81" xfId="270" applyNumberFormat="1" applyFont="1" applyFill="1" applyBorder="1" applyAlignment="1">
      <alignment horizontal="center" vertical="center"/>
    </xf>
    <xf numFmtId="49" fontId="54" fillId="6" borderId="81" xfId="270" applyNumberFormat="1" applyFont="1" applyFill="1" applyBorder="1" applyAlignment="1">
      <alignment vertical="center"/>
    </xf>
    <xf numFmtId="0" fontId="54" fillId="6" borderId="81" xfId="270" applyFont="1" applyFill="1" applyBorder="1" applyAlignment="1">
      <alignment horizontal="left" vertical="center"/>
    </xf>
    <xf numFmtId="0" fontId="57" fillId="6" borderId="81" xfId="0" applyFont="1" applyFill="1" applyBorder="1" applyAlignment="1">
      <alignment vertical="center" shrinkToFit="1"/>
    </xf>
    <xf numFmtId="0" fontId="57" fillId="6" borderId="81" xfId="0" applyFont="1" applyFill="1" applyBorder="1" applyAlignment="1">
      <alignment horizontal="left" vertical="center" shrinkToFit="1"/>
    </xf>
    <xf numFmtId="0" fontId="57" fillId="6" borderId="81" xfId="0" applyFont="1" applyFill="1" applyBorder="1" applyAlignment="1">
      <alignment horizontal="center" vertical="center" shrinkToFit="1"/>
    </xf>
    <xf numFmtId="41" fontId="54" fillId="6" borderId="91" xfId="0" applyNumberFormat="1" applyFont="1" applyFill="1" applyBorder="1" applyAlignment="1">
      <alignment horizontal="center" vertical="center" shrinkToFit="1"/>
    </xf>
    <xf numFmtId="41" fontId="54" fillId="0" borderId="49" xfId="0" applyNumberFormat="1" applyFont="1" applyBorder="1" applyAlignment="1">
      <alignment horizontal="center" vertical="center"/>
    </xf>
    <xf numFmtId="0" fontId="18" fillId="6" borderId="0" xfId="0" applyFont="1" applyFill="1" applyAlignment="1">
      <alignment horizontal="left" vertical="center"/>
    </xf>
    <xf numFmtId="180" fontId="54" fillId="6" borderId="57" xfId="0" applyNumberFormat="1" applyFont="1" applyFill="1" applyBorder="1" applyAlignment="1">
      <alignment horizontal="center" vertical="center"/>
    </xf>
    <xf numFmtId="180" fontId="54" fillId="6" borderId="81" xfId="0" applyNumberFormat="1" applyFont="1" applyFill="1" applyBorder="1" applyAlignment="1">
      <alignment vertical="center" shrinkToFit="1"/>
    </xf>
    <xf numFmtId="180" fontId="54" fillId="0" borderId="18" xfId="0" applyNumberFormat="1" applyFont="1" applyBorder="1" applyAlignment="1">
      <alignment horizontal="center" vertical="center"/>
    </xf>
    <xf numFmtId="0" fontId="54" fillId="0" borderId="18" xfId="0" applyFont="1" applyBorder="1" applyAlignment="1">
      <alignment horizontal="center" vertical="center" shrinkToFit="1"/>
    </xf>
    <xf numFmtId="0" fontId="54" fillId="6" borderId="58" xfId="0" applyFont="1" applyFill="1" applyBorder="1" applyAlignment="1">
      <alignment vertical="center" shrinkToFit="1"/>
    </xf>
    <xf numFmtId="14" fontId="54" fillId="6" borderId="58" xfId="0" quotePrefix="1" applyNumberFormat="1" applyFont="1" applyFill="1" applyBorder="1" applyAlignment="1">
      <alignment horizontal="left" vertical="center" shrinkToFit="1"/>
    </xf>
    <xf numFmtId="0" fontId="54" fillId="6" borderId="58" xfId="0" applyFont="1" applyFill="1" applyBorder="1" applyAlignment="1">
      <alignment horizontal="center" vertical="center"/>
    </xf>
    <xf numFmtId="41" fontId="54" fillId="6" borderId="58" xfId="259" applyNumberFormat="1" applyFont="1" applyFill="1" applyBorder="1" applyAlignment="1">
      <alignment vertical="center"/>
    </xf>
    <xf numFmtId="0" fontId="58" fillId="6" borderId="81" xfId="0" applyFont="1" applyFill="1" applyBorder="1" applyAlignment="1">
      <alignment vertical="center" shrinkToFit="1"/>
    </xf>
    <xf numFmtId="41" fontId="54" fillId="6" borderId="81" xfId="0" applyNumberFormat="1" applyFont="1" applyFill="1" applyBorder="1" applyAlignment="1">
      <alignment vertical="center" shrinkToFit="1"/>
    </xf>
    <xf numFmtId="41" fontId="54" fillId="6" borderId="81" xfId="259" applyFont="1" applyFill="1" applyBorder="1" applyAlignment="1">
      <alignment vertical="center"/>
    </xf>
    <xf numFmtId="41" fontId="54" fillId="6" borderId="81" xfId="259" applyNumberFormat="1" applyFont="1" applyFill="1" applyBorder="1" applyAlignment="1">
      <alignment horizontal="center" vertical="center" shrinkToFit="1"/>
    </xf>
    <xf numFmtId="49" fontId="54" fillId="6" borderId="89" xfId="274" applyNumberFormat="1" applyFont="1" applyFill="1" applyBorder="1" applyAlignment="1">
      <alignment vertical="center" shrinkToFit="1"/>
    </xf>
    <xf numFmtId="49" fontId="54" fillId="6" borderId="89" xfId="274" applyNumberFormat="1" applyFont="1" applyFill="1" applyBorder="1" applyAlignment="1">
      <alignment horizontal="center" vertical="center" shrinkToFit="1"/>
    </xf>
    <xf numFmtId="0" fontId="54" fillId="6" borderId="89" xfId="274" applyNumberFormat="1" applyFont="1" applyFill="1" applyBorder="1" applyAlignment="1">
      <alignment horizontal="center" vertical="center" shrinkToFit="1"/>
    </xf>
    <xf numFmtId="49" fontId="54" fillId="6" borderId="81" xfId="272" applyNumberFormat="1" applyFont="1" applyFill="1" applyBorder="1" applyAlignment="1">
      <alignment horizontal="left" vertical="center"/>
    </xf>
    <xf numFmtId="49" fontId="54" fillId="6" borderId="81" xfId="272" applyNumberFormat="1" applyFont="1" applyFill="1" applyBorder="1" applyAlignment="1">
      <alignment vertical="center" shrinkToFit="1"/>
    </xf>
    <xf numFmtId="49" fontId="54" fillId="6" borderId="81" xfId="272" applyNumberFormat="1" applyFont="1" applyFill="1" applyBorder="1" applyAlignment="1">
      <alignment horizontal="center" vertical="center"/>
    </xf>
    <xf numFmtId="49" fontId="54" fillId="6" borderId="81" xfId="272" applyNumberFormat="1" applyFont="1" applyFill="1" applyBorder="1" applyAlignment="1">
      <alignment horizontal="left" vertical="center" shrinkToFit="1"/>
    </xf>
    <xf numFmtId="0" fontId="54" fillId="6" borderId="81" xfId="272" applyFont="1" applyFill="1" applyBorder="1" applyAlignment="1">
      <alignment horizontal="left" vertical="center"/>
    </xf>
    <xf numFmtId="0" fontId="54" fillId="6" borderId="81" xfId="272" applyFont="1" applyFill="1" applyBorder="1" applyAlignment="1">
      <alignment vertical="center" shrinkToFit="1"/>
    </xf>
    <xf numFmtId="0" fontId="54" fillId="0" borderId="81" xfId="272" applyFont="1" applyBorder="1" applyAlignment="1">
      <alignment horizontal="center" vertical="center" shrinkToFit="1"/>
    </xf>
    <xf numFmtId="49" fontId="59" fillId="6" borderId="81" xfId="272" applyNumberFormat="1" applyFont="1" applyFill="1" applyBorder="1" applyAlignment="1">
      <alignment vertical="center" shrinkToFit="1"/>
    </xf>
    <xf numFmtId="49" fontId="59" fillId="6" borderId="81" xfId="272" applyNumberFormat="1" applyFont="1" applyFill="1" applyBorder="1" applyAlignment="1">
      <alignment horizontal="left" vertical="center" shrinkToFit="1"/>
    </xf>
    <xf numFmtId="49" fontId="54" fillId="0" borderId="81" xfId="272" applyNumberFormat="1" applyFont="1" applyBorder="1" applyAlignment="1">
      <alignment horizontal="center" vertical="center" shrinkToFit="1"/>
    </xf>
    <xf numFmtId="3" fontId="59" fillId="6" borderId="81" xfId="272" applyNumberFormat="1" applyFont="1" applyFill="1" applyBorder="1" applyAlignment="1">
      <alignment horizontal="left" vertical="center" shrinkToFit="1"/>
    </xf>
    <xf numFmtId="0" fontId="54" fillId="6" borderId="81" xfId="272" applyFont="1" applyFill="1" applyBorder="1" applyAlignment="1">
      <alignment horizontal="left" vertical="center" shrinkToFit="1"/>
    </xf>
    <xf numFmtId="41" fontId="54" fillId="0" borderId="49" xfId="0" applyNumberFormat="1" applyFont="1" applyBorder="1" applyAlignment="1">
      <alignment vertical="center" shrinkToFit="1"/>
    </xf>
    <xf numFmtId="49" fontId="54" fillId="6" borderId="89" xfId="274" applyNumberFormat="1" applyFont="1" applyFill="1" applyBorder="1" applyAlignment="1">
      <alignment horizontal="left" vertical="center"/>
    </xf>
    <xf numFmtId="0" fontId="54" fillId="6" borderId="89" xfId="274" applyNumberFormat="1" applyFont="1" applyFill="1" applyBorder="1" applyAlignment="1">
      <alignment horizontal="center" vertical="center"/>
    </xf>
    <xf numFmtId="3" fontId="60" fillId="6" borderId="81" xfId="274" applyNumberFormat="1" applyFont="1" applyFill="1" applyBorder="1" applyAlignment="1">
      <alignment horizontal="left" vertical="center" shrinkToFit="1"/>
    </xf>
    <xf numFmtId="180" fontId="54" fillId="0" borderId="48" xfId="0" applyNumberFormat="1" applyFont="1" applyBorder="1" applyAlignment="1">
      <alignment vertical="center"/>
    </xf>
    <xf numFmtId="180" fontId="0" fillId="0" borderId="73" xfId="0" applyNumberFormat="1" applyFont="1" applyFill="1" applyBorder="1" applyAlignment="1">
      <alignment horizontal="center" vertical="center"/>
    </xf>
    <xf numFmtId="181" fontId="8" fillId="6" borderId="19" xfId="0" applyNumberFormat="1" applyFont="1" applyFill="1" applyBorder="1" applyAlignment="1">
      <alignment horizontal="center" vertical="center"/>
    </xf>
    <xf numFmtId="49" fontId="54" fillId="6" borderId="81" xfId="272" applyNumberFormat="1" applyFont="1" applyFill="1" applyBorder="1" applyAlignment="1">
      <alignment horizontal="center" vertical="center" shrinkToFit="1"/>
    </xf>
    <xf numFmtId="41" fontId="54" fillId="0" borderId="81" xfId="0" applyNumberFormat="1" applyFont="1" applyFill="1" applyBorder="1" applyAlignment="1">
      <alignment vertical="center"/>
    </xf>
    <xf numFmtId="180" fontId="54" fillId="6" borderId="53" xfId="0" applyNumberFormat="1" applyFont="1" applyFill="1" applyBorder="1" applyAlignment="1">
      <alignment vertical="center"/>
    </xf>
    <xf numFmtId="0" fontId="54" fillId="6" borderId="81" xfId="274" applyNumberFormat="1" applyFont="1" applyFill="1" applyBorder="1" applyAlignment="1">
      <alignment horizontal="center" vertical="center" shrinkToFit="1"/>
    </xf>
    <xf numFmtId="180" fontId="54" fillId="0" borderId="53" xfId="0" applyNumberFormat="1" applyFont="1" applyFill="1" applyBorder="1" applyAlignment="1">
      <alignment vertical="center"/>
    </xf>
    <xf numFmtId="179" fontId="54" fillId="6" borderId="90" xfId="0" applyNumberFormat="1" applyFont="1" applyFill="1" applyBorder="1" applyAlignment="1">
      <alignment vertical="center"/>
    </xf>
    <xf numFmtId="179" fontId="54" fillId="6" borderId="90" xfId="0" applyNumberFormat="1" applyFont="1" applyFill="1" applyBorder="1" applyAlignment="1">
      <alignment horizontal="center" vertical="center"/>
    </xf>
    <xf numFmtId="179" fontId="54" fillId="6" borderId="90" xfId="0" applyNumberFormat="1" applyFont="1" applyFill="1" applyBorder="1" applyAlignment="1">
      <alignment horizontal="right" vertical="center"/>
    </xf>
    <xf numFmtId="0" fontId="54" fillId="6" borderId="91" xfId="0" applyNumberFormat="1" applyFont="1" applyFill="1" applyBorder="1" applyAlignment="1">
      <alignment horizontal="left" vertical="center" shrinkToFit="1"/>
    </xf>
    <xf numFmtId="41" fontId="54" fillId="6" borderId="91" xfId="259" applyNumberFormat="1" applyFont="1" applyFill="1" applyBorder="1" applyAlignment="1">
      <alignment vertical="center" shrinkToFit="1"/>
    </xf>
    <xf numFmtId="41" fontId="54" fillId="6" borderId="91" xfId="259" applyNumberFormat="1" applyFont="1" applyFill="1" applyBorder="1" applyAlignment="1">
      <alignment vertical="center"/>
    </xf>
    <xf numFmtId="0" fontId="54" fillId="0" borderId="49" xfId="0" applyNumberFormat="1" applyFont="1" applyBorder="1" applyAlignment="1">
      <alignment horizontal="left" vertical="center" shrinkToFit="1"/>
    </xf>
    <xf numFmtId="180" fontId="54" fillId="0" borderId="49" xfId="0" applyNumberFormat="1" applyFont="1" applyBorder="1" applyAlignment="1">
      <alignment vertical="center" shrinkToFit="1"/>
    </xf>
    <xf numFmtId="1" fontId="54" fillId="6" borderId="89" xfId="0" applyNumberFormat="1" applyFont="1" applyFill="1" applyBorder="1" applyAlignment="1">
      <alignment vertical="center"/>
    </xf>
    <xf numFmtId="49" fontId="54" fillId="6" borderId="89" xfId="272" applyNumberFormat="1" applyFont="1" applyFill="1" applyBorder="1" applyAlignment="1">
      <alignment horizontal="center" vertical="center"/>
    </xf>
    <xf numFmtId="1" fontId="54" fillId="6" borderId="89" xfId="0" applyNumberFormat="1" applyFont="1" applyFill="1" applyBorder="1" applyAlignment="1">
      <alignment horizontal="center" vertical="center"/>
    </xf>
    <xf numFmtId="180" fontId="54" fillId="0" borderId="89" xfId="0" applyNumberFormat="1" applyFont="1" applyFill="1" applyBorder="1" applyAlignment="1">
      <alignment vertical="center"/>
    </xf>
    <xf numFmtId="1" fontId="54" fillId="6" borderId="81" xfId="0" applyNumberFormat="1" applyFont="1" applyFill="1" applyBorder="1" applyAlignment="1">
      <alignment vertical="center"/>
    </xf>
    <xf numFmtId="1" fontId="54" fillId="6" borderId="81" xfId="0" applyNumberFormat="1" applyFont="1" applyFill="1" applyBorder="1" applyAlignment="1">
      <alignment horizontal="center" vertical="center"/>
    </xf>
    <xf numFmtId="179" fontId="54" fillId="6" borderId="81" xfId="0" applyNumberFormat="1" applyFont="1" applyFill="1" applyBorder="1" applyAlignment="1">
      <alignment vertical="center"/>
    </xf>
    <xf numFmtId="1" fontId="54" fillId="6" borderId="81" xfId="0" applyNumberFormat="1" applyFont="1" applyFill="1" applyBorder="1" applyAlignment="1">
      <alignment vertical="center" shrinkToFit="1"/>
    </xf>
    <xf numFmtId="41" fontId="54" fillId="6" borderId="81" xfId="259" applyFont="1" applyFill="1" applyBorder="1" applyAlignment="1">
      <alignment horizontal="center" vertical="center"/>
    </xf>
    <xf numFmtId="0" fontId="54" fillId="6" borderId="81" xfId="0" applyFont="1" applyFill="1" applyBorder="1" applyAlignment="1">
      <alignment horizontal="center" vertical="center" wrapText="1"/>
    </xf>
    <xf numFmtId="49" fontId="54" fillId="6" borderId="90" xfId="272" applyNumberFormat="1" applyFont="1" applyFill="1" applyBorder="1" applyAlignment="1">
      <alignment horizontal="center" vertical="center"/>
    </xf>
    <xf numFmtId="179" fontId="54" fillId="6" borderId="90" xfId="259" applyNumberFormat="1" applyFont="1" applyFill="1" applyBorder="1" applyAlignment="1">
      <alignment horizontal="right" vertical="center"/>
    </xf>
    <xf numFmtId="0" fontId="54" fillId="6" borderId="81" xfId="0" applyFont="1" applyFill="1" applyBorder="1" applyAlignment="1">
      <alignment vertical="center" wrapText="1"/>
    </xf>
    <xf numFmtId="179" fontId="54" fillId="6" borderId="81" xfId="259" applyNumberFormat="1" applyFont="1" applyFill="1" applyBorder="1" applyAlignment="1">
      <alignment horizontal="right" vertical="center"/>
    </xf>
    <xf numFmtId="179" fontId="54" fillId="6" borderId="81" xfId="276" applyNumberFormat="1" applyFont="1" applyFill="1" applyBorder="1" applyAlignment="1">
      <alignment vertical="center"/>
    </xf>
    <xf numFmtId="0" fontId="54" fillId="0" borderId="93" xfId="0" applyFont="1" applyBorder="1" applyAlignment="1">
      <alignment vertical="center" shrinkToFit="1"/>
    </xf>
    <xf numFmtId="0" fontId="54" fillId="6" borderId="81" xfId="276" applyFont="1" applyFill="1" applyBorder="1" applyAlignment="1">
      <alignment vertical="center"/>
    </xf>
    <xf numFmtId="179" fontId="54" fillId="6" borderId="81" xfId="276" applyNumberFormat="1" applyFont="1" applyFill="1" applyBorder="1" applyAlignment="1">
      <alignment horizontal="center" vertical="center"/>
    </xf>
    <xf numFmtId="0" fontId="54" fillId="6" borderId="58" xfId="276" applyFont="1" applyFill="1" applyBorder="1" applyAlignment="1">
      <alignment vertical="center"/>
    </xf>
    <xf numFmtId="0" fontId="54" fillId="6" borderId="58" xfId="276" applyFont="1" applyFill="1" applyBorder="1" applyAlignment="1">
      <alignment horizontal="center" vertical="center"/>
    </xf>
    <xf numFmtId="179" fontId="54" fillId="6" borderId="58" xfId="276" applyNumberFormat="1" applyFont="1" applyFill="1" applyBorder="1" applyAlignment="1">
      <alignment vertical="center"/>
    </xf>
    <xf numFmtId="180" fontId="54" fillId="0" borderId="85" xfId="0" applyNumberFormat="1" applyFont="1" applyBorder="1" applyAlignment="1">
      <alignment vertical="center"/>
    </xf>
    <xf numFmtId="41" fontId="54" fillId="6" borderId="89" xfId="0" applyNumberFormat="1" applyFont="1" applyFill="1" applyBorder="1" applyAlignment="1">
      <alignment horizontal="center" vertical="center"/>
    </xf>
    <xf numFmtId="41" fontId="54" fillId="6" borderId="58" xfId="0" applyNumberFormat="1" applyFont="1" applyFill="1" applyBorder="1" applyAlignment="1">
      <alignment horizontal="center" vertical="center"/>
    </xf>
    <xf numFmtId="41" fontId="54" fillId="6" borderId="81" xfId="0" applyNumberFormat="1" applyFont="1" applyFill="1" applyBorder="1" applyAlignment="1">
      <alignment horizontal="center" vertical="center"/>
    </xf>
    <xf numFmtId="41" fontId="54" fillId="6" borderId="49" xfId="0" applyNumberFormat="1" applyFont="1" applyFill="1" applyBorder="1" applyAlignment="1">
      <alignment horizontal="center" vertical="center"/>
    </xf>
    <xf numFmtId="41" fontId="54" fillId="0" borderId="18" xfId="0" applyNumberFormat="1" applyFont="1" applyBorder="1" applyAlignment="1">
      <alignment horizontal="right" vertical="center"/>
    </xf>
    <xf numFmtId="180" fontId="54" fillId="6" borderId="93" xfId="0" applyNumberFormat="1" applyFont="1" applyFill="1" applyBorder="1" applyAlignment="1">
      <alignment vertical="center"/>
    </xf>
    <xf numFmtId="0" fontId="54" fillId="0" borderId="48" xfId="0" applyFont="1" applyBorder="1" applyAlignment="1">
      <alignment vertical="center" shrinkToFit="1"/>
    </xf>
    <xf numFmtId="0" fontId="54" fillId="0" borderId="89" xfId="274" applyFont="1" applyBorder="1" applyAlignment="1">
      <alignment horizontal="center" vertical="center"/>
    </xf>
    <xf numFmtId="0" fontId="54" fillId="6" borderId="81" xfId="274" applyFont="1" applyFill="1" applyBorder="1" applyAlignment="1">
      <alignment horizontal="left" vertical="center" shrinkToFit="1"/>
    </xf>
    <xf numFmtId="49" fontId="54" fillId="6" borderId="81" xfId="274" applyNumberFormat="1" applyFont="1" applyFill="1" applyBorder="1" applyAlignment="1">
      <alignment horizontal="center" vertical="center" shrinkToFit="1"/>
    </xf>
    <xf numFmtId="0" fontId="54" fillId="0" borderId="81" xfId="274" applyFont="1" applyBorder="1" applyAlignment="1">
      <alignment horizontal="center" vertical="center"/>
    </xf>
    <xf numFmtId="0" fontId="54" fillId="0" borderId="81" xfId="274" applyFont="1" applyFill="1" applyBorder="1" applyAlignment="1">
      <alignment horizontal="center" vertical="center"/>
    </xf>
    <xf numFmtId="0" fontId="54" fillId="0" borderId="81" xfId="0" applyFont="1" applyFill="1" applyBorder="1" applyAlignment="1">
      <alignment horizontal="center" vertical="center" shrinkToFit="1"/>
    </xf>
    <xf numFmtId="49" fontId="54" fillId="0" borderId="81" xfId="274" applyNumberFormat="1" applyFont="1" applyFill="1" applyBorder="1" applyAlignment="1">
      <alignment horizontal="center" vertical="center"/>
    </xf>
    <xf numFmtId="41" fontId="54" fillId="6" borderId="81" xfId="274" applyNumberFormat="1" applyFont="1" applyFill="1" applyBorder="1" applyAlignment="1">
      <alignment horizontal="left" vertical="center"/>
    </xf>
    <xf numFmtId="49" fontId="54" fillId="0" borderId="81" xfId="274" applyNumberFormat="1" applyFont="1" applyBorder="1" applyAlignment="1">
      <alignment horizontal="center" vertical="center" shrinkToFit="1"/>
    </xf>
    <xf numFmtId="0" fontId="54" fillId="0" borderId="81" xfId="0" applyFont="1" applyBorder="1" applyAlignment="1">
      <alignment horizontal="center" vertical="center"/>
    </xf>
    <xf numFmtId="191" fontId="54" fillId="6" borderId="81" xfId="274" applyNumberFormat="1" applyFont="1" applyFill="1" applyBorder="1" applyAlignment="1">
      <alignment horizontal="center" vertical="center" shrinkToFit="1"/>
    </xf>
    <xf numFmtId="3" fontId="54" fillId="6" borderId="91" xfId="274" applyNumberFormat="1" applyFont="1" applyFill="1" applyBorder="1" applyAlignment="1">
      <alignment horizontal="left" vertical="center" shrinkToFit="1"/>
    </xf>
    <xf numFmtId="41" fontId="54" fillId="6" borderId="91" xfId="0" applyNumberFormat="1" applyFont="1" applyFill="1" applyBorder="1" applyAlignment="1">
      <alignment vertical="center" shrinkToFit="1"/>
    </xf>
    <xf numFmtId="0" fontId="54" fillId="0" borderId="19" xfId="0" applyFont="1" applyBorder="1" applyAlignment="1">
      <alignment vertical="center" shrinkToFit="1"/>
    </xf>
    <xf numFmtId="0" fontId="54" fillId="0" borderId="43" xfId="0" applyFont="1" applyBorder="1" applyAlignment="1">
      <alignment horizontal="left" vertical="center" shrinkToFit="1"/>
    </xf>
    <xf numFmtId="0" fontId="54" fillId="0" borderId="17" xfId="0" applyFont="1" applyBorder="1" applyAlignment="1">
      <alignment horizontal="left" vertical="center"/>
    </xf>
    <xf numFmtId="43" fontId="0" fillId="0" borderId="0" xfId="0" applyNumberFormat="1" applyFont="1" applyAlignment="1">
      <alignment vertical="center"/>
    </xf>
    <xf numFmtId="41" fontId="0" fillId="0" borderId="0" xfId="0" applyNumberFormat="1" applyFont="1" applyAlignment="1">
      <alignment horizontal="center" vertical="center"/>
    </xf>
    <xf numFmtId="41" fontId="0" fillId="0" borderId="0" xfId="0" applyNumberFormat="1" applyFont="1" applyAlignment="1">
      <alignment vertical="center"/>
    </xf>
    <xf numFmtId="0" fontId="54" fillId="0" borderId="18" xfId="0" applyFont="1" applyBorder="1" applyAlignment="1">
      <alignment horizontal="left" vertical="center" shrinkToFit="1"/>
    </xf>
    <xf numFmtId="180" fontId="54" fillId="0" borderId="90" xfId="0" applyNumberFormat="1" applyFont="1" applyFill="1" applyBorder="1" applyAlignment="1">
      <alignment vertical="center"/>
    </xf>
    <xf numFmtId="0" fontId="54" fillId="0" borderId="93" xfId="0" applyFont="1" applyBorder="1" applyAlignment="1">
      <alignment horizontal="center" vertical="center" shrinkToFit="1"/>
    </xf>
    <xf numFmtId="0" fontId="54" fillId="0" borderId="91" xfId="0" applyFont="1" applyBorder="1" applyAlignment="1">
      <alignment horizontal="center" vertical="center" shrinkToFit="1"/>
    </xf>
    <xf numFmtId="0" fontId="54" fillId="6" borderId="89" xfId="274" applyFont="1" applyFill="1" applyBorder="1" applyAlignment="1">
      <alignment vertical="center"/>
    </xf>
    <xf numFmtId="0" fontId="54" fillId="6" borderId="89" xfId="274" applyFont="1" applyFill="1" applyBorder="1" applyAlignment="1">
      <alignment horizontal="left" vertical="center"/>
    </xf>
    <xf numFmtId="0" fontId="54" fillId="6" borderId="89" xfId="274" applyFont="1" applyFill="1" applyBorder="1" applyAlignment="1">
      <alignment horizontal="center" vertical="center"/>
    </xf>
    <xf numFmtId="0" fontId="54" fillId="6" borderId="81" xfId="274" applyFont="1" applyFill="1" applyBorder="1" applyAlignment="1">
      <alignment vertical="center"/>
    </xf>
    <xf numFmtId="0" fontId="54" fillId="6" borderId="81" xfId="274" applyFont="1" applyFill="1" applyBorder="1" applyAlignment="1">
      <alignment vertical="center" shrinkToFit="1"/>
    </xf>
    <xf numFmtId="179" fontId="54" fillId="6" borderId="81" xfId="274" applyNumberFormat="1" applyFont="1" applyFill="1" applyBorder="1" applyAlignment="1">
      <alignment horizontal="right" vertical="center" shrinkToFit="1"/>
    </xf>
    <xf numFmtId="0" fontId="54" fillId="6" borderId="17" xfId="0" applyFont="1" applyFill="1" applyBorder="1" applyAlignment="1">
      <alignment vertical="center" shrinkToFit="1"/>
    </xf>
    <xf numFmtId="0" fontId="54" fillId="6" borderId="18" xfId="0" applyFont="1" applyFill="1" applyBorder="1" applyAlignment="1">
      <alignment horizontal="left" vertical="center" shrinkToFit="1"/>
    </xf>
    <xf numFmtId="0" fontId="54" fillId="6" borderId="18" xfId="0" applyFont="1" applyFill="1" applyBorder="1" applyAlignment="1">
      <alignment horizontal="center" vertical="center" shrinkToFit="1"/>
    </xf>
    <xf numFmtId="41" fontId="54" fillId="6" borderId="18" xfId="0" applyNumberFormat="1" applyFont="1" applyFill="1" applyBorder="1" applyAlignment="1">
      <alignment vertical="center" shrinkToFit="1"/>
    </xf>
    <xf numFmtId="41" fontId="54" fillId="6" borderId="18" xfId="0" applyNumberFormat="1" applyFont="1" applyFill="1" applyBorder="1" applyAlignment="1">
      <alignment vertical="center"/>
    </xf>
    <xf numFmtId="0" fontId="54" fillId="6" borderId="90" xfId="274" applyFont="1" applyFill="1" applyBorder="1" applyAlignment="1">
      <alignment vertical="center" shrinkToFit="1"/>
    </xf>
    <xf numFmtId="49" fontId="54" fillId="6" borderId="90" xfId="274" applyNumberFormat="1" applyFont="1" applyFill="1" applyBorder="1" applyAlignment="1">
      <alignment horizontal="left" vertical="center"/>
    </xf>
    <xf numFmtId="0" fontId="54" fillId="6" borderId="90" xfId="274" applyNumberFormat="1" applyFont="1" applyFill="1" applyBorder="1" applyAlignment="1">
      <alignment horizontal="center" vertical="center"/>
    </xf>
    <xf numFmtId="3" fontId="54" fillId="6" borderId="81" xfId="274" applyNumberFormat="1" applyFont="1" applyFill="1" applyBorder="1" applyAlignment="1">
      <alignment vertical="center" shrinkToFit="1"/>
    </xf>
    <xf numFmtId="49" fontId="54" fillId="6" borderId="93" xfId="274" applyNumberFormat="1" applyFont="1" applyFill="1" applyBorder="1" applyAlignment="1">
      <alignment horizontal="left" vertical="center" shrinkToFit="1"/>
    </xf>
    <xf numFmtId="3" fontId="54" fillId="6" borderId="93" xfId="274" applyNumberFormat="1" applyFont="1" applyFill="1" applyBorder="1" applyAlignment="1">
      <alignment vertical="center" shrinkToFit="1"/>
    </xf>
    <xf numFmtId="0" fontId="54" fillId="6" borderId="93" xfId="0" applyFont="1" applyFill="1" applyBorder="1" applyAlignment="1">
      <alignment horizontal="center" vertical="center"/>
    </xf>
    <xf numFmtId="49" fontId="54" fillId="6" borderId="93" xfId="274" applyNumberFormat="1" applyFont="1" applyFill="1" applyBorder="1" applyAlignment="1">
      <alignment horizontal="center" vertical="center"/>
    </xf>
    <xf numFmtId="41" fontId="54" fillId="6" borderId="93" xfId="274" applyNumberFormat="1" applyFont="1" applyFill="1" applyBorder="1" applyAlignment="1">
      <alignment horizontal="center" vertical="center" shrinkToFit="1"/>
    </xf>
    <xf numFmtId="49" fontId="54" fillId="6" borderId="54" xfId="274" applyNumberFormat="1" applyFont="1" applyFill="1" applyBorder="1" applyAlignment="1">
      <alignment horizontal="left" vertical="center" shrinkToFit="1"/>
    </xf>
    <xf numFmtId="3" fontId="54" fillId="6" borderId="91" xfId="274" applyNumberFormat="1" applyFont="1" applyFill="1" applyBorder="1" applyAlignment="1">
      <alignment vertical="center" shrinkToFit="1"/>
    </xf>
    <xf numFmtId="49" fontId="54" fillId="6" borderId="91" xfId="274" applyNumberFormat="1" applyFont="1" applyFill="1" applyBorder="1" applyAlignment="1">
      <alignment horizontal="center" vertical="center"/>
    </xf>
    <xf numFmtId="41" fontId="54" fillId="6" borderId="91" xfId="274" applyNumberFormat="1" applyFont="1" applyFill="1" applyBorder="1" applyAlignment="1">
      <alignment horizontal="center" vertical="center" shrinkToFit="1"/>
    </xf>
    <xf numFmtId="180" fontId="54" fillId="6" borderId="93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4" fillId="6" borderId="58" xfId="0" applyFont="1" applyFill="1" applyBorder="1" applyAlignment="1">
      <alignment vertical="center"/>
    </xf>
    <xf numFmtId="180" fontId="54" fillId="6" borderId="58" xfId="0" applyNumberFormat="1" applyFont="1" applyFill="1" applyBorder="1" applyAlignment="1">
      <alignment vertical="center"/>
    </xf>
    <xf numFmtId="0" fontId="0" fillId="6" borderId="81" xfId="0" applyFill="1" applyBorder="1" applyAlignment="1">
      <alignment vertical="center"/>
    </xf>
    <xf numFmtId="0" fontId="24" fillId="6" borderId="81" xfId="0" applyFont="1" applyFill="1" applyBorder="1" applyAlignment="1">
      <alignment vertical="center"/>
    </xf>
    <xf numFmtId="180" fontId="0" fillId="6" borderId="81" xfId="0" applyNumberFormat="1" applyFill="1" applyBorder="1" applyAlignment="1">
      <alignment vertical="center"/>
    </xf>
    <xf numFmtId="0" fontId="0" fillId="6" borderId="81" xfId="0" applyFill="1" applyBorder="1" applyAlignment="1">
      <alignment horizontal="center" vertical="center"/>
    </xf>
    <xf numFmtId="180" fontId="0" fillId="6" borderId="81" xfId="0" applyNumberFormat="1" applyFill="1" applyBorder="1" applyAlignment="1">
      <alignment horizontal="center" vertical="center"/>
    </xf>
    <xf numFmtId="49" fontId="24" fillId="6" borderId="81" xfId="272" applyNumberFormat="1" applyFont="1" applyFill="1" applyBorder="1" applyAlignment="1">
      <alignment horizontal="center" vertical="center"/>
    </xf>
    <xf numFmtId="180" fontId="0" fillId="6" borderId="89" xfId="0" applyNumberFormat="1" applyFill="1" applyBorder="1" applyAlignment="1">
      <alignment horizontal="center" vertical="center"/>
    </xf>
    <xf numFmtId="180" fontId="0" fillId="6" borderId="90" xfId="0" applyNumberFormat="1" applyFill="1" applyBorder="1" applyAlignment="1">
      <alignment horizontal="center" vertical="center"/>
    </xf>
    <xf numFmtId="180" fontId="0" fillId="6" borderId="91" xfId="0" applyNumberFormat="1" applyFill="1" applyBorder="1" applyAlignment="1">
      <alignment horizontal="center" vertical="center"/>
    </xf>
    <xf numFmtId="0" fontId="24" fillId="6" borderId="81" xfId="0" applyFont="1" applyFill="1" applyBorder="1" applyAlignment="1">
      <alignment horizontal="center" vertical="center"/>
    </xf>
    <xf numFmtId="0" fontId="54" fillId="0" borderId="89" xfId="0" applyFont="1" applyBorder="1" applyAlignment="1">
      <alignment horizontal="center" vertical="center"/>
    </xf>
    <xf numFmtId="0" fontId="54" fillId="0" borderId="43" xfId="0" applyFont="1" applyFill="1" applyBorder="1" applyAlignment="1">
      <alignment vertical="center"/>
    </xf>
    <xf numFmtId="0" fontId="54" fillId="0" borderId="49" xfId="0" applyFont="1" applyFill="1" applyBorder="1" applyAlignment="1">
      <alignment vertical="center"/>
    </xf>
    <xf numFmtId="180" fontId="54" fillId="0" borderId="49" xfId="0" applyNumberFormat="1" applyFont="1" applyFill="1" applyBorder="1" applyAlignment="1">
      <alignment vertical="center"/>
    </xf>
    <xf numFmtId="180" fontId="54" fillId="0" borderId="81" xfId="0" applyNumberFormat="1" applyFont="1" applyFill="1" applyBorder="1" applyAlignment="1">
      <alignment vertical="center" shrinkToFit="1"/>
    </xf>
    <xf numFmtId="0" fontId="54" fillId="0" borderId="93" xfId="0" applyFont="1" applyBorder="1" applyAlignment="1">
      <alignment vertical="center"/>
    </xf>
    <xf numFmtId="49" fontId="57" fillId="6" borderId="81" xfId="0" applyNumberFormat="1" applyFont="1" applyFill="1" applyBorder="1" applyAlignment="1">
      <alignment horizontal="left" vertical="center" shrinkToFit="1"/>
    </xf>
    <xf numFmtId="49" fontId="57" fillId="6" borderId="81" xfId="0" applyNumberFormat="1" applyFont="1" applyFill="1" applyBorder="1" applyAlignment="1">
      <alignment horizontal="center" vertical="center" shrinkToFit="1"/>
    </xf>
    <xf numFmtId="180" fontId="54" fillId="0" borderId="81" xfId="0" applyNumberFormat="1" applyFont="1" applyBorder="1" applyAlignment="1">
      <alignment vertical="center" shrinkToFit="1"/>
    </xf>
    <xf numFmtId="0" fontId="54" fillId="6" borderId="49" xfId="0" applyFont="1" applyFill="1" applyBorder="1" applyAlignment="1">
      <alignment vertical="center"/>
    </xf>
    <xf numFmtId="0" fontId="54" fillId="0" borderId="89" xfId="0" applyFont="1" applyFill="1" applyBorder="1" applyAlignment="1">
      <alignment vertical="center"/>
    </xf>
    <xf numFmtId="0" fontId="54" fillId="0" borderId="90" xfId="0" applyFont="1" applyFill="1" applyBorder="1" applyAlignment="1">
      <alignment vertical="center"/>
    </xf>
    <xf numFmtId="0" fontId="54" fillId="0" borderId="90" xfId="0" applyFont="1" applyBorder="1" applyAlignment="1">
      <alignment vertical="center"/>
    </xf>
    <xf numFmtId="0" fontId="54" fillId="0" borderId="81" xfId="0" applyFont="1" applyFill="1" applyBorder="1" applyAlignment="1">
      <alignment vertical="center"/>
    </xf>
    <xf numFmtId="0" fontId="54" fillId="0" borderId="91" xfId="0" applyFont="1" applyFill="1" applyBorder="1" applyAlignment="1">
      <alignment vertical="center"/>
    </xf>
    <xf numFmtId="180" fontId="54" fillId="0" borderId="49" xfId="0" applyNumberFormat="1" applyFont="1" applyBorder="1" applyAlignment="1">
      <alignment horizontal="center" vertical="center"/>
    </xf>
    <xf numFmtId="0" fontId="54" fillId="0" borderId="0" xfId="0" applyFont="1" applyAlignment="1">
      <alignment horizontal="center" vertical="center"/>
    </xf>
    <xf numFmtId="180" fontId="54" fillId="0" borderId="0" xfId="0" applyNumberFormat="1" applyFont="1" applyAlignment="1">
      <alignment vertical="center"/>
    </xf>
    <xf numFmtId="0" fontId="0" fillId="0" borderId="0" xfId="0" applyFill="1" applyAlignment="1">
      <alignment horizontal="center" vertical="center"/>
    </xf>
    <xf numFmtId="0" fontId="54" fillId="0" borderId="49" xfId="0" applyFont="1" applyFill="1" applyBorder="1" applyAlignment="1">
      <alignment horizontal="center" vertical="center"/>
    </xf>
    <xf numFmtId="0" fontId="18" fillId="6" borderId="58" xfId="0" applyFont="1" applyFill="1" applyBorder="1" applyAlignment="1">
      <alignment horizontal="center" vertical="center"/>
    </xf>
    <xf numFmtId="0" fontId="18" fillId="6" borderId="57" xfId="0" applyFont="1" applyFill="1" applyBorder="1" applyAlignment="1">
      <alignment horizontal="center" vertical="center"/>
    </xf>
    <xf numFmtId="180" fontId="18" fillId="6" borderId="57" xfId="0" applyNumberFormat="1" applyFont="1" applyFill="1" applyBorder="1" applyAlignment="1">
      <alignment horizontal="center" vertical="center"/>
    </xf>
    <xf numFmtId="0" fontId="18" fillId="6" borderId="81" xfId="0" applyFont="1" applyFill="1" applyBorder="1" applyAlignment="1">
      <alignment vertical="center" shrinkToFit="1"/>
    </xf>
    <xf numFmtId="0" fontId="18" fillId="6" borderId="81" xfId="0" applyFont="1" applyFill="1" applyBorder="1" applyAlignment="1">
      <alignment horizontal="left" vertical="center" shrinkToFit="1"/>
    </xf>
    <xf numFmtId="0" fontId="18" fillId="6" borderId="81" xfId="0" applyFont="1" applyFill="1" applyBorder="1" applyAlignment="1">
      <alignment horizontal="center" vertical="center"/>
    </xf>
    <xf numFmtId="41" fontId="18" fillId="6" borderId="81" xfId="259" applyNumberFormat="1" applyFont="1" applyFill="1" applyBorder="1" applyAlignment="1">
      <alignment vertical="center"/>
    </xf>
    <xf numFmtId="41" fontId="18" fillId="6" borderId="81" xfId="0" applyNumberFormat="1" applyFont="1" applyFill="1" applyBorder="1" applyAlignment="1">
      <alignment vertical="center"/>
    </xf>
    <xf numFmtId="9" fontId="18" fillId="6" borderId="81" xfId="0" applyNumberFormat="1" applyFont="1" applyFill="1" applyBorder="1" applyAlignment="1">
      <alignment horizontal="left" vertical="center" shrinkToFit="1"/>
    </xf>
    <xf numFmtId="41" fontId="18" fillId="6" borderId="81" xfId="259" applyNumberFormat="1" applyFont="1" applyFill="1" applyBorder="1" applyAlignment="1">
      <alignment horizontal="center" vertical="center"/>
    </xf>
    <xf numFmtId="0" fontId="18" fillId="6" borderId="90" xfId="0" applyFont="1" applyFill="1" applyBorder="1" applyAlignment="1">
      <alignment vertical="center" shrinkToFit="1"/>
    </xf>
    <xf numFmtId="0" fontId="18" fillId="6" borderId="90" xfId="0" applyFont="1" applyFill="1" applyBorder="1" applyAlignment="1">
      <alignment horizontal="left" vertical="center" shrinkToFit="1"/>
    </xf>
    <xf numFmtId="0" fontId="18" fillId="6" borderId="90" xfId="0" applyFont="1" applyFill="1" applyBorder="1" applyAlignment="1">
      <alignment horizontal="center" vertical="center"/>
    </xf>
    <xf numFmtId="41" fontId="18" fillId="6" borderId="90" xfId="0" applyNumberFormat="1" applyFont="1" applyFill="1" applyBorder="1" applyAlignment="1">
      <alignment vertical="center"/>
    </xf>
    <xf numFmtId="0" fontId="18" fillId="6" borderId="91" xfId="0" applyFont="1" applyFill="1" applyBorder="1" applyAlignment="1">
      <alignment vertical="center" shrinkToFit="1"/>
    </xf>
    <xf numFmtId="0" fontId="18" fillId="6" borderId="91" xfId="0" applyFont="1" applyFill="1" applyBorder="1" applyAlignment="1">
      <alignment horizontal="left" vertical="center" shrinkToFit="1"/>
    </xf>
    <xf numFmtId="0" fontId="18" fillId="6" borderId="91" xfId="0" applyFont="1" applyFill="1" applyBorder="1" applyAlignment="1">
      <alignment horizontal="center" vertical="center"/>
    </xf>
    <xf numFmtId="41" fontId="18" fillId="6" borderId="91" xfId="0" applyNumberFormat="1" applyFont="1" applyFill="1" applyBorder="1" applyAlignment="1">
      <alignment vertical="center"/>
    </xf>
    <xf numFmtId="41" fontId="24" fillId="6" borderId="81" xfId="259" applyFont="1" applyFill="1" applyBorder="1" applyAlignment="1">
      <alignment horizontal="center" vertical="center"/>
    </xf>
    <xf numFmtId="0" fontId="1" fillId="6" borderId="49" xfId="0" applyFont="1" applyFill="1" applyBorder="1" applyAlignment="1">
      <alignment horizontal="left" vertical="center" shrinkToFit="1"/>
    </xf>
    <xf numFmtId="0" fontId="1" fillId="6" borderId="49" xfId="0" applyFont="1" applyFill="1" applyBorder="1" applyAlignment="1">
      <alignment horizontal="center" vertical="center" shrinkToFit="1"/>
    </xf>
    <xf numFmtId="180" fontId="24" fillId="6" borderId="49" xfId="0" applyNumberFormat="1" applyFont="1" applyFill="1" applyBorder="1" applyAlignment="1">
      <alignment horizontal="center" vertical="center"/>
    </xf>
    <xf numFmtId="180" fontId="1" fillId="6" borderId="49" xfId="0" applyNumberFormat="1" applyFont="1" applyFill="1" applyBorder="1" applyAlignment="1">
      <alignment vertical="center"/>
    </xf>
    <xf numFmtId="0" fontId="1" fillId="6" borderId="81" xfId="0" applyFont="1" applyFill="1" applyBorder="1" applyAlignment="1">
      <alignment vertical="center" shrinkToFit="1"/>
    </xf>
    <xf numFmtId="49" fontId="24" fillId="6" borderId="81" xfId="272" applyNumberFormat="1" applyFont="1" applyFill="1" applyBorder="1" applyAlignment="1">
      <alignment horizontal="center" vertical="center" shrinkToFit="1"/>
    </xf>
    <xf numFmtId="0" fontId="1" fillId="6" borderId="81" xfId="0" applyFont="1" applyFill="1" applyBorder="1" applyAlignment="1">
      <alignment horizontal="center" vertical="center" shrinkToFit="1"/>
    </xf>
    <xf numFmtId="41" fontId="1" fillId="6" borderId="81" xfId="0" applyNumberFormat="1" applyFont="1" applyFill="1" applyBorder="1" applyAlignment="1">
      <alignment vertical="center"/>
    </xf>
    <xf numFmtId="180" fontId="18" fillId="6" borderId="18" xfId="0" applyNumberFormat="1" applyFont="1" applyFill="1" applyBorder="1" applyAlignment="1">
      <alignment vertical="center"/>
    </xf>
    <xf numFmtId="41" fontId="54" fillId="6" borderId="90" xfId="0" applyNumberFormat="1" applyFont="1" applyFill="1" applyBorder="1" applyAlignment="1">
      <alignment vertical="center"/>
    </xf>
    <xf numFmtId="49" fontId="54" fillId="0" borderId="89" xfId="274" applyNumberFormat="1" applyFont="1" applyBorder="1" applyAlignment="1">
      <alignment horizontal="center" vertical="center" shrinkToFit="1"/>
    </xf>
    <xf numFmtId="0" fontId="54" fillId="6" borderId="89" xfId="0" applyFont="1" applyFill="1" applyBorder="1" applyAlignment="1">
      <alignment horizontal="center" vertical="center" shrinkToFit="1"/>
    </xf>
    <xf numFmtId="180" fontId="54" fillId="0" borderId="89" xfId="0" applyNumberFormat="1" applyFont="1" applyBorder="1" applyAlignment="1">
      <alignment vertical="center" shrinkToFit="1"/>
    </xf>
    <xf numFmtId="0" fontId="54" fillId="6" borderId="90" xfId="0" applyFont="1" applyFill="1" applyBorder="1" applyAlignment="1">
      <alignment horizontal="center" vertical="center" shrinkToFit="1"/>
    </xf>
    <xf numFmtId="0" fontId="54" fillId="6" borderId="90" xfId="0" applyFont="1" applyFill="1" applyBorder="1" applyAlignment="1">
      <alignment vertical="center" shrinkToFit="1"/>
    </xf>
    <xf numFmtId="0" fontId="54" fillId="6" borderId="90" xfId="0" applyFont="1" applyFill="1" applyBorder="1" applyAlignment="1">
      <alignment horizontal="left" vertical="center" shrinkToFit="1"/>
    </xf>
    <xf numFmtId="0" fontId="54" fillId="6" borderId="49" xfId="0" applyFont="1" applyFill="1" applyBorder="1" applyAlignment="1">
      <alignment horizontal="center" vertical="center"/>
    </xf>
    <xf numFmtId="41" fontId="54" fillId="6" borderId="49" xfId="0" applyNumberFormat="1" applyFont="1" applyFill="1" applyBorder="1" applyAlignment="1">
      <alignment vertical="center"/>
    </xf>
    <xf numFmtId="41" fontId="54" fillId="6" borderId="81" xfId="274" applyNumberFormat="1" applyFont="1" applyFill="1" applyBorder="1" applyAlignment="1">
      <alignment vertical="center" shrinkToFit="1"/>
    </xf>
    <xf numFmtId="3" fontId="54" fillId="6" borderId="89" xfId="274" applyNumberFormat="1" applyFont="1" applyFill="1" applyBorder="1" applyAlignment="1">
      <alignment vertical="center" shrinkToFit="1"/>
    </xf>
    <xf numFmtId="0" fontId="54" fillId="6" borderId="57" xfId="0" applyFont="1" applyFill="1" applyBorder="1" applyAlignment="1">
      <alignment vertical="center" shrinkToFit="1"/>
    </xf>
    <xf numFmtId="14" fontId="54" fillId="6" borderId="57" xfId="0" quotePrefix="1" applyNumberFormat="1" applyFont="1" applyFill="1" applyBorder="1" applyAlignment="1">
      <alignment horizontal="left" vertical="center" shrinkToFit="1"/>
    </xf>
    <xf numFmtId="0" fontId="54" fillId="6" borderId="57" xfId="0" applyFont="1" applyFill="1" applyBorder="1" applyAlignment="1">
      <alignment horizontal="center" vertical="center"/>
    </xf>
    <xf numFmtId="41" fontId="54" fillId="6" borderId="57" xfId="259" applyNumberFormat="1" applyFont="1" applyFill="1" applyBorder="1" applyAlignment="1">
      <alignment vertical="center"/>
    </xf>
    <xf numFmtId="41" fontId="54" fillId="6" borderId="81" xfId="259" applyNumberFormat="1" applyFont="1" applyFill="1" applyBorder="1" applyAlignment="1">
      <alignment horizontal="center" vertical="center"/>
    </xf>
    <xf numFmtId="0" fontId="54" fillId="6" borderId="89" xfId="0" applyFont="1" applyFill="1" applyBorder="1" applyAlignment="1">
      <alignment vertical="center" shrinkToFit="1"/>
    </xf>
    <xf numFmtId="41" fontId="54" fillId="0" borderId="49" xfId="0" applyNumberFormat="1" applyFont="1" applyFill="1" applyBorder="1" applyAlignment="1">
      <alignment vertical="center"/>
    </xf>
    <xf numFmtId="0" fontId="54" fillId="6" borderId="89" xfId="259" applyNumberFormat="1" applyFont="1" applyFill="1" applyBorder="1" applyAlignment="1">
      <alignment horizontal="center" vertical="center"/>
    </xf>
    <xf numFmtId="0" fontId="54" fillId="6" borderId="81" xfId="259" applyNumberFormat="1" applyFont="1" applyFill="1" applyBorder="1" applyAlignment="1">
      <alignment horizontal="center" vertical="center"/>
    </xf>
    <xf numFmtId="41" fontId="54" fillId="0" borderId="81" xfId="259" applyFont="1" applyFill="1" applyBorder="1" applyAlignment="1">
      <alignment horizontal="center" vertical="center"/>
    </xf>
    <xf numFmtId="0" fontId="54" fillId="0" borderId="49" xfId="0" applyFont="1" applyFill="1" applyBorder="1" applyAlignment="1">
      <alignment vertical="center" shrinkToFit="1"/>
    </xf>
    <xf numFmtId="0" fontId="54" fillId="0" borderId="49" xfId="0" applyFont="1" applyFill="1" applyBorder="1" applyAlignment="1">
      <alignment horizontal="left" vertical="center" shrinkToFit="1"/>
    </xf>
    <xf numFmtId="0" fontId="54" fillId="0" borderId="43" xfId="0" applyFont="1" applyFill="1" applyBorder="1" applyAlignment="1">
      <alignment vertical="center" shrinkToFit="1"/>
    </xf>
    <xf numFmtId="41" fontId="54" fillId="6" borderId="91" xfId="0" applyNumberFormat="1" applyFont="1" applyFill="1" applyBorder="1" applyAlignment="1">
      <alignment horizontal="center" vertical="center"/>
    </xf>
    <xf numFmtId="179" fontId="54" fillId="6" borderId="81" xfId="0" applyNumberFormat="1" applyFont="1" applyFill="1" applyBorder="1" applyAlignment="1">
      <alignment horizontal="center" vertical="center"/>
    </xf>
    <xf numFmtId="180" fontId="54" fillId="4" borderId="53" xfId="0" applyNumberFormat="1" applyFont="1" applyFill="1" applyBorder="1" applyAlignment="1">
      <alignment vertical="center"/>
    </xf>
    <xf numFmtId="0" fontId="54" fillId="0" borderId="57" xfId="0" applyFont="1" applyFill="1" applyBorder="1" applyAlignment="1">
      <alignment horizontal="left" vertical="center"/>
    </xf>
    <xf numFmtId="0" fontId="54" fillId="0" borderId="55" xfId="0" applyFont="1" applyFill="1" applyBorder="1" applyAlignment="1">
      <alignment horizontal="center" vertical="center"/>
    </xf>
    <xf numFmtId="180" fontId="54" fillId="0" borderId="60" xfId="0" applyNumberFormat="1" applyFont="1" applyBorder="1" applyAlignment="1">
      <alignment vertical="center"/>
    </xf>
    <xf numFmtId="0" fontId="54" fillId="0" borderId="57" xfId="0" applyFont="1" applyBorder="1" applyAlignment="1">
      <alignment vertical="center" shrinkToFit="1"/>
    </xf>
    <xf numFmtId="179" fontId="54" fillId="6" borderId="93" xfId="0" applyNumberFormat="1" applyFont="1" applyFill="1" applyBorder="1" applyAlignment="1">
      <alignment vertical="center"/>
    </xf>
    <xf numFmtId="179" fontId="54" fillId="6" borderId="93" xfId="0" applyNumberFormat="1" applyFont="1" applyFill="1" applyBorder="1" applyAlignment="1">
      <alignment horizontal="center" vertical="center"/>
    </xf>
    <xf numFmtId="0" fontId="61" fillId="6" borderId="81" xfId="278" applyNumberFormat="1" applyFont="1" applyFill="1" applyBorder="1" applyAlignment="1">
      <alignment horizontal="left" vertical="center" wrapText="1"/>
    </xf>
    <xf numFmtId="0" fontId="61" fillId="6" borderId="81" xfId="278" applyNumberFormat="1" applyFont="1" applyFill="1" applyBorder="1" applyAlignment="1">
      <alignment horizontal="center" vertical="center" wrapText="1"/>
    </xf>
    <xf numFmtId="0" fontId="62" fillId="6" borderId="81" xfId="0" applyFont="1" applyFill="1" applyBorder="1" applyAlignment="1">
      <alignment vertical="center" shrinkToFit="1"/>
    </xf>
    <xf numFmtId="41" fontId="18" fillId="6" borderId="0" xfId="0" applyNumberFormat="1" applyFont="1" applyFill="1" applyAlignment="1">
      <alignment vertical="center"/>
    </xf>
    <xf numFmtId="180" fontId="54" fillId="7" borderId="81" xfId="0" applyNumberFormat="1" applyFont="1" applyFill="1" applyBorder="1" applyAlignment="1">
      <alignment vertical="center" shrinkToFit="1"/>
    </xf>
    <xf numFmtId="0" fontId="54" fillId="7" borderId="89" xfId="0" applyFont="1" applyFill="1" applyBorder="1" applyAlignment="1">
      <alignment vertical="center" shrinkToFit="1"/>
    </xf>
    <xf numFmtId="41" fontId="54" fillId="6" borderId="81" xfId="274" applyNumberFormat="1" applyFont="1" applyFill="1" applyBorder="1" applyAlignment="1">
      <alignment horizontal="center" vertical="center" shrinkToFit="1"/>
    </xf>
    <xf numFmtId="180" fontId="54" fillId="7" borderId="53" xfId="0" applyNumberFormat="1" applyFont="1" applyFill="1" applyBorder="1" applyAlignment="1">
      <alignment vertical="center"/>
    </xf>
    <xf numFmtId="0" fontId="54" fillId="7" borderId="81" xfId="0" applyFont="1" applyFill="1" applyBorder="1" applyAlignment="1">
      <alignment horizontal="center" vertical="center" shrinkToFit="1"/>
    </xf>
    <xf numFmtId="180" fontId="44" fillId="0" borderId="97" xfId="0" applyNumberFormat="1" applyFont="1" applyFill="1" applyBorder="1" applyAlignment="1">
      <alignment vertical="center"/>
    </xf>
    <xf numFmtId="179" fontId="54" fillId="6" borderId="89" xfId="0" applyNumberFormat="1" applyFont="1" applyFill="1" applyBorder="1" applyAlignment="1">
      <alignment horizontal="center" vertical="center"/>
    </xf>
    <xf numFmtId="179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vertical="center"/>
    </xf>
    <xf numFmtId="3" fontId="0" fillId="8" borderId="3" xfId="0" applyNumberFormat="1" applyFont="1" applyFill="1" applyBorder="1" applyAlignment="1">
      <alignment vertical="center"/>
    </xf>
    <xf numFmtId="3" fontId="2" fillId="0" borderId="0" xfId="0" applyNumberFormat="1" applyFont="1" applyFill="1" applyAlignment="1">
      <alignment vertical="center"/>
    </xf>
    <xf numFmtId="3" fontId="2" fillId="0" borderId="0" xfId="0" applyNumberFormat="1" applyFont="1" applyFill="1" applyAlignment="1">
      <alignment horizontal="center" vertical="center"/>
    </xf>
    <xf numFmtId="179" fontId="0" fillId="0" borderId="0" xfId="0" applyNumberFormat="1" applyFont="1" applyFill="1" applyAlignment="1">
      <alignment horizontal="left" vertical="center"/>
    </xf>
    <xf numFmtId="179" fontId="2" fillId="0" borderId="0" xfId="0" applyNumberFormat="1" applyFont="1" applyFill="1" applyAlignment="1">
      <alignment vertical="center"/>
    </xf>
    <xf numFmtId="4" fontId="2" fillId="0" borderId="0" xfId="0" applyNumberFormat="1" applyFont="1" applyFill="1" applyAlignment="1">
      <alignment vertical="center"/>
    </xf>
    <xf numFmtId="3" fontId="2" fillId="0" borderId="98" xfId="0" applyNumberFormat="1" applyFont="1" applyFill="1" applyBorder="1" applyAlignment="1">
      <alignment vertical="center"/>
    </xf>
    <xf numFmtId="3" fontId="2" fillId="0" borderId="83" xfId="0" applyNumberFormat="1" applyFont="1" applyFill="1" applyBorder="1" applyAlignment="1">
      <alignment vertical="center"/>
    </xf>
    <xf numFmtId="3" fontId="0" fillId="8" borderId="3" xfId="0" applyNumberFormat="1" applyFill="1" applyBorder="1" applyAlignment="1">
      <alignment horizontal="center" vertical="center"/>
    </xf>
    <xf numFmtId="3" fontId="4" fillId="8" borderId="3" xfId="0" applyNumberFormat="1" applyFont="1" applyFill="1" applyBorder="1" applyAlignment="1">
      <alignment horizontal="center" vertical="center"/>
    </xf>
    <xf numFmtId="179" fontId="2" fillId="8" borderId="3" xfId="0" applyNumberFormat="1" applyFont="1" applyFill="1" applyBorder="1" applyAlignment="1">
      <alignment horizontal="right" vertical="center"/>
    </xf>
    <xf numFmtId="179" fontId="2" fillId="8" borderId="3" xfId="0" applyNumberFormat="1" applyFont="1" applyFill="1" applyBorder="1" applyAlignment="1">
      <alignment vertical="center"/>
    </xf>
    <xf numFmtId="3" fontId="0" fillId="0" borderId="83" xfId="0" applyNumberFormat="1" applyFill="1" applyBorder="1" applyAlignment="1">
      <alignment vertical="center"/>
    </xf>
    <xf numFmtId="3" fontId="6" fillId="8" borderId="3" xfId="0" applyNumberFormat="1" applyFont="1" applyFill="1" applyBorder="1" applyAlignment="1">
      <alignment horizontal="center" vertical="center"/>
    </xf>
    <xf numFmtId="179" fontId="6" fillId="8" borderId="3" xfId="0" applyNumberFormat="1" applyFont="1" applyFill="1" applyBorder="1" applyAlignment="1">
      <alignment vertical="center"/>
    </xf>
    <xf numFmtId="179" fontId="6" fillId="8" borderId="0" xfId="0" applyNumberFormat="1" applyFont="1" applyFill="1" applyAlignment="1">
      <alignment vertical="center"/>
    </xf>
    <xf numFmtId="3" fontId="4" fillId="8" borderId="83" xfId="0" applyNumberFormat="1" applyFont="1" applyFill="1" applyBorder="1" applyAlignment="1">
      <alignment vertical="center" wrapText="1"/>
    </xf>
    <xf numFmtId="31" fontId="0" fillId="3" borderId="3" xfId="0" applyNumberFormat="1" applyFill="1" applyBorder="1" applyAlignment="1">
      <alignment horizontal="left" vertical="center"/>
    </xf>
    <xf numFmtId="0" fontId="53" fillId="0" borderId="89" xfId="0" applyFont="1" applyBorder="1" applyAlignment="1">
      <alignment vertical="center"/>
    </xf>
    <xf numFmtId="41" fontId="54" fillId="6" borderId="90" xfId="0" applyNumberFormat="1" applyFont="1" applyFill="1" applyBorder="1" applyAlignment="1">
      <alignment horizontal="center" vertical="center"/>
    </xf>
    <xf numFmtId="0" fontId="1" fillId="9" borderId="88" xfId="0" applyFont="1" applyFill="1" applyBorder="1" applyAlignment="1">
      <alignment horizontal="center" vertical="center"/>
    </xf>
    <xf numFmtId="180" fontId="1" fillId="9" borderId="82" xfId="0" applyNumberFormat="1" applyFont="1" applyFill="1" applyBorder="1" applyAlignment="1">
      <alignment horizontal="right" vertical="center"/>
    </xf>
    <xf numFmtId="0" fontId="1" fillId="9" borderId="45" xfId="0" applyFont="1" applyFill="1" applyBorder="1" applyAlignment="1">
      <alignment vertical="center"/>
    </xf>
    <xf numFmtId="180" fontId="1" fillId="9" borderId="3" xfId="0" applyNumberFormat="1" applyFont="1" applyFill="1" applyBorder="1" applyAlignment="1">
      <alignment horizontal="right" vertical="center"/>
    </xf>
    <xf numFmtId="180" fontId="1" fillId="9" borderId="53" xfId="0" applyNumberFormat="1" applyFont="1" applyFill="1" applyBorder="1" applyAlignment="1">
      <alignment horizontal="right" vertical="center"/>
    </xf>
    <xf numFmtId="0" fontId="1" fillId="9" borderId="49" xfId="0" applyFont="1" applyFill="1" applyBorder="1" applyAlignment="1">
      <alignment vertical="center"/>
    </xf>
    <xf numFmtId="0" fontId="54" fillId="6" borderId="99" xfId="0" applyFont="1" applyFill="1" applyBorder="1" applyAlignment="1">
      <alignment horizontal="center" vertical="center"/>
    </xf>
    <xf numFmtId="206" fontId="54" fillId="6" borderId="90" xfId="0" applyNumberFormat="1" applyFont="1" applyFill="1" applyBorder="1" applyAlignment="1">
      <alignment horizontal="center" vertical="center" shrinkToFit="1"/>
    </xf>
    <xf numFmtId="0" fontId="54" fillId="0" borderId="90" xfId="0" applyFont="1" applyBorder="1" applyAlignment="1">
      <alignment horizontal="center" vertical="center" shrinkToFit="1"/>
    </xf>
    <xf numFmtId="0" fontId="54" fillId="6" borderId="83" xfId="268" applyFont="1" applyFill="1" applyBorder="1" applyAlignment="1">
      <alignment horizontal="left" vertical="center" shrinkToFit="1"/>
    </xf>
    <xf numFmtId="49" fontId="54" fillId="6" borderId="83" xfId="274" applyNumberFormat="1" applyFont="1" applyFill="1" applyBorder="1" applyAlignment="1">
      <alignment horizontal="left" vertical="center" shrinkToFit="1"/>
    </xf>
    <xf numFmtId="0" fontId="54" fillId="6" borderId="51" xfId="0" applyFont="1" applyFill="1" applyBorder="1" applyAlignment="1">
      <alignment horizontal="center" vertical="center"/>
    </xf>
    <xf numFmtId="3" fontId="54" fillId="6" borderId="51" xfId="274" applyNumberFormat="1" applyFont="1" applyFill="1" applyBorder="1" applyAlignment="1">
      <alignment horizontal="left" vertical="center" shrinkToFit="1"/>
    </xf>
    <xf numFmtId="3" fontId="54" fillId="6" borderId="53" xfId="274" applyNumberFormat="1" applyFont="1" applyFill="1" applyBorder="1" applyAlignment="1">
      <alignment horizontal="left" vertical="center" shrinkToFit="1"/>
    </xf>
    <xf numFmtId="0" fontId="54" fillId="6" borderId="100" xfId="268" applyFont="1" applyFill="1" applyBorder="1" applyAlignment="1">
      <alignment horizontal="left" vertical="center" shrinkToFit="1"/>
    </xf>
    <xf numFmtId="49" fontId="54" fillId="6" borderId="98" xfId="274" applyNumberFormat="1" applyFont="1" applyFill="1" applyBorder="1" applyAlignment="1">
      <alignment horizontal="left" vertical="center" shrinkToFit="1"/>
    </xf>
    <xf numFmtId="49" fontId="54" fillId="6" borderId="83" xfId="274" applyNumberFormat="1" applyFont="1" applyFill="1" applyBorder="1" applyAlignment="1">
      <alignment vertical="center" shrinkToFit="1"/>
    </xf>
    <xf numFmtId="49" fontId="54" fillId="6" borderId="83" xfId="274" applyNumberFormat="1" applyFont="1" applyFill="1" applyBorder="1" applyAlignment="1">
      <alignment horizontal="left" vertical="center"/>
    </xf>
    <xf numFmtId="0" fontId="54" fillId="6" borderId="83" xfId="274" applyFont="1" applyFill="1" applyBorder="1" applyAlignment="1">
      <alignment horizontal="left" vertical="center"/>
    </xf>
    <xf numFmtId="49" fontId="54" fillId="6" borderId="83" xfId="274" applyNumberFormat="1" applyFont="1" applyFill="1" applyBorder="1" applyAlignment="1">
      <alignment vertical="center"/>
    </xf>
    <xf numFmtId="3" fontId="54" fillId="6" borderId="90" xfId="274" applyNumberFormat="1" applyFont="1" applyFill="1" applyBorder="1" applyAlignment="1">
      <alignment vertical="center" shrinkToFit="1"/>
    </xf>
    <xf numFmtId="49" fontId="63" fillId="0" borderId="7" xfId="274" applyNumberFormat="1" applyFont="1" applyFill="1" applyBorder="1" applyAlignment="1">
      <alignment horizontal="left" vertical="center"/>
    </xf>
    <xf numFmtId="49" fontId="54" fillId="6" borderId="101" xfId="274" applyNumberFormat="1" applyFont="1" applyFill="1" applyBorder="1" applyAlignment="1">
      <alignment horizontal="left" vertical="center"/>
    </xf>
    <xf numFmtId="0" fontId="54" fillId="6" borderId="102" xfId="268" applyFont="1" applyFill="1" applyBorder="1" applyAlignment="1">
      <alignment vertical="center" shrinkToFit="1"/>
    </xf>
    <xf numFmtId="0" fontId="54" fillId="6" borderId="103" xfId="268" applyFont="1" applyFill="1" applyBorder="1" applyAlignment="1">
      <alignment vertical="center" shrinkToFit="1"/>
    </xf>
    <xf numFmtId="0" fontId="54" fillId="6" borderId="4" xfId="268" applyFont="1" applyFill="1" applyBorder="1" applyAlignment="1">
      <alignment horizontal="left" vertical="center" shrinkToFit="1"/>
    </xf>
    <xf numFmtId="49" fontId="54" fillId="6" borderId="103" xfId="274" applyNumberFormat="1" applyFont="1" applyFill="1" applyBorder="1" applyAlignment="1">
      <alignment vertical="center"/>
    </xf>
    <xf numFmtId="210" fontId="54" fillId="6" borderId="103" xfId="265" applyNumberFormat="1" applyFont="1" applyFill="1" applyBorder="1" applyAlignment="1">
      <alignment vertical="center"/>
    </xf>
    <xf numFmtId="49" fontId="61" fillId="6" borderId="103" xfId="274" applyNumberFormat="1" applyFont="1" applyFill="1" applyBorder="1" applyAlignment="1">
      <alignment vertical="center"/>
    </xf>
    <xf numFmtId="179" fontId="54" fillId="6" borderId="81" xfId="0" applyNumberFormat="1" applyFont="1" applyFill="1" applyBorder="1" applyAlignment="1">
      <alignment horizontal="right" vertical="center"/>
    </xf>
    <xf numFmtId="180" fontId="54" fillId="6" borderId="81" xfId="0" applyNumberFormat="1" applyFont="1" applyFill="1" applyBorder="1" applyAlignment="1">
      <alignment horizontal="right" vertical="center"/>
    </xf>
    <xf numFmtId="41" fontId="54" fillId="6" borderId="81" xfId="0" applyNumberFormat="1" applyFont="1" applyFill="1" applyBorder="1" applyAlignment="1">
      <alignment horizontal="right" vertical="center"/>
    </xf>
    <xf numFmtId="180" fontId="54" fillId="6" borderId="49" xfId="0" applyNumberFormat="1" applyFont="1" applyFill="1" applyBorder="1" applyAlignment="1">
      <alignment horizontal="right" vertical="center"/>
    </xf>
    <xf numFmtId="206" fontId="54" fillId="6" borderId="89" xfId="0" applyNumberFormat="1" applyFont="1" applyFill="1" applyBorder="1" applyAlignment="1">
      <alignment horizontal="right" vertical="center" shrinkToFit="1"/>
    </xf>
    <xf numFmtId="206" fontId="54" fillId="6" borderId="90" xfId="0" applyNumberFormat="1" applyFont="1" applyFill="1" applyBorder="1" applyAlignment="1">
      <alignment horizontal="right" vertical="center" shrinkToFit="1"/>
    </xf>
    <xf numFmtId="41" fontId="54" fillId="6" borderId="81" xfId="0" applyNumberFormat="1" applyFont="1" applyFill="1" applyBorder="1" applyAlignment="1">
      <alignment horizontal="left" vertical="center"/>
    </xf>
    <xf numFmtId="0" fontId="4" fillId="6" borderId="81" xfId="0" applyFont="1" applyFill="1" applyBorder="1" applyAlignment="1">
      <alignment vertical="center"/>
    </xf>
    <xf numFmtId="0" fontId="53" fillId="6" borderId="0" xfId="0" applyFont="1" applyFill="1" applyBorder="1" applyAlignment="1">
      <alignment vertical="center"/>
    </xf>
    <xf numFmtId="49" fontId="53" fillId="6" borderId="81" xfId="272" applyNumberFormat="1" applyFont="1" applyFill="1" applyBorder="1" applyAlignment="1">
      <alignment horizontal="center" vertical="center" shrinkToFit="1"/>
    </xf>
    <xf numFmtId="49" fontId="53" fillId="6" borderId="81" xfId="273" applyNumberFormat="1" applyFont="1" applyFill="1" applyBorder="1" applyAlignment="1">
      <alignment horizontal="center" vertical="center"/>
    </xf>
    <xf numFmtId="41" fontId="53" fillId="6" borderId="81" xfId="0" applyNumberFormat="1" applyFont="1" applyFill="1" applyBorder="1" applyAlignment="1">
      <alignment vertical="center"/>
    </xf>
    <xf numFmtId="0" fontId="53" fillId="6" borderId="82" xfId="273" applyFont="1" applyFill="1" applyBorder="1" applyAlignment="1">
      <alignment horizontal="left" vertical="center"/>
    </xf>
    <xf numFmtId="0" fontId="53" fillId="6" borderId="83" xfId="0" applyFont="1" applyFill="1" applyBorder="1" applyAlignment="1">
      <alignment vertical="center"/>
    </xf>
    <xf numFmtId="0" fontId="53" fillId="6" borderId="15" xfId="0" applyFont="1" applyFill="1" applyBorder="1" applyAlignment="1">
      <alignment vertical="center"/>
    </xf>
    <xf numFmtId="0" fontId="53" fillId="6" borderId="53" xfId="0" applyFont="1" applyFill="1" applyBorder="1" applyAlignment="1">
      <alignment vertical="center"/>
    </xf>
    <xf numFmtId="0" fontId="53" fillId="6" borderId="15" xfId="0" applyFont="1" applyFill="1" applyBorder="1" applyAlignment="1">
      <alignment vertical="distributed" wrapText="1"/>
    </xf>
    <xf numFmtId="0" fontId="53" fillId="6" borderId="81" xfId="0" applyFont="1" applyFill="1" applyBorder="1" applyAlignment="1">
      <alignment vertical="center" shrinkToFit="1"/>
    </xf>
    <xf numFmtId="180" fontId="53" fillId="6" borderId="53" xfId="0" applyNumberFormat="1" applyFont="1" applyFill="1" applyBorder="1" applyAlignment="1">
      <alignment vertical="center"/>
    </xf>
    <xf numFmtId="0" fontId="53" fillId="6" borderId="82" xfId="0" applyFont="1" applyFill="1" applyBorder="1" applyAlignment="1">
      <alignment vertical="center" shrinkToFit="1"/>
    </xf>
    <xf numFmtId="0" fontId="53" fillId="6" borderId="83" xfId="0" applyFont="1" applyFill="1" applyBorder="1" applyAlignment="1">
      <alignment vertical="center" shrinkToFit="1"/>
    </xf>
    <xf numFmtId="41" fontId="53" fillId="6" borderId="93" xfId="0" applyNumberFormat="1" applyFont="1" applyFill="1" applyBorder="1" applyAlignment="1">
      <alignment vertical="center"/>
    </xf>
    <xf numFmtId="49" fontId="53" fillId="6" borderId="81" xfId="274" applyNumberFormat="1" applyFont="1" applyFill="1" applyBorder="1" applyAlignment="1">
      <alignment horizontal="left" vertical="center" shrinkToFit="1"/>
    </xf>
    <xf numFmtId="3" fontId="53" fillId="6" borderId="81" xfId="274" applyNumberFormat="1" applyFont="1" applyFill="1" applyBorder="1" applyAlignment="1">
      <alignment horizontal="left" vertical="center" shrinkToFit="1"/>
    </xf>
    <xf numFmtId="49" fontId="53" fillId="6" borderId="81" xfId="272" applyNumberFormat="1" applyFont="1" applyFill="1" applyBorder="1" applyAlignment="1">
      <alignment horizontal="center" vertical="center"/>
    </xf>
    <xf numFmtId="49" fontId="53" fillId="6" borderId="81" xfId="274" applyNumberFormat="1" applyFont="1" applyFill="1" applyBorder="1" applyAlignment="1">
      <alignment vertical="center" shrinkToFit="1"/>
    </xf>
    <xf numFmtId="0" fontId="53" fillId="6" borderId="81" xfId="274" applyNumberFormat="1" applyFont="1" applyFill="1" applyBorder="1" applyAlignment="1">
      <alignment horizontal="center" vertical="center" shrinkToFit="1"/>
    </xf>
    <xf numFmtId="0" fontId="62" fillId="0" borderId="50" xfId="0" applyFont="1" applyBorder="1" applyAlignment="1">
      <alignment vertical="center"/>
    </xf>
    <xf numFmtId="0" fontId="53" fillId="6" borderId="89" xfId="0" applyFont="1" applyFill="1" applyBorder="1" applyAlignment="1">
      <alignment vertical="center"/>
    </xf>
    <xf numFmtId="0" fontId="53" fillId="6" borderId="81" xfId="0" applyFont="1" applyFill="1" applyBorder="1" applyAlignment="1">
      <alignment vertical="center"/>
    </xf>
    <xf numFmtId="0" fontId="53" fillId="6" borderId="89" xfId="0" applyFont="1" applyFill="1" applyBorder="1" applyAlignment="1">
      <alignment horizontal="center" vertical="center"/>
    </xf>
    <xf numFmtId="41" fontId="53" fillId="6" borderId="89" xfId="0" applyNumberFormat="1" applyFont="1" applyFill="1" applyBorder="1" applyAlignment="1">
      <alignment vertical="center"/>
    </xf>
    <xf numFmtId="0" fontId="53" fillId="6" borderId="81" xfId="0" applyFont="1" applyFill="1" applyBorder="1" applyAlignment="1">
      <alignment horizontal="center" vertical="center"/>
    </xf>
    <xf numFmtId="41" fontId="53" fillId="6" borderId="81" xfId="0" applyNumberFormat="1" applyFont="1" applyFill="1" applyBorder="1" applyAlignment="1">
      <alignment horizontal="center" vertical="center"/>
    </xf>
    <xf numFmtId="0" fontId="53" fillId="0" borderId="89" xfId="0" applyFont="1" applyBorder="1" applyAlignment="1">
      <alignment horizontal="center" vertical="center"/>
    </xf>
    <xf numFmtId="0" fontId="53" fillId="0" borderId="81" xfId="0" applyFont="1" applyBorder="1" applyAlignment="1">
      <alignment horizontal="center" vertical="center"/>
    </xf>
    <xf numFmtId="0" fontId="53" fillId="6" borderId="93" xfId="0" applyFont="1" applyFill="1" applyBorder="1" applyAlignment="1">
      <alignment vertical="center"/>
    </xf>
    <xf numFmtId="0" fontId="53" fillId="6" borderId="81" xfId="0" applyFont="1" applyFill="1" applyBorder="1" applyAlignment="1">
      <alignment horizontal="left" vertical="center"/>
    </xf>
    <xf numFmtId="0" fontId="53" fillId="6" borderId="93" xfId="0" applyFont="1" applyFill="1" applyBorder="1" applyAlignment="1">
      <alignment horizontal="center" vertical="center"/>
    </xf>
    <xf numFmtId="41" fontId="53" fillId="6" borderId="93" xfId="261" applyNumberFormat="1" applyFont="1" applyFill="1" applyBorder="1" applyAlignment="1">
      <alignment horizontal="center" vertical="center"/>
    </xf>
    <xf numFmtId="41" fontId="53" fillId="6" borderId="81" xfId="261" applyNumberFormat="1" applyFont="1" applyFill="1" applyBorder="1" applyAlignment="1">
      <alignment horizontal="center" vertical="center"/>
    </xf>
    <xf numFmtId="0" fontId="62" fillId="0" borderId="0" xfId="0" applyFont="1" applyBorder="1" applyAlignment="1">
      <alignment vertical="center"/>
    </xf>
    <xf numFmtId="0" fontId="53" fillId="0" borderId="90" xfId="0" applyFont="1" applyBorder="1" applyAlignment="1">
      <alignment horizontal="center" vertical="center"/>
    </xf>
    <xf numFmtId="0" fontId="69" fillId="0" borderId="0" xfId="0" applyFont="1" applyBorder="1" applyAlignment="1">
      <alignment vertical="center"/>
    </xf>
    <xf numFmtId="180" fontId="53" fillId="6" borderId="81" xfId="0" applyNumberFormat="1" applyFont="1" applyFill="1" applyBorder="1" applyAlignment="1">
      <alignment horizontal="center" vertical="center"/>
    </xf>
    <xf numFmtId="180" fontId="53" fillId="6" borderId="81" xfId="0" applyNumberFormat="1" applyFont="1" applyFill="1" applyBorder="1" applyAlignment="1">
      <alignment vertical="center"/>
    </xf>
    <xf numFmtId="188" fontId="53" fillId="6" borderId="81" xfId="0" applyNumberFormat="1" applyFont="1" applyFill="1" applyBorder="1" applyAlignment="1">
      <alignment horizontal="center" vertical="center"/>
    </xf>
    <xf numFmtId="0" fontId="62" fillId="0" borderId="0" xfId="0" applyFont="1" applyAlignment="1">
      <alignment vertical="center"/>
    </xf>
    <xf numFmtId="0" fontId="69" fillId="0" borderId="0" xfId="0" applyFont="1" applyAlignment="1">
      <alignment vertical="center"/>
    </xf>
    <xf numFmtId="0" fontId="56" fillId="6" borderId="81" xfId="0" applyFont="1" applyFill="1" applyBorder="1" applyAlignment="1">
      <alignment vertical="center"/>
    </xf>
    <xf numFmtId="0" fontId="69" fillId="0" borderId="50" xfId="0" applyFont="1" applyBorder="1" applyAlignment="1">
      <alignment vertical="center"/>
    </xf>
    <xf numFmtId="0" fontId="53" fillId="0" borderId="58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6" borderId="81" xfId="0" applyFont="1" applyFill="1" applyBorder="1" applyAlignment="1">
      <alignment horizontal="left" vertical="center"/>
    </xf>
    <xf numFmtId="0" fontId="4" fillId="6" borderId="81" xfId="0" applyFont="1" applyFill="1" applyBorder="1" applyAlignment="1">
      <alignment horizontal="center" vertical="center"/>
    </xf>
    <xf numFmtId="180" fontId="4" fillId="6" borderId="81" xfId="0" applyNumberFormat="1" applyFont="1" applyFill="1" applyBorder="1" applyAlignment="1">
      <alignment horizontal="center" vertical="center"/>
    </xf>
    <xf numFmtId="180" fontId="4" fillId="6" borderId="81" xfId="0" applyNumberFormat="1" applyFont="1" applyFill="1" applyBorder="1" applyAlignment="1">
      <alignment vertical="center"/>
    </xf>
    <xf numFmtId="0" fontId="1" fillId="10" borderId="81" xfId="0" applyFont="1" applyFill="1" applyBorder="1" applyAlignment="1">
      <alignment horizontal="center" vertical="center"/>
    </xf>
    <xf numFmtId="180" fontId="1" fillId="10" borderId="82" xfId="0" applyNumberFormat="1" applyFont="1" applyFill="1" applyBorder="1" applyAlignment="1">
      <alignment horizontal="right" vertical="center"/>
    </xf>
    <xf numFmtId="0" fontId="2" fillId="10" borderId="0" xfId="0" applyFont="1" applyFill="1" applyAlignment="1">
      <alignment vertical="center"/>
    </xf>
    <xf numFmtId="180" fontId="1" fillId="10" borderId="3" xfId="0" applyNumberFormat="1" applyFont="1" applyFill="1" applyBorder="1" applyAlignment="1">
      <alignment horizontal="right" vertical="center"/>
    </xf>
    <xf numFmtId="180" fontId="1" fillId="10" borderId="53" xfId="0" applyNumberFormat="1" applyFont="1" applyFill="1" applyBorder="1" applyAlignment="1">
      <alignment horizontal="right" vertical="center"/>
    </xf>
    <xf numFmtId="0" fontId="1" fillId="10" borderId="81" xfId="0" applyFont="1" applyFill="1" applyBorder="1" applyAlignment="1">
      <alignment vertical="center"/>
    </xf>
    <xf numFmtId="0" fontId="4" fillId="6" borderId="93" xfId="0" applyFont="1" applyFill="1" applyBorder="1" applyAlignment="1">
      <alignment vertical="center"/>
    </xf>
    <xf numFmtId="180" fontId="4" fillId="6" borderId="93" xfId="0" applyNumberFormat="1" applyFont="1" applyFill="1" applyBorder="1" applyAlignment="1">
      <alignment horizontal="center" vertical="center"/>
    </xf>
    <xf numFmtId="180" fontId="4" fillId="6" borderId="93" xfId="0" applyNumberFormat="1" applyFont="1" applyFill="1" applyBorder="1" applyAlignment="1">
      <alignment vertical="center"/>
    </xf>
    <xf numFmtId="0" fontId="70" fillId="6" borderId="93" xfId="0" applyFont="1" applyFill="1" applyBorder="1" applyAlignment="1">
      <alignment vertical="center"/>
    </xf>
    <xf numFmtId="0" fontId="5" fillId="0" borderId="50" xfId="0" applyFont="1" applyBorder="1" applyAlignment="1">
      <alignment vertical="center"/>
    </xf>
    <xf numFmtId="0" fontId="10" fillId="0" borderId="50" xfId="0" applyFont="1" applyBorder="1" applyAlignment="1">
      <alignment vertical="center"/>
    </xf>
    <xf numFmtId="180" fontId="4" fillId="0" borderId="53" xfId="0" applyNumberFormat="1" applyFont="1" applyBorder="1" applyAlignment="1">
      <alignment horizontal="center" vertical="center"/>
    </xf>
    <xf numFmtId="0" fontId="55" fillId="6" borderId="81" xfId="0" applyFont="1" applyFill="1" applyBorder="1" applyAlignment="1">
      <alignment vertical="center"/>
    </xf>
    <xf numFmtId="0" fontId="4" fillId="6" borderId="90" xfId="0" applyFont="1" applyFill="1" applyBorder="1" applyAlignment="1">
      <alignment vertical="center"/>
    </xf>
    <xf numFmtId="0" fontId="4" fillId="0" borderId="89" xfId="0" applyFont="1" applyBorder="1" applyAlignment="1">
      <alignment horizontal="center" vertical="center"/>
    </xf>
    <xf numFmtId="0" fontId="4" fillId="6" borderId="89" xfId="0" applyFont="1" applyFill="1" applyBorder="1" applyAlignment="1">
      <alignment vertical="center"/>
    </xf>
    <xf numFmtId="0" fontId="4" fillId="6" borderId="89" xfId="0" applyFont="1" applyFill="1" applyBorder="1" applyAlignment="1">
      <alignment horizontal="center" vertical="center"/>
    </xf>
    <xf numFmtId="180" fontId="4" fillId="6" borderId="89" xfId="0" applyNumberFormat="1" applyFont="1" applyFill="1" applyBorder="1" applyAlignment="1">
      <alignment horizontal="center" vertical="center"/>
    </xf>
    <xf numFmtId="180" fontId="4" fillId="6" borderId="89" xfId="0" applyNumberFormat="1" applyFont="1" applyFill="1" applyBorder="1" applyAlignment="1">
      <alignment vertical="center"/>
    </xf>
    <xf numFmtId="0" fontId="4" fillId="6" borderId="90" xfId="0" applyFont="1" applyFill="1" applyBorder="1" applyAlignment="1">
      <alignment horizontal="center" vertical="center"/>
    </xf>
    <xf numFmtId="180" fontId="4" fillId="6" borderId="90" xfId="0" applyNumberFormat="1" applyFont="1" applyFill="1" applyBorder="1" applyAlignment="1">
      <alignment horizontal="center" vertical="center"/>
    </xf>
    <xf numFmtId="180" fontId="4" fillId="6" borderId="90" xfId="0" applyNumberFormat="1" applyFont="1" applyFill="1" applyBorder="1" applyAlignment="1">
      <alignment vertical="center"/>
    </xf>
    <xf numFmtId="0" fontId="0" fillId="6" borderId="49" xfId="0" applyFill="1" applyBorder="1" applyAlignment="1">
      <alignment vertical="center" shrinkToFit="1"/>
    </xf>
    <xf numFmtId="180" fontId="4" fillId="0" borderId="0" xfId="0" applyNumberFormat="1" applyFont="1" applyAlignment="1">
      <alignment vertical="center"/>
    </xf>
    <xf numFmtId="0" fontId="4" fillId="0" borderId="90" xfId="0" applyFont="1" applyBorder="1" applyAlignment="1">
      <alignment horizontal="center" vertical="center"/>
    </xf>
    <xf numFmtId="180" fontId="4" fillId="0" borderId="81" xfId="0" applyNumberFormat="1" applyFont="1" applyBorder="1" applyAlignment="1">
      <alignment vertical="center"/>
    </xf>
    <xf numFmtId="180" fontId="0" fillId="6" borderId="90" xfId="0" applyNumberFormat="1" applyFill="1" applyBorder="1" applyAlignment="1">
      <alignment vertical="center"/>
    </xf>
    <xf numFmtId="0" fontId="18" fillId="6" borderId="93" xfId="0" applyFont="1" applyFill="1" applyBorder="1" applyAlignment="1">
      <alignment vertical="center" shrinkToFit="1"/>
    </xf>
    <xf numFmtId="0" fontId="18" fillId="6" borderId="93" xfId="0" applyFont="1" applyFill="1" applyBorder="1" applyAlignment="1">
      <alignment horizontal="left" vertical="center" shrinkToFit="1"/>
    </xf>
    <xf numFmtId="0" fontId="18" fillId="6" borderId="93" xfId="0" applyFont="1" applyFill="1" applyBorder="1" applyAlignment="1">
      <alignment horizontal="center" vertical="center"/>
    </xf>
    <xf numFmtId="41" fontId="18" fillId="6" borderId="93" xfId="0" applyNumberFormat="1" applyFont="1" applyFill="1" applyBorder="1" applyAlignment="1">
      <alignment vertical="center"/>
    </xf>
    <xf numFmtId="0" fontId="18" fillId="0" borderId="93" xfId="0" applyFont="1" applyBorder="1" applyAlignment="1">
      <alignment vertical="center" shrinkToFit="1"/>
    </xf>
    <xf numFmtId="180" fontId="54" fillId="0" borderId="93" xfId="0" applyNumberFormat="1" applyFont="1" applyBorder="1" applyAlignment="1">
      <alignment vertical="center"/>
    </xf>
    <xf numFmtId="0" fontId="0" fillId="0" borderId="88" xfId="0" applyBorder="1" applyAlignment="1">
      <alignment vertical="center"/>
    </xf>
    <xf numFmtId="0" fontId="53" fillId="6" borderId="93" xfId="0" applyFont="1" applyFill="1" applyBorder="1" applyAlignment="1">
      <alignment horizontal="left" vertical="center"/>
    </xf>
    <xf numFmtId="180" fontId="53" fillId="6" borderId="93" xfId="0" applyNumberFormat="1" applyFont="1" applyFill="1" applyBorder="1" applyAlignment="1">
      <alignment horizontal="center" vertical="center"/>
    </xf>
    <xf numFmtId="180" fontId="53" fillId="6" borderId="93" xfId="0" applyNumberFormat="1" applyFont="1" applyFill="1" applyBorder="1" applyAlignment="1">
      <alignment vertical="center"/>
    </xf>
    <xf numFmtId="0" fontId="2" fillId="0" borderId="13" xfId="0" quotePrefix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3" borderId="105" xfId="0" applyFont="1" applyFill="1" applyBorder="1" applyAlignment="1">
      <alignment vertical="center"/>
    </xf>
    <xf numFmtId="0" fontId="2" fillId="3" borderId="102" xfId="0" applyFont="1" applyFill="1" applyBorder="1" applyAlignment="1">
      <alignment vertical="center"/>
    </xf>
    <xf numFmtId="0" fontId="2" fillId="3" borderId="5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03" xfId="0" applyFont="1" applyFill="1" applyBorder="1" applyAlignment="1">
      <alignment vertical="center"/>
    </xf>
    <xf numFmtId="0" fontId="2" fillId="3" borderId="53" xfId="0" applyFont="1" applyFill="1" applyBorder="1" applyAlignment="1">
      <alignment vertical="center"/>
    </xf>
    <xf numFmtId="180" fontId="1" fillId="0" borderId="48" xfId="0" applyNumberFormat="1" applyFont="1" applyBorder="1" applyAlignment="1">
      <alignment horizontal="center" vertical="center"/>
    </xf>
    <xf numFmtId="180" fontId="1" fillId="0" borderId="56" xfId="0" applyNumberFormat="1" applyFont="1" applyBorder="1" applyAlignment="1">
      <alignment horizontal="center" vertical="center"/>
    </xf>
    <xf numFmtId="180" fontId="1" fillId="0" borderId="17" xfId="0" applyNumberFormat="1" applyFont="1" applyBorder="1" applyAlignment="1">
      <alignment horizontal="center" vertical="center"/>
    </xf>
    <xf numFmtId="0" fontId="0" fillId="2" borderId="50" xfId="0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2" fillId="0" borderId="57" xfId="0" applyFont="1" applyBorder="1" applyAlignment="1">
      <alignment horizontal="center" vertical="center" textRotation="255"/>
    </xf>
    <xf numFmtId="0" fontId="2" fillId="0" borderId="58" xfId="0" applyFont="1" applyBorder="1" applyAlignment="1">
      <alignment horizontal="center" vertical="center" textRotation="255"/>
    </xf>
    <xf numFmtId="0" fontId="2" fillId="0" borderId="49" xfId="0" applyFont="1" applyBorder="1" applyAlignment="1">
      <alignment horizontal="center" vertical="center" textRotation="255"/>
    </xf>
    <xf numFmtId="0" fontId="0" fillId="0" borderId="0" xfId="0" quotePrefix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10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/>
    </xf>
    <xf numFmtId="0" fontId="2" fillId="3" borderId="54" xfId="0" applyFont="1" applyFill="1" applyBorder="1" applyAlignment="1">
      <alignment vertical="center"/>
    </xf>
    <xf numFmtId="0" fontId="2" fillId="0" borderId="18" xfId="0" applyFont="1" applyBorder="1" applyAlignment="1">
      <alignment horizontal="center" vertical="center"/>
    </xf>
    <xf numFmtId="0" fontId="2" fillId="0" borderId="57" xfId="0" applyFont="1" applyBorder="1" applyAlignment="1">
      <alignment horizontal="center" vertical="center"/>
    </xf>
    <xf numFmtId="0" fontId="2" fillId="2" borderId="55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60" xfId="0" applyFont="1" applyFill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180" fontId="2" fillId="0" borderId="48" xfId="0" applyNumberFormat="1" applyFont="1" applyBorder="1" applyAlignment="1">
      <alignment horizontal="center" vertical="center" wrapText="1"/>
    </xf>
    <xf numFmtId="180" fontId="2" fillId="0" borderId="17" xfId="0" applyNumberFormat="1" applyFont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left" vertical="center" shrinkToFit="1"/>
    </xf>
    <xf numFmtId="0" fontId="1" fillId="0" borderId="53" xfId="0" applyFont="1" applyFill="1" applyBorder="1" applyAlignment="1">
      <alignment horizontal="left" vertical="center" shrinkToFit="1"/>
    </xf>
    <xf numFmtId="0" fontId="14" fillId="0" borderId="0" xfId="0" applyFont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 shrinkToFit="1"/>
    </xf>
    <xf numFmtId="6" fontId="8" fillId="3" borderId="0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03" xfId="0" applyFont="1" applyBorder="1" applyAlignment="1">
      <alignment horizontal="center" vertical="center"/>
    </xf>
    <xf numFmtId="0" fontId="2" fillId="0" borderId="55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1" fillId="10" borderId="15" xfId="0" applyFont="1" applyFill="1" applyBorder="1" applyAlignment="1">
      <alignment horizontal="left" vertical="center" shrinkToFit="1"/>
    </xf>
    <xf numFmtId="0" fontId="1" fillId="10" borderId="53" xfId="0" applyFont="1" applyFill="1" applyBorder="1" applyAlignment="1">
      <alignment horizontal="left" vertical="center" shrinkToFit="1"/>
    </xf>
    <xf numFmtId="0" fontId="1" fillId="0" borderId="14" xfId="0" applyFont="1" applyFill="1" applyBorder="1" applyAlignment="1">
      <alignment horizontal="left" vertical="center" shrinkToFit="1"/>
    </xf>
    <xf numFmtId="0" fontId="1" fillId="0" borderId="51" xfId="0" applyFont="1" applyFill="1" applyBorder="1" applyAlignment="1">
      <alignment horizontal="left" vertical="center" shrinkToFit="1"/>
    </xf>
    <xf numFmtId="0" fontId="0" fillId="2" borderId="42" xfId="0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0" fontId="1" fillId="9" borderId="16" xfId="0" applyFont="1" applyFill="1" applyBorder="1" applyAlignment="1">
      <alignment horizontal="left" vertical="center" shrinkToFit="1"/>
    </xf>
    <xf numFmtId="0" fontId="1" fillId="9" borderId="54" xfId="0" applyFont="1" applyFill="1" applyBorder="1" applyAlignment="1">
      <alignment horizontal="left" vertical="center" shrinkToFit="1"/>
    </xf>
    <xf numFmtId="0" fontId="0" fillId="0" borderId="1" xfId="0" applyBorder="1" applyAlignment="1">
      <alignment horizontal="center" vertical="center"/>
    </xf>
    <xf numFmtId="0" fontId="2" fillId="0" borderId="103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255"/>
    </xf>
    <xf numFmtId="3" fontId="6" fillId="0" borderId="1" xfId="0" applyNumberFormat="1" applyFont="1" applyFill="1" applyBorder="1" applyAlignment="1">
      <alignment horizontal="center" vertical="center"/>
    </xf>
    <xf numFmtId="3" fontId="6" fillId="0" borderId="103" xfId="0" applyNumberFormat="1" applyFont="1" applyFill="1" applyBorder="1" applyAlignment="1">
      <alignment horizontal="center" vertical="center"/>
    </xf>
    <xf numFmtId="3" fontId="6" fillId="0" borderId="4" xfId="0" applyNumberFormat="1" applyFont="1" applyFill="1" applyBorder="1" applyAlignment="1">
      <alignment horizontal="center" vertical="center"/>
    </xf>
    <xf numFmtId="3" fontId="6" fillId="0" borderId="104" xfId="0" applyNumberFormat="1" applyFont="1" applyFill="1" applyBorder="1" applyAlignment="1">
      <alignment horizontal="center" vertical="center"/>
    </xf>
    <xf numFmtId="3" fontId="6" fillId="0" borderId="5" xfId="0" applyNumberFormat="1" applyFont="1" applyFill="1" applyBorder="1" applyAlignment="1">
      <alignment horizontal="center" vertical="center"/>
    </xf>
    <xf numFmtId="3" fontId="6" fillId="0" borderId="6" xfId="0" applyNumberFormat="1" applyFont="1" applyFill="1" applyBorder="1" applyAlignment="1">
      <alignment horizontal="center" vertical="center"/>
    </xf>
    <xf numFmtId="3" fontId="6" fillId="0" borderId="120" xfId="0" applyNumberFormat="1" applyFont="1" applyFill="1" applyBorder="1" applyAlignment="1">
      <alignment horizontal="center" vertical="center"/>
    </xf>
    <xf numFmtId="3" fontId="6" fillId="0" borderId="121" xfId="0" applyNumberFormat="1" applyFont="1" applyFill="1" applyBorder="1" applyAlignment="1">
      <alignment horizontal="center" vertical="center"/>
    </xf>
    <xf numFmtId="3" fontId="6" fillId="0" borderId="122" xfId="0" applyNumberFormat="1" applyFont="1" applyFill="1" applyBorder="1" applyAlignment="1">
      <alignment horizontal="center" vertical="center"/>
    </xf>
    <xf numFmtId="3" fontId="6" fillId="0" borderId="112" xfId="0" applyNumberFormat="1" applyFont="1" applyFill="1" applyBorder="1" applyAlignment="1">
      <alignment horizontal="center" vertical="center"/>
    </xf>
    <xf numFmtId="3" fontId="6" fillId="0" borderId="113" xfId="0" applyNumberFormat="1" applyFont="1" applyFill="1" applyBorder="1" applyAlignment="1">
      <alignment horizontal="center" vertical="center"/>
    </xf>
    <xf numFmtId="3" fontId="6" fillId="0" borderId="114" xfId="0" applyNumberFormat="1" applyFont="1" applyFill="1" applyBorder="1" applyAlignment="1">
      <alignment horizontal="center" vertical="center"/>
    </xf>
    <xf numFmtId="3" fontId="6" fillId="0" borderId="115" xfId="0" applyNumberFormat="1" applyFont="1" applyFill="1" applyBorder="1" applyAlignment="1">
      <alignment horizontal="center" vertical="center"/>
    </xf>
    <xf numFmtId="3" fontId="6" fillId="0" borderId="116" xfId="0" applyNumberFormat="1" applyFont="1" applyFill="1" applyBorder="1" applyAlignment="1">
      <alignment horizontal="center" vertical="center"/>
    </xf>
    <xf numFmtId="3" fontId="6" fillId="0" borderId="70" xfId="0" applyNumberFormat="1" applyFont="1" applyFill="1" applyBorder="1" applyAlignment="1">
      <alignment horizontal="center" vertical="center"/>
    </xf>
    <xf numFmtId="3" fontId="6" fillId="0" borderId="39" xfId="0" applyNumberFormat="1" applyFont="1" applyFill="1" applyBorder="1" applyAlignment="1">
      <alignment horizontal="center" vertical="center" wrapText="1"/>
    </xf>
    <xf numFmtId="3" fontId="6" fillId="0" borderId="64" xfId="0" applyNumberFormat="1" applyFont="1" applyFill="1" applyBorder="1" applyAlignment="1">
      <alignment horizontal="center" vertical="center" wrapText="1"/>
    </xf>
    <xf numFmtId="3" fontId="6" fillId="0" borderId="64" xfId="0" applyNumberFormat="1" applyFont="1" applyFill="1" applyBorder="1" applyAlignment="1">
      <alignment horizontal="center" vertical="center"/>
    </xf>
    <xf numFmtId="3" fontId="6" fillId="0" borderId="117" xfId="0" applyNumberFormat="1" applyFont="1" applyFill="1" applyBorder="1" applyAlignment="1">
      <alignment horizontal="center" vertical="center"/>
    </xf>
    <xf numFmtId="3" fontId="6" fillId="0" borderId="118" xfId="0" applyNumberFormat="1" applyFont="1" applyFill="1" applyBorder="1" applyAlignment="1">
      <alignment horizontal="center" vertical="center"/>
    </xf>
    <xf numFmtId="3" fontId="6" fillId="0" borderId="105" xfId="0" applyNumberFormat="1" applyFont="1" applyFill="1" applyBorder="1" applyAlignment="1">
      <alignment horizontal="center" vertical="center"/>
    </xf>
    <xf numFmtId="3" fontId="6" fillId="0" borderId="102" xfId="0" applyNumberFormat="1" applyFont="1" applyFill="1" applyBorder="1" applyAlignment="1">
      <alignment horizontal="center" vertical="center"/>
    </xf>
    <xf numFmtId="3" fontId="6" fillId="0" borderId="108" xfId="0" applyNumberFormat="1" applyFont="1" applyFill="1" applyBorder="1" applyAlignment="1">
      <alignment horizontal="center" vertical="center"/>
    </xf>
    <xf numFmtId="3" fontId="6" fillId="0" borderId="117" xfId="0" applyNumberFormat="1" applyFont="1" applyFill="1" applyBorder="1" applyAlignment="1">
      <alignment horizontal="center" vertical="center" wrapText="1"/>
    </xf>
    <xf numFmtId="3" fontId="6" fillId="0" borderId="119" xfId="0" applyNumberFormat="1" applyFont="1" applyFill="1" applyBorder="1" applyAlignment="1">
      <alignment horizontal="center" vertical="center"/>
    </xf>
    <xf numFmtId="3" fontId="6" fillId="0" borderId="111" xfId="0" applyNumberFormat="1" applyFont="1" applyFill="1" applyBorder="1" applyAlignment="1">
      <alignment horizontal="center" vertical="center"/>
    </xf>
    <xf numFmtId="3" fontId="6" fillId="0" borderId="39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left" vertical="center"/>
    </xf>
    <xf numFmtId="3" fontId="4" fillId="0" borderId="103" xfId="0" applyNumberFormat="1" applyFont="1" applyFill="1" applyBorder="1" applyAlignment="1">
      <alignment horizontal="left" vertical="center"/>
    </xf>
    <xf numFmtId="3" fontId="4" fillId="0" borderId="4" xfId="0" applyNumberFormat="1" applyFont="1" applyFill="1" applyBorder="1" applyAlignment="1">
      <alignment horizontal="left" vertical="center"/>
    </xf>
    <xf numFmtId="3" fontId="6" fillId="0" borderId="104" xfId="0" quotePrefix="1" applyNumberFormat="1" applyFont="1" applyFill="1" applyBorder="1" applyAlignment="1">
      <alignment horizontal="left" vertical="center"/>
    </xf>
    <xf numFmtId="3" fontId="6" fillId="0" borderId="5" xfId="0" quotePrefix="1" applyNumberFormat="1" applyFont="1" applyFill="1" applyBorder="1" applyAlignment="1">
      <alignment horizontal="left" vertical="center"/>
    </xf>
    <xf numFmtId="3" fontId="6" fillId="0" borderId="6" xfId="0" quotePrefix="1" applyNumberFormat="1" applyFont="1" applyFill="1" applyBorder="1" applyAlignment="1">
      <alignment horizontal="left" vertical="center"/>
    </xf>
    <xf numFmtId="3" fontId="4" fillId="0" borderId="11" xfId="0" quotePrefix="1" applyNumberFormat="1" applyFont="1" applyFill="1" applyBorder="1" applyAlignment="1">
      <alignment horizontal="left" vertical="center"/>
    </xf>
    <xf numFmtId="3" fontId="4" fillId="0" borderId="106" xfId="0" quotePrefix="1" applyNumberFormat="1" applyFont="1" applyFill="1" applyBorder="1" applyAlignment="1">
      <alignment horizontal="left" vertical="center"/>
    </xf>
    <xf numFmtId="3" fontId="4" fillId="0" borderId="110" xfId="0" quotePrefix="1" applyNumberFormat="1" applyFont="1" applyFill="1" applyBorder="1" applyAlignment="1">
      <alignment horizontal="left" vertical="center"/>
    </xf>
    <xf numFmtId="3" fontId="6" fillId="0" borderId="109" xfId="0" applyNumberFormat="1" applyFont="1" applyFill="1" applyBorder="1" applyAlignment="1">
      <alignment horizontal="center" vertical="center"/>
    </xf>
    <xf numFmtId="3" fontId="6" fillId="0" borderId="12" xfId="0" applyNumberFormat="1" applyFont="1" applyFill="1" applyBorder="1" applyAlignment="1">
      <alignment horizontal="center" vertical="center"/>
    </xf>
    <xf numFmtId="3" fontId="6" fillId="0" borderId="107" xfId="0" applyNumberFormat="1" applyFont="1" applyFill="1" applyBorder="1" applyAlignment="1">
      <alignment horizontal="center" vertical="center"/>
    </xf>
    <xf numFmtId="3" fontId="6" fillId="0" borderId="96" xfId="0" applyNumberFormat="1" applyFont="1" applyFill="1" applyBorder="1" applyAlignment="1">
      <alignment horizontal="center" vertical="center"/>
    </xf>
    <xf numFmtId="3" fontId="6" fillId="0" borderId="51" xfId="0" applyNumberFormat="1" applyFont="1" applyFill="1" applyBorder="1" applyAlignment="1">
      <alignment horizontal="center" vertical="center"/>
    </xf>
    <xf numFmtId="3" fontId="4" fillId="8" borderId="1" xfId="0" applyNumberFormat="1" applyFont="1" applyFill="1" applyBorder="1" applyAlignment="1">
      <alignment horizontal="left" vertical="center"/>
    </xf>
    <xf numFmtId="3" fontId="4" fillId="8" borderId="103" xfId="0" applyNumberFormat="1" applyFont="1" applyFill="1" applyBorder="1" applyAlignment="1">
      <alignment horizontal="left" vertical="center"/>
    </xf>
    <xf numFmtId="3" fontId="4" fillId="8" borderId="4" xfId="0" applyNumberFormat="1" applyFont="1" applyFill="1" applyBorder="1" applyAlignment="1">
      <alignment horizontal="left" vertical="center"/>
    </xf>
    <xf numFmtId="3" fontId="0" fillId="0" borderId="10" xfId="0" applyNumberFormat="1" applyFont="1" applyFill="1" applyBorder="1" applyAlignment="1">
      <alignment horizontal="center" vertical="center" wrapText="1"/>
    </xf>
    <xf numFmtId="3" fontId="0" fillId="0" borderId="64" xfId="0" applyNumberFormat="1" applyFont="1" applyFill="1" applyBorder="1" applyAlignment="1">
      <alignment horizontal="center" vertical="center"/>
    </xf>
    <xf numFmtId="3" fontId="0" fillId="0" borderId="7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179" fontId="0" fillId="0" borderId="103" xfId="0" applyNumberFormat="1" applyFont="1" applyFill="1" applyBorder="1" applyAlignment="1">
      <alignment horizontal="center" vertical="center"/>
    </xf>
    <xf numFmtId="179" fontId="0" fillId="0" borderId="4" xfId="0" applyNumberFormat="1" applyFont="1" applyFill="1" applyBorder="1" applyAlignment="1">
      <alignment horizontal="center" vertical="center"/>
    </xf>
    <xf numFmtId="3" fontId="0" fillId="0" borderId="3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 vertical="center"/>
    </xf>
    <xf numFmtId="3" fontId="6" fillId="0" borderId="106" xfId="0" applyNumberFormat="1" applyFont="1" applyFill="1" applyBorder="1" applyAlignment="1">
      <alignment horizontal="center" vertical="center"/>
    </xf>
    <xf numFmtId="3" fontId="6" fillId="0" borderId="0" xfId="0" quotePrefix="1" applyNumberFormat="1" applyFont="1" applyFill="1" applyAlignment="1">
      <alignment horizontal="center" vertical="center"/>
    </xf>
    <xf numFmtId="3" fontId="6" fillId="0" borderId="0" xfId="0" applyNumberFormat="1" applyFont="1" applyFill="1" applyAlignment="1">
      <alignment horizontal="center" vertical="center"/>
    </xf>
    <xf numFmtId="180" fontId="44" fillId="0" borderId="55" xfId="0" applyNumberFormat="1" applyFont="1" applyFill="1" applyBorder="1" applyAlignment="1">
      <alignment horizontal="center" vertical="center"/>
    </xf>
    <xf numFmtId="180" fontId="44" fillId="0" borderId="13" xfId="0" applyNumberFormat="1" applyFont="1" applyFill="1" applyBorder="1" applyAlignment="1">
      <alignment horizontal="center" vertical="center"/>
    </xf>
    <xf numFmtId="180" fontId="44" fillId="0" borderId="60" xfId="0" applyNumberFormat="1" applyFont="1" applyFill="1" applyBorder="1" applyAlignment="1">
      <alignment horizontal="center" vertical="center"/>
    </xf>
    <xf numFmtId="0" fontId="44" fillId="0" borderId="55" xfId="0" applyFont="1" applyFill="1" applyBorder="1" applyAlignment="1">
      <alignment horizontal="center" vertical="center"/>
    </xf>
    <xf numFmtId="0" fontId="44" fillId="0" borderId="13" xfId="0" applyFont="1" applyFill="1" applyBorder="1" applyAlignment="1">
      <alignment horizontal="center" vertical="center"/>
    </xf>
    <xf numFmtId="0" fontId="44" fillId="0" borderId="38" xfId="0" applyFont="1" applyFill="1" applyBorder="1" applyAlignment="1">
      <alignment horizontal="center" vertical="center"/>
    </xf>
    <xf numFmtId="0" fontId="54" fillId="0" borderId="57" xfId="0" applyFont="1" applyBorder="1" applyAlignment="1">
      <alignment horizontal="center" vertical="center" wrapText="1" shrinkToFit="1"/>
    </xf>
    <xf numFmtId="0" fontId="54" fillId="0" borderId="58" xfId="0" applyFont="1" applyBorder="1" applyAlignment="1">
      <alignment horizontal="center" vertical="center" wrapText="1" shrinkToFit="1"/>
    </xf>
    <xf numFmtId="0" fontId="54" fillId="0" borderId="57" xfId="0" applyFont="1" applyBorder="1" applyAlignment="1">
      <alignment horizontal="center" vertical="center" wrapText="1"/>
    </xf>
    <xf numFmtId="0" fontId="54" fillId="0" borderId="58" xfId="0" applyFont="1" applyBorder="1" applyAlignment="1">
      <alignment horizontal="center" vertical="center" wrapText="1"/>
    </xf>
    <xf numFmtId="0" fontId="54" fillId="0" borderId="48" xfId="0" applyFont="1" applyBorder="1" applyAlignment="1">
      <alignment horizontal="center" vertical="center"/>
    </xf>
    <xf numFmtId="0" fontId="54" fillId="0" borderId="17" xfId="0" applyFont="1" applyBorder="1" applyAlignment="1">
      <alignment horizontal="center" vertical="center"/>
    </xf>
    <xf numFmtId="0" fontId="54" fillId="0" borderId="58" xfId="0" applyFont="1" applyBorder="1" applyAlignment="1">
      <alignment horizontal="center" vertical="center"/>
    </xf>
    <xf numFmtId="49" fontId="54" fillId="6" borderId="15" xfId="0" applyNumberFormat="1" applyFont="1" applyFill="1" applyBorder="1" applyAlignment="1">
      <alignment horizontal="left" vertical="center" wrapText="1" shrinkToFit="1"/>
    </xf>
    <xf numFmtId="0" fontId="0" fillId="0" borderId="53" xfId="0" applyBorder="1" applyAlignment="1">
      <alignment horizontal="left" vertical="center" shrinkToFit="1"/>
    </xf>
    <xf numFmtId="49" fontId="54" fillId="6" borderId="15" xfId="0" applyNumberFormat="1" applyFont="1" applyFill="1" applyBorder="1" applyAlignment="1">
      <alignment horizontal="left" vertical="center" shrinkToFit="1"/>
    </xf>
    <xf numFmtId="0" fontId="54" fillId="0" borderId="53" xfId="0" applyFont="1" applyBorder="1" applyAlignment="1">
      <alignment horizontal="left" vertical="center" shrinkToFit="1"/>
    </xf>
    <xf numFmtId="49" fontId="54" fillId="6" borderId="15" xfId="0" applyNumberFormat="1" applyFont="1" applyFill="1" applyBorder="1" applyAlignment="1">
      <alignment vertical="center" shrinkToFit="1"/>
    </xf>
    <xf numFmtId="0" fontId="0" fillId="0" borderId="53" xfId="0" applyBorder="1" applyAlignment="1">
      <alignment vertical="center" shrinkToFit="1"/>
    </xf>
    <xf numFmtId="49" fontId="0" fillId="0" borderId="53" xfId="0" applyNumberFormat="1" applyBorder="1" applyAlignment="1">
      <alignment vertical="center" shrinkToFit="1"/>
    </xf>
    <xf numFmtId="0" fontId="18" fillId="0" borderId="48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/>
    </xf>
    <xf numFmtId="0" fontId="18" fillId="0" borderId="57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/>
    </xf>
    <xf numFmtId="0" fontId="61" fillId="6" borderId="50" xfId="278" applyNumberFormat="1" applyFont="1" applyFill="1" applyBorder="1" applyAlignment="1">
      <alignment horizontal="left" vertical="center" shrinkToFit="1"/>
    </xf>
    <xf numFmtId="0" fontId="0" fillId="6" borderId="20" xfId="0" applyFill="1" applyBorder="1" applyAlignment="1">
      <alignment vertical="center" shrinkToFit="1"/>
    </xf>
  </cellXfs>
  <cellStyles count="279">
    <cellStyle name="??&amp;O?&amp;H?_x0008__x000f__x0007_?_x0007__x0001__x0001_" xfId="1" xr:uid="{AA5114EB-D5C0-46DD-8233-690622BE903B}"/>
    <cellStyle name="0뾍R_x0005_?뾍b_x0005_" xfId="2" xr:uid="{27EE0028-15C7-4943-91F6-A38B0BA97574}"/>
    <cellStyle name="A¨­￠￢￠O [0]_6-3¡Æⓒ¡Ai¡¤A " xfId="3" xr:uid="{B52319F0-D787-4AD7-9456-3C640620DAE4}"/>
    <cellStyle name="A¨­￠￢￠O_6-3¡Æⓒ¡Ai¡¤A " xfId="4" xr:uid="{96DDCF37-D9DC-4F8A-9560-A30CC3E1C122}"/>
    <cellStyle name="AeE­ [0]_¡U¾EU￢ A¾COºn±³ " xfId="5" xr:uid="{CDC0022A-5AEC-44A1-BCDA-0D09FFCDF2FC}"/>
    <cellStyle name="ÅëÈ­ [0]_¡Ú¾ÈÜ¬ Á¾ÇÕºñ±³ " xfId="6" xr:uid="{C95EC3C2-5C54-4A79-AA90-838D8ECC863A}"/>
    <cellStyle name="AeE­ [0]_¿i¿μ¾E " xfId="7" xr:uid="{CE9998C3-06AA-4E95-8144-A3F78278DE35}"/>
    <cellStyle name="ÅëÈ­ [0]_±â¾È " xfId="8" xr:uid="{2CFCEF64-A729-471A-9CC5-8470E4E3E2AF}"/>
    <cellStyle name="AeE­ [0]_¼­½AA¼01_AoAO°eE¹ " xfId="9" xr:uid="{D5E50CDC-5439-4432-9591-50D207DFD3F6}"/>
    <cellStyle name="ÅëÈ­ [0]_¼­½ÄÃ¼01_ÅõÀÔ°èÈ¹ " xfId="10" xr:uid="{629C0D9B-57A0-488C-82B5-A30B597E6D54}"/>
    <cellStyle name="AeE­ [0]_¼­½AAI¶÷_AoAO°eE¹ " xfId="11" xr:uid="{37206226-3ABA-4570-A1DF-3B025B14D325}"/>
    <cellStyle name="ÅëÈ­ [0]_¼­½ÄÀÏ¶÷_ÅõÀÔ°èÈ¹ " xfId="12" xr:uid="{BBFE92FB-FE84-48B0-B345-54170847350A}"/>
    <cellStyle name="AeE­ [0]_½CAuCoE² " xfId="13" xr:uid="{AA738779-08D3-4FE1-8FDC-2679F1C7708C}"/>
    <cellStyle name="ÅëÈ­ [0]_1.ÆÇ¸Å½ÇÀû " xfId="14" xr:uid="{0F3E3E21-210A-4C62-B743-8872C78CBCFA}"/>
    <cellStyle name="AeE­ [0]_1.SUMMARY " xfId="15" xr:uid="{F321CB73-083B-4E1D-804D-D1589655D5F0}"/>
    <cellStyle name="ÅëÈ­ [0]_1.SUMMARY " xfId="16" xr:uid="{EDB331F7-79E1-47F4-A8D8-ED3B32C6C4F3}"/>
    <cellStyle name="AeE­ [0]_2.CONCEPT " xfId="17" xr:uid="{F1FDE772-FB97-43C4-8DDC-ABDFDDDA370D}"/>
    <cellStyle name="ÅëÈ­ [0]_2.CONCEPT " xfId="18" xr:uid="{99A02584-2E18-4553-9351-F39F1B696BDA}"/>
    <cellStyle name="AeE­ [0]_3.MSCHEDULE¿μ¹R " xfId="19" xr:uid="{8EF92D04-7ECA-4E7D-9256-49D93FEFA308}"/>
    <cellStyle name="ÅëÈ­ [0]_3PJTR°èÈ¹ " xfId="20" xr:uid="{14B155C2-B180-4242-A71E-879AAF3CD02B}"/>
    <cellStyle name="AeE­ [0]_4 " xfId="21" xr:uid="{E37B4B66-8E71-45BC-BC24-E07A9BE91222}"/>
    <cellStyle name="ÅëÈ­ [0]_4 " xfId="22" xr:uid="{6861C373-A7C7-4DD3-A202-A82DD5AC36E0}"/>
    <cellStyle name="AeE­ [0]_5-3-3-1-1.≫y≫e±¸A¶ºÐ¼R-MAT'L¡­ " xfId="23" xr:uid="{9E65E84E-538A-42E6-9ABA-4C0AAFCB5717}"/>
    <cellStyle name="ÅëÈ­ [0]_6-3°æÀï·Â " xfId="24" xr:uid="{86A95E67-C8F3-46AA-8DD2-88714998B434}"/>
    <cellStyle name="AeE­ [0]_7.MASTER SCHEDULE " xfId="25" xr:uid="{76C5A291-A3FF-442D-B7E0-DAF5369E1CBA}"/>
    <cellStyle name="ÅëÈ­ [0]_7.MASTER SCHEDULE " xfId="26" xr:uid="{7ACA199E-2BE0-436C-B505-578CC848EBFE}"/>
    <cellStyle name="AeE­ [0]_AI¿ø°eE¹ " xfId="27" xr:uid="{CE0182FA-8EAD-4442-80B4-C9DA3CEFAA28}"/>
    <cellStyle name="ÅëÈ­ [0]_ÀÎ¿ø°èÈ¹ " xfId="28" xr:uid="{B69E688A-3392-4B11-AAE0-F2BFCD19757D}"/>
    <cellStyle name="AeE­ [0]_AOA¾AIA¤ " xfId="29" xr:uid="{111B7FBB-49DD-43E1-91E5-58DA5316A951}"/>
    <cellStyle name="ÅëÈ­ [0]_ÃÖÁ¾ÀÏÁ¤ " xfId="30" xr:uid="{6B9069C1-4427-42DF-B879-42D7CF4F3801}"/>
    <cellStyle name="AeE­ [0]_INQUIRY ¿μ¾÷AßAø " xfId="31" xr:uid="{7D7BC7A1-1097-42CC-BFB5-E2F8CB096E8F}"/>
    <cellStyle name="ÅëÈ­ [0]_lx-taxi " xfId="32" xr:uid="{462981FA-FD10-4C84-B836-2E192D3213D1}"/>
    <cellStyle name="AeE­ [0]_M105CDT " xfId="33" xr:uid="{48FF608C-079E-4F3B-9AC9-DFEACF0AA079}"/>
    <cellStyle name="ÅëÈ­ [0]_MKN-M1.1 " xfId="34" xr:uid="{F66CEAD9-11C7-4ACC-9096-AAB86A09D178}"/>
    <cellStyle name="AeE­ [0]_ºÐ·u±a01_AoAO°eE¹ " xfId="35" xr:uid="{FCCA2BED-711A-4745-9023-900A04E4A5AC}"/>
    <cellStyle name="ÅëÈ­ [0]_ºÐ·ù±â01_ÅõÀÔ°èÈ¹ " xfId="36" xr:uid="{4D4EFBA9-C190-406E-ABE8-DBBD8819077C}"/>
    <cellStyle name="AeE­ [0]_ºÐ·u±a02_AoAO°eE¹ " xfId="37" xr:uid="{16BAB5DB-841D-4E46-9028-4F16B3B52238}"/>
    <cellStyle name="ÅëÈ­ [0]_ºÐ·ù±â02_ÅõÀÔ°èÈ¹ " xfId="38" xr:uid="{F0E21C81-B01C-401F-ACB3-433D56889B8A}"/>
    <cellStyle name="AeE­ [0]_ºÐ·u±a03_AoAO°eE¹ " xfId="39" xr:uid="{111F4F41-2E90-4970-8982-7A9855D94170}"/>
    <cellStyle name="ÅëÈ­ [0]_ºÐ·ù±â03_ÅõÀÔ°èÈ¹ " xfId="40" xr:uid="{B4B37D60-34EA-41E9-A63D-FFAD94877E23}"/>
    <cellStyle name="AeE­ [0]_ºÐ·u±aAØ_AoAO°eE¹ " xfId="41" xr:uid="{9D8E22F7-27A2-44F5-A5CF-41F93C873DD7}"/>
    <cellStyle name="ÅëÈ­ [0]_ºÐ·ù±âÁØ_ÅõÀÔ°èÈ¹ " xfId="42" xr:uid="{DD32DF61-D213-47B1-A135-5428E04725C1}"/>
    <cellStyle name="AeE­ [0]_ºÐ·u±aE￡_AoAO°eE¹ " xfId="43" xr:uid="{33E2BD9F-FD58-443C-992C-BBCE3BA11CE2}"/>
    <cellStyle name="ÅëÈ­ [0]_ºÐ·ù±âÈ£_ÅõÀÔ°èÈ¹ " xfId="44" xr:uid="{1A0A597A-BD55-4C62-A25E-FAC7E670CC6B}"/>
    <cellStyle name="AeE­ [0]_SAMPLE " xfId="45" xr:uid="{F84520EC-DE9D-4C01-9A22-3915B28B76E1}"/>
    <cellStyle name="ÅëÈ­ [0]_SAMPLE " xfId="46" xr:uid="{427C9FF4-CC43-4F38-AD1D-8E7E18D8DBD7}"/>
    <cellStyle name="AeE­ [0]_Sheet1 (2)_1.SUMMARY " xfId="47" xr:uid="{A57DA5CA-3D64-42AF-B859-021C4E3A1095}"/>
    <cellStyle name="ÅëÈ­ [0]_Sheet1 (2)_1.SUMMARY " xfId="48" xr:uid="{A3FFC1FE-9169-46CA-BC89-F3B12C3C51C5}"/>
    <cellStyle name="AeE­ [0]_Sheet1 (2)_3.MSCHEDULE¿μ¹R " xfId="49" xr:uid="{1EB3BCCD-9EAA-41B9-A6F3-D67D80628A2D}"/>
    <cellStyle name="ÅëÈ­ [0]_Sheet1_1.SUMMARY " xfId="50" xr:uid="{B45AFB8B-9983-4E6E-9629-3EB055A8470D}"/>
    <cellStyle name="AeE­ [0]_Sheet1_3.MSCHEDULE¿μ¹R " xfId="51" xr:uid="{A79A92C2-23C8-4431-B9A0-3EE547C7950E}"/>
    <cellStyle name="ÅëÈ­ [0]_Sheet1_ÃÖÁ¾ÀÏÁ¤ " xfId="52" xr:uid="{94AE32A4-12A9-4FE4-AEDE-9602B5A5A5C2}"/>
    <cellStyle name="AeE­ [0]_Sheet1_XD AOA¾AIA¤ " xfId="53" xr:uid="{755E1CF7-50D1-450D-902C-304EBAD48C9D}"/>
    <cellStyle name="ÅëÈ­ [0]_Sheet1_XD ÃÖÁ¾ÀÏÁ¤ " xfId="54" xr:uid="{0E8773BA-5B8D-4E77-AB85-694391306EB0}"/>
    <cellStyle name="AeE­_¡U¾EU￢ A¾COºn±³ " xfId="55" xr:uid="{75DCEFDC-70A6-4B5E-AB0B-EC4953586214}"/>
    <cellStyle name="ÅëÈ­_¡Ú¾ÈÜ¬ Á¾ÇÕºñ±³ " xfId="56" xr:uid="{1D79C69B-B50A-4DEA-B0CA-AC1459E4381E}"/>
    <cellStyle name="AeE­_¿i¿μ¾E " xfId="57" xr:uid="{B07BB549-93A9-4C64-9B03-6517941F35A6}"/>
    <cellStyle name="ÅëÈ­_±â¾È " xfId="58" xr:uid="{BADB87A8-258F-4C87-A669-165BC68727D5}"/>
    <cellStyle name="AeE­_¼­½AA¼01_AoAO°eE¹ " xfId="59" xr:uid="{44CBD39C-5A12-49AC-8F3A-45EDCA4F2731}"/>
    <cellStyle name="ÅëÈ­_¼­½ÄÃ¼01_ÅõÀÔ°èÈ¹ " xfId="60" xr:uid="{1BCC881C-0E88-4947-B9B1-061C649AB4B8}"/>
    <cellStyle name="AeE­_¼­½AAI¶÷_AoAO°eE¹ " xfId="61" xr:uid="{13FDD9A8-C765-4EB5-8941-09308E3324BF}"/>
    <cellStyle name="ÅëÈ­_¼­½ÄÀÏ¶÷_ÅõÀÔ°èÈ¹ " xfId="62" xr:uid="{0A4DE4FC-7A7E-4096-B47E-9D1CD7648465}"/>
    <cellStyle name="AeE­_½CAuCoE² " xfId="63" xr:uid="{5A9000BF-9FDA-4830-8783-54FEA256AEC7}"/>
    <cellStyle name="ÅëÈ­_1.ÆÇ¸Å½ÇÀû " xfId="64" xr:uid="{6D0B4BAC-0821-4AF8-9114-B2E770C03A32}"/>
    <cellStyle name="AeE­_1.SUMMARY " xfId="65" xr:uid="{49A9612E-01EB-4A18-9D02-581956F29999}"/>
    <cellStyle name="ÅëÈ­_1.SUMMARY " xfId="66" xr:uid="{518F1F3A-B865-4D88-9DA0-033E16F45D4C}"/>
    <cellStyle name="AeE­_2.CONCEPT " xfId="67" xr:uid="{EE2FA918-46B7-4D62-9278-21C8EF6D396D}"/>
    <cellStyle name="ÅëÈ­_2.CONCEPT " xfId="68" xr:uid="{F92A9518-53F7-4D66-BAC1-FC93E0A93E5A}"/>
    <cellStyle name="AeE­_3.MSCHEDULE¿μ¹R " xfId="69" xr:uid="{F91C6587-5497-4475-A21C-1E863F527333}"/>
    <cellStyle name="ÅëÈ­_3PJTR°èÈ¹ " xfId="70" xr:uid="{7A4351A0-0DA3-499D-A0C6-FF7F47A996C9}"/>
    <cellStyle name="AeE­_4 " xfId="71" xr:uid="{28833DAA-104D-4FA5-86CB-73D149C9D31A}"/>
    <cellStyle name="ÅëÈ­_4 " xfId="72" xr:uid="{E6FF5149-9ACC-4F31-B7BA-50C17771A05E}"/>
    <cellStyle name="AeE­_5-3-3-1-1.≫y≫e±¸A¶ºÐ¼R-MAT'L¡­ " xfId="73" xr:uid="{07792EFE-E289-413F-94F0-595619908136}"/>
    <cellStyle name="ÅëÈ­_6-3°æÀï·Â " xfId="74" xr:uid="{93A323DD-7301-4807-9768-FDE6E3FA71F4}"/>
    <cellStyle name="AeE­_7.MASTER SCHEDULE " xfId="75" xr:uid="{CD223AF8-7939-458D-99DA-0AEDC330DF37}"/>
    <cellStyle name="ÅëÈ­_7.MASTER SCHEDULE " xfId="76" xr:uid="{2F01D550-296B-435B-AEDC-A7B377B4F402}"/>
    <cellStyle name="AeE­_AI¿ø°eE¹ " xfId="77" xr:uid="{236F0B16-D2C4-43CF-AEC4-92CD8BB12B7A}"/>
    <cellStyle name="ÅëÈ­_ÀÎ¿ø°èÈ¹ " xfId="78" xr:uid="{B4356E54-1A72-45D5-BEF1-42C7349571FD}"/>
    <cellStyle name="AeE­_AOA¾AIA¤ " xfId="79" xr:uid="{A822ACB8-2DC0-43F3-9679-DBBE51BD916C}"/>
    <cellStyle name="ÅëÈ­_ÃÖÁ¾ÀÏÁ¤ " xfId="80" xr:uid="{3E185AB8-DF0B-4393-900A-B85A0033C508}"/>
    <cellStyle name="AeE­_INQUIRY ¿μ¾÷AßAø " xfId="81" xr:uid="{E3426E1D-D44C-48CA-8E43-048778870F3D}"/>
    <cellStyle name="ÅëÈ­_lx-taxi " xfId="82" xr:uid="{CC11D9F2-2442-4665-B666-76E2F1FC10FC}"/>
    <cellStyle name="AeE­_M105CDT " xfId="83" xr:uid="{B5C2AB85-CA7F-4660-8750-32C4C7A32FD4}"/>
    <cellStyle name="ÅëÈ­_MKN-M1.1 " xfId="84" xr:uid="{07FE11C7-A1D9-4B39-9154-630ED75A8D36}"/>
    <cellStyle name="AeE­_ºÐ·u±a01_AoAO°eE¹ " xfId="85" xr:uid="{17173E2D-D15C-422F-A7D0-CAF0F841810C}"/>
    <cellStyle name="ÅëÈ­_ºÐ·ù±â01_ÅõÀÔ°èÈ¹ " xfId="86" xr:uid="{9AAF9D7C-4CA0-4C02-A2AF-D629C0124C30}"/>
    <cellStyle name="AeE­_ºÐ·u±a02_AoAO°eE¹ " xfId="87" xr:uid="{120D91AF-9124-4E54-AFE8-BC2B1248EA69}"/>
    <cellStyle name="ÅëÈ­_ºÐ·ù±â02_ÅõÀÔ°èÈ¹ " xfId="88" xr:uid="{6ECD935D-3F12-48F7-87B8-2376AA97B204}"/>
    <cellStyle name="AeE­_ºÐ·u±a03_AoAO°eE¹ " xfId="89" xr:uid="{A6EC69F7-1432-41BC-8593-D3D94DF212FD}"/>
    <cellStyle name="ÅëÈ­_ºÐ·ù±â03_ÅõÀÔ°èÈ¹ " xfId="90" xr:uid="{A573466E-E447-45CD-8A29-B68F411F9A51}"/>
    <cellStyle name="AeE­_ºÐ·u±aAØ_AoAO°eE¹ " xfId="91" xr:uid="{14255E89-905A-49D6-A539-0FA67CF627F7}"/>
    <cellStyle name="ÅëÈ­_ºÐ·ù±âÁØ_ÅõÀÔ°èÈ¹ " xfId="92" xr:uid="{CB5FDFBB-1116-4520-B88B-F2C68AC19950}"/>
    <cellStyle name="AeE­_ºÐ·u±aE￡_AoAO°eE¹ " xfId="93" xr:uid="{CA652C76-EBFA-49F7-A6B0-F28A58A4D5FC}"/>
    <cellStyle name="ÅëÈ­_ºÐ·ù±âÈ£_ÅõÀÔ°èÈ¹ " xfId="94" xr:uid="{1D1723DB-FB42-449A-891D-0461E6255082}"/>
    <cellStyle name="AeE­_SAMPLE " xfId="95" xr:uid="{C7C96E21-B97F-4A3A-89B5-0A7C906766BC}"/>
    <cellStyle name="ÅëÈ­_SAMPLE " xfId="96" xr:uid="{1652883C-4CC2-40A3-B3D8-08520F22A2E9}"/>
    <cellStyle name="AeE­_Sheet1 (2)_1.SUMMARY " xfId="97" xr:uid="{66F6FF50-4D13-46C8-861E-66BCCC7E3304}"/>
    <cellStyle name="ÅëÈ­_Sheet1 (2)_1.SUMMARY " xfId="98" xr:uid="{55A5F6FC-9A72-48B0-94C4-236AD00D36CA}"/>
    <cellStyle name="AeE­_Sheet1 (2)_3.MSCHEDULE¿μ¹R " xfId="99" xr:uid="{CA84E5A1-80FC-41EA-BB27-AAD6FF23490A}"/>
    <cellStyle name="ÅëÈ­_Sheet1_1.SUMMARY " xfId="100" xr:uid="{16449E8D-0381-4D51-AE07-5B058A31A0CC}"/>
    <cellStyle name="AeE­_Sheet1_3.MSCHEDULE¿μ¹R " xfId="101" xr:uid="{0B8EEA98-10BB-4782-B3F1-B708B211BC29}"/>
    <cellStyle name="ÅëÈ­_Sheet1_ÃÖÁ¾ÀÏÁ¤ " xfId="102" xr:uid="{D50DACB8-9E46-4902-AC7C-319DF963E4B6}"/>
    <cellStyle name="AeE­_Sheet1_XD AOA¾AIA¤ " xfId="103" xr:uid="{076C908C-A07C-40C0-BB3D-8199FD7C9538}"/>
    <cellStyle name="ÅëÈ­_Sheet1_XD ÃÖÁ¾ÀÏÁ¤ " xfId="104" xr:uid="{B77A8A21-B10E-4F19-884F-A2E2CEDD641A}"/>
    <cellStyle name="AeE¡ⓒ [0]_6-3¡Æⓒ¡Ai¡¤A " xfId="105" xr:uid="{DA793B3D-DE00-4819-B873-A8F61EDAD5DA}"/>
    <cellStyle name="AeE¡ⓒ_6-3¡Æⓒ¡Ai¡¤A " xfId="106" xr:uid="{E3B7C3A0-C310-466E-8DDA-F7739969AA47}"/>
    <cellStyle name="AÞ¸¶ [0]_¡U¾EU￢ A¾COºn±³ " xfId="107" xr:uid="{01D47BD1-E71E-4EE6-B5C6-FD46EC526FE4}"/>
    <cellStyle name="ÄÞ¸¶ [0]_¡Ú¾ÈÜ¬ Á¾ÇÕºñ±³ " xfId="108" xr:uid="{1C5C9835-8FFA-4A15-9544-59C0B9D12FEE}"/>
    <cellStyle name="AÞ¸¶ [0]_¿i¿μ¾E " xfId="109" xr:uid="{600EFADD-CEE1-41C5-A13E-082BC7F90D4C}"/>
    <cellStyle name="ÄÞ¸¶ [0]_±â¾È " xfId="110" xr:uid="{E6A486FE-87A3-463C-ADED-642CD826C763}"/>
    <cellStyle name="AÞ¸¶ [0]_1.SUMMARY " xfId="111" xr:uid="{CA7B0C62-6D0A-477F-A6C6-AEA11F9B15EC}"/>
    <cellStyle name="ÄÞ¸¶ [0]_1.SUMMARY " xfId="112" xr:uid="{1772EA39-CDA2-4767-A698-6F4F9DCFF162}"/>
    <cellStyle name="AÞ¸¶ [0]_2.CONCEPT " xfId="113" xr:uid="{53F212DC-7E50-4100-A9B1-B4D10672A88F}"/>
    <cellStyle name="ÄÞ¸¶ [0]_2.CONCEPT " xfId="114" xr:uid="{92D62F56-3910-4BEE-92B8-51B7A6DC2C94}"/>
    <cellStyle name="AÞ¸¶ [0]_3.MSCHEDULE¿μ¹R " xfId="115" xr:uid="{780A2C4C-B6CF-45ED-A535-2362DB5E2C3D}"/>
    <cellStyle name="ÄÞ¸¶ [0]_3PJTR°èÈ¹ " xfId="116" xr:uid="{13CB6968-2513-4240-BDEA-2CE31AF61366}"/>
    <cellStyle name="AÞ¸¶ [0]_4 " xfId="117" xr:uid="{828807AC-EF77-4FB3-A2E0-C378115AE920}"/>
    <cellStyle name="ÄÞ¸¶ [0]_4 " xfId="118" xr:uid="{171AE5F2-C68B-4835-81A5-F259A4779A68}"/>
    <cellStyle name="AÞ¸¶ [0]_6-3°æAi·A " xfId="119" xr:uid="{3CECA968-C372-468C-A25C-EF9842146F85}"/>
    <cellStyle name="ÄÞ¸¶ [0]_6-3°æÀï·Â " xfId="120" xr:uid="{83FFCA06-5A98-4047-A67A-8E5E6645DB95}"/>
    <cellStyle name="AÞ¸¶ [0]_7.MASTER SCHEDULE " xfId="121" xr:uid="{3C117449-2C40-4C44-9B36-8B2DD9A59499}"/>
    <cellStyle name="ÄÞ¸¶ [0]_7.MASTER SCHEDULE " xfId="122" xr:uid="{93C8C60D-3B21-48CF-B878-12FC9ABF4EFC}"/>
    <cellStyle name="AÞ¸¶ [0]_AI¿ø°eE¹ " xfId="123" xr:uid="{29DD7F4F-8010-4C4F-AC61-936276D69F35}"/>
    <cellStyle name="ÄÞ¸¶ [0]_ÀÎ¿ø°èÈ¹ " xfId="124" xr:uid="{C9B340E1-C9EB-485C-A4FD-439A890F93B7}"/>
    <cellStyle name="AÞ¸¶ [0]_AOA¾AIA¤ " xfId="125" xr:uid="{6F0F7F3A-564F-44EE-BE5D-F4E4D78E7BEF}"/>
    <cellStyle name="ÄÞ¸¶ [0]_ÃÖÁ¾ÀÏÁ¤ " xfId="126" xr:uid="{30A33B47-1D85-4BB5-A233-3BE2C9CDA2AE}"/>
    <cellStyle name="AÞ¸¶ [0]_INQUIRY ¿μ¾÷AßAø " xfId="127" xr:uid="{DC4D09BF-6B63-4E52-8F1D-21AF924EFE8D}"/>
    <cellStyle name="ÄÞ¸¶ [0]_lx-taxi " xfId="128" xr:uid="{65138869-A79E-4E55-AE23-E650426CD20B}"/>
    <cellStyle name="AÞ¸¶ [0]_M105CDT " xfId="129" xr:uid="{6660BF9E-752D-41F2-A814-48E29F145D42}"/>
    <cellStyle name="ÄÞ¸¶ [0]_MKN-M1.1 " xfId="130" xr:uid="{290C8CA8-F2A5-4A5D-A8DF-009B30E8F36F}"/>
    <cellStyle name="AÞ¸¶ [0]_SAMPLE " xfId="131" xr:uid="{4378A4AE-2B0D-4F8B-9CE0-B15083F933E0}"/>
    <cellStyle name="ÄÞ¸¶ [0]_SAMPLE " xfId="132" xr:uid="{14A45CE4-45D0-4C24-A57B-2888BC413687}"/>
    <cellStyle name="AÞ¸¶ [0]_Sheet1 (2)_1.SUMMARY " xfId="133" xr:uid="{A8F913C3-B177-4E44-AFC3-F8AB9BF97E8B}"/>
    <cellStyle name="ÄÞ¸¶ [0]_Sheet1 (2)_1.SUMMARY " xfId="134" xr:uid="{AE6831A7-AE4D-4AF7-BC2E-A35C46001D71}"/>
    <cellStyle name="AÞ¸¶ [0]_Sheet1 (2)_3.MSCHEDULE¿μ¹R " xfId="135" xr:uid="{6FC1ED88-5CD5-4B16-8DF1-7CBBF858F80B}"/>
    <cellStyle name="ÄÞ¸¶ [0]_Sheet1_1.SUMMARY " xfId="136" xr:uid="{71B6533E-6590-4006-B806-94ACD1E3130C}"/>
    <cellStyle name="AÞ¸¶ [0]_Sheet1_3.MSCHEDULE¿μ¹R " xfId="137" xr:uid="{2484ECEA-D0C3-4816-B076-54433DD7EE2C}"/>
    <cellStyle name="ÄÞ¸¶ [0]_Sheet1_ÃÖÁ¾ÀÏÁ¤ " xfId="138" xr:uid="{0F9BE565-360A-403A-93F1-0DDFDBADAD65}"/>
    <cellStyle name="AÞ¸¶ [0]_Sheet1_XD AOA¾AIA¤ " xfId="139" xr:uid="{7B87AA29-3F96-4BC6-9705-51E54FFE841E}"/>
    <cellStyle name="ÄÞ¸¶ [0]_Sheet1_XD ÃÖÁ¾ÀÏÁ¤ " xfId="140" xr:uid="{62C62C68-C9C1-452B-ACAF-828D46311D2A}"/>
    <cellStyle name="AÞ¸¶_¡U¾EU￢ A¾COºn±³ " xfId="141" xr:uid="{272513D5-585D-4DC6-9EB2-A03D4271095A}"/>
    <cellStyle name="ÄÞ¸¶_¡Ú¾ÈÜ¬ Á¾ÇÕºñ±³ " xfId="142" xr:uid="{FBFA9BB7-094A-4F34-9EA1-9B1C0E6A41FD}"/>
    <cellStyle name="AÞ¸¶_¿i¿μ¾E " xfId="143" xr:uid="{B5BEABA6-9C8D-4333-B3CA-BD43AB1EF1D3}"/>
    <cellStyle name="ÄÞ¸¶_±â¾È " xfId="144" xr:uid="{D340495A-0AF7-4FA9-9A3A-9E11F44DD518}"/>
    <cellStyle name="AÞ¸¶_1.SUMMARY " xfId="145" xr:uid="{608B8023-07E3-4687-B792-61358D211991}"/>
    <cellStyle name="ÄÞ¸¶_1.SUMMARY " xfId="146" xr:uid="{DE7B8AD8-98F7-4999-9320-F31745F36770}"/>
    <cellStyle name="AÞ¸¶_2.CONCEPT " xfId="147" xr:uid="{C436F48B-BD88-43C5-AC2E-C7949ABCFA82}"/>
    <cellStyle name="ÄÞ¸¶_2.CONCEPT " xfId="148" xr:uid="{3FC74354-E3E9-4AFA-9BD1-50A31D5361CA}"/>
    <cellStyle name="AÞ¸¶_3.MSCHEDULE¿μ¹R " xfId="149" xr:uid="{D50812D1-8B57-43FB-9098-E946768BEB55}"/>
    <cellStyle name="ÄÞ¸¶_3PJTR°èÈ¹ " xfId="150" xr:uid="{6DB0CD73-AA9D-4624-B4D5-55E39970D613}"/>
    <cellStyle name="AÞ¸¶_4 " xfId="151" xr:uid="{8BBC4CD2-0EA5-4227-BF0F-E2B3DFC7DC1B}"/>
    <cellStyle name="ÄÞ¸¶_4 " xfId="152" xr:uid="{8E12AFF8-350D-46DD-AB2F-B04959E417F8}"/>
    <cellStyle name="AÞ¸¶_6-3°æAi·A " xfId="153" xr:uid="{77BC473E-735A-441A-A85B-9439F352358F}"/>
    <cellStyle name="ÄÞ¸¶_6-3°æÀï·Â " xfId="154" xr:uid="{3346F867-BF02-4D96-92AB-3577D2AF24D5}"/>
    <cellStyle name="AÞ¸¶_7.MASTER SCHEDULE " xfId="155" xr:uid="{9F4D2B99-2330-4B73-B907-4C9347405A8E}"/>
    <cellStyle name="ÄÞ¸¶_7.MASTER SCHEDULE " xfId="156" xr:uid="{4A4E3F46-F12D-4680-AEE1-480192E25A4E}"/>
    <cellStyle name="AÞ¸¶_AI¿ø°eE¹ " xfId="157" xr:uid="{C052D6AE-B2E3-4A8E-8348-39C9F2E9A255}"/>
    <cellStyle name="ÄÞ¸¶_ÀÎ¿ø°èÈ¹ " xfId="158" xr:uid="{BA058BA6-C293-4A56-83DC-2B83E6C09F40}"/>
    <cellStyle name="AÞ¸¶_AOA¾AIA¤ " xfId="159" xr:uid="{B20772D1-9B08-4B7E-A869-FDA92A0AD654}"/>
    <cellStyle name="ÄÞ¸¶_ÃÖÁ¾ÀÏÁ¤ " xfId="160" xr:uid="{518F80EA-1845-47C9-B6FF-D21498421C68}"/>
    <cellStyle name="AÞ¸¶_INQUIRY ¿μ¾÷AßAø " xfId="161" xr:uid="{7B967855-AAD2-4738-A7BE-57EC0627F24D}"/>
    <cellStyle name="ÄÞ¸¶_lx-taxi " xfId="162" xr:uid="{5D436947-C4BB-40B4-B981-6F27A9EB7DD9}"/>
    <cellStyle name="AÞ¸¶_M105CDT " xfId="163" xr:uid="{EE23F3FA-809B-46A4-AE58-A3CC211E396E}"/>
    <cellStyle name="ÄÞ¸¶_MKN-M1.1 " xfId="164" xr:uid="{66D51330-27D2-4ECA-8D09-0830957DB592}"/>
    <cellStyle name="AÞ¸¶_SAMPLE " xfId="165" xr:uid="{3C22113E-1F45-4A7C-99AE-A20B3CC34D75}"/>
    <cellStyle name="ÄÞ¸¶_SAMPLE " xfId="166" xr:uid="{BA59F3E8-BA4E-4C1F-AE71-97D5078909D0}"/>
    <cellStyle name="AÞ¸¶_Sheet1 (2)_1.SUMMARY " xfId="167" xr:uid="{44DBEF41-7165-481B-BC6E-A031CA5508DD}"/>
    <cellStyle name="ÄÞ¸¶_Sheet1 (2)_1.SUMMARY " xfId="168" xr:uid="{9E9CA6BE-D525-4DEC-8B3E-6E2713B97BE6}"/>
    <cellStyle name="AÞ¸¶_Sheet1 (2)_3.MSCHEDULE¿μ¹R " xfId="169" xr:uid="{AA6BF574-8B81-4B4B-BC3F-3351FC49F156}"/>
    <cellStyle name="ÄÞ¸¶_Sheet1_1.SUMMARY " xfId="170" xr:uid="{B2F05FC4-022E-48FE-87DF-2F2D29B72446}"/>
    <cellStyle name="AÞ¸¶_Sheet1_3.MSCHEDULE¿μ¹R " xfId="171" xr:uid="{67C49336-C6EC-4A22-8736-FC82F796698D}"/>
    <cellStyle name="ÄÞ¸¶_Sheet1_ÃÖÁ¾ÀÏÁ¤ " xfId="172" xr:uid="{A35D6808-99E9-463C-A2E1-0CBB6032DD24}"/>
    <cellStyle name="AÞ¸¶_Sheet1_XD AOA¾AIA¤ " xfId="173" xr:uid="{7831E11C-4983-4CD8-815A-80CBC50099DB}"/>
    <cellStyle name="ÄÞ¸¶_Sheet1_XD ÃÖÁ¾ÀÏÁ¤ " xfId="174" xr:uid="{CE47EC16-C1E7-4526-85EE-49C5B0EA7FAB}"/>
    <cellStyle name="C¡IA¨ª_¡Æ￠R¨uO￠￢¡ÆAIA￠´_￥iⓒ￡A¨IAIA￠´ " xfId="175" xr:uid="{79B2E2B9-B098-4029-9665-7E7A85210C5D}"/>
    <cellStyle name="C￥AØ_(2)_°øAa°³¼± " xfId="176" xr:uid="{9A2E9FC8-D1CB-4C5A-A699-559ED8A9A56B}"/>
    <cellStyle name="Ç¥ÁØ_¡ßFO ÅõÀÚºñºñ±³ " xfId="177" xr:uid="{FD9A3A5C-6E0C-4B9F-96EE-F15C80B511BD}"/>
    <cellStyle name="C￥AØ_¿i¿μ¾E " xfId="178" xr:uid="{E439C801-1B90-479E-91E8-3D759B40B8E6}"/>
    <cellStyle name="Ç¥ÁØ_±â¾È " xfId="179" xr:uid="{23E9DE46-AC00-4B77-ADD3-90E3FE6B6CA2}"/>
    <cellStyle name="C￥AØ_≫c¾÷ºIº° AN°e " xfId="180" xr:uid="{3E0622F2-76A6-4AC1-A590-BC0C0D5A2391}"/>
    <cellStyle name="Ç¥ÁØ_°¡¼Ö¸°ÀÏÁ¤_µðÁ©ÀÏÁ¤ " xfId="181" xr:uid="{981D1064-A656-4EE4-9CDB-D80D0806403A}"/>
    <cellStyle name="C￥AØ_°¡¼O¸°AIA¤_μðAⓒAIA¤ " xfId="182" xr:uid="{43BB065E-A056-4FD1-B20E-8AAEE7FBE4FC}"/>
    <cellStyle name="Ç¥ÁØ_°³¹ßÀÏÁ¤ " xfId="183" xr:uid="{E384A1F5-F95C-4B5D-99D4-339B13478FF7}"/>
    <cellStyle name="C￥AØ_°³¹ßAIA¤  (2)_°³¹ßAIA¤ " xfId="184" xr:uid="{8837D0E3-4914-4E64-A4AD-3DA9080C6B61}"/>
    <cellStyle name="Ç¥ÁØ_°³¹ßÀÏÁ¤  (2)_°³¹ßÀÏÁ¤ " xfId="185" xr:uid="{36A84697-2012-497C-BB14-652847A42CBB}"/>
    <cellStyle name="C￥AØ_1.ÆC¸A½CAu " xfId="186" xr:uid="{27825A70-DAF3-4D3E-8AF6-BDA556A45C5B}"/>
    <cellStyle name="Ç¥ÁØ_1.ÆÇ¸Å½ÇÀû " xfId="187" xr:uid="{DCE74C84-6BC3-4D76-BFAF-D2424A08C5C1}"/>
    <cellStyle name="C￥AØ_1.SUMMARY " xfId="188" xr:uid="{75316284-7911-485F-B058-5853C999E9C0}"/>
    <cellStyle name="Ç¥ÁØ_1.SUMMARY " xfId="189" xr:uid="{A3A640AB-7413-4758-BE15-49ECDCBF625D}"/>
    <cellStyle name="C￥AØ_2.CONCEPT " xfId="190" xr:uid="{B58ADF4B-962A-42F1-8117-EF54EED67D71}"/>
    <cellStyle name="Ç¥ÁØ_2.CONCEPT " xfId="191" xr:uid="{45C69B3E-6FFB-4D7A-914E-DB746A8E77CA}"/>
    <cellStyle name="C￥AØ_3.MSCHEDULE¿μ¹R " xfId="192" xr:uid="{F29D956F-47DD-44A4-A0EE-412057AFDA6D}"/>
    <cellStyle name="Ç¥ÁØ_3PJTR°èÈ¹ " xfId="193" xr:uid="{73B7AAE7-4B5A-461A-9D5D-D9C251F45692}"/>
    <cellStyle name="C￥AØ_4 " xfId="194" xr:uid="{696671A0-8DFD-49FE-B711-41CE0D66C0C2}"/>
    <cellStyle name="Ç¥ÁØ_4 " xfId="195" xr:uid="{A359CF81-636A-4F35-9DC9-505AB14D6195}"/>
    <cellStyle name="C￥AØ_5-1±¤°i " xfId="196" xr:uid="{5E2FBF34-0735-468B-9C39-6043F216A2BE}"/>
    <cellStyle name="Ç¥ÁØ_5-1±¤°í " xfId="197" xr:uid="{F590218D-6FCC-44EB-888F-D5177B459CA0}"/>
    <cellStyle name="C￥AØ_5-3-3-1-1.≫y≫e±¸A¶ºÐ¼R-MAT'L¡­ " xfId="198" xr:uid="{7A726D7A-A7DB-4A30-B9BB-DD8F41E47668}"/>
    <cellStyle name="Ç¥ÁØ_6-3°æÀï·Â " xfId="199" xr:uid="{CE25737A-88BE-460F-900F-C355F6E5CBB4}"/>
    <cellStyle name="C￥AØ_7.MASTER SCHEDULE " xfId="200" xr:uid="{486EF8B5-503B-4F76-9861-90F733342D08}"/>
    <cellStyle name="Ç¥ÁØ_7.MASTER SCHEDULE " xfId="201" xr:uid="{3B352C16-69DE-40F4-B372-41F2E27A00D7}"/>
    <cellStyle name="C￥AØ_96AI¿ø°e2 " xfId="202" xr:uid="{F6A5B7C7-98F5-46B2-9A99-8F4B586359C3}"/>
    <cellStyle name="Ç¥ÁØ_96ÀÎ¿ø°è2 " xfId="203" xr:uid="{4018963A-8D3D-45B1-A42C-AF808C117F25}"/>
    <cellStyle name="C￥AØ_96AI¿ø°O 3 " xfId="204" xr:uid="{EDA611E2-ADCA-4BA5-94F6-1FCFAD83E4F7}"/>
    <cellStyle name="Ç¥ÁØ_96ÀÎ¿ø°Ô 3 " xfId="205" xr:uid="{284BA597-7117-4F32-9710-9E46162C243A}"/>
    <cellStyle name="C￥AØ_A·ºI2 " xfId="206" xr:uid="{5EB2C101-3B53-486E-BDF2-0A041580CC83}"/>
    <cellStyle name="Ç¥ÁØ_Ã·ºÎ2 " xfId="207" xr:uid="{59B6F412-A4FE-4556-9081-A5D0D28E5654}"/>
    <cellStyle name="C￥AØ_AI¿øCoE² " xfId="208" xr:uid="{51536334-F208-464F-BFFC-9D0895923C51}"/>
    <cellStyle name="Ç¥ÁØ_ÃÖÁ¾ÀÏÁ¤ " xfId="209" xr:uid="{7F96C9B7-ABEE-4260-85B5-68AA66AE65D7}"/>
    <cellStyle name="C￥AØ_AoAUºn(ºI¼­º°,°eA¤º°) " xfId="210" xr:uid="{9AF07985-5696-4DC7-AE3F-EAB8D9AD2599}"/>
    <cellStyle name="Ç¥ÁØ_ÅõÀÚºñ(ºÎ¼­º°,°èÁ¤º°) " xfId="211" xr:uid="{B0B137DD-0B9D-4DED-B5B6-656EAAC46721}"/>
    <cellStyle name="C￥AØ_Aß±a≫y≫e°eE¹ " xfId="212" xr:uid="{0B88E974-B863-440E-8922-92310E965EF6}"/>
    <cellStyle name="Ç¥ÁØ_CSÁ¾ÇÕ " xfId="213" xr:uid="{16C3F50D-7AB4-44D2-945F-8DAC0A4A126A}"/>
    <cellStyle name="C￥AØ_laroux_°³¹ßAIA¤ " xfId="214" xr:uid="{107BF6AE-B998-45D9-9CAD-96321989FBD8}"/>
    <cellStyle name="Ç¥ÁØ_laroux_°³¹ßÀÏÁ¤ " xfId="215" xr:uid="{58FE369E-DF1B-4231-BEBD-556522310349}"/>
    <cellStyle name="C￥AØ_laroux_°³¹ßAIA¤  (2)_°³¹ßAIA¤ " xfId="216" xr:uid="{F47E1ACF-F797-4912-8549-665C784720F7}"/>
    <cellStyle name="Ç¥ÁØ_laroux_°³¹ßÀÏÁ¤  (2)_°³¹ßÀÏÁ¤ " xfId="217" xr:uid="{9E55FB44-604F-499E-B577-8C7112ED4379}"/>
    <cellStyle name="C￥AØ_laroux_1_°³¹ßAIA¤ " xfId="218" xr:uid="{566BE34C-48EE-494F-B8F7-0DB65DB82E52}"/>
    <cellStyle name="Ç¥ÁØ_laroux_1_°³¹ßÀÏÁ¤ " xfId="219" xr:uid="{6A946C8D-6EEC-4C3D-BE5C-78362B27F31C}"/>
    <cellStyle name="C￥AØ_laroux_2_°³¹ßAIA¤ " xfId="220" xr:uid="{B30B0BCA-35A0-404F-BFCE-5A193A12D3FB}"/>
    <cellStyle name="Ç¥ÁØ_laroux_2_°³¹ßÀÏÁ¤ " xfId="221" xr:uid="{D483D866-88F3-48D7-8EBA-6C3B6EC93EE5}"/>
    <cellStyle name="C￥AØ_lx-taxi " xfId="222" xr:uid="{57A832F8-8D56-49A3-B65F-22745342C9E6}"/>
    <cellStyle name="Ç¥ÁØ_lx-taxi " xfId="223" xr:uid="{154C8FFC-CD72-4A84-9CCE-0D197587BDB5}"/>
    <cellStyle name="C￥AØ_M105CDT " xfId="224" xr:uid="{1ADC1F51-0D53-4256-A36E-2802DFE8F481}"/>
    <cellStyle name="Ç¥ÁØ_MKN-M1.1 " xfId="225" xr:uid="{FF46B18F-5EEA-4BD6-9361-5EA921C57FE4}"/>
    <cellStyle name="C￥AØ_RDTR99ML " xfId="226" xr:uid="{C3983170-203E-4A99-96AD-E908238D693A}"/>
    <cellStyle name="Ç¥ÁØ_RDTR99ML " xfId="227" xr:uid="{62C9D2C1-92D9-4653-B108-141304A20F1A}"/>
    <cellStyle name="C￥AØ_Sheet1 (2)_1.SUMMARY " xfId="228" xr:uid="{0F67C2E4-A693-4406-9E9D-1D94E5E93FE0}"/>
    <cellStyle name="Ç¥ÁØ_Sheet1 (2)_1.SUMMARY " xfId="229" xr:uid="{5C37F4C8-9FC7-4DE1-9432-57C98DB9783C}"/>
    <cellStyle name="C￥AØ_Sheet1 (2)_3.MSCHEDULE¿μ¹R " xfId="230" xr:uid="{82B60761-4E1B-4597-9B5A-C2CC8E3C8437}"/>
    <cellStyle name="Ç¥ÁØ_Sheet1_1.SUMMARY " xfId="231" xr:uid="{D6ADB285-9B24-4E4C-9D56-1363A7F08F0A}"/>
    <cellStyle name="C￥AØ_Sheet1_1_1.SUMMARY " xfId="232" xr:uid="{80EEB1A5-4386-46C3-9EC6-785D04AFC370}"/>
    <cellStyle name="Ç¥ÁØ_Sheet1_1_1.SUMMARY " xfId="233" xr:uid="{B29B4520-8934-42DD-9EE8-26D639AA26BD}"/>
    <cellStyle name="C￥AØ_Sheet1_1_3.MSCHEDULE¿μ¹R " xfId="234" xr:uid="{64F47AF3-F5DE-4366-A60D-EB4EFF0463D5}"/>
    <cellStyle name="Ç¥ÁØ_Sheet1_1_XD ÃÖÁ¾ÀÏÁ¤ " xfId="235" xr:uid="{5C19971D-7A08-4DF6-A5D2-71F5736BB156}"/>
    <cellStyle name="C￥AØ_Sheet1_3.MSCHEDULE¿μ¹R " xfId="236" xr:uid="{E86F7EBF-E145-4C14-AAAD-BCB8F49722CE}"/>
    <cellStyle name="Ç¥ÁØ_Sheet1_XD ÃÖÁ¾ÀÏÁ¤ " xfId="237" xr:uid="{4DDD56E7-BF22-4CAB-B076-06FCF10F2FB7}"/>
    <cellStyle name="C￥AØ_SMG-CKD-d1.1 " xfId="238" xr:uid="{38EA9901-93E1-4966-8D94-AEA7F46019E0}"/>
    <cellStyle name="Ç¥ÁØ_SMG-CKD-d1.1 " xfId="239" xr:uid="{198FF47D-BAAF-4FB2-83AE-43A25A4378D2}"/>
    <cellStyle name="C￥AØ_WIPER " xfId="240" xr:uid="{5816FA8F-6539-45EE-8293-B332DD9674F0}"/>
    <cellStyle name="Ç¥ÁØ_WIPER " xfId="241" xr:uid="{A9EA246B-DE26-4281-9585-63A396F098BF}"/>
    <cellStyle name="C￥AØ_XD AOA¾AIA¤ " xfId="242" xr:uid="{5E0D1BF6-76A1-488F-BF7F-9CFC0AF01F76}"/>
    <cellStyle name="Ç¥ÁØ_XD ÃÖÁ¾ÀÏÁ¤ " xfId="243" xr:uid="{9DB07995-6C35-41BE-BE3B-4F544F04F518}"/>
    <cellStyle name="C￥AØ_μðAⓒAIA¤ " xfId="244" xr:uid="{A099732B-48F4-4E91-B21A-F8094AEC4BCC}"/>
    <cellStyle name="Comma [0]" xfId="245" xr:uid="{12A48711-0C32-4F4D-B828-F4FFD4EDF57F}"/>
    <cellStyle name="Comma_ SG&amp;A Bridge " xfId="246" xr:uid="{FE3A534F-72AF-4C7F-B7D9-297DC406A5BD}"/>
    <cellStyle name="Currency [0]" xfId="247" xr:uid="{6E40E529-D9DA-4808-9B3F-0F3D6EDF983C}"/>
    <cellStyle name="Currency_ SG&amp;A Bridge " xfId="248" xr:uid="{13CDEC0F-02D5-4B2A-AAB9-1AEAE834D92C}"/>
    <cellStyle name="Currency1" xfId="249" xr:uid="{35FD7089-CCC0-4A0F-8E2B-4CE58E356EFE}"/>
    <cellStyle name="Normal_ SG&amp;A Bridge " xfId="250" xr:uid="{EFC438A1-5271-40C2-B805-8453C12DCDCC}"/>
    <cellStyle name="þ_x001d_ð'&amp;Oy?Hy9_x0008__x000f__x0007_æ_x0007__x0007__x0001__x0001_" xfId="251" xr:uid="{E3E85C12-BD8F-4A05-A352-42585B8A69B1}"/>
    <cellStyle name="똿떓죶Ø괻_PRODUCT DETAIL Q3 (2)_ßæß§ºÐ´aaÐ " xfId="252" xr:uid="{FCFFFE45-4C53-4940-9A3C-D9ED4FB07A0F}"/>
    <cellStyle name="똿뗦먛귟 [0.00]_PRODUCT DETAIL Q1" xfId="253" xr:uid="{DF7F0214-795A-48BA-AC27-27D0686AC821}"/>
    <cellStyle name="똿뗦먛귟_PRODUCT DETAIL Q1" xfId="254" xr:uid="{FB5235DD-46C2-4DD2-8C22-AF358171C25F}"/>
    <cellStyle name="믅됞 [0.00]_PRODUCT DETAIL Q1" xfId="255" xr:uid="{7A54BF6F-104E-4A1B-9D5D-E8FD44C50677}"/>
    <cellStyle name="믅됞_PRODUCT DETAIL Q1" xfId="256" xr:uid="{59D6EE7F-3E44-4077-9649-F83A36EDB9C1}"/>
    <cellStyle name="백분율" xfId="257" builtinId="5"/>
    <cellStyle name="뷭?_BOOKSHIP" xfId="258" xr:uid="{BED756D8-9A1E-4B09-A1A3-04B10475DFD9}"/>
    <cellStyle name="쉼표 [0]" xfId="259" builtinId="6"/>
    <cellStyle name="쉼표 [0] 2" xfId="260" xr:uid="{0D4102E9-D007-448C-B5A4-CE447982B1A8}"/>
    <cellStyle name="쉼표 [0] 3" xfId="261" xr:uid="{E0AEEE09-B973-4D40-B593-EE95D42FA7C9}"/>
    <cellStyle name="스타일 1" xfId="262" xr:uid="{6E9F9404-CFF5-48A8-B9FF-B9904A082CFA}"/>
    <cellStyle name="콤마 [0]_ " xfId="263" xr:uid="{AFB09E9E-E6E4-4402-A85F-3DCCD79DEE71}"/>
    <cellStyle name="콤마_ " xfId="264" xr:uid="{38FA52F0-6382-42BF-9714-29AD6BDF60A2}"/>
    <cellStyle name="통화 [0]" xfId="265" builtinId="7"/>
    <cellStyle name="팒" xfId="266" xr:uid="{D5D18995-6080-4FEF-B3B7-854EAFDECF2A}"/>
    <cellStyle name="표준" xfId="0" builtinId="0"/>
    <cellStyle name="표준 2" xfId="267" xr:uid="{3C033F3B-9B31-402F-B0D4-D3980878C21A}"/>
    <cellStyle name="표준 2 2" xfId="268" xr:uid="{7063D34E-A3ED-453C-B42C-8AE34069FE26}"/>
    <cellStyle name="표준_08C-0030" xfId="269" xr:uid="{A2C13A4B-C42D-484E-8E5B-CA7028BDB1AC}"/>
    <cellStyle name="표준_09C-0040(BM PART)" xfId="270" xr:uid="{3797EFB1-07CD-479E-9814-2E3FA445397C}"/>
    <cellStyle name="표준_09C-0040(TA15,16,20)" xfId="271" xr:uid="{AA259B58-C9F1-4E16-AEF3-084151A81419}"/>
    <cellStyle name="標準_36C-0440(現代）" xfId="272" xr:uid="{048EEACD-2EBF-437F-9F47-42621B8F6987}"/>
    <cellStyle name="標準_36C-0440(現代）_36C-0840(現代自動車(2工場))" xfId="273" xr:uid="{4D99FFEC-4971-4D18-B215-8E4F039D502C}"/>
    <cellStyle name="표준_36C-0440(現代)-한글" xfId="274" xr:uid="{249C1625-CE40-48B4-BCDB-90C4900A56D8}"/>
    <cellStyle name="표준_ERP업무,발주서포함" xfId="275" xr:uid="{67FC0F00-09D5-4C74-8DCF-05EA6FD05908}"/>
    <cellStyle name="표준_H1시트공급CV개조_견적-한국테크노스" xfId="276" xr:uid="{8E81886A-2706-4B4A-A39E-E92F1E2EE8F4}"/>
    <cellStyle name="標準_PartsList" xfId="277" xr:uid="{901DC20F-B14D-4AF9-BCBB-DFCB3EF53B4F}"/>
    <cellStyle name="표준_Sheet1" xfId="278" xr:uid="{F9747D5F-FA9B-4A17-A205-5665AA16266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98.xml"/><Relationship Id="rId21" Type="http://schemas.openxmlformats.org/officeDocument/2006/relationships/externalLink" Target="externalLinks/externalLink2.xml"/><Relationship Id="rId42" Type="http://schemas.openxmlformats.org/officeDocument/2006/relationships/externalLink" Target="externalLinks/externalLink23.xml"/><Relationship Id="rId63" Type="http://schemas.openxmlformats.org/officeDocument/2006/relationships/externalLink" Target="externalLinks/externalLink44.xml"/><Relationship Id="rId84" Type="http://schemas.openxmlformats.org/officeDocument/2006/relationships/externalLink" Target="externalLinks/externalLink65.xml"/><Relationship Id="rId138" Type="http://schemas.openxmlformats.org/officeDocument/2006/relationships/externalLink" Target="externalLinks/externalLink119.xml"/><Relationship Id="rId159" Type="http://schemas.openxmlformats.org/officeDocument/2006/relationships/externalLink" Target="externalLinks/externalLink140.xml"/><Relationship Id="rId170" Type="http://schemas.openxmlformats.org/officeDocument/2006/relationships/externalLink" Target="externalLinks/externalLink151.xml"/><Relationship Id="rId107" Type="http://schemas.openxmlformats.org/officeDocument/2006/relationships/externalLink" Target="externalLinks/externalLink88.xml"/><Relationship Id="rId11" Type="http://schemas.openxmlformats.org/officeDocument/2006/relationships/worksheet" Target="worksheets/sheet11.xml"/><Relationship Id="rId32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34.xml"/><Relationship Id="rId74" Type="http://schemas.openxmlformats.org/officeDocument/2006/relationships/externalLink" Target="externalLinks/externalLink55.xml"/><Relationship Id="rId128" Type="http://schemas.openxmlformats.org/officeDocument/2006/relationships/externalLink" Target="externalLinks/externalLink109.xml"/><Relationship Id="rId149" Type="http://schemas.openxmlformats.org/officeDocument/2006/relationships/externalLink" Target="externalLinks/externalLink130.xml"/><Relationship Id="rId5" Type="http://schemas.openxmlformats.org/officeDocument/2006/relationships/worksheet" Target="worksheets/sheet5.xml"/><Relationship Id="rId95" Type="http://schemas.openxmlformats.org/officeDocument/2006/relationships/externalLink" Target="externalLinks/externalLink76.xml"/><Relationship Id="rId160" Type="http://schemas.openxmlformats.org/officeDocument/2006/relationships/externalLink" Target="externalLinks/externalLink141.xml"/><Relationship Id="rId22" Type="http://schemas.openxmlformats.org/officeDocument/2006/relationships/externalLink" Target="externalLinks/externalLink3.xml"/><Relationship Id="rId43" Type="http://schemas.openxmlformats.org/officeDocument/2006/relationships/externalLink" Target="externalLinks/externalLink24.xml"/><Relationship Id="rId64" Type="http://schemas.openxmlformats.org/officeDocument/2006/relationships/externalLink" Target="externalLinks/externalLink45.xml"/><Relationship Id="rId118" Type="http://schemas.openxmlformats.org/officeDocument/2006/relationships/externalLink" Target="externalLinks/externalLink99.xml"/><Relationship Id="rId139" Type="http://schemas.openxmlformats.org/officeDocument/2006/relationships/externalLink" Target="externalLinks/externalLink120.xml"/><Relationship Id="rId85" Type="http://schemas.openxmlformats.org/officeDocument/2006/relationships/externalLink" Target="externalLinks/externalLink66.xml"/><Relationship Id="rId150" Type="http://schemas.openxmlformats.org/officeDocument/2006/relationships/externalLink" Target="externalLinks/externalLink131.xml"/><Relationship Id="rId171" Type="http://schemas.openxmlformats.org/officeDocument/2006/relationships/theme" Target="theme/theme1.xml"/><Relationship Id="rId12" Type="http://schemas.openxmlformats.org/officeDocument/2006/relationships/worksheet" Target="worksheets/sheet12.xml"/><Relationship Id="rId33" Type="http://schemas.openxmlformats.org/officeDocument/2006/relationships/externalLink" Target="externalLinks/externalLink14.xml"/><Relationship Id="rId108" Type="http://schemas.openxmlformats.org/officeDocument/2006/relationships/externalLink" Target="externalLinks/externalLink89.xml"/><Relationship Id="rId129" Type="http://schemas.openxmlformats.org/officeDocument/2006/relationships/externalLink" Target="externalLinks/externalLink110.xml"/><Relationship Id="rId54" Type="http://schemas.openxmlformats.org/officeDocument/2006/relationships/externalLink" Target="externalLinks/externalLink35.xml"/><Relationship Id="rId75" Type="http://schemas.openxmlformats.org/officeDocument/2006/relationships/externalLink" Target="externalLinks/externalLink56.xml"/><Relationship Id="rId96" Type="http://schemas.openxmlformats.org/officeDocument/2006/relationships/externalLink" Target="externalLinks/externalLink77.xml"/><Relationship Id="rId140" Type="http://schemas.openxmlformats.org/officeDocument/2006/relationships/externalLink" Target="externalLinks/externalLink121.xml"/><Relationship Id="rId161" Type="http://schemas.openxmlformats.org/officeDocument/2006/relationships/externalLink" Target="externalLinks/externalLink142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49" Type="http://schemas.openxmlformats.org/officeDocument/2006/relationships/externalLink" Target="externalLinks/externalLink30.xml"/><Relationship Id="rId114" Type="http://schemas.openxmlformats.org/officeDocument/2006/relationships/externalLink" Target="externalLinks/externalLink95.xml"/><Relationship Id="rId119" Type="http://schemas.openxmlformats.org/officeDocument/2006/relationships/externalLink" Target="externalLinks/externalLink100.xml"/><Relationship Id="rId44" Type="http://schemas.openxmlformats.org/officeDocument/2006/relationships/externalLink" Target="externalLinks/externalLink25.xml"/><Relationship Id="rId60" Type="http://schemas.openxmlformats.org/officeDocument/2006/relationships/externalLink" Target="externalLinks/externalLink41.xml"/><Relationship Id="rId65" Type="http://schemas.openxmlformats.org/officeDocument/2006/relationships/externalLink" Target="externalLinks/externalLink46.xml"/><Relationship Id="rId81" Type="http://schemas.openxmlformats.org/officeDocument/2006/relationships/externalLink" Target="externalLinks/externalLink62.xml"/><Relationship Id="rId86" Type="http://schemas.openxmlformats.org/officeDocument/2006/relationships/externalLink" Target="externalLinks/externalLink67.xml"/><Relationship Id="rId130" Type="http://schemas.openxmlformats.org/officeDocument/2006/relationships/externalLink" Target="externalLinks/externalLink111.xml"/><Relationship Id="rId135" Type="http://schemas.openxmlformats.org/officeDocument/2006/relationships/externalLink" Target="externalLinks/externalLink116.xml"/><Relationship Id="rId151" Type="http://schemas.openxmlformats.org/officeDocument/2006/relationships/externalLink" Target="externalLinks/externalLink132.xml"/><Relationship Id="rId156" Type="http://schemas.openxmlformats.org/officeDocument/2006/relationships/externalLink" Target="externalLinks/externalLink137.xml"/><Relationship Id="rId177" Type="http://schemas.openxmlformats.org/officeDocument/2006/relationships/customXml" Target="../customXml/item3.xml"/><Relationship Id="rId172" Type="http://schemas.openxmlformats.org/officeDocument/2006/relationships/styles" Target="styles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20.xml"/><Relationship Id="rId109" Type="http://schemas.openxmlformats.org/officeDocument/2006/relationships/externalLink" Target="externalLinks/externalLink90.xml"/><Relationship Id="rId34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31.xml"/><Relationship Id="rId55" Type="http://schemas.openxmlformats.org/officeDocument/2006/relationships/externalLink" Target="externalLinks/externalLink36.xml"/><Relationship Id="rId76" Type="http://schemas.openxmlformats.org/officeDocument/2006/relationships/externalLink" Target="externalLinks/externalLink57.xml"/><Relationship Id="rId97" Type="http://schemas.openxmlformats.org/officeDocument/2006/relationships/externalLink" Target="externalLinks/externalLink78.xml"/><Relationship Id="rId104" Type="http://schemas.openxmlformats.org/officeDocument/2006/relationships/externalLink" Target="externalLinks/externalLink85.xml"/><Relationship Id="rId120" Type="http://schemas.openxmlformats.org/officeDocument/2006/relationships/externalLink" Target="externalLinks/externalLink101.xml"/><Relationship Id="rId125" Type="http://schemas.openxmlformats.org/officeDocument/2006/relationships/externalLink" Target="externalLinks/externalLink106.xml"/><Relationship Id="rId141" Type="http://schemas.openxmlformats.org/officeDocument/2006/relationships/externalLink" Target="externalLinks/externalLink122.xml"/><Relationship Id="rId146" Type="http://schemas.openxmlformats.org/officeDocument/2006/relationships/externalLink" Target="externalLinks/externalLink127.xml"/><Relationship Id="rId167" Type="http://schemas.openxmlformats.org/officeDocument/2006/relationships/externalLink" Target="externalLinks/externalLink148.xml"/><Relationship Id="rId7" Type="http://schemas.openxmlformats.org/officeDocument/2006/relationships/worksheet" Target="worksheets/sheet7.xml"/><Relationship Id="rId71" Type="http://schemas.openxmlformats.org/officeDocument/2006/relationships/externalLink" Target="externalLinks/externalLink52.xml"/><Relationship Id="rId92" Type="http://schemas.openxmlformats.org/officeDocument/2006/relationships/externalLink" Target="externalLinks/externalLink73.xml"/><Relationship Id="rId162" Type="http://schemas.openxmlformats.org/officeDocument/2006/relationships/externalLink" Target="externalLinks/externalLink143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5.xml"/><Relationship Id="rId40" Type="http://schemas.openxmlformats.org/officeDocument/2006/relationships/externalLink" Target="externalLinks/externalLink21.xml"/><Relationship Id="rId45" Type="http://schemas.openxmlformats.org/officeDocument/2006/relationships/externalLink" Target="externalLinks/externalLink26.xml"/><Relationship Id="rId66" Type="http://schemas.openxmlformats.org/officeDocument/2006/relationships/externalLink" Target="externalLinks/externalLink47.xml"/><Relationship Id="rId87" Type="http://schemas.openxmlformats.org/officeDocument/2006/relationships/externalLink" Target="externalLinks/externalLink68.xml"/><Relationship Id="rId110" Type="http://schemas.openxmlformats.org/officeDocument/2006/relationships/externalLink" Target="externalLinks/externalLink91.xml"/><Relationship Id="rId115" Type="http://schemas.openxmlformats.org/officeDocument/2006/relationships/externalLink" Target="externalLinks/externalLink96.xml"/><Relationship Id="rId131" Type="http://schemas.openxmlformats.org/officeDocument/2006/relationships/externalLink" Target="externalLinks/externalLink112.xml"/><Relationship Id="rId136" Type="http://schemas.openxmlformats.org/officeDocument/2006/relationships/externalLink" Target="externalLinks/externalLink117.xml"/><Relationship Id="rId157" Type="http://schemas.openxmlformats.org/officeDocument/2006/relationships/externalLink" Target="externalLinks/externalLink138.xml"/><Relationship Id="rId61" Type="http://schemas.openxmlformats.org/officeDocument/2006/relationships/externalLink" Target="externalLinks/externalLink42.xml"/><Relationship Id="rId82" Type="http://schemas.openxmlformats.org/officeDocument/2006/relationships/externalLink" Target="externalLinks/externalLink63.xml"/><Relationship Id="rId152" Type="http://schemas.openxmlformats.org/officeDocument/2006/relationships/externalLink" Target="externalLinks/externalLink133.xml"/><Relationship Id="rId173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externalLink" Target="externalLinks/externalLink11.xml"/><Relationship Id="rId35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37.xml"/><Relationship Id="rId77" Type="http://schemas.openxmlformats.org/officeDocument/2006/relationships/externalLink" Target="externalLinks/externalLink58.xml"/><Relationship Id="rId100" Type="http://schemas.openxmlformats.org/officeDocument/2006/relationships/externalLink" Target="externalLinks/externalLink81.xml"/><Relationship Id="rId105" Type="http://schemas.openxmlformats.org/officeDocument/2006/relationships/externalLink" Target="externalLinks/externalLink86.xml"/><Relationship Id="rId126" Type="http://schemas.openxmlformats.org/officeDocument/2006/relationships/externalLink" Target="externalLinks/externalLink107.xml"/><Relationship Id="rId147" Type="http://schemas.openxmlformats.org/officeDocument/2006/relationships/externalLink" Target="externalLinks/externalLink128.xml"/><Relationship Id="rId168" Type="http://schemas.openxmlformats.org/officeDocument/2006/relationships/externalLink" Target="externalLinks/externalLink149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2.xml"/><Relationship Id="rId72" Type="http://schemas.openxmlformats.org/officeDocument/2006/relationships/externalLink" Target="externalLinks/externalLink53.xml"/><Relationship Id="rId93" Type="http://schemas.openxmlformats.org/officeDocument/2006/relationships/externalLink" Target="externalLinks/externalLink74.xml"/><Relationship Id="rId98" Type="http://schemas.openxmlformats.org/officeDocument/2006/relationships/externalLink" Target="externalLinks/externalLink79.xml"/><Relationship Id="rId121" Type="http://schemas.openxmlformats.org/officeDocument/2006/relationships/externalLink" Target="externalLinks/externalLink102.xml"/><Relationship Id="rId142" Type="http://schemas.openxmlformats.org/officeDocument/2006/relationships/externalLink" Target="externalLinks/externalLink123.xml"/><Relationship Id="rId163" Type="http://schemas.openxmlformats.org/officeDocument/2006/relationships/externalLink" Target="externalLinks/externalLink144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6.xml"/><Relationship Id="rId46" Type="http://schemas.openxmlformats.org/officeDocument/2006/relationships/externalLink" Target="externalLinks/externalLink27.xml"/><Relationship Id="rId67" Type="http://schemas.openxmlformats.org/officeDocument/2006/relationships/externalLink" Target="externalLinks/externalLink48.xml"/><Relationship Id="rId116" Type="http://schemas.openxmlformats.org/officeDocument/2006/relationships/externalLink" Target="externalLinks/externalLink97.xml"/><Relationship Id="rId137" Type="http://schemas.openxmlformats.org/officeDocument/2006/relationships/externalLink" Target="externalLinks/externalLink118.xml"/><Relationship Id="rId158" Type="http://schemas.openxmlformats.org/officeDocument/2006/relationships/externalLink" Target="externalLinks/externalLink139.xml"/><Relationship Id="rId20" Type="http://schemas.openxmlformats.org/officeDocument/2006/relationships/externalLink" Target="externalLinks/externalLink1.xml"/><Relationship Id="rId41" Type="http://schemas.openxmlformats.org/officeDocument/2006/relationships/externalLink" Target="externalLinks/externalLink22.xml"/><Relationship Id="rId62" Type="http://schemas.openxmlformats.org/officeDocument/2006/relationships/externalLink" Target="externalLinks/externalLink43.xml"/><Relationship Id="rId83" Type="http://schemas.openxmlformats.org/officeDocument/2006/relationships/externalLink" Target="externalLinks/externalLink64.xml"/><Relationship Id="rId88" Type="http://schemas.openxmlformats.org/officeDocument/2006/relationships/externalLink" Target="externalLinks/externalLink69.xml"/><Relationship Id="rId111" Type="http://schemas.openxmlformats.org/officeDocument/2006/relationships/externalLink" Target="externalLinks/externalLink92.xml"/><Relationship Id="rId132" Type="http://schemas.openxmlformats.org/officeDocument/2006/relationships/externalLink" Target="externalLinks/externalLink113.xml"/><Relationship Id="rId153" Type="http://schemas.openxmlformats.org/officeDocument/2006/relationships/externalLink" Target="externalLinks/externalLink134.xml"/><Relationship Id="rId174" Type="http://schemas.openxmlformats.org/officeDocument/2006/relationships/calcChain" Target="calcChain.xml"/><Relationship Id="rId15" Type="http://schemas.openxmlformats.org/officeDocument/2006/relationships/worksheet" Target="worksheets/sheet15.xml"/><Relationship Id="rId36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38.xml"/><Relationship Id="rId106" Type="http://schemas.openxmlformats.org/officeDocument/2006/relationships/externalLink" Target="externalLinks/externalLink87.xml"/><Relationship Id="rId127" Type="http://schemas.openxmlformats.org/officeDocument/2006/relationships/externalLink" Target="externalLinks/externalLink108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33.xml"/><Relationship Id="rId73" Type="http://schemas.openxmlformats.org/officeDocument/2006/relationships/externalLink" Target="externalLinks/externalLink54.xml"/><Relationship Id="rId78" Type="http://schemas.openxmlformats.org/officeDocument/2006/relationships/externalLink" Target="externalLinks/externalLink59.xml"/><Relationship Id="rId94" Type="http://schemas.openxmlformats.org/officeDocument/2006/relationships/externalLink" Target="externalLinks/externalLink75.xml"/><Relationship Id="rId99" Type="http://schemas.openxmlformats.org/officeDocument/2006/relationships/externalLink" Target="externalLinks/externalLink80.xml"/><Relationship Id="rId101" Type="http://schemas.openxmlformats.org/officeDocument/2006/relationships/externalLink" Target="externalLinks/externalLink82.xml"/><Relationship Id="rId122" Type="http://schemas.openxmlformats.org/officeDocument/2006/relationships/externalLink" Target="externalLinks/externalLink103.xml"/><Relationship Id="rId143" Type="http://schemas.openxmlformats.org/officeDocument/2006/relationships/externalLink" Target="externalLinks/externalLink124.xml"/><Relationship Id="rId148" Type="http://schemas.openxmlformats.org/officeDocument/2006/relationships/externalLink" Target="externalLinks/externalLink129.xml"/><Relationship Id="rId164" Type="http://schemas.openxmlformats.org/officeDocument/2006/relationships/externalLink" Target="externalLinks/externalLink145.xml"/><Relationship Id="rId169" Type="http://schemas.openxmlformats.org/officeDocument/2006/relationships/externalLink" Target="externalLinks/externalLink15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externalLink" Target="externalLinks/externalLink7.xml"/><Relationship Id="rId47" Type="http://schemas.openxmlformats.org/officeDocument/2006/relationships/externalLink" Target="externalLinks/externalLink28.xml"/><Relationship Id="rId68" Type="http://schemas.openxmlformats.org/officeDocument/2006/relationships/externalLink" Target="externalLinks/externalLink49.xml"/><Relationship Id="rId89" Type="http://schemas.openxmlformats.org/officeDocument/2006/relationships/externalLink" Target="externalLinks/externalLink70.xml"/><Relationship Id="rId112" Type="http://schemas.openxmlformats.org/officeDocument/2006/relationships/externalLink" Target="externalLinks/externalLink93.xml"/><Relationship Id="rId133" Type="http://schemas.openxmlformats.org/officeDocument/2006/relationships/externalLink" Target="externalLinks/externalLink114.xml"/><Relationship Id="rId154" Type="http://schemas.openxmlformats.org/officeDocument/2006/relationships/externalLink" Target="externalLinks/externalLink135.xml"/><Relationship Id="rId175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37" Type="http://schemas.openxmlformats.org/officeDocument/2006/relationships/externalLink" Target="externalLinks/externalLink18.xml"/><Relationship Id="rId58" Type="http://schemas.openxmlformats.org/officeDocument/2006/relationships/externalLink" Target="externalLinks/externalLink39.xml"/><Relationship Id="rId79" Type="http://schemas.openxmlformats.org/officeDocument/2006/relationships/externalLink" Target="externalLinks/externalLink60.xml"/><Relationship Id="rId102" Type="http://schemas.openxmlformats.org/officeDocument/2006/relationships/externalLink" Target="externalLinks/externalLink83.xml"/><Relationship Id="rId123" Type="http://schemas.openxmlformats.org/officeDocument/2006/relationships/externalLink" Target="externalLinks/externalLink104.xml"/><Relationship Id="rId144" Type="http://schemas.openxmlformats.org/officeDocument/2006/relationships/externalLink" Target="externalLinks/externalLink125.xml"/><Relationship Id="rId90" Type="http://schemas.openxmlformats.org/officeDocument/2006/relationships/externalLink" Target="externalLinks/externalLink71.xml"/><Relationship Id="rId165" Type="http://schemas.openxmlformats.org/officeDocument/2006/relationships/externalLink" Target="externalLinks/externalLink146.xml"/><Relationship Id="rId27" Type="http://schemas.openxmlformats.org/officeDocument/2006/relationships/externalLink" Target="externalLinks/externalLink8.xml"/><Relationship Id="rId48" Type="http://schemas.openxmlformats.org/officeDocument/2006/relationships/externalLink" Target="externalLinks/externalLink29.xml"/><Relationship Id="rId69" Type="http://schemas.openxmlformats.org/officeDocument/2006/relationships/externalLink" Target="externalLinks/externalLink50.xml"/><Relationship Id="rId113" Type="http://schemas.openxmlformats.org/officeDocument/2006/relationships/externalLink" Target="externalLinks/externalLink94.xml"/><Relationship Id="rId134" Type="http://schemas.openxmlformats.org/officeDocument/2006/relationships/externalLink" Target="externalLinks/externalLink115.xml"/><Relationship Id="rId80" Type="http://schemas.openxmlformats.org/officeDocument/2006/relationships/externalLink" Target="externalLinks/externalLink61.xml"/><Relationship Id="rId155" Type="http://schemas.openxmlformats.org/officeDocument/2006/relationships/externalLink" Target="externalLinks/externalLink136.xml"/><Relationship Id="rId176" Type="http://schemas.openxmlformats.org/officeDocument/2006/relationships/customXml" Target="../customXml/item2.xml"/><Relationship Id="rId17" Type="http://schemas.openxmlformats.org/officeDocument/2006/relationships/worksheet" Target="worksheets/sheet17.xml"/><Relationship Id="rId38" Type="http://schemas.openxmlformats.org/officeDocument/2006/relationships/externalLink" Target="externalLinks/externalLink19.xml"/><Relationship Id="rId59" Type="http://schemas.openxmlformats.org/officeDocument/2006/relationships/externalLink" Target="externalLinks/externalLink40.xml"/><Relationship Id="rId103" Type="http://schemas.openxmlformats.org/officeDocument/2006/relationships/externalLink" Target="externalLinks/externalLink84.xml"/><Relationship Id="rId124" Type="http://schemas.openxmlformats.org/officeDocument/2006/relationships/externalLink" Target="externalLinks/externalLink105.xml"/><Relationship Id="rId70" Type="http://schemas.openxmlformats.org/officeDocument/2006/relationships/externalLink" Target="externalLinks/externalLink51.xml"/><Relationship Id="rId91" Type="http://schemas.openxmlformats.org/officeDocument/2006/relationships/externalLink" Target="externalLinks/externalLink72.xml"/><Relationship Id="rId145" Type="http://schemas.openxmlformats.org/officeDocument/2006/relationships/externalLink" Target="externalLinks/externalLink126.xml"/><Relationship Id="rId166" Type="http://schemas.openxmlformats.org/officeDocument/2006/relationships/externalLink" Target="externalLinks/externalLink147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542925</xdr:colOff>
      <xdr:row>4</xdr:row>
      <xdr:rowOff>57150</xdr:rowOff>
    </xdr:from>
    <xdr:to>
      <xdr:col>8</xdr:col>
      <xdr:colOff>1181100</xdr:colOff>
      <xdr:row>6</xdr:row>
      <xdr:rowOff>76200</xdr:rowOff>
    </xdr:to>
    <xdr:pic>
      <xdr:nvPicPr>
        <xdr:cNvPr id="15759" name="Picture 7">
          <a:extLst>
            <a:ext uri="{FF2B5EF4-FFF2-40B4-BE49-F238E27FC236}">
              <a16:creationId xmlns:a16="http://schemas.microsoft.com/office/drawing/2014/main" id="{13DA9C68-EFA2-CF72-28A9-CFAC4161B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77050" y="1190625"/>
          <a:ext cx="638175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2</xdr:row>
      <xdr:rowOff>28575</xdr:rowOff>
    </xdr:from>
    <xdr:to>
      <xdr:col>8</xdr:col>
      <xdr:colOff>285750</xdr:colOff>
      <xdr:row>4</xdr:row>
      <xdr:rowOff>0</xdr:rowOff>
    </xdr:to>
    <xdr:pic>
      <xdr:nvPicPr>
        <xdr:cNvPr id="15760" name="Picture 6" descr="KOKUSAI">
          <a:extLst>
            <a:ext uri="{FF2B5EF4-FFF2-40B4-BE49-F238E27FC236}">
              <a16:creationId xmlns:a16="http://schemas.microsoft.com/office/drawing/2014/main" id="{B439C500-5290-C05B-0881-6CE59DCE2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8175" y="685800"/>
          <a:ext cx="21717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38</xdr:row>
      <xdr:rowOff>257175</xdr:rowOff>
    </xdr:from>
    <xdr:to>
      <xdr:col>8</xdr:col>
      <xdr:colOff>819150</xdr:colOff>
      <xdr:row>46</xdr:row>
      <xdr:rowOff>171450</xdr:rowOff>
    </xdr:to>
    <xdr:sp macro="" textlink="">
      <xdr:nvSpPr>
        <xdr:cNvPr id="1213" name="위쪽 화살표 1">
          <a:extLst>
            <a:ext uri="{FF2B5EF4-FFF2-40B4-BE49-F238E27FC236}">
              <a16:creationId xmlns:a16="http://schemas.microsoft.com/office/drawing/2014/main" id="{85B74848-0EF8-6188-C9B6-8E4B29FC48E0}"/>
            </a:ext>
          </a:extLst>
        </xdr:cNvPr>
        <xdr:cNvSpPr>
          <a:spLocks noChangeArrowheads="1"/>
        </xdr:cNvSpPr>
      </xdr:nvSpPr>
      <xdr:spPr bwMode="auto">
        <a:xfrm>
          <a:off x="5619750" y="9420225"/>
          <a:ext cx="133350" cy="1914525"/>
        </a:xfrm>
        <a:prstGeom prst="upArrow">
          <a:avLst>
            <a:gd name="adj1" fmla="val 50000"/>
            <a:gd name="adj2" fmla="val 51845"/>
          </a:avLst>
        </a:prstGeom>
        <a:solidFill>
          <a:srgbClr val="FF0000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381000</xdr:colOff>
      <xdr:row>41</xdr:row>
      <xdr:rowOff>142875</xdr:rowOff>
    </xdr:from>
    <xdr:to>
      <xdr:col>14</xdr:col>
      <xdr:colOff>561980</xdr:colOff>
      <xdr:row>43</xdr:row>
      <xdr:rowOff>186368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5F155BB2-3205-53CD-EA2C-DFF96C06421A}"/>
            </a:ext>
          </a:extLst>
        </xdr:cNvPr>
        <xdr:cNvSpPr>
          <a:spLocks/>
        </xdr:cNvSpPr>
      </xdr:nvSpPr>
      <xdr:spPr bwMode="auto">
        <a:xfrm>
          <a:off x="6648450" y="10058400"/>
          <a:ext cx="4895855" cy="653093"/>
        </a:xfrm>
        <a:prstGeom prst="borderCallout1">
          <a:avLst>
            <a:gd name="adj1" fmla="val 48000"/>
            <a:gd name="adj2" fmla="val -2532"/>
            <a:gd name="adj3" fmla="val 51101"/>
            <a:gd name="adj4" fmla="val -66127"/>
          </a:avLst>
        </a:prstGeom>
        <a:solidFill>
          <a:srgbClr val="FFFF99"/>
        </a:solidFill>
        <a:ln w="9525">
          <a:solidFill>
            <a:srgbClr val="000000"/>
          </a:solidFill>
          <a:miter lim="800000"/>
          <a:headEnd/>
          <a:tailEnd type="arrow" w="med" len="med"/>
        </a:ln>
      </xdr:spPr>
      <xdr:txBody>
        <a:bodyPr vertOverflow="clip" wrap="square" lIns="27432" tIns="18288" rIns="0" bIns="18288" anchor="ctr" upright="1"/>
        <a:lstStyle/>
        <a:p>
          <a:pPr algn="l" rtl="0">
            <a:defRPr sz="1000"/>
          </a:pP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입찰시 산업안전관리비를 감안하여 입찰필요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300"/>
            </a:lnSpc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(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합계금액 고정</a:t>
          </a: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)</a:t>
          </a:r>
          <a:r>
            <a:rPr lang="ko-KR" altLang="en-US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</a:t>
          </a:r>
          <a:endParaRPr lang="en-US" altLang="ko-KR" sz="1100" b="0" i="0" u="none" strike="noStrike" baseline="0">
            <a:solidFill>
              <a:srgbClr val="000000"/>
            </a:solidFill>
            <a:latin typeface="굴림"/>
            <a:ea typeface="굴림"/>
          </a:endParaRPr>
        </a:p>
        <a:p>
          <a:pPr algn="l" rtl="0">
            <a:lnSpc>
              <a:spcPts val="1300"/>
            </a:lnSpc>
            <a:defRPr sz="1000"/>
          </a:pPr>
          <a:r>
            <a:rPr lang="en-US" altLang="ko-KR" sz="1100" b="0" i="0" u="none" strike="noStrike" baseline="0">
              <a:solidFill>
                <a:srgbClr val="000000"/>
              </a:solidFill>
              <a:latin typeface="굴림"/>
              <a:ea typeface="굴림"/>
            </a:rPr>
            <a:t>  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※ 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하기 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2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개의 계상기준중 작은금액으로 자동입력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(</a:t>
          </a:r>
          <a:r>
            <a:rPr lang="ko-KR" altLang="en-US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천단위 절상</a:t>
          </a:r>
          <a:r>
            <a:rPr lang="en-US" altLang="ko-KR" sz="1100" b="1" i="0" u="none" strike="noStrike" baseline="0">
              <a:solidFill>
                <a:srgbClr val="FF0000"/>
              </a:solidFill>
              <a:latin typeface="굴림"/>
              <a:ea typeface="굴림"/>
            </a:rPr>
            <a:t>)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74295</xdr:colOff>
      <xdr:row>0</xdr:row>
      <xdr:rowOff>0</xdr:rowOff>
    </xdr:from>
    <xdr:to>
      <xdr:col>8</xdr:col>
      <xdr:colOff>962032</xdr:colOff>
      <xdr:row>1</xdr:row>
      <xdr:rowOff>0</xdr:rowOff>
    </xdr:to>
    <xdr:sp macro="" textlink="">
      <xdr:nvSpPr>
        <xdr:cNvPr id="3073" name="Rectangle 1">
          <a:extLst>
            <a:ext uri="{FF2B5EF4-FFF2-40B4-BE49-F238E27FC236}">
              <a16:creationId xmlns:a16="http://schemas.microsoft.com/office/drawing/2014/main" id="{A24E7F0D-AEB9-11AE-92F0-956132C8DDDA}"/>
            </a:ext>
          </a:extLst>
        </xdr:cNvPr>
        <xdr:cNvSpPr>
          <a:spLocks noChangeArrowheads="1"/>
        </xdr:cNvSpPr>
      </xdr:nvSpPr>
      <xdr:spPr bwMode="auto">
        <a:xfrm>
          <a:off x="7172325" y="0"/>
          <a:ext cx="2085975" cy="2857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부만 기재하세요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6</xdr:col>
      <xdr:colOff>295275</xdr:colOff>
      <xdr:row>0</xdr:row>
      <xdr:rowOff>276398</xdr:rowOff>
    </xdr:to>
    <xdr:sp macro="[0]!값이있는행만출력하시오" textlink="">
      <xdr:nvSpPr>
        <xdr:cNvPr id="3094" name="AutoShape 22">
          <a:extLst>
            <a:ext uri="{FF2B5EF4-FFF2-40B4-BE49-F238E27FC236}">
              <a16:creationId xmlns:a16="http://schemas.microsoft.com/office/drawing/2014/main" id="{68F0A755-CF20-EDB7-B412-3101661782C7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24669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 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그러시면 저를 누르세요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49530</xdr:colOff>
      <xdr:row>0</xdr:row>
      <xdr:rowOff>0</xdr:rowOff>
    </xdr:from>
    <xdr:to>
      <xdr:col>8</xdr:col>
      <xdr:colOff>962033</xdr:colOff>
      <xdr:row>1</xdr:row>
      <xdr:rowOff>0</xdr:rowOff>
    </xdr:to>
    <xdr:sp macro="" textlink="">
      <xdr:nvSpPr>
        <xdr:cNvPr id="4097" name="Rectangle 1">
          <a:extLst>
            <a:ext uri="{FF2B5EF4-FFF2-40B4-BE49-F238E27FC236}">
              <a16:creationId xmlns:a16="http://schemas.microsoft.com/office/drawing/2014/main" id="{D0592349-BF25-4BF8-233E-6EBB40B000EA}"/>
            </a:ext>
          </a:extLst>
        </xdr:cNvPr>
        <xdr:cNvSpPr>
          <a:spLocks noChangeArrowheads="1"/>
        </xdr:cNvSpPr>
      </xdr:nvSpPr>
      <xdr:spPr bwMode="auto">
        <a:xfrm>
          <a:off x="5391150" y="0"/>
          <a:ext cx="3867150" cy="2857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1228725</xdr:colOff>
      <xdr:row>0</xdr:row>
      <xdr:rowOff>276398</xdr:rowOff>
    </xdr:to>
    <xdr:sp macro="[0]!값이있는행만출력하시오" textlink="">
      <xdr:nvSpPr>
        <xdr:cNvPr id="4101" name="AutoShape 5">
          <a:extLst>
            <a:ext uri="{FF2B5EF4-FFF2-40B4-BE49-F238E27FC236}">
              <a16:creationId xmlns:a16="http://schemas.microsoft.com/office/drawing/2014/main" id="{098A9253-554B-1716-206B-2831EAB21326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287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1266825</xdr:colOff>
      <xdr:row>0</xdr:row>
      <xdr:rowOff>276398</xdr:rowOff>
    </xdr:to>
    <xdr:sp macro="[0]!값이있는행만출력하시오" textlink="">
      <xdr:nvSpPr>
        <xdr:cNvPr id="5124" name="AutoShape 4">
          <a:extLst>
            <a:ext uri="{FF2B5EF4-FFF2-40B4-BE49-F238E27FC236}">
              <a16:creationId xmlns:a16="http://schemas.microsoft.com/office/drawing/2014/main" id="{C31022F0-16B4-A40C-5BF5-82FE0FA2F7D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6680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5135" name="Rectangle 15">
          <a:extLst>
            <a:ext uri="{FF2B5EF4-FFF2-40B4-BE49-F238E27FC236}">
              <a16:creationId xmlns:a16="http://schemas.microsoft.com/office/drawing/2014/main" id="{FAEA78EC-FA95-9FC6-F6D9-5438D474621D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1278282</xdr:colOff>
      <xdr:row>0</xdr:row>
      <xdr:rowOff>276398</xdr:rowOff>
    </xdr:to>
    <xdr:sp macro="[0]!값이있는행만출력하시오" textlink="">
      <xdr:nvSpPr>
        <xdr:cNvPr id="6148" name="AutoShape 4">
          <a:extLst>
            <a:ext uri="{FF2B5EF4-FFF2-40B4-BE49-F238E27FC236}">
              <a16:creationId xmlns:a16="http://schemas.microsoft.com/office/drawing/2014/main" id="{ED0C3227-FBC4-AE07-BFE9-48BFDE7C88FB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858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6151" name="Rectangle 7">
          <a:extLst>
            <a:ext uri="{FF2B5EF4-FFF2-40B4-BE49-F238E27FC236}">
              <a16:creationId xmlns:a16="http://schemas.microsoft.com/office/drawing/2014/main" id="{0F899B70-45CA-E05A-FBFC-4C65D1CF2483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1287824</xdr:colOff>
      <xdr:row>0</xdr:row>
      <xdr:rowOff>276398</xdr:rowOff>
    </xdr:to>
    <xdr:sp macro="[0]!값이있는행만출력하시오" textlink="">
      <xdr:nvSpPr>
        <xdr:cNvPr id="2" name="AutoShape 4">
          <a:extLst>
            <a:ext uri="{FF2B5EF4-FFF2-40B4-BE49-F238E27FC236}">
              <a16:creationId xmlns:a16="http://schemas.microsoft.com/office/drawing/2014/main" id="{4F90C1B0-BE79-1C8C-C269-6D4C8E137E57}"/>
            </a:ext>
          </a:extLst>
        </xdr:cNvPr>
        <xdr:cNvSpPr>
          <a:spLocks noChangeArrowheads="1"/>
        </xdr:cNvSpPr>
      </xdr:nvSpPr>
      <xdr:spPr bwMode="auto">
        <a:xfrm>
          <a:off x="3743325" y="11430"/>
          <a:ext cx="1078257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3" name="Rectangle 7">
          <a:extLst>
            <a:ext uri="{FF2B5EF4-FFF2-40B4-BE49-F238E27FC236}">
              <a16:creationId xmlns:a16="http://schemas.microsoft.com/office/drawing/2014/main" id="{7018EDB8-BC3E-6BBE-0984-F046D9547B12}"/>
            </a:ext>
          </a:extLst>
        </xdr:cNvPr>
        <xdr:cNvSpPr>
          <a:spLocks noChangeArrowheads="1"/>
        </xdr:cNvSpPr>
      </xdr:nvSpPr>
      <xdr:spPr bwMode="auto">
        <a:xfrm>
          <a:off x="5374005" y="0"/>
          <a:ext cx="3861435" cy="28194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1192573</xdr:colOff>
      <xdr:row>0</xdr:row>
      <xdr:rowOff>276398</xdr:rowOff>
    </xdr:to>
    <xdr:sp macro="[0]!값이있는행만출력하시오" textlink="">
      <xdr:nvSpPr>
        <xdr:cNvPr id="7172" name="AutoShape 4">
          <a:extLst>
            <a:ext uri="{FF2B5EF4-FFF2-40B4-BE49-F238E27FC236}">
              <a16:creationId xmlns:a16="http://schemas.microsoft.com/office/drawing/2014/main" id="{0C2D86D8-F128-82A0-71CA-5E58594A82E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001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7175" name="Rectangle 7">
          <a:extLst>
            <a:ext uri="{FF2B5EF4-FFF2-40B4-BE49-F238E27FC236}">
              <a16:creationId xmlns:a16="http://schemas.microsoft.com/office/drawing/2014/main" id="{ED56C9D0-3BBF-63B5-3587-13F9FBFD3D47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2</xdr:col>
      <xdr:colOff>19050</xdr:colOff>
      <xdr:row>326</xdr:row>
      <xdr:rowOff>0</xdr:rowOff>
    </xdr:from>
    <xdr:to>
      <xdr:col>9</xdr:col>
      <xdr:colOff>9</xdr:colOff>
      <xdr:row>326</xdr:row>
      <xdr:rowOff>0</xdr:rowOff>
    </xdr:to>
    <xdr:sp macro="" textlink="">
      <xdr:nvSpPr>
        <xdr:cNvPr id="7176" name="Rectangle 8">
          <a:extLst>
            <a:ext uri="{FF2B5EF4-FFF2-40B4-BE49-F238E27FC236}">
              <a16:creationId xmlns:a16="http://schemas.microsoft.com/office/drawing/2014/main" id="{1549E1BB-7EE2-42B2-14D7-8126FF7E070D}"/>
            </a:ext>
          </a:extLst>
        </xdr:cNvPr>
        <xdr:cNvSpPr>
          <a:spLocks noChangeArrowheads="1"/>
        </xdr:cNvSpPr>
      </xdr:nvSpPr>
      <xdr:spPr bwMode="auto">
        <a:xfrm>
          <a:off x="1752600" y="29498925"/>
          <a:ext cx="75152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전기부문은 전기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SHEET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에 작성하세요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1183039</xdr:colOff>
      <xdr:row>0</xdr:row>
      <xdr:rowOff>276398</xdr:rowOff>
    </xdr:to>
    <xdr:sp macro="[0]!값이있는행만출력하시오" textlink="">
      <xdr:nvSpPr>
        <xdr:cNvPr id="8196" name="AutoShape 4">
          <a:extLst>
            <a:ext uri="{FF2B5EF4-FFF2-40B4-BE49-F238E27FC236}">
              <a16:creationId xmlns:a16="http://schemas.microsoft.com/office/drawing/2014/main" id="{279C5BB9-4D40-FA64-6C0E-E388F6A2C573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8200" name="Rectangle 8">
          <a:extLst>
            <a:ext uri="{FF2B5EF4-FFF2-40B4-BE49-F238E27FC236}">
              <a16:creationId xmlns:a16="http://schemas.microsoft.com/office/drawing/2014/main" id="{7609F510-ACCE-0F9A-C604-29ED1C233BB6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4143375" cy="2857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1240183</xdr:colOff>
      <xdr:row>0</xdr:row>
      <xdr:rowOff>276398</xdr:rowOff>
    </xdr:to>
    <xdr:sp macro="[0]!값이있는행만출력하시오" textlink="">
      <xdr:nvSpPr>
        <xdr:cNvPr id="9220" name="AutoShape 4">
          <a:extLst>
            <a:ext uri="{FF2B5EF4-FFF2-40B4-BE49-F238E27FC236}">
              <a16:creationId xmlns:a16="http://schemas.microsoft.com/office/drawing/2014/main" id="{C43EF4AE-B7B4-E1A5-3BEE-0DC85867190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9223" name="Rectangle 7">
          <a:extLst>
            <a:ext uri="{FF2B5EF4-FFF2-40B4-BE49-F238E27FC236}">
              <a16:creationId xmlns:a16="http://schemas.microsoft.com/office/drawing/2014/main" id="{8D02A3BC-708D-1331-B746-8B8D542119D1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533775" cy="285750"/>
        </a:xfrm>
        <a:prstGeom prst="rect">
          <a:avLst/>
        </a:prstGeom>
        <a:solidFill>
          <a:srgbClr val="CC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  <xdr:twoCellAnchor>
    <xdr:from>
      <xdr:col>3</xdr:col>
      <xdr:colOff>200025</xdr:colOff>
      <xdr:row>0</xdr:row>
      <xdr:rowOff>11430</xdr:rowOff>
    </xdr:from>
    <xdr:to>
      <xdr:col>3</xdr:col>
      <xdr:colOff>1240183</xdr:colOff>
      <xdr:row>0</xdr:row>
      <xdr:rowOff>276398</xdr:rowOff>
    </xdr:to>
    <xdr:sp macro="[150]!값이있는행만출력하시오" textlink="">
      <xdr:nvSpPr>
        <xdr:cNvPr id="9224" name="AutoShape 8">
          <a:extLst>
            <a:ext uri="{FF2B5EF4-FFF2-40B4-BE49-F238E27FC236}">
              <a16:creationId xmlns:a16="http://schemas.microsoft.com/office/drawing/2014/main" id="{73CF2A66-EE7F-9C75-F1C9-A6EA13FCC2D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1047750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4</xdr:col>
      <xdr:colOff>304800</xdr:colOff>
      <xdr:row>0</xdr:row>
      <xdr:rowOff>0</xdr:rowOff>
    </xdr:from>
    <xdr:to>
      <xdr:col>8</xdr:col>
      <xdr:colOff>800106</xdr:colOff>
      <xdr:row>1</xdr:row>
      <xdr:rowOff>0</xdr:rowOff>
    </xdr:to>
    <xdr:sp macro="" textlink="">
      <xdr:nvSpPr>
        <xdr:cNvPr id="9226" name="Rectangle 10">
          <a:extLst>
            <a:ext uri="{FF2B5EF4-FFF2-40B4-BE49-F238E27FC236}">
              <a16:creationId xmlns:a16="http://schemas.microsoft.com/office/drawing/2014/main" id="{5C7CA335-6CAD-D97E-B98B-6887B2221562}"/>
            </a:ext>
          </a:extLst>
        </xdr:cNvPr>
        <xdr:cNvSpPr>
          <a:spLocks noChangeArrowheads="1"/>
        </xdr:cNvSpPr>
      </xdr:nvSpPr>
      <xdr:spPr bwMode="auto">
        <a:xfrm>
          <a:off x="5229225" y="0"/>
          <a:ext cx="3533775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1183039</xdr:colOff>
      <xdr:row>0</xdr:row>
      <xdr:rowOff>276398</xdr:rowOff>
    </xdr:to>
    <xdr:sp macro="[0]!값이있는행만출력하시오" textlink="">
      <xdr:nvSpPr>
        <xdr:cNvPr id="10244" name="AutoShape 4">
          <a:extLst>
            <a:ext uri="{FF2B5EF4-FFF2-40B4-BE49-F238E27FC236}">
              <a16:creationId xmlns:a16="http://schemas.microsoft.com/office/drawing/2014/main" id="{82D3572F-1A81-EE0E-80B5-A7B9E5F941A4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8107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10247" name="Rectangle 7">
          <a:extLst>
            <a:ext uri="{FF2B5EF4-FFF2-40B4-BE49-F238E27FC236}">
              <a16:creationId xmlns:a16="http://schemas.microsoft.com/office/drawing/2014/main" id="{653A16ED-C0E2-B7EC-A9AC-DD9999057D6C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1154475</xdr:colOff>
      <xdr:row>0</xdr:row>
      <xdr:rowOff>276398</xdr:rowOff>
    </xdr:to>
    <xdr:sp macro="[0]!값이있는행만출력하시오" textlink="">
      <xdr:nvSpPr>
        <xdr:cNvPr id="11268" name="AutoShape 4">
          <a:extLst>
            <a:ext uri="{FF2B5EF4-FFF2-40B4-BE49-F238E27FC236}">
              <a16:creationId xmlns:a16="http://schemas.microsoft.com/office/drawing/2014/main" id="{92ED40C8-5A21-8B62-1CE1-25C6CE065AA0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11271" name="Rectangle 7">
          <a:extLst>
            <a:ext uri="{FF2B5EF4-FFF2-40B4-BE49-F238E27FC236}">
              <a16:creationId xmlns:a16="http://schemas.microsoft.com/office/drawing/2014/main" id="{B93F88EA-0DF4-E326-7A44-352B91CB69A2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914775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1154475</xdr:colOff>
      <xdr:row>0</xdr:row>
      <xdr:rowOff>276398</xdr:rowOff>
    </xdr:to>
    <xdr:sp macro="[0]!값이있는행만출력하시오" textlink="">
      <xdr:nvSpPr>
        <xdr:cNvPr id="13314" name="AutoShape 2">
          <a:extLst>
            <a:ext uri="{FF2B5EF4-FFF2-40B4-BE49-F238E27FC236}">
              <a16:creationId xmlns:a16="http://schemas.microsoft.com/office/drawing/2014/main" id="{59BC324D-6CA6-2589-B4C3-4BD5FCFD9D3F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13316" name="Rectangle 4">
          <a:extLst>
            <a:ext uri="{FF2B5EF4-FFF2-40B4-BE49-F238E27FC236}">
              <a16:creationId xmlns:a16="http://schemas.microsoft.com/office/drawing/2014/main" id="{7D710FDC-8237-7F33-EF56-148DC89AF1BB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1154475</xdr:colOff>
      <xdr:row>0</xdr:row>
      <xdr:rowOff>276398</xdr:rowOff>
    </xdr:to>
    <xdr:sp macro="[0]!값이있는행만출력하시오" textlink="">
      <xdr:nvSpPr>
        <xdr:cNvPr id="14338" name="AutoShape 2">
          <a:extLst>
            <a:ext uri="{FF2B5EF4-FFF2-40B4-BE49-F238E27FC236}">
              <a16:creationId xmlns:a16="http://schemas.microsoft.com/office/drawing/2014/main" id="{9DF2E2B2-7FE2-C28E-1E79-BD21234E7F8C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14340" name="Rectangle 4">
          <a:extLst>
            <a:ext uri="{FF2B5EF4-FFF2-40B4-BE49-F238E27FC236}">
              <a16:creationId xmlns:a16="http://schemas.microsoft.com/office/drawing/2014/main" id="{3D31F369-7A5C-D979-4B2B-A1996802D716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11430</xdr:rowOff>
    </xdr:from>
    <xdr:to>
      <xdr:col>3</xdr:col>
      <xdr:colOff>1154475</xdr:colOff>
      <xdr:row>0</xdr:row>
      <xdr:rowOff>276398</xdr:rowOff>
    </xdr:to>
    <xdr:sp macro="[0]!값이있는행만출력하시오" textlink="">
      <xdr:nvSpPr>
        <xdr:cNvPr id="16385" name="AutoShape 1">
          <a:extLst>
            <a:ext uri="{FF2B5EF4-FFF2-40B4-BE49-F238E27FC236}">
              <a16:creationId xmlns:a16="http://schemas.microsoft.com/office/drawing/2014/main" id="{42734BDA-FD4B-56DD-C50D-0E6B1CC6D365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16387" name="Rectangle 3">
          <a:extLst>
            <a:ext uri="{FF2B5EF4-FFF2-40B4-BE49-F238E27FC236}">
              <a16:creationId xmlns:a16="http://schemas.microsoft.com/office/drawing/2014/main" id="{024D58A4-C512-AB0E-AF5F-6A351464F70F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8671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0</xdr:row>
      <xdr:rowOff>11430</xdr:rowOff>
    </xdr:from>
    <xdr:to>
      <xdr:col>3</xdr:col>
      <xdr:colOff>1154430</xdr:colOff>
      <xdr:row>0</xdr:row>
      <xdr:rowOff>276398</xdr:rowOff>
    </xdr:to>
    <xdr:sp macro="[0]!값이있는행만출력하시오" textlink="">
      <xdr:nvSpPr>
        <xdr:cNvPr id="22529" name="AutoShape 1">
          <a:extLst>
            <a:ext uri="{FF2B5EF4-FFF2-40B4-BE49-F238E27FC236}">
              <a16:creationId xmlns:a16="http://schemas.microsoft.com/office/drawing/2014/main" id="{08FC64DE-D873-586E-77FE-BF1EBEA31EBA}"/>
            </a:ext>
          </a:extLst>
        </xdr:cNvPr>
        <xdr:cNvSpPr>
          <a:spLocks noChangeArrowheads="1"/>
        </xdr:cNvSpPr>
      </xdr:nvSpPr>
      <xdr:spPr bwMode="auto">
        <a:xfrm>
          <a:off x="3743325" y="19050"/>
          <a:ext cx="962025" cy="257175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22530" name="Rectangle 2">
          <a:extLst>
            <a:ext uri="{FF2B5EF4-FFF2-40B4-BE49-F238E27FC236}">
              <a16:creationId xmlns:a16="http://schemas.microsoft.com/office/drawing/2014/main" id="{E953936D-7820-D684-E92B-697DA173F105}"/>
            </a:ext>
          </a:extLst>
        </xdr:cNvPr>
        <xdr:cNvSpPr>
          <a:spLocks noChangeArrowheads="1"/>
        </xdr:cNvSpPr>
      </xdr:nvSpPr>
      <xdr:spPr bwMode="auto">
        <a:xfrm>
          <a:off x="5381625" y="0"/>
          <a:ext cx="3943350" cy="28575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0</xdr:row>
      <xdr:rowOff>11430</xdr:rowOff>
    </xdr:from>
    <xdr:to>
      <xdr:col>3</xdr:col>
      <xdr:colOff>1154430</xdr:colOff>
      <xdr:row>0</xdr:row>
      <xdr:rowOff>276398</xdr:rowOff>
    </xdr:to>
    <xdr:sp macro="[0]!값이있는행만출력하시오" textlink="">
      <xdr:nvSpPr>
        <xdr:cNvPr id="2" name="AutoShape 1">
          <a:extLst>
            <a:ext uri="{FF2B5EF4-FFF2-40B4-BE49-F238E27FC236}">
              <a16:creationId xmlns:a16="http://schemas.microsoft.com/office/drawing/2014/main" id="{AC72143D-81A7-F8B7-4FB2-AE3867AB4840}"/>
            </a:ext>
          </a:extLst>
        </xdr:cNvPr>
        <xdr:cNvSpPr>
          <a:spLocks noChangeArrowheads="1"/>
        </xdr:cNvSpPr>
      </xdr:nvSpPr>
      <xdr:spPr bwMode="auto">
        <a:xfrm>
          <a:off x="3735705" y="11430"/>
          <a:ext cx="962025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3FFC0A9-F93B-1C40-9DE5-21D84D89CB8E}"/>
            </a:ext>
          </a:extLst>
        </xdr:cNvPr>
        <xdr:cNvSpPr>
          <a:spLocks noChangeArrowheads="1"/>
        </xdr:cNvSpPr>
      </xdr:nvSpPr>
      <xdr:spPr bwMode="auto">
        <a:xfrm>
          <a:off x="5374005" y="0"/>
          <a:ext cx="393763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192405</xdr:colOff>
      <xdr:row>0</xdr:row>
      <xdr:rowOff>11430</xdr:rowOff>
    </xdr:from>
    <xdr:to>
      <xdr:col>3</xdr:col>
      <xdr:colOff>1154430</xdr:colOff>
      <xdr:row>0</xdr:row>
      <xdr:rowOff>276398</xdr:rowOff>
    </xdr:to>
    <xdr:sp macro="[0]!값이있는행만출력하시오" textlink="">
      <xdr:nvSpPr>
        <xdr:cNvPr id="2" name="AutoShape 1">
          <a:extLst>
            <a:ext uri="{FF2B5EF4-FFF2-40B4-BE49-F238E27FC236}">
              <a16:creationId xmlns:a16="http://schemas.microsoft.com/office/drawing/2014/main" id="{ED04E3EA-4CAF-98ED-F462-ECEED6ADBDA4}"/>
            </a:ext>
          </a:extLst>
        </xdr:cNvPr>
        <xdr:cNvSpPr>
          <a:spLocks noChangeArrowheads="1"/>
        </xdr:cNvSpPr>
      </xdr:nvSpPr>
      <xdr:spPr bwMode="auto">
        <a:xfrm>
          <a:off x="3735705" y="11430"/>
          <a:ext cx="962025" cy="264968"/>
        </a:xfrm>
        <a:prstGeom prst="bevel">
          <a:avLst>
            <a:gd name="adj" fmla="val 12500"/>
          </a:avLst>
        </a:prstGeom>
        <a:solidFill>
          <a:srgbClr val="CC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인쇄할까요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?</a:t>
          </a:r>
        </a:p>
      </xdr:txBody>
    </xdr:sp>
    <xdr:clientData fPrintsWithSheet="0"/>
  </xdr:twoCellAnchor>
  <xdr:twoCellAnchor>
    <xdr:from>
      <xdr:col>5</xdr:col>
      <xdr:colOff>47625</xdr:colOff>
      <xdr:row>0</xdr:row>
      <xdr:rowOff>0</xdr:rowOff>
    </xdr:from>
    <xdr:to>
      <xdr:col>8</xdr:col>
      <xdr:colOff>952500</xdr:colOff>
      <xdr:row>1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48F2D4F-12C8-15CA-5063-95B6CD1B021C}"/>
            </a:ext>
          </a:extLst>
        </xdr:cNvPr>
        <xdr:cNvSpPr>
          <a:spLocks noChangeArrowheads="1"/>
        </xdr:cNvSpPr>
      </xdr:nvSpPr>
      <xdr:spPr bwMode="auto">
        <a:xfrm>
          <a:off x="5374005" y="0"/>
          <a:ext cx="3937635" cy="281940"/>
        </a:xfrm>
        <a:prstGeom prst="rect">
          <a:avLst/>
        </a:prstGeom>
        <a:solidFill>
          <a:srgbClr val="FFFFCC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공사명은 필히 기재하시고</a:t>
          </a:r>
          <a:r>
            <a:rPr lang="en-US" altLang="ko-KR" sz="1100" b="0" i="0" strike="noStrike">
              <a:solidFill>
                <a:srgbClr val="000000"/>
              </a:solidFill>
              <a:latin typeface="굴림"/>
              <a:ea typeface="굴림"/>
            </a:rPr>
            <a:t>, Color</a:t>
          </a:r>
          <a:r>
            <a:rPr lang="ko-KR" altLang="en-US" sz="1100" b="0" i="0" strike="noStrike">
              <a:solidFill>
                <a:srgbClr val="000000"/>
              </a:solidFill>
              <a:latin typeface="굴림"/>
              <a:ea typeface="굴림"/>
            </a:rPr>
            <a:t>부에 견적하세요</a:t>
          </a:r>
        </a:p>
      </xdr:txBody>
    </xdr:sp>
    <xdr:clientData fPrintsWithSheet="0"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49444;&#48708;&#44277;&#51221;&#50868;&#50689;&#44228;&#54925;(D-G).xls&#51032;%20&#50892;&#53356;&#49884;&#53944;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LZ&#44592;&#54925;&#485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2264;&#51060;&#45236;&#50669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&#44608;&#51648;&#44049;\LZ&#50896;&#44032;\&#50577;&#49885;\PM&#54924;&#51032;1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ACJM\STRULIST\SYSM&#48120;&#48152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YDH\TFT\ISH\DOS\&#54408;&#51032;&#50577;&#49885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4592;&#53440;\&#54801;&#51312;&#51204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&#44288;&#47532;9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TEMP\LHI\SB\&#48139;&#49496;&#48324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LEE\&#49324;&#50629;&#44228;&#54925;\&#54788;&#44552;&#50696;&#49328;\&#51217;&#45824;4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44277;&#51109;&#50868;&#50689;\ILY\&#54616;&#44592;&#51333;&#54633;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4801;&#51312;&#50577;&#49885;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DOS\&#44277;&#53685;&#47928;&#49436;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HEE-DONG\&#49688;&#48520;&#49552;&#51061;\9614\&#49688;&#48520;&#45236;&#49688;.14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44608;&#53468;&#51068;\My%20Documents\&#44277;&#51109;&#50868;&#50689;\&#51473;&#45800;&#44592;&#49373;&#49328;&#45733;&#47141;\98&#53685;&#54224;&#54633;\&#52264;&#51060;&#45236;&#50669;\GENERAL\&#44221;&#48516;&#44592;&#53440;\LHI\SB\&#48139;&#49496;&#48324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1076;&#51116;&#50864;\MC\FEM&#44288;&#47144;\&#51089;&#50629;&#44277;&#49688;_&#50644;&#51652;&#47352;%20&#51089;&#50629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624325\c\WINDOWS\TEMP\JO_DIR\&#51109;&#44592;&#50868;&#50689;\RESULT\&#50577;&#49885;\PM&#54924;&#51032;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&#53804;&#51088;&#44288;&#47144;\&#51665;&#54665;&#50696;&#49328;\&#51204;&#51228;\&#51208;&#44048;&#50577;&#49885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PYS\PM&#54924;&#51032;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&#53804;&#51088;&#44288;&#47144;\&#51665;&#54665;&#50696;&#49328;\&#51204;&#51228;\DSGN&#48708;&#4436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RD98\&#52264;&#51060;&#45236;&#5066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PRJ&#50696;&#49328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AHM\&#47784;&#45944;&#49849;&#51064;\LC&#54200;&#49457;&#54364;\F&#47784;&#45944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AHM\&#47784;&#45944;&#49849;&#51064;\LC&#54200;&#49457;&#54364;\AHM\&#54408;&#51032;&#50577;&#49885;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AHM\&#47784;&#45944;&#49849;&#51064;\LC&#54200;&#49457;&#54364;\RD98\&#52264;&#51060;&#45236;&#50669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&#53804;&#51088;&#44288;&#47144;\&#51665;&#54665;&#50696;&#49328;\&#51204;&#51228;\&#50980;&#51060;&#44732;\94&#45380;&#44048;\&#49328;&#54801;&#52392;&#48512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GK\&#48708;&#44368;&#52264;\GK&#49324;&#51204;&#51665;&#54665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B\&#47784;&#46280;&#54868;\&#52280;&#51312;\KCH\LC\&#44592;&#54925;&#50696;&#49328;\LZ&#51068;&#51221;.315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48373;&#44396;\&#51312;&#44592;1\&#51060;&#51456;&#50689;\&#48516;&#49437;&#48320;&#44221;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1TEAM\&#49436;&#49885;&#47448;&#54632;\&#45824;&#50808;&#44277;&#4792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1999\&#54924;&#51032;&#52404;\&#44592;&#54925;&#51312;&#51221;&#50948;&#50896;&#54924;\&#44592;&#54925;&#51312;&#51221;&#50948;&#50896;&#54924;_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temp\RS(&#51228;&#44228;)\DHLEE\&#49688;&#51221;&#44060;&#48156;&#51068;&#51221;(&#49849;&#50857;2Gr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1999\&#54924;&#51032;&#52404;\&#44592;&#54925;&#51312;&#51221;&#50948;&#50896;&#54924;\&#44592;&#54925;&#51312;&#51221;&#50948;&#50896;&#54924;_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9849;&#54788;\C\temp\RS(&#51228;&#44228;)\DHLEE\&#49688;&#51221;&#44060;&#48156;&#51068;&#51221;(&#49849;&#50857;2Gr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5064;&#44428;\TOPORDER\AAA97\&#49345;&#48152;&#44592;\&#44277;&#52292;\&#48176;&#52824;&#44277;&#47928;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652;&#50864;&#54801;\C\windows\TEMP\CE%20PROJECT\BUCKET(SEAT)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7564;&#46041;K\C\&#47928;&#49436;\&#9428;_&#52264;&#47049;&#44060;&#48156;\FR%20SEDAN\&#44060;&#48156;&#51068;&#51221;\FR%20SEDAN&#44060;&#48156;&#44160;&#53664;_990225&#973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XD%20&#47785;&#54364;&#49457;&#45733;&#51228;&#49884;%20990312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9444;&#48708;&#44536;&#47353;\&#44428;&#54788;&#49688;\%231\&#50640;&#53216;&#49828;\JJH\&#49888;&#44277;&#51109;\&#44277;&#51109;&#44148;&#49444;\&#53804;&#51088;&#50696;&#49328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Z\LZ&#51204;&#50857;&#54868;\&#50696;&#49328;\&#50696;&#49328;&#54408;&#51032;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7\&#44053;&#44552;&#44396;\DOS\WINDOWS\TEMP\&#50896;&#44032;&#48516;&#49437;\&#49688;&#48520;&#48324;\95\&#50896;&#44032;&#53685;&#48372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OD\TEAM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bong\LHJ\98&#44228;&#54925;\&#49444;&#47749;&#54924;\WINDOWS\TEMP\EXCEL\INVEST\&#44228;&#54925;\96&#44228;&#54925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bong\LHJ\98&#44228;&#54925;\&#49444;&#47749;&#54924;\WINDOWS\TEMP\MSOFFICE\HEXCEL\INVEST\96&#49892;&#51201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bong\LHJ\98&#44228;&#54925;\&#49444;&#47749;&#54924;\WINDOWS\TEMP\BOOK2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bong\LHJ\98&#44228;&#54925;\&#49444;&#47749;&#54924;\WINDOWS\TEMP\MSOFFICE\EXCEL\INVEST\&#44228;&#54925;\&#51109;&#44592;&#53804;&#51088;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HOI\PRE-TRIM\XLS\&#45800;&#46021;&#49324;&#50976;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obong\LHJ\98&#44228;&#54925;\&#49444;&#47749;&#54924;\WINDOWS\TEMP\&#49892;&#51201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9457;&#52824;&#47732;\&#49457;&#52824;&#47732;\URGENT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RKS\AU\9511\RKS\AU\95&#51208;&#44048;\PART3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1T\BUS\A1\96_3\KST\&#49548;&#54805;BUS\BUS&#51228;&#50896;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DOS\&#23004;&#21746;&#34224;\FO\HEE-DONG\AVANTE\WAGON\&#47588;&#44032;&#44208;&#51221;\DEP&#44228;&#49328;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WINDOWS\TEMP\&#54532;&#47196;&#51229;&#53944;\&#50504;&#54788;&#47784;\LC\&#54532;&#47196;&#51229;&#53944;16&#51060;&#54980;\&#51312;&#52636;&#48372;&#44256;\LC&#54200;&#49457;&#54364;\RD98\&#52264;&#51060;&#45236;&#50669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CKD\&#45824;&#47564;\MASTER1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gdi507\c\MSLEE\&#44397;&#44032;&#48324;%20&#54788;&#54889;\MALAYSIA\&#51473;&#44397;\&#54924;&#51109;&#45784;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149;&#52285;&#50865;-&#51648;&#50864;&#51648;&#47568;&#44163;\TB&#51088;&#47308;\TB&#45236;&#51109;&#50644;&#46300;&#50500;&#51060;&#53596;(&#50896;&#48376;)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0696;&#49328;&#44288;&#47144;\&#52264;&#51060;&#45236;&#50669;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Z%20F-L\&#49444;&#48708;\&#49324;&#50577;&#49436;\&#53440;&#51060;&#50612;\3TEAM\JS_KIM\CAR\FO\MODULE\SUBLINE\RD98\&#52264;&#51060;&#45236;&#50669;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Z%20F-L\&#49444;&#48708;\&#49324;&#50577;&#49436;\&#53440;&#51060;&#50612;\Xd\&#47784;&#46280;&#54868;\CPAD\RD98\&#52264;&#51060;&#45236;&#50669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305;SM\&#50896;&#44032;&#51648;&#52840;\&#52509;&#49552;&#51061;\&#51116;&#47308;&#48708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EXCEL\&#54788;&#54889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Z%20F-L\&#49444;&#48708;\&#49324;&#50577;&#49436;\&#53440;&#51060;&#50612;\SIS\EF\A&#49552;&#51061;1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Z%20F-L\&#49444;&#48708;\&#49324;&#50577;&#49436;\&#53440;&#51060;&#50612;\LHJ\&#49892;&#48516;&#49437;\96TOTAL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Z%20F-L\&#49444;&#48708;\&#49324;&#50577;&#49436;\&#53440;&#51060;&#50612;\gobong\LHJ\98&#44228;&#54925;\&#49444;&#47749;&#54924;\WINDOWS\TEMP\MSOFFICE\EXCEL\INVEST\&#44228;&#54925;\&#51109;&#44592;&#53804;&#51088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49444;&#48708;&#44536;&#47353;\%234p\&#53944;&#47548;\SRDG&#44396;&#47588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HMH\MACHINE\W-A&#50868;&#50689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JJH\&#49888;&#44277;&#51109;\&#44277;&#51109;&#44148;&#49444;\&#53804;&#51088;&#50696;&#49328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2264;&#51060;&#45236;&#50669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JEA00\&#51068;&#48152;&#50629;&#47924;\2TEAM\&#48176;&#51333;&#49437;(B\&#54408;&#51032;&#50577;&#49885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microsoft.com/office/2006/relationships/xlExternalLinkPath/xlPathMissing" Target="Object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orary%20Internet%20Files\Content.IE5\AB7N42EE\&#50724;&#51221;&#51652;\ojj\&#53804;&#51088;&#50696;&#49328;\&#48372;&#50756;&#53804;&#51088;&#54408;&#51032;&#49436;\&#49373;&#44288;&#54016;\&#53944;&#47112;&#51060;&#46300;A%20LINE&#51060;&#44288;(0215&#49373;&#44288;&#54016;)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LEE\&#50696;&#49892;&#48372;&#44256;\96&#45380;&#50696;&#49892;\12&#50900;\&#49464;&#47785;&#52509;&#48324;.C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4592;&#53440;\&#48372;&#44256;&#50577;&#49885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&#47928;&#50689;&#4968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256492\&#53804;&#51088;&#44288;&#47532;\My%20Documents\01&#45380;&#50900;&#48324;&#53804;&#51088;&#49892;&#51201;\01&#45380;2&#50900;&#50696;&#49892;\&#51452;&#44036;&#49892;&#51201;&#48372;&#44256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My%20Documents\99&#49324;&#50629;\sj1&#52264;\Note&#52392;&#48512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EXCEL\INVEST\&#44228;&#54925;\96&#44228;&#54925;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HEXCEL\INVEST\96&#49892;&#51201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microsoft.com/office/2006/relationships/xlExternalLinkPath/xlStartup" Target="PERSONAL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54408;&#51032;&#50696;&#49328;&#54200;&#49457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MSOFFICE\EXCEL\INVEST\&#44228;&#54925;\&#51109;&#44592;&#53804;&#51088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BOOK2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c\WINDOWS\TEMP\WINDOWS\TEMP\INVEST\&#44228;&#54925;\&#44228;&#54925;\&#52509;&#44292;.97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221;&#54788;&#48124;\HDD\&#51204;&#49328;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3866\my%20documents\WINDOWS\TEMP\&#48372;&#44256;&#50577;&#49885;\&#48372;&#44256;1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&#51221;&#51068;%20Office\&#51064;&#50896;&#44288;&#47532;\&#51064;&#49324;\&#51064;&#50896;&#54788;&#54889;\&#51064;&#50896;9905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MMC94.&#49345;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560493\c\My%20Documents\&#47588;&#52636;\ROYALTY\CDN\CDN\97&#45380;&#49688;&#51221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&#23004;&#21746;&#34224;\FO\HEE-DONG\AVANTE\WAGON\&#47588;&#44032;&#44208;&#51221;\DEP&#44228;&#49328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98&#53804;&#51088;&#49892;&#51201;(4-4&#48516;&#44592;&#48372;&#44256;&#49436;.backdata).990120.&#44592;&#54925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60;&#45824;&#50864;\&#51204;&#47029;&#44284;&#44228;&#54925;\MSOFFICE\&#52509;&#47924;&#51068;&#48152;\&#52509;&#47924;&#51068;&#48152;\&#47928;&#49436;&#49436;&#49885;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80;&#47805;&#54788;1\&#51473;&#44592;&#44228;&#54925;\&#48376;&#48512;&#51204;&#47029;\&#50872;&#49328;&#44277;&#51109;\EXCEL\&#49324;&#50629;&#44228;&#54925;\&#49552;&#51061;956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KJS\&#51473;&#44592;&#51204;&#47029;\&#47785;&#54364;&#51333;&#54633;\&#51064;&#50896;&#44228;&#54925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316;4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8516;&#49437;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ORKSHOP\&#48516;&#49437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49849;&#50857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1204;&#49328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3804;&#51088;%20&#51204;&#48152;\R&amp;D&#51068;&#50896;&#54868;\&#44592;&#50500;\&#53804;&#51088;&#52509;&#44292;\99&#44592;&#49696;&#44060;&#48156;\99&#49324;&#50629;&#44228;&#54925;\1&#52264;%20&#52712;&#54633;(&#44592;&#49696;&#44060;&#48156;1,269&#50613;.%20&#48372;&#50756;289&#50613;)\&#51204;&#51452;\&#51204;&#51452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&#50896;&#44032;&#48516;&#49437;\&#49688;&#48520;&#48324;\95\&#50896;&#44032;&#53685;&#48372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3804;&#51088;%20&#51204;&#48152;\R&amp;D&#51068;&#50896;&#54868;\&#44592;&#50500;\&#53804;&#51088;&#52509;&#44292;\99&#44592;&#49696;&#44060;&#48156;\99&#49324;&#50629;&#44228;&#54925;\1&#52264;%20&#52712;&#54633;(&#44592;&#49696;&#44060;&#48156;1,269&#50613;.%20&#48372;&#50756;289&#50613;)\&#51204;&#51452;\98&#54869;&#51064;&#50857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EXCEL\INVEST\&#44228;&#54925;\96&#44228;&#54925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ODSS\WORK\BOOK2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2062\c\MSOFFICE\HEXCEL\INVEST\&#49892;&#51201;\MSOFFICE\EXCEL\INVEST\&#44228;&#54925;\&#51109;&#44592;&#53804;&#51088;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60;&#51452;&#49453;\Y2K\&#51613;&#47749;&#50836;&#52397;&#50629;&#47924;&#50672;&#46973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DOWS\TEMP\&#51060;&#51452;&#49453;\&#51064;&#50896;&#44288;&#47144;\&#51060;&#44305;&#44592;\INVEST\&#45380;&#44036;&#44228;&#54925;\98&#45380;\&#52509;&#44292;.97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978617\&#53804;&#51088;&#44288;&#47532;\WORK\&#44288;&#47532;\&#50696;&#49328;\&#44592;&#45733;&#49884;&#54744;3&#54016;\&#53804;&#51088;&#52509;&#44292;\99&#44592;&#49696;&#44060;&#48156;\99&#49324;&#50629;&#44228;&#54925;\1&#52264;%20&#52712;&#54633;(&#44592;&#49696;&#44060;&#48156;1,269&#50613;.%20&#48372;&#50756;289&#50613;)\&#51204;&#51452;\&#51204;&#51452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966831\&#44277;&#50976;&#54028;&#51068;\My%20Documents\&#51060;&#49849;&#51312;\&#54032;&#44288;&#48708;\98&#49324;&#50629;\&#52509;&#47924;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1076;&#48124;&#53469;-7576833\&#44277;&#50857;file\&#44592;&#49696;&#44060;&#48156;\&#49345;&#50857;&#53804;&#51088;&#49900;&#51032;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4.&#50976;&#52392;-&#51452;&#50836;&#53804;&#51088;&#45236;&#50669;(1&#50613;&#51060;&#49345;)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267072\my%20documents\WINDOWS\TEMP\2000&#49324;&#50629;&#44228;&#54925;\&#52572;&#51333;1&#50613;&#51060;&#49345;&#48120;&#47564;(0913)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4872;&#50984;&#50577;&#49885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661483\my%20documents\WINDOWS\TEMP\&#50672;&#44396;&#44060;&#48156;&#48708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81389\&#44221;&#48708;&#50696;&#49328;&#49688;&#47549;\&#51060;&#49440;&#54840;\&#54644;&#50808;&#54788;&#54889;\&#51312;&#51649;\1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2.&#45824;&#50808;&#44277;&#47928;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1&#51333;&#54633;PL\&#49888;PL&#49892;&#51201;.&#49888;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MSOffice\Excel\PL&#44228;&#49328;&#49436;\&#49552;&#51061;&#51333;&#54633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061496\my%20documents\Alhw\&#50836;&#44148;&#51221;&#51032;\Test_Data\Component99_pcupload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43682\c\Lim\Manual_&#48708;&#50857;&#44228;&#54925;\WINDOWS\&#48148;&#53461;%20&#54868;&#47732;\&#45236;%20&#49436;&#47448;%20&#44032;&#48169;\MPS&#44228;&#54925;\3.&#50868;&#50689;&#51088;&#47588;&#45684;&#50620;_1)2)&#50669;&#54876;,&#48372;&#50504;&#44288;&#47532;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WINDOWS\TEMP\&#49888;&#51221;&#54984;\&#50577;&#49885;\&#49324;&#50976;&#49436;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LGB\&#49888;&#51221;&#54984;\&#50577;&#49885;\MSOFFICE\EXCEL\INVEST\&#51204;&#49328;&#54868;\BRIEFING\INVEST\&#44228;&#54925;\MSOFFICE\EXCEL\INVEST\&#44228;&#54925;\&#51109;&#44592;&#53804;&#51088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54016;(6)\MY%20DOCUMENTS\&#48149;&#51333;&#49688;\&#44592;&#53440;\spg%20&#51613;&#49328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8176;&#53468;&#47784;\BIW%20LAB\My%20Documents\&#52264;&#51333;&#49436;&#47448;\&#52852;&#45768;&#48156;\12&#47564;&#45824;&#51613;&#49328;\&#52852;&#45768;&#48156;%20&#51613;&#49328;&#48169;&#50504;%20&#44160;&#53664;(&#49888;)990609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tw\c\&#50629;&#47924;&#54364;&#51456;\&#50629;&#47924;&#54364;&#51456;.2X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&#51221;&#50689;&#44152;\&#50629;&#47924;&#54364;&#51456;\&#50629;&#47924;&#54364;&#51456;.2X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47560;&#49345;&#50672;\FDR&#44277;&#48277;\DRPRE04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5\&#44608;&#53468;&#51068;\&#44608;&#54840;&#53468;\SR-1&#53668;&#53944;\&#50896;&#44032;\&#53804;&#51088;&#48708;\&#50577;&#49885;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2264;&#52404;&#49373;&#44592;&#48512;&#51109;\E\WINDOWS\TEMP\windows\&#48148;&#53461;%20&#54868;&#47732;\&#49888;&#46041;&#48124;\LZ&#44288;&#47144;\1_&#51068;&#51221;&amp;&#50696;&#49328;\&#51665;&#54665;&#50696;&#49328;&#51208;&#44048;\&#51665;&#54665;&#50696;&#49328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68141\c\my-ducu\Book1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44277;&#53685;&#50629;&#47924;\&#48372;&#50756;&#53804;&#51088;&amp;&#54532;&#47196;&#51229;&#53944;\01&#45380;%20&#48372;&#50756;&#53804;&#51088;\&#53804;&#51088;&#44288;&#47144;\&#51665;&#54665;&#50696;&#49328;\&#54016;&#48324;&#50696;&#49328;\&#54872;&#50984;&#51312;&#51221;982\IWS\CH\EF\CMK\XLSRULE\&#44060;&#51221;&#44508;&#51221;\&#50756;&#49345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889;&#51116;&#54788;\C\GUN\98FL\BE_MAR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12982\&#44592;&#49696;&#44228;&#54925;&#44284;\Program%20Backup\Personal\1.Dat\a&#50629;&#47924;&#44288;&#47144;&#51088;&#47308;\a&#44060;&#48156;&#44228;&#54925;&#49436;\00em%20&#44060;&#48156;&#44228;&#54925;&#49436;%20&#51088;&#47308;\AAA\&#54408;&#51032;&#49436;.XLS" TargetMode="External"/></Relationships>
</file>

<file path=xl/externalLinks/_rels/externalLink1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UY\2P-AP\&#45733;983-17&#51068;\87&#47564;(lLINE&#50868;&#50689;2-27).xls" TargetMode="External"/></Relationships>
</file>

<file path=xl/externalLinks/_rels/externalLink1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&#52264;&#51060;&#45236;&#50669;.XLS" TargetMode="External"/></Relationships>
</file>

<file path=xl/externalLinks/_rels/externalLink1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73266\&#51221;&#51333;&#50864;\29&#44060;&#50900;2.XLS" TargetMode="External"/></Relationships>
</file>

<file path=xl/externalLinks/_rels/externalLink136.xml.rels><?xml version="1.0" encoding="UTF-8" standalone="yes"?>
<Relationships xmlns="http://schemas.openxmlformats.org/package/2006/relationships"><Relationship Id="rId1" Type="http://schemas.microsoft.com/office/2006/relationships/xlExternalLinkPath/xlStartup" Target="DOCSXL70.XLA" TargetMode="External"/></Relationships>
</file>

<file path=xl/externalLinks/_rels/externalLink1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WINDOWS\TEMP\&#54408;&#51032;&#49436;.XLS" TargetMode="External"/></Relationships>
</file>

<file path=xl/externalLinks/_rels/externalLink1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HKHA\PLAN\960104\&#52264;&#51060;&#45236;&#50669;.XLS" TargetMode="External"/></Relationships>
</file>

<file path=xl/externalLinks/_rels/externalLink1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DOS\&#49548;&#54788;\&#54408;&#51032;&#49436;.XLS" TargetMode="External"/></Relationships>
</file>

<file path=xl/externalLinks/_rels/externalLink1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ODY4TEAM2\&#50504;&#51456;&#44396;\MYDOCU~1\LEE%20BJN0422.xls" TargetMode="External"/></Relationships>
</file>

<file path=xl/externalLinks/_rels/externalLink1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windows\TEMP\&#44592;&#48376;MAL.XLS" TargetMode="External"/></Relationships>
</file>

<file path=xl/externalLinks/_rels/externalLink1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HT\&#44608;&#54840;&#53468;\&#44608;&#54840;&#53468;\MALAYSIA\&#51665;&#54665;&#44228;&#54925;\&#44592;&#48376;MAL.XLS" TargetMode="External"/></Relationships>
</file>

<file path=xl/externalLinks/_rels/externalLink143.xml.rels><?xml version="1.0" encoding="UTF-8" standalone="yes"?>
<Relationships xmlns="http://schemas.openxmlformats.org/package/2006/relationships"><Relationship Id="rId1" Type="http://schemas.microsoft.com/office/2006/relationships/xlExternalLinkPath/xlStartup" Target="Windows%20Extras.xls" TargetMode="External"/></Relationships>
</file>

<file path=xl/externalLinks/_rels/externalLink1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50976;&#51221;&#54840;\2000&#45380;&#49373;&#49328;&#45733;&#47141;\2000&#45380;&#49373;&#49328;&#49324;&#50629;A.xls" TargetMode="External"/></Relationships>
</file>

<file path=xl/externalLinks/_rels/externalLink1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567158\&#52572;&#49345;&#48393;\My%20Documents\KSG\98&#49373;&#49328;&#50868;&#50689;&#44160;&#53664;\JO_DIR\&#44277;&#51109;&#50868;&#50689;\JO_DIR\&#51109;&#44592;&#50868;&#50689;\RESULT\WINDOWS\&#48148;&#53461;%20&#54868;&#47732;\&#48149;&#49345;&#55148;\&#50696;&#49328;\&#52264;&#51060;&#45236;&#50669;.XLS" TargetMode="External"/></Relationships>
</file>

<file path=xl/externalLinks/_rels/externalLink1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h6\c\&#51060;&#49345;&#51456;\&#54633;&#46041;&#54924;&#51032;\&#54633;&#46041;&#48516;2.XLS" TargetMode="External"/></Relationships>
</file>

<file path=xl/externalLinks/_rels/externalLink1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7932;&#47049;&#44160;&#53664;.XLS" TargetMode="External"/></Relationships>
</file>

<file path=xl/externalLinks/_rels/externalLink1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POSI.XLS" TargetMode="External"/></Relationships>
</file>

<file path=xl/externalLinks/_rels/externalLink1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424641\&#50980;&#47749;&#51652;\DOS\&#44228;&#54925;&#50577;&#49885;.XLS" TargetMode="External"/></Relationships>
</file>

<file path=xl/externalLinks/_rels/externalLink1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50629;&#52404;&#48324;&#44288;&#47144;&#54028;&#51068;\&#54788;&#45824;&#51088;&#46041;&#52264;(&#50872;&#49328;)\5&#44277;&#51109;\%2352&#46972;&#51064;\HMC%2052&#46972;&#51064;%20&#44060;&#51312;%20&#44204;&#51201;&#49436;_080909.xls" TargetMode="External"/></Relationships>
</file>

<file path=xl/externalLinks/_rels/externalLink15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ULL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</sheetNames>
    <sheetDataSet>
      <sheetData sheetId="0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#REF"/>
      <sheetName val="협조전"/>
    </sheetNames>
    <sheetDataSet>
      <sheetData sheetId="0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_REF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주행"/>
      <sheetName val="GK차체EO-CUT전"/>
      <sheetName val="96수출"/>
      <sheetName val="#REF"/>
      <sheetName val="XGPROD"/>
      <sheetName val="RD제품개발투자비(매가)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11"/>
      <sheetName val="냉각실용添1"/>
    </sheetNames>
    <sheetDataSet>
      <sheetData sheetId="0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</sheetNames>
    <sheetDataSet>
      <sheetData sheetId="0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소상 _1_"/>
      <sheetName val="현금경비중역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소상 &quot;1&quot;"/>
    </sheetNames>
    <sheetDataSet>
      <sheetData sheetId="0" refreshError="1"/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OTS"/>
    </sheetNames>
    <sheetDataSet>
      <sheetData sheetId="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기안"/>
      <sheetName val="전산품의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전집행"/>
      <sheetName val="생산준비"/>
      <sheetName val="2용도설명(3매)"/>
      <sheetName val="3예상투자비"/>
      <sheetName val="4품편표"/>
      <sheetName val="카메라"/>
      <sheetName val="제원비교 (2)"/>
      <sheetName val="특성비교"/>
      <sheetName val="선정결론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626TD"/>
    </sheetNames>
    <sheetDataSet>
      <sheetData sheetId="0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협조전"/>
      <sheetName val="#REF"/>
      <sheetName val="별도투자가 있을때"/>
      <sheetName val="DATE"/>
      <sheetName val="예정임율"/>
      <sheetName val="10"/>
      <sheetName val="90"/>
      <sheetName val="과제"/>
      <sheetName val="report_20"/>
      <sheetName val="40"/>
      <sheetName val="50"/>
      <sheetName val="60"/>
      <sheetName val="70"/>
      <sheetName val="camera_10"/>
      <sheetName val="재료율"/>
      <sheetName val="#93"/>
      <sheetName val="camera_30"/>
      <sheetName val="계열사현황종합"/>
      <sheetName val="자산대형 완료"/>
      <sheetName val="상용_mp"/>
      <sheetName val="64164"/>
      <sheetName val="Sheet1"/>
      <sheetName val="2.대외공문"/>
      <sheetName val="5.세운W-A"/>
      <sheetName val="전산품의"/>
      <sheetName val="전부인쇄"/>
      <sheetName val="2월"/>
      <sheetName val="출장거리"/>
      <sheetName val="차체부품 INS REPORT(갑)"/>
      <sheetName val="일괄인쇄"/>
      <sheetName val="full (2)"/>
      <sheetName val="Sheet2"/>
      <sheetName val="Sheet3"/>
    </sheetNames>
    <sheetDataSet>
      <sheetData sheetId="0" refreshError="1">
        <row r="28">
          <cell r="A28" t="str">
            <v xml:space="preserve"> </v>
          </cell>
        </row>
        <row r="29">
          <cell r="A29" t="str">
            <v xml:space="preserve">                                     경남 울산시 중구 양정동700</v>
          </cell>
        </row>
        <row r="30">
          <cell r="A30" t="str">
            <v xml:space="preserve">                                     현 대 자 동 차 주 식 회 사</v>
          </cell>
        </row>
        <row r="31">
          <cell r="A31" t="str">
            <v xml:space="preserve">                                     대 표 이 사  ○   ○   ○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기획조정위원회_1"/>
      <sheetName val="차수"/>
      <sheetName val="보고"/>
      <sheetName val="PRESS DATA"/>
      <sheetName val="현금경비중역"/>
      <sheetName val="2.대외공문"/>
      <sheetName val="CLM-MP"/>
      <sheetName val="부품LIST"/>
      <sheetName val="99생산계획"/>
      <sheetName val="월보"/>
      <sheetName val="품의양"/>
      <sheetName val="SOURCE"/>
      <sheetName val="#REF"/>
      <sheetName val="XGPROD"/>
      <sheetName val="RD제품개발투자비(매가)"/>
      <sheetName val="CVT산정"/>
      <sheetName val="Sheet"/>
      <sheetName val="TCA"/>
      <sheetName val="TOT"/>
      <sheetName val="9-1차이내역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Sheet5"/>
      <sheetName val="Sheet6 (3)"/>
      <sheetName val="626TD(COLOR)"/>
      <sheetName val="초도품보증서"/>
      <sheetName val="검사협정서갑"/>
      <sheetName val="검사성적서갑"/>
      <sheetName val="검사성적서병"/>
      <sheetName val="2차공급자현황"/>
      <sheetName val="신뢰성시험계획서 (2)"/>
      <sheetName val="주소(한문)"/>
      <sheetName val="BUS제원1"/>
      <sheetName val="GRACE"/>
      <sheetName val="수정개발일정(승용2Gr)"/>
      <sheetName val="PRESS DATA"/>
      <sheetName val="626TD"/>
      <sheetName val="3"/>
      <sheetName val="PROTO"/>
      <sheetName val="CASE ASM"/>
      <sheetName val="전문품의"/>
      <sheetName val="FAB별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>
            <v>0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4 (2)"/>
      <sheetName val="Sheet5"/>
      <sheetName val="Sheet6 (3)"/>
      <sheetName val="Sheet8"/>
      <sheetName val="3"/>
      <sheetName val="Sheet&quot;"/>
      <sheetName val="TCA"/>
      <sheetName val="Sheet1"/>
      <sheetName val="Sheet3"/>
      <sheetName val="주행"/>
      <sheetName val="PAD"/>
      <sheetName val="시설업체주소록"/>
      <sheetName val="#REF"/>
      <sheetName val="OUTLINE"/>
      <sheetName val="전체현황"/>
      <sheetName val="주소(한문)"/>
      <sheetName val="full (2)"/>
      <sheetName val="Assumptions"/>
      <sheetName val="현금경비중역"/>
      <sheetName val="3.OUTLINE"/>
      <sheetName val="BUS제원1"/>
      <sheetName val="전산품의"/>
      <sheetName val="Shået8"/>
      <sheetName val="Sheet6Ġ(3)"/>
      <sheetName val="회의록"/>
      <sheetName val="2.대외공문"/>
      <sheetName val="96수출"/>
      <sheetName val="월선수금"/>
      <sheetName val="재료비"/>
      <sheetName val="626TD(COLOR)"/>
      <sheetName val="Process Flow Chart"/>
      <sheetName val="조립지적"/>
      <sheetName val="PTR台손익"/>
      <sheetName val="#REF!"/>
      <sheetName val="LOAD HOURS"/>
      <sheetName val="공작"/>
      <sheetName val="모듈"/>
      <sheetName val="전장"/>
      <sheetName val="차체"/>
      <sheetName val="내장"/>
      <sheetName val="외장"/>
      <sheetName val="해외"/>
      <sheetName val="1.변경범위"/>
      <sheetName val="중량및기본제원"/>
      <sheetName val="소유주(원)"/>
      <sheetName val="FAB별"/>
      <sheetName val="9914"/>
      <sheetName val="LHD REPORT(갑)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ule1"/>
      <sheetName val="TCA"/>
      <sheetName val="RS"/>
      <sheetName val="과거부"/>
      <sheetName val="과거공"/>
      <sheetName val="공정흐름F"/>
      <sheetName val="공정흐름R"/>
      <sheetName val="Sheet1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Sheet3"/>
      <sheetName val="Sheet3 (2)"/>
      <sheetName val="Sheet3 (3)"/>
      <sheetName val="Sheet3 (4)"/>
      <sheetName val="3"/>
      <sheetName val="Sheet5"/>
      <sheetName val="Sheet6 (3)"/>
      <sheetName val="주행"/>
      <sheetName val="PTR台손익"/>
      <sheetName val="시설업체주소록"/>
      <sheetName val="Sheeu3"/>
      <sheetName val="OUTLINE"/>
      <sheetName val="2.대외공문"/>
      <sheetName val="PRESS생산계획"/>
      <sheetName val="#REF"/>
      <sheetName val="301-2"/>
      <sheetName val="304"/>
      <sheetName val="전산품의"/>
      <sheetName val="full (2)"/>
      <sheetName val="월선수금"/>
      <sheetName val="96수출"/>
    </sheetNames>
    <sheetDataSet>
      <sheetData sheetId="0" refreshError="1"/>
      <sheetData sheetId="1" refreshError="1">
        <row r="20">
          <cell r="B20" t="str">
            <v>00MY</v>
          </cell>
          <cell r="C20" t="str">
            <v>·내외장 개선</v>
          </cell>
          <cell r="D20">
            <v>0</v>
          </cell>
          <cell r="E20">
            <v>0</v>
          </cell>
          <cell r="F20">
            <v>0</v>
          </cell>
          <cell r="G20" t="str">
            <v xml:space="preserve">   변경범위 확정</v>
          </cell>
          <cell r="H20">
            <v>0</v>
          </cell>
          <cell r="I20">
            <v>0</v>
          </cell>
          <cell r="J20">
            <v>0</v>
          </cell>
          <cell r="K20" t="str">
            <v xml:space="preserve">  설계</v>
          </cell>
          <cell r="L20">
            <v>0</v>
          </cell>
          <cell r="M20">
            <v>0</v>
          </cell>
          <cell r="N20" t="str">
            <v>개발 및 육성</v>
          </cell>
          <cell r="O20">
            <v>0</v>
          </cell>
          <cell r="P20">
            <v>0</v>
          </cell>
          <cell r="Q20" t="str">
            <v>MP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 t="str">
            <v>.사방침 미확정</v>
          </cell>
        </row>
        <row r="24">
          <cell r="B24" t="str">
            <v>정통</v>
          </cell>
          <cell r="C24" t="str">
            <v>·ETP P/F Base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개발발의</v>
          </cell>
          <cell r="I24">
            <v>0</v>
          </cell>
          <cell r="J24">
            <v>0</v>
          </cell>
          <cell r="K24" t="str">
            <v>상품구상서</v>
          </cell>
          <cell r="L24">
            <v>0</v>
          </cell>
          <cell r="M24">
            <v>0</v>
          </cell>
          <cell r="N24">
            <v>0</v>
          </cell>
          <cell r="O24" t="str">
            <v>MDL품평</v>
          </cell>
          <cell r="P24">
            <v>0</v>
          </cell>
          <cell r="Q24">
            <v>0</v>
          </cell>
          <cell r="R24" t="str">
            <v>개발구상서</v>
          </cell>
          <cell r="S24">
            <v>0</v>
          </cell>
          <cell r="T24" t="str">
            <v>MDL고정</v>
          </cell>
          <cell r="U24">
            <v>0</v>
          </cell>
          <cell r="V24" t="str">
            <v>도면출도完</v>
          </cell>
          <cell r="W24">
            <v>0</v>
          </cell>
          <cell r="X24">
            <v>0</v>
          </cell>
          <cell r="Y24" t="str">
            <v>MP</v>
          </cell>
          <cell r="Z24">
            <v>0</v>
          </cell>
          <cell r="AA24" t="str">
            <v>.사방침 미확정</v>
          </cell>
        </row>
        <row r="25">
          <cell r="B25" t="str">
            <v>FR SDN</v>
          </cell>
          <cell r="C25" t="str">
            <v xml:space="preserve">  - Sash Door Type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>△</v>
          </cell>
        </row>
        <row r="26">
          <cell r="C26" t="str">
            <v xml:space="preserve">  - FOH 축소(850)이하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7</v>
          </cell>
        </row>
        <row r="27">
          <cell r="Q27" t="str">
            <v>시작도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시작 및 실험</v>
          </cell>
        </row>
        <row r="32">
          <cell r="B32" t="str">
            <v>FR TYPE</v>
          </cell>
          <cell r="C32" t="str">
            <v xml:space="preserve">·정통 FR SDN과 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 t="str">
            <v>개발발의</v>
          </cell>
          <cell r="I32">
            <v>0</v>
          </cell>
          <cell r="J32">
            <v>0</v>
          </cell>
          <cell r="K32" t="str">
            <v>상품구상서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 t="str">
            <v>MDL품평</v>
          </cell>
          <cell r="Q32">
            <v>0</v>
          </cell>
          <cell r="R32">
            <v>0</v>
          </cell>
          <cell r="S32" t="str">
            <v>개발구상서</v>
          </cell>
          <cell r="T32" t="str">
            <v>MDL고정</v>
          </cell>
          <cell r="U32" t="str">
            <v>MDL고정</v>
          </cell>
          <cell r="V32" t="str">
            <v>도면출도完</v>
          </cell>
          <cell r="W32">
            <v>0</v>
          </cell>
          <cell r="X32">
            <v>0</v>
          </cell>
          <cell r="Y32" t="str">
            <v>MP</v>
          </cell>
          <cell r="Z32">
            <v>0</v>
          </cell>
          <cell r="AA32" t="str">
            <v>.사방침 미확정</v>
          </cell>
        </row>
        <row r="33">
          <cell r="B33" t="str">
            <v>전용 TAXI</v>
          </cell>
          <cell r="C33" t="str">
            <v xml:space="preserve">  연계 개발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>△</v>
          </cell>
          <cell r="V33" t="str">
            <v>△</v>
          </cell>
        </row>
        <row r="34">
          <cell r="C34" t="str">
            <v xml:space="preserve">  - 영국(런던)Taxi B/M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11</v>
          </cell>
        </row>
        <row r="35">
          <cell r="C35" t="str">
            <v xml:space="preserve">  - LPG 100ℓ 탑재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시작 및 실험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차수"/>
      <sheetName val="TCA"/>
      <sheetName val="3"/>
      <sheetName val="Sheet1"/>
      <sheetName val="Sheet2"/>
      <sheetName val="Sheet3"/>
      <sheetName val="CLM-MP"/>
      <sheetName val="협조전"/>
      <sheetName val="Sheet5"/>
      <sheetName val="Sheet6 (3)"/>
      <sheetName val="RD제품개발투자비(매가)"/>
    </sheetNames>
    <sheetDataSet>
      <sheetData sheetId="0"/>
      <sheetData sheetId="1" refreshError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Sheet1"/>
      <sheetName val="Sheet2"/>
      <sheetName val="Sheet3"/>
      <sheetName val="#REF"/>
      <sheetName val="2.대외공문"/>
      <sheetName val="주행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변경범위"/>
      <sheetName val="2.제품POSITION"/>
      <sheetName val="3.4.5.VOLUME,투자비,수익성"/>
      <sheetName val="6.개발일정"/>
      <sheetName val="7.경쟁차제원"/>
      <sheetName val="Sheet1"/>
      <sheetName val="Sheet3"/>
      <sheetName val="과거부"/>
      <sheetName val="과거공"/>
      <sheetName val="공정흐름F"/>
      <sheetName val="공정흐름R"/>
      <sheetName val="설비확보"/>
      <sheetName val="금형"/>
      <sheetName val="검사구"/>
      <sheetName val="시험설비"/>
      <sheetName val="작업평가1"/>
      <sheetName val="작업평가2"/>
      <sheetName val="검사협정"/>
      <sheetName val="표지"/>
      <sheetName val="목차"/>
      <sheetName val="조직"/>
      <sheetName val="계획"/>
      <sheetName val="특별특성"/>
      <sheetName val="Sheet2"/>
      <sheetName val="F MA1"/>
      <sheetName val="F MA2"/>
      <sheetName val="F MA3"/>
      <sheetName val="F MA4"/>
      <sheetName val="F MA5"/>
      <sheetName val="F MA6"/>
      <sheetName val="F MA7"/>
      <sheetName val="R MA1"/>
      <sheetName val="R MA2"/>
      <sheetName val="R MA3"/>
      <sheetName val="R MA4"/>
      <sheetName val="R MA5"/>
      <sheetName val="R MA6"/>
      <sheetName val="R MA7"/>
      <sheetName val="개선대"/>
      <sheetName val="FPOOR"/>
      <sheetName val="이력대장"/>
      <sheetName val="3"/>
      <sheetName val="TCA"/>
      <sheetName val="CAUDIT"/>
      <sheetName val="차수"/>
      <sheetName val="626TD(COLOR)"/>
      <sheetName val="주소(한문)"/>
      <sheetName val="FR SEDAN개발검토_990225★"/>
      <sheetName val="626TD"/>
      <sheetName val="SUB(C)"/>
      <sheetName val="二.POSITION.X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기어비GRP"/>
      <sheetName val="GRP"/>
      <sheetName val="표"/>
      <sheetName val="GRP_박BJN"/>
      <sheetName val="결과요약"/>
      <sheetName val="기어비요약"/>
      <sheetName val="기DAT"/>
      <sheetName val="DAT(목표)"/>
      <sheetName val="DAT(절충)"/>
      <sheetName val="DAT(T_BASE)"/>
      <sheetName val="DAT(P_BASE)"/>
      <sheetName val="MT요약"/>
      <sheetName val="SIM_P15"/>
      <sheetName val="SIM_P16"/>
      <sheetName val="SIM_P20"/>
      <sheetName val="SIM_T15"/>
      <sheetName val="SIM_T16"/>
      <sheetName val="SIM_T20"/>
      <sheetName val="MT종합"/>
      <sheetName val="제원"/>
      <sheetName val="DAT_목표_"/>
      <sheetName val="1.변경범위"/>
      <sheetName val="본문"/>
      <sheetName val="56"/>
      <sheetName val="XD 목표성능제시 990312"/>
      <sheetName val="Sheet1"/>
      <sheetName val="매각단가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>
        <row r="2">
          <cell r="Y2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"/>
      <sheetName val="계약가"/>
      <sheetName val="계약가 (2)"/>
      <sheetName val="미발주항목"/>
      <sheetName val="가공비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협조전"/>
      <sheetName val="문제점"/>
      <sheetName val="구매요구사양서"/>
      <sheetName val="표지 (2)"/>
      <sheetName val="개요"/>
      <sheetName val="FLOW"/>
      <sheetName val="전처리 "/>
      <sheetName val="전착"/>
      <sheetName val="범위1"/>
      <sheetName val="범위2"/>
      <sheetName val="PT (1)"/>
      <sheetName val="PT 처리방법"/>
      <sheetName val="PT1"/>
      <sheetName val="PT2"/>
      <sheetName val="PT3"/>
      <sheetName val="PT4"/>
      <sheetName val="PT5"/>
      <sheetName val="ED1"/>
      <sheetName val="ED4"/>
      <sheetName val="ov1"/>
      <sheetName val="ov전착"/>
      <sheetName val="ov중도"/>
      <sheetName val="ov상도2"/>
      <sheetName val="BODY COOL"/>
      <sheetName val="CCR"/>
      <sheetName val="중도"/>
      <sheetName val="상도1"/>
      <sheetName val="상도2"/>
      <sheetName val="부스공통"/>
      <sheetName val="ARP"/>
      <sheetName val="arp풍량검토"/>
      <sheetName val="중도ARP"/>
      <sheetName val="상도1ARP"/>
      <sheetName val="상도2ARP"/>
      <sheetName val="작업장ARP1"/>
      <sheetName val="작업장ARP3"/>
      <sheetName val="작업장ARP5"/>
      <sheetName val="기타2"/>
      <sheetName val="기타3"/>
      <sheetName val="xxxxxx"/>
      <sheetName val="장비발생보고서"/>
      <sheetName val="장비검수"/>
      <sheetName val="검수-을"/>
      <sheetName val="시운전"/>
      <sheetName val="SHEET"/>
      <sheetName val="주소(한문)"/>
      <sheetName val="가격표"/>
      <sheetName val="전체현황"/>
      <sheetName val="R&amp;D"/>
      <sheetName val="#REF"/>
      <sheetName val="표지★"/>
      <sheetName val="626TD(COLOR)"/>
      <sheetName val="요구(병2)"/>
      <sheetName val="WXY"/>
      <sheetName val="BM_NEW2"/>
      <sheetName val="5.세운W-A"/>
      <sheetName val="차체제외"/>
      <sheetName val="PRO (참조)"/>
      <sheetName val="Sheet1"/>
      <sheetName val="BUS제원1"/>
      <sheetName val="engline"/>
      <sheetName val="대외공문"/>
      <sheetName val="95하U$가격"/>
      <sheetName val="JUM"/>
      <sheetName val="그패프"/>
      <sheetName val="FUEL FILLER"/>
      <sheetName val="GRA眧纔"/>
      <sheetName val="원가통보"/>
      <sheetName val="RD제품개발투자비(매가)"/>
      <sheetName val="절방"/>
      <sheetName val="존4"/>
      <sheetName val="재료율"/>
      <sheetName val="MAST S"/>
      <sheetName val="SUS(150)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전체현황"/>
      <sheetName val="조직도"/>
      <sheetName val="기본전제"/>
      <sheetName val="STAFF"/>
      <sheetName val="인사재경"/>
      <sheetName val="전산"/>
      <sheetName val="국내 "/>
      <sheetName val="해외"/>
      <sheetName val="생기종관"/>
      <sheetName val="울산지원"/>
      <sheetName val="엔진기어"/>
      <sheetName val="소재"/>
      <sheetName val="부품공작기계"/>
      <sheetName val="자재"/>
      <sheetName val="중앙"/>
      <sheetName val="승용12CTR"/>
      <sheetName val="상용CTR디자인"/>
      <sheetName val="1,2,3공장"/>
      <sheetName val="4,5공장 "/>
      <sheetName val="시트 "/>
      <sheetName val="품질CR"/>
      <sheetName val="전주"/>
      <sheetName val="명칭변경"/>
      <sheetName val="부집계"/>
      <sheetName val="laroux"/>
      <sheetName val="일정"/>
      <sheetName val="FLOW (3)"/>
      <sheetName val="직 (2)"/>
      <sheetName val="품질실"/>
      <sheetName val="가동"/>
      <sheetName val="상벌즉시"/>
      <sheetName val="11월EF"/>
      <sheetName val="11월XG"/>
      <sheetName val="11월EF (2)"/>
      <sheetName val="11월XG (2)"/>
      <sheetName val="11월 품질통보"/>
      <sheetName val="Sheet2"/>
      <sheetName val="Sheet1"/>
      <sheetName val="집계표"/>
      <sheetName val="인건비,3정5행"/>
      <sheetName val="가동율,불량"/>
      <sheetName val="양식"/>
      <sheetName val="DATA"/>
      <sheetName val="일불량"/>
      <sheetName val="중단"/>
      <sheetName val="중단(참고영역)"/>
      <sheetName val="업무표준"/>
      <sheetName val="운영방침"/>
      <sheetName val="명부"/>
      <sheetName val="명함"/>
      <sheetName val="주소록"/>
      <sheetName val="동복"/>
      <sheetName val="명함 (2)"/>
      <sheetName val="축일 "/>
      <sheetName val="추진목표"/>
      <sheetName val="추진계획"/>
      <sheetName val="97반성"/>
      <sheetName val="A근태"/>
      <sheetName val="A근태 (2)"/>
      <sheetName val="근태카메라"/>
      <sheetName val="B근태 "/>
      <sheetName val="B근태 (2)"/>
      <sheetName val="A다기능"/>
      <sheetName val="B다기능"/>
      <sheetName val="A포상"/>
      <sheetName val="B포상 "/>
      <sheetName val="포상기준 카메라"/>
      <sheetName val="TPM STEP계획"/>
      <sheetName val="반목표"/>
      <sheetName val="1.가동율"/>
      <sheetName val="1.Sheet1"/>
      <sheetName val="1.2월저해요인"/>
      <sheetName val="1.CAMERA3"/>
      <sheetName val="1.월가동율저해요인"/>
      <sheetName val="1.가동율개선대책"/>
      <sheetName val="1.가동율개선카메라"/>
      <sheetName val="2.불량현황"/>
      <sheetName val="생산반"/>
      <sheetName val="가동율"/>
      <sheetName val="2.품질실명제"/>
      <sheetName val="SCRAP"/>
      <sheetName val="포상"/>
      <sheetName val="불량발생현황"/>
      <sheetName val="저해요인"/>
      <sheetName val="불량통보"/>
      <sheetName val="OS &amp; D발생현황"/>
      <sheetName val="업무실적표"/>
      <sheetName val="평가표(품질)"/>
      <sheetName val="평가표(근태)"/>
      <sheetName val="평가표(근무자세)"/>
      <sheetName val="평가표(원가절감)"/>
      <sheetName val="평가표(안전)"/>
      <sheetName val="평가표(3정5행)"/>
      <sheetName val="평가표(제안분임조)"/>
      <sheetName val="Sheet16"/>
      <sheetName val="휴일계획(일)"/>
      <sheetName val="휴일계획(일) "/>
      <sheetName val="휴일계획(토)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표지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????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</sheetNames>
    <sheetDataSet>
      <sheetData sheetId="0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본문4"/>
      <sheetName val="본문5"/>
      <sheetName val="본문5-1"/>
      <sheetName val="유첨"/>
      <sheetName val="본문7"/>
      <sheetName val="Sheet2 (2)"/>
      <sheetName val="Sheet1"/>
      <sheetName val="Sheet1 (2)"/>
      <sheetName val="Sheet2"/>
      <sheetName val="Sheet3"/>
      <sheetName val="30"/>
      <sheetName val="31"/>
      <sheetName val="31 (2)"/>
      <sheetName val="32"/>
      <sheetName val="32 (2)"/>
      <sheetName val="33"/>
      <sheetName val="34"/>
      <sheetName val="35"/>
      <sheetName val="37"/>
      <sheetName val="40"/>
      <sheetName val="43"/>
      <sheetName val="41"/>
      <sheetName val="42"/>
      <sheetName val="44"/>
      <sheetName val="46"/>
      <sheetName val="47"/>
      <sheetName val="49"/>
      <sheetName val="품질확보"/>
      <sheetName val="50"/>
      <sheetName val="#REF"/>
      <sheetName val="비상연락망"/>
      <sheetName val="전화"/>
      <sheetName val="대외공문 "/>
      <sheetName val="개선대책 양식"/>
      <sheetName val="개선사례양식"/>
      <sheetName val="총괄표(2002.01)"/>
      <sheetName val="1월일지"/>
      <sheetName val="2월일지"/>
      <sheetName val="1월지급"/>
      <sheetName val="개별정산_1월"/>
      <sheetName val="총괄표(2002.02)"/>
      <sheetName val="2월지급"/>
      <sheetName val="2월방문-이성길"/>
      <sheetName val="개별정산_2월"/>
      <sheetName val="TCA"/>
      <sheetName val="시설업체주소록"/>
      <sheetName val="Sheet5"/>
      <sheetName val="Sheet6 (3)"/>
      <sheetName val="전산품의"/>
      <sheetName val="96수출"/>
      <sheetName val="월선수금"/>
      <sheetName val="OUTLINE"/>
      <sheetName val="ML"/>
      <sheetName val="_x0000__x0000__x0000_"/>
      <sheetName val="#REF!"/>
      <sheetName val="1~3월 지시사항"/>
      <sheetName val="9914"/>
      <sheetName val="수입"/>
      <sheetName val="주행"/>
      <sheetName val="QA4 MASTER LIST"/>
      <sheetName val="PTR台손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신규DEP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S제원1"/>
    </sheetNames>
    <sheetDataSet>
      <sheetData sheetId="0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HCCE01"/>
    </sheetNames>
    <sheetDataSet>
      <sheetData sheetId="0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jor"/>
      <sheetName val="RD제품개발투자비(매가)"/>
    </sheetNames>
    <sheetDataSet>
      <sheetData sheetId="0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CCE01"/>
      <sheetName val="KD율"/>
    </sheetNames>
    <sheetDataSet>
      <sheetData sheetId="0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ITEM"/>
      <sheetName val="C-PAD모듈아이템"/>
      <sheetName val="EITEM (001221)"/>
    </sheetNames>
    <sheetDataSet>
      <sheetData sheetId="0"/>
      <sheetData sheetId="1"/>
      <sheetData sheetId="2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W-A운영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ll (2)"/>
      <sheetName val="Sheet1"/>
      <sheetName val="GL비교"/>
      <sheetName val="GLS비교"/>
      <sheetName val="업체재료비"/>
      <sheetName val="full_2_"/>
      <sheetName val="full _2_"/>
      <sheetName val="3"/>
      <sheetName val="626TD(COLOR)"/>
      <sheetName val="소유주(원)"/>
      <sheetName val="1.변경범위"/>
      <sheetName val="[재료비.XLS][재료비.XLS]C)_x0000_없음(&amp;O)_x0000_키(&amp;"/>
      <sheetName val="BUS제원1"/>
      <sheetName val="2.대외공문"/>
      <sheetName val="기초자료"/>
      <sheetName val="Input Sheet"/>
      <sheetName val="GK차체EO-CUT전"/>
      <sheetName val="1_변경범위"/>
      <sheetName val="CVT산정"/>
      <sheetName val="C)"/>
      <sheetName val="SEMI"/>
      <sheetName val="TCA"/>
      <sheetName val="Macro1"/>
      <sheetName val="원단위"/>
      <sheetName val="Sheet14"/>
      <sheetName val="Sheet15"/>
      <sheetName val="재료비"/>
      <sheetName val="신규DEP"/>
      <sheetName val="주행"/>
      <sheetName val="간이연락"/>
      <sheetName val="626TD"/>
      <sheetName val="Sheet18"/>
      <sheetName val="2109-1091"/>
      <sheetName val="관람석제출"/>
      <sheetName val="RD제품개발투자비(매가)"/>
      <sheetName val="대외공문"/>
      <sheetName val="2075-Q011"/>
      <sheetName val=""/>
      <sheetName val="LDC"/>
      <sheetName val="Code"/>
      <sheetName val="11"/>
      <sheetName val="매출DATA"/>
      <sheetName val="채권(하반기)"/>
      <sheetName val="7"/>
      <sheetName val="[재료비.XLS][재료비.XLS]C)?없음(&amp;O)?키(&amp;"/>
      <sheetName val="협조전"/>
      <sheetName val="재료비합계"/>
      <sheetName val="&amp;B)_x0000__x0000__x0016__x0004_Ā_x0008_াd_x0002__x0000_뫀ﻘ覰ﶠ믯_x0000__x0000_̀耀ࠀ_x0000__x0000_嘁_x0000_絚_x0000__x0000_"/>
      <sheetName val="C)_x0000_없음(&amp;O)_x0000_키(&amp;K): Ctrl+Shift+_x0000_범주"/>
      <sheetName val="C)?없음(&amp;O)?키(&amp;K): Ctrl+Shift+?범주"/>
    </sheetNames>
    <sheetDataSet>
      <sheetData sheetId="0" refreshError="1">
        <row r="6">
          <cell r="C6" t="str">
            <v>2.0 β</v>
          </cell>
        </row>
        <row r="7">
          <cell r="C7" t="str">
            <v>5 M/T</v>
          </cell>
        </row>
        <row r="8">
          <cell r="C8" t="str">
            <v>O</v>
          </cell>
        </row>
        <row r="9">
          <cell r="C9" t="str">
            <v>O</v>
          </cell>
        </row>
        <row r="10">
          <cell r="C10" t="str">
            <v>60AH</v>
          </cell>
        </row>
        <row r="11">
          <cell r="C11" t="str">
            <v>CLUTCH LOCK</v>
          </cell>
        </row>
        <row r="12">
          <cell r="C12" t="str">
            <v>AL 6.0J*15</v>
          </cell>
        </row>
        <row r="13">
          <cell r="C13" t="str">
            <v>205/75R15</v>
          </cell>
        </row>
        <row r="14">
          <cell r="C14" t="str">
            <v>3-SPOKE URETHANE</v>
          </cell>
        </row>
        <row r="15">
          <cell r="C15" t="str">
            <v>DRIVER</v>
          </cell>
        </row>
        <row r="17">
          <cell r="C17" t="str">
            <v>BODY</v>
          </cell>
        </row>
        <row r="18">
          <cell r="C18" t="str">
            <v>S</v>
          </cell>
        </row>
        <row r="19">
          <cell r="C19" t="str">
            <v>S</v>
          </cell>
        </row>
        <row r="20">
          <cell r="C20" t="str">
            <v>ECM</v>
          </cell>
        </row>
        <row r="21">
          <cell r="C21" t="str">
            <v>-</v>
          </cell>
        </row>
        <row r="22">
          <cell r="C22" t="str">
            <v>-</v>
          </cell>
        </row>
        <row r="24">
          <cell r="C24" t="str">
            <v>TINTED</v>
          </cell>
        </row>
        <row r="25">
          <cell r="C25" t="str">
            <v>TINTED</v>
          </cell>
        </row>
        <row r="26">
          <cell r="C26" t="str">
            <v>TINTED</v>
          </cell>
        </row>
        <row r="27">
          <cell r="C27" t="str">
            <v>TINTED</v>
          </cell>
        </row>
        <row r="28">
          <cell r="C28" t="str">
            <v>BODY</v>
          </cell>
        </row>
        <row r="30">
          <cell r="C30" t="str">
            <v>ELEC,HEATED</v>
          </cell>
        </row>
        <row r="31">
          <cell r="C31" t="str">
            <v>ELEC,HEATED</v>
          </cell>
        </row>
        <row r="32">
          <cell r="C32" t="str">
            <v>BODY</v>
          </cell>
        </row>
        <row r="33">
          <cell r="C33" t="str">
            <v>FULL</v>
          </cell>
        </row>
        <row r="34">
          <cell r="C34" t="str">
            <v>UP/DOWN TILT</v>
          </cell>
        </row>
        <row r="35">
          <cell r="C35" t="str">
            <v>RECLIN'G</v>
          </cell>
        </row>
        <row r="36">
          <cell r="C36" t="str">
            <v>L/SUPPORT(DR'S)</v>
          </cell>
        </row>
        <row r="37">
          <cell r="C37" t="str">
            <v>UNDER TRAY</v>
          </cell>
        </row>
        <row r="38">
          <cell r="C38" t="str">
            <v>UP/DOWN TILT</v>
          </cell>
        </row>
        <row r="39">
          <cell r="C39" t="str">
            <v>RECLIN'G</v>
          </cell>
        </row>
        <row r="40">
          <cell r="C40" t="str">
            <v>FRT</v>
          </cell>
        </row>
        <row r="41">
          <cell r="C41" t="str">
            <v>-</v>
          </cell>
        </row>
        <row r="42">
          <cell r="C42" t="str">
            <v>-</v>
          </cell>
        </row>
        <row r="43">
          <cell r="C43" t="str">
            <v>S</v>
          </cell>
        </row>
        <row r="44">
          <cell r="C44" t="str">
            <v>S</v>
          </cell>
        </row>
        <row r="46">
          <cell r="C46" t="str">
            <v>O</v>
          </cell>
        </row>
        <row r="47">
          <cell r="C47" t="str">
            <v>S</v>
          </cell>
        </row>
        <row r="49">
          <cell r="C49" t="str">
            <v>-</v>
          </cell>
        </row>
        <row r="50">
          <cell r="C50" t="str">
            <v>RADIO+CASS+CD</v>
          </cell>
        </row>
        <row r="51">
          <cell r="C51" t="str">
            <v>POWER</v>
          </cell>
        </row>
        <row r="52">
          <cell r="C52">
            <v>6</v>
          </cell>
        </row>
        <row r="53">
          <cell r="C53" t="str">
            <v>-</v>
          </cell>
        </row>
        <row r="55">
          <cell r="C55" t="str">
            <v>-</v>
          </cell>
        </row>
        <row r="56">
          <cell r="C56" t="str">
            <v>-</v>
          </cell>
        </row>
        <row r="57">
          <cell r="C57" t="str">
            <v>FATC</v>
          </cell>
        </row>
        <row r="58">
          <cell r="C58" t="str">
            <v>AIR FILTER</v>
          </cell>
        </row>
        <row r="59">
          <cell r="C59" t="str">
            <v>FULL AUTO</v>
          </cell>
        </row>
        <row r="60">
          <cell r="C60" t="str">
            <v>S</v>
          </cell>
        </row>
        <row r="61">
          <cell r="C61" t="str">
            <v>S</v>
          </cell>
        </row>
        <row r="62">
          <cell r="C62" t="str">
            <v>S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"/>
      <sheetName val="현황"/>
      <sheetName val="현황1"/>
      <sheetName val="현황2"/>
      <sheetName val="현황3"/>
      <sheetName val="4"/>
      <sheetName val="5"/>
      <sheetName val="현황6"/>
      <sheetName val="7"/>
      <sheetName val="8"/>
      <sheetName val="9"/>
      <sheetName val="10"/>
      <sheetName val="#REF!"/>
      <sheetName val="협조전"/>
      <sheetName val="full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수1.8GL"/>
    </sheetNames>
    <sheetDataSet>
      <sheetData sheetId="0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</sheetNames>
    <sheetDataSet>
      <sheetData sheetId="0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타임챠트"/>
      <sheetName val="전체현황"/>
      <sheetName val="Sheet2"/>
      <sheetName val="GRACE"/>
    </sheetNames>
    <sheetDataSet>
      <sheetData sheetId="0"/>
      <sheetData sheetId="1" refreshError="1"/>
      <sheetData sheetId="2" refreshError="1"/>
      <sheetData sheetId="3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A운영"/>
      <sheetName val="W_A운영"/>
    </sheetNames>
    <sheetDataSet>
      <sheetData sheetId="0"/>
      <sheetData sheetId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D제품개발투자비(매가)"/>
      <sheetName val="HCCE01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5.세운W-A"/>
    </sheetNames>
    <sheetDataSet>
      <sheetData sheetId="0" refreshError="1"/>
      <sheetData sheetId="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신뢰성시험능력확인표"/>
      <sheetName val="Object"/>
      <sheetName val="Tabelle1"/>
      <sheetName val="생산 실적 "/>
      <sheetName val="투입"/>
      <sheetName val="완성"/>
      <sheetName val="Chart1"/>
      <sheetName val="#REF"/>
      <sheetName val="FO"/>
      <sheetName val="Sheet3"/>
      <sheetName val="Sheet2"/>
      <sheetName val="재고추이(총재고_P6)"/>
      <sheetName val="계획비교(선적)"/>
      <sheetName val="List1"/>
      <sheetName val="Feuil1"/>
      <sheetName val="협조전"/>
      <sheetName val="목록"/>
      <sheetName val="주행"/>
      <sheetName val="96PLAN"/>
      <sheetName val="712"/>
      <sheetName val="계산DATA입력"/>
      <sheetName val="Hárok1"/>
      <sheetName val="전산품의"/>
      <sheetName val="Sheet1 (2)"/>
      <sheetName val="현장조직도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신규차종부품수주(완성)"/>
      <sheetName val="직원신상"/>
      <sheetName val="Plan1"/>
      <sheetName val="RD제품개발투자비(매가)"/>
      <sheetName val="form8"/>
      <sheetName val="Лист1"/>
      <sheetName val="검사성적서311"/>
      <sheetName val="보고"/>
      <sheetName val="GTHOMSNZ"/>
      <sheetName val="COST"/>
      <sheetName val="cform1"/>
      <sheetName val="cform3"/>
      <sheetName val="SPC"/>
      <sheetName val="BASE"/>
      <sheetName val="자체실적1Q"/>
      <sheetName val="#REF!"/>
      <sheetName val="Hoja1"/>
      <sheetName val="자체실적Y"/>
      <sheetName val="FAB별"/>
      <sheetName val="전체현황"/>
    </sheetNames>
    <definedNames>
      <definedName name="액티브셀삭제" sheetId="0"/>
    </definedNames>
    <sheetDataSet>
      <sheetData sheetId="0" refreshError="1"/>
      <sheetData sheetId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보고서"/>
      <sheetName val="설비LIST"/>
      <sheetName val="설비세부검토(샤시)"/>
      <sheetName val="설비세부검토(트림)"/>
      <sheetName val="LAY-OUT"/>
      <sheetName val="추진일정"/>
      <sheetName val="수익성검토"/>
      <sheetName val="효과분석"/>
      <sheetName val="효과분석참고자료"/>
      <sheetName val="집행예산편성표"/>
      <sheetName val="예산조정의뢰서"/>
      <sheetName val="참조작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세목별"/>
      <sheetName val="TCA"/>
      <sheetName val="so-021"/>
      <sheetName val="자체실적1Q"/>
      <sheetName val="전산품의"/>
      <sheetName val="2.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진행보고"/>
      <sheetName val="폐기물보고"/>
      <sheetName val="경인청감사"/>
      <sheetName val="5.세운W-A"/>
      <sheetName val="1.변경범위"/>
      <sheetName val="협조전"/>
      <sheetName val="세목별"/>
      <sheetName val="2.대외공문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최종"/>
      <sheetName val="총괄"/>
      <sheetName val="접대비"/>
      <sheetName val="접대비 (99)"/>
      <sheetName val="접대비 (99-1)"/>
      <sheetName val="접대비 (99-2)"/>
      <sheetName val="남양비교"/>
      <sheetName val="보고접대비"/>
      <sheetName val="HPI2월"/>
      <sheetName val="HPI2월 (2)"/>
      <sheetName val="보고접대비 (2)"/>
      <sheetName val="보고접대비 (4)"/>
      <sheetName val="보고접대비 (5)"/>
      <sheetName val="보고접대비 (3)"/>
      <sheetName val="3월"/>
      <sheetName val="추석등"/>
      <sheetName val="추석등 (2)"/>
      <sheetName val="보고접대비 (6)"/>
      <sheetName val="추석등 (3)"/>
      <sheetName val="추석등 (4)"/>
      <sheetName val="시내교통비"/>
      <sheetName val="중식대"/>
      <sheetName val="4월"/>
      <sheetName val="수정4월"/>
      <sheetName val="목적별"/>
      <sheetName val="전산품의"/>
      <sheetName val="#REF"/>
      <sheetName val="DBL LPG시험"/>
      <sheetName val="majo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주간보고 (2)"/>
      <sheetName val="Sheet1"/>
      <sheetName val="Sheet2"/>
      <sheetName val="Sheet3"/>
      <sheetName val="#REF"/>
      <sheetName val="2.대외공문"/>
      <sheetName val="투자-국내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&amp;D"/>
      <sheetName val="R_D"/>
      <sheetName val="협조전"/>
      <sheetName val="2.대외공문"/>
      <sheetName val="본문"/>
      <sheetName val="차수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R&amp;D"/>
      <sheetName val="major"/>
      <sheetName val="BUS제원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laroux"/>
      <sheetName val="VXXXXX"/>
      <sheetName val="XXXXXX"/>
      <sheetName val="Module1"/>
      <sheetName val="수식복사"/>
      <sheetName val="000000"/>
      <sheetName val="0000000"/>
      <sheetName val="Sheet2 (2)"/>
      <sheetName val="주소"/>
      <sheetName val="NAMES"/>
      <sheetName val="stock"/>
      <sheetName val="PERSONAL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XXuxrld WideServersrsIL Q12Actc"/>
      <sheetName val="VXXXXXX"/>
      <sheetName val="------"/>
      <sheetName val="계산계획서 "/>
      <sheetName val="OPT LIST"/>
      <sheetName val="판매계획(내수)"/>
      <sheetName val="판매계획(수출)"/>
      <sheetName val="MDL별계획"/>
      <sheetName val="비교 대 계산(갑)"/>
      <sheetName val="비교 대 계산(을)"/>
      <sheetName val="구분양식(비교 대 계산)"/>
      <sheetName val="3차 대 최종(갑)"/>
      <sheetName val="3차 대 최종(을)"/>
      <sheetName val="구분양식 (3차 대 최종)"/>
      <sheetName val="MIP양식"/>
      <sheetName val="KD양식"/>
      <sheetName val="SUB KD양식"/>
      <sheetName val="완제품KD"/>
      <sheetName val="SUBKD"/>
      <sheetName val="원단설명"/>
      <sheetName val="계산일정 "/>
      <sheetName val="계산현황"/>
      <sheetName val="원단위수정"/>
      <sheetName val="카메라"/>
      <sheetName val="steel wheel"/>
      <sheetName val="steel wheel (2)"/>
      <sheetName val="상품 데이타"/>
      <sheetName val="Chart1"/>
      <sheetName val="주간 영업표"/>
      <sheetName val="개발집계"/>
      <sheetName val="최종욱MODULE"/>
      <sheetName val="Diablos"/>
      <sheetName val="0000"/>
      <sheetName val="0001"/>
      <sheetName val="생산수량"/>
      <sheetName val="고품DATA"/>
      <sheetName val="생산월-차종"/>
      <sheetName val="접수월-차종"/>
      <sheetName val="종합분석(분석내용) (2)"/>
      <sheetName val="종합분석1 (주행거리)"/>
      <sheetName val="개선효과"/>
      <sheetName val="전차종"/>
      <sheetName val="종합분석(불만내용)"/>
      <sheetName val="ALT"/>
      <sheetName val="월보(갑)1"/>
      <sheetName val="월보(갑)2"/>
      <sheetName val="월보(갑)3"/>
      <sheetName val="월보(갑)4"/>
      <sheetName val="월보(갑)5"/>
      <sheetName val="월보(갑)6"/>
      <sheetName val="월보(갑)7"/>
      <sheetName val="월보(갑)8"/>
      <sheetName val="월보(갑)9"/>
      <sheetName val="월보(갑)10"/>
      <sheetName val="월보(갑)11"/>
      <sheetName val="월보(갑)12"/>
      <sheetName val="종합월보(을)"/>
      <sheetName val="월보(을) (1)"/>
      <sheetName val="월보(을) (2)"/>
      <sheetName val="월보(을) (3)"/>
      <sheetName val="월보(을) (4)"/>
      <sheetName val="월보(을) (5)"/>
      <sheetName val="월보(을) (6)"/>
      <sheetName val="월보(을) (7)"/>
      <sheetName val="월보(을) (8)"/>
      <sheetName val="월보(을) (9)"/>
      <sheetName val="월보(을) (10)"/>
      <sheetName val="월보(을) (11)"/>
      <sheetName val="월보(을) (12)"/>
      <sheetName val="#REF"/>
      <sheetName val="Sheet17"/>
      <sheetName val="Sheet18"/>
      <sheetName val="Sheet19"/>
      <sheetName val="Sheet20"/>
      <sheetName val="_x0000__x0000__x0000__x0000__x0000__x0000_"/>
      <sheetName val="서식지우기"/>
      <sheetName val="open"/>
      <sheetName val="가운데"/>
      <sheetName val="그리기"/>
      <sheetName val="서식지정"/>
      <sheetName val="Sheet1 (2)"/>
      <sheetName val="최신가-lc"/>
      <sheetName val="최신가-sm"/>
      <sheetName val="MAIN"/>
      <sheetName val="ENG"/>
      <sheetName val="INST"/>
      <sheetName val="Sheet3 (2)"/>
      <sheetName val="Sheet3 (3)"/>
      <sheetName val="Sheet3 (4)"/>
      <sheetName val="조성표"/>
      <sheetName val="000"/>
      <sheetName val="업무시간"/>
      <sheetName val="품질동향"/>
      <sheetName val="전산메인사용법"/>
      <sheetName val="업무계획관리"/>
      <sheetName val="MACRO-수식"/>
      <sheetName val="DATA"/>
      <sheetName val="참고자료"/>
      <sheetName val="기종코드 "/>
      <sheetName val="도번부여"/>
      <sheetName val="WIA달력"/>
      <sheetName val="계산기"/>
      <sheetName val="연락망"/>
      <sheetName val="요약"/>
      <sheetName val="2001사업계획"/>
      <sheetName val="2001사업단가(내수)"/>
      <sheetName val="★2001사업계획(최종)"/>
      <sheetName val="PERSONAL (2)"/>
      <sheetName val="PERSONAL (3)"/>
      <sheetName val="인원표"/>
      <sheetName val="접수건"/>
      <sheetName val="in"/>
      <sheetName val="******"/>
      <sheetName val="List1"/>
      <sheetName val="공장LAY-OUT"/>
      <sheetName val="이동"/>
      <sheetName val="선지우기"/>
      <sheetName val="1"/>
      <sheetName val="KIT"/>
      <sheetName val="CON"/>
      <sheetName val="CON (2)"/>
      <sheetName val="갑지"/>
      <sheetName val="코드치환"/>
      <sheetName val="유령문자"/>
      <sheetName val="업무시간 (2)"/>
      <sheetName val="VBA연습"/>
      <sheetName val="서식"/>
      <sheetName val="서식2"/>
      <sheetName val="서식4"/>
      <sheetName val="개선사례"/>
      <sheetName val="공문서식"/>
      <sheetName val="결제표지 (2)"/>
      <sheetName val="결제표지"/>
      <sheetName val="결제표지 (3)"/>
      <sheetName val="Hoja1"/>
      <sheetName val="____"/>
      <sheetName val="__"/>
      <sheetName val="_____ "/>
      <sheetName val="____(__)"/>
      <sheetName val="MDL___"/>
      <sheetName val="__ _ __(_)"/>
      <sheetName val="____(__ _ __)"/>
      <sheetName val="3_ _ __(_)"/>
      <sheetName val="____ (3_ _ __)"/>
      <sheetName val="MIP__"/>
      <sheetName val="KD__"/>
      <sheetName val="SUB KD__"/>
      <sheetName val="___KD"/>
      <sheetName val="____ "/>
      <sheetName val="_____"/>
      <sheetName val="___"/>
      <sheetName val="__ ___"/>
      <sheetName val="___MODULE"/>
      <sheetName val="__DATA"/>
      <sheetName val="___-__"/>
      <sheetName val="____(____) (2)"/>
      <sheetName val="____1 (____)"/>
      <sheetName val="____(____)"/>
      <sheetName val="__(_)1"/>
      <sheetName val="__(_)2"/>
      <sheetName val="__(_)3"/>
      <sheetName val="__(_)4"/>
      <sheetName val="__(_)5"/>
      <sheetName val="__(_)6"/>
      <sheetName val="__(_)7"/>
      <sheetName val="__(_)8"/>
      <sheetName val="__(_)9"/>
      <sheetName val="__(_)10"/>
      <sheetName val="__(_)11"/>
      <sheetName val="__(_)12"/>
      <sheetName val="____(_)"/>
      <sheetName val="__(_) (1)"/>
      <sheetName val="__(_) (2)"/>
      <sheetName val="__(_) (3)"/>
      <sheetName val="__(_) (4)"/>
      <sheetName val="__(_) (5)"/>
      <sheetName val="__(_) (6)"/>
      <sheetName val="__(_) (7)"/>
      <sheetName val="__(_) (8)"/>
      <sheetName val="__(_) (9)"/>
      <sheetName val="__(_) (10)"/>
      <sheetName val="__(_) (11)"/>
      <sheetName val="__(_) (12)"/>
      <sheetName val="INDEX"/>
      <sheetName val="양식"/>
      <sheetName val="dd1834t"/>
      <sheetName val="DDA1564"/>
      <sheetName val="종기長2"/>
      <sheetName val="TEAM"/>
      <sheetName val="원가통보"/>
      <sheetName val="제안"/>
      <sheetName val="기록표"/>
      <sheetName val="96실적"/>
      <sheetName val="총괄,97"/>
      <sheetName val="96계획"/>
      <sheetName val="MA주행"/>
      <sheetName val="평가수정"/>
      <sheetName val="표지"/>
      <sheetName val="A"/>
      <sheetName val="B"/>
      <sheetName val="C"/>
      <sheetName val="2"/>
      <sheetName val="2.1"/>
      <sheetName val="3"/>
      <sheetName val="4"/>
      <sheetName val="5"/>
      <sheetName val="6"/>
      <sheetName val="6.1"/>
      <sheetName val="7"/>
      <sheetName val="8"/>
      <sheetName val="9"/>
      <sheetName val="10"/>
      <sheetName val="11"/>
      <sheetName val="12"/>
      <sheetName val="유첨"/>
      <sheetName val="철판사급"/>
      <sheetName val="PRES"/>
      <sheetName val="원가계산"/>
      <sheetName val="구표준"/>
      <sheetName val="외주press"/>
      <sheetName val="현대PRESS"/>
      <sheetName val="신표준"/>
      <sheetName val="원가계산서(외주)"/>
      <sheetName val="internet"/>
      <sheetName val="비교"/>
      <sheetName val="TWIN-C.T(TO포함)"/>
      <sheetName val="C.T(TO) "/>
      <sheetName val="TWIN-C.T"/>
      <sheetName val="TWIN-C.T (TWIN)"/>
      <sheetName val="3-SERVO"/>
      <sheetName val="3-SERVO (T-O포함)"/>
      <sheetName val="QL300H-C.T (X3)"/>
      <sheetName val="single-C.T (대향형)"/>
      <sheetName val="single-C.T"/>
      <sheetName val="i330-CT"/>
      <sheetName val="ROBOT 동작"/>
      <sheetName val="CT검토 (2)"/>
      <sheetName val="TIME SHEET"/>
      <sheetName val="mct time"/>
      <sheetName val="1안"/>
      <sheetName val="상번천 (2)"/>
      <sheetName val="상번천"/>
      <sheetName val="하번천"/>
      <sheetName val="Arkusz1"/>
      <sheetName val="목적"/>
      <sheetName val="목차"/>
      <sheetName val="1.공장 2.부서소개"/>
      <sheetName val="2-1.우수반조직도외"/>
      <sheetName val="3.반소개"/>
      <sheetName val="4.공정소개"/>
      <sheetName val="5.운영방침"/>
      <sheetName val="6.실적1"/>
      <sheetName val="6.실적2"/>
      <sheetName val="7.반점수"/>
      <sheetName val="8.성과지표"/>
      <sheetName val="9-1-1.근태관리"/>
      <sheetName val="9-1-2.제안활동"/>
      <sheetName val="9-1-3.안전"/>
      <sheetName val="9-2-1품질실명제1"/>
      <sheetName val="품질실명2"/>
      <sheetName val="품질개선사례"/>
      <sheetName val="9-2-2즉시개선"/>
      <sheetName val="즉시개선사레"/>
      <sheetName val="9-2-3반원포상기준"/>
      <sheetName val="9-3-1.3정5행"/>
      <sheetName val="9-3-2.다기능"/>
      <sheetName val="10.향후계획"/>
      <sheetName val="사진(반집계표)"/>
      <sheetName val="사진(근태,즉개)"/>
      <sheetName val="Sheet1 (3)"/>
      <sheetName val="Лист1"/>
      <sheetName val="철판"/>
      <sheetName val="가공비"/>
      <sheetName val="업체CODE"/>
      <sheetName val="현대PS"/>
      <sheetName val="판매계획"/>
      <sheetName val="파라솔"/>
      <sheetName val="분임토의"/>
      <sheetName val="불량품"/>
      <sheetName val="보관증"/>
      <sheetName val="국민대"/>
      <sheetName val="특소세"/>
      <sheetName val="과세 (2)"/>
      <sheetName val="과세"/>
      <sheetName val="과세품목 (2)"/>
      <sheetName val="과세품목"/>
      <sheetName val="아울렛"/>
      <sheetName val="하나로"/>
      <sheetName val="물품내역"/>
      <sheetName val="오렌지"/>
      <sheetName val="메모철"/>
      <sheetName val=" 입금현황"/>
      <sheetName val="법인"/>
      <sheetName val="신세계"/>
      <sheetName val="일일활동"/>
      <sheetName val="판매실적계획"/>
      <sheetName val="통장"/>
      <sheetName val="한화국토"/>
      <sheetName val="◆00년 업종별"/>
      <sheetName val="◆01년 업종별"/>
      <sheetName val="◆전월대비"/>
      <sheetName val="◆전년대비1~3월"/>
      <sheetName val="◆전년동월"/>
      <sheetName val="정산자료"/>
      <sheetName val="정명호작성프로그램"/>
      <sheetName val="기타"/>
      <sheetName val="업무일지양식"/>
      <sheetName val="시작"/>
      <sheetName val="Macro1"/>
      <sheetName val="2&amp;3차 item"/>
      <sheetName val="중요 item"/>
      <sheetName val="고가順"/>
      <sheetName val="2차 &amp; 1차 고가 구매 비교"/>
      <sheetName val="2차 &amp; 1차 고가 구매 비교 2"/>
      <sheetName val="2차 &amp; 1차 고가 구매 비교 誤 데이타 입력分"/>
      <sheetName val="수입부품"/>
      <sheetName val="MOVE"/>
      <sheetName val="종합분석(분석내) (2)"/>
      <sheetName val="아름다운글"/>
      <sheetName val="전기"/>
      <sheetName val="계장"/>
      <sheetName val="공구단가"/>
      <sheetName val="공BM"/>
      <sheetName val="대우철판"/>
      <sheetName val="source별"/>
      <sheetName val="예산운영지침"/>
      <sheetName val="담당자"/>
      <sheetName val="비용분석"/>
      <sheetName val="리포트작성요령"/>
      <sheetName val="VALUATION"/>
      <sheetName val="일용직임금"/>
      <sheetName val="Strategy"/>
      <sheetName val="임차건물"/>
      <sheetName val="예산절감"/>
      <sheetName val="매출"/>
      <sheetName val="인터넷기준"/>
      <sheetName val="합숙일정"/>
      <sheetName val="예산관리"/>
      <sheetName val="가치창조경영"/>
      <sheetName val="전략경영"/>
      <sheetName val="자금수지"/>
      <sheetName val="자금계획"/>
      <sheetName val="CVP분석"/>
      <sheetName val="재무비율분석"/>
      <sheetName val="예산귀속"/>
      <sheetName val="MODEL"/>
      <sheetName val="EXPENSE"/>
      <sheetName val="department"/>
      <sheetName val="과제"/>
      <sheetName val="국사"/>
      <sheetName val="Macro셀맞춤"/>
      <sheetName val="Macro개인도구"/>
      <sheetName val="3차 대 최 최갑)"/>
      <sheetName val="합계"/>
      <sheetName val="VXX"/>
      <sheetName val="SHEET"/>
      <sheetName val="HMC PRESS"/>
      <sheetName val="철판가"/>
      <sheetName val="원가T-CODE"/>
      <sheetName val="원가계산서"/>
      <sheetName val="외주 PRESS"/>
      <sheetName val="1층(1안)"/>
      <sheetName val="1층(2안) "/>
      <sheetName val="1층(3안) "/>
      <sheetName val="2층(1안)"/>
      <sheetName val="2층(2안)"/>
      <sheetName val="2층(3안)"/>
      <sheetName val="22.12.04"/>
      <sheetName val="월드(단중표)"/>
      <sheetName val="Macro2"/>
      <sheetName val="Macro3"/>
      <sheetName val="Macro4"/>
      <sheetName val="Macro5"/>
      <sheetName val="Macro6"/>
      <sheetName val="Macro7"/>
      <sheetName val="VVVVVa"/>
      <sheetName val="공통단가"/>
      <sheetName val="운반비"/>
      <sheetName val="소포내역"/>
      <sheetName val="소포내역 (2)"/>
      <sheetName val="신규(일위)"/>
      <sheetName val="개요"/>
      <sheetName val="표지 "/>
      <sheetName val="총괄표"/>
      <sheetName val="HMC용접표준"/>
      <sheetName val="BOQ(전기)"/>
      <sheetName val="shot"/>
      <sheetName val="Price Sum (E lec)"/>
      <sheetName val="Price Sum (E &amp; I) (2)"/>
      <sheetName val="SUMMARY(E &amp; I)"/>
      <sheetName val="D-cost"/>
      <sheetName val="INDIRECT"/>
      <sheetName val="평균단가"/>
      <sheetName val="EQ-Cost"/>
      <sheetName val="EQ-Mob-Elect"/>
      <sheetName val="TOOL-Elect"/>
      <sheetName val="ELEC.TEST"/>
      <sheetName val="Chart-E"/>
      <sheetName val="Men-Mob-(Elect tatal)"/>
      <sheetName val="d-histogram"/>
      <sheetName val="bm내역서(B공구)"/>
      <sheetName val="변경내역"/>
      <sheetName val="견적조건보고서"/>
      <sheetName val="견적갑지"/>
      <sheetName val="을지"/>
      <sheetName val="결재"/>
      <sheetName val="자금결"/>
      <sheetName val="mark"/>
      <sheetName val="명판"/>
      <sheetName val="한컴"/>
      <sheetName val="Sheet21"/>
      <sheetName val="Munka1"/>
      <sheetName val="Module3"/>
      <sheetName val="Module2"/>
      <sheetName val="Module4"/>
      <sheetName val="Module5"/>
      <sheetName val="Module6"/>
      <sheetName val="Module7"/>
      <sheetName val="Module8"/>
      <sheetName val="Module9"/>
      <sheetName val="Module10"/>
      <sheetName val="Module11"/>
      <sheetName val="Module12"/>
      <sheetName val="구분양식 (3차 대 최종-"/>
      <sheetName val="전산롔인사용법"/>
      <sheetName val="쌍용재질표"/>
      <sheetName val="__(_)_x0000_(4)"/>
      <sheetName val="손익계산서"/>
      <sheetName val="tel"/>
      <sheetName val="접수"/>
      <sheetName val="발송"/>
      <sheetName val="간지(가로)"/>
      <sheetName val="간지(가로) (2)"/>
      <sheetName val="간지(세로)"/>
      <sheetName val="간지(세로) (2)"/>
      <sheetName val="직접터파기"/>
      <sheetName val="가시설터파기"/>
      <sheetName val="우물통터파기"/>
      <sheetName val="계산"/>
      <sheetName val="구분"/>
      <sheetName val="설변공종"/>
      <sheetName val="앞시트뒷시트"/>
      <sheetName val="수식붙이기"/>
      <sheetName val="K동"/>
      <sheetName val="L직동"/>
      <sheetName val="업무 List"/>
      <sheetName val="00000000"/>
      <sheetName val="월보(을) (_x0016_)"/>
      <sheetName val="골재채취법(등록)"/>
      <sheetName val="골재채취법(허가)"/>
      <sheetName val="도로법(연도구역)"/>
      <sheetName val="농지법(농지전용)"/>
      <sheetName val="하천법(하천의점용)"/>
      <sheetName val="건축법(신고)"/>
      <sheetName val="Macro"/>
      <sheetName val="データ"/>
      <sheetName val="要領書データ入力"/>
      <sheetName val="ﾓｼﾞｭｰﾙﾘｽﾄ"/>
      <sheetName val="図形"/>
      <sheetName val="状態変数"/>
      <sheetName val="-------"/>
      <sheetName val="PXuxrld WideServersrsIL Q12Actc"/>
      <sheetName val="20060116 mstr"/>
      <sheetName val="정리"/>
      <sheetName val="rng"/>
      <sheetName val="PRESS표준"/>
      <sheetName val="기초219"/>
      <sheetName val="실적1월"/>
      <sheetName val="일일매출실적(1월)"/>
      <sheetName val="실적2월"/>
      <sheetName val="일일매출실적(2월)"/>
      <sheetName val="실적3월"/>
      <sheetName val="일일매출실적(3월)"/>
      <sheetName val="실적4월"/>
      <sheetName val="일일매출실적(4월)"/>
      <sheetName val="실적5월"/>
      <sheetName val="일일매출실적(5월)"/>
      <sheetName val="실적6월"/>
      <sheetName val="일일매출실적(6월)"/>
      <sheetName val="실적7월"/>
      <sheetName val="일일매출실적(7월)"/>
      <sheetName val="실적8월"/>
      <sheetName val="일일매출실적(8월)"/>
      <sheetName val="실적9월"/>
      <sheetName val="일일매출실적(9월)"/>
      <sheetName val="실적10월"/>
      <sheetName val="일일매출실적(10월)"/>
      <sheetName val="실적11월"/>
      <sheetName val="일일매출실적(11월)"/>
      <sheetName val="실적12월"/>
      <sheetName val="일일매출실적(12월)"/>
      <sheetName val="20060126 mstr"/>
      <sheetName val="Item Master"/>
      <sheetName val="부품구성표_추가"/>
      <sheetName val="Item Master 추가"/>
      <sheetName val="부품구성표"/>
      <sheetName val="Item Master추가"/>
      <sheetName val="사업개요"/>
      <sheetName val="서류"/>
      <sheetName val="내역"/>
      <sheetName val="VXXXX"/>
      <sheetName val="guyan"/>
      <sheetName val="부품구성표 추가"/>
      <sheetName val="인쇄매크로"/>
      <sheetName val="실행갑지"/>
      <sheetName val="APT"/>
      <sheetName val="부대동"/>
      <sheetName val="특기사항"/>
      <sheetName val="견적기준"/>
      <sheetName val="세대현황"/>
      <sheetName val="요율"/>
      <sheetName val="산출"/>
      <sheetName val="소방"/>
      <sheetName val="EMS변환"/>
      <sheetName val="증감대비표 (2)"/>
      <sheetName val="증감대비표"/>
      <sheetName val="설계변경 1-3"/>
      <sheetName val="설계변경4-20"/>
      <sheetName val="실행예산품의서"/>
      <sheetName val="하도실행(전체)"/>
      <sheetName val="]_x0000_⃀摥屝尨"/>
      <sheetName val="Legend"/>
      <sheetName val="실행수주매출잔고"/>
      <sheetName val="실행수주"/>
      <sheetName val="실행매출"/>
      <sheetName val="매출비교표"/>
      <sheetName val="제품별 매출"/>
      <sheetName val="수도(갑)"/>
      <sheetName val="김포"/>
      <sheetName val="VXXX"/>
      <sheetName val="공사비 증감 구분"/>
      <sheetName val="개보수총공사비"/>
      <sheetName val="총괄"/>
      <sheetName val="덕례배수장"/>
      <sheetName val="스크린"/>
      <sheetName val="2002양배"/>
      <sheetName val="경영환경"/>
      <sheetName val="예산신청"/>
      <sheetName val="미결사항"/>
      <sheetName val="비전"/>
      <sheetName val="전략"/>
      <sheetName val="신년사"/>
      <sheetName val="오라클"/>
      <sheetName val="비용구분"/>
      <sheetName val="실적집계로직"/>
      <sheetName val="엑셀업로드"/>
      <sheetName val="투자변경"/>
      <sheetName val="비용변경"/>
      <sheetName val="비용조회"/>
      <sheetName val="투자조회"/>
      <sheetName val="변경요청"/>
      <sheetName val="통제번호등록"/>
      <sheetName val="통제번호조회"/>
      <sheetName val="통제번호테스트"/>
      <sheetName val="통제시나리오"/>
      <sheetName val="Sheet8 (2)"/>
      <sheetName val="총괄부서"/>
      <sheetName val="예산통제검토"/>
      <sheetName val="BSC"/>
      <sheetName val="체크리스트"/>
      <sheetName val="재무예측절차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 refreshError="1"/>
      <sheetData sheetId="144" refreshError="1"/>
      <sheetData sheetId="145"/>
      <sheetData sheetId="146"/>
      <sheetData sheetId="147"/>
      <sheetData sheetId="148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 refreshError="1"/>
      <sheetData sheetId="167"/>
      <sheetData sheetId="168" refreshError="1"/>
      <sheetData sheetId="169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/>
      <sheetData sheetId="182" refreshError="1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 refreshError="1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/>
      <sheetData sheetId="452"/>
      <sheetData sheetId="453"/>
      <sheetData sheetId="454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/>
      <sheetData sheetId="489" refreshError="1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 refreshError="1"/>
      <sheetData sheetId="526" refreshError="1"/>
      <sheetData sheetId="527" refreshError="1"/>
      <sheetData sheetId="528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표지카메라"/>
      <sheetName val="예산변경내역"/>
      <sheetName val="장비이전예산변경내역"/>
      <sheetName val="총괄"/>
      <sheetName val="투자예산총괄"/>
      <sheetName val="경상예산"/>
      <sheetName val="건물"/>
      <sheetName val="장비이전(1)"/>
      <sheetName val="장비이전 (2)"/>
      <sheetName val="집기비품"/>
      <sheetName val="남양이전건물"/>
      <sheetName val="#REF"/>
      <sheetName val="BUS제원1"/>
      <sheetName val="CAUDIT"/>
      <sheetName val="R&amp;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거주성제원"/>
      <sheetName val="종합"/>
    </sheetNames>
    <sheetDataSet>
      <sheetData sheetId="0" refreshError="1"/>
      <sheetData sheetId="1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#REF"/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1.REVIEW"/>
      <sheetName val="Sheet1"/>
      <sheetName val="Sheet2"/>
      <sheetName val="계약서(회사용)"/>
      <sheetName val="계약서(업체용)"/>
      <sheetName val="안전약정서"/>
      <sheetName val="계약용"/>
      <sheetName val="계약명세표"/>
      <sheetName val="대외공문 "/>
      <sheetName val="개선대책 양식"/>
      <sheetName val="개선사례양식"/>
      <sheetName val="major"/>
      <sheetName val="현황"/>
      <sheetName val="작성기준"/>
      <sheetName val="간지"/>
      <sheetName val="내역갑"/>
      <sheetName val="내역을"/>
      <sheetName val="총수량"/>
      <sheetName val="철근"/>
      <sheetName val="수량"/>
      <sheetName val="단가"/>
      <sheetName val="수량세로"/>
      <sheetName val="가시설1"/>
      <sheetName val="2"/>
      <sheetName val="원골재"/>
      <sheetName val="변골재"/>
      <sheetName val="파일집계"/>
      <sheetName val="수량근거"/>
      <sheetName val="수량집계"/>
      <sheetName val="수량증감"/>
      <sheetName val="공사금액"/>
      <sheetName val="위치별수량"/>
      <sheetName val="행정표준(1)"/>
      <sheetName val="행정표준(2)"/>
      <sheetName val="제안서"/>
      <sheetName val="report_20"/>
      <sheetName val="camera_30"/>
      <sheetName val="투자-국내2"/>
      <sheetName val="열간단조자동원가계산서"/>
      <sheetName val="Book2"/>
      <sheetName val="2수요"/>
      <sheetName val="가격표"/>
      <sheetName val="Sheet6 (3)"/>
      <sheetName val="Sheet5"/>
      <sheetName val="대외공문"/>
      <sheetName val="기안"/>
      <sheetName val="full (2)"/>
      <sheetName val="간이연락"/>
      <sheetName val="표지"/>
      <sheetName val="●현황"/>
      <sheetName val="●목차"/>
      <sheetName val="노무비"/>
      <sheetName val="회의록 (4)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2.대외공문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R&amp;D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SYS검토(1A1)"/>
      <sheetName val="BB1"/>
      <sheetName val="표"/>
      <sheetName val="소유주(원)"/>
      <sheetName val="인원01"/>
      <sheetName val="보고서"/>
      <sheetName val="94B"/>
      <sheetName val="존4"/>
      <sheetName val="DAT(목표)"/>
      <sheetName val="1.POSITIONING"/>
      <sheetName val="KD율"/>
      <sheetName val="1~3월 지시사항"/>
      <sheetName val="내수1.8GL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가단가(台分)"/>
      <sheetName val="재료POSITION"/>
      <sheetName val="업체별금액"/>
      <sheetName val="PRO(삭제)"/>
      <sheetName val="가동비조사"/>
      <sheetName val="원부자재단가LIST"/>
      <sheetName val="SPG구성 (2)"/>
      <sheetName val="9월일정표"/>
      <sheetName val="금형LIST"/>
      <sheetName val="실적(차종별)"/>
      <sheetName val="print용(더블) (2)"/>
      <sheetName val="4.TO 및 현재원"/>
      <sheetName val="계획처리"/>
      <sheetName val="COVER (2)"/>
      <sheetName val="▣현대수출"/>
      <sheetName val="▣차종실적"/>
      <sheetName val="▣판매실적 (3)"/>
      <sheetName val="XX경쟁판매 (2)"/>
      <sheetName val="▣익월계획"/>
      <sheetName val="▣익월계획 (3)"/>
      <sheetName val="▣익월계획 (추가)"/>
      <sheetName val="BACKUP 판매실적 (2)"/>
      <sheetName val="▣경쟁판매"/>
      <sheetName val="▣3사수출"/>
      <sheetName val="PAD중량"/>
      <sheetName val="단가합의서"/>
      <sheetName val="JUMP"/>
      <sheetName val="과거차종"/>
      <sheetName val="면담일지"/>
      <sheetName val="화일 라벨"/>
      <sheetName val="품의서"/>
      <sheetName val="구매품의서"/>
      <sheetName val="출고전표"/>
      <sheetName val="BOX적재량"/>
      <sheetName val="업체연락망"/>
      <sheetName val="76410"/>
      <sheetName val="77410"/>
      <sheetName val="76410 CHECK"/>
      <sheetName val="77410 CHECK"/>
      <sheetName val="9.지원계획"/>
      <sheetName val="Sheet1 (2)"/>
      <sheetName val="TEST"/>
      <sheetName val="■첨부#2.원가구성 (GK)(가죽내수) (합의) (2)"/>
      <sheetName val="■첨부#3.수출입비용 (XD)내수"/>
      <sheetName val="2_BOM관리업무분장"/>
      <sheetName val="WIPER PIVOT 반대조립"/>
      <sheetName val="SPA SP"/>
      <sheetName val="CRD SP"/>
      <sheetName val="정산"/>
      <sheetName val="품의"/>
      <sheetName val="Sheet8"/>
      <sheetName val="Sheet1 (3)"/>
      <sheetName val="2.손익추이"/>
      <sheetName val="토지면적+건물면적 (2)"/>
      <sheetName val="12월 판관비실적(배부후)"/>
      <sheetName val="Sheet6"/>
      <sheetName val="Sheet7"/>
      <sheetName val="March (2)"/>
      <sheetName val="97323-47000"/>
      <sheetName val="출장경로"/>
      <sheetName val="DETAIL(3)"/>
      <sheetName val="xd year 1"/>
      <sheetName val="물량계획"/>
      <sheetName val="추진 일정"/>
      <sheetName val="지원"/>
      <sheetName val="비교표"/>
      <sheetName val="LONG SLIDE"/>
      <sheetName val="공정별LAY (4)"/>
      <sheetName val="EFFLIFT"/>
      <sheetName val="수량산출서 (2)"/>
      <sheetName val="설계표"/>
      <sheetName val="원가계산"/>
      <sheetName val="총괄내역서"/>
      <sheetName val="내역서"/>
      <sheetName val="마운딩산출"/>
      <sheetName val="소형고압면적"/>
      <sheetName val="지주목산출"/>
      <sheetName val="수량산출서"/>
      <sheetName val="식재일위"/>
      <sheetName val="수목운반,상하차비"/>
      <sheetName val="이식자재산출"/>
      <sheetName val=" 단가"/>
      <sheetName val="시설물일위"/>
      <sheetName val="노임단가2000년"/>
      <sheetName val="기계경비목록"/>
      <sheetName val="기계경비"/>
      <sheetName val="시멘트철근"/>
      <sheetName val="골재집계표"/>
      <sheetName val="W.J.C. 출장 (2)"/>
      <sheetName val="연락망"/>
      <sheetName val="외출중外"/>
      <sheetName val="기준서(갑)"/>
      <sheetName val="기준서(을)"/>
      <sheetName val="見積書"/>
      <sheetName val="見積書(日本向)"/>
      <sheetName val="見積書(北美向)"/>
      <sheetName val="지역별종합1"/>
      <sheetName val="지역별종합2"/>
      <sheetName val="GK (04)"/>
      <sheetName val="동프발주서"/>
      <sheetName val="외주품 TAG (2)"/>
      <sheetName val="역량분석"/>
      <sheetName val="일일선적 "/>
      <sheetName val="선적누계"/>
      <sheetName val="발표회"/>
      <sheetName val="종합"/>
      <sheetName val="개요"/>
      <sheetName val="시험장비현황"/>
      <sheetName val="A-100전제"/>
      <sheetName val="W-현원가"/>
      <sheetName val="Tbom-tot"/>
      <sheetName val="BND"/>
      <sheetName val="FUEL FILLER"/>
      <sheetName val="ORIGIN"/>
      <sheetName val="팀별 합계"/>
      <sheetName val="외주현황.wq1"/>
      <sheetName val="년도별구입금액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 refreshError="1"/>
      <sheetData sheetId="184" refreshError="1"/>
      <sheetData sheetId="185" refreshError="1"/>
      <sheetData sheetId="186"/>
      <sheetData sheetId="187" refreshError="1"/>
      <sheetData sheetId="188" refreshError="1"/>
      <sheetData sheetId="189" refreshError="1"/>
      <sheetData sheetId="190"/>
      <sheetData sheetId="191" refreshError="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 refreshError="1"/>
      <sheetData sheetId="205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/>
      <sheetData sheetId="244"/>
      <sheetData sheetId="245" refreshError="1"/>
      <sheetData sheetId="246" refreshError="1"/>
      <sheetData sheetId="247" refreshError="1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COMPO_TABLE"/>
      <sheetName val="99년1월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현상"/>
      <sheetName val="SWC"/>
      <sheetName val="SWC (3)"/>
      <sheetName val="SWC (4)"/>
      <sheetName val="SWC (2)"/>
      <sheetName val="#REF"/>
      <sheetName val="M8Tap"/>
      <sheetName val="보스부리크"/>
      <sheetName val="상세도"/>
      <sheetName val="재현시험"/>
      <sheetName val="3"/>
      <sheetName val="협조전"/>
      <sheetName val="전체현황"/>
      <sheetName val="M96현황-동아"/>
      <sheetName val="PILOT품"/>
      <sheetName val="11"/>
      <sheetName val="타임챠트"/>
      <sheetName val="신고서.전"/>
      <sheetName val="#REF!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내역"/>
      <sheetName val="99총괄"/>
      <sheetName val="추정"/>
      <sheetName val="총괄"/>
      <sheetName val="98대비"/>
      <sheetName val="부품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팀별"/>
      <sheetName val="#REF"/>
      <sheetName val="표지"/>
      <sheetName val="선반OPT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GRACE"/>
      <sheetName val="인원01"/>
      <sheetName val="세목별"/>
      <sheetName val="기안"/>
      <sheetName val="중장기판매계획"/>
      <sheetName val="종기계획(월별)"/>
    </sheetNames>
    <sheetDataSet>
      <sheetData sheetId="0" refreshError="1">
        <row r="52">
          <cell r="C52" t="str">
            <v>FG:6'tb'tb'sp'sp'rt'dk'dkGMZ'rt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D율"/>
      <sheetName val="인원01"/>
      <sheetName val="#REF"/>
      <sheetName val="표지★"/>
      <sheetName val="WXY"/>
      <sheetName val="가격표"/>
      <sheetName val="공구현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제품개발투자비(매가)"/>
      <sheetName val="RD제품개발투자비_매가_"/>
      <sheetName val="2.대외공문"/>
    </sheetNames>
    <sheetDataSet>
      <sheetData sheetId="0"/>
      <sheetData sheetId="1"/>
      <sheetData sheetId="2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건가이자전체"/>
      <sheetName val="전체"/>
      <sheetName val="본사"/>
      <sheetName val="울산"/>
      <sheetName val="전주"/>
      <sheetName val="아산"/>
      <sheetName val="전체(98년계획분)"/>
      <sheetName val="본사(98년계획분)"/>
      <sheetName val="울산(98년계획분)"/>
      <sheetName val="전주(98년계획분)"/>
      <sheetName val="아산(98년계획분)"/>
      <sheetName val="연구소(98년계획분)"/>
      <sheetName val="전체(이월실적)"/>
      <sheetName val="본사(이월실적)"/>
      <sheetName val="울산(이월실적)"/>
      <sheetName val="전주(이월실적)"/>
      <sheetName val="아산(이월실적)"/>
      <sheetName val="연구소(이월실적)"/>
      <sheetName val="누계실적전체"/>
      <sheetName val="RD제품개발투자비(매가)"/>
      <sheetName val="CR CODE"/>
      <sheetName val="부서CODE"/>
      <sheetName val="THEME CODE"/>
      <sheetName val="#REF"/>
    </sheetNames>
    <sheetDataSet>
      <sheetData sheetId="0" refreshError="1">
        <row r="2">
          <cell r="F2" t="str">
            <v>T4FAK20171</v>
          </cell>
          <cell r="G2">
            <v>39429</v>
          </cell>
          <cell r="H2">
            <v>40496</v>
          </cell>
          <cell r="I2">
            <v>39431</v>
          </cell>
          <cell r="J2">
            <v>24257</v>
          </cell>
        </row>
        <row r="3">
          <cell r="F3" t="str">
            <v>T5FAK29711</v>
          </cell>
          <cell r="G3">
            <v>247091</v>
          </cell>
          <cell r="H3">
            <v>250478</v>
          </cell>
          <cell r="I3">
            <v>253231</v>
          </cell>
          <cell r="J3">
            <v>860470</v>
          </cell>
        </row>
        <row r="4">
          <cell r="F4" t="str">
            <v>T6EMK20042</v>
          </cell>
          <cell r="G4">
            <v>81508</v>
          </cell>
          <cell r="H4">
            <v>0</v>
          </cell>
          <cell r="I4">
            <v>0</v>
          </cell>
          <cell r="J4">
            <v>0</v>
          </cell>
        </row>
        <row r="5">
          <cell r="F5" t="str">
            <v>T6FAK20131</v>
          </cell>
          <cell r="G5">
            <v>55268</v>
          </cell>
          <cell r="H5">
            <v>56117</v>
          </cell>
          <cell r="I5">
            <v>56734</v>
          </cell>
          <cell r="J5">
            <v>37991</v>
          </cell>
        </row>
        <row r="6">
          <cell r="F6" t="str">
            <v>T6FAK20711</v>
          </cell>
          <cell r="G6">
            <v>1104958</v>
          </cell>
          <cell r="H6">
            <v>1097407</v>
          </cell>
          <cell r="I6">
            <v>1098078</v>
          </cell>
          <cell r="J6">
            <v>721854</v>
          </cell>
        </row>
        <row r="7">
          <cell r="F7" t="str">
            <v>T6FAK21061</v>
          </cell>
          <cell r="G7">
            <v>60422</v>
          </cell>
          <cell r="H7">
            <v>61349</v>
          </cell>
          <cell r="I7">
            <v>62023</v>
          </cell>
          <cell r="J7">
            <v>41533</v>
          </cell>
        </row>
        <row r="8">
          <cell r="F8" t="str">
            <v>T6FAK21071</v>
          </cell>
          <cell r="G8">
            <v>197570</v>
          </cell>
          <cell r="H8">
            <v>200603</v>
          </cell>
          <cell r="I8">
            <v>202807</v>
          </cell>
          <cell r="J8">
            <v>135810</v>
          </cell>
        </row>
        <row r="9">
          <cell r="F9" t="str">
            <v>T6FAK21081</v>
          </cell>
          <cell r="G9">
            <v>975194</v>
          </cell>
          <cell r="H9">
            <v>968239</v>
          </cell>
          <cell r="I9">
            <v>968693</v>
          </cell>
          <cell r="J9">
            <v>636634</v>
          </cell>
        </row>
        <row r="10">
          <cell r="F10" t="str">
            <v>T6FAK21171</v>
          </cell>
          <cell r="G10">
            <v>34946</v>
          </cell>
          <cell r="H10">
            <v>35481</v>
          </cell>
          <cell r="I10">
            <v>35871</v>
          </cell>
          <cell r="J10">
            <v>24022</v>
          </cell>
        </row>
        <row r="11">
          <cell r="F11" t="str">
            <v>T6FAK29791</v>
          </cell>
          <cell r="G11">
            <v>1777226</v>
          </cell>
          <cell r="H11">
            <v>1781796</v>
          </cell>
          <cell r="I11">
            <v>1773422</v>
          </cell>
          <cell r="J11">
            <v>1243859</v>
          </cell>
        </row>
        <row r="12">
          <cell r="F12" t="str">
            <v>T6FUK20252</v>
          </cell>
          <cell r="G12">
            <v>25705</v>
          </cell>
          <cell r="H12">
            <v>26099</v>
          </cell>
          <cell r="I12">
            <v>26386</v>
          </cell>
          <cell r="J12">
            <v>17670</v>
          </cell>
        </row>
        <row r="13">
          <cell r="F13" t="str">
            <v>T6GJK20322</v>
          </cell>
          <cell r="G13">
            <v>742514</v>
          </cell>
          <cell r="H13">
            <v>750765</v>
          </cell>
          <cell r="I13">
            <v>759015</v>
          </cell>
          <cell r="J13">
            <v>503260</v>
          </cell>
        </row>
        <row r="14">
          <cell r="F14" t="str">
            <v>T6NTK20501</v>
          </cell>
          <cell r="G14">
            <v>104034</v>
          </cell>
          <cell r="H14">
            <v>105630</v>
          </cell>
          <cell r="I14">
            <v>106791</v>
          </cell>
          <cell r="J14">
            <v>71513</v>
          </cell>
        </row>
        <row r="15">
          <cell r="F15" t="str">
            <v>T6PLK20022</v>
          </cell>
          <cell r="G15">
            <v>951988</v>
          </cell>
          <cell r="H15">
            <v>966604</v>
          </cell>
          <cell r="I15">
            <v>977225</v>
          </cell>
          <cell r="J15">
            <v>654394</v>
          </cell>
        </row>
        <row r="16">
          <cell r="F16" t="str">
            <v>T7BQK20012</v>
          </cell>
          <cell r="G16">
            <v>137326</v>
          </cell>
          <cell r="H16">
            <v>139433</v>
          </cell>
          <cell r="I16">
            <v>94998</v>
          </cell>
          <cell r="J16">
            <v>94397</v>
          </cell>
        </row>
        <row r="17">
          <cell r="F17" t="str">
            <v>T7BWK20012</v>
          </cell>
          <cell r="G17">
            <v>42459</v>
          </cell>
          <cell r="H17">
            <v>43110</v>
          </cell>
          <cell r="I17">
            <v>43584</v>
          </cell>
          <cell r="J17">
            <v>29186</v>
          </cell>
        </row>
        <row r="18">
          <cell r="F18" t="str">
            <v>T7B2K20012</v>
          </cell>
          <cell r="G18">
            <v>271637</v>
          </cell>
          <cell r="H18">
            <v>275806</v>
          </cell>
          <cell r="I18">
            <v>278837</v>
          </cell>
          <cell r="J18">
            <v>186722</v>
          </cell>
        </row>
        <row r="19">
          <cell r="F19" t="str">
            <v>T7B4K20012</v>
          </cell>
          <cell r="G19">
            <v>364213</v>
          </cell>
          <cell r="H19">
            <v>369806</v>
          </cell>
          <cell r="I19">
            <v>373870</v>
          </cell>
          <cell r="J19">
            <v>250360</v>
          </cell>
        </row>
        <row r="20">
          <cell r="F20" t="str">
            <v>T7B5K20012</v>
          </cell>
          <cell r="G20">
            <v>179594</v>
          </cell>
          <cell r="H20">
            <v>182351</v>
          </cell>
          <cell r="I20">
            <v>184354</v>
          </cell>
          <cell r="J20">
            <v>123452</v>
          </cell>
        </row>
        <row r="21">
          <cell r="F21" t="str">
            <v>T7B8K20012</v>
          </cell>
          <cell r="G21">
            <v>215933</v>
          </cell>
          <cell r="H21">
            <v>219246</v>
          </cell>
          <cell r="I21">
            <v>221655</v>
          </cell>
          <cell r="J21">
            <v>148431</v>
          </cell>
        </row>
        <row r="22">
          <cell r="F22" t="str">
            <v>T7B9K20012</v>
          </cell>
          <cell r="G22">
            <v>335038</v>
          </cell>
          <cell r="H22">
            <v>340182</v>
          </cell>
          <cell r="I22">
            <v>343920</v>
          </cell>
          <cell r="J22">
            <v>230305</v>
          </cell>
        </row>
        <row r="23">
          <cell r="F23" t="str">
            <v>T7CCK20012</v>
          </cell>
          <cell r="G23">
            <v>1028255</v>
          </cell>
          <cell r="H23">
            <v>1044040</v>
          </cell>
          <cell r="I23">
            <v>1055513</v>
          </cell>
          <cell r="J23">
            <v>706820</v>
          </cell>
        </row>
        <row r="24">
          <cell r="F24" t="str">
            <v>T7CKK20012</v>
          </cell>
          <cell r="G24">
            <v>1010877</v>
          </cell>
          <cell r="H24">
            <v>1026395</v>
          </cell>
          <cell r="I24">
            <v>1037674</v>
          </cell>
          <cell r="J24">
            <v>694874</v>
          </cell>
        </row>
        <row r="25">
          <cell r="F25" t="str">
            <v>T7CLK20012</v>
          </cell>
          <cell r="G25">
            <v>414680</v>
          </cell>
          <cell r="H25">
            <v>421047</v>
          </cell>
          <cell r="I25">
            <v>425673</v>
          </cell>
          <cell r="J25">
            <v>285051</v>
          </cell>
        </row>
        <row r="26">
          <cell r="F26" t="str">
            <v>T7CLK20022</v>
          </cell>
          <cell r="G26">
            <v>1186598</v>
          </cell>
          <cell r="H26">
            <v>1204815</v>
          </cell>
          <cell r="I26">
            <v>1218054</v>
          </cell>
          <cell r="J26">
            <v>815664</v>
          </cell>
        </row>
        <row r="27">
          <cell r="F27" t="str">
            <v>T7CLK20032</v>
          </cell>
          <cell r="G27">
            <v>657340</v>
          </cell>
          <cell r="H27">
            <v>667433</v>
          </cell>
          <cell r="I27">
            <v>674767</v>
          </cell>
          <cell r="J27">
            <v>451855</v>
          </cell>
        </row>
        <row r="28">
          <cell r="F28" t="str">
            <v>T7CLK20102</v>
          </cell>
          <cell r="G28">
            <v>137099</v>
          </cell>
          <cell r="H28">
            <v>139203</v>
          </cell>
          <cell r="I28">
            <v>140733</v>
          </cell>
          <cell r="J28">
            <v>94241</v>
          </cell>
        </row>
        <row r="29">
          <cell r="F29" t="str">
            <v>T7CMK20012</v>
          </cell>
          <cell r="G29">
            <v>359895</v>
          </cell>
          <cell r="H29">
            <v>365420</v>
          </cell>
          <cell r="I29">
            <v>369436</v>
          </cell>
          <cell r="J29">
            <v>247390</v>
          </cell>
        </row>
        <row r="30">
          <cell r="F30" t="str">
            <v>T7COK20022</v>
          </cell>
          <cell r="G30">
            <v>1302456</v>
          </cell>
          <cell r="H30">
            <v>1322452</v>
          </cell>
          <cell r="I30">
            <v>1336985</v>
          </cell>
          <cell r="J30">
            <v>895305</v>
          </cell>
        </row>
        <row r="31">
          <cell r="F31" t="str">
            <v>T7COK20032</v>
          </cell>
          <cell r="G31">
            <v>637517</v>
          </cell>
          <cell r="H31">
            <v>647305</v>
          </cell>
          <cell r="I31">
            <v>654419</v>
          </cell>
          <cell r="J31">
            <v>438228</v>
          </cell>
        </row>
        <row r="32">
          <cell r="F32" t="str">
            <v>T7COK20042</v>
          </cell>
          <cell r="G32">
            <v>65122</v>
          </cell>
          <cell r="H32">
            <v>66121</v>
          </cell>
          <cell r="I32">
            <v>66848</v>
          </cell>
          <cell r="J32">
            <v>44764</v>
          </cell>
        </row>
        <row r="33">
          <cell r="F33" t="str">
            <v>T7COK20052</v>
          </cell>
          <cell r="G33">
            <v>863733</v>
          </cell>
          <cell r="H33">
            <v>876994</v>
          </cell>
          <cell r="I33">
            <v>886631</v>
          </cell>
          <cell r="J33">
            <v>593729</v>
          </cell>
        </row>
        <row r="34">
          <cell r="F34" t="str">
            <v>T7CUK20232</v>
          </cell>
          <cell r="G34">
            <v>68548</v>
          </cell>
          <cell r="H34">
            <v>69600</v>
          </cell>
          <cell r="I34">
            <v>70365</v>
          </cell>
          <cell r="J34">
            <v>47120</v>
          </cell>
        </row>
        <row r="35">
          <cell r="F35" t="str">
            <v>T7CUK20372</v>
          </cell>
          <cell r="G35">
            <v>1028253</v>
          </cell>
          <cell r="H35">
            <v>1044040</v>
          </cell>
          <cell r="I35">
            <v>1055513</v>
          </cell>
          <cell r="J35">
            <v>706819</v>
          </cell>
        </row>
        <row r="36">
          <cell r="F36" t="str">
            <v>T7CUK20412</v>
          </cell>
          <cell r="G36">
            <v>838362</v>
          </cell>
          <cell r="H36">
            <v>851232</v>
          </cell>
          <cell r="I36">
            <v>860586</v>
          </cell>
          <cell r="J36">
            <v>576288</v>
          </cell>
        </row>
        <row r="37">
          <cell r="F37" t="str">
            <v>T7CUK20422</v>
          </cell>
          <cell r="G37">
            <v>1485906</v>
          </cell>
          <cell r="H37">
            <v>1508717</v>
          </cell>
          <cell r="I37">
            <v>1525297</v>
          </cell>
          <cell r="J37">
            <v>1021408</v>
          </cell>
        </row>
        <row r="38">
          <cell r="F38" t="str">
            <v>T7CUK20432</v>
          </cell>
          <cell r="G38">
            <v>3393227</v>
          </cell>
          <cell r="H38">
            <v>3445323</v>
          </cell>
          <cell r="I38">
            <v>3483183</v>
          </cell>
          <cell r="J38">
            <v>2332499</v>
          </cell>
        </row>
        <row r="39">
          <cell r="F39" t="str">
            <v>T7CUK20442</v>
          </cell>
          <cell r="G39">
            <v>685504</v>
          </cell>
          <cell r="H39">
            <v>696028</v>
          </cell>
          <cell r="I39">
            <v>703676</v>
          </cell>
          <cell r="J39">
            <v>471213</v>
          </cell>
        </row>
        <row r="40">
          <cell r="F40" t="str">
            <v>T7CUK20462</v>
          </cell>
          <cell r="G40">
            <v>1062529</v>
          </cell>
          <cell r="H40">
            <v>1078842</v>
          </cell>
          <cell r="I40">
            <v>1090698</v>
          </cell>
          <cell r="J40">
            <v>730381</v>
          </cell>
        </row>
        <row r="41">
          <cell r="F41" t="str">
            <v>T7CUK20482</v>
          </cell>
          <cell r="G41">
            <v>1508107</v>
          </cell>
          <cell r="H41">
            <v>1531260</v>
          </cell>
          <cell r="I41">
            <v>1548087</v>
          </cell>
          <cell r="J41">
            <v>1036669</v>
          </cell>
        </row>
        <row r="42">
          <cell r="F42" t="str">
            <v>T7CUK20522</v>
          </cell>
          <cell r="G42">
            <v>2810561</v>
          </cell>
          <cell r="H42">
            <v>2853711</v>
          </cell>
          <cell r="I42">
            <v>2885070</v>
          </cell>
          <cell r="J42">
            <v>1931974</v>
          </cell>
        </row>
        <row r="43">
          <cell r="F43" t="str">
            <v>T7CUK20662</v>
          </cell>
          <cell r="G43">
            <v>184090</v>
          </cell>
          <cell r="H43">
            <v>186917</v>
          </cell>
          <cell r="I43">
            <v>188971</v>
          </cell>
          <cell r="J43">
            <v>126543</v>
          </cell>
        </row>
        <row r="44">
          <cell r="F44" t="str">
            <v>T7CUK20712</v>
          </cell>
          <cell r="G44">
            <v>514127</v>
          </cell>
          <cell r="H44">
            <v>522021</v>
          </cell>
          <cell r="I44">
            <v>527757</v>
          </cell>
          <cell r="J44">
            <v>353410</v>
          </cell>
        </row>
        <row r="45">
          <cell r="F45" t="str">
            <v>T7CUK20732</v>
          </cell>
          <cell r="G45">
            <v>5249</v>
          </cell>
          <cell r="H45">
            <v>5330</v>
          </cell>
          <cell r="I45">
            <v>5389</v>
          </cell>
          <cell r="J45">
            <v>3609</v>
          </cell>
        </row>
        <row r="46">
          <cell r="F46" t="str">
            <v>T7CUK20752</v>
          </cell>
          <cell r="G46">
            <v>23992</v>
          </cell>
          <cell r="H46">
            <v>24360</v>
          </cell>
          <cell r="I46">
            <v>24627</v>
          </cell>
          <cell r="J46">
            <v>16492</v>
          </cell>
        </row>
        <row r="47">
          <cell r="F47" t="str">
            <v>T7CVK20032</v>
          </cell>
          <cell r="G47">
            <v>191938</v>
          </cell>
          <cell r="H47">
            <v>194886</v>
          </cell>
          <cell r="I47">
            <v>197028</v>
          </cell>
          <cell r="J47">
            <v>131939</v>
          </cell>
        </row>
        <row r="48">
          <cell r="F48" t="str">
            <v>T7CVK20042</v>
          </cell>
          <cell r="G48">
            <v>1211214</v>
          </cell>
          <cell r="H48">
            <v>1229810</v>
          </cell>
          <cell r="I48">
            <v>1243324</v>
          </cell>
          <cell r="J48">
            <v>832585</v>
          </cell>
        </row>
        <row r="49">
          <cell r="F49" t="str">
            <v>T7CVK20062</v>
          </cell>
          <cell r="G49">
            <v>1621214</v>
          </cell>
          <cell r="H49">
            <v>1646102</v>
          </cell>
          <cell r="I49">
            <v>1664191</v>
          </cell>
          <cell r="J49">
            <v>1114419</v>
          </cell>
        </row>
        <row r="50">
          <cell r="F50" t="str">
            <v>T7CVK21142</v>
          </cell>
          <cell r="G50">
            <v>71120</v>
          </cell>
          <cell r="H50">
            <v>72211</v>
          </cell>
          <cell r="I50">
            <v>73004</v>
          </cell>
          <cell r="J50">
            <v>48887</v>
          </cell>
        </row>
        <row r="51">
          <cell r="F51" t="str">
            <v>T7CVK21152</v>
          </cell>
          <cell r="G51">
            <v>265631</v>
          </cell>
          <cell r="H51">
            <v>269709</v>
          </cell>
          <cell r="I51">
            <v>272673</v>
          </cell>
          <cell r="J51">
            <v>182594</v>
          </cell>
        </row>
        <row r="52">
          <cell r="F52" t="str">
            <v>T7CVK21162</v>
          </cell>
          <cell r="G52">
            <v>119961</v>
          </cell>
          <cell r="H52">
            <v>121803</v>
          </cell>
          <cell r="I52">
            <v>123141</v>
          </cell>
          <cell r="J52">
            <v>82462</v>
          </cell>
        </row>
        <row r="53">
          <cell r="F53" t="str">
            <v>T7CWK20042</v>
          </cell>
          <cell r="G53">
            <v>925429</v>
          </cell>
          <cell r="H53">
            <v>939636</v>
          </cell>
          <cell r="I53">
            <v>949962</v>
          </cell>
          <cell r="J53">
            <v>636138</v>
          </cell>
        </row>
        <row r="54">
          <cell r="F54" t="str">
            <v>T7C9K20012</v>
          </cell>
          <cell r="G54">
            <v>1415494</v>
          </cell>
          <cell r="H54">
            <v>1437226</v>
          </cell>
          <cell r="I54">
            <v>1453019</v>
          </cell>
          <cell r="J54">
            <v>973007</v>
          </cell>
        </row>
        <row r="55">
          <cell r="F55" t="str">
            <v>T7C9K20022</v>
          </cell>
          <cell r="G55">
            <v>186195</v>
          </cell>
          <cell r="H55">
            <v>189053</v>
          </cell>
          <cell r="I55">
            <v>191131</v>
          </cell>
          <cell r="J55">
            <v>127990</v>
          </cell>
        </row>
        <row r="56">
          <cell r="F56" t="str">
            <v>T7DDK20011</v>
          </cell>
          <cell r="G56">
            <v>377027</v>
          </cell>
          <cell r="H56">
            <v>256612</v>
          </cell>
          <cell r="I56">
            <v>0</v>
          </cell>
          <cell r="J56">
            <v>0</v>
          </cell>
        </row>
        <row r="57">
          <cell r="F57" t="str">
            <v>T7DDK20022</v>
          </cell>
          <cell r="G57">
            <v>612839</v>
          </cell>
          <cell r="H57">
            <v>622246</v>
          </cell>
          <cell r="I57">
            <v>629084</v>
          </cell>
          <cell r="J57">
            <v>421264</v>
          </cell>
        </row>
        <row r="58">
          <cell r="F58" t="str">
            <v>T7DDK20162</v>
          </cell>
          <cell r="G58">
            <v>342752</v>
          </cell>
          <cell r="H58">
            <v>348014</v>
          </cell>
          <cell r="I58">
            <v>351838</v>
          </cell>
          <cell r="J58">
            <v>235607</v>
          </cell>
        </row>
        <row r="59">
          <cell r="F59" t="str">
            <v>T7DGK20012</v>
          </cell>
          <cell r="G59">
            <v>883167</v>
          </cell>
          <cell r="H59">
            <v>896726</v>
          </cell>
          <cell r="I59">
            <v>906580</v>
          </cell>
          <cell r="J59">
            <v>607087</v>
          </cell>
        </row>
        <row r="60">
          <cell r="F60" t="str">
            <v>T7DIK20022</v>
          </cell>
          <cell r="G60">
            <v>243166</v>
          </cell>
          <cell r="H60">
            <v>246901</v>
          </cell>
          <cell r="I60">
            <v>249614</v>
          </cell>
          <cell r="J60">
            <v>167152</v>
          </cell>
        </row>
        <row r="61">
          <cell r="F61" t="str">
            <v>T7DMK20012</v>
          </cell>
          <cell r="G61">
            <v>291153</v>
          </cell>
          <cell r="H61">
            <v>295622</v>
          </cell>
          <cell r="I61">
            <v>298870</v>
          </cell>
          <cell r="J61">
            <v>200137</v>
          </cell>
        </row>
        <row r="62">
          <cell r="F62" t="str">
            <v>T7DMK20042</v>
          </cell>
          <cell r="G62">
            <v>323433</v>
          </cell>
          <cell r="H62">
            <v>328398</v>
          </cell>
          <cell r="I62">
            <v>332007</v>
          </cell>
          <cell r="J62">
            <v>222327</v>
          </cell>
        </row>
        <row r="63">
          <cell r="F63" t="str">
            <v>T7DPK20012</v>
          </cell>
          <cell r="G63">
            <v>411300</v>
          </cell>
          <cell r="H63">
            <v>417614</v>
          </cell>
          <cell r="I63">
            <v>422203</v>
          </cell>
          <cell r="J63">
            <v>282727</v>
          </cell>
        </row>
        <row r="64">
          <cell r="F64" t="str">
            <v>T7DRK20012</v>
          </cell>
          <cell r="G64">
            <v>1371005</v>
          </cell>
          <cell r="H64">
            <v>1392054</v>
          </cell>
          <cell r="I64">
            <v>1407351</v>
          </cell>
          <cell r="J64">
            <v>942426</v>
          </cell>
        </row>
        <row r="65">
          <cell r="F65" t="str">
            <v>T7DRK20022</v>
          </cell>
          <cell r="G65">
            <v>968086</v>
          </cell>
          <cell r="H65">
            <v>982949</v>
          </cell>
          <cell r="I65">
            <v>993751</v>
          </cell>
          <cell r="J65">
            <v>665461</v>
          </cell>
        </row>
        <row r="66">
          <cell r="F66" t="str">
            <v>T7DSK20012</v>
          </cell>
          <cell r="G66">
            <v>257063</v>
          </cell>
          <cell r="H66">
            <v>261009</v>
          </cell>
          <cell r="I66">
            <v>263877</v>
          </cell>
          <cell r="J66">
            <v>176704</v>
          </cell>
        </row>
        <row r="67">
          <cell r="F67" t="str">
            <v>T7DXK20022</v>
          </cell>
          <cell r="G67">
            <v>2287867</v>
          </cell>
          <cell r="H67">
            <v>2322991</v>
          </cell>
          <cell r="I67">
            <v>2348519</v>
          </cell>
          <cell r="J67">
            <v>1572675</v>
          </cell>
        </row>
        <row r="68">
          <cell r="F68" t="str">
            <v>T7D1K20022</v>
          </cell>
          <cell r="G68">
            <v>1713757</v>
          </cell>
          <cell r="H68">
            <v>1740066</v>
          </cell>
          <cell r="I68">
            <v>1759188</v>
          </cell>
          <cell r="J68">
            <v>1178032</v>
          </cell>
        </row>
        <row r="69">
          <cell r="F69" t="str">
            <v>T7EFK20012</v>
          </cell>
          <cell r="G69">
            <v>315331</v>
          </cell>
          <cell r="H69">
            <v>320171</v>
          </cell>
          <cell r="I69">
            <v>323689</v>
          </cell>
          <cell r="J69">
            <v>216757</v>
          </cell>
        </row>
        <row r="70">
          <cell r="F70" t="str">
            <v>T7EIK20062</v>
          </cell>
          <cell r="G70">
            <v>777021</v>
          </cell>
          <cell r="H70">
            <v>76004</v>
          </cell>
          <cell r="I70">
            <v>76840</v>
          </cell>
          <cell r="J70">
            <v>51456</v>
          </cell>
        </row>
        <row r="71">
          <cell r="F71" t="str">
            <v>T7EJK20012</v>
          </cell>
          <cell r="G71">
            <v>856878</v>
          </cell>
          <cell r="H71">
            <v>870033</v>
          </cell>
          <cell r="I71">
            <v>879594</v>
          </cell>
          <cell r="J71">
            <v>589016</v>
          </cell>
        </row>
        <row r="72">
          <cell r="F72" t="str">
            <v>T7EKK20012</v>
          </cell>
          <cell r="G72">
            <v>842563</v>
          </cell>
          <cell r="H72">
            <v>855500</v>
          </cell>
          <cell r="I72">
            <v>864901</v>
          </cell>
          <cell r="J72">
            <v>579177</v>
          </cell>
        </row>
        <row r="73">
          <cell r="F73" t="str">
            <v>T7EPK20302</v>
          </cell>
          <cell r="G73">
            <v>3002429</v>
          </cell>
          <cell r="H73">
            <v>2095729</v>
          </cell>
          <cell r="I73">
            <v>703675</v>
          </cell>
          <cell r="J73">
            <v>471213</v>
          </cell>
        </row>
        <row r="74">
          <cell r="F74" t="str">
            <v>T7EPK20402</v>
          </cell>
          <cell r="G74">
            <v>1540428</v>
          </cell>
          <cell r="H74">
            <v>235605</v>
          </cell>
          <cell r="I74">
            <v>238194</v>
          </cell>
          <cell r="J74">
            <v>159505</v>
          </cell>
        </row>
        <row r="75">
          <cell r="F75" t="str">
            <v>T7EPK20602</v>
          </cell>
          <cell r="G75">
            <v>1713757</v>
          </cell>
          <cell r="H75">
            <v>0</v>
          </cell>
          <cell r="I75">
            <v>0</v>
          </cell>
          <cell r="J75">
            <v>0</v>
          </cell>
        </row>
        <row r="76">
          <cell r="F76" t="str">
            <v>T7EPK20702</v>
          </cell>
          <cell r="G76">
            <v>411385</v>
          </cell>
          <cell r="H76">
            <v>395343</v>
          </cell>
          <cell r="I76">
            <v>399687</v>
          </cell>
          <cell r="J76">
            <v>267648</v>
          </cell>
        </row>
        <row r="77">
          <cell r="F77" t="str">
            <v>T7EQK20012</v>
          </cell>
          <cell r="G77">
            <v>2687519</v>
          </cell>
          <cell r="H77">
            <v>1804323</v>
          </cell>
          <cell r="I77">
            <v>793049</v>
          </cell>
          <cell r="J77">
            <v>531062</v>
          </cell>
        </row>
        <row r="78">
          <cell r="F78" t="str">
            <v>T7ERK20012</v>
          </cell>
          <cell r="G78">
            <v>1887724</v>
          </cell>
          <cell r="H78">
            <v>1916703</v>
          </cell>
          <cell r="I78">
            <v>1937766</v>
          </cell>
          <cell r="J78">
            <v>1297617</v>
          </cell>
        </row>
        <row r="79">
          <cell r="F79" t="str">
            <v>T7EZK20012</v>
          </cell>
          <cell r="G79">
            <v>287541</v>
          </cell>
          <cell r="H79">
            <v>291955</v>
          </cell>
          <cell r="I79">
            <v>295163</v>
          </cell>
          <cell r="J79">
            <v>197654</v>
          </cell>
        </row>
        <row r="80">
          <cell r="F80" t="str">
            <v>T7FAK20092</v>
          </cell>
          <cell r="G80">
            <v>2914072</v>
          </cell>
          <cell r="H80">
            <v>2958811</v>
          </cell>
          <cell r="I80">
            <v>2991326</v>
          </cell>
          <cell r="J80">
            <v>2003128</v>
          </cell>
        </row>
        <row r="81">
          <cell r="F81" t="str">
            <v>T7FAK26012</v>
          </cell>
          <cell r="G81">
            <v>265288</v>
          </cell>
          <cell r="H81">
            <v>269363</v>
          </cell>
          <cell r="I81">
            <v>272323</v>
          </cell>
          <cell r="J81">
            <v>182359</v>
          </cell>
        </row>
        <row r="82">
          <cell r="F82" t="str">
            <v>T7FAK28011</v>
          </cell>
          <cell r="G82">
            <v>2244481</v>
          </cell>
          <cell r="H82">
            <v>2278938</v>
          </cell>
          <cell r="I82">
            <v>2303982</v>
          </cell>
          <cell r="J82">
            <v>1542851</v>
          </cell>
        </row>
        <row r="83">
          <cell r="F83" t="str">
            <v>T7FAK28021</v>
          </cell>
          <cell r="G83">
            <v>237971</v>
          </cell>
          <cell r="H83">
            <v>0</v>
          </cell>
          <cell r="I83">
            <v>0</v>
          </cell>
          <cell r="J83">
            <v>0</v>
          </cell>
        </row>
        <row r="84">
          <cell r="F84" t="str">
            <v>T7FAK28031</v>
          </cell>
          <cell r="G84">
            <v>504525</v>
          </cell>
          <cell r="H84">
            <v>0</v>
          </cell>
          <cell r="I84">
            <v>0</v>
          </cell>
          <cell r="J84">
            <v>0</v>
          </cell>
        </row>
        <row r="85">
          <cell r="F85" t="str">
            <v>T7FAK28041</v>
          </cell>
          <cell r="G85">
            <v>540038</v>
          </cell>
          <cell r="H85">
            <v>548329</v>
          </cell>
          <cell r="I85">
            <v>554354</v>
          </cell>
          <cell r="J85">
            <v>371221</v>
          </cell>
        </row>
        <row r="86">
          <cell r="F86" t="str">
            <v>T7FAK28051</v>
          </cell>
          <cell r="G86">
            <v>1464750</v>
          </cell>
          <cell r="H86">
            <v>1487237</v>
          </cell>
          <cell r="I86">
            <v>1503580</v>
          </cell>
          <cell r="J86">
            <v>1006866</v>
          </cell>
        </row>
        <row r="87">
          <cell r="F87" t="str">
            <v>T7FAK28071</v>
          </cell>
          <cell r="G87">
            <v>231834</v>
          </cell>
          <cell r="H87">
            <v>235393</v>
          </cell>
          <cell r="I87">
            <v>237980</v>
          </cell>
          <cell r="J87">
            <v>159363</v>
          </cell>
        </row>
        <row r="88">
          <cell r="F88" t="str">
            <v>T7FAK28082</v>
          </cell>
          <cell r="G88">
            <v>97853</v>
          </cell>
          <cell r="H88">
            <v>93965</v>
          </cell>
          <cell r="I88">
            <v>83913</v>
          </cell>
          <cell r="J88">
            <v>56191</v>
          </cell>
        </row>
        <row r="89">
          <cell r="F89" t="str">
            <v>T7FAK28101</v>
          </cell>
          <cell r="G89">
            <v>1434353</v>
          </cell>
          <cell r="H89">
            <v>1091766</v>
          </cell>
          <cell r="I89">
            <v>1103763</v>
          </cell>
          <cell r="J89">
            <v>739129</v>
          </cell>
        </row>
        <row r="90">
          <cell r="F90" t="str">
            <v>T7FAK29011</v>
          </cell>
          <cell r="G90">
            <v>671792</v>
          </cell>
          <cell r="H90">
            <v>682106</v>
          </cell>
          <cell r="I90">
            <v>689602</v>
          </cell>
          <cell r="J90">
            <v>244538</v>
          </cell>
        </row>
        <row r="91">
          <cell r="F91" t="str">
            <v>T7FEK20532</v>
          </cell>
          <cell r="G91">
            <v>508985</v>
          </cell>
          <cell r="H91">
            <v>516798</v>
          </cell>
          <cell r="I91">
            <v>522477</v>
          </cell>
          <cell r="J91">
            <v>349875</v>
          </cell>
        </row>
        <row r="92">
          <cell r="F92" t="str">
            <v>T7FMK25142</v>
          </cell>
          <cell r="G92">
            <v>390385</v>
          </cell>
          <cell r="H92">
            <v>396378</v>
          </cell>
          <cell r="I92">
            <v>400734</v>
          </cell>
          <cell r="J92">
            <v>268351</v>
          </cell>
        </row>
        <row r="93">
          <cell r="F93" t="str">
            <v>T7FRK20052</v>
          </cell>
          <cell r="G93">
            <v>875915</v>
          </cell>
          <cell r="H93">
            <v>889361</v>
          </cell>
          <cell r="I93">
            <v>899134</v>
          </cell>
          <cell r="J93">
            <v>602102</v>
          </cell>
        </row>
        <row r="94">
          <cell r="F94" t="str">
            <v>T7FRK24032</v>
          </cell>
          <cell r="G94">
            <v>342749</v>
          </cell>
          <cell r="H94">
            <v>348011</v>
          </cell>
          <cell r="I94">
            <v>351835</v>
          </cell>
          <cell r="J94">
            <v>235606</v>
          </cell>
        </row>
        <row r="95">
          <cell r="F95" t="str">
            <v>T7FUK20042</v>
          </cell>
          <cell r="G95">
            <v>308485</v>
          </cell>
          <cell r="H95">
            <v>313222</v>
          </cell>
          <cell r="I95">
            <v>316664</v>
          </cell>
          <cell r="J95">
            <v>212052</v>
          </cell>
        </row>
        <row r="96">
          <cell r="F96" t="str">
            <v>T7FUK20052</v>
          </cell>
          <cell r="G96">
            <v>564161</v>
          </cell>
          <cell r="H96">
            <v>572821</v>
          </cell>
          <cell r="I96">
            <v>579116</v>
          </cell>
          <cell r="J96">
            <v>387803</v>
          </cell>
        </row>
        <row r="97">
          <cell r="F97" t="str">
            <v>T7FUK20082</v>
          </cell>
          <cell r="G97">
            <v>301619</v>
          </cell>
          <cell r="H97">
            <v>306251</v>
          </cell>
          <cell r="I97">
            <v>309616</v>
          </cell>
          <cell r="J97">
            <v>207333</v>
          </cell>
        </row>
        <row r="98">
          <cell r="F98" t="str">
            <v>T7FVK20012</v>
          </cell>
          <cell r="G98">
            <v>526465</v>
          </cell>
          <cell r="H98">
            <v>534547</v>
          </cell>
          <cell r="I98">
            <v>540422</v>
          </cell>
          <cell r="J98">
            <v>361891</v>
          </cell>
        </row>
        <row r="99">
          <cell r="F99" t="str">
            <v>T7FXK20012</v>
          </cell>
          <cell r="G99">
            <v>781171</v>
          </cell>
          <cell r="H99">
            <v>793165</v>
          </cell>
          <cell r="I99">
            <v>801881</v>
          </cell>
          <cell r="J99">
            <v>536975</v>
          </cell>
        </row>
        <row r="100">
          <cell r="F100" t="str">
            <v>T7GAK20022</v>
          </cell>
          <cell r="G100">
            <v>418149</v>
          </cell>
          <cell r="H100">
            <v>424567</v>
          </cell>
          <cell r="I100">
            <v>429233</v>
          </cell>
          <cell r="J100">
            <v>287434</v>
          </cell>
        </row>
        <row r="101">
          <cell r="F101" t="str">
            <v>T7GJK20012</v>
          </cell>
          <cell r="G101">
            <v>565539</v>
          </cell>
          <cell r="H101">
            <v>574222</v>
          </cell>
          <cell r="I101">
            <v>580532</v>
          </cell>
          <cell r="J101">
            <v>388750</v>
          </cell>
        </row>
        <row r="102">
          <cell r="F102" t="str">
            <v>T7GLK20012</v>
          </cell>
          <cell r="G102">
            <v>736900</v>
          </cell>
          <cell r="H102">
            <v>748214</v>
          </cell>
          <cell r="I102">
            <v>756436</v>
          </cell>
          <cell r="J102">
            <v>506544</v>
          </cell>
        </row>
        <row r="103">
          <cell r="F103" t="str">
            <v>T7GNK20012</v>
          </cell>
          <cell r="G103">
            <v>806781</v>
          </cell>
          <cell r="H103">
            <v>819167</v>
          </cell>
          <cell r="I103">
            <v>828169</v>
          </cell>
          <cell r="J103">
            <v>554579</v>
          </cell>
        </row>
        <row r="104">
          <cell r="F104" t="str">
            <v>T7GRK20012</v>
          </cell>
          <cell r="G104">
            <v>952841</v>
          </cell>
          <cell r="H104">
            <v>967470</v>
          </cell>
          <cell r="I104">
            <v>978102</v>
          </cell>
          <cell r="J104">
            <v>654981</v>
          </cell>
        </row>
        <row r="105">
          <cell r="F105" t="str">
            <v>T7GRK20022</v>
          </cell>
          <cell r="G105">
            <v>274201</v>
          </cell>
          <cell r="H105">
            <v>278409</v>
          </cell>
          <cell r="I105">
            <v>281469</v>
          </cell>
          <cell r="J105">
            <v>188484</v>
          </cell>
        </row>
        <row r="106">
          <cell r="F106" t="str">
            <v>T7GTK20012</v>
          </cell>
          <cell r="G106">
            <v>514126</v>
          </cell>
          <cell r="H106">
            <v>522019</v>
          </cell>
          <cell r="I106">
            <v>527756</v>
          </cell>
          <cell r="J106">
            <v>353409</v>
          </cell>
        </row>
        <row r="107">
          <cell r="F107" t="str">
            <v>T7GTK20022</v>
          </cell>
          <cell r="G107">
            <v>274198</v>
          </cell>
          <cell r="H107">
            <v>278409</v>
          </cell>
          <cell r="I107">
            <v>281469</v>
          </cell>
          <cell r="J107">
            <v>188484</v>
          </cell>
        </row>
        <row r="108">
          <cell r="F108" t="str">
            <v>T7GUK20022</v>
          </cell>
          <cell r="G108">
            <v>616950</v>
          </cell>
          <cell r="H108">
            <v>626423</v>
          </cell>
          <cell r="I108">
            <v>633307</v>
          </cell>
          <cell r="J108">
            <v>424091</v>
          </cell>
        </row>
        <row r="109">
          <cell r="F109" t="str">
            <v>T7GWK20012</v>
          </cell>
          <cell r="G109">
            <v>1816582</v>
          </cell>
          <cell r="H109">
            <v>1844470</v>
          </cell>
          <cell r="I109">
            <v>1864739</v>
          </cell>
          <cell r="J109">
            <v>1248714</v>
          </cell>
        </row>
        <row r="110">
          <cell r="F110" t="str">
            <v>T7GWK20022</v>
          </cell>
          <cell r="G110">
            <v>328548</v>
          </cell>
          <cell r="H110">
            <v>329672</v>
          </cell>
          <cell r="I110">
            <v>333295</v>
          </cell>
          <cell r="J110">
            <v>223189</v>
          </cell>
        </row>
        <row r="111">
          <cell r="F111" t="str">
            <v>T7GXK20022</v>
          </cell>
          <cell r="G111">
            <v>870224</v>
          </cell>
          <cell r="H111">
            <v>883585</v>
          </cell>
          <cell r="I111">
            <v>893294</v>
          </cell>
          <cell r="J111">
            <v>598190</v>
          </cell>
        </row>
        <row r="112">
          <cell r="F112" t="str">
            <v>T7GZK20012</v>
          </cell>
          <cell r="G112">
            <v>1045391</v>
          </cell>
          <cell r="H112">
            <v>1061440</v>
          </cell>
          <cell r="I112">
            <v>1073105</v>
          </cell>
          <cell r="J112">
            <v>718599</v>
          </cell>
        </row>
        <row r="113">
          <cell r="F113" t="str">
            <v>T7HCK20072</v>
          </cell>
          <cell r="G113">
            <v>237649</v>
          </cell>
          <cell r="H113">
            <v>241298</v>
          </cell>
          <cell r="I113">
            <v>243949</v>
          </cell>
          <cell r="J113">
            <v>163360</v>
          </cell>
        </row>
        <row r="114">
          <cell r="F114" t="str">
            <v>T7HEK20022</v>
          </cell>
          <cell r="G114">
            <v>727325</v>
          </cell>
          <cell r="H114">
            <v>738490</v>
          </cell>
          <cell r="I114">
            <v>746606</v>
          </cell>
          <cell r="J114">
            <v>499962</v>
          </cell>
        </row>
        <row r="115">
          <cell r="F115" t="str">
            <v>T7HFK22012</v>
          </cell>
          <cell r="G115">
            <v>342743</v>
          </cell>
          <cell r="H115">
            <v>348005</v>
          </cell>
          <cell r="I115">
            <v>351829</v>
          </cell>
          <cell r="J115">
            <v>235602</v>
          </cell>
        </row>
        <row r="116">
          <cell r="F116" t="str">
            <v>T7HKK20012</v>
          </cell>
          <cell r="G116">
            <v>1850859</v>
          </cell>
          <cell r="H116">
            <v>1879274</v>
          </cell>
          <cell r="I116">
            <v>1899925</v>
          </cell>
          <cell r="J116">
            <v>1272277</v>
          </cell>
        </row>
        <row r="117">
          <cell r="F117" t="str">
            <v>T7HLK20012</v>
          </cell>
          <cell r="G117">
            <v>606670</v>
          </cell>
          <cell r="H117">
            <v>0</v>
          </cell>
          <cell r="I117">
            <v>0</v>
          </cell>
          <cell r="J117">
            <v>0</v>
          </cell>
        </row>
        <row r="118">
          <cell r="F118" t="str">
            <v>T7HMK20012</v>
          </cell>
          <cell r="G118">
            <v>1903811</v>
          </cell>
          <cell r="H118">
            <v>1933040</v>
          </cell>
          <cell r="I118">
            <v>1954282</v>
          </cell>
          <cell r="J118">
            <v>1308676</v>
          </cell>
        </row>
        <row r="119">
          <cell r="F119" t="str">
            <v>T7HMK20022</v>
          </cell>
          <cell r="G119">
            <v>731775</v>
          </cell>
          <cell r="H119">
            <v>743009</v>
          </cell>
          <cell r="I119">
            <v>751174</v>
          </cell>
          <cell r="J119">
            <v>503020</v>
          </cell>
        </row>
        <row r="120">
          <cell r="F120" t="str">
            <v>T7HMK20032</v>
          </cell>
          <cell r="G120">
            <v>1885134</v>
          </cell>
          <cell r="H120">
            <v>1914075</v>
          </cell>
          <cell r="I120">
            <v>1935108</v>
          </cell>
          <cell r="J120">
            <v>1295837</v>
          </cell>
        </row>
        <row r="121">
          <cell r="F121" t="str">
            <v>T7HMK20042</v>
          </cell>
          <cell r="G121">
            <v>173842</v>
          </cell>
          <cell r="H121">
            <v>176512</v>
          </cell>
          <cell r="I121">
            <v>178451</v>
          </cell>
          <cell r="J121">
            <v>119499</v>
          </cell>
        </row>
        <row r="122">
          <cell r="F122" t="str">
            <v>T7HQK20022</v>
          </cell>
          <cell r="G122">
            <v>163492</v>
          </cell>
          <cell r="H122">
            <v>166002</v>
          </cell>
          <cell r="I122">
            <v>167826</v>
          </cell>
          <cell r="J122">
            <v>112383</v>
          </cell>
        </row>
        <row r="123">
          <cell r="F123" t="str">
            <v>T7HSK20012</v>
          </cell>
          <cell r="G123">
            <v>411294</v>
          </cell>
          <cell r="H123">
            <v>417608</v>
          </cell>
          <cell r="I123">
            <v>422197</v>
          </cell>
          <cell r="J123">
            <v>282723</v>
          </cell>
        </row>
        <row r="124">
          <cell r="F124" t="str">
            <v>T7KCK20031</v>
          </cell>
          <cell r="G124">
            <v>101076</v>
          </cell>
          <cell r="H124">
            <v>102630</v>
          </cell>
          <cell r="I124">
            <v>103758</v>
          </cell>
          <cell r="J124">
            <v>69481</v>
          </cell>
        </row>
        <row r="125">
          <cell r="F125" t="str">
            <v>T7KCK20041</v>
          </cell>
          <cell r="G125">
            <v>364239</v>
          </cell>
          <cell r="H125">
            <v>369830</v>
          </cell>
          <cell r="I125">
            <v>373894</v>
          </cell>
          <cell r="J125">
            <v>250377</v>
          </cell>
        </row>
        <row r="126">
          <cell r="F126" t="str">
            <v>T7KCK20051</v>
          </cell>
          <cell r="G126">
            <v>311048</v>
          </cell>
          <cell r="H126">
            <v>315824</v>
          </cell>
          <cell r="I126">
            <v>319294</v>
          </cell>
          <cell r="J126">
            <v>213814</v>
          </cell>
        </row>
        <row r="127">
          <cell r="F127" t="str">
            <v>T7KCK20061</v>
          </cell>
          <cell r="G127">
            <v>46847</v>
          </cell>
          <cell r="H127">
            <v>47566</v>
          </cell>
          <cell r="I127">
            <v>48089</v>
          </cell>
          <cell r="J127">
            <v>32202</v>
          </cell>
        </row>
        <row r="128">
          <cell r="F128" t="str">
            <v>T7KCK20071</v>
          </cell>
          <cell r="G128">
            <v>401173</v>
          </cell>
          <cell r="H128">
            <v>407331</v>
          </cell>
          <cell r="I128">
            <v>411807</v>
          </cell>
          <cell r="J128">
            <v>275765</v>
          </cell>
        </row>
        <row r="129">
          <cell r="F129" t="str">
            <v>T7KCK20091</v>
          </cell>
          <cell r="G129">
            <v>467565</v>
          </cell>
          <cell r="H129">
            <v>474744</v>
          </cell>
          <cell r="I129">
            <v>479961</v>
          </cell>
          <cell r="J129">
            <v>321403</v>
          </cell>
        </row>
        <row r="130">
          <cell r="F130" t="str">
            <v>T7KEK20042</v>
          </cell>
          <cell r="G130">
            <v>2742012</v>
          </cell>
          <cell r="H130">
            <v>2784109</v>
          </cell>
          <cell r="I130">
            <v>2814704</v>
          </cell>
          <cell r="J130">
            <v>1884853</v>
          </cell>
        </row>
        <row r="131">
          <cell r="F131" t="str">
            <v>T7KKK20021</v>
          </cell>
          <cell r="G131">
            <v>75069</v>
          </cell>
          <cell r="H131">
            <v>76222</v>
          </cell>
          <cell r="I131">
            <v>77060</v>
          </cell>
          <cell r="J131">
            <v>51602</v>
          </cell>
        </row>
        <row r="132">
          <cell r="F132" t="str">
            <v>T7KPK20192</v>
          </cell>
          <cell r="G132">
            <v>548155</v>
          </cell>
          <cell r="H132">
            <v>508620</v>
          </cell>
          <cell r="I132">
            <v>514209</v>
          </cell>
          <cell r="J132">
            <v>344339</v>
          </cell>
        </row>
        <row r="133">
          <cell r="F133" t="str">
            <v>T7KPK20211</v>
          </cell>
          <cell r="G133">
            <v>281748</v>
          </cell>
          <cell r="H133">
            <v>100133</v>
          </cell>
          <cell r="I133">
            <v>101233</v>
          </cell>
          <cell r="J133">
            <v>67791</v>
          </cell>
        </row>
        <row r="134">
          <cell r="F134" t="str">
            <v>T7K5K20052</v>
          </cell>
          <cell r="G134">
            <v>342752</v>
          </cell>
          <cell r="H134">
            <v>348014</v>
          </cell>
          <cell r="I134">
            <v>351838</v>
          </cell>
          <cell r="J134">
            <v>235607</v>
          </cell>
        </row>
        <row r="135">
          <cell r="F135" t="str">
            <v>T7K5K20062</v>
          </cell>
          <cell r="G135">
            <v>342752</v>
          </cell>
          <cell r="H135">
            <v>348014</v>
          </cell>
          <cell r="I135">
            <v>351838</v>
          </cell>
          <cell r="J135">
            <v>235607</v>
          </cell>
        </row>
        <row r="136">
          <cell r="F136" t="str">
            <v>T7LEK20102</v>
          </cell>
          <cell r="G136">
            <v>192638</v>
          </cell>
          <cell r="H136">
            <v>195595</v>
          </cell>
          <cell r="I136">
            <v>197744</v>
          </cell>
          <cell r="J136">
            <v>132419</v>
          </cell>
        </row>
        <row r="137">
          <cell r="F137" t="str">
            <v>T7LGK20032</v>
          </cell>
          <cell r="G137">
            <v>1713757</v>
          </cell>
          <cell r="H137">
            <v>1740068</v>
          </cell>
          <cell r="I137">
            <v>140733</v>
          </cell>
          <cell r="J137">
            <v>94241</v>
          </cell>
        </row>
        <row r="138">
          <cell r="F138" t="str">
            <v>T7LGK20042</v>
          </cell>
          <cell r="G138">
            <v>1028255</v>
          </cell>
          <cell r="H138">
            <v>0</v>
          </cell>
          <cell r="I138">
            <v>0</v>
          </cell>
          <cell r="J138">
            <v>0</v>
          </cell>
        </row>
        <row r="139">
          <cell r="F139" t="str">
            <v>T7LGK22012</v>
          </cell>
          <cell r="G139">
            <v>1698714</v>
          </cell>
          <cell r="H139">
            <v>1317231</v>
          </cell>
          <cell r="I139">
            <v>1331706</v>
          </cell>
          <cell r="J139">
            <v>0</v>
          </cell>
        </row>
        <row r="140">
          <cell r="F140" t="str">
            <v>T7LGK22022</v>
          </cell>
          <cell r="G140">
            <v>1223623</v>
          </cell>
          <cell r="H140">
            <v>0</v>
          </cell>
          <cell r="I140">
            <v>0</v>
          </cell>
          <cell r="J140">
            <v>0</v>
          </cell>
        </row>
        <row r="141">
          <cell r="F141" t="str">
            <v>T7LGK22042</v>
          </cell>
          <cell r="G141">
            <v>856876</v>
          </cell>
          <cell r="H141">
            <v>870033</v>
          </cell>
          <cell r="I141">
            <v>879594</v>
          </cell>
          <cell r="J141">
            <v>0</v>
          </cell>
        </row>
        <row r="142">
          <cell r="F142" t="str">
            <v>T7MBK20022</v>
          </cell>
          <cell r="G142">
            <v>411303</v>
          </cell>
          <cell r="H142">
            <v>417617</v>
          </cell>
          <cell r="I142">
            <v>422206</v>
          </cell>
          <cell r="J142">
            <v>282728</v>
          </cell>
        </row>
        <row r="143">
          <cell r="F143" t="str">
            <v>T7MBK20032</v>
          </cell>
          <cell r="G143">
            <v>11824</v>
          </cell>
          <cell r="H143">
            <v>12006</v>
          </cell>
          <cell r="I143">
            <v>12138</v>
          </cell>
          <cell r="J143">
            <v>8127</v>
          </cell>
        </row>
        <row r="144">
          <cell r="F144" t="str">
            <v>T7NSK20012</v>
          </cell>
          <cell r="G144">
            <v>268415</v>
          </cell>
          <cell r="H144">
            <v>188783</v>
          </cell>
          <cell r="I144">
            <v>18688</v>
          </cell>
          <cell r="J144">
            <v>12515</v>
          </cell>
        </row>
        <row r="145">
          <cell r="F145" t="str">
            <v>T7PQK20012</v>
          </cell>
          <cell r="G145">
            <v>651226</v>
          </cell>
          <cell r="H145">
            <v>661224</v>
          </cell>
          <cell r="I145">
            <v>668490</v>
          </cell>
          <cell r="J145">
            <v>447652</v>
          </cell>
        </row>
        <row r="146">
          <cell r="F146" t="str">
            <v>T7PRK21012</v>
          </cell>
          <cell r="G146">
            <v>649977</v>
          </cell>
          <cell r="H146">
            <v>659957</v>
          </cell>
          <cell r="I146">
            <v>667210</v>
          </cell>
          <cell r="J146">
            <v>446795</v>
          </cell>
        </row>
        <row r="147">
          <cell r="F147" t="str">
            <v>T7PUK25082</v>
          </cell>
          <cell r="G147">
            <v>1376695</v>
          </cell>
          <cell r="H147">
            <v>1397830</v>
          </cell>
          <cell r="I147">
            <v>1413191</v>
          </cell>
          <cell r="J147">
            <v>946337</v>
          </cell>
        </row>
        <row r="148">
          <cell r="F148" t="str">
            <v>T7PVK20012</v>
          </cell>
          <cell r="G148">
            <v>297267</v>
          </cell>
          <cell r="H148">
            <v>301832</v>
          </cell>
          <cell r="I148">
            <v>305149</v>
          </cell>
          <cell r="J148">
            <v>204340</v>
          </cell>
        </row>
        <row r="149">
          <cell r="F149" t="str">
            <v>T7P1K20122</v>
          </cell>
          <cell r="G149">
            <v>1542382</v>
          </cell>
          <cell r="H149">
            <v>917531</v>
          </cell>
          <cell r="I149">
            <v>605159</v>
          </cell>
          <cell r="J149">
            <v>405243</v>
          </cell>
        </row>
        <row r="150">
          <cell r="F150" t="str">
            <v>T7P1K20132</v>
          </cell>
          <cell r="G150">
            <v>257061</v>
          </cell>
          <cell r="H150">
            <v>261009</v>
          </cell>
          <cell r="I150">
            <v>263877</v>
          </cell>
          <cell r="J150">
            <v>176703</v>
          </cell>
        </row>
        <row r="151">
          <cell r="F151" t="str">
            <v>T7RAK20012</v>
          </cell>
          <cell r="G151">
            <v>65758</v>
          </cell>
          <cell r="H151">
            <v>66769</v>
          </cell>
          <cell r="I151">
            <v>67502</v>
          </cell>
          <cell r="J151">
            <v>45203</v>
          </cell>
        </row>
        <row r="152">
          <cell r="F152" t="str">
            <v>T7RPK20012</v>
          </cell>
          <cell r="G152">
            <v>458080</v>
          </cell>
          <cell r="H152">
            <v>465111</v>
          </cell>
          <cell r="I152">
            <v>470223</v>
          </cell>
          <cell r="J152">
            <v>314882</v>
          </cell>
        </row>
        <row r="153">
          <cell r="F153" t="str">
            <v>T7TAK20012</v>
          </cell>
          <cell r="G153">
            <v>1463551</v>
          </cell>
          <cell r="H153">
            <v>1486021</v>
          </cell>
          <cell r="I153">
            <v>1502351</v>
          </cell>
          <cell r="J153">
            <v>1006042</v>
          </cell>
        </row>
        <row r="154">
          <cell r="F154" t="str">
            <v>T7TAK20022</v>
          </cell>
          <cell r="G154">
            <v>1070413</v>
          </cell>
          <cell r="H154">
            <v>1086846</v>
          </cell>
          <cell r="I154">
            <v>1098789</v>
          </cell>
          <cell r="J154">
            <v>735800</v>
          </cell>
        </row>
        <row r="155">
          <cell r="F155" t="str">
            <v>T7TCK20012</v>
          </cell>
          <cell r="G155">
            <v>1461835</v>
          </cell>
          <cell r="H155">
            <v>1484277</v>
          </cell>
          <cell r="I155">
            <v>1500588</v>
          </cell>
          <cell r="J155">
            <v>1004861</v>
          </cell>
        </row>
        <row r="156">
          <cell r="F156" t="str">
            <v>T7TCK20022</v>
          </cell>
          <cell r="G156">
            <v>298199</v>
          </cell>
          <cell r="H156">
            <v>302778</v>
          </cell>
          <cell r="I156">
            <v>306105</v>
          </cell>
          <cell r="J156">
            <v>204982</v>
          </cell>
        </row>
        <row r="157">
          <cell r="F157" t="str">
            <v>T7TLK20012</v>
          </cell>
          <cell r="G157">
            <v>257061</v>
          </cell>
          <cell r="H157">
            <v>261009</v>
          </cell>
          <cell r="I157">
            <v>263877</v>
          </cell>
          <cell r="J157">
            <v>176704</v>
          </cell>
        </row>
        <row r="158">
          <cell r="F158" t="str">
            <v>T7TLK20022</v>
          </cell>
          <cell r="G158">
            <v>205650</v>
          </cell>
          <cell r="H158">
            <v>208806</v>
          </cell>
          <cell r="I158">
            <v>211101</v>
          </cell>
          <cell r="J158">
            <v>141363</v>
          </cell>
        </row>
        <row r="159">
          <cell r="F159" t="str">
            <v>T7TLK20032</v>
          </cell>
          <cell r="G159">
            <v>182288</v>
          </cell>
          <cell r="H159">
            <v>185085</v>
          </cell>
          <cell r="I159">
            <v>187119</v>
          </cell>
          <cell r="J159">
            <v>125304</v>
          </cell>
        </row>
        <row r="160">
          <cell r="F160" t="str">
            <v>T7TLK20052</v>
          </cell>
          <cell r="G160">
            <v>132465</v>
          </cell>
          <cell r="H160">
            <v>134498</v>
          </cell>
          <cell r="I160">
            <v>135976</v>
          </cell>
          <cell r="J160">
            <v>91056</v>
          </cell>
        </row>
        <row r="161">
          <cell r="F161" t="str">
            <v>T7XEK20022</v>
          </cell>
          <cell r="G161">
            <v>257063</v>
          </cell>
          <cell r="H161">
            <v>261009</v>
          </cell>
          <cell r="I161">
            <v>263877</v>
          </cell>
          <cell r="J161">
            <v>176705</v>
          </cell>
        </row>
        <row r="162">
          <cell r="F162" t="str">
            <v>T7XFK28012</v>
          </cell>
          <cell r="G162">
            <v>397603</v>
          </cell>
          <cell r="H162">
            <v>403709</v>
          </cell>
          <cell r="I162">
            <v>408145</v>
          </cell>
          <cell r="J162">
            <v>273312</v>
          </cell>
        </row>
        <row r="163">
          <cell r="F163" t="str">
            <v>T7XHK20022</v>
          </cell>
          <cell r="G163">
            <v>291336</v>
          </cell>
          <cell r="H163">
            <v>295810</v>
          </cell>
          <cell r="I163">
            <v>299060</v>
          </cell>
          <cell r="J163">
            <v>200265</v>
          </cell>
        </row>
        <row r="164">
          <cell r="F164" t="str">
            <v>T7XHK20032</v>
          </cell>
          <cell r="G164">
            <v>190692</v>
          </cell>
          <cell r="H164">
            <v>193620</v>
          </cell>
          <cell r="I164">
            <v>195747</v>
          </cell>
          <cell r="J164">
            <v>131081</v>
          </cell>
        </row>
        <row r="165">
          <cell r="F165" t="str">
            <v>T7XIK20082</v>
          </cell>
          <cell r="G165">
            <v>771189</v>
          </cell>
          <cell r="H165">
            <v>783028</v>
          </cell>
          <cell r="I165">
            <v>791633</v>
          </cell>
          <cell r="J165">
            <v>530114</v>
          </cell>
        </row>
        <row r="166">
          <cell r="F166" t="str">
            <v>T7XIK20092</v>
          </cell>
          <cell r="G166">
            <v>411303</v>
          </cell>
          <cell r="H166">
            <v>417617</v>
          </cell>
          <cell r="I166">
            <v>422206</v>
          </cell>
          <cell r="J166">
            <v>282728</v>
          </cell>
        </row>
        <row r="167">
          <cell r="F167" t="str">
            <v>T7XIK20152</v>
          </cell>
          <cell r="G167">
            <v>612290</v>
          </cell>
          <cell r="H167">
            <v>621691</v>
          </cell>
          <cell r="I167">
            <v>628523</v>
          </cell>
          <cell r="J167">
            <v>420886</v>
          </cell>
        </row>
        <row r="168">
          <cell r="F168" t="str">
            <v>T7XIK20172</v>
          </cell>
          <cell r="G168">
            <v>1002635</v>
          </cell>
          <cell r="H168">
            <v>1012617</v>
          </cell>
          <cell r="I168">
            <v>1021054</v>
          </cell>
          <cell r="J168">
            <v>683743</v>
          </cell>
        </row>
        <row r="169">
          <cell r="F169" t="str">
            <v>T7XJK21012</v>
          </cell>
          <cell r="G169">
            <v>604824</v>
          </cell>
          <cell r="H169">
            <v>614110</v>
          </cell>
          <cell r="I169">
            <v>620858</v>
          </cell>
          <cell r="J169">
            <v>415755</v>
          </cell>
        </row>
        <row r="170">
          <cell r="F170" t="str">
            <v>T7XKK20012</v>
          </cell>
          <cell r="G170">
            <v>377024</v>
          </cell>
          <cell r="H170">
            <v>382813</v>
          </cell>
          <cell r="I170">
            <v>387020</v>
          </cell>
          <cell r="J170">
            <v>259167</v>
          </cell>
        </row>
        <row r="171">
          <cell r="F171" t="str">
            <v>T7XLK20012</v>
          </cell>
          <cell r="G171">
            <v>692356</v>
          </cell>
          <cell r="H171">
            <v>702987</v>
          </cell>
          <cell r="I171">
            <v>710712</v>
          </cell>
          <cell r="J171">
            <v>475924</v>
          </cell>
        </row>
        <row r="172">
          <cell r="F172" t="str">
            <v>T7XLK20022</v>
          </cell>
          <cell r="G172">
            <v>263903</v>
          </cell>
          <cell r="H172">
            <v>267956</v>
          </cell>
          <cell r="I172">
            <v>270901</v>
          </cell>
          <cell r="J172">
            <v>181406</v>
          </cell>
        </row>
        <row r="173">
          <cell r="F173" t="str">
            <v>T7XLK20082</v>
          </cell>
          <cell r="G173">
            <v>616970</v>
          </cell>
          <cell r="H173">
            <v>626441</v>
          </cell>
          <cell r="I173">
            <v>633325</v>
          </cell>
          <cell r="J173">
            <v>424103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RD제품개발투자비(매가)"/>
      <sheetName val="건가이자전체"/>
      <sheetName val="문서서식"/>
      <sheetName val="GRACE"/>
      <sheetName val="소유주(원)"/>
      <sheetName val="대외공문"/>
      <sheetName val="구동"/>
      <sheetName val="상정안건"/>
      <sheetName val="Sheet1 (3)"/>
      <sheetName val="engline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TR台손익"/>
      <sheetName val="보고서"/>
      <sheetName val="목차"/>
      <sheetName val="총손익"/>
      <sheetName val="PTR___"/>
      <sheetName val="2.대외공문"/>
      <sheetName val="full (2)"/>
      <sheetName val="소유주(원)"/>
      <sheetName val="건가이자전체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인원01"/>
      <sheetName val="95계"/>
      <sheetName val="문서"/>
      <sheetName val="95실"/>
      <sheetName val="__01"/>
      <sheetName val="PTR台손익"/>
      <sheetName val="full (2)"/>
      <sheetName val="Macro1"/>
      <sheetName val="2.대외공문"/>
      <sheetName val="Macro2"/>
      <sheetName val="major"/>
      <sheetName val="일반"/>
      <sheetName val="공문"/>
      <sheetName val="구동"/>
      <sheetName val="신1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존4"/>
      <sheetName val="존1"/>
      <sheetName val="존2"/>
      <sheetName val="존3"/>
      <sheetName val="_4"/>
      <sheetName val="인원01"/>
      <sheetName val="二.POSITION.XLS"/>
      <sheetName val="세목별"/>
      <sheetName val="지역-가마감"/>
      <sheetName val="전부인쇄"/>
      <sheetName val="전체현황"/>
      <sheetName val="적용수량"/>
      <sheetName val="2.대외공문"/>
      <sheetName val="Macro2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4B"/>
      <sheetName val="참조"/>
      <sheetName val="94A"/>
      <sheetName val="95A"/>
      <sheetName val="laroux"/>
      <sheetName val="분석"/>
      <sheetName val="총괄(1)"/>
      <sheetName val="총괄(3)"/>
      <sheetName val="MH"/>
      <sheetName val="불량"/>
      <sheetName val="가동율"/>
      <sheetName val="표지"/>
      <sheetName val="저배율"/>
      <sheetName val="사진1"/>
      <sheetName val="사진2"/>
      <sheetName val="사진3"/>
      <sheetName val="Bend'g"/>
      <sheetName val="SPEC"/>
      <sheetName val="카메라"/>
      <sheetName val="미발주 현황"/>
      <sheetName val="관리실,남양,디자인"/>
      <sheetName val="#REF"/>
      <sheetName val="통계년감용DATA(발주기준)"/>
      <sheetName val="xxxxxx"/>
      <sheetName val="VXXXXXXXXXXXXXXXXXXXXXXXX"/>
      <sheetName val="KM170"/>
      <sheetName val="α-AT"/>
      <sheetName val="대형AT"/>
      <sheetName val="Sheet8"/>
      <sheetName val="press"/>
      <sheetName val="신AT"/>
      <sheetName val="반가동"/>
      <sheetName val="반MH"/>
      <sheetName val="가공불분석"/>
      <sheetName val="존4"/>
      <sheetName val="TRIM-Y3"/>
      <sheetName val="95하U$가격"/>
      <sheetName val="CLM-MP"/>
      <sheetName val="2.대외공문"/>
      <sheetName val="예산계획"/>
      <sheetName val="SEMI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유주(원)"/>
      <sheetName val="법인DATA"/>
      <sheetName val="개인DATA"/>
      <sheetName val="lead'g(原DATA)"/>
      <sheetName val="업종별lead'g"/>
      <sheetName val="타사거래집계"/>
      <sheetName val="타사거래현황"/>
      <sheetName val="______"/>
      <sheetName val="소유주_원_"/>
      <sheetName val="94B"/>
      <sheetName val="TCA"/>
      <sheetName val="협조전"/>
      <sheetName val="보고서"/>
      <sheetName val="1.개발개요"/>
      <sheetName val="1.변경범위"/>
      <sheetName val="전체현황"/>
      <sheetName val="주소(한문)"/>
      <sheetName val="Sheet14"/>
      <sheetName val="Sheet15"/>
      <sheetName val="BUS제원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4"/>
      <sheetName val="5"/>
      <sheetName val="6"/>
      <sheetName val="7"/>
      <sheetName val="8"/>
      <sheetName val="9"/>
      <sheetName val="10"/>
      <sheetName val="소유주(원)"/>
      <sheetName val="KD율"/>
      <sheetName val="HCCE01"/>
      <sheetName val="대외공문"/>
      <sheetName val="5.세운W-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미발주 현황"/>
      <sheetName val="상용"/>
      <sheetName val="관리실,남양,디자인"/>
      <sheetName val="마북"/>
      <sheetName val="통계년감용DATA(발주기준)"/>
      <sheetName val="#REF"/>
      <sheetName val="инвойс с технологией"/>
      <sheetName val="технология с инвойсом"/>
      <sheetName val="Лист1"/>
      <sheetName val="GRACE"/>
      <sheetName val="2.대외공문"/>
      <sheetName val="전산"/>
      <sheetName val="협조전"/>
      <sheetName val="본문"/>
      <sheetName val="1.개발개요"/>
      <sheetName val="차수"/>
      <sheetName val="존4"/>
      <sheetName val="#REF!"/>
      <sheetName val="내수1.8GL"/>
      <sheetName val="전체현황"/>
    </sheetNames>
    <sheetDataSet>
      <sheetData sheetId="0"/>
      <sheetData sheetId="1"/>
      <sheetData sheetId="2"/>
      <sheetData sheetId="3"/>
      <sheetData sheetId="4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협조전"/>
      <sheetName val="문제점"/>
      <sheetName val="종합"/>
      <sheetName val="댓수"/>
      <sheetName val="시험비용"/>
      <sheetName val="시작비용"/>
      <sheetName val="Sheet5"/>
      <sheetName val="Sheet6"/>
      <sheetName val="2001년 서울모터쇼 카 예산 축소"/>
      <sheetName val="2001년 서울모터쇼 카 예산 축소 (2)"/>
      <sheetName val="Sheet1"/>
      <sheetName val="양식"/>
      <sheetName val="대외공문 "/>
      <sheetName val="개선대책 양식"/>
      <sheetName val="개선사례양식"/>
      <sheetName val="품의양식"/>
      <sheetName val="인원01"/>
      <sheetName val="Macro1"/>
      <sheetName val="RD제품개발투자비(매가)"/>
      <sheetName val="본문"/>
      <sheetName val="경비공통"/>
      <sheetName val="원가통보"/>
      <sheetName val="full (2)"/>
      <sheetName val="차종별"/>
      <sheetName val="공수계획"/>
      <sheetName val="3"/>
      <sheetName val="주행"/>
      <sheetName val="PBX"/>
      <sheetName val="Recording,Phone,Headset"/>
      <sheetName val="List"/>
      <sheetName val="p2-1"/>
      <sheetName val="R&amp;D"/>
      <sheetName val="2.대외공문"/>
      <sheetName val="인도원가"/>
      <sheetName val="engline"/>
      <sheetName val="#REF!"/>
      <sheetName val="hp_td_calc"/>
    </sheetNames>
    <sheetDataSet>
      <sheetData sheetId="0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host data(98.9.11) 0916수정분"/>
    </sheetNames>
    <sheetDataSet>
      <sheetData sheetId="0"/>
      <sheetData sheetId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지 (2)"/>
      <sheetName val="본사보완"/>
      <sheetName val="공장보완 (2)"/>
      <sheetName val="기술개발(2)"/>
      <sheetName val="96계획 3"/>
      <sheetName val="사업투자"/>
      <sheetName val="요약"/>
      <sheetName val="요약 (2)"/>
      <sheetName val="연구절감"/>
      <sheetName val="절감요약"/>
      <sheetName val="협조전2"/>
      <sheetName val="R&amp;D"/>
      <sheetName val="2001년 서울모터쇼 카 예산 축소"/>
      <sheetName val="2001년 서울모터쇼 카 예산 축소 (2)"/>
      <sheetName val="Sheet1"/>
      <sheetName val="R_D"/>
      <sheetName val="Sheet2"/>
      <sheetName val="#REF"/>
      <sheetName val="PLT8500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년 계획(기확정분)"/>
      <sheetName val="절감종합"/>
      <sheetName val="절감세부내역"/>
      <sheetName val="유형별"/>
      <sheetName val="생관"/>
      <sheetName val="단조"/>
      <sheetName val="경합금 (금형1)"/>
      <sheetName val="경합금 (금형2) "/>
      <sheetName val="경합금(금형이월)"/>
      <sheetName val="경합금설비"/>
      <sheetName val="품관"/>
      <sheetName val="주철설비"/>
      <sheetName val="주철금형"/>
      <sheetName val="보전설비"/>
      <sheetName val="Sheet3"/>
      <sheetName val="#REF"/>
      <sheetName val="인상율"/>
      <sheetName val="RA경인"/>
      <sheetName val="RA지방"/>
      <sheetName val="직배"/>
      <sheetName val="이송(HMC1)"/>
      <sheetName val="이송(HMC2)"/>
      <sheetName val="이송(KMC)"/>
      <sheetName val="기아고정"/>
      <sheetName val="R&amp;D"/>
      <sheetName val="report_20"/>
      <sheetName val="camera_30"/>
      <sheetName val="2.대외공문"/>
      <sheetName val="B9908"/>
      <sheetName val="B0007"/>
      <sheetName val="B0006"/>
      <sheetName val="N0001"/>
      <sheetName val="H0007"/>
      <sheetName val="H0008"/>
      <sheetName val="H0103"/>
      <sheetName val="T9713"/>
      <sheetName val="T0006"/>
      <sheetName val="T0016"/>
      <sheetName val="Q0010"/>
      <sheetName val="Q9726"/>
      <sheetName val="Q0009"/>
      <sheetName val="W9902"/>
      <sheetName val="T0017"/>
      <sheetName val="건내용"/>
      <sheetName val="외화매출"/>
      <sheetName val="상선"/>
      <sheetName val="내수1.8GL"/>
      <sheetName val="#REF!"/>
      <sheetName val="Book2"/>
      <sheetName val="2수요"/>
      <sheetName val="가격표"/>
      <sheetName val="Sheet6 (3)"/>
      <sheetName val="Sheet5"/>
      <sheetName val="대외공문"/>
      <sheetName val="기안"/>
      <sheetName val="RD제품개발투자비(매가)"/>
      <sheetName val="full (2)"/>
      <sheetName val="간이연락"/>
      <sheetName val="표지"/>
      <sheetName val="●현황"/>
      <sheetName val="●목차"/>
      <sheetName val="노무비"/>
      <sheetName val="회의록 (4)"/>
      <sheetName val="Sheet1"/>
      <sheetName val="Sheet2"/>
      <sheetName val="B3보람"/>
      <sheetName val="B3내역"/>
      <sheetName val="5.라인별 생산성운영계획"/>
      <sheetName val="Sheet2 (2)"/>
      <sheetName val="CALENDAR"/>
      <sheetName val="계열사현황종합"/>
      <sheetName val="현금경비중역"/>
      <sheetName val="#93"/>
      <sheetName val="과제"/>
      <sheetName val="자체실적1Q"/>
      <sheetName val="예산계획"/>
      <sheetName val="차종별"/>
      <sheetName val="VT-5T"/>
      <sheetName val="COST관리"/>
      <sheetName val="pr34"/>
      <sheetName val="Macro1"/>
      <sheetName val="회의실신청"/>
      <sheetName val="DOOR"/>
      <sheetName val="99년판매"/>
      <sheetName val="일괄인쇄"/>
      <sheetName val="주행"/>
      <sheetName val="전체현황"/>
      <sheetName val="PTR台손익"/>
      <sheetName val="업체별담당"/>
      <sheetName val="중단원본"/>
      <sheetName val="BACK"/>
      <sheetName val="Sheet4"/>
      <sheetName val="구동"/>
      <sheetName val="ML"/>
      <sheetName val="HP1AMLIST"/>
      <sheetName val="DATE"/>
      <sheetName val="재료율"/>
      <sheetName val="B-III"/>
      <sheetName val="11"/>
      <sheetName val="major"/>
      <sheetName val="2"/>
      <sheetName val="DBL LPG시험"/>
      <sheetName val="BUS제원1"/>
      <sheetName val="협조전"/>
      <sheetName val="신규DEP"/>
      <sheetName val="p2-1"/>
      <sheetName val="Sheet9"/>
      <sheetName val="본문"/>
      <sheetName val="5.세운W-A"/>
      <sheetName val="계실5-1"/>
      <sheetName val="승용"/>
      <sheetName val="작업일보"/>
      <sheetName val="GRACE"/>
      <sheetName val="차수"/>
      <sheetName val="1.REVIEW"/>
      <sheetName val="열간단조자동원가계산서"/>
      <sheetName val="SYS검토(1A1)"/>
      <sheetName val="BB1"/>
      <sheetName val="표"/>
      <sheetName val="소유주(원)"/>
      <sheetName val="인원01"/>
      <sheetName val="보고서"/>
      <sheetName val="94B"/>
      <sheetName val="투자-국내2"/>
      <sheetName val="존4"/>
      <sheetName val="DAT(목표)"/>
      <sheetName val="1.POSITIONING"/>
      <sheetName val="KD율"/>
      <sheetName val="1~3월 지시사항"/>
      <sheetName val="626TD"/>
      <sheetName val="소상 &quot;1&quot;"/>
      <sheetName val="96수출"/>
      <sheetName val="카메라03"/>
      <sheetName val="카메라"/>
      <sheetName val="독일GLS"/>
      <sheetName val="원단위"/>
      <sheetName val="BASE"/>
      <sheetName val="표지★"/>
      <sheetName val="MX628EX"/>
      <sheetName val="engline"/>
      <sheetName val="직원신상"/>
      <sheetName val="인원계획"/>
      <sheetName val="HCCE01"/>
      <sheetName val="so-021"/>
      <sheetName val="수출가격"/>
      <sheetName val="그패프"/>
      <sheetName val="경쟁실분"/>
      <sheetName val="95하U$가격"/>
      <sheetName val="회의록"/>
      <sheetName val="626TD(COLOR)"/>
      <sheetName val="계약서(회사용)"/>
      <sheetName val="계약서(업체용)"/>
      <sheetName val="안전약정서"/>
      <sheetName val="계약용"/>
      <sheetName val="계약명세표"/>
      <sheetName val="상용_mp"/>
      <sheetName val="10"/>
      <sheetName val="40"/>
      <sheetName val="50"/>
      <sheetName val="60"/>
      <sheetName val="70"/>
      <sheetName val="90"/>
      <sheetName val="camera_10"/>
      <sheetName val="출장거리"/>
      <sheetName val="2COMPO_TABLE"/>
      <sheetName val="전부인쇄"/>
      <sheetName val="Macro2"/>
      <sheetName val="기초"/>
      <sheetName val="2.´e¿U°ø¹R"/>
      <sheetName val="계정"/>
      <sheetName val="건가이자전체"/>
      <sheetName val="세목별"/>
      <sheetName val="상세(독일)"/>
      <sheetName val="LB Plan 97 neu 15531 Best "/>
      <sheetName val="MAST S"/>
      <sheetName val="대외공문 "/>
      <sheetName val="개선대책 양식"/>
      <sheetName val="개선사례양식"/>
      <sheetName val=""/>
      <sheetName val="행정표준(1)"/>
      <sheetName val="행정표준(2)"/>
      <sheetName val="제안서"/>
      <sheetName val="0000"/>
      <sheetName val="수리결과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대외공문 "/>
      <sheetName val="개선대책 양식"/>
      <sheetName val="개선사례양식"/>
      <sheetName val="DailyInput"/>
      <sheetName val="시설업체주소록"/>
      <sheetName val="OPT손익 내수"/>
      <sheetName val="OPT손익 수출"/>
      <sheetName val="E&amp;GC-Australia"/>
      <sheetName val="CAUDIT"/>
      <sheetName val="예산계획"/>
      <sheetName val="경비공통"/>
      <sheetName val="#REF!"/>
      <sheetName val="R&amp;D"/>
      <sheetName val="98"/>
      <sheetName val="전체현황"/>
      <sheetName val="계정"/>
      <sheetName val="소상 &quot;1&quot;"/>
      <sheetName val="과제"/>
      <sheetName val="EWS"/>
      <sheetName val="PC"/>
      <sheetName val="집계"/>
      <sheetName val="major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"/>
      <sheetName val="증명요청업무연락"/>
      <sheetName val="전산품의"/>
      <sheetName val="차체부품 INS REPORT(갑)"/>
      <sheetName val="내구품질향상1"/>
      <sheetName val="Sheet1"/>
      <sheetName val="2.대외공문"/>
      <sheetName val="95하U$가격"/>
      <sheetName val="건가이자전체"/>
      <sheetName val="9-1차이내역."/>
      <sheetName val="수입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총괄양식"/>
      <sheetName val="계정별"/>
      <sheetName val="기관"/>
      <sheetName val="제기"/>
      <sheetName val="CR"/>
      <sheetName val="버차"/>
      <sheetName val="트차"/>
      <sheetName val="샤시"/>
      <sheetName val="전자"/>
      <sheetName val="기지"/>
      <sheetName val="버스P"/>
      <sheetName val="트럭p"/>
      <sheetName val="시작"/>
      <sheetName val="구조"/>
      <sheetName val="시험"/>
      <sheetName val="#REF"/>
      <sheetName val="SPT"/>
      <sheetName val="협조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8계획조정"/>
      <sheetName val="98재조정"/>
      <sheetName val="피벗테이블"/>
      <sheetName val="지시안"/>
      <sheetName val="요약"/>
      <sheetName val="총괄1"/>
      <sheetName val="총괄1-1"/>
      <sheetName val="총괄2"/>
      <sheetName val="98세목별"/>
      <sheetName val="용역수수료내역"/>
      <sheetName val="Sheet1"/>
      <sheetName val="1억이상"/>
      <sheetName val="5천이상"/>
      <sheetName val="비통제세부"/>
      <sheetName val="임금인원"/>
      <sheetName val="계정"/>
      <sheetName val="지역본부별 실적"/>
      <sheetName val="거점별"/>
      <sheetName val="지점-대리점"/>
      <sheetName val="back-data"/>
      <sheetName val="총괄"/>
      <sheetName val="기안"/>
      <sheetName val="판금내역서"/>
      <sheetName val="세목별"/>
      <sheetName val="BASE"/>
      <sheetName val="R&amp;D"/>
      <sheetName val="301  금성근"/>
      <sheetName val="실적물판"/>
      <sheetName val="차잆금상환"/>
      <sheetName val="M-MG1"/>
      <sheetName val="SANTAMO"/>
      <sheetName val="2.대외공문"/>
      <sheetName val="품의양"/>
      <sheetName val="소상 &quot;1&quot;"/>
      <sheetName val="MSC_PBA"/>
      <sheetName val="96수출"/>
      <sheetName val="자구계획db"/>
      <sheetName val="발행제기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3">
          <cell r="E3" t="str">
            <v>TAAA</v>
          </cell>
          <cell r="F3" t="str">
            <v>경영전략팀</v>
          </cell>
        </row>
        <row r="4">
          <cell r="E4" t="str">
            <v>TAAB</v>
          </cell>
          <cell r="F4" t="str">
            <v>사업기획팀</v>
          </cell>
        </row>
        <row r="5">
          <cell r="E5" t="str">
            <v>TABA</v>
          </cell>
          <cell r="F5" t="str">
            <v>대외협력팀</v>
          </cell>
        </row>
        <row r="6">
          <cell r="E6" t="str">
            <v>TABB</v>
          </cell>
          <cell r="F6" t="str">
            <v>자동차산업연구소</v>
          </cell>
        </row>
        <row r="7">
          <cell r="E7" t="str">
            <v>TACA</v>
          </cell>
          <cell r="F7" t="str">
            <v>승용상품기획팀</v>
          </cell>
        </row>
        <row r="8">
          <cell r="E8" t="str">
            <v>TACB</v>
          </cell>
          <cell r="F8" t="str">
            <v>상용상품기획팀</v>
          </cell>
        </row>
        <row r="9">
          <cell r="E9" t="str">
            <v>TSCA</v>
          </cell>
          <cell r="F9" t="str">
            <v>생산계획조정팀</v>
          </cell>
        </row>
        <row r="11">
          <cell r="E11" t="str">
            <v>TBAA</v>
          </cell>
          <cell r="F11" t="str">
            <v>인사기획팀</v>
          </cell>
        </row>
        <row r="12">
          <cell r="E12" t="str">
            <v>TBAB</v>
          </cell>
          <cell r="F12" t="str">
            <v>인력운영팀</v>
          </cell>
        </row>
        <row r="13">
          <cell r="E13" t="str">
            <v>TBBA</v>
          </cell>
          <cell r="F13" t="str">
            <v>교육기획팀</v>
          </cell>
        </row>
        <row r="14">
          <cell r="E14" t="str">
            <v>TBBB</v>
          </cell>
          <cell r="F14" t="str">
            <v>교육운영팀</v>
          </cell>
        </row>
        <row r="15">
          <cell r="E15" t="str">
            <v>TBBE</v>
          </cell>
          <cell r="F15" t="str">
            <v>천안직훈팀</v>
          </cell>
        </row>
        <row r="16">
          <cell r="E16" t="str">
            <v>TBCA</v>
          </cell>
          <cell r="F16" t="str">
            <v>총무팀</v>
          </cell>
        </row>
        <row r="17">
          <cell r="E17" t="str">
            <v>TBCB</v>
          </cell>
          <cell r="F17" t="str">
            <v>관재팀</v>
          </cell>
        </row>
        <row r="18">
          <cell r="E18" t="str">
            <v>TBCC</v>
          </cell>
          <cell r="F18" t="str">
            <v>법무팀</v>
          </cell>
        </row>
        <row r="19">
          <cell r="E19" t="str">
            <v>TBCD</v>
          </cell>
          <cell r="F19" t="str">
            <v>비상계획팀</v>
          </cell>
        </row>
        <row r="21">
          <cell r="E21" t="str">
            <v>TCAA</v>
          </cell>
          <cell r="F21" t="str">
            <v>회계팀</v>
          </cell>
        </row>
        <row r="22">
          <cell r="E22" t="str">
            <v>TCAB</v>
          </cell>
          <cell r="F22" t="str">
            <v>세무팀</v>
          </cell>
        </row>
        <row r="23">
          <cell r="E23" t="str">
            <v>TCAC</v>
          </cell>
          <cell r="F23" t="str">
            <v>원가기획팀</v>
          </cell>
        </row>
        <row r="24">
          <cell r="E24" t="str">
            <v>TCAE</v>
          </cell>
          <cell r="F24" t="str">
            <v>재무회계프로젝트</v>
          </cell>
        </row>
        <row r="25">
          <cell r="E25" t="str">
            <v>TCAD</v>
          </cell>
          <cell r="F25" t="str">
            <v>경영분석팀</v>
          </cell>
        </row>
        <row r="26">
          <cell r="E26" t="str">
            <v>TCBA</v>
          </cell>
          <cell r="F26" t="str">
            <v>재정팀</v>
          </cell>
        </row>
        <row r="27">
          <cell r="E27" t="str">
            <v>TCBB</v>
          </cell>
          <cell r="F27" t="str">
            <v>국제금융팀</v>
          </cell>
        </row>
        <row r="28">
          <cell r="E28" t="str">
            <v>TCBC</v>
          </cell>
          <cell r="F28" t="str">
            <v>무역금융팀</v>
          </cell>
        </row>
        <row r="29">
          <cell r="E29" t="str">
            <v>TCCA</v>
          </cell>
          <cell r="F29" t="str">
            <v>할부금융팀</v>
          </cell>
        </row>
        <row r="30">
          <cell r="E30" t="str">
            <v>TCCB</v>
          </cell>
          <cell r="F30" t="str">
            <v>채권관리팀</v>
          </cell>
        </row>
        <row r="31">
          <cell r="E31" t="str">
            <v>TDAA</v>
          </cell>
          <cell r="F31" t="str">
            <v>판매지원팀</v>
          </cell>
        </row>
        <row r="32">
          <cell r="E32" t="str">
            <v>TDAB</v>
          </cell>
          <cell r="F32" t="str">
            <v>영업소개발팀</v>
          </cell>
        </row>
        <row r="33">
          <cell r="E33" t="str">
            <v>TDAC</v>
          </cell>
          <cell r="F33" t="str">
            <v>판매교육팀</v>
          </cell>
        </row>
        <row r="34">
          <cell r="E34" t="str">
            <v>TDAD</v>
          </cell>
          <cell r="F34" t="str">
            <v>고객상담센터</v>
          </cell>
        </row>
        <row r="35">
          <cell r="E35" t="str">
            <v>TDAF</v>
          </cell>
          <cell r="F35" t="str">
            <v>판매정보운영팀</v>
          </cell>
        </row>
        <row r="36">
          <cell r="E36" t="str">
            <v>TDBA</v>
          </cell>
          <cell r="F36" t="str">
            <v>승용기획팀</v>
          </cell>
        </row>
        <row r="37">
          <cell r="E37" t="str">
            <v>TDBB</v>
          </cell>
          <cell r="F37" t="str">
            <v>국내승용상품팀</v>
          </cell>
        </row>
        <row r="38">
          <cell r="E38" t="str">
            <v>TDBC</v>
          </cell>
          <cell r="F38" t="str">
            <v>승용판촉팀</v>
          </cell>
        </row>
        <row r="39">
          <cell r="E39" t="str">
            <v>TDBD</v>
          </cell>
          <cell r="F39" t="str">
            <v>승용운영팀</v>
          </cell>
        </row>
        <row r="40">
          <cell r="E40" t="str">
            <v>TDBE</v>
          </cell>
          <cell r="F40" t="str">
            <v>승용특판팀</v>
          </cell>
        </row>
        <row r="41">
          <cell r="E41" t="str">
            <v>TDBF</v>
          </cell>
          <cell r="F41" t="str">
            <v>현대모터스포츠팀</v>
          </cell>
        </row>
        <row r="42">
          <cell r="E42" t="str">
            <v>TDNA</v>
          </cell>
          <cell r="F42" t="str">
            <v>상용기획팀</v>
          </cell>
        </row>
        <row r="43">
          <cell r="E43" t="str">
            <v>TDNB</v>
          </cell>
          <cell r="F43" t="str">
            <v>국내상용상품팀</v>
          </cell>
        </row>
        <row r="44">
          <cell r="E44" t="str">
            <v>TDNC</v>
          </cell>
          <cell r="F44" t="str">
            <v>대상판촉팀</v>
          </cell>
        </row>
        <row r="45">
          <cell r="E45" t="str">
            <v>TDND</v>
          </cell>
          <cell r="F45" t="str">
            <v>소상판촉팀</v>
          </cell>
        </row>
        <row r="46">
          <cell r="E46" t="str">
            <v>TDNE</v>
          </cell>
          <cell r="F46" t="str">
            <v>상용특판팀</v>
          </cell>
        </row>
        <row r="47">
          <cell r="E47" t="str">
            <v>TDNF</v>
          </cell>
          <cell r="F47" t="str">
            <v>특장업무팀</v>
          </cell>
        </row>
        <row r="48">
          <cell r="E48" t="str">
            <v>TDTA</v>
          </cell>
          <cell r="F48" t="str">
            <v>물류운영팀</v>
          </cell>
        </row>
        <row r="49">
          <cell r="E49" t="str">
            <v>TDUJ</v>
          </cell>
          <cell r="F49" t="str">
            <v>써비스기획팀</v>
          </cell>
        </row>
        <row r="50">
          <cell r="E50" t="str">
            <v>TDUB</v>
          </cell>
          <cell r="F50" t="str">
            <v>써비스교육팀</v>
          </cell>
        </row>
        <row r="51">
          <cell r="E51" t="str">
            <v>TDUC</v>
          </cell>
          <cell r="F51" t="str">
            <v>보상업무팀</v>
          </cell>
        </row>
        <row r="52">
          <cell r="E52" t="str">
            <v>TDUE</v>
          </cell>
          <cell r="F52" t="str">
            <v>승용써비스기술팀</v>
          </cell>
        </row>
        <row r="53">
          <cell r="E53" t="str">
            <v>TDUF</v>
          </cell>
          <cell r="F53" t="str">
            <v>상용써비스팀</v>
          </cell>
        </row>
        <row r="54">
          <cell r="E54" t="str">
            <v>TDUG</v>
          </cell>
          <cell r="F54" t="str">
            <v>고객써비스1팀</v>
          </cell>
        </row>
        <row r="55">
          <cell r="E55" t="str">
            <v>TDUH</v>
          </cell>
          <cell r="F55" t="str">
            <v>고객써비스2팀</v>
          </cell>
        </row>
        <row r="56">
          <cell r="E56" t="str">
            <v>TEEA</v>
          </cell>
          <cell r="F56" t="str">
            <v>해외보상업무팀</v>
          </cell>
        </row>
        <row r="57">
          <cell r="E57" t="str">
            <v>TEEB</v>
          </cell>
          <cell r="F57" t="str">
            <v>해외써비스1팀</v>
          </cell>
        </row>
        <row r="58">
          <cell r="E58" t="str">
            <v>TEEC</v>
          </cell>
          <cell r="F58" t="str">
            <v>해외상용써비스팀</v>
          </cell>
        </row>
        <row r="59">
          <cell r="E59" t="str">
            <v>TEEF</v>
          </cell>
          <cell r="F59" t="str">
            <v>써비스정보팀</v>
          </cell>
        </row>
        <row r="60">
          <cell r="E60" t="str">
            <v>TEEH</v>
          </cell>
          <cell r="F60" t="str">
            <v>해외써비스2팀</v>
          </cell>
        </row>
        <row r="62">
          <cell r="E62" t="str">
            <v>TEAA</v>
          </cell>
          <cell r="F62" t="str">
            <v>수출기획팀</v>
          </cell>
        </row>
        <row r="63">
          <cell r="E63" t="str">
            <v>TEAB</v>
          </cell>
          <cell r="F63" t="str">
            <v>수출상품계획팀</v>
          </cell>
        </row>
        <row r="64">
          <cell r="E64" t="str">
            <v>TEAC</v>
          </cell>
          <cell r="F64" t="str">
            <v>수출업무팀</v>
          </cell>
        </row>
        <row r="65">
          <cell r="E65" t="str">
            <v>TEBC</v>
          </cell>
          <cell r="F65" t="str">
            <v>상용특장수출팀</v>
          </cell>
        </row>
        <row r="66">
          <cell r="E66" t="str">
            <v>TECA</v>
          </cell>
          <cell r="F66" t="str">
            <v>서구팀</v>
          </cell>
        </row>
        <row r="67">
          <cell r="E67" t="str">
            <v>TECB</v>
          </cell>
          <cell r="F67" t="str">
            <v>동구팀</v>
          </cell>
        </row>
        <row r="68">
          <cell r="E68" t="str">
            <v>TEDA</v>
          </cell>
          <cell r="F68" t="str">
            <v>미주팀</v>
          </cell>
        </row>
        <row r="69">
          <cell r="E69" t="str">
            <v>TEDB</v>
          </cell>
          <cell r="F69" t="str">
            <v>남미팀</v>
          </cell>
        </row>
        <row r="70">
          <cell r="E70" t="str">
            <v>TEGC</v>
          </cell>
          <cell r="F70" t="str">
            <v>아시아팀</v>
          </cell>
        </row>
        <row r="71">
          <cell r="E71" t="str">
            <v>TEGD</v>
          </cell>
          <cell r="F71" t="str">
            <v>태평양팀</v>
          </cell>
        </row>
        <row r="72">
          <cell r="E72" t="str">
            <v>TEHA</v>
          </cell>
          <cell r="F72" t="str">
            <v>중동팀</v>
          </cell>
        </row>
        <row r="73">
          <cell r="E73" t="str">
            <v>TEHB</v>
          </cell>
          <cell r="F73" t="str">
            <v>아프리카팀</v>
          </cell>
        </row>
        <row r="74">
          <cell r="E74" t="str">
            <v>TFAA</v>
          </cell>
          <cell r="F74" t="str">
            <v>정보기술기획팀</v>
          </cell>
        </row>
        <row r="75">
          <cell r="E75" t="str">
            <v>TFAB</v>
          </cell>
          <cell r="F75" t="str">
            <v>정보기술운영팀</v>
          </cell>
        </row>
        <row r="76">
          <cell r="E76" t="str">
            <v>TFAC</v>
          </cell>
          <cell r="F76" t="str">
            <v>통신팀</v>
          </cell>
        </row>
        <row r="77">
          <cell r="E77" t="str">
            <v>TFDA</v>
          </cell>
          <cell r="F77" t="str">
            <v>관리시스템팀</v>
          </cell>
        </row>
        <row r="78">
          <cell r="E78" t="str">
            <v>TFDB</v>
          </cell>
          <cell r="F78" t="str">
            <v>판매시스템팀</v>
          </cell>
        </row>
        <row r="80">
          <cell r="E80" t="str">
            <v>TKAA</v>
          </cell>
          <cell r="F80" t="str">
            <v>자재기획팀</v>
          </cell>
        </row>
        <row r="81">
          <cell r="E81" t="str">
            <v>TKBB</v>
          </cell>
          <cell r="F81" t="str">
            <v>부품원가2팀</v>
          </cell>
        </row>
        <row r="82">
          <cell r="E82" t="str">
            <v>TKCB</v>
          </cell>
          <cell r="F82" t="str">
            <v>샤시부품개발2팀</v>
          </cell>
        </row>
        <row r="83">
          <cell r="E83" t="str">
            <v>TKCE</v>
          </cell>
          <cell r="F83" t="str">
            <v>공작부품개발3팀</v>
          </cell>
        </row>
        <row r="84">
          <cell r="E84" t="str">
            <v>TKCJ</v>
          </cell>
          <cell r="F84" t="str">
            <v>전장부품개발팀</v>
          </cell>
        </row>
        <row r="85">
          <cell r="E85" t="str">
            <v>TKDD</v>
          </cell>
          <cell r="F85" t="str">
            <v>내자관리팀</v>
          </cell>
        </row>
        <row r="86">
          <cell r="E86" t="str">
            <v>TKEC</v>
          </cell>
          <cell r="F86" t="str">
            <v>상용샤시부품개발팀</v>
          </cell>
        </row>
        <row r="87">
          <cell r="E87" t="str">
            <v>TKFD</v>
          </cell>
          <cell r="F87" t="str">
            <v>본사부품개선팀</v>
          </cell>
        </row>
        <row r="88">
          <cell r="E88" t="str">
            <v>TKGB</v>
          </cell>
          <cell r="F88" t="str">
            <v>수입행정팀</v>
          </cell>
        </row>
        <row r="89">
          <cell r="E89" t="str">
            <v>TKGF</v>
          </cell>
          <cell r="F89" t="str">
            <v>ＣＫＤ개발팀</v>
          </cell>
        </row>
        <row r="90">
          <cell r="E90" t="str">
            <v>TKHA</v>
          </cell>
          <cell r="F90" t="str">
            <v>구매1팀</v>
          </cell>
        </row>
        <row r="91">
          <cell r="E91" t="str">
            <v>TKHB</v>
          </cell>
          <cell r="F91" t="str">
            <v>구매2팀</v>
          </cell>
        </row>
        <row r="92">
          <cell r="E92" t="str">
            <v>TKHE</v>
          </cell>
          <cell r="F92" t="str">
            <v>국제조달팀</v>
          </cell>
        </row>
        <row r="93">
          <cell r="E93" t="str">
            <v>TQBA</v>
          </cell>
          <cell r="F93" t="str">
            <v>CS기획팀</v>
          </cell>
        </row>
        <row r="94">
          <cell r="E94" t="str">
            <v>TQBB</v>
          </cell>
          <cell r="F94" t="str">
            <v>CS추진팀</v>
          </cell>
        </row>
        <row r="95">
          <cell r="E95" t="str">
            <v>TRAA</v>
          </cell>
          <cell r="F95" t="str">
            <v>부품수출1팀</v>
          </cell>
        </row>
        <row r="96">
          <cell r="E96" t="str">
            <v>TRAB</v>
          </cell>
          <cell r="F96" t="str">
            <v>부품수출2팀</v>
          </cell>
        </row>
        <row r="97">
          <cell r="E97" t="str">
            <v>TRAH</v>
          </cell>
          <cell r="F97" t="str">
            <v>부품조달팀</v>
          </cell>
        </row>
        <row r="98">
          <cell r="E98" t="str">
            <v>TKGG</v>
          </cell>
          <cell r="F98" t="str">
            <v>동경사무소</v>
          </cell>
        </row>
        <row r="99">
          <cell r="E99" t="str">
            <v>TSAA</v>
          </cell>
          <cell r="F99" t="str">
            <v>업무개선1팀</v>
          </cell>
        </row>
        <row r="100">
          <cell r="E100" t="str">
            <v>TSBA</v>
          </cell>
          <cell r="F100" t="str">
            <v>홍보1팀</v>
          </cell>
        </row>
        <row r="101">
          <cell r="E101" t="str">
            <v>TSBC</v>
          </cell>
          <cell r="F101" t="str">
            <v>광고팀</v>
          </cell>
        </row>
        <row r="102">
          <cell r="E102" t="str">
            <v>TSBD</v>
          </cell>
          <cell r="F102" t="str">
            <v>산업분석팀</v>
          </cell>
        </row>
      </sheetData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상용센타 심의"/>
      <sheetName val="#REF"/>
      <sheetName val="계정"/>
      <sheetName val="2.대외공문"/>
      <sheetName val="RD제품개발투자비(매가)"/>
      <sheetName val="기종별 합계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억이상"/>
      <sheetName val="#REF"/>
      <sheetName val="지역-가마감"/>
    </sheetNames>
    <sheetDataSet>
      <sheetData sheetId="0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7제외"/>
      <sheetName val="G7(191억)"/>
      <sheetName val="2.´e¿U°ø¹R"/>
      <sheetName val="BAL.(TTL)"/>
      <sheetName val="2.대외공문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2.대외공문"/>
      <sheetName val="차수"/>
    </sheetNames>
    <sheetDataSet>
      <sheetData sheetId="0"/>
      <sheetData sheetId="1"/>
      <sheetData sheetId="2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98현황-2010"/>
      <sheetName val="9899-5년상각"/>
      <sheetName val="기초"/>
      <sheetName val="보고"/>
      <sheetName val="Sheet1"/>
      <sheetName val="본문"/>
      <sheetName val="DAT(목표)"/>
      <sheetName val="CAUDIT"/>
    </sheetNames>
    <sheetDataSet>
      <sheetData sheetId="0" refreshError="1"/>
      <sheetData sheetId="1" refreshError="1"/>
      <sheetData sheetId="2" refreshError="1"/>
      <sheetData sheetId="3" refreshError="1">
        <row r="7">
          <cell r="A7" t="str">
            <v>PRO-CODE</v>
          </cell>
          <cell r="C7" t="str">
            <v>년</v>
          </cell>
          <cell r="D7" t="str">
            <v>월</v>
          </cell>
          <cell r="E7" t="str">
            <v>DB</v>
          </cell>
          <cell r="F7" t="str">
            <v>월수</v>
          </cell>
          <cell r="U7" t="str">
            <v>총계(1~12월)</v>
          </cell>
          <cell r="W7">
            <v>1999</v>
          </cell>
          <cell r="X7">
            <v>2000</v>
          </cell>
          <cell r="Y7">
            <v>2001</v>
          </cell>
          <cell r="Z7">
            <v>2002</v>
          </cell>
          <cell r="AB7">
            <v>2003</v>
          </cell>
          <cell r="AC7">
            <v>2004</v>
          </cell>
          <cell r="AD7">
            <v>2005</v>
          </cell>
          <cell r="AE7">
            <v>2006</v>
          </cell>
          <cell r="AF7">
            <v>2007</v>
          </cell>
        </row>
        <row r="8">
          <cell r="A8" t="str">
            <v>PK010</v>
          </cell>
          <cell r="B8" t="str">
            <v>그레이스４WD（취소）　　　　　　　　　　　　　　　　　　　</v>
          </cell>
          <cell r="C8">
            <v>1994</v>
          </cell>
          <cell r="D8">
            <v>10</v>
          </cell>
          <cell r="E8" t="str">
            <v>C</v>
          </cell>
          <cell r="F8">
            <v>3</v>
          </cell>
          <cell r="G8">
            <v>12</v>
          </cell>
          <cell r="H8">
            <v>12</v>
          </cell>
          <cell r="J8" t="str">
            <v>HMC</v>
          </cell>
          <cell r="K8">
            <v>522442.43022258475</v>
          </cell>
          <cell r="L8">
            <v>12</v>
          </cell>
          <cell r="U8">
            <v>1</v>
          </cell>
          <cell r="V8">
            <v>1</v>
          </cell>
          <cell r="W8">
            <v>1</v>
          </cell>
          <cell r="AA8">
            <v>0</v>
          </cell>
        </row>
        <row r="9">
          <cell r="A9" t="str">
            <v>PZ088</v>
          </cell>
          <cell r="B9" t="e">
            <v>#N/A</v>
          </cell>
          <cell r="C9">
            <v>1999</v>
          </cell>
          <cell r="D9">
            <v>1</v>
          </cell>
          <cell r="E9" t="str">
            <v>C</v>
          </cell>
          <cell r="F9">
            <v>12</v>
          </cell>
          <cell r="G9">
            <v>12</v>
          </cell>
          <cell r="H9">
            <v>12</v>
          </cell>
          <cell r="J9" t="str">
            <v>HMC</v>
          </cell>
          <cell r="K9">
            <v>1452938625.7705073</v>
          </cell>
          <cell r="L9">
            <v>12</v>
          </cell>
          <cell r="U9">
            <v>1453</v>
          </cell>
          <cell r="V9">
            <v>1453</v>
          </cell>
          <cell r="W9">
            <v>1453</v>
          </cell>
          <cell r="AA9">
            <v>0</v>
          </cell>
        </row>
        <row r="10">
          <cell r="A10" t="str">
            <v>PZ091</v>
          </cell>
          <cell r="B10" t="str">
            <v>CVT 개발</v>
          </cell>
          <cell r="C10">
            <v>1999</v>
          </cell>
          <cell r="D10">
            <v>1</v>
          </cell>
          <cell r="E10" t="str">
            <v>C</v>
          </cell>
          <cell r="F10">
            <v>12</v>
          </cell>
          <cell r="G10">
            <v>12</v>
          </cell>
          <cell r="H10">
            <v>12</v>
          </cell>
          <cell r="J10" t="str">
            <v>HMC</v>
          </cell>
          <cell r="K10">
            <v>514037182.84915459</v>
          </cell>
          <cell r="L10">
            <v>12</v>
          </cell>
          <cell r="U10">
            <v>514</v>
          </cell>
          <cell r="V10">
            <v>514</v>
          </cell>
          <cell r="W10">
            <v>514</v>
          </cell>
          <cell r="AA10">
            <v>0</v>
          </cell>
        </row>
        <row r="11">
          <cell r="A11" t="str">
            <v>PZ077</v>
          </cell>
          <cell r="B11" t="str">
            <v>바티칸 수출 BUS</v>
          </cell>
          <cell r="C11">
            <v>1999</v>
          </cell>
          <cell r="D11">
            <v>4</v>
          </cell>
          <cell r="E11" t="str">
            <v>C</v>
          </cell>
          <cell r="F11">
            <v>9</v>
          </cell>
          <cell r="G11">
            <v>12</v>
          </cell>
          <cell r="H11">
            <v>12</v>
          </cell>
          <cell r="J11" t="str">
            <v>HMC</v>
          </cell>
          <cell r="K11">
            <v>173626993.53143293</v>
          </cell>
          <cell r="L11">
            <v>12</v>
          </cell>
          <cell r="U11">
            <v>174</v>
          </cell>
          <cell r="V11">
            <v>174</v>
          </cell>
          <cell r="W11">
            <v>174</v>
          </cell>
          <cell r="AA11">
            <v>0</v>
          </cell>
        </row>
        <row r="12">
          <cell r="A12" t="str">
            <v>PZ021</v>
          </cell>
          <cell r="B12" t="e">
            <v>#N/A</v>
          </cell>
          <cell r="C12">
            <v>1999</v>
          </cell>
          <cell r="D12">
            <v>5</v>
          </cell>
          <cell r="E12" t="str">
            <v>C</v>
          </cell>
          <cell r="F12">
            <v>8</v>
          </cell>
          <cell r="G12">
            <v>12</v>
          </cell>
          <cell r="H12">
            <v>12</v>
          </cell>
          <cell r="J12" t="str">
            <v>HMC</v>
          </cell>
          <cell r="K12">
            <v>124993982.33865595</v>
          </cell>
          <cell r="L12">
            <v>12</v>
          </cell>
          <cell r="U12">
            <v>125</v>
          </cell>
          <cell r="V12">
            <v>125</v>
          </cell>
          <cell r="W12">
            <v>125</v>
          </cell>
          <cell r="AA12">
            <v>0</v>
          </cell>
        </row>
        <row r="13">
          <cell r="A13" t="str">
            <v>PZ085</v>
          </cell>
          <cell r="B13" t="str">
            <v>ε- ENG FR化</v>
          </cell>
          <cell r="C13">
            <v>1999</v>
          </cell>
          <cell r="D13">
            <v>5</v>
          </cell>
          <cell r="E13" t="str">
            <v>C</v>
          </cell>
          <cell r="F13">
            <v>8</v>
          </cell>
          <cell r="G13">
            <v>12</v>
          </cell>
          <cell r="H13">
            <v>12</v>
          </cell>
          <cell r="J13" t="str">
            <v>HMC</v>
          </cell>
          <cell r="K13">
            <v>247518025.32381672</v>
          </cell>
          <cell r="L13">
            <v>12</v>
          </cell>
          <cell r="U13">
            <v>248</v>
          </cell>
          <cell r="V13">
            <v>248</v>
          </cell>
          <cell r="W13">
            <v>248</v>
          </cell>
          <cell r="AA13">
            <v>0</v>
          </cell>
        </row>
        <row r="14">
          <cell r="A14" t="str">
            <v>PZ009</v>
          </cell>
          <cell r="B14" t="e">
            <v>#N/A</v>
          </cell>
          <cell r="C14">
            <v>1999</v>
          </cell>
          <cell r="D14">
            <v>6</v>
          </cell>
          <cell r="E14" t="str">
            <v>C</v>
          </cell>
          <cell r="F14">
            <v>7</v>
          </cell>
          <cell r="G14">
            <v>12</v>
          </cell>
          <cell r="H14">
            <v>12</v>
          </cell>
          <cell r="J14" t="str">
            <v>HMC</v>
          </cell>
          <cell r="K14">
            <v>610761994.83594418</v>
          </cell>
          <cell r="L14">
            <v>12</v>
          </cell>
          <cell r="U14">
            <v>611</v>
          </cell>
          <cell r="V14">
            <v>611</v>
          </cell>
          <cell r="W14">
            <v>611</v>
          </cell>
          <cell r="AA14">
            <v>0</v>
          </cell>
        </row>
        <row r="15">
          <cell r="A15" t="str">
            <v>PZ038</v>
          </cell>
          <cell r="B15" t="str">
            <v>PU019</v>
          </cell>
          <cell r="C15">
            <v>2000</v>
          </cell>
          <cell r="D15">
            <v>1</v>
          </cell>
          <cell r="E15" t="str">
            <v>C</v>
          </cell>
          <cell r="F15">
            <v>12</v>
          </cell>
          <cell r="G15">
            <v>12</v>
          </cell>
          <cell r="H15">
            <v>12</v>
          </cell>
          <cell r="J15" t="str">
            <v>HMC</v>
          </cell>
          <cell r="U15">
            <v>0</v>
          </cell>
          <cell r="V15">
            <v>0</v>
          </cell>
          <cell r="W15">
            <v>0</v>
          </cell>
          <cell r="AA15">
            <v>0</v>
          </cell>
        </row>
        <row r="16">
          <cell r="A16" t="str">
            <v>PZ061</v>
          </cell>
          <cell r="B16" t="str">
            <v>CS '00 MY</v>
          </cell>
          <cell r="C16">
            <v>2000</v>
          </cell>
          <cell r="D16">
            <v>1</v>
          </cell>
          <cell r="E16" t="str">
            <v>C</v>
          </cell>
          <cell r="F16">
            <v>12</v>
          </cell>
          <cell r="G16">
            <v>12</v>
          </cell>
          <cell r="H16">
            <v>12</v>
          </cell>
          <cell r="J16" t="str">
            <v>HMC</v>
          </cell>
          <cell r="K16">
            <v>970975505.90393841</v>
          </cell>
          <cell r="L16">
            <v>12</v>
          </cell>
          <cell r="U16">
            <v>971</v>
          </cell>
          <cell r="V16">
            <v>971</v>
          </cell>
          <cell r="W16">
            <v>971</v>
          </cell>
          <cell r="AA16">
            <v>0</v>
          </cell>
        </row>
        <row r="17">
          <cell r="A17" t="str">
            <v>PZ075</v>
          </cell>
          <cell r="B17" t="e">
            <v>#N/A</v>
          </cell>
          <cell r="C17">
            <v>2000</v>
          </cell>
          <cell r="D17">
            <v>1</v>
          </cell>
          <cell r="E17" t="str">
            <v>C</v>
          </cell>
          <cell r="F17">
            <v>12</v>
          </cell>
          <cell r="G17">
            <v>12</v>
          </cell>
          <cell r="H17">
            <v>12</v>
          </cell>
          <cell r="J17" t="str">
            <v>HMC</v>
          </cell>
          <cell r="K17">
            <v>5887325.5012245234</v>
          </cell>
          <cell r="L17">
            <v>12</v>
          </cell>
          <cell r="U17">
            <v>6</v>
          </cell>
          <cell r="V17">
            <v>6</v>
          </cell>
          <cell r="W17">
            <v>6</v>
          </cell>
          <cell r="AA17">
            <v>0</v>
          </cell>
        </row>
        <row r="18">
          <cell r="A18" t="str">
            <v>PZ078</v>
          </cell>
          <cell r="B18" t="e">
            <v>#N/A</v>
          </cell>
          <cell r="C18">
            <v>2000</v>
          </cell>
          <cell r="D18">
            <v>1</v>
          </cell>
          <cell r="E18" t="str">
            <v>C</v>
          </cell>
          <cell r="F18">
            <v>12</v>
          </cell>
          <cell r="G18">
            <v>12</v>
          </cell>
          <cell r="H18">
            <v>12</v>
          </cell>
          <cell r="J18" t="str">
            <v>HMC</v>
          </cell>
          <cell r="K18">
            <v>190254381.69328725</v>
          </cell>
          <cell r="L18">
            <v>12</v>
          </cell>
          <cell r="U18">
            <v>190</v>
          </cell>
          <cell r="V18">
            <v>190</v>
          </cell>
          <cell r="W18">
            <v>190</v>
          </cell>
          <cell r="AA18">
            <v>0</v>
          </cell>
        </row>
        <row r="19">
          <cell r="A19" t="str">
            <v>PZ083</v>
          </cell>
          <cell r="B19" t="str">
            <v>후3축 TRK 개발</v>
          </cell>
          <cell r="C19">
            <v>2000</v>
          </cell>
          <cell r="D19">
            <v>1</v>
          </cell>
          <cell r="E19" t="str">
            <v>C</v>
          </cell>
          <cell r="F19">
            <v>12</v>
          </cell>
          <cell r="G19">
            <v>12</v>
          </cell>
          <cell r="H19">
            <v>12</v>
          </cell>
          <cell r="J19" t="str">
            <v>HMC</v>
          </cell>
          <cell r="K19">
            <v>38227135.096177131</v>
          </cell>
          <cell r="L19">
            <v>12</v>
          </cell>
          <cell r="U19">
            <v>38</v>
          </cell>
          <cell r="V19">
            <v>38</v>
          </cell>
          <cell r="W19">
            <v>38</v>
          </cell>
          <cell r="AA19">
            <v>0</v>
          </cell>
        </row>
        <row r="20">
          <cell r="A20" t="str">
            <v>PZ090</v>
          </cell>
          <cell r="B20" t="e">
            <v>#N/A</v>
          </cell>
          <cell r="C20">
            <v>2000</v>
          </cell>
          <cell r="D20">
            <v>1</v>
          </cell>
          <cell r="E20" t="str">
            <v>C</v>
          </cell>
          <cell r="F20">
            <v>12</v>
          </cell>
          <cell r="G20">
            <v>12</v>
          </cell>
          <cell r="H20">
            <v>12</v>
          </cell>
          <cell r="J20" t="str">
            <v>HMC</v>
          </cell>
          <cell r="K20">
            <v>0</v>
          </cell>
          <cell r="L20">
            <v>12</v>
          </cell>
          <cell r="U20">
            <v>0</v>
          </cell>
          <cell r="V20">
            <v>0</v>
          </cell>
          <cell r="W20">
            <v>0</v>
          </cell>
          <cell r="AA20">
            <v>0</v>
          </cell>
        </row>
        <row r="21">
          <cell r="A21" t="str">
            <v>PZ094</v>
          </cell>
          <cell r="B21" t="str">
            <v>CY D-8.9 ENG</v>
          </cell>
          <cell r="C21">
            <v>2000</v>
          </cell>
          <cell r="D21">
            <v>1</v>
          </cell>
          <cell r="E21" t="str">
            <v>C</v>
          </cell>
          <cell r="F21">
            <v>12</v>
          </cell>
          <cell r="G21">
            <v>12</v>
          </cell>
          <cell r="H21">
            <v>12</v>
          </cell>
          <cell r="J21" t="str">
            <v>HMC</v>
          </cell>
          <cell r="K21">
            <v>144586747.14615801</v>
          </cell>
          <cell r="L21">
            <v>12</v>
          </cell>
          <cell r="U21">
            <v>145</v>
          </cell>
          <cell r="V21">
            <v>145</v>
          </cell>
          <cell r="W21">
            <v>145</v>
          </cell>
          <cell r="AA21">
            <v>0</v>
          </cell>
        </row>
        <row r="22">
          <cell r="A22" t="str">
            <v>PZ087</v>
          </cell>
          <cell r="C22">
            <v>2000</v>
          </cell>
          <cell r="D22">
            <v>4</v>
          </cell>
          <cell r="E22" t="str">
            <v>C</v>
          </cell>
          <cell r="F22">
            <v>9</v>
          </cell>
          <cell r="G22">
            <v>12</v>
          </cell>
          <cell r="H22">
            <v>12</v>
          </cell>
          <cell r="J22" t="str">
            <v>HMC</v>
          </cell>
          <cell r="K22">
            <v>516419493.1962657</v>
          </cell>
          <cell r="L22">
            <v>12</v>
          </cell>
          <cell r="U22">
            <v>516</v>
          </cell>
          <cell r="V22">
            <v>516</v>
          </cell>
          <cell r="W22">
            <v>516</v>
          </cell>
          <cell r="AA22">
            <v>0</v>
          </cell>
        </row>
        <row r="23">
          <cell r="A23" t="str">
            <v>PA008</v>
          </cell>
          <cell r="B23" t="str">
            <v>MX F/LIFT（취소）</v>
          </cell>
          <cell r="C23">
            <v>2000</v>
          </cell>
          <cell r="D23">
            <v>8</v>
          </cell>
          <cell r="E23" t="str">
            <v>C</v>
          </cell>
          <cell r="F23">
            <v>5</v>
          </cell>
          <cell r="G23">
            <v>12</v>
          </cell>
          <cell r="H23">
            <v>12</v>
          </cell>
          <cell r="I23" t="str">
            <v>PZ003</v>
          </cell>
          <cell r="J23" t="str">
            <v>HMC</v>
          </cell>
          <cell r="K23">
            <v>157011928.96281558</v>
          </cell>
          <cell r="L23">
            <v>12</v>
          </cell>
          <cell r="U23">
            <v>157</v>
          </cell>
          <cell r="V23">
            <v>157</v>
          </cell>
          <cell r="W23">
            <v>157</v>
          </cell>
          <cell r="AA23">
            <v>0</v>
          </cell>
        </row>
        <row r="24">
          <cell r="A24" t="str">
            <v>PZ003</v>
          </cell>
          <cell r="B24" t="str">
            <v>MX F/LIFT</v>
          </cell>
          <cell r="C24">
            <v>2000</v>
          </cell>
          <cell r="D24">
            <v>11</v>
          </cell>
          <cell r="E24" t="str">
            <v>C</v>
          </cell>
          <cell r="F24">
            <v>2</v>
          </cell>
          <cell r="G24">
            <v>12</v>
          </cell>
          <cell r="H24">
            <v>12</v>
          </cell>
          <cell r="J24" t="str">
            <v>HMC</v>
          </cell>
          <cell r="K24">
            <v>5269432270.3794069</v>
          </cell>
          <cell r="L24">
            <v>12</v>
          </cell>
          <cell r="U24">
            <v>5269</v>
          </cell>
          <cell r="V24">
            <v>5269</v>
          </cell>
          <cell r="W24">
            <v>5269</v>
          </cell>
          <cell r="AA24">
            <v>0</v>
          </cell>
        </row>
        <row r="25">
          <cell r="A25" t="str">
            <v>PS015</v>
          </cell>
          <cell r="B25" t="str">
            <v>승용 디젤 엔진 개발（취소）</v>
          </cell>
          <cell r="C25">
            <v>2001</v>
          </cell>
          <cell r="D25">
            <v>1</v>
          </cell>
          <cell r="E25" t="str">
            <v>C</v>
          </cell>
          <cell r="F25">
            <v>12</v>
          </cell>
          <cell r="G25">
            <v>12</v>
          </cell>
          <cell r="H25">
            <v>12</v>
          </cell>
          <cell r="J25" t="str">
            <v>HMC</v>
          </cell>
          <cell r="K25">
            <v>22067000</v>
          </cell>
          <cell r="L25">
            <v>12</v>
          </cell>
          <cell r="U25">
            <v>22</v>
          </cell>
          <cell r="V25">
            <v>22</v>
          </cell>
          <cell r="W25">
            <v>22</v>
          </cell>
          <cell r="AA25">
            <v>0</v>
          </cell>
        </row>
        <row r="26">
          <cell r="A26" t="str">
            <v>PZ019</v>
          </cell>
          <cell r="B26" t="str">
            <v>SM EV</v>
          </cell>
          <cell r="C26">
            <v>2001</v>
          </cell>
          <cell r="D26">
            <v>7</v>
          </cell>
          <cell r="E26" t="str">
            <v>C</v>
          </cell>
          <cell r="F26">
            <v>6</v>
          </cell>
          <cell r="G26">
            <v>12</v>
          </cell>
          <cell r="H26">
            <v>12</v>
          </cell>
          <cell r="J26" t="str">
            <v>HMC</v>
          </cell>
          <cell r="K26">
            <v>530589948.42715001</v>
          </cell>
          <cell r="L26">
            <v>12</v>
          </cell>
          <cell r="U26">
            <v>531</v>
          </cell>
          <cell r="V26">
            <v>531</v>
          </cell>
          <cell r="W26">
            <v>531</v>
          </cell>
          <cell r="AA26">
            <v>0</v>
          </cell>
        </row>
        <row r="27">
          <cell r="A27" t="str">
            <v>PZ095</v>
          </cell>
          <cell r="B27" t="str">
            <v>VT '02 F/LIFT</v>
          </cell>
          <cell r="C27">
            <v>2002</v>
          </cell>
          <cell r="D27">
            <v>1</v>
          </cell>
          <cell r="E27" t="str">
            <v>C</v>
          </cell>
          <cell r="F27">
            <v>12</v>
          </cell>
          <cell r="G27">
            <v>12</v>
          </cell>
          <cell r="H27">
            <v>12</v>
          </cell>
          <cell r="J27" t="str">
            <v>HMC</v>
          </cell>
          <cell r="K27">
            <v>232543111.98377007</v>
          </cell>
          <cell r="L27">
            <v>12</v>
          </cell>
          <cell r="U27">
            <v>233</v>
          </cell>
          <cell r="V27">
            <v>233</v>
          </cell>
          <cell r="W27">
            <v>233</v>
          </cell>
          <cell r="AA27">
            <v>0</v>
          </cell>
        </row>
        <row r="28">
          <cell r="A28" t="str">
            <v>PZ015</v>
          </cell>
          <cell r="B28" t="str">
            <v>LC '02 F/L</v>
          </cell>
          <cell r="C28">
            <v>2002</v>
          </cell>
          <cell r="D28">
            <v>6</v>
          </cell>
          <cell r="E28" t="str">
            <v>C</v>
          </cell>
          <cell r="F28">
            <v>7</v>
          </cell>
          <cell r="G28">
            <v>12</v>
          </cell>
          <cell r="H28">
            <v>12</v>
          </cell>
          <cell r="J28" t="str">
            <v>HMC</v>
          </cell>
          <cell r="K28">
            <v>531133252.90577483</v>
          </cell>
          <cell r="L28">
            <v>12</v>
          </cell>
          <cell r="U28">
            <v>531</v>
          </cell>
          <cell r="V28">
            <v>531</v>
          </cell>
          <cell r="W28">
            <v>531</v>
          </cell>
          <cell r="AA28">
            <v>0</v>
          </cell>
        </row>
        <row r="29">
          <cell r="A29" t="str">
            <v>PH006</v>
          </cell>
          <cell r="B29" t="e">
            <v>#N/A</v>
          </cell>
          <cell r="C29" t="str">
            <v>취소</v>
          </cell>
          <cell r="E29" t="str">
            <v>C</v>
          </cell>
          <cell r="F29">
            <v>13</v>
          </cell>
          <cell r="G29">
            <v>12</v>
          </cell>
          <cell r="H29">
            <v>12</v>
          </cell>
          <cell r="J29" t="str">
            <v>연구비</v>
          </cell>
          <cell r="K29">
            <v>25277951.016750924</v>
          </cell>
          <cell r="L29">
            <v>12</v>
          </cell>
          <cell r="U29">
            <v>25</v>
          </cell>
          <cell r="V29">
            <v>25</v>
          </cell>
          <cell r="W29">
            <v>25</v>
          </cell>
          <cell r="AA29">
            <v>0</v>
          </cell>
        </row>
        <row r="30">
          <cell r="A30" t="str">
            <v>PZ012</v>
          </cell>
          <cell r="B30" t="str">
            <v>MX EV</v>
          </cell>
          <cell r="C30" t="str">
            <v>취소</v>
          </cell>
          <cell r="E30" t="str">
            <v>C</v>
          </cell>
          <cell r="F30">
            <v>13</v>
          </cell>
          <cell r="G30">
            <v>12</v>
          </cell>
          <cell r="H30">
            <v>12</v>
          </cell>
          <cell r="J30" t="str">
            <v>연구비</v>
          </cell>
          <cell r="K30">
            <v>77855018.011897922</v>
          </cell>
          <cell r="L30">
            <v>12</v>
          </cell>
          <cell r="U30">
            <v>78</v>
          </cell>
          <cell r="V30">
            <v>78</v>
          </cell>
          <cell r="W30">
            <v>78</v>
          </cell>
          <cell r="AA30">
            <v>0</v>
          </cell>
        </row>
        <row r="31">
          <cell r="A31" t="str">
            <v>PW032</v>
          </cell>
          <cell r="B31" t="e">
            <v>#N/A</v>
          </cell>
          <cell r="E31" t="str">
            <v>C</v>
          </cell>
          <cell r="F31">
            <v>13</v>
          </cell>
          <cell r="G31">
            <v>12</v>
          </cell>
          <cell r="H31">
            <v>12</v>
          </cell>
          <cell r="J31" t="str">
            <v>HMC</v>
          </cell>
          <cell r="K31">
            <v>11422887.372587023</v>
          </cell>
          <cell r="L31">
            <v>12</v>
          </cell>
          <cell r="U31">
            <v>11</v>
          </cell>
          <cell r="V31">
            <v>11</v>
          </cell>
          <cell r="W31">
            <v>11</v>
          </cell>
          <cell r="AA31">
            <v>0</v>
          </cell>
        </row>
        <row r="32">
          <cell r="A32" t="str">
            <v>PZ017</v>
          </cell>
          <cell r="B32" t="e">
            <v>#N/A</v>
          </cell>
          <cell r="E32" t="str">
            <v>C</v>
          </cell>
          <cell r="F32">
            <v>13</v>
          </cell>
          <cell r="G32">
            <v>12</v>
          </cell>
          <cell r="H32">
            <v>12</v>
          </cell>
          <cell r="J32" t="str">
            <v>HMC</v>
          </cell>
          <cell r="K32">
            <v>3132821.4963000603</v>
          </cell>
          <cell r="L32">
            <v>12</v>
          </cell>
          <cell r="U32">
            <v>3</v>
          </cell>
          <cell r="V32">
            <v>3</v>
          </cell>
          <cell r="W32">
            <v>3</v>
          </cell>
          <cell r="AA32">
            <v>0</v>
          </cell>
        </row>
        <row r="33">
          <cell r="A33" t="str">
            <v>PZ074</v>
          </cell>
          <cell r="B33" t="e">
            <v>#N/A</v>
          </cell>
          <cell r="E33" t="str">
            <v>C</v>
          </cell>
          <cell r="F33">
            <v>13</v>
          </cell>
          <cell r="G33">
            <v>12</v>
          </cell>
          <cell r="H33">
            <v>12</v>
          </cell>
          <cell r="J33" t="str">
            <v>HMC</v>
          </cell>
          <cell r="K33">
            <v>343954.05456017487</v>
          </cell>
          <cell r="L33">
            <v>12</v>
          </cell>
          <cell r="U33">
            <v>0</v>
          </cell>
          <cell r="V33">
            <v>0</v>
          </cell>
          <cell r="W33">
            <v>0</v>
          </cell>
          <cell r="AA33">
            <v>0</v>
          </cell>
        </row>
        <row r="34">
          <cell r="A34" t="str">
            <v>PZ093</v>
          </cell>
          <cell r="B34" t="str">
            <v>CY CNG 탑재</v>
          </cell>
          <cell r="E34" t="str">
            <v>C</v>
          </cell>
          <cell r="F34">
            <v>13</v>
          </cell>
          <cell r="G34">
            <v>12</v>
          </cell>
          <cell r="H34">
            <v>12</v>
          </cell>
          <cell r="J34" t="str">
            <v>HMC</v>
          </cell>
          <cell r="K34">
            <v>1786056.2596854474</v>
          </cell>
          <cell r="L34">
            <v>12</v>
          </cell>
          <cell r="U34">
            <v>2</v>
          </cell>
          <cell r="V34">
            <v>2</v>
          </cell>
          <cell r="W34">
            <v>2</v>
          </cell>
          <cell r="AA34">
            <v>0</v>
          </cell>
        </row>
        <row r="35">
          <cell r="A35" t="str">
            <v>PN001</v>
          </cell>
          <cell r="B35" t="str">
            <v>FB 485 F/L　　　　　　　　　　　　　　　　　　　　　</v>
          </cell>
          <cell r="C35">
            <v>1986</v>
          </cell>
          <cell r="D35">
            <v>5</v>
          </cell>
          <cell r="E35" t="str">
            <v>FL</v>
          </cell>
          <cell r="F35">
            <v>8</v>
          </cell>
          <cell r="G35">
            <v>1</v>
          </cell>
          <cell r="J35" t="str">
            <v>HMC</v>
          </cell>
          <cell r="K35">
            <v>39538580.325504892</v>
          </cell>
          <cell r="L35">
            <v>1</v>
          </cell>
          <cell r="U35">
            <v>40</v>
          </cell>
          <cell r="V35">
            <v>40</v>
          </cell>
          <cell r="W35">
            <v>40</v>
          </cell>
          <cell r="AA35">
            <v>0</v>
          </cell>
        </row>
        <row r="36">
          <cell r="A36" t="str">
            <v>PB001</v>
          </cell>
          <cell r="B36" t="str">
            <v>EXCEL 2차 F/L</v>
          </cell>
          <cell r="C36">
            <v>1987</v>
          </cell>
          <cell r="D36">
            <v>7</v>
          </cell>
          <cell r="E36" t="str">
            <v>FL</v>
          </cell>
          <cell r="F36">
            <v>6</v>
          </cell>
          <cell r="G36">
            <v>1</v>
          </cell>
          <cell r="H36">
            <v>1</v>
          </cell>
          <cell r="J36" t="str">
            <v>HMC</v>
          </cell>
          <cell r="K36">
            <v>9792024.810023075</v>
          </cell>
          <cell r="L36">
            <v>1</v>
          </cell>
          <cell r="U36">
            <v>10</v>
          </cell>
          <cell r="V36">
            <v>10</v>
          </cell>
          <cell r="W36">
            <v>10</v>
          </cell>
          <cell r="AA36">
            <v>0</v>
          </cell>
        </row>
        <row r="37">
          <cell r="A37" t="str">
            <v>PB012</v>
          </cell>
          <cell r="B37" t="str">
            <v>X-1 OLYMPIC</v>
          </cell>
          <cell r="C37">
            <v>1988</v>
          </cell>
          <cell r="D37">
            <v>3</v>
          </cell>
          <cell r="E37" t="str">
            <v>FL</v>
          </cell>
          <cell r="F37">
            <v>10</v>
          </cell>
          <cell r="G37">
            <v>1</v>
          </cell>
          <cell r="J37" t="str">
            <v>HMC</v>
          </cell>
          <cell r="K37">
            <v>0</v>
          </cell>
          <cell r="L37">
            <v>1</v>
          </cell>
          <cell r="U37">
            <v>0</v>
          </cell>
          <cell r="V37">
            <v>0</v>
          </cell>
          <cell r="W37">
            <v>0</v>
          </cell>
          <cell r="AA37">
            <v>0</v>
          </cell>
        </row>
        <row r="38">
          <cell r="A38" t="str">
            <v>PK002</v>
          </cell>
          <cell r="B38" t="str">
            <v>GRACE LPG</v>
          </cell>
          <cell r="C38">
            <v>1992</v>
          </cell>
          <cell r="D38">
            <v>5</v>
          </cell>
          <cell r="E38" t="str">
            <v>FL</v>
          </cell>
          <cell r="F38">
            <v>8</v>
          </cell>
          <cell r="G38">
            <v>1</v>
          </cell>
          <cell r="J38" t="str">
            <v>HMC</v>
          </cell>
          <cell r="K38">
            <v>365422.66275244381</v>
          </cell>
          <cell r="L38">
            <v>1</v>
          </cell>
          <cell r="U38">
            <v>0</v>
          </cell>
          <cell r="V38">
            <v>0</v>
          </cell>
          <cell r="W38">
            <v>0</v>
          </cell>
          <cell r="AA38">
            <v>0</v>
          </cell>
        </row>
        <row r="39">
          <cell r="A39" t="str">
            <v>PK006</v>
          </cell>
          <cell r="B39" t="str">
            <v>1TON '93 F/L　　　　　</v>
          </cell>
          <cell r="C39">
            <v>1993</v>
          </cell>
          <cell r="D39">
            <v>2</v>
          </cell>
          <cell r="E39" t="str">
            <v>FL</v>
          </cell>
          <cell r="F39">
            <v>11</v>
          </cell>
          <cell r="G39">
            <v>1</v>
          </cell>
          <cell r="J39" t="str">
            <v>HMC</v>
          </cell>
          <cell r="K39">
            <v>1410307.5231976132</v>
          </cell>
          <cell r="L39">
            <v>1</v>
          </cell>
          <cell r="U39">
            <v>1</v>
          </cell>
          <cell r="V39">
            <v>1</v>
          </cell>
          <cell r="W39">
            <v>1</v>
          </cell>
          <cell r="AA39">
            <v>0</v>
          </cell>
        </row>
        <row r="40">
          <cell r="A40" t="str">
            <v>PK005</v>
          </cell>
          <cell r="B40" t="str">
            <v xml:space="preserve">A1 S/BONNET </v>
          </cell>
          <cell r="C40">
            <v>1996</v>
          </cell>
          <cell r="D40">
            <v>11</v>
          </cell>
          <cell r="E40" t="str">
            <v>FL</v>
          </cell>
          <cell r="F40">
            <v>2</v>
          </cell>
          <cell r="G40">
            <v>1</v>
          </cell>
          <cell r="J40" t="str">
            <v>HMC</v>
          </cell>
          <cell r="K40">
            <v>257059955.99589995</v>
          </cell>
          <cell r="L40">
            <v>1</v>
          </cell>
          <cell r="U40">
            <v>257</v>
          </cell>
          <cell r="V40">
            <v>257</v>
          </cell>
          <cell r="W40">
            <v>257</v>
          </cell>
          <cell r="AA40">
            <v>0</v>
          </cell>
        </row>
        <row r="41">
          <cell r="A41" t="str">
            <v>PB020</v>
          </cell>
          <cell r="B41" t="str">
            <v>X-3 '98 F/L</v>
          </cell>
          <cell r="C41">
            <v>1997</v>
          </cell>
          <cell r="D41">
            <v>2</v>
          </cell>
          <cell r="E41" t="str">
            <v>FL</v>
          </cell>
          <cell r="F41">
            <v>11</v>
          </cell>
          <cell r="G41">
            <v>1</v>
          </cell>
          <cell r="J41" t="str">
            <v>HMC</v>
          </cell>
          <cell r="K41">
            <v>95019399.615732804</v>
          </cell>
          <cell r="L41">
            <v>1</v>
          </cell>
          <cell r="U41">
            <v>95</v>
          </cell>
          <cell r="V41">
            <v>95</v>
          </cell>
          <cell r="W41">
            <v>95</v>
          </cell>
          <cell r="AA41">
            <v>0</v>
          </cell>
        </row>
        <row r="42">
          <cell r="A42" t="str">
            <v>PF006</v>
          </cell>
          <cell r="B42" t="str">
            <v>LX TAXI</v>
          </cell>
          <cell r="C42">
            <v>1997</v>
          </cell>
          <cell r="D42">
            <v>4</v>
          </cell>
          <cell r="E42" t="str">
            <v>FL</v>
          </cell>
          <cell r="F42">
            <v>9</v>
          </cell>
          <cell r="G42">
            <v>3</v>
          </cell>
          <cell r="J42" t="str">
            <v>HMC</v>
          </cell>
          <cell r="K42">
            <v>543937238.76804888</v>
          </cell>
          <cell r="L42">
            <v>3</v>
          </cell>
          <cell r="U42">
            <v>544</v>
          </cell>
          <cell r="V42">
            <v>544</v>
          </cell>
          <cell r="W42">
            <v>544</v>
          </cell>
          <cell r="AA42">
            <v>0</v>
          </cell>
        </row>
        <row r="43">
          <cell r="A43" t="str">
            <v>PK014</v>
          </cell>
          <cell r="B43" t="str">
            <v>GRACE RHD 개발</v>
          </cell>
          <cell r="C43">
            <v>1997</v>
          </cell>
          <cell r="D43">
            <v>4</v>
          </cell>
          <cell r="E43" t="str">
            <v>FL</v>
          </cell>
          <cell r="F43">
            <v>9</v>
          </cell>
          <cell r="G43">
            <v>3</v>
          </cell>
          <cell r="J43" t="str">
            <v>HMC</v>
          </cell>
          <cell r="K43">
            <v>341570.80206927157</v>
          </cell>
          <cell r="L43">
            <v>3</v>
          </cell>
          <cell r="U43">
            <v>0</v>
          </cell>
          <cell r="V43">
            <v>0</v>
          </cell>
          <cell r="W43">
            <v>0</v>
          </cell>
          <cell r="AA43">
            <v>0</v>
          </cell>
        </row>
        <row r="44">
          <cell r="A44" t="str">
            <v>PC005</v>
          </cell>
          <cell r="B44" t="str">
            <v>RD RV-PACK</v>
          </cell>
          <cell r="C44">
            <v>1997</v>
          </cell>
          <cell r="D44">
            <v>5</v>
          </cell>
          <cell r="E44" t="str">
            <v>FL</v>
          </cell>
          <cell r="F44">
            <v>8</v>
          </cell>
          <cell r="G44">
            <v>4</v>
          </cell>
          <cell r="J44" t="str">
            <v>HMC</v>
          </cell>
          <cell r="K44">
            <v>362921468.33893073</v>
          </cell>
          <cell r="L44">
            <v>4</v>
          </cell>
          <cell r="U44">
            <v>363</v>
          </cell>
          <cell r="V44">
            <v>363</v>
          </cell>
          <cell r="W44">
            <v>363</v>
          </cell>
          <cell r="AA44">
            <v>0</v>
          </cell>
        </row>
        <row r="45">
          <cell r="A45" t="str">
            <v>PF007</v>
          </cell>
          <cell r="B45" t="str">
            <v>LX 98 F/L</v>
          </cell>
          <cell r="C45">
            <v>1997</v>
          </cell>
          <cell r="D45">
            <v>7</v>
          </cell>
          <cell r="E45" t="str">
            <v>FL</v>
          </cell>
          <cell r="F45">
            <v>6</v>
          </cell>
          <cell r="G45">
            <v>6</v>
          </cell>
          <cell r="J45" t="str">
            <v>HMC</v>
          </cell>
          <cell r="K45">
            <v>265650928.3435353</v>
          </cell>
          <cell r="L45">
            <v>6</v>
          </cell>
          <cell r="U45">
            <v>266</v>
          </cell>
          <cell r="V45">
            <v>266</v>
          </cell>
          <cell r="W45">
            <v>266</v>
          </cell>
          <cell r="AA45">
            <v>0</v>
          </cell>
        </row>
        <row r="46">
          <cell r="A46" t="str">
            <v>PC003</v>
          </cell>
          <cell r="B46" t="str">
            <v>RD 디젤엔진탑재</v>
          </cell>
          <cell r="C46">
            <v>1997</v>
          </cell>
          <cell r="D46">
            <v>8</v>
          </cell>
          <cell r="E46" t="str">
            <v>FL</v>
          </cell>
          <cell r="F46">
            <v>5</v>
          </cell>
          <cell r="G46">
            <v>7</v>
          </cell>
          <cell r="J46" t="str">
            <v>HMC</v>
          </cell>
          <cell r="K46">
            <v>80401262.133922547</v>
          </cell>
          <cell r="L46">
            <v>7</v>
          </cell>
          <cell r="U46">
            <v>80</v>
          </cell>
          <cell r="V46">
            <v>80</v>
          </cell>
          <cell r="W46">
            <v>80</v>
          </cell>
          <cell r="AA46">
            <v>0</v>
          </cell>
        </row>
        <row r="47">
          <cell r="A47" t="str">
            <v>PB009</v>
          </cell>
          <cell r="B47" t="str">
            <v>X-3　린번엔진탑재</v>
          </cell>
          <cell r="C47">
            <v>1997</v>
          </cell>
          <cell r="D47">
            <v>10</v>
          </cell>
          <cell r="E47" t="str">
            <v>FL</v>
          </cell>
          <cell r="F47">
            <v>3</v>
          </cell>
          <cell r="G47">
            <v>9</v>
          </cell>
          <cell r="J47" t="str">
            <v>HMC</v>
          </cell>
          <cell r="K47">
            <v>17956776.795614772</v>
          </cell>
          <cell r="L47">
            <v>9</v>
          </cell>
          <cell r="U47">
            <v>18</v>
          </cell>
          <cell r="V47">
            <v>18</v>
          </cell>
          <cell r="W47">
            <v>18</v>
          </cell>
          <cell r="AA47">
            <v>0</v>
          </cell>
        </row>
        <row r="48">
          <cell r="A48" t="str">
            <v>PC002</v>
          </cell>
          <cell r="B48" t="str">
            <v xml:space="preserve">RD '99 F/L </v>
          </cell>
          <cell r="C48">
            <v>1998</v>
          </cell>
          <cell r="D48">
            <v>2</v>
          </cell>
          <cell r="E48" t="str">
            <v>FL</v>
          </cell>
          <cell r="F48">
            <v>11</v>
          </cell>
          <cell r="G48">
            <v>13</v>
          </cell>
          <cell r="H48">
            <v>24</v>
          </cell>
          <cell r="J48" t="str">
            <v>HMC</v>
          </cell>
          <cell r="K48">
            <v>1852015740.0850286</v>
          </cell>
          <cell r="L48">
            <v>12</v>
          </cell>
          <cell r="M48">
            <v>1</v>
          </cell>
          <cell r="U48">
            <v>1852</v>
          </cell>
          <cell r="V48">
            <v>1852</v>
          </cell>
          <cell r="W48">
            <v>1709.5384615384614</v>
          </cell>
          <cell r="X48">
            <v>142.46153846153845</v>
          </cell>
          <cell r="AA48">
            <v>0</v>
          </cell>
        </row>
        <row r="49">
          <cell r="A49" t="str">
            <v>PC006</v>
          </cell>
          <cell r="B49" t="str">
            <v>RD CPE 99 F/L</v>
          </cell>
          <cell r="C49">
            <v>1999</v>
          </cell>
          <cell r="D49">
            <v>2</v>
          </cell>
          <cell r="E49" t="str">
            <v>FL</v>
          </cell>
          <cell r="F49">
            <v>11</v>
          </cell>
          <cell r="G49">
            <v>13</v>
          </cell>
          <cell r="H49">
            <v>24</v>
          </cell>
          <cell r="J49" t="str">
            <v>HMC</v>
          </cell>
          <cell r="K49">
            <v>1612368927.0548835</v>
          </cell>
          <cell r="L49">
            <v>11</v>
          </cell>
          <cell r="M49">
            <v>12</v>
          </cell>
          <cell r="N49">
            <v>1</v>
          </cell>
          <cell r="U49">
            <v>1612</v>
          </cell>
          <cell r="V49">
            <v>1612.0000000000002</v>
          </cell>
          <cell r="W49">
            <v>738.83333333333337</v>
          </cell>
          <cell r="X49">
            <v>806</v>
          </cell>
          <cell r="Y49">
            <v>67.166666666666671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A50" t="str">
            <v>PK018</v>
          </cell>
          <cell r="B50" t="str">
            <v>AU 1.5 RHD　</v>
          </cell>
          <cell r="C50">
            <v>1999</v>
          </cell>
          <cell r="D50">
            <v>4</v>
          </cell>
          <cell r="E50" t="str">
            <v>FL</v>
          </cell>
          <cell r="F50">
            <v>9</v>
          </cell>
          <cell r="G50">
            <v>15</v>
          </cell>
          <cell r="H50">
            <v>24</v>
          </cell>
          <cell r="J50" t="str">
            <v>HMC</v>
          </cell>
          <cell r="K50">
            <v>291284384.40974313</v>
          </cell>
          <cell r="L50">
            <v>9</v>
          </cell>
          <cell r="M50">
            <v>12</v>
          </cell>
          <cell r="N50">
            <v>3</v>
          </cell>
          <cell r="U50">
            <v>291</v>
          </cell>
          <cell r="V50">
            <v>291</v>
          </cell>
          <cell r="W50">
            <v>109.125</v>
          </cell>
          <cell r="X50">
            <v>145.5</v>
          </cell>
          <cell r="Y50">
            <v>36.375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A51" t="str">
            <v>PA002</v>
          </cell>
          <cell r="B51" t="str">
            <v>MXL</v>
          </cell>
          <cell r="C51">
            <v>1999</v>
          </cell>
          <cell r="D51">
            <v>5</v>
          </cell>
          <cell r="E51" t="str">
            <v>FL</v>
          </cell>
          <cell r="F51">
            <v>8</v>
          </cell>
          <cell r="G51">
            <v>16</v>
          </cell>
          <cell r="H51">
            <v>24</v>
          </cell>
          <cell r="I51" t="str">
            <v>PZ010</v>
          </cell>
          <cell r="J51" t="str">
            <v>HMC</v>
          </cell>
          <cell r="K51">
            <v>4044582552.1031742</v>
          </cell>
          <cell r="L51">
            <v>8</v>
          </cell>
          <cell r="M51">
            <v>12</v>
          </cell>
          <cell r="N51">
            <v>4</v>
          </cell>
          <cell r="U51">
            <v>4045</v>
          </cell>
          <cell r="V51">
            <v>4044.9999999999995</v>
          </cell>
          <cell r="W51">
            <v>1348.3333333333333</v>
          </cell>
          <cell r="X51">
            <v>2022.5</v>
          </cell>
          <cell r="Y51">
            <v>674.16666666666663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A52" t="str">
            <v>PF009</v>
          </cell>
          <cell r="B52" t="str">
            <v>DYNASTY TAXI</v>
          </cell>
          <cell r="C52">
            <v>2000</v>
          </cell>
          <cell r="D52">
            <v>1</v>
          </cell>
          <cell r="E52" t="str">
            <v>FL</v>
          </cell>
          <cell r="F52">
            <v>12</v>
          </cell>
          <cell r="G52">
            <v>12</v>
          </cell>
          <cell r="H52">
            <v>24</v>
          </cell>
          <cell r="I52" t="str">
            <v>PZ022</v>
          </cell>
          <cell r="J52" t="str">
            <v>HMC</v>
          </cell>
          <cell r="K52">
            <v>777588342.55069041</v>
          </cell>
          <cell r="M52">
            <v>12</v>
          </cell>
          <cell r="N52">
            <v>12</v>
          </cell>
          <cell r="U52">
            <v>778</v>
          </cell>
          <cell r="V52">
            <v>778</v>
          </cell>
          <cell r="W52">
            <v>0</v>
          </cell>
          <cell r="X52">
            <v>389</v>
          </cell>
          <cell r="Y52">
            <v>389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A53" t="str">
            <v>PK032</v>
          </cell>
          <cell r="B53" t="str">
            <v>AH／AU '00EM</v>
          </cell>
          <cell r="C53">
            <v>2000</v>
          </cell>
          <cell r="D53">
            <v>1</v>
          </cell>
          <cell r="E53" t="str">
            <v>FL</v>
          </cell>
          <cell r="F53">
            <v>12</v>
          </cell>
          <cell r="G53">
            <v>12</v>
          </cell>
          <cell r="H53">
            <v>24</v>
          </cell>
          <cell r="J53" t="str">
            <v>HMC</v>
          </cell>
          <cell r="K53">
            <v>1364153324.3120444</v>
          </cell>
          <cell r="M53">
            <v>12</v>
          </cell>
          <cell r="N53">
            <v>12</v>
          </cell>
          <cell r="U53">
            <v>1364</v>
          </cell>
          <cell r="V53">
            <v>1364</v>
          </cell>
          <cell r="W53">
            <v>0</v>
          </cell>
          <cell r="X53">
            <v>682</v>
          </cell>
          <cell r="Y53">
            <v>682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A54" t="str">
            <v>PN018</v>
          </cell>
          <cell r="B54" t="str">
            <v>CY</v>
          </cell>
          <cell r="C54">
            <v>2000</v>
          </cell>
          <cell r="D54">
            <v>1</v>
          </cell>
          <cell r="E54" t="str">
            <v>FL</v>
          </cell>
          <cell r="F54">
            <v>12</v>
          </cell>
          <cell r="G54">
            <v>12</v>
          </cell>
          <cell r="H54">
            <v>24</v>
          </cell>
          <cell r="I54" t="str">
            <v>PZ056</v>
          </cell>
          <cell r="J54" t="str">
            <v>HMC</v>
          </cell>
          <cell r="K54">
            <v>4685561805.1581573</v>
          </cell>
          <cell r="M54">
            <v>12</v>
          </cell>
          <cell r="N54">
            <v>12</v>
          </cell>
          <cell r="U54">
            <v>4686</v>
          </cell>
          <cell r="V54">
            <v>4686</v>
          </cell>
          <cell r="W54">
            <v>0</v>
          </cell>
          <cell r="X54">
            <v>2343</v>
          </cell>
          <cell r="Y54">
            <v>2343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A55" t="str">
            <v>PN022</v>
          </cell>
          <cell r="B55" t="str">
            <v>SUPER H/DECK　　　　　　　　　　　　　</v>
          </cell>
          <cell r="C55">
            <v>2000</v>
          </cell>
          <cell r="D55">
            <v>1</v>
          </cell>
          <cell r="E55" t="str">
            <v>FL</v>
          </cell>
          <cell r="F55">
            <v>12</v>
          </cell>
          <cell r="G55">
            <v>12</v>
          </cell>
          <cell r="H55">
            <v>24</v>
          </cell>
          <cell r="I55" t="str">
            <v>PZ076</v>
          </cell>
          <cell r="J55" t="str">
            <v>HMC</v>
          </cell>
          <cell r="K55">
            <v>662358156.93404138</v>
          </cell>
          <cell r="M55">
            <v>12</v>
          </cell>
          <cell r="N55">
            <v>12</v>
          </cell>
          <cell r="U55">
            <v>662</v>
          </cell>
          <cell r="V55">
            <v>662</v>
          </cell>
          <cell r="W55">
            <v>0</v>
          </cell>
          <cell r="X55">
            <v>331</v>
          </cell>
          <cell r="Y55">
            <v>331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A56" t="str">
            <v>PN023</v>
          </cell>
          <cell r="B56" t="str">
            <v>AERO F/L</v>
          </cell>
          <cell r="C56">
            <v>2000</v>
          </cell>
          <cell r="D56">
            <v>3</v>
          </cell>
          <cell r="E56" t="str">
            <v>FL</v>
          </cell>
          <cell r="F56">
            <v>10</v>
          </cell>
          <cell r="G56">
            <v>14</v>
          </cell>
          <cell r="H56">
            <v>24</v>
          </cell>
          <cell r="I56" t="str">
            <v>PZ048</v>
          </cell>
          <cell r="J56" t="str">
            <v>HMC</v>
          </cell>
          <cell r="K56">
            <v>5153324497.5068474</v>
          </cell>
          <cell r="M56">
            <v>10</v>
          </cell>
          <cell r="N56">
            <v>12</v>
          </cell>
          <cell r="O56">
            <v>2</v>
          </cell>
          <cell r="U56">
            <v>5153</v>
          </cell>
          <cell r="V56">
            <v>5153.0000000000009</v>
          </cell>
          <cell r="W56">
            <v>0</v>
          </cell>
          <cell r="X56">
            <v>2147.0833333333335</v>
          </cell>
          <cell r="Y56">
            <v>2576.5</v>
          </cell>
          <cell r="Z56">
            <v>429.41666666666669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</row>
        <row r="57">
          <cell r="A57" t="str">
            <v>PB007</v>
          </cell>
          <cell r="B57" t="str">
            <v>LC SPORTY</v>
          </cell>
          <cell r="C57">
            <v>2000</v>
          </cell>
          <cell r="D57">
            <v>5</v>
          </cell>
          <cell r="E57" t="str">
            <v>FL</v>
          </cell>
          <cell r="F57">
            <v>8</v>
          </cell>
          <cell r="G57">
            <v>16</v>
          </cell>
          <cell r="H57">
            <v>24</v>
          </cell>
          <cell r="J57" t="str">
            <v>HMC</v>
          </cell>
          <cell r="K57">
            <v>144801322.22226724</v>
          </cell>
          <cell r="M57">
            <v>8</v>
          </cell>
          <cell r="N57">
            <v>12</v>
          </cell>
          <cell r="O57">
            <v>4</v>
          </cell>
          <cell r="U57">
            <v>145</v>
          </cell>
          <cell r="V57">
            <v>145</v>
          </cell>
          <cell r="W57">
            <v>0</v>
          </cell>
          <cell r="X57">
            <v>48.333333333333336</v>
          </cell>
          <cell r="Y57">
            <v>72.5</v>
          </cell>
          <cell r="Z57">
            <v>24.166666666666668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</row>
        <row r="58">
          <cell r="A58" t="str">
            <v>PN020</v>
          </cell>
          <cell r="B58" t="str">
            <v>CNG 버스 개발</v>
          </cell>
          <cell r="C58">
            <v>2000</v>
          </cell>
          <cell r="D58">
            <v>10</v>
          </cell>
          <cell r="E58" t="str">
            <v>FL</v>
          </cell>
          <cell r="F58">
            <v>3</v>
          </cell>
          <cell r="G58">
            <v>21</v>
          </cell>
          <cell r="H58">
            <v>24</v>
          </cell>
          <cell r="I58" t="str">
            <v>PZ046</v>
          </cell>
          <cell r="J58" t="str">
            <v>HMC</v>
          </cell>
          <cell r="K58">
            <v>993409502.80903113</v>
          </cell>
          <cell r="M58">
            <v>3</v>
          </cell>
          <cell r="N58">
            <v>12</v>
          </cell>
          <cell r="O58">
            <v>9</v>
          </cell>
          <cell r="U58">
            <v>993</v>
          </cell>
          <cell r="V58">
            <v>993</v>
          </cell>
          <cell r="W58">
            <v>0</v>
          </cell>
          <cell r="X58">
            <v>124.125</v>
          </cell>
          <cell r="Y58">
            <v>496.5</v>
          </cell>
          <cell r="Z58">
            <v>372.375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</row>
        <row r="59">
          <cell r="A59" t="str">
            <v>PX002</v>
          </cell>
          <cell r="B59" t="str">
            <v>EF B/BODY</v>
          </cell>
          <cell r="C59">
            <v>2001</v>
          </cell>
          <cell r="D59">
            <v>5</v>
          </cell>
          <cell r="E59" t="str">
            <v>FL</v>
          </cell>
          <cell r="F59">
            <v>8</v>
          </cell>
          <cell r="G59">
            <v>16</v>
          </cell>
          <cell r="H59">
            <v>24</v>
          </cell>
          <cell r="J59" t="str">
            <v>HMC</v>
          </cell>
          <cell r="K59">
            <v>2328548372.5034022</v>
          </cell>
          <cell r="N59">
            <v>8</v>
          </cell>
          <cell r="O59">
            <v>12</v>
          </cell>
          <cell r="P59">
            <v>4</v>
          </cell>
          <cell r="U59">
            <v>2329</v>
          </cell>
          <cell r="V59">
            <v>2329</v>
          </cell>
          <cell r="W59">
            <v>0</v>
          </cell>
          <cell r="X59">
            <v>0</v>
          </cell>
          <cell r="Y59">
            <v>776.33333333333337</v>
          </cell>
          <cell r="Z59">
            <v>1164.5</v>
          </cell>
          <cell r="AA59">
            <v>388.16666666666669</v>
          </cell>
          <cell r="AB59">
            <v>388.16666666666669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</row>
        <row r="60">
          <cell r="A60" t="str">
            <v>PD010</v>
          </cell>
          <cell r="B60" t="str">
            <v>EF '01F/L (A-BODY)</v>
          </cell>
          <cell r="C60">
            <v>2001</v>
          </cell>
          <cell r="D60">
            <v>7</v>
          </cell>
          <cell r="E60" t="str">
            <v>FL</v>
          </cell>
          <cell r="F60">
            <v>6</v>
          </cell>
          <cell r="G60">
            <v>18</v>
          </cell>
          <cell r="H60">
            <v>24</v>
          </cell>
          <cell r="I60" t="str">
            <v>PZ065</v>
          </cell>
          <cell r="J60" t="str">
            <v>HMC</v>
          </cell>
          <cell r="K60">
            <v>16305352597.190449</v>
          </cell>
          <cell r="N60">
            <v>6</v>
          </cell>
          <cell r="O60">
            <v>12</v>
          </cell>
          <cell r="P60">
            <v>6</v>
          </cell>
          <cell r="U60">
            <v>16305</v>
          </cell>
          <cell r="V60">
            <v>16305</v>
          </cell>
          <cell r="W60">
            <v>0</v>
          </cell>
          <cell r="X60">
            <v>0</v>
          </cell>
          <cell r="Y60">
            <v>4076.25</v>
          </cell>
          <cell r="Z60">
            <v>8152.5</v>
          </cell>
          <cell r="AA60">
            <v>4076.25</v>
          </cell>
          <cell r="AB60">
            <v>4076.25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</row>
        <row r="61">
          <cell r="A61" t="str">
            <v>PK037</v>
          </cell>
          <cell r="B61" t="str">
            <v>A-1 '02 F/LIFT</v>
          </cell>
          <cell r="C61">
            <v>2001</v>
          </cell>
          <cell r="D61">
            <v>7</v>
          </cell>
          <cell r="E61" t="str">
            <v>FL</v>
          </cell>
          <cell r="F61">
            <v>6</v>
          </cell>
          <cell r="G61">
            <v>18</v>
          </cell>
          <cell r="H61">
            <v>24</v>
          </cell>
          <cell r="J61" t="str">
            <v>HMC</v>
          </cell>
          <cell r="K61">
            <v>1189985485.327703</v>
          </cell>
          <cell r="N61">
            <v>6</v>
          </cell>
          <cell r="O61">
            <v>12</v>
          </cell>
          <cell r="P61">
            <v>6</v>
          </cell>
          <cell r="U61">
            <v>1190</v>
          </cell>
          <cell r="V61">
            <v>1190</v>
          </cell>
          <cell r="W61">
            <v>0</v>
          </cell>
          <cell r="X61">
            <v>0</v>
          </cell>
          <cell r="Y61">
            <v>297.5</v>
          </cell>
          <cell r="Z61">
            <v>595</v>
          </cell>
          <cell r="AA61">
            <v>297.5</v>
          </cell>
          <cell r="AB61">
            <v>297.5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A62" t="str">
            <v>PE005</v>
          </cell>
          <cell r="B62" t="str">
            <v>XG '02 F/LIFT　　　　　</v>
          </cell>
          <cell r="C62">
            <v>2001</v>
          </cell>
          <cell r="D62">
            <v>10</v>
          </cell>
          <cell r="E62" t="str">
            <v>FL</v>
          </cell>
          <cell r="F62">
            <v>3</v>
          </cell>
          <cell r="G62">
            <v>21</v>
          </cell>
          <cell r="H62">
            <v>24</v>
          </cell>
          <cell r="J62" t="str">
            <v>HMC</v>
          </cell>
          <cell r="K62">
            <v>1138077480.5658293</v>
          </cell>
          <cell r="N62">
            <v>3</v>
          </cell>
          <cell r="O62">
            <v>12</v>
          </cell>
          <cell r="P62">
            <v>9</v>
          </cell>
          <cell r="U62">
            <v>1138</v>
          </cell>
          <cell r="V62">
            <v>1138</v>
          </cell>
          <cell r="W62">
            <v>0</v>
          </cell>
          <cell r="X62">
            <v>0</v>
          </cell>
          <cell r="Y62">
            <v>142.25</v>
          </cell>
          <cell r="Z62">
            <v>569</v>
          </cell>
          <cell r="AA62">
            <v>426.75</v>
          </cell>
          <cell r="AB62">
            <v>426.75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A63" t="str">
            <v>PK001</v>
          </cell>
          <cell r="B63" t="str">
            <v>1.25톤  TRK</v>
          </cell>
          <cell r="C63">
            <v>1989</v>
          </cell>
          <cell r="D63">
            <v>5</v>
          </cell>
          <cell r="E63" t="str">
            <v>FMC</v>
          </cell>
          <cell r="F63">
            <v>8</v>
          </cell>
          <cell r="G63">
            <v>1</v>
          </cell>
          <cell r="H63">
            <v>1</v>
          </cell>
          <cell r="J63" t="str">
            <v>HMC</v>
          </cell>
          <cell r="K63">
            <v>46461095.958667159</v>
          </cell>
          <cell r="L63">
            <v>1</v>
          </cell>
          <cell r="U63">
            <v>46</v>
          </cell>
          <cell r="V63">
            <v>46</v>
          </cell>
          <cell r="W63">
            <v>46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A64" t="str">
            <v>PU004</v>
          </cell>
          <cell r="B64" t="str">
            <v>P엔진탑재-8DC11</v>
          </cell>
          <cell r="C64">
            <v>1994</v>
          </cell>
          <cell r="D64">
            <v>10</v>
          </cell>
          <cell r="E64" t="str">
            <v>FMC</v>
          </cell>
          <cell r="F64">
            <v>3</v>
          </cell>
          <cell r="G64">
            <v>1</v>
          </cell>
          <cell r="H64">
            <v>1</v>
          </cell>
          <cell r="J64" t="str">
            <v>HMC</v>
          </cell>
          <cell r="K64">
            <v>17348053.528065655</v>
          </cell>
          <cell r="L64">
            <v>1</v>
          </cell>
          <cell r="U64">
            <v>17</v>
          </cell>
          <cell r="V64">
            <v>17</v>
          </cell>
          <cell r="W64">
            <v>17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A65" t="str">
            <v>PK011</v>
          </cell>
          <cell r="B65" t="str">
            <v>AU</v>
          </cell>
          <cell r="C65">
            <v>1996</v>
          </cell>
          <cell r="D65">
            <v>3</v>
          </cell>
          <cell r="E65" t="str">
            <v>FMC</v>
          </cell>
          <cell r="F65">
            <v>10</v>
          </cell>
          <cell r="G65">
            <v>26</v>
          </cell>
          <cell r="H65">
            <v>26</v>
          </cell>
          <cell r="J65" t="str">
            <v>HMC</v>
          </cell>
          <cell r="K65">
            <v>808307732.84690297</v>
          </cell>
          <cell r="L65">
            <v>12</v>
          </cell>
          <cell r="M65">
            <v>12</v>
          </cell>
          <cell r="N65">
            <v>2</v>
          </cell>
          <cell r="U65">
            <v>808</v>
          </cell>
          <cell r="V65">
            <v>808</v>
          </cell>
          <cell r="W65">
            <v>372.92307692307691</v>
          </cell>
          <cell r="X65">
            <v>372.92307692307691</v>
          </cell>
          <cell r="Y65">
            <v>62.153846153846153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A66" t="str">
            <v>PU006</v>
          </cell>
          <cell r="B66" t="str">
            <v>고마력 엔진 탑재</v>
          </cell>
          <cell r="C66">
            <v>1996</v>
          </cell>
          <cell r="D66">
            <v>8</v>
          </cell>
          <cell r="E66" t="str">
            <v>FMC</v>
          </cell>
          <cell r="F66">
            <v>5</v>
          </cell>
          <cell r="G66">
            <v>31</v>
          </cell>
          <cell r="H66">
            <v>31</v>
          </cell>
          <cell r="J66" t="str">
            <v>HMC</v>
          </cell>
          <cell r="K66">
            <v>236892158.64940524</v>
          </cell>
          <cell r="L66">
            <v>12</v>
          </cell>
          <cell r="M66">
            <v>12</v>
          </cell>
          <cell r="N66">
            <v>7</v>
          </cell>
          <cell r="U66">
            <v>237</v>
          </cell>
          <cell r="V66">
            <v>237</v>
          </cell>
          <cell r="W66">
            <v>91.741935483870961</v>
          </cell>
          <cell r="X66">
            <v>91.741935483870961</v>
          </cell>
          <cell r="Y66">
            <v>53.516129032258064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A67" t="str">
            <v>PT005</v>
          </cell>
          <cell r="B67" t="str">
            <v>ZETA-ENG 양산</v>
          </cell>
          <cell r="C67">
            <v>1996</v>
          </cell>
          <cell r="D67">
            <v>10</v>
          </cell>
          <cell r="E67" t="str">
            <v>FMC</v>
          </cell>
          <cell r="F67">
            <v>3</v>
          </cell>
          <cell r="G67">
            <v>33</v>
          </cell>
          <cell r="H67">
            <v>33</v>
          </cell>
          <cell r="J67" t="str">
            <v>HMC</v>
          </cell>
          <cell r="K67">
            <v>226395892.91808012</v>
          </cell>
          <cell r="L67">
            <v>12</v>
          </cell>
          <cell r="M67">
            <v>12</v>
          </cell>
          <cell r="N67">
            <v>9</v>
          </cell>
          <cell r="U67">
            <v>226</v>
          </cell>
          <cell r="V67">
            <v>226</v>
          </cell>
          <cell r="W67">
            <v>82.181818181818187</v>
          </cell>
          <cell r="X67">
            <v>82.181818181818187</v>
          </cell>
          <cell r="Y67">
            <v>61.636363636363633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A68" t="str">
            <v>PE001</v>
          </cell>
          <cell r="B68" t="str">
            <v>H-1 '98 F/L</v>
          </cell>
          <cell r="C68">
            <v>1997</v>
          </cell>
          <cell r="D68">
            <v>4</v>
          </cell>
          <cell r="E68" t="str">
            <v>FMC</v>
          </cell>
          <cell r="F68">
            <v>9</v>
          </cell>
          <cell r="G68">
            <v>39</v>
          </cell>
          <cell r="H68">
            <v>39</v>
          </cell>
          <cell r="J68" t="str">
            <v>HMC</v>
          </cell>
          <cell r="K68">
            <v>25218258.55656245</v>
          </cell>
          <cell r="L68">
            <v>12</v>
          </cell>
          <cell r="M68">
            <v>12</v>
          </cell>
          <cell r="N68">
            <v>12</v>
          </cell>
          <cell r="O68">
            <v>3</v>
          </cell>
          <cell r="U68">
            <v>25</v>
          </cell>
          <cell r="V68">
            <v>25</v>
          </cell>
          <cell r="W68">
            <v>7.6923076923076925</v>
          </cell>
          <cell r="X68">
            <v>7.6923076923076925</v>
          </cell>
          <cell r="Y68">
            <v>7.6923076923076925</v>
          </cell>
          <cell r="Z68">
            <v>1.9230769230769231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A69" t="str">
            <v>PK036</v>
          </cell>
          <cell r="B69" t="str">
            <v>ZETA-ENG 개발</v>
          </cell>
          <cell r="C69">
            <v>1997</v>
          </cell>
          <cell r="D69">
            <v>7</v>
          </cell>
          <cell r="E69" t="str">
            <v>FMC</v>
          </cell>
          <cell r="F69">
            <v>6</v>
          </cell>
          <cell r="G69">
            <v>42</v>
          </cell>
          <cell r="H69">
            <v>42</v>
          </cell>
          <cell r="J69" t="str">
            <v>HMC</v>
          </cell>
          <cell r="K69">
            <v>117365637.68263316</v>
          </cell>
          <cell r="L69">
            <v>12</v>
          </cell>
          <cell r="M69">
            <v>12</v>
          </cell>
          <cell r="N69">
            <v>12</v>
          </cell>
          <cell r="O69">
            <v>6</v>
          </cell>
          <cell r="U69">
            <v>117</v>
          </cell>
          <cell r="V69">
            <v>117</v>
          </cell>
          <cell r="W69">
            <v>33.428571428571431</v>
          </cell>
          <cell r="X69">
            <v>33.428571428571431</v>
          </cell>
          <cell r="Y69">
            <v>33.428571428571431</v>
          </cell>
          <cell r="Z69">
            <v>16.714285714285715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A70" t="str">
            <v>PM007</v>
          </cell>
          <cell r="B70" t="str">
            <v>EG（중대형트럭 98)　　　　　　　　　　　　　　　　　　　</v>
          </cell>
          <cell r="C70">
            <v>1997</v>
          </cell>
          <cell r="D70">
            <v>8</v>
          </cell>
          <cell r="E70" t="str">
            <v>FMC</v>
          </cell>
          <cell r="F70">
            <v>5</v>
          </cell>
          <cell r="G70">
            <v>43</v>
          </cell>
          <cell r="H70">
            <v>43</v>
          </cell>
          <cell r="J70" t="str">
            <v>HMC</v>
          </cell>
          <cell r="K70">
            <v>1756857043.1043353</v>
          </cell>
          <cell r="L70">
            <v>12</v>
          </cell>
          <cell r="M70">
            <v>12</v>
          </cell>
          <cell r="N70">
            <v>12</v>
          </cell>
          <cell r="O70">
            <v>7</v>
          </cell>
          <cell r="U70">
            <v>1757</v>
          </cell>
          <cell r="V70">
            <v>1757</v>
          </cell>
          <cell r="W70">
            <v>490.32558139534882</v>
          </cell>
          <cell r="X70">
            <v>490.32558139534882</v>
          </cell>
          <cell r="Y70">
            <v>490.32558139534882</v>
          </cell>
          <cell r="Z70">
            <v>286.02325581395348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A71" t="str">
            <v>PA006</v>
          </cell>
          <cell r="B71" t="str">
            <v>MX</v>
          </cell>
          <cell r="C71">
            <v>1997</v>
          </cell>
          <cell r="D71">
            <v>9</v>
          </cell>
          <cell r="E71" t="str">
            <v>FMC</v>
          </cell>
          <cell r="F71">
            <v>4</v>
          </cell>
          <cell r="G71">
            <v>44</v>
          </cell>
          <cell r="H71">
            <v>44</v>
          </cell>
          <cell r="J71" t="str">
            <v>HMC</v>
          </cell>
          <cell r="K71">
            <v>1858052329.82761</v>
          </cell>
          <cell r="L71">
            <v>12</v>
          </cell>
          <cell r="M71">
            <v>12</v>
          </cell>
          <cell r="N71">
            <v>12</v>
          </cell>
          <cell r="O71">
            <v>8</v>
          </cell>
          <cell r="U71">
            <v>1858</v>
          </cell>
          <cell r="V71">
            <v>1858</v>
          </cell>
          <cell r="W71">
            <v>506.72727272727275</v>
          </cell>
          <cell r="X71">
            <v>506.72727272727275</v>
          </cell>
          <cell r="Y71">
            <v>506.72727272727275</v>
          </cell>
          <cell r="Z71">
            <v>337.81818181818181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A72" t="str">
            <v>PD021</v>
          </cell>
          <cell r="B72" t="str">
            <v>EF 제품개발</v>
          </cell>
          <cell r="C72">
            <v>1998</v>
          </cell>
          <cell r="D72">
            <v>3</v>
          </cell>
          <cell r="E72" t="str">
            <v>FMC</v>
          </cell>
          <cell r="F72">
            <v>10</v>
          </cell>
          <cell r="G72">
            <v>50</v>
          </cell>
          <cell r="H72">
            <v>50</v>
          </cell>
          <cell r="J72" t="str">
            <v>HMC</v>
          </cell>
          <cell r="K72">
            <v>4524227484.5900965</v>
          </cell>
          <cell r="L72">
            <v>12</v>
          </cell>
          <cell r="M72">
            <v>12</v>
          </cell>
          <cell r="N72">
            <v>12</v>
          </cell>
          <cell r="O72">
            <v>12</v>
          </cell>
          <cell r="P72">
            <v>2</v>
          </cell>
          <cell r="U72">
            <v>4524</v>
          </cell>
          <cell r="V72">
            <v>4524</v>
          </cell>
          <cell r="W72">
            <v>1085.76</v>
          </cell>
          <cell r="X72">
            <v>1085.76</v>
          </cell>
          <cell r="Y72">
            <v>1085.76</v>
          </cell>
          <cell r="Z72">
            <v>1085.76</v>
          </cell>
          <cell r="AA72">
            <v>180.96</v>
          </cell>
          <cell r="AB72">
            <v>180.96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A73" t="str">
            <v>PL006</v>
          </cell>
          <cell r="B73" t="str">
            <v>코러스 NEW MDL　　　　</v>
          </cell>
          <cell r="C73">
            <v>1998</v>
          </cell>
          <cell r="D73">
            <v>3</v>
          </cell>
          <cell r="E73" t="str">
            <v>FMC</v>
          </cell>
          <cell r="F73">
            <v>10</v>
          </cell>
          <cell r="G73">
            <v>50</v>
          </cell>
          <cell r="H73">
            <v>50</v>
          </cell>
          <cell r="I73" t="str">
            <v>PZ030</v>
          </cell>
          <cell r="J73" t="str">
            <v>HMC</v>
          </cell>
          <cell r="K73">
            <v>930123574.79057825</v>
          </cell>
          <cell r="L73">
            <v>12</v>
          </cell>
          <cell r="M73">
            <v>12</v>
          </cell>
          <cell r="N73">
            <v>12</v>
          </cell>
          <cell r="O73">
            <v>12</v>
          </cell>
          <cell r="P73">
            <v>2</v>
          </cell>
          <cell r="U73">
            <v>930</v>
          </cell>
          <cell r="V73">
            <v>930</v>
          </cell>
          <cell r="W73">
            <v>223.2</v>
          </cell>
          <cell r="X73">
            <v>223.2</v>
          </cell>
          <cell r="Y73">
            <v>223.2</v>
          </cell>
          <cell r="Z73">
            <v>223.2</v>
          </cell>
          <cell r="AA73">
            <v>37.200000000000003</v>
          </cell>
          <cell r="AB73">
            <v>37.200000000000003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A74" t="str">
            <v>PS005</v>
          </cell>
          <cell r="B74" t="str">
            <v>신세대 A/T 공장</v>
          </cell>
          <cell r="C74">
            <v>1998</v>
          </cell>
          <cell r="D74">
            <v>3</v>
          </cell>
          <cell r="E74" t="str">
            <v>FMC</v>
          </cell>
          <cell r="F74">
            <v>10</v>
          </cell>
          <cell r="G74">
            <v>50</v>
          </cell>
          <cell r="H74">
            <v>50</v>
          </cell>
          <cell r="J74" t="str">
            <v>HMC</v>
          </cell>
          <cell r="K74">
            <v>1018468888.7212741</v>
          </cell>
          <cell r="L74">
            <v>12</v>
          </cell>
          <cell r="M74">
            <v>12</v>
          </cell>
          <cell r="N74">
            <v>12</v>
          </cell>
          <cell r="O74">
            <v>12</v>
          </cell>
          <cell r="P74">
            <v>2</v>
          </cell>
          <cell r="U74">
            <v>1018</v>
          </cell>
          <cell r="V74">
            <v>1018</v>
          </cell>
          <cell r="W74">
            <v>244.32</v>
          </cell>
          <cell r="X74">
            <v>244.32</v>
          </cell>
          <cell r="Y74">
            <v>244.32</v>
          </cell>
          <cell r="Z74">
            <v>244.32</v>
          </cell>
          <cell r="AA74">
            <v>40.72</v>
          </cell>
          <cell r="AB74">
            <v>40.72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</row>
        <row r="75">
          <cell r="A75" t="str">
            <v>PS007</v>
          </cell>
          <cell r="B75" t="str">
            <v>SIRIUS Ⅱ 엔진 공장</v>
          </cell>
          <cell r="C75">
            <v>1998</v>
          </cell>
          <cell r="D75">
            <v>3</v>
          </cell>
          <cell r="E75" t="str">
            <v>FMC</v>
          </cell>
          <cell r="F75">
            <v>10</v>
          </cell>
          <cell r="G75">
            <v>50</v>
          </cell>
          <cell r="H75">
            <v>50</v>
          </cell>
          <cell r="J75" t="str">
            <v>HMC</v>
          </cell>
          <cell r="K75">
            <v>595399893.34221196</v>
          </cell>
          <cell r="L75">
            <v>12</v>
          </cell>
          <cell r="M75">
            <v>12</v>
          </cell>
          <cell r="N75">
            <v>12</v>
          </cell>
          <cell r="O75">
            <v>12</v>
          </cell>
          <cell r="P75">
            <v>2</v>
          </cell>
          <cell r="U75">
            <v>595</v>
          </cell>
          <cell r="V75">
            <v>595</v>
          </cell>
          <cell r="W75">
            <v>142.80000000000001</v>
          </cell>
          <cell r="X75">
            <v>142.80000000000001</v>
          </cell>
          <cell r="Y75">
            <v>142.80000000000001</v>
          </cell>
          <cell r="Z75">
            <v>142.80000000000001</v>
          </cell>
          <cell r="AA75">
            <v>23.8</v>
          </cell>
          <cell r="AB75">
            <v>23.8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</row>
        <row r="76">
          <cell r="A76" t="str">
            <v>PS010</v>
          </cell>
          <cell r="B76" t="str">
            <v>델타 엔진 공장</v>
          </cell>
          <cell r="C76">
            <v>1998</v>
          </cell>
          <cell r="D76">
            <v>3</v>
          </cell>
          <cell r="E76" t="str">
            <v>FMC</v>
          </cell>
          <cell r="F76">
            <v>10</v>
          </cell>
          <cell r="G76">
            <v>50</v>
          </cell>
          <cell r="H76">
            <v>50</v>
          </cell>
          <cell r="J76" t="str">
            <v>HMC</v>
          </cell>
          <cell r="K76">
            <v>88243718.958936632</v>
          </cell>
          <cell r="L76">
            <v>12</v>
          </cell>
          <cell r="M76">
            <v>12</v>
          </cell>
          <cell r="N76">
            <v>12</v>
          </cell>
          <cell r="O76">
            <v>12</v>
          </cell>
          <cell r="P76">
            <v>2</v>
          </cell>
          <cell r="U76">
            <v>88</v>
          </cell>
          <cell r="V76">
            <v>88</v>
          </cell>
          <cell r="W76">
            <v>21.12</v>
          </cell>
          <cell r="X76">
            <v>21.12</v>
          </cell>
          <cell r="Y76">
            <v>21.12</v>
          </cell>
          <cell r="Z76">
            <v>21.12</v>
          </cell>
          <cell r="AA76">
            <v>3.52</v>
          </cell>
          <cell r="AB76">
            <v>3.52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A77" t="str">
            <v>PS011</v>
          </cell>
          <cell r="B77" t="str">
            <v>중형 M/T 공장</v>
          </cell>
          <cell r="C77">
            <v>1998</v>
          </cell>
          <cell r="D77">
            <v>3</v>
          </cell>
          <cell r="E77" t="str">
            <v>FMC</v>
          </cell>
          <cell r="F77">
            <v>10</v>
          </cell>
          <cell r="G77">
            <v>50</v>
          </cell>
          <cell r="H77">
            <v>50</v>
          </cell>
          <cell r="J77" t="str">
            <v>HMC</v>
          </cell>
          <cell r="K77">
            <v>1703329</v>
          </cell>
          <cell r="L77">
            <v>12</v>
          </cell>
          <cell r="M77">
            <v>12</v>
          </cell>
          <cell r="N77">
            <v>12</v>
          </cell>
          <cell r="O77">
            <v>12</v>
          </cell>
          <cell r="P77">
            <v>2</v>
          </cell>
          <cell r="U77">
            <v>2</v>
          </cell>
          <cell r="V77">
            <v>2</v>
          </cell>
          <cell r="W77">
            <v>0.48</v>
          </cell>
          <cell r="X77">
            <v>0.48</v>
          </cell>
          <cell r="Y77">
            <v>0.48</v>
          </cell>
          <cell r="Z77">
            <v>0.48</v>
          </cell>
          <cell r="AA77">
            <v>0.08</v>
          </cell>
          <cell r="AB77">
            <v>0.08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</row>
        <row r="78">
          <cell r="A78" t="str">
            <v>PU010</v>
          </cell>
          <cell r="B78" t="str">
            <v>4D 34TCI 개발 생산　　　　　　　　　　　　　　　　　　　</v>
          </cell>
          <cell r="C78">
            <v>1998</v>
          </cell>
          <cell r="D78">
            <v>3</v>
          </cell>
          <cell r="E78" t="str">
            <v>FMC</v>
          </cell>
          <cell r="F78">
            <v>10</v>
          </cell>
          <cell r="G78">
            <v>50</v>
          </cell>
          <cell r="H78">
            <v>50</v>
          </cell>
          <cell r="J78" t="str">
            <v>HMC</v>
          </cell>
          <cell r="K78">
            <v>1148909528.5761843</v>
          </cell>
          <cell r="L78">
            <v>12</v>
          </cell>
          <cell r="M78">
            <v>12</v>
          </cell>
          <cell r="N78">
            <v>12</v>
          </cell>
          <cell r="O78">
            <v>12</v>
          </cell>
          <cell r="P78">
            <v>2</v>
          </cell>
          <cell r="U78">
            <v>1149</v>
          </cell>
          <cell r="V78">
            <v>1149</v>
          </cell>
          <cell r="W78">
            <v>275.76</v>
          </cell>
          <cell r="X78">
            <v>275.76</v>
          </cell>
          <cell r="Y78">
            <v>275.76</v>
          </cell>
          <cell r="Z78">
            <v>275.76</v>
          </cell>
          <cell r="AA78">
            <v>45.96</v>
          </cell>
          <cell r="AB78">
            <v>45.96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</row>
        <row r="79">
          <cell r="A79" t="str">
            <v>PN015</v>
          </cell>
          <cell r="B79" t="str">
            <v>SU</v>
          </cell>
          <cell r="C79">
            <v>1998</v>
          </cell>
          <cell r="D79">
            <v>5</v>
          </cell>
          <cell r="E79" t="str">
            <v>FMC</v>
          </cell>
          <cell r="F79">
            <v>8</v>
          </cell>
          <cell r="G79">
            <v>52</v>
          </cell>
          <cell r="H79">
            <v>52</v>
          </cell>
          <cell r="J79" t="str">
            <v>HMC</v>
          </cell>
          <cell r="K79">
            <v>49239648.475455865</v>
          </cell>
          <cell r="L79">
            <v>12</v>
          </cell>
          <cell r="M79">
            <v>12</v>
          </cell>
          <cell r="N79">
            <v>12</v>
          </cell>
          <cell r="O79">
            <v>12</v>
          </cell>
          <cell r="P79">
            <v>4</v>
          </cell>
          <cell r="U79">
            <v>49</v>
          </cell>
          <cell r="V79">
            <v>49</v>
          </cell>
          <cell r="W79">
            <v>11.307692307692308</v>
          </cell>
          <cell r="X79">
            <v>11.307692307692308</v>
          </cell>
          <cell r="Y79">
            <v>11.307692307692308</v>
          </cell>
          <cell r="Z79">
            <v>11.307692307692308</v>
          </cell>
          <cell r="AA79">
            <v>3.7692307692307692</v>
          </cell>
          <cell r="AB79">
            <v>3.7692307692307692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A80" t="str">
            <v>PS012</v>
          </cell>
          <cell r="B80" t="str">
            <v>대 V6 2 축화</v>
          </cell>
          <cell r="C80">
            <v>1998</v>
          </cell>
          <cell r="D80">
            <v>8</v>
          </cell>
          <cell r="E80" t="str">
            <v>FMC</v>
          </cell>
          <cell r="F80">
            <v>5</v>
          </cell>
          <cell r="G80">
            <v>55</v>
          </cell>
          <cell r="H80">
            <v>55</v>
          </cell>
          <cell r="J80" t="str">
            <v>HMC</v>
          </cell>
          <cell r="K80">
            <v>9882437.6737640202</v>
          </cell>
          <cell r="L80">
            <v>12</v>
          </cell>
          <cell r="M80">
            <v>12</v>
          </cell>
          <cell r="N80">
            <v>12</v>
          </cell>
          <cell r="O80">
            <v>12</v>
          </cell>
          <cell r="P80">
            <v>7</v>
          </cell>
          <cell r="U80">
            <v>10</v>
          </cell>
          <cell r="V80">
            <v>10</v>
          </cell>
          <cell r="W80">
            <v>2.1818181818181817</v>
          </cell>
          <cell r="X80">
            <v>2.1818181818181817</v>
          </cell>
          <cell r="Y80">
            <v>2.1818181818181817</v>
          </cell>
          <cell r="Z80">
            <v>2.1818181818181817</v>
          </cell>
          <cell r="AA80">
            <v>1.2727272727272727</v>
          </cell>
          <cell r="AB80">
            <v>1.2727272727272727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</row>
        <row r="81">
          <cell r="A81" t="str">
            <v>PE002</v>
          </cell>
          <cell r="B81" t="str">
            <v>XG 제품개발</v>
          </cell>
          <cell r="C81">
            <v>1998</v>
          </cell>
          <cell r="D81">
            <v>9</v>
          </cell>
          <cell r="E81" t="str">
            <v>FMC</v>
          </cell>
          <cell r="F81">
            <v>4</v>
          </cell>
          <cell r="G81">
            <v>56</v>
          </cell>
          <cell r="H81">
            <v>56</v>
          </cell>
          <cell r="J81" t="str">
            <v>HMC</v>
          </cell>
          <cell r="K81">
            <v>4969177503.7240753</v>
          </cell>
          <cell r="L81">
            <v>12</v>
          </cell>
          <cell r="M81">
            <v>12</v>
          </cell>
          <cell r="N81">
            <v>12</v>
          </cell>
          <cell r="O81">
            <v>12</v>
          </cell>
          <cell r="P81">
            <v>8</v>
          </cell>
          <cell r="U81">
            <v>4969</v>
          </cell>
          <cell r="V81">
            <v>4969</v>
          </cell>
          <cell r="W81">
            <v>1064.7857142857142</v>
          </cell>
          <cell r="X81">
            <v>1064.7857142857142</v>
          </cell>
          <cell r="Y81">
            <v>1064.7857142857142</v>
          </cell>
          <cell r="Z81">
            <v>1064.7857142857142</v>
          </cell>
          <cell r="AA81">
            <v>709.85714285714289</v>
          </cell>
          <cell r="AB81">
            <v>709.85714285714289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A82" t="str">
            <v>PL007</v>
          </cell>
          <cell r="B82" t="str">
            <v>VT（마이티 뉴모델）</v>
          </cell>
          <cell r="C82">
            <v>1998</v>
          </cell>
          <cell r="D82">
            <v>9</v>
          </cell>
          <cell r="E82" t="str">
            <v>FMC</v>
          </cell>
          <cell r="F82">
            <v>4</v>
          </cell>
          <cell r="G82">
            <v>56</v>
          </cell>
          <cell r="H82">
            <v>56</v>
          </cell>
          <cell r="J82" t="str">
            <v>HMC</v>
          </cell>
          <cell r="K82">
            <v>1908183552.2036705</v>
          </cell>
          <cell r="L82">
            <v>12</v>
          </cell>
          <cell r="M82">
            <v>12</v>
          </cell>
          <cell r="N82">
            <v>12</v>
          </cell>
          <cell r="O82">
            <v>12</v>
          </cell>
          <cell r="P82">
            <v>8</v>
          </cell>
          <cell r="U82">
            <v>1908</v>
          </cell>
          <cell r="V82">
            <v>1908</v>
          </cell>
          <cell r="W82">
            <v>408.85714285714283</v>
          </cell>
          <cell r="X82">
            <v>408.85714285714283</v>
          </cell>
          <cell r="Y82">
            <v>408.85714285714283</v>
          </cell>
          <cell r="Z82">
            <v>408.85714285714283</v>
          </cell>
          <cell r="AA82">
            <v>272.57142857142856</v>
          </cell>
          <cell r="AB82">
            <v>272.57142857142856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A83" t="str">
            <v>PK033</v>
          </cell>
          <cell r="B83" t="str">
            <v>ZETA-ENG 업체지원</v>
          </cell>
          <cell r="C83">
            <v>1998</v>
          </cell>
          <cell r="D83">
            <v>12</v>
          </cell>
          <cell r="E83" t="str">
            <v>FMC</v>
          </cell>
          <cell r="F83">
            <v>1</v>
          </cell>
          <cell r="G83">
            <v>59</v>
          </cell>
          <cell r="H83">
            <v>59</v>
          </cell>
          <cell r="J83" t="str">
            <v>HMC</v>
          </cell>
          <cell r="K83">
            <v>707160.15611786593</v>
          </cell>
          <cell r="L83">
            <v>12</v>
          </cell>
          <cell r="M83">
            <v>12</v>
          </cell>
          <cell r="N83">
            <v>12</v>
          </cell>
          <cell r="O83">
            <v>12</v>
          </cell>
          <cell r="P83">
            <v>11</v>
          </cell>
          <cell r="U83">
            <v>1</v>
          </cell>
          <cell r="V83">
            <v>1</v>
          </cell>
          <cell r="W83">
            <v>0.20338983050847459</v>
          </cell>
          <cell r="X83">
            <v>0.20338983050847459</v>
          </cell>
          <cell r="Y83">
            <v>0.20338983050847459</v>
          </cell>
          <cell r="Z83">
            <v>0.20338983050847459</v>
          </cell>
          <cell r="AA83">
            <v>0.1864406779661017</v>
          </cell>
          <cell r="AB83">
            <v>0.1864406779661017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</row>
        <row r="84">
          <cell r="A84" t="str">
            <v>PM012</v>
          </cell>
          <cell r="B84" t="str">
            <v>BUS B/CHASS</v>
          </cell>
          <cell r="C84">
            <v>1999</v>
          </cell>
          <cell r="D84">
            <v>1</v>
          </cell>
          <cell r="E84" t="str">
            <v>FMC</v>
          </cell>
          <cell r="F84">
            <v>12</v>
          </cell>
          <cell r="G84">
            <v>60</v>
          </cell>
          <cell r="H84">
            <v>60</v>
          </cell>
          <cell r="J84" t="str">
            <v>HMC</v>
          </cell>
          <cell r="K84">
            <v>148932745.87047654</v>
          </cell>
          <cell r="L84">
            <v>12</v>
          </cell>
          <cell r="M84">
            <v>12</v>
          </cell>
          <cell r="N84">
            <v>12</v>
          </cell>
          <cell r="O84">
            <v>12</v>
          </cell>
          <cell r="P84">
            <v>12</v>
          </cell>
          <cell r="U84">
            <v>149</v>
          </cell>
          <cell r="V84">
            <v>149</v>
          </cell>
          <cell r="W84">
            <v>29.8</v>
          </cell>
          <cell r="X84">
            <v>29.8</v>
          </cell>
          <cell r="Y84">
            <v>29.8</v>
          </cell>
          <cell r="Z84">
            <v>29.8</v>
          </cell>
          <cell r="AA84">
            <v>29.8</v>
          </cell>
          <cell r="AB84">
            <v>29.8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A85" t="str">
            <v>PM011</v>
          </cell>
          <cell r="B85" t="str">
            <v>BERING TRK</v>
          </cell>
          <cell r="C85">
            <v>1999</v>
          </cell>
          <cell r="D85">
            <v>2</v>
          </cell>
          <cell r="E85" t="str">
            <v>FMC</v>
          </cell>
          <cell r="F85">
            <v>11</v>
          </cell>
          <cell r="G85">
            <v>60</v>
          </cell>
          <cell r="H85">
            <v>60</v>
          </cell>
          <cell r="I85" t="str">
            <v>PZ064</v>
          </cell>
          <cell r="J85" t="str">
            <v>HMC</v>
          </cell>
          <cell r="K85">
            <v>8132234681.3409767</v>
          </cell>
          <cell r="L85">
            <v>11</v>
          </cell>
          <cell r="M85">
            <v>12</v>
          </cell>
          <cell r="N85">
            <v>12</v>
          </cell>
          <cell r="O85">
            <v>12</v>
          </cell>
          <cell r="P85">
            <v>12</v>
          </cell>
          <cell r="Q85">
            <v>1</v>
          </cell>
          <cell r="U85">
            <v>8132</v>
          </cell>
          <cell r="V85">
            <v>8131.9999999999991</v>
          </cell>
          <cell r="W85">
            <v>1490.8666666666666</v>
          </cell>
          <cell r="X85">
            <v>1626.4</v>
          </cell>
          <cell r="Y85">
            <v>1626.4</v>
          </cell>
          <cell r="Z85">
            <v>1626.4</v>
          </cell>
          <cell r="AA85">
            <v>1761.9333333333334</v>
          </cell>
          <cell r="AB85">
            <v>1626.4</v>
          </cell>
          <cell r="AC85">
            <v>135.53333333333333</v>
          </cell>
          <cell r="AD85">
            <v>0</v>
          </cell>
          <cell r="AE85">
            <v>0</v>
          </cell>
          <cell r="AF85">
            <v>0</v>
          </cell>
        </row>
        <row r="86">
          <cell r="A86" t="str">
            <v>PF005</v>
          </cell>
          <cell r="B86" t="str">
            <v>LZ 제품개발</v>
          </cell>
          <cell r="C86">
            <v>1999</v>
          </cell>
          <cell r="D86">
            <v>4</v>
          </cell>
          <cell r="E86" t="str">
            <v>FMC</v>
          </cell>
          <cell r="F86">
            <v>9</v>
          </cell>
          <cell r="G86">
            <v>60</v>
          </cell>
          <cell r="H86">
            <v>60</v>
          </cell>
          <cell r="J86" t="str">
            <v>HMC</v>
          </cell>
          <cell r="K86">
            <v>12314279945.127605</v>
          </cell>
          <cell r="L86">
            <v>9</v>
          </cell>
          <cell r="M86">
            <v>12</v>
          </cell>
          <cell r="N86">
            <v>12</v>
          </cell>
          <cell r="O86">
            <v>12</v>
          </cell>
          <cell r="P86">
            <v>12</v>
          </cell>
          <cell r="Q86">
            <v>3</v>
          </cell>
          <cell r="U86">
            <v>12314</v>
          </cell>
          <cell r="V86">
            <v>12314</v>
          </cell>
          <cell r="W86">
            <v>1847.1</v>
          </cell>
          <cell r="X86">
            <v>2462.8000000000002</v>
          </cell>
          <cell r="Y86">
            <v>2462.8000000000002</v>
          </cell>
          <cell r="Z86">
            <v>2462.8000000000002</v>
          </cell>
          <cell r="AA86">
            <v>3078.5</v>
          </cell>
          <cell r="AB86">
            <v>2462.8000000000002</v>
          </cell>
          <cell r="AC86">
            <v>615.70000000000005</v>
          </cell>
          <cell r="AD86">
            <v>0</v>
          </cell>
          <cell r="AE86">
            <v>0</v>
          </cell>
          <cell r="AF86">
            <v>0</v>
          </cell>
        </row>
        <row r="87">
          <cell r="A87" t="str">
            <v>PS006</v>
          </cell>
          <cell r="B87" t="str">
            <v>V-8 엔진개발</v>
          </cell>
          <cell r="C87">
            <v>1999</v>
          </cell>
          <cell r="D87">
            <v>4</v>
          </cell>
          <cell r="E87" t="str">
            <v>FMC</v>
          </cell>
          <cell r="F87">
            <v>9</v>
          </cell>
          <cell r="G87">
            <v>60</v>
          </cell>
          <cell r="H87">
            <v>60</v>
          </cell>
          <cell r="J87" t="str">
            <v>HMC</v>
          </cell>
          <cell r="K87">
            <v>612939267.30390668</v>
          </cell>
          <cell r="L87">
            <v>9</v>
          </cell>
          <cell r="M87">
            <v>12</v>
          </cell>
          <cell r="N87">
            <v>12</v>
          </cell>
          <cell r="O87">
            <v>12</v>
          </cell>
          <cell r="P87">
            <v>12</v>
          </cell>
          <cell r="Q87">
            <v>3</v>
          </cell>
          <cell r="U87">
            <v>613</v>
          </cell>
          <cell r="V87">
            <v>613</v>
          </cell>
          <cell r="W87">
            <v>91.95</v>
          </cell>
          <cell r="X87">
            <v>122.6</v>
          </cell>
          <cell r="Y87">
            <v>122.6</v>
          </cell>
          <cell r="Z87">
            <v>122.6</v>
          </cell>
          <cell r="AA87">
            <v>153.25</v>
          </cell>
          <cell r="AB87">
            <v>122.6</v>
          </cell>
          <cell r="AC87">
            <v>30.65</v>
          </cell>
          <cell r="AD87">
            <v>0</v>
          </cell>
          <cell r="AE87">
            <v>0</v>
          </cell>
          <cell r="AF87">
            <v>0</v>
          </cell>
        </row>
        <row r="88">
          <cell r="A88" t="str">
            <v>PB006</v>
          </cell>
          <cell r="B88" t="str">
            <v>LC</v>
          </cell>
          <cell r="C88">
            <v>1999</v>
          </cell>
          <cell r="D88">
            <v>6</v>
          </cell>
          <cell r="E88" t="str">
            <v>FMC</v>
          </cell>
          <cell r="F88">
            <v>7</v>
          </cell>
          <cell r="G88">
            <v>60</v>
          </cell>
          <cell r="H88">
            <v>60</v>
          </cell>
          <cell r="I88" t="str">
            <v>PZ013</v>
          </cell>
          <cell r="J88" t="str">
            <v>HMC</v>
          </cell>
          <cell r="K88">
            <v>21885535131.64933</v>
          </cell>
          <cell r="L88">
            <v>7</v>
          </cell>
          <cell r="M88">
            <v>12</v>
          </cell>
          <cell r="N88">
            <v>12</v>
          </cell>
          <cell r="O88">
            <v>12</v>
          </cell>
          <cell r="P88">
            <v>12</v>
          </cell>
          <cell r="Q88">
            <v>5</v>
          </cell>
          <cell r="U88">
            <v>21886</v>
          </cell>
          <cell r="V88">
            <v>21886</v>
          </cell>
          <cell r="W88">
            <v>2553.3666666666668</v>
          </cell>
          <cell r="X88">
            <v>4377.2</v>
          </cell>
          <cell r="Y88">
            <v>4377.2</v>
          </cell>
          <cell r="Z88">
            <v>4377.2</v>
          </cell>
          <cell r="AA88">
            <v>6201.0333333333328</v>
          </cell>
          <cell r="AB88">
            <v>4377.2</v>
          </cell>
          <cell r="AC88">
            <v>1823.8333333333333</v>
          </cell>
          <cell r="AD88">
            <v>0</v>
          </cell>
          <cell r="AE88">
            <v>0</v>
          </cell>
          <cell r="AF88">
            <v>0</v>
          </cell>
        </row>
        <row r="89">
          <cell r="A89" t="str">
            <v>PP023</v>
          </cell>
          <cell r="B89" t="str">
            <v>에쿠스 전용 조립라인</v>
          </cell>
          <cell r="C89">
            <v>1999</v>
          </cell>
          <cell r="D89">
            <v>9</v>
          </cell>
          <cell r="E89" t="str">
            <v>FMC</v>
          </cell>
          <cell r="F89">
            <v>4</v>
          </cell>
          <cell r="G89">
            <v>60</v>
          </cell>
          <cell r="H89">
            <v>60</v>
          </cell>
          <cell r="J89" t="str">
            <v>HMC</v>
          </cell>
          <cell r="K89">
            <v>1477757</v>
          </cell>
          <cell r="L89">
            <v>4</v>
          </cell>
          <cell r="M89">
            <v>12</v>
          </cell>
          <cell r="N89">
            <v>12</v>
          </cell>
          <cell r="O89">
            <v>12</v>
          </cell>
          <cell r="P89">
            <v>12</v>
          </cell>
          <cell r="Q89">
            <v>8</v>
          </cell>
          <cell r="U89">
            <v>1</v>
          </cell>
          <cell r="V89">
            <v>1</v>
          </cell>
          <cell r="W89">
            <v>6.6666666666666666E-2</v>
          </cell>
          <cell r="X89">
            <v>0.2</v>
          </cell>
          <cell r="Y89">
            <v>0.2</v>
          </cell>
          <cell r="Z89">
            <v>0.2</v>
          </cell>
          <cell r="AA89">
            <v>0.33333333333333337</v>
          </cell>
          <cell r="AB89">
            <v>0.2</v>
          </cell>
          <cell r="AC89">
            <v>0.13333333333333333</v>
          </cell>
          <cell r="AD89">
            <v>0</v>
          </cell>
          <cell r="AE89">
            <v>0</v>
          </cell>
          <cell r="AF89">
            <v>0</v>
          </cell>
        </row>
        <row r="90">
          <cell r="A90" t="str">
            <v>PG001</v>
          </cell>
          <cell r="B90" t="str">
            <v>FO</v>
          </cell>
          <cell r="C90">
            <v>1999</v>
          </cell>
          <cell r="D90">
            <v>10</v>
          </cell>
          <cell r="E90" t="str">
            <v>FMC</v>
          </cell>
          <cell r="F90">
            <v>3</v>
          </cell>
          <cell r="G90">
            <v>60</v>
          </cell>
          <cell r="H90">
            <v>60</v>
          </cell>
          <cell r="I90" t="str">
            <v>PZ016</v>
          </cell>
          <cell r="J90" t="str">
            <v>HMC</v>
          </cell>
          <cell r="K90">
            <v>23243045807.27026</v>
          </cell>
          <cell r="L90">
            <v>3</v>
          </cell>
          <cell r="M90">
            <v>12</v>
          </cell>
          <cell r="N90">
            <v>12</v>
          </cell>
          <cell r="O90">
            <v>12</v>
          </cell>
          <cell r="P90">
            <v>12</v>
          </cell>
          <cell r="Q90">
            <v>9</v>
          </cell>
          <cell r="U90">
            <v>23243</v>
          </cell>
          <cell r="V90">
            <v>23243</v>
          </cell>
          <cell r="W90">
            <v>1162.1500000000001</v>
          </cell>
          <cell r="X90">
            <v>4648.6000000000004</v>
          </cell>
          <cell r="Y90">
            <v>4648.6000000000004</v>
          </cell>
          <cell r="Z90">
            <v>4648.6000000000004</v>
          </cell>
          <cell r="AA90">
            <v>8135.05</v>
          </cell>
          <cell r="AB90">
            <v>4648.6000000000004</v>
          </cell>
          <cell r="AC90">
            <v>3486.45</v>
          </cell>
          <cell r="AD90">
            <v>0</v>
          </cell>
          <cell r="AE90">
            <v>0</v>
          </cell>
          <cell r="AF90">
            <v>0</v>
          </cell>
        </row>
        <row r="91">
          <cell r="A91" t="str">
            <v>PU017</v>
          </cell>
          <cell r="B91" t="str">
            <v>CUMMINS ENG　　　　　　</v>
          </cell>
          <cell r="C91">
            <v>1999</v>
          </cell>
          <cell r="D91">
            <v>12</v>
          </cell>
          <cell r="E91" t="str">
            <v>FMC</v>
          </cell>
          <cell r="F91">
            <v>1</v>
          </cell>
          <cell r="G91">
            <v>60</v>
          </cell>
          <cell r="H91">
            <v>60</v>
          </cell>
          <cell r="J91" t="str">
            <v>HMC</v>
          </cell>
          <cell r="K91">
            <v>472579364.40551323</v>
          </cell>
          <cell r="L91">
            <v>1</v>
          </cell>
          <cell r="M91">
            <v>12</v>
          </cell>
          <cell r="N91">
            <v>12</v>
          </cell>
          <cell r="O91">
            <v>12</v>
          </cell>
          <cell r="P91">
            <v>12</v>
          </cell>
          <cell r="Q91">
            <v>11</v>
          </cell>
          <cell r="U91">
            <v>473</v>
          </cell>
          <cell r="V91">
            <v>472.99999999999994</v>
          </cell>
          <cell r="W91">
            <v>7.8833333333333337</v>
          </cell>
          <cell r="X91">
            <v>94.6</v>
          </cell>
          <cell r="Y91">
            <v>94.6</v>
          </cell>
          <cell r="Z91">
            <v>94.6</v>
          </cell>
          <cell r="AA91">
            <v>181.31666666666666</v>
          </cell>
          <cell r="AB91">
            <v>94.6</v>
          </cell>
          <cell r="AC91">
            <v>86.716666666666669</v>
          </cell>
          <cell r="AD91">
            <v>0</v>
          </cell>
          <cell r="AE91">
            <v>0</v>
          </cell>
          <cell r="AF91">
            <v>0</v>
          </cell>
        </row>
        <row r="92">
          <cell r="A92" t="str">
            <v>PJ001</v>
          </cell>
          <cell r="B92" t="str">
            <v>전기자동차 개발</v>
          </cell>
          <cell r="C92">
            <v>2000</v>
          </cell>
          <cell r="D92">
            <v>1</v>
          </cell>
          <cell r="E92" t="str">
            <v>FMC</v>
          </cell>
          <cell r="F92">
            <v>12</v>
          </cell>
          <cell r="G92">
            <v>48</v>
          </cell>
          <cell r="H92">
            <v>60</v>
          </cell>
          <cell r="I92" t="str">
            <v>PZ092</v>
          </cell>
          <cell r="J92" t="str">
            <v>HMC</v>
          </cell>
          <cell r="K92">
            <v>559438733.88251925</v>
          </cell>
          <cell r="M92">
            <v>12</v>
          </cell>
          <cell r="N92">
            <v>12</v>
          </cell>
          <cell r="O92">
            <v>12</v>
          </cell>
          <cell r="P92">
            <v>12</v>
          </cell>
          <cell r="Q92">
            <v>12</v>
          </cell>
          <cell r="U92">
            <v>559</v>
          </cell>
          <cell r="V92">
            <v>559</v>
          </cell>
          <cell r="W92">
            <v>0</v>
          </cell>
          <cell r="X92">
            <v>111.8</v>
          </cell>
          <cell r="Y92">
            <v>111.8</v>
          </cell>
          <cell r="Z92">
            <v>111.8</v>
          </cell>
          <cell r="AA92">
            <v>223.6</v>
          </cell>
          <cell r="AB92">
            <v>111.8</v>
          </cell>
          <cell r="AC92">
            <v>111.8</v>
          </cell>
          <cell r="AD92">
            <v>0</v>
          </cell>
          <cell r="AE92">
            <v>0</v>
          </cell>
          <cell r="AF92">
            <v>0</v>
          </cell>
        </row>
        <row r="93">
          <cell r="A93" t="str">
            <v>PH001</v>
          </cell>
          <cell r="B93" t="str">
            <v>SM</v>
          </cell>
          <cell r="C93">
            <v>2000</v>
          </cell>
          <cell r="D93">
            <v>2</v>
          </cell>
          <cell r="E93" t="str">
            <v>FMC</v>
          </cell>
          <cell r="F93">
            <v>11</v>
          </cell>
          <cell r="G93">
            <v>60</v>
          </cell>
          <cell r="H93">
            <v>60</v>
          </cell>
          <cell r="J93" t="str">
            <v>HMC</v>
          </cell>
          <cell r="K93">
            <v>32477430546.545082</v>
          </cell>
          <cell r="M93">
            <v>11</v>
          </cell>
          <cell r="N93">
            <v>12</v>
          </cell>
          <cell r="O93">
            <v>12</v>
          </cell>
          <cell r="P93">
            <v>12</v>
          </cell>
          <cell r="Q93">
            <v>12</v>
          </cell>
          <cell r="R93">
            <v>1</v>
          </cell>
          <cell r="U93">
            <v>32477</v>
          </cell>
          <cell r="V93">
            <v>32476.999999999996</v>
          </cell>
          <cell r="W93">
            <v>0</v>
          </cell>
          <cell r="X93">
            <v>5954.1166666666668</v>
          </cell>
          <cell r="Y93">
            <v>6495.4</v>
          </cell>
          <cell r="Z93">
            <v>6495.4</v>
          </cell>
          <cell r="AA93">
            <v>13532.083333333332</v>
          </cell>
          <cell r="AB93">
            <v>6495.4</v>
          </cell>
          <cell r="AC93">
            <v>6495.4</v>
          </cell>
          <cell r="AD93">
            <v>541.2833333333333</v>
          </cell>
          <cell r="AE93">
            <v>0</v>
          </cell>
          <cell r="AF93">
            <v>0</v>
          </cell>
        </row>
        <row r="94">
          <cell r="A94" t="str">
            <v>PC007</v>
          </cell>
          <cell r="B94" t="str">
            <v>XD　　　　　</v>
          </cell>
          <cell r="C94">
            <v>2000</v>
          </cell>
          <cell r="D94">
            <v>3</v>
          </cell>
          <cell r="E94" t="str">
            <v>FMC</v>
          </cell>
          <cell r="F94">
            <v>10</v>
          </cell>
          <cell r="G94">
            <v>60</v>
          </cell>
          <cell r="H94">
            <v>60</v>
          </cell>
          <cell r="J94" t="str">
            <v>HMC</v>
          </cell>
          <cell r="K94">
            <v>38022955348.882118</v>
          </cell>
          <cell r="M94">
            <v>10</v>
          </cell>
          <cell r="N94">
            <v>12</v>
          </cell>
          <cell r="O94">
            <v>12</v>
          </cell>
          <cell r="P94">
            <v>12</v>
          </cell>
          <cell r="Q94">
            <v>12</v>
          </cell>
          <cell r="R94">
            <v>2</v>
          </cell>
          <cell r="U94">
            <v>38023</v>
          </cell>
          <cell r="V94">
            <v>38023</v>
          </cell>
          <cell r="W94">
            <v>0</v>
          </cell>
          <cell r="X94">
            <v>6337.166666666667</v>
          </cell>
          <cell r="Y94">
            <v>7604.6</v>
          </cell>
          <cell r="Z94">
            <v>7604.6</v>
          </cell>
          <cell r="AA94">
            <v>16476.633333333335</v>
          </cell>
          <cell r="AB94">
            <v>7604.6</v>
          </cell>
          <cell r="AC94">
            <v>7604.6</v>
          </cell>
          <cell r="AD94">
            <v>1267.4333333333334</v>
          </cell>
          <cell r="AE94">
            <v>0</v>
          </cell>
          <cell r="AF94">
            <v>0</v>
          </cell>
        </row>
        <row r="95">
          <cell r="A95" t="str">
            <v>PK021</v>
          </cell>
          <cell r="B95" t="str">
            <v>SR</v>
          </cell>
          <cell r="C95">
            <v>2000</v>
          </cell>
          <cell r="D95">
            <v>3</v>
          </cell>
          <cell r="E95" t="str">
            <v>FMC</v>
          </cell>
          <cell r="F95">
            <v>10</v>
          </cell>
          <cell r="G95">
            <v>60</v>
          </cell>
          <cell r="H95">
            <v>60</v>
          </cell>
          <cell r="J95" t="str">
            <v>HMC</v>
          </cell>
          <cell r="K95">
            <v>8510479120.7989731</v>
          </cell>
          <cell r="M95">
            <v>10</v>
          </cell>
          <cell r="N95">
            <v>12</v>
          </cell>
          <cell r="O95">
            <v>12</v>
          </cell>
          <cell r="P95">
            <v>12</v>
          </cell>
          <cell r="Q95">
            <v>12</v>
          </cell>
          <cell r="R95">
            <v>2</v>
          </cell>
          <cell r="U95">
            <v>8510</v>
          </cell>
          <cell r="V95">
            <v>8510</v>
          </cell>
          <cell r="W95">
            <v>0</v>
          </cell>
          <cell r="X95">
            <v>1418.3333333333333</v>
          </cell>
          <cell r="Y95">
            <v>1702</v>
          </cell>
          <cell r="Z95">
            <v>1702</v>
          </cell>
          <cell r="AA95">
            <v>3687.6666666666665</v>
          </cell>
          <cell r="AB95">
            <v>1702</v>
          </cell>
          <cell r="AC95">
            <v>1702</v>
          </cell>
          <cell r="AD95">
            <v>283.66666666666669</v>
          </cell>
          <cell r="AE95">
            <v>0</v>
          </cell>
          <cell r="AF95">
            <v>0</v>
          </cell>
        </row>
        <row r="96">
          <cell r="A96" t="str">
            <v>PS016</v>
          </cell>
          <cell r="B96" t="str">
            <v>α-1.6 DOHC ENG</v>
          </cell>
          <cell r="C96">
            <v>2000</v>
          </cell>
          <cell r="D96">
            <v>5</v>
          </cell>
          <cell r="E96" t="str">
            <v>FMC</v>
          </cell>
          <cell r="F96">
            <v>8</v>
          </cell>
          <cell r="G96">
            <v>60</v>
          </cell>
          <cell r="H96">
            <v>60</v>
          </cell>
          <cell r="I96" t="str">
            <v>PZ049</v>
          </cell>
          <cell r="J96" t="str">
            <v>HMC</v>
          </cell>
          <cell r="K96">
            <v>1301075416.5073712</v>
          </cell>
          <cell r="M96">
            <v>8</v>
          </cell>
          <cell r="N96">
            <v>12</v>
          </cell>
          <cell r="O96">
            <v>12</v>
          </cell>
          <cell r="P96">
            <v>12</v>
          </cell>
          <cell r="Q96">
            <v>12</v>
          </cell>
          <cell r="R96">
            <v>4</v>
          </cell>
          <cell r="U96">
            <v>1301</v>
          </cell>
          <cell r="V96">
            <v>1301</v>
          </cell>
          <cell r="W96">
            <v>0</v>
          </cell>
          <cell r="X96">
            <v>173.46666666666667</v>
          </cell>
          <cell r="Y96">
            <v>260.2</v>
          </cell>
          <cell r="Z96">
            <v>260.2</v>
          </cell>
          <cell r="AA96">
            <v>607.13333333333333</v>
          </cell>
          <cell r="AB96">
            <v>260.2</v>
          </cell>
          <cell r="AC96">
            <v>260.2</v>
          </cell>
          <cell r="AD96">
            <v>86.733333333333334</v>
          </cell>
          <cell r="AE96">
            <v>0</v>
          </cell>
          <cell r="AF96">
            <v>0</v>
          </cell>
        </row>
        <row r="97">
          <cell r="A97" t="str">
            <v>PW001</v>
          </cell>
          <cell r="B97" t="str">
            <v>현대정공 HP</v>
          </cell>
          <cell r="C97">
            <v>2000</v>
          </cell>
          <cell r="D97">
            <v>5</v>
          </cell>
          <cell r="E97" t="str">
            <v>FMC</v>
          </cell>
          <cell r="F97">
            <v>8</v>
          </cell>
          <cell r="G97">
            <v>60</v>
          </cell>
          <cell r="H97">
            <v>60</v>
          </cell>
          <cell r="J97" t="str">
            <v>HMC</v>
          </cell>
          <cell r="K97">
            <v>10762827593.828354</v>
          </cell>
          <cell r="M97">
            <v>8</v>
          </cell>
          <cell r="N97">
            <v>12</v>
          </cell>
          <cell r="O97">
            <v>12</v>
          </cell>
          <cell r="P97">
            <v>12</v>
          </cell>
          <cell r="Q97">
            <v>12</v>
          </cell>
          <cell r="R97">
            <v>4</v>
          </cell>
          <cell r="U97">
            <v>10763</v>
          </cell>
          <cell r="V97">
            <v>10763</v>
          </cell>
          <cell r="W97">
            <v>0</v>
          </cell>
          <cell r="X97">
            <v>1435.0666666666666</v>
          </cell>
          <cell r="Y97">
            <v>2152.6</v>
          </cell>
          <cell r="Z97">
            <v>2152.6</v>
          </cell>
          <cell r="AA97">
            <v>5022.7333333333336</v>
          </cell>
          <cell r="AB97">
            <v>2152.6</v>
          </cell>
          <cell r="AC97">
            <v>2152.6</v>
          </cell>
          <cell r="AD97">
            <v>717.5333333333333</v>
          </cell>
          <cell r="AE97">
            <v>0</v>
          </cell>
          <cell r="AF97">
            <v>0</v>
          </cell>
        </row>
        <row r="98">
          <cell r="A98" t="str">
            <v>PL011</v>
          </cell>
          <cell r="B98" t="str">
            <v>4TON TRK 개발</v>
          </cell>
          <cell r="C98">
            <v>2000</v>
          </cell>
          <cell r="D98">
            <v>7</v>
          </cell>
          <cell r="E98" t="str">
            <v>FMC</v>
          </cell>
          <cell r="F98">
            <v>6</v>
          </cell>
          <cell r="G98">
            <v>60</v>
          </cell>
          <cell r="H98">
            <v>60</v>
          </cell>
          <cell r="I98" t="str">
            <v>PZ081</v>
          </cell>
          <cell r="J98" t="str">
            <v>HMC</v>
          </cell>
          <cell r="K98">
            <v>366883816.14893579</v>
          </cell>
          <cell r="M98">
            <v>6</v>
          </cell>
          <cell r="N98">
            <v>12</v>
          </cell>
          <cell r="O98">
            <v>12</v>
          </cell>
          <cell r="P98">
            <v>12</v>
          </cell>
          <cell r="Q98">
            <v>12</v>
          </cell>
          <cell r="R98">
            <v>6</v>
          </cell>
          <cell r="U98">
            <v>367</v>
          </cell>
          <cell r="V98">
            <v>367</v>
          </cell>
          <cell r="W98">
            <v>0</v>
          </cell>
          <cell r="X98">
            <v>36.700000000000003</v>
          </cell>
          <cell r="Y98">
            <v>73.400000000000006</v>
          </cell>
          <cell r="Z98">
            <v>73.400000000000006</v>
          </cell>
          <cell r="AA98">
            <v>183.5</v>
          </cell>
          <cell r="AB98">
            <v>73.400000000000006</v>
          </cell>
          <cell r="AC98">
            <v>73.400000000000006</v>
          </cell>
          <cell r="AD98">
            <v>36.700000000000003</v>
          </cell>
          <cell r="AE98">
            <v>0</v>
          </cell>
          <cell r="AF98">
            <v>0</v>
          </cell>
        </row>
        <row r="99">
          <cell r="A99" t="str">
            <v>PS017</v>
          </cell>
          <cell r="B99" t="str">
            <v>D-ENG 개발</v>
          </cell>
          <cell r="C99">
            <v>2000</v>
          </cell>
          <cell r="D99">
            <v>7</v>
          </cell>
          <cell r="E99" t="str">
            <v>FMC</v>
          </cell>
          <cell r="F99">
            <v>6</v>
          </cell>
          <cell r="G99">
            <v>60</v>
          </cell>
          <cell r="H99">
            <v>60</v>
          </cell>
          <cell r="I99" t="str">
            <v>PZ033</v>
          </cell>
          <cell r="J99" t="str">
            <v>HMC</v>
          </cell>
          <cell r="K99">
            <v>14419648193.362118</v>
          </cell>
          <cell r="M99">
            <v>6</v>
          </cell>
          <cell r="N99">
            <v>12</v>
          </cell>
          <cell r="O99">
            <v>12</v>
          </cell>
          <cell r="P99">
            <v>12</v>
          </cell>
          <cell r="Q99">
            <v>12</v>
          </cell>
          <cell r="R99">
            <v>6</v>
          </cell>
          <cell r="U99">
            <v>14420</v>
          </cell>
          <cell r="V99">
            <v>14420</v>
          </cell>
          <cell r="W99">
            <v>0</v>
          </cell>
          <cell r="X99">
            <v>1442</v>
          </cell>
          <cell r="Y99">
            <v>2884</v>
          </cell>
          <cell r="Z99">
            <v>2884</v>
          </cell>
          <cell r="AA99">
            <v>7210</v>
          </cell>
          <cell r="AB99">
            <v>2884</v>
          </cell>
          <cell r="AC99">
            <v>2884</v>
          </cell>
          <cell r="AD99">
            <v>1442</v>
          </cell>
          <cell r="AE99">
            <v>0</v>
          </cell>
          <cell r="AF99">
            <v>0</v>
          </cell>
        </row>
        <row r="100">
          <cell r="A100" t="str">
            <v>PM016</v>
          </cell>
          <cell r="B100" t="str">
            <v>유럽형ＴＲＫ개발(G.V.Ｗ 6.7T）　　　　　　　　</v>
          </cell>
          <cell r="C100">
            <v>2000</v>
          </cell>
          <cell r="D100">
            <v>10</v>
          </cell>
          <cell r="E100" t="str">
            <v>FMC</v>
          </cell>
          <cell r="F100">
            <v>3</v>
          </cell>
          <cell r="G100">
            <v>60</v>
          </cell>
          <cell r="H100">
            <v>60</v>
          </cell>
          <cell r="J100" t="str">
            <v>HMC</v>
          </cell>
          <cell r="K100">
            <v>23117340.255963311</v>
          </cell>
          <cell r="M100">
            <v>3</v>
          </cell>
          <cell r="N100">
            <v>12</v>
          </cell>
          <cell r="O100">
            <v>12</v>
          </cell>
          <cell r="P100">
            <v>12</v>
          </cell>
          <cell r="Q100">
            <v>12</v>
          </cell>
          <cell r="R100">
            <v>9</v>
          </cell>
          <cell r="U100">
            <v>23</v>
          </cell>
          <cell r="V100">
            <v>23</v>
          </cell>
          <cell r="W100">
            <v>0</v>
          </cell>
          <cell r="X100">
            <v>1.1499999999999999</v>
          </cell>
          <cell r="Y100">
            <v>4.5999999999999996</v>
          </cell>
          <cell r="Z100">
            <v>4.5999999999999996</v>
          </cell>
          <cell r="AA100">
            <v>12.649999999999999</v>
          </cell>
          <cell r="AB100">
            <v>4.5999999999999996</v>
          </cell>
          <cell r="AC100">
            <v>4.5999999999999996</v>
          </cell>
          <cell r="AD100">
            <v>3.45</v>
          </cell>
          <cell r="AE100">
            <v>0</v>
          </cell>
          <cell r="AF100">
            <v>0</v>
          </cell>
        </row>
        <row r="101">
          <cell r="A101" t="str">
            <v>PX003</v>
          </cell>
          <cell r="B101" t="str">
            <v>KK (기아 ENG)</v>
          </cell>
          <cell r="C101">
            <v>2000</v>
          </cell>
          <cell r="D101">
            <v>10</v>
          </cell>
          <cell r="E101" t="str">
            <v>FMC</v>
          </cell>
          <cell r="F101">
            <v>3</v>
          </cell>
          <cell r="G101">
            <v>60</v>
          </cell>
          <cell r="H101">
            <v>60</v>
          </cell>
          <cell r="J101" t="str">
            <v>HMC&amp;KMC</v>
          </cell>
          <cell r="K101">
            <v>3637703504.4290142</v>
          </cell>
          <cell r="M101">
            <v>3</v>
          </cell>
          <cell r="N101">
            <v>12</v>
          </cell>
          <cell r="O101">
            <v>12</v>
          </cell>
          <cell r="P101">
            <v>12</v>
          </cell>
          <cell r="Q101">
            <v>12</v>
          </cell>
          <cell r="R101">
            <v>9</v>
          </cell>
          <cell r="U101">
            <v>3638</v>
          </cell>
          <cell r="V101">
            <v>3638</v>
          </cell>
          <cell r="W101">
            <v>0</v>
          </cell>
          <cell r="X101">
            <v>181.9</v>
          </cell>
          <cell r="Y101">
            <v>727.6</v>
          </cell>
          <cell r="Z101">
            <v>727.6</v>
          </cell>
          <cell r="AA101">
            <v>2000.9</v>
          </cell>
          <cell r="AB101">
            <v>727.6</v>
          </cell>
          <cell r="AC101">
            <v>727.6</v>
          </cell>
          <cell r="AD101">
            <v>545.70000000000005</v>
          </cell>
          <cell r="AE101">
            <v>0</v>
          </cell>
          <cell r="AF101">
            <v>0</v>
          </cell>
        </row>
        <row r="102">
          <cell r="A102" t="str">
            <v>PI001</v>
          </cell>
          <cell r="B102" t="str">
            <v>FC 제품개발</v>
          </cell>
          <cell r="C102">
            <v>2000</v>
          </cell>
          <cell r="D102">
            <v>12</v>
          </cell>
          <cell r="E102" t="str">
            <v>FMC</v>
          </cell>
          <cell r="F102">
            <v>1</v>
          </cell>
          <cell r="G102">
            <v>60</v>
          </cell>
          <cell r="H102">
            <v>60</v>
          </cell>
          <cell r="I102" t="str">
            <v>PZ020</v>
          </cell>
          <cell r="J102" t="str">
            <v>HMC</v>
          </cell>
          <cell r="K102">
            <v>19075747256.850796</v>
          </cell>
          <cell r="M102">
            <v>1</v>
          </cell>
          <cell r="N102">
            <v>12</v>
          </cell>
          <cell r="O102">
            <v>12</v>
          </cell>
          <cell r="P102">
            <v>12</v>
          </cell>
          <cell r="Q102">
            <v>12</v>
          </cell>
          <cell r="R102">
            <v>11</v>
          </cell>
          <cell r="U102">
            <v>19076</v>
          </cell>
          <cell r="V102">
            <v>19076</v>
          </cell>
          <cell r="W102">
            <v>0</v>
          </cell>
          <cell r="X102">
            <v>317.93333333333334</v>
          </cell>
          <cell r="Y102">
            <v>3815.2</v>
          </cell>
          <cell r="Z102">
            <v>3815.2</v>
          </cell>
          <cell r="AA102">
            <v>11127.666666666666</v>
          </cell>
          <cell r="AB102">
            <v>3815.2</v>
          </cell>
          <cell r="AC102">
            <v>3815.2</v>
          </cell>
          <cell r="AD102">
            <v>3497.2666666666669</v>
          </cell>
          <cell r="AE102">
            <v>0</v>
          </cell>
          <cell r="AF102">
            <v>0</v>
          </cell>
        </row>
        <row r="103">
          <cell r="A103" t="str">
            <v>PA010</v>
          </cell>
          <cell r="B103" t="str">
            <v>MX 밀레니엄 모델　　　　　　　　　　　　　　　　　　　　</v>
          </cell>
          <cell r="C103">
            <v>2001</v>
          </cell>
          <cell r="D103">
            <v>2</v>
          </cell>
          <cell r="E103" t="str">
            <v>FMC</v>
          </cell>
          <cell r="F103">
            <v>11</v>
          </cell>
          <cell r="G103">
            <v>60</v>
          </cell>
          <cell r="H103">
            <v>60</v>
          </cell>
          <cell r="J103" t="str">
            <v>HMC</v>
          </cell>
          <cell r="K103">
            <v>1373734.6683854489</v>
          </cell>
          <cell r="N103">
            <v>11</v>
          </cell>
          <cell r="O103">
            <v>12</v>
          </cell>
          <cell r="P103">
            <v>12</v>
          </cell>
          <cell r="Q103">
            <v>12</v>
          </cell>
          <cell r="R103">
            <v>12</v>
          </cell>
          <cell r="S103">
            <v>1</v>
          </cell>
          <cell r="U103">
            <v>1</v>
          </cell>
          <cell r="V103">
            <v>1</v>
          </cell>
          <cell r="W103">
            <v>0</v>
          </cell>
          <cell r="X103">
            <v>0</v>
          </cell>
          <cell r="Y103">
            <v>0.18333333333333332</v>
          </cell>
          <cell r="Z103">
            <v>0.2</v>
          </cell>
          <cell r="AA103">
            <v>0.61666666666666681</v>
          </cell>
          <cell r="AB103">
            <v>0.2</v>
          </cell>
          <cell r="AC103">
            <v>0.2</v>
          </cell>
          <cell r="AD103">
            <v>0.2</v>
          </cell>
          <cell r="AE103">
            <v>1.6666666666666666E-2</v>
          </cell>
          <cell r="AF103">
            <v>0</v>
          </cell>
        </row>
        <row r="104">
          <cell r="A104" t="str">
            <v>PA009</v>
          </cell>
          <cell r="B104" t="str">
            <v>LITER CAR 개발　　　　　　　　　　　　　　　　　　</v>
          </cell>
          <cell r="C104">
            <v>2001</v>
          </cell>
          <cell r="D104">
            <v>5</v>
          </cell>
          <cell r="E104" t="str">
            <v>FMC</v>
          </cell>
          <cell r="F104">
            <v>8</v>
          </cell>
          <cell r="G104">
            <v>60</v>
          </cell>
          <cell r="H104">
            <v>60</v>
          </cell>
          <cell r="J104" t="str">
            <v>HMC</v>
          </cell>
          <cell r="K104">
            <v>2661610.9199968083</v>
          </cell>
          <cell r="N104">
            <v>8</v>
          </cell>
          <cell r="O104">
            <v>12</v>
          </cell>
          <cell r="P104">
            <v>12</v>
          </cell>
          <cell r="Q104">
            <v>12</v>
          </cell>
          <cell r="R104">
            <v>12</v>
          </cell>
          <cell r="S104">
            <v>4</v>
          </cell>
          <cell r="U104">
            <v>3</v>
          </cell>
          <cell r="V104">
            <v>3</v>
          </cell>
          <cell r="W104">
            <v>0</v>
          </cell>
          <cell r="X104">
            <v>0</v>
          </cell>
          <cell r="Y104">
            <v>0.4</v>
          </cell>
          <cell r="Z104">
            <v>0.6</v>
          </cell>
          <cell r="AA104">
            <v>1.9999999999999998</v>
          </cell>
          <cell r="AB104">
            <v>0.6</v>
          </cell>
          <cell r="AC104">
            <v>0.6</v>
          </cell>
          <cell r="AD104">
            <v>0.6</v>
          </cell>
          <cell r="AE104">
            <v>0.2</v>
          </cell>
          <cell r="AF104">
            <v>0</v>
          </cell>
        </row>
        <row r="105">
          <cell r="A105" t="str">
            <v>PC009</v>
          </cell>
          <cell r="B105" t="str">
            <v>GK 제품개발　</v>
          </cell>
          <cell r="C105">
            <v>2001</v>
          </cell>
          <cell r="D105">
            <v>6</v>
          </cell>
          <cell r="E105" t="str">
            <v>FMC</v>
          </cell>
          <cell r="F105">
            <v>7</v>
          </cell>
          <cell r="G105">
            <v>60</v>
          </cell>
          <cell r="H105">
            <v>60</v>
          </cell>
          <cell r="I105" t="str">
            <v>PZ014</v>
          </cell>
          <cell r="J105" t="str">
            <v>HMC</v>
          </cell>
          <cell r="K105">
            <v>11098321978.489378</v>
          </cell>
          <cell r="N105">
            <v>7</v>
          </cell>
          <cell r="O105">
            <v>12</v>
          </cell>
          <cell r="P105">
            <v>12</v>
          </cell>
          <cell r="Q105">
            <v>12</v>
          </cell>
          <cell r="R105">
            <v>12</v>
          </cell>
          <cell r="S105">
            <v>5</v>
          </cell>
          <cell r="U105">
            <v>11098</v>
          </cell>
          <cell r="V105">
            <v>11098</v>
          </cell>
          <cell r="W105">
            <v>0</v>
          </cell>
          <cell r="X105">
            <v>0</v>
          </cell>
          <cell r="Y105">
            <v>1294.7666666666667</v>
          </cell>
          <cell r="Z105">
            <v>2219.6</v>
          </cell>
          <cell r="AA105">
            <v>7583.6333333333323</v>
          </cell>
          <cell r="AB105">
            <v>2219.6</v>
          </cell>
          <cell r="AC105">
            <v>2219.6</v>
          </cell>
          <cell r="AD105">
            <v>2219.6</v>
          </cell>
          <cell r="AE105">
            <v>924.83333333333337</v>
          </cell>
          <cell r="AF105">
            <v>0</v>
          </cell>
        </row>
        <row r="106">
          <cell r="A106" t="str">
            <v>PM014</v>
          </cell>
          <cell r="B106" t="str">
            <v>7TON TRK 개발</v>
          </cell>
          <cell r="C106">
            <v>2001</v>
          </cell>
          <cell r="D106">
            <v>6</v>
          </cell>
          <cell r="E106" t="str">
            <v>FMC</v>
          </cell>
          <cell r="F106">
            <v>7</v>
          </cell>
          <cell r="G106">
            <v>60</v>
          </cell>
          <cell r="H106">
            <v>60</v>
          </cell>
          <cell r="I106" t="str">
            <v>PZ080</v>
          </cell>
          <cell r="J106" t="str">
            <v>HMC</v>
          </cell>
          <cell r="K106">
            <v>96512423.840742946</v>
          </cell>
          <cell r="N106">
            <v>7</v>
          </cell>
          <cell r="O106">
            <v>12</v>
          </cell>
          <cell r="P106">
            <v>12</v>
          </cell>
          <cell r="Q106">
            <v>12</v>
          </cell>
          <cell r="R106">
            <v>12</v>
          </cell>
          <cell r="S106">
            <v>5</v>
          </cell>
          <cell r="U106">
            <v>97</v>
          </cell>
          <cell r="V106">
            <v>97</v>
          </cell>
          <cell r="W106">
            <v>0</v>
          </cell>
          <cell r="X106">
            <v>0</v>
          </cell>
          <cell r="Y106">
            <v>11.316666666666666</v>
          </cell>
          <cell r="Z106">
            <v>19.399999999999999</v>
          </cell>
          <cell r="AA106">
            <v>66.283333333333331</v>
          </cell>
          <cell r="AB106">
            <v>19.399999999999999</v>
          </cell>
          <cell r="AC106">
            <v>19.399999999999999</v>
          </cell>
          <cell r="AD106">
            <v>19.399999999999999</v>
          </cell>
          <cell r="AE106">
            <v>8.0833333333333339</v>
          </cell>
          <cell r="AF106">
            <v>0</v>
          </cell>
        </row>
        <row r="107">
          <cell r="A107" t="str">
            <v>PT004</v>
          </cell>
          <cell r="B107" t="str">
            <v>M5SR1 개발</v>
          </cell>
          <cell r="C107">
            <v>2001</v>
          </cell>
          <cell r="D107">
            <v>7</v>
          </cell>
          <cell r="E107" t="str">
            <v>FMC</v>
          </cell>
          <cell r="F107">
            <v>6</v>
          </cell>
          <cell r="G107">
            <v>60</v>
          </cell>
          <cell r="H107">
            <v>60</v>
          </cell>
          <cell r="I107" t="str">
            <v>PZ026</v>
          </cell>
          <cell r="J107" t="str">
            <v>HMC</v>
          </cell>
          <cell r="K107">
            <v>1372285173.7176354</v>
          </cell>
          <cell r="N107">
            <v>6</v>
          </cell>
          <cell r="O107">
            <v>12</v>
          </cell>
          <cell r="P107">
            <v>12</v>
          </cell>
          <cell r="Q107">
            <v>12</v>
          </cell>
          <cell r="R107">
            <v>12</v>
          </cell>
          <cell r="S107">
            <v>6</v>
          </cell>
          <cell r="U107">
            <v>1372</v>
          </cell>
          <cell r="V107">
            <v>1371.9999999999998</v>
          </cell>
          <cell r="W107">
            <v>0</v>
          </cell>
          <cell r="X107">
            <v>0</v>
          </cell>
          <cell r="Y107">
            <v>137.19999999999999</v>
          </cell>
          <cell r="Z107">
            <v>274.39999999999998</v>
          </cell>
          <cell r="AA107">
            <v>960.39999999999986</v>
          </cell>
          <cell r="AB107">
            <v>274.39999999999998</v>
          </cell>
          <cell r="AC107">
            <v>274.39999999999998</v>
          </cell>
          <cell r="AD107">
            <v>274.39999999999998</v>
          </cell>
          <cell r="AE107">
            <v>137.19999999999999</v>
          </cell>
          <cell r="AF107">
            <v>0</v>
          </cell>
        </row>
        <row r="108">
          <cell r="A108" t="str">
            <v>PS034</v>
          </cell>
          <cell r="B108" t="str">
            <v>SIRIUS-Ⅱ FR화</v>
          </cell>
          <cell r="C108">
            <v>2001</v>
          </cell>
          <cell r="D108">
            <v>7</v>
          </cell>
          <cell r="E108" t="str">
            <v>FMC</v>
          </cell>
          <cell r="F108">
            <v>6</v>
          </cell>
          <cell r="G108">
            <v>60</v>
          </cell>
          <cell r="H108">
            <v>60</v>
          </cell>
          <cell r="J108" t="str">
            <v>HMC&amp;KMC</v>
          </cell>
          <cell r="K108">
            <v>104068845.68000001</v>
          </cell>
          <cell r="N108">
            <v>6</v>
          </cell>
          <cell r="O108">
            <v>12</v>
          </cell>
          <cell r="P108">
            <v>12</v>
          </cell>
          <cell r="Q108">
            <v>12</v>
          </cell>
          <cell r="R108">
            <v>12</v>
          </cell>
          <cell r="S108">
            <v>6</v>
          </cell>
          <cell r="U108">
            <v>104</v>
          </cell>
          <cell r="V108">
            <v>104.00000000000001</v>
          </cell>
          <cell r="W108">
            <v>0</v>
          </cell>
          <cell r="X108">
            <v>0</v>
          </cell>
          <cell r="Y108">
            <v>10.4</v>
          </cell>
          <cell r="Z108">
            <v>20.8</v>
          </cell>
          <cell r="AA108">
            <v>72.800000000000011</v>
          </cell>
          <cell r="AB108">
            <v>20.8</v>
          </cell>
          <cell r="AC108">
            <v>20.8</v>
          </cell>
          <cell r="AD108">
            <v>20.8</v>
          </cell>
          <cell r="AE108">
            <v>10.4</v>
          </cell>
          <cell r="AF108">
            <v>0</v>
          </cell>
        </row>
        <row r="109">
          <cell r="A109" t="str">
            <v>PT003</v>
          </cell>
          <cell r="B109" t="str">
            <v>A-ENG 개발</v>
          </cell>
          <cell r="C109">
            <v>2001</v>
          </cell>
          <cell r="D109">
            <v>7</v>
          </cell>
          <cell r="E109" t="str">
            <v>FMC</v>
          </cell>
          <cell r="F109">
            <v>6</v>
          </cell>
          <cell r="G109">
            <v>60</v>
          </cell>
          <cell r="H109">
            <v>60</v>
          </cell>
          <cell r="J109" t="str">
            <v>HMC&amp;KMC</v>
          </cell>
          <cell r="K109">
            <v>7233614314.2093849</v>
          </cell>
          <cell r="N109">
            <v>6</v>
          </cell>
          <cell r="O109">
            <v>12</v>
          </cell>
          <cell r="P109">
            <v>12</v>
          </cell>
          <cell r="Q109">
            <v>12</v>
          </cell>
          <cell r="R109">
            <v>12</v>
          </cell>
          <cell r="S109">
            <v>6</v>
          </cell>
          <cell r="U109">
            <v>7234</v>
          </cell>
          <cell r="V109">
            <v>7233.9999999999991</v>
          </cell>
          <cell r="W109">
            <v>0</v>
          </cell>
          <cell r="X109">
            <v>0</v>
          </cell>
          <cell r="Y109">
            <v>723.4</v>
          </cell>
          <cell r="Z109">
            <v>1446.8</v>
          </cell>
          <cell r="AA109">
            <v>5063.7999999999993</v>
          </cell>
          <cell r="AB109">
            <v>1446.8</v>
          </cell>
          <cell r="AC109">
            <v>1446.8</v>
          </cell>
          <cell r="AD109">
            <v>1446.8</v>
          </cell>
          <cell r="AE109">
            <v>723.4</v>
          </cell>
          <cell r="AF109">
            <v>0</v>
          </cell>
        </row>
        <row r="110">
          <cell r="A110" t="str">
            <v>PS018</v>
          </cell>
          <cell r="B110" t="str">
            <v>현대정공지원 ε－FR化</v>
          </cell>
          <cell r="C110">
            <v>2001</v>
          </cell>
          <cell r="D110">
            <v>8</v>
          </cell>
          <cell r="E110" t="str">
            <v>FMC</v>
          </cell>
          <cell r="F110">
            <v>5</v>
          </cell>
          <cell r="G110">
            <v>60</v>
          </cell>
          <cell r="H110">
            <v>60</v>
          </cell>
          <cell r="J110" t="str">
            <v>HMC</v>
          </cell>
          <cell r="K110">
            <v>3537589.8700292059</v>
          </cell>
          <cell r="N110">
            <v>5</v>
          </cell>
          <cell r="O110">
            <v>12</v>
          </cell>
          <cell r="P110">
            <v>12</v>
          </cell>
          <cell r="Q110">
            <v>12</v>
          </cell>
          <cell r="R110">
            <v>12</v>
          </cell>
          <cell r="S110">
            <v>7</v>
          </cell>
          <cell r="U110">
            <v>4</v>
          </cell>
          <cell r="V110">
            <v>4</v>
          </cell>
          <cell r="W110">
            <v>0</v>
          </cell>
          <cell r="X110">
            <v>0</v>
          </cell>
          <cell r="Y110">
            <v>0.33333333333333331</v>
          </cell>
          <cell r="Z110">
            <v>0.8</v>
          </cell>
          <cell r="AA110">
            <v>2.8666666666666671</v>
          </cell>
          <cell r="AB110">
            <v>0.8</v>
          </cell>
          <cell r="AC110">
            <v>0.8</v>
          </cell>
          <cell r="AD110">
            <v>0.8</v>
          </cell>
          <cell r="AE110">
            <v>0.46666666666666667</v>
          </cell>
          <cell r="AF110">
            <v>0</v>
          </cell>
        </row>
        <row r="111">
          <cell r="A111" t="str">
            <v>PI002</v>
          </cell>
          <cell r="B111" t="str">
            <v>CE 제품개발</v>
          </cell>
          <cell r="C111">
            <v>2002</v>
          </cell>
          <cell r="D111">
            <v>7</v>
          </cell>
          <cell r="E111" t="str">
            <v>FMC</v>
          </cell>
          <cell r="F111">
            <v>6</v>
          </cell>
          <cell r="G111">
            <v>60</v>
          </cell>
          <cell r="H111">
            <v>60</v>
          </cell>
          <cell r="J111" t="str">
            <v>HMC</v>
          </cell>
          <cell r="K111">
            <v>2942809691.5268984</v>
          </cell>
          <cell r="O111">
            <v>6</v>
          </cell>
          <cell r="P111">
            <v>12</v>
          </cell>
          <cell r="Q111">
            <v>12</v>
          </cell>
          <cell r="R111">
            <v>12</v>
          </cell>
          <cell r="S111">
            <v>12</v>
          </cell>
          <cell r="T111">
            <v>6</v>
          </cell>
          <cell r="U111">
            <v>2943</v>
          </cell>
          <cell r="V111">
            <v>2943.0000000000005</v>
          </cell>
          <cell r="W111">
            <v>0</v>
          </cell>
          <cell r="X111">
            <v>0</v>
          </cell>
          <cell r="Y111">
            <v>0</v>
          </cell>
          <cell r="Z111">
            <v>294.3</v>
          </cell>
          <cell r="AA111">
            <v>2648.7000000000003</v>
          </cell>
          <cell r="AB111">
            <v>588.6</v>
          </cell>
          <cell r="AC111">
            <v>588.6</v>
          </cell>
          <cell r="AD111">
            <v>588.6</v>
          </cell>
          <cell r="AE111">
            <v>588.6</v>
          </cell>
          <cell r="AF111">
            <v>294.3</v>
          </cell>
        </row>
        <row r="112">
          <cell r="A112" t="str">
            <v>PU023</v>
          </cell>
          <cell r="B112" t="str">
            <v>E-ENG 개발</v>
          </cell>
          <cell r="C112">
            <v>2003</v>
          </cell>
          <cell r="D112">
            <v>9</v>
          </cell>
          <cell r="E112" t="str">
            <v>FMC</v>
          </cell>
          <cell r="F112">
            <v>4</v>
          </cell>
          <cell r="G112">
            <v>60</v>
          </cell>
          <cell r="H112">
            <v>60</v>
          </cell>
          <cell r="J112" t="str">
            <v>HMC</v>
          </cell>
          <cell r="K112">
            <v>7640432.4176458195</v>
          </cell>
          <cell r="P112">
            <v>60</v>
          </cell>
          <cell r="U112">
            <v>8</v>
          </cell>
          <cell r="V112">
            <v>8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8</v>
          </cell>
          <cell r="AB112">
            <v>8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A113" t="str">
            <v>PK016</v>
          </cell>
          <cell r="B113" t="str">
            <v>그레이스 T-2, 4D5</v>
          </cell>
          <cell r="C113">
            <v>1997</v>
          </cell>
          <cell r="D113">
            <v>1</v>
          </cell>
          <cell r="E113" t="str">
            <v>MY</v>
          </cell>
          <cell r="F113">
            <v>12</v>
          </cell>
          <cell r="G113">
            <v>1</v>
          </cell>
          <cell r="H113">
            <v>1</v>
          </cell>
          <cell r="J113" t="str">
            <v>HMC</v>
          </cell>
          <cell r="K113">
            <v>178330244.46267369</v>
          </cell>
          <cell r="L113">
            <v>1</v>
          </cell>
          <cell r="U113">
            <v>178</v>
          </cell>
          <cell r="V113">
            <v>178</v>
          </cell>
          <cell r="W113">
            <v>178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A114" t="str">
            <v>PN014</v>
          </cell>
          <cell r="B114" t="str">
            <v>A/TOWN 97 개선 　　　　　　　</v>
          </cell>
          <cell r="C114">
            <v>1997</v>
          </cell>
          <cell r="D114">
            <v>6</v>
          </cell>
          <cell r="E114" t="str">
            <v>MY</v>
          </cell>
          <cell r="F114">
            <v>7</v>
          </cell>
          <cell r="G114">
            <v>1</v>
          </cell>
          <cell r="H114">
            <v>1</v>
          </cell>
          <cell r="J114" t="str">
            <v>HMC</v>
          </cell>
          <cell r="K114">
            <v>114954560.48177268</v>
          </cell>
          <cell r="L114">
            <v>1</v>
          </cell>
          <cell r="U114">
            <v>115</v>
          </cell>
          <cell r="V114">
            <v>115</v>
          </cell>
          <cell r="W114">
            <v>115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A115" t="str">
            <v>PK020</v>
          </cell>
          <cell r="B115" t="str">
            <v>AU TOP MDL　</v>
          </cell>
          <cell r="C115">
            <v>1997</v>
          </cell>
          <cell r="D115">
            <v>7</v>
          </cell>
          <cell r="E115" t="str">
            <v>MY</v>
          </cell>
          <cell r="F115">
            <v>6</v>
          </cell>
          <cell r="G115">
            <v>1</v>
          </cell>
          <cell r="H115">
            <v>1</v>
          </cell>
          <cell r="J115" t="str">
            <v>HMC</v>
          </cell>
          <cell r="K115">
            <v>5362558.7050073417</v>
          </cell>
          <cell r="L115">
            <v>1</v>
          </cell>
          <cell r="U115">
            <v>5</v>
          </cell>
          <cell r="V115">
            <v>5</v>
          </cell>
          <cell r="W115">
            <v>5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A116" t="str">
            <v>PC008</v>
          </cell>
          <cell r="B116" t="str">
            <v>RD CPE S/E</v>
          </cell>
          <cell r="C116">
            <v>1997</v>
          </cell>
          <cell r="D116">
            <v>12</v>
          </cell>
          <cell r="E116" t="str">
            <v>MY</v>
          </cell>
          <cell r="F116">
            <v>1</v>
          </cell>
          <cell r="G116">
            <v>1</v>
          </cell>
          <cell r="H116">
            <v>1</v>
          </cell>
          <cell r="J116" t="str">
            <v>HMC</v>
          </cell>
          <cell r="K116">
            <v>292569556.05634367</v>
          </cell>
          <cell r="L116">
            <v>1</v>
          </cell>
          <cell r="U116">
            <v>293</v>
          </cell>
          <cell r="V116">
            <v>293</v>
          </cell>
          <cell r="W116">
            <v>293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A117" t="str">
            <v>PN017</v>
          </cell>
          <cell r="B117" t="str">
            <v>A/CITY 3DR</v>
          </cell>
          <cell r="C117">
            <v>1998</v>
          </cell>
          <cell r="D117">
            <v>1</v>
          </cell>
          <cell r="E117" t="str">
            <v>MY</v>
          </cell>
          <cell r="F117">
            <v>12</v>
          </cell>
          <cell r="G117">
            <v>1</v>
          </cell>
          <cell r="H117">
            <v>1</v>
          </cell>
          <cell r="J117" t="str">
            <v>HMC</v>
          </cell>
          <cell r="K117">
            <v>91143608.31140928</v>
          </cell>
          <cell r="L117">
            <v>1</v>
          </cell>
          <cell r="U117">
            <v>91</v>
          </cell>
          <cell r="V117">
            <v>91</v>
          </cell>
          <cell r="W117">
            <v>91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A118" t="str">
            <v>PK022</v>
          </cell>
          <cell r="B118" t="str">
            <v>AU D/C LPG　</v>
          </cell>
          <cell r="C118">
            <v>1998</v>
          </cell>
          <cell r="D118">
            <v>3</v>
          </cell>
          <cell r="E118" t="str">
            <v>MY</v>
          </cell>
          <cell r="F118">
            <v>10</v>
          </cell>
          <cell r="G118">
            <v>2</v>
          </cell>
          <cell r="H118">
            <v>2</v>
          </cell>
          <cell r="J118" t="str">
            <v>HMC</v>
          </cell>
          <cell r="K118">
            <v>4750494.6157817692</v>
          </cell>
          <cell r="L118">
            <v>2</v>
          </cell>
          <cell r="U118">
            <v>5</v>
          </cell>
          <cell r="V118">
            <v>5</v>
          </cell>
          <cell r="W118">
            <v>5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A119" t="str">
            <v>PK017</v>
          </cell>
          <cell r="B119" t="str">
            <v>유로2 4D56T/C</v>
          </cell>
          <cell r="C119">
            <v>1998</v>
          </cell>
          <cell r="D119">
            <v>4</v>
          </cell>
          <cell r="E119" t="str">
            <v>MY</v>
          </cell>
          <cell r="F119">
            <v>9</v>
          </cell>
          <cell r="G119">
            <v>3</v>
          </cell>
          <cell r="H119">
            <v>3</v>
          </cell>
          <cell r="J119" t="str">
            <v>HMC</v>
          </cell>
          <cell r="K119">
            <v>501024718.97033727</v>
          </cell>
          <cell r="L119">
            <v>3</v>
          </cell>
          <cell r="U119">
            <v>501</v>
          </cell>
          <cell r="V119">
            <v>501</v>
          </cell>
          <cell r="W119">
            <v>501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A120" t="str">
            <v>PB008</v>
          </cell>
          <cell r="B120" t="str">
            <v>X-3 99 ORVR</v>
          </cell>
          <cell r="C120">
            <v>1998</v>
          </cell>
          <cell r="D120">
            <v>7</v>
          </cell>
          <cell r="E120" t="str">
            <v>MY</v>
          </cell>
          <cell r="F120">
            <v>6</v>
          </cell>
          <cell r="G120">
            <v>6</v>
          </cell>
          <cell r="H120">
            <v>6</v>
          </cell>
          <cell r="J120" t="str">
            <v>HMC</v>
          </cell>
          <cell r="K120">
            <v>140022831.1999557</v>
          </cell>
          <cell r="L120">
            <v>6</v>
          </cell>
          <cell r="U120">
            <v>140</v>
          </cell>
          <cell r="V120">
            <v>140</v>
          </cell>
          <cell r="W120">
            <v>140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A121" t="str">
            <v>PA003</v>
          </cell>
          <cell r="B121" t="str">
            <v>MX '99 MY</v>
          </cell>
          <cell r="C121">
            <v>1998</v>
          </cell>
          <cell r="D121">
            <v>9</v>
          </cell>
          <cell r="E121" t="str">
            <v>MY</v>
          </cell>
          <cell r="F121">
            <v>4</v>
          </cell>
          <cell r="G121">
            <v>8</v>
          </cell>
          <cell r="H121">
            <v>8</v>
          </cell>
          <cell r="J121" t="str">
            <v>HMC</v>
          </cell>
          <cell r="K121">
            <v>1186472488.0422699</v>
          </cell>
          <cell r="L121">
            <v>8</v>
          </cell>
          <cell r="U121">
            <v>1186</v>
          </cell>
          <cell r="V121">
            <v>1186</v>
          </cell>
          <cell r="W121">
            <v>1186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A122" t="str">
            <v>PK029</v>
          </cell>
          <cell r="B122" t="str">
            <v>A-1 CLUB 장축</v>
          </cell>
          <cell r="C122">
            <v>1998</v>
          </cell>
          <cell r="D122">
            <v>10</v>
          </cell>
          <cell r="E122" t="str">
            <v>MY</v>
          </cell>
          <cell r="F122">
            <v>3</v>
          </cell>
          <cell r="G122">
            <v>9</v>
          </cell>
          <cell r="H122">
            <v>9</v>
          </cell>
          <cell r="J122" t="str">
            <v>HMC</v>
          </cell>
          <cell r="K122">
            <v>22206545.925372355</v>
          </cell>
          <cell r="L122">
            <v>9</v>
          </cell>
          <cell r="U122">
            <v>22</v>
          </cell>
          <cell r="V122">
            <v>22</v>
          </cell>
          <cell r="W122">
            <v>22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A123" t="str">
            <v>PZ001</v>
          </cell>
          <cell r="B123" t="str">
            <v>인도 MX</v>
          </cell>
          <cell r="C123">
            <v>1998</v>
          </cell>
          <cell r="D123">
            <v>10</v>
          </cell>
          <cell r="E123" t="str">
            <v>MY</v>
          </cell>
          <cell r="F123">
            <v>3</v>
          </cell>
          <cell r="G123">
            <v>9</v>
          </cell>
          <cell r="H123">
            <v>9</v>
          </cell>
          <cell r="J123" t="str">
            <v>HMC</v>
          </cell>
          <cell r="K123">
            <v>665567579.75847614</v>
          </cell>
          <cell r="L123">
            <v>9</v>
          </cell>
          <cell r="U123">
            <v>666</v>
          </cell>
          <cell r="V123">
            <v>666</v>
          </cell>
          <cell r="W123">
            <v>666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A124" t="str">
            <v>PD008</v>
          </cell>
          <cell r="B124" t="str">
            <v>EF TAXI</v>
          </cell>
          <cell r="C124">
            <v>1998</v>
          </cell>
          <cell r="D124">
            <v>12</v>
          </cell>
          <cell r="E124" t="str">
            <v>MY</v>
          </cell>
          <cell r="F124">
            <v>1</v>
          </cell>
          <cell r="G124">
            <v>11</v>
          </cell>
          <cell r="H124">
            <v>11</v>
          </cell>
          <cell r="J124" t="str">
            <v>HMC</v>
          </cell>
          <cell r="K124">
            <v>1601662876.6424911</v>
          </cell>
          <cell r="L124">
            <v>11</v>
          </cell>
          <cell r="U124">
            <v>1602</v>
          </cell>
          <cell r="V124">
            <v>1602</v>
          </cell>
          <cell r="W124">
            <v>1602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A125" t="str">
            <v>PK025</v>
          </cell>
          <cell r="B125" t="str">
            <v>A-1 3.0 V6 탑재</v>
          </cell>
          <cell r="C125">
            <v>1999</v>
          </cell>
          <cell r="D125">
            <v>2</v>
          </cell>
          <cell r="E125" t="str">
            <v>MY</v>
          </cell>
          <cell r="F125">
            <v>11</v>
          </cell>
          <cell r="G125">
            <v>12</v>
          </cell>
          <cell r="H125">
            <v>12</v>
          </cell>
          <cell r="J125" t="str">
            <v>HMC</v>
          </cell>
          <cell r="K125">
            <v>106362388.25374535</v>
          </cell>
          <cell r="L125">
            <v>11</v>
          </cell>
          <cell r="M125">
            <v>1</v>
          </cell>
          <cell r="U125">
            <v>106</v>
          </cell>
          <cell r="V125">
            <v>106</v>
          </cell>
          <cell r="W125">
            <v>97.166666666666671</v>
          </cell>
          <cell r="X125">
            <v>8.8333333333333339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</row>
        <row r="126">
          <cell r="A126" t="str">
            <v>PK030</v>
          </cell>
          <cell r="B126" t="str">
            <v>A-1 3.0 LPG</v>
          </cell>
          <cell r="C126">
            <v>1999</v>
          </cell>
          <cell r="D126">
            <v>2</v>
          </cell>
          <cell r="E126" t="str">
            <v>MY</v>
          </cell>
          <cell r="F126">
            <v>11</v>
          </cell>
          <cell r="G126">
            <v>12</v>
          </cell>
          <cell r="H126">
            <v>12</v>
          </cell>
          <cell r="J126" t="str">
            <v>HMC</v>
          </cell>
          <cell r="K126">
            <v>603923651.96729922</v>
          </cell>
          <cell r="L126">
            <v>11</v>
          </cell>
          <cell r="M126">
            <v>1</v>
          </cell>
          <cell r="U126">
            <v>604</v>
          </cell>
          <cell r="V126">
            <v>604</v>
          </cell>
          <cell r="W126">
            <v>553.66666666666663</v>
          </cell>
          <cell r="X126">
            <v>50.333333333333336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A127" t="str">
            <v>PK035</v>
          </cell>
          <cell r="B127" t="str">
            <v>AU '99 MY</v>
          </cell>
          <cell r="C127">
            <v>1999</v>
          </cell>
          <cell r="D127">
            <v>2</v>
          </cell>
          <cell r="E127" t="str">
            <v>MY</v>
          </cell>
          <cell r="F127">
            <v>11</v>
          </cell>
          <cell r="G127">
            <v>12</v>
          </cell>
          <cell r="H127">
            <v>12</v>
          </cell>
          <cell r="I127" t="str">
            <v>PZ097</v>
          </cell>
          <cell r="J127" t="str">
            <v>HMC</v>
          </cell>
          <cell r="K127">
            <v>29671213.319214959</v>
          </cell>
          <cell r="L127">
            <v>11</v>
          </cell>
          <cell r="M127">
            <v>1</v>
          </cell>
          <cell r="U127">
            <v>30</v>
          </cell>
          <cell r="V127">
            <v>30</v>
          </cell>
          <cell r="W127">
            <v>27.5</v>
          </cell>
          <cell r="X127">
            <v>2.5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</row>
        <row r="128">
          <cell r="A128" t="str">
            <v>PN021</v>
          </cell>
          <cell r="B128" t="str">
            <v>A/CITY 터키 수출　　　　　　　　　　　</v>
          </cell>
          <cell r="C128">
            <v>1999</v>
          </cell>
          <cell r="D128">
            <v>2</v>
          </cell>
          <cell r="E128" t="str">
            <v>MY</v>
          </cell>
          <cell r="F128">
            <v>11</v>
          </cell>
          <cell r="G128">
            <v>12</v>
          </cell>
          <cell r="H128">
            <v>12</v>
          </cell>
          <cell r="J128" t="str">
            <v>HMC</v>
          </cell>
          <cell r="K128">
            <v>210213740.01057389</v>
          </cell>
          <cell r="L128">
            <v>11</v>
          </cell>
          <cell r="M128">
            <v>1</v>
          </cell>
          <cell r="U128">
            <v>210</v>
          </cell>
          <cell r="V128">
            <v>210</v>
          </cell>
          <cell r="W128">
            <v>192.5</v>
          </cell>
          <cell r="X128">
            <v>17.5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</row>
        <row r="129">
          <cell r="A129" t="str">
            <v>PZ089</v>
          </cell>
          <cell r="B129" t="str">
            <v>A-1 사우나 택시</v>
          </cell>
          <cell r="C129">
            <v>1999</v>
          </cell>
          <cell r="D129">
            <v>2</v>
          </cell>
          <cell r="E129" t="str">
            <v>MY</v>
          </cell>
          <cell r="F129">
            <v>11</v>
          </cell>
          <cell r="G129">
            <v>12</v>
          </cell>
          <cell r="H129">
            <v>12</v>
          </cell>
          <cell r="J129" t="str">
            <v>HMC</v>
          </cell>
          <cell r="K129">
            <v>512850071.73077005</v>
          </cell>
          <cell r="L129">
            <v>11</v>
          </cell>
          <cell r="M129">
            <v>1</v>
          </cell>
          <cell r="U129">
            <v>513</v>
          </cell>
          <cell r="V129">
            <v>513</v>
          </cell>
          <cell r="W129">
            <v>470.25</v>
          </cell>
          <cell r="X129">
            <v>42.75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A130" t="str">
            <v>PK031</v>
          </cell>
          <cell r="B130" t="str">
            <v>A-1 리무진 택시</v>
          </cell>
          <cell r="C130">
            <v>1999</v>
          </cell>
          <cell r="D130">
            <v>3</v>
          </cell>
          <cell r="E130" t="str">
            <v>MY</v>
          </cell>
          <cell r="F130">
            <v>10</v>
          </cell>
          <cell r="G130">
            <v>12</v>
          </cell>
          <cell r="H130">
            <v>12</v>
          </cell>
          <cell r="J130" t="str">
            <v>HMC</v>
          </cell>
          <cell r="K130">
            <v>28001712.224346567</v>
          </cell>
          <cell r="L130">
            <v>10</v>
          </cell>
          <cell r="M130">
            <v>2</v>
          </cell>
          <cell r="U130">
            <v>28</v>
          </cell>
          <cell r="V130">
            <v>28</v>
          </cell>
          <cell r="W130">
            <v>23.333333333333332</v>
          </cell>
          <cell r="X130">
            <v>4.666666666666667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</row>
        <row r="131">
          <cell r="A131" t="str">
            <v>PP024</v>
          </cell>
          <cell r="B131" t="str">
            <v>Y3 쏘나타 택시 차체 이설</v>
          </cell>
          <cell r="C131">
            <v>1999</v>
          </cell>
          <cell r="D131">
            <v>5</v>
          </cell>
          <cell r="E131" t="str">
            <v>MY</v>
          </cell>
          <cell r="F131">
            <v>8</v>
          </cell>
          <cell r="G131">
            <v>12</v>
          </cell>
          <cell r="H131">
            <v>12</v>
          </cell>
          <cell r="J131" t="str">
            <v>HMC</v>
          </cell>
          <cell r="K131">
            <v>9873815</v>
          </cell>
          <cell r="L131">
            <v>8</v>
          </cell>
          <cell r="M131">
            <v>4</v>
          </cell>
          <cell r="U131">
            <v>10</v>
          </cell>
          <cell r="V131">
            <v>10</v>
          </cell>
          <cell r="W131">
            <v>6.666666666666667</v>
          </cell>
          <cell r="X131">
            <v>3.3333333333333335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A132" t="str">
            <v>PS013</v>
          </cell>
          <cell r="B132" t="str">
            <v xml:space="preserve">알파－엔진＆티엠 성능 개선 </v>
          </cell>
          <cell r="C132">
            <v>1999</v>
          </cell>
          <cell r="D132">
            <v>5</v>
          </cell>
          <cell r="E132" t="str">
            <v>MY</v>
          </cell>
          <cell r="F132">
            <v>8</v>
          </cell>
          <cell r="G132">
            <v>12</v>
          </cell>
          <cell r="H132">
            <v>12</v>
          </cell>
          <cell r="J132" t="str">
            <v>HMC</v>
          </cell>
          <cell r="K132">
            <v>6547929142.3816252</v>
          </cell>
          <cell r="L132">
            <v>8</v>
          </cell>
          <cell r="M132">
            <v>4</v>
          </cell>
          <cell r="U132">
            <v>6548</v>
          </cell>
          <cell r="V132">
            <v>6548</v>
          </cell>
          <cell r="W132">
            <v>4365.333333333333</v>
          </cell>
          <cell r="X132">
            <v>2182.6666666666665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</row>
        <row r="133">
          <cell r="A133" t="str">
            <v>PK019</v>
          </cell>
          <cell r="B133" t="str">
            <v>Z2. 5TCIM5SR</v>
          </cell>
          <cell r="C133">
            <v>1999</v>
          </cell>
          <cell r="D133">
            <v>6</v>
          </cell>
          <cell r="E133" t="str">
            <v>MY</v>
          </cell>
          <cell r="F133">
            <v>7</v>
          </cell>
          <cell r="G133">
            <v>12</v>
          </cell>
          <cell r="H133">
            <v>12</v>
          </cell>
          <cell r="J133" t="str">
            <v>HMC</v>
          </cell>
          <cell r="K133">
            <v>28868983.255048875</v>
          </cell>
          <cell r="L133">
            <v>7</v>
          </cell>
          <cell r="M133">
            <v>5</v>
          </cell>
          <cell r="U133">
            <v>29</v>
          </cell>
          <cell r="V133">
            <v>29</v>
          </cell>
          <cell r="W133">
            <v>16.916666666666668</v>
          </cell>
          <cell r="X133">
            <v>12.083333333333334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</row>
        <row r="134">
          <cell r="A134" t="str">
            <v>PL009</v>
          </cell>
          <cell r="B134" t="str">
            <v>ＶＴ 유럽 수출　　　　　　　　　　　　　　　　　　　　　　　　</v>
          </cell>
          <cell r="C134">
            <v>1999</v>
          </cell>
          <cell r="D134">
            <v>6</v>
          </cell>
          <cell r="E134" t="str">
            <v>MY</v>
          </cell>
          <cell r="F134">
            <v>7</v>
          </cell>
          <cell r="G134">
            <v>12</v>
          </cell>
          <cell r="H134">
            <v>12</v>
          </cell>
          <cell r="J134" t="str">
            <v>HMC</v>
          </cell>
          <cell r="K134">
            <v>62609001.475415163</v>
          </cell>
          <cell r="L134">
            <v>7</v>
          </cell>
          <cell r="M134">
            <v>5</v>
          </cell>
          <cell r="U134">
            <v>63</v>
          </cell>
          <cell r="V134">
            <v>63</v>
          </cell>
          <cell r="W134">
            <v>36.75</v>
          </cell>
          <cell r="X134">
            <v>26.25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</row>
        <row r="135">
          <cell r="A135" t="str">
            <v>PZ002</v>
          </cell>
          <cell r="B135" t="str">
            <v>MX NCAP 대응</v>
          </cell>
          <cell r="C135">
            <v>1999</v>
          </cell>
          <cell r="D135">
            <v>6</v>
          </cell>
          <cell r="E135" t="str">
            <v>MY</v>
          </cell>
          <cell r="F135">
            <v>7</v>
          </cell>
          <cell r="G135">
            <v>12</v>
          </cell>
          <cell r="H135">
            <v>12</v>
          </cell>
          <cell r="J135" t="str">
            <v>HMC</v>
          </cell>
          <cell r="K135">
            <v>1133695735.5676091</v>
          </cell>
          <cell r="L135">
            <v>7</v>
          </cell>
          <cell r="M135">
            <v>5</v>
          </cell>
          <cell r="U135">
            <v>1134</v>
          </cell>
          <cell r="V135">
            <v>1134</v>
          </cell>
          <cell r="W135">
            <v>661.5</v>
          </cell>
          <cell r="X135">
            <v>472.5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A136" t="str">
            <v>PA007</v>
          </cell>
          <cell r="B136" t="str">
            <v>LC SPORTY</v>
          </cell>
          <cell r="C136">
            <v>1999</v>
          </cell>
          <cell r="D136">
            <v>8</v>
          </cell>
          <cell r="E136" t="str">
            <v>MY</v>
          </cell>
          <cell r="F136">
            <v>5</v>
          </cell>
          <cell r="G136">
            <v>12</v>
          </cell>
          <cell r="H136">
            <v>12</v>
          </cell>
          <cell r="J136" t="str">
            <v>HMC</v>
          </cell>
          <cell r="K136">
            <v>19245452</v>
          </cell>
          <cell r="L136">
            <v>5</v>
          </cell>
          <cell r="M136">
            <v>7</v>
          </cell>
          <cell r="U136">
            <v>19</v>
          </cell>
          <cell r="V136">
            <v>19</v>
          </cell>
          <cell r="W136">
            <v>7.916666666666667</v>
          </cell>
          <cell r="X136">
            <v>11.083333333333334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A137" t="str">
            <v>PB010</v>
          </cell>
          <cell r="B137" t="str">
            <v>인도　LC</v>
          </cell>
          <cell r="C137">
            <v>1999</v>
          </cell>
          <cell r="D137">
            <v>8</v>
          </cell>
          <cell r="E137" t="str">
            <v>MY</v>
          </cell>
          <cell r="F137">
            <v>5</v>
          </cell>
          <cell r="G137">
            <v>12</v>
          </cell>
          <cell r="H137">
            <v>12</v>
          </cell>
          <cell r="J137" t="str">
            <v>HMC</v>
          </cell>
          <cell r="K137">
            <v>1868292776.9037123</v>
          </cell>
          <cell r="L137">
            <v>5</v>
          </cell>
          <cell r="M137">
            <v>7</v>
          </cell>
          <cell r="U137">
            <v>1868</v>
          </cell>
          <cell r="V137">
            <v>1868</v>
          </cell>
          <cell r="W137">
            <v>778.33333333333337</v>
          </cell>
          <cell r="X137">
            <v>1089.6666666666667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A138" t="str">
            <v>PN024</v>
          </cell>
          <cell r="B138" t="str">
            <v>대형버스 멕시코 수출</v>
          </cell>
          <cell r="C138">
            <v>1999</v>
          </cell>
          <cell r="D138">
            <v>8</v>
          </cell>
          <cell r="E138" t="str">
            <v>MY</v>
          </cell>
          <cell r="F138">
            <v>5</v>
          </cell>
          <cell r="G138">
            <v>12</v>
          </cell>
          <cell r="H138">
            <v>12</v>
          </cell>
          <cell r="J138" t="str">
            <v>HMC</v>
          </cell>
          <cell r="K138">
            <v>50571297.159666598</v>
          </cell>
          <cell r="L138">
            <v>5</v>
          </cell>
          <cell r="M138">
            <v>7</v>
          </cell>
          <cell r="U138">
            <v>51</v>
          </cell>
          <cell r="V138">
            <v>51</v>
          </cell>
          <cell r="W138">
            <v>21.25</v>
          </cell>
          <cell r="X138">
            <v>29.75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A139" t="str">
            <v>PM013</v>
          </cell>
          <cell r="B139" t="str">
            <v>BERING SKD</v>
          </cell>
          <cell r="C139">
            <v>1999</v>
          </cell>
          <cell r="D139">
            <v>9</v>
          </cell>
          <cell r="E139" t="str">
            <v>MY</v>
          </cell>
          <cell r="F139">
            <v>4</v>
          </cell>
          <cell r="G139">
            <v>12</v>
          </cell>
          <cell r="H139">
            <v>12</v>
          </cell>
          <cell r="J139" t="str">
            <v>HMC</v>
          </cell>
          <cell r="K139">
            <v>1940903061.1749368</v>
          </cell>
          <cell r="L139">
            <v>4</v>
          </cell>
          <cell r="M139">
            <v>8</v>
          </cell>
          <cell r="U139">
            <v>1941</v>
          </cell>
          <cell r="V139">
            <v>1941</v>
          </cell>
          <cell r="W139">
            <v>647</v>
          </cell>
          <cell r="X139">
            <v>1294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A140" t="str">
            <v>PP022</v>
          </cell>
          <cell r="B140" t="str">
            <v>FO 이설</v>
          </cell>
          <cell r="C140">
            <v>1999</v>
          </cell>
          <cell r="D140">
            <v>10</v>
          </cell>
          <cell r="E140" t="str">
            <v>MY</v>
          </cell>
          <cell r="F140">
            <v>3</v>
          </cell>
          <cell r="G140">
            <v>12</v>
          </cell>
          <cell r="H140">
            <v>12</v>
          </cell>
          <cell r="J140" t="str">
            <v>HMC</v>
          </cell>
          <cell r="K140">
            <v>1528464</v>
          </cell>
          <cell r="L140">
            <v>3</v>
          </cell>
          <cell r="M140">
            <v>9</v>
          </cell>
          <cell r="U140">
            <v>2</v>
          </cell>
          <cell r="V140">
            <v>2</v>
          </cell>
          <cell r="W140">
            <v>0.5</v>
          </cell>
          <cell r="X140">
            <v>1.5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A141" t="str">
            <v>PK024</v>
          </cell>
          <cell r="B141" t="str">
            <v>1T '00국내 E/M</v>
          </cell>
          <cell r="C141">
            <v>1999</v>
          </cell>
          <cell r="D141">
            <v>12</v>
          </cell>
          <cell r="E141" t="str">
            <v>MY</v>
          </cell>
          <cell r="F141">
            <v>1</v>
          </cell>
          <cell r="G141">
            <v>12</v>
          </cell>
          <cell r="H141">
            <v>12</v>
          </cell>
          <cell r="J141" t="str">
            <v>HMC</v>
          </cell>
          <cell r="K141">
            <v>138603027.03785151</v>
          </cell>
          <cell r="L141">
            <v>1</v>
          </cell>
          <cell r="M141">
            <v>11</v>
          </cell>
          <cell r="U141">
            <v>139</v>
          </cell>
          <cell r="V141">
            <v>139</v>
          </cell>
          <cell r="W141">
            <v>11.583333333333334</v>
          </cell>
          <cell r="X141">
            <v>127.41666666666667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A142" t="str">
            <v>PU020</v>
          </cell>
          <cell r="B142" t="str">
            <v>CS/VT '00 EM 대응</v>
          </cell>
          <cell r="C142">
            <v>1999</v>
          </cell>
          <cell r="D142">
            <v>12</v>
          </cell>
          <cell r="E142" t="str">
            <v>MY</v>
          </cell>
          <cell r="F142">
            <v>1</v>
          </cell>
          <cell r="G142">
            <v>12</v>
          </cell>
          <cell r="H142">
            <v>12</v>
          </cell>
          <cell r="I142" t="str">
            <v>PZ096</v>
          </cell>
          <cell r="J142" t="str">
            <v>HMC</v>
          </cell>
          <cell r="K142">
            <v>1545127780.3974576</v>
          </cell>
          <cell r="L142">
            <v>1</v>
          </cell>
          <cell r="M142">
            <v>11</v>
          </cell>
          <cell r="U142">
            <v>1545</v>
          </cell>
          <cell r="V142">
            <v>1545</v>
          </cell>
          <cell r="W142">
            <v>128.75</v>
          </cell>
          <cell r="X142">
            <v>1416.25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A143" t="str">
            <v>PA001</v>
          </cell>
          <cell r="B143" t="str">
            <v>승용 '00 E/M</v>
          </cell>
          <cell r="C143">
            <v>2000</v>
          </cell>
          <cell r="D143">
            <v>1</v>
          </cell>
          <cell r="E143" t="str">
            <v>MY</v>
          </cell>
          <cell r="F143">
            <v>12</v>
          </cell>
          <cell r="G143">
            <v>12</v>
          </cell>
          <cell r="H143">
            <v>12</v>
          </cell>
          <cell r="I143" t="str">
            <v>PZ018</v>
          </cell>
          <cell r="J143" t="str">
            <v>HMC</v>
          </cell>
          <cell r="K143">
            <v>3396162753.7478199</v>
          </cell>
          <cell r="M143">
            <v>12</v>
          </cell>
          <cell r="U143">
            <v>3396</v>
          </cell>
          <cell r="V143">
            <v>3396</v>
          </cell>
          <cell r="W143">
            <v>0</v>
          </cell>
          <cell r="X143">
            <v>3396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A144" t="str">
            <v>PK026</v>
          </cell>
          <cell r="B144" t="str">
            <v>A-1 '00 MY</v>
          </cell>
          <cell r="C144">
            <v>2000</v>
          </cell>
          <cell r="D144">
            <v>1</v>
          </cell>
          <cell r="E144" t="str">
            <v>MY</v>
          </cell>
          <cell r="F144">
            <v>12</v>
          </cell>
          <cell r="G144">
            <v>12</v>
          </cell>
          <cell r="H144">
            <v>12</v>
          </cell>
          <cell r="I144" t="str">
            <v>PZ023</v>
          </cell>
          <cell r="J144" t="str">
            <v>HMC</v>
          </cell>
          <cell r="K144">
            <v>6743494476.4500942</v>
          </cell>
          <cell r="M144">
            <v>12</v>
          </cell>
          <cell r="U144">
            <v>6743</v>
          </cell>
          <cell r="V144">
            <v>6743</v>
          </cell>
          <cell r="W144">
            <v>0</v>
          </cell>
          <cell r="X144">
            <v>6743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</row>
        <row r="145">
          <cell r="A145" t="str">
            <v>PK034</v>
          </cell>
          <cell r="B145" t="str">
            <v>1톤 '00EM 대응</v>
          </cell>
          <cell r="C145">
            <v>2000</v>
          </cell>
          <cell r="D145">
            <v>1</v>
          </cell>
          <cell r="E145" t="str">
            <v>MY</v>
          </cell>
          <cell r="F145">
            <v>12</v>
          </cell>
          <cell r="G145">
            <v>12</v>
          </cell>
          <cell r="H145">
            <v>12</v>
          </cell>
          <cell r="I145" t="str">
            <v>PZ028</v>
          </cell>
          <cell r="J145" t="str">
            <v>HMC</v>
          </cell>
          <cell r="K145">
            <v>2830799841.9067125</v>
          </cell>
          <cell r="M145">
            <v>12</v>
          </cell>
          <cell r="U145">
            <v>2831</v>
          </cell>
          <cell r="V145">
            <v>2831</v>
          </cell>
          <cell r="W145">
            <v>0</v>
          </cell>
          <cell r="X145">
            <v>2831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A146" t="str">
            <v>PU019</v>
          </cell>
          <cell r="B146" t="str">
            <v>Q-ENG '00 EM 대응</v>
          </cell>
          <cell r="C146">
            <v>2000</v>
          </cell>
          <cell r="D146">
            <v>1</v>
          </cell>
          <cell r="E146" t="str">
            <v>MY</v>
          </cell>
          <cell r="F146">
            <v>12</v>
          </cell>
          <cell r="G146">
            <v>12</v>
          </cell>
          <cell r="H146">
            <v>12</v>
          </cell>
          <cell r="I146" t="str">
            <v>PZ038</v>
          </cell>
          <cell r="J146" t="str">
            <v>HMC</v>
          </cell>
          <cell r="K146">
            <v>2118775385.162107</v>
          </cell>
          <cell r="M146">
            <v>12</v>
          </cell>
          <cell r="U146">
            <v>2119</v>
          </cell>
          <cell r="V146">
            <v>2119</v>
          </cell>
          <cell r="W146">
            <v>0</v>
          </cell>
          <cell r="X146">
            <v>2119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A147" t="str">
            <v>PS014</v>
          </cell>
          <cell r="B147" t="str">
            <v>베타엔진 성능 개선</v>
          </cell>
          <cell r="C147">
            <v>2000</v>
          </cell>
          <cell r="D147">
            <v>2</v>
          </cell>
          <cell r="E147" t="str">
            <v>MY</v>
          </cell>
          <cell r="F147">
            <v>11</v>
          </cell>
          <cell r="G147">
            <v>12</v>
          </cell>
          <cell r="H147">
            <v>12</v>
          </cell>
          <cell r="I147" t="str">
            <v>PZ034</v>
          </cell>
          <cell r="J147" t="str">
            <v>HMC</v>
          </cell>
          <cell r="K147">
            <v>4801047485.0100555</v>
          </cell>
          <cell r="M147">
            <v>11</v>
          </cell>
          <cell r="N147">
            <v>1</v>
          </cell>
          <cell r="U147">
            <v>4801</v>
          </cell>
          <cell r="V147">
            <v>4801</v>
          </cell>
          <cell r="W147">
            <v>0</v>
          </cell>
          <cell r="X147">
            <v>4400.916666666667</v>
          </cell>
          <cell r="Y147">
            <v>400.08333333333331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A148" t="str">
            <v>PK028</v>
          </cell>
          <cell r="B148" t="str">
            <v>A-1 4D56TCI</v>
          </cell>
          <cell r="C148">
            <v>2000</v>
          </cell>
          <cell r="D148">
            <v>3</v>
          </cell>
          <cell r="E148" t="str">
            <v>MY</v>
          </cell>
          <cell r="F148">
            <v>10</v>
          </cell>
          <cell r="G148">
            <v>12</v>
          </cell>
          <cell r="H148">
            <v>12</v>
          </cell>
          <cell r="I148" t="str">
            <v>PZ032</v>
          </cell>
          <cell r="J148" t="str">
            <v>HMC</v>
          </cell>
          <cell r="K148">
            <v>2701677124.8854642</v>
          </cell>
          <cell r="M148">
            <v>10</v>
          </cell>
          <cell r="N148">
            <v>2</v>
          </cell>
          <cell r="U148">
            <v>2702</v>
          </cell>
          <cell r="V148">
            <v>2702</v>
          </cell>
          <cell r="W148">
            <v>0</v>
          </cell>
          <cell r="X148">
            <v>2251.6666666666665</v>
          </cell>
          <cell r="Y148">
            <v>450.33333333333331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</row>
        <row r="149">
          <cell r="A149" t="str">
            <v>PU014</v>
          </cell>
          <cell r="B149" t="str">
            <v>L-ENG 개발 및 탑재</v>
          </cell>
          <cell r="C149">
            <v>2000</v>
          </cell>
          <cell r="D149">
            <v>3</v>
          </cell>
          <cell r="E149" t="str">
            <v>MY</v>
          </cell>
          <cell r="F149">
            <v>10</v>
          </cell>
          <cell r="G149">
            <v>12</v>
          </cell>
          <cell r="H149">
            <v>12</v>
          </cell>
          <cell r="J149" t="str">
            <v>HMC</v>
          </cell>
          <cell r="K149">
            <v>10999618251.460407</v>
          </cell>
          <cell r="M149">
            <v>10</v>
          </cell>
          <cell r="N149">
            <v>2</v>
          </cell>
          <cell r="U149">
            <v>11000</v>
          </cell>
          <cell r="V149">
            <v>11000</v>
          </cell>
          <cell r="W149">
            <v>0</v>
          </cell>
          <cell r="X149">
            <v>9166.6666666666661</v>
          </cell>
          <cell r="Y149">
            <v>1833.3333333333333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</row>
        <row r="150">
          <cell r="A150" t="str">
            <v>PU015</v>
          </cell>
          <cell r="B150" t="str">
            <v>L-ENG 생산</v>
          </cell>
          <cell r="C150">
            <v>2000</v>
          </cell>
          <cell r="D150">
            <v>3</v>
          </cell>
          <cell r="E150" t="str">
            <v>MY</v>
          </cell>
          <cell r="F150">
            <v>10</v>
          </cell>
          <cell r="G150">
            <v>12</v>
          </cell>
          <cell r="H150">
            <v>12</v>
          </cell>
          <cell r="J150" t="str">
            <v>HMC</v>
          </cell>
          <cell r="K150">
            <v>633701659.41329873</v>
          </cell>
          <cell r="M150">
            <v>10</v>
          </cell>
          <cell r="N150">
            <v>2</v>
          </cell>
          <cell r="U150">
            <v>634</v>
          </cell>
          <cell r="V150">
            <v>634</v>
          </cell>
          <cell r="W150">
            <v>0</v>
          </cell>
          <cell r="X150">
            <v>528.33333333333337</v>
          </cell>
          <cell r="Y150">
            <v>105.66666666666667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</row>
        <row r="151">
          <cell r="A151" t="str">
            <v>PF017</v>
          </cell>
          <cell r="B151" t="str">
            <v>에쿠스 수출　　　　　　　　　　　　　　　　　　　　　　　　</v>
          </cell>
          <cell r="C151">
            <v>2000</v>
          </cell>
          <cell r="D151">
            <v>6</v>
          </cell>
          <cell r="E151" t="str">
            <v>MY</v>
          </cell>
          <cell r="F151">
            <v>7</v>
          </cell>
          <cell r="G151">
            <v>12</v>
          </cell>
          <cell r="H151">
            <v>12</v>
          </cell>
          <cell r="J151" t="str">
            <v>HMC</v>
          </cell>
          <cell r="K151">
            <v>716937189</v>
          </cell>
          <cell r="M151">
            <v>7</v>
          </cell>
          <cell r="N151">
            <v>5</v>
          </cell>
          <cell r="U151">
            <v>717</v>
          </cell>
          <cell r="V151">
            <v>717</v>
          </cell>
          <cell r="W151">
            <v>0</v>
          </cell>
          <cell r="X151">
            <v>418.25</v>
          </cell>
          <cell r="Y151">
            <v>298.75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</row>
        <row r="152">
          <cell r="A152" t="str">
            <v>PL010</v>
          </cell>
          <cell r="B152" t="str">
            <v>ＶＴ RHD</v>
          </cell>
          <cell r="C152">
            <v>2000</v>
          </cell>
          <cell r="D152">
            <v>7</v>
          </cell>
          <cell r="E152" t="str">
            <v>MY</v>
          </cell>
          <cell r="F152">
            <v>6</v>
          </cell>
          <cell r="G152">
            <v>12</v>
          </cell>
          <cell r="H152">
            <v>12</v>
          </cell>
          <cell r="J152" t="str">
            <v>HMC</v>
          </cell>
          <cell r="K152">
            <v>120653488.23283726</v>
          </cell>
          <cell r="M152">
            <v>6</v>
          </cell>
          <cell r="N152">
            <v>6</v>
          </cell>
          <cell r="U152">
            <v>121</v>
          </cell>
          <cell r="V152">
            <v>121</v>
          </cell>
          <cell r="W152">
            <v>0</v>
          </cell>
          <cell r="X152">
            <v>60.5</v>
          </cell>
          <cell r="Y152">
            <v>60.5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</row>
        <row r="153">
          <cell r="A153" t="str">
            <v>PW002</v>
          </cell>
          <cell r="B153" t="str">
            <v>현대정공 QA</v>
          </cell>
          <cell r="C153">
            <v>2000</v>
          </cell>
          <cell r="D153">
            <v>8</v>
          </cell>
          <cell r="E153" t="str">
            <v>MY</v>
          </cell>
          <cell r="F153">
            <v>5</v>
          </cell>
          <cell r="G153">
            <v>12</v>
          </cell>
          <cell r="H153">
            <v>12</v>
          </cell>
          <cell r="J153" t="str">
            <v>HMC</v>
          </cell>
          <cell r="K153">
            <v>2772125249.3278489</v>
          </cell>
          <cell r="M153">
            <v>5</v>
          </cell>
          <cell r="N153">
            <v>7</v>
          </cell>
          <cell r="U153">
            <v>2772</v>
          </cell>
          <cell r="V153">
            <v>2772</v>
          </cell>
          <cell r="W153">
            <v>0</v>
          </cell>
          <cell r="X153">
            <v>1155</v>
          </cell>
          <cell r="Y153">
            <v>1617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A154" t="str">
            <v>PN026</v>
          </cell>
          <cell r="B154" t="str">
            <v>A/TOWN '00 MY</v>
          </cell>
          <cell r="C154">
            <v>2000</v>
          </cell>
          <cell r="D154">
            <v>9</v>
          </cell>
          <cell r="E154" t="str">
            <v>MY</v>
          </cell>
          <cell r="F154">
            <v>4</v>
          </cell>
          <cell r="G154">
            <v>12</v>
          </cell>
          <cell r="H154">
            <v>12</v>
          </cell>
          <cell r="I154" t="str">
            <v>PZ073</v>
          </cell>
          <cell r="J154" t="str">
            <v>HMC</v>
          </cell>
          <cell r="K154">
            <v>736695712.7005527</v>
          </cell>
          <cell r="M154">
            <v>4</v>
          </cell>
          <cell r="N154">
            <v>8</v>
          </cell>
          <cell r="U154">
            <v>737</v>
          </cell>
          <cell r="V154">
            <v>737</v>
          </cell>
          <cell r="W154">
            <v>0</v>
          </cell>
          <cell r="X154">
            <v>245.66666666666666</v>
          </cell>
          <cell r="Y154">
            <v>491.33333333333331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A155" t="str">
            <v>PL012</v>
          </cell>
          <cell r="B155" t="str">
            <v>COUNTY '00 MY</v>
          </cell>
          <cell r="C155">
            <v>2000</v>
          </cell>
          <cell r="D155">
            <v>10</v>
          </cell>
          <cell r="E155" t="str">
            <v>MY</v>
          </cell>
          <cell r="F155">
            <v>3</v>
          </cell>
          <cell r="G155">
            <v>12</v>
          </cell>
          <cell r="H155">
            <v>12</v>
          </cell>
          <cell r="J155" t="str">
            <v>HMC</v>
          </cell>
          <cell r="K155">
            <v>90169710.93606396</v>
          </cell>
          <cell r="M155">
            <v>3</v>
          </cell>
          <cell r="N155">
            <v>9</v>
          </cell>
          <cell r="U155">
            <v>90</v>
          </cell>
          <cell r="V155">
            <v>90</v>
          </cell>
          <cell r="W155">
            <v>0</v>
          </cell>
          <cell r="X155">
            <v>22.5</v>
          </cell>
          <cell r="Y155">
            <v>67.5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</row>
        <row r="156">
          <cell r="A156" t="str">
            <v>PW003</v>
          </cell>
          <cell r="B156" t="str">
            <v>DS-2  (카스타）</v>
          </cell>
          <cell r="C156">
            <v>2000</v>
          </cell>
          <cell r="D156">
            <v>10</v>
          </cell>
          <cell r="E156" t="str">
            <v>MY</v>
          </cell>
          <cell r="F156">
            <v>3</v>
          </cell>
          <cell r="G156">
            <v>12</v>
          </cell>
          <cell r="H156">
            <v>12</v>
          </cell>
          <cell r="J156" t="str">
            <v>HMC</v>
          </cell>
          <cell r="K156">
            <v>293732008.95566922</v>
          </cell>
          <cell r="M156">
            <v>3</v>
          </cell>
          <cell r="N156">
            <v>9</v>
          </cell>
          <cell r="U156">
            <v>294</v>
          </cell>
          <cell r="V156">
            <v>294</v>
          </cell>
          <cell r="W156">
            <v>0</v>
          </cell>
          <cell r="X156">
            <v>73.5</v>
          </cell>
          <cell r="Y156">
            <v>220.5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</row>
        <row r="157">
          <cell r="A157" t="str">
            <v>PN027</v>
          </cell>
          <cell r="B157" t="str">
            <v>CY 수출차</v>
          </cell>
          <cell r="C157">
            <v>2000</v>
          </cell>
          <cell r="D157">
            <v>11</v>
          </cell>
          <cell r="E157" t="str">
            <v>MY</v>
          </cell>
          <cell r="F157">
            <v>2</v>
          </cell>
          <cell r="G157">
            <v>12</v>
          </cell>
          <cell r="H157">
            <v>12</v>
          </cell>
          <cell r="J157" t="str">
            <v>HMC</v>
          </cell>
          <cell r="K157">
            <v>111393347.4395263</v>
          </cell>
          <cell r="M157">
            <v>2</v>
          </cell>
          <cell r="N157">
            <v>10</v>
          </cell>
          <cell r="U157">
            <v>111</v>
          </cell>
          <cell r="V157">
            <v>111</v>
          </cell>
          <cell r="W157">
            <v>0</v>
          </cell>
          <cell r="X157">
            <v>18.5</v>
          </cell>
          <cell r="Y157">
            <v>92.5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A158" t="str">
            <v>PB022</v>
          </cell>
          <cell r="B158" t="str">
            <v xml:space="preserve">LC DSL ENG 탑재 </v>
          </cell>
          <cell r="C158">
            <v>2001</v>
          </cell>
          <cell r="D158">
            <v>3</v>
          </cell>
          <cell r="E158" t="str">
            <v>MY</v>
          </cell>
          <cell r="F158">
            <v>10</v>
          </cell>
          <cell r="G158">
            <v>12</v>
          </cell>
          <cell r="H158">
            <v>12</v>
          </cell>
          <cell r="J158" t="str">
            <v>HMC</v>
          </cell>
          <cell r="K158">
            <v>21559937.102394182</v>
          </cell>
          <cell r="N158">
            <v>10</v>
          </cell>
          <cell r="O158">
            <v>2</v>
          </cell>
          <cell r="U158">
            <v>22</v>
          </cell>
          <cell r="V158">
            <v>22</v>
          </cell>
          <cell r="W158">
            <v>0</v>
          </cell>
          <cell r="X158">
            <v>0</v>
          </cell>
          <cell r="Y158">
            <v>18.333333333333332</v>
          </cell>
          <cell r="Z158">
            <v>3.6666666666666665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A159" t="str">
            <v>PN012</v>
          </cell>
          <cell r="B159" t="str">
            <v>대형차 '00 EM</v>
          </cell>
          <cell r="C159">
            <v>2000</v>
          </cell>
          <cell r="D159">
            <v>1</v>
          </cell>
          <cell r="E159" t="e">
            <v>#N/A</v>
          </cell>
          <cell r="F159">
            <v>12</v>
          </cell>
          <cell r="G159">
            <v>12</v>
          </cell>
          <cell r="H159">
            <v>12</v>
          </cell>
          <cell r="J159" t="str">
            <v>HMC</v>
          </cell>
          <cell r="K159">
            <v>242117169.78113252</v>
          </cell>
          <cell r="M159">
            <v>12</v>
          </cell>
          <cell r="U159">
            <v>242</v>
          </cell>
          <cell r="V159">
            <v>242</v>
          </cell>
          <cell r="W159">
            <v>0</v>
          </cell>
          <cell r="X159">
            <v>242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</row>
        <row r="160">
          <cell r="A160" t="str">
            <v>PZ047</v>
          </cell>
          <cell r="B160" t="e">
            <v>#N/A</v>
          </cell>
          <cell r="E160" t="e">
            <v>#N/A</v>
          </cell>
          <cell r="F160">
            <v>13</v>
          </cell>
          <cell r="G160">
            <v>1</v>
          </cell>
          <cell r="H160">
            <v>1</v>
          </cell>
          <cell r="J160" t="str">
            <v>HMC</v>
          </cell>
          <cell r="K160">
            <v>7420118.378898873</v>
          </cell>
          <cell r="L160">
            <v>1</v>
          </cell>
          <cell r="U160">
            <v>7</v>
          </cell>
          <cell r="V160">
            <v>7</v>
          </cell>
          <cell r="W160">
            <v>7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2.대외공문"/>
      <sheetName val="변경후"/>
      <sheetName val="Sheet1"/>
      <sheetName val="Sheet2"/>
      <sheetName val="Sheet3"/>
      <sheetName val=""/>
      <sheetName val="DETAIL SHEET"/>
      <sheetName val="1"/>
      <sheetName val="_REF"/>
      <sheetName val="2_대외공문"/>
      <sheetName val="기초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 refreshError="1"/>
      <sheetData sheetId="12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2.대외공문"/>
      <sheetName val="디자인"/>
      <sheetName val="승용"/>
      <sheetName val="엔설"/>
      <sheetName val="전자"/>
      <sheetName val="2_대외공문"/>
      <sheetName val="2_____"/>
      <sheetName val="본문1"/>
      <sheetName val="본문2"/>
      <sheetName val="본문3"/>
      <sheetName val="본문4"/>
      <sheetName val="사진(공장전경)"/>
      <sheetName val="사진(생산라인)"/>
      <sheetName val="사진(시험실)"/>
      <sheetName val="사진(주요생산품)"/>
      <sheetName val="2.대문"/>
      <sheetName val="3"/>
      <sheetName val="기안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2"/>
    </sheetNames>
    <sheetDataSet>
      <sheetData sheetId="0" refreshError="1">
        <row r="1">
          <cell r="B1" t="str">
            <v>Macro4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COMPO유형"/>
      <sheetName val="1차종별 산식도출"/>
      <sheetName val="2COMPO_TABLE"/>
      <sheetName val="4차종 (VOL)"/>
      <sheetName val="예산계획"/>
      <sheetName val="2.대외공문"/>
      <sheetName val="#REF"/>
      <sheetName val="용역인건비"/>
      <sheetName val="유지정비"/>
      <sheetName val="RD제품개발투자비(매가)"/>
      <sheetName val="경비공통"/>
    </sheetNames>
    <sheetDataSet>
      <sheetData sheetId="0"/>
      <sheetData sheetId="1"/>
      <sheetData sheetId="2" refreshError="1">
        <row r="4">
          <cell r="AY4" t="str">
            <v>K.D</v>
          </cell>
          <cell r="AZ4" t="str">
            <v>B</v>
          </cell>
          <cell r="BA4" t="str">
            <v>Y3</v>
          </cell>
          <cell r="BB4" t="str">
            <v>AB</v>
          </cell>
          <cell r="BC4" t="str">
            <v>USA</v>
          </cell>
          <cell r="BD4" t="str">
            <v>B28</v>
          </cell>
          <cell r="BI4" t="str">
            <v>VM642</v>
          </cell>
          <cell r="BJ4">
            <v>2</v>
          </cell>
          <cell r="BS4" t="str">
            <v>WGN초장축</v>
          </cell>
          <cell r="BT4" t="str">
            <v>F</v>
          </cell>
          <cell r="BU4" t="str">
            <v>MPI4V</v>
          </cell>
          <cell r="BV4">
            <v>6</v>
          </cell>
          <cell r="BW4" t="str">
            <v>장축M/T</v>
          </cell>
          <cell r="BX4">
            <v>5</v>
          </cell>
        </row>
        <row r="5">
          <cell r="AY5" t="str">
            <v>현대정공</v>
          </cell>
          <cell r="AZ5" t="str">
            <v>D</v>
          </cell>
          <cell r="BA5" t="str">
            <v>XG</v>
          </cell>
          <cell r="BB5" t="str">
            <v>EB</v>
          </cell>
          <cell r="BC5" t="str">
            <v>CAN</v>
          </cell>
          <cell r="BD5" t="str">
            <v>B06</v>
          </cell>
          <cell r="BI5" t="str">
            <v>T-2</v>
          </cell>
          <cell r="BJ5" t="str">
            <v>G</v>
          </cell>
          <cell r="BS5" t="str">
            <v>WGN장축</v>
          </cell>
          <cell r="BT5" t="str">
            <v>E</v>
          </cell>
          <cell r="BU5" t="str">
            <v>MPI3V</v>
          </cell>
          <cell r="BV5">
            <v>3</v>
          </cell>
          <cell r="BW5" t="str">
            <v>장축A/T</v>
          </cell>
          <cell r="BX5" t="str">
            <v>B</v>
          </cell>
        </row>
        <row r="6">
          <cell r="AY6" t="str">
            <v>완성차</v>
          </cell>
          <cell r="AZ6" t="str">
            <v>A</v>
          </cell>
          <cell r="BA6" t="str">
            <v>X3</v>
          </cell>
          <cell r="BB6" t="str">
            <v>AA</v>
          </cell>
          <cell r="BC6" t="str">
            <v>일반</v>
          </cell>
          <cell r="BD6" t="str">
            <v>GEN</v>
          </cell>
          <cell r="BI6" t="str">
            <v>T-1</v>
          </cell>
          <cell r="BJ6" t="str">
            <v>X</v>
          </cell>
          <cell r="BS6" t="str">
            <v>WGN단축(4WD)</v>
          </cell>
          <cell r="BT6" t="str">
            <v>D</v>
          </cell>
          <cell r="BU6" t="str">
            <v>MPI2V</v>
          </cell>
          <cell r="BV6">
            <v>3</v>
          </cell>
          <cell r="BW6" t="str">
            <v>단축M/T</v>
          </cell>
          <cell r="BX6">
            <v>5</v>
          </cell>
        </row>
        <row r="7">
          <cell r="AY7" t="str">
            <v>산업용</v>
          </cell>
          <cell r="AZ7" t="str">
            <v>C</v>
          </cell>
          <cell r="BA7" t="str">
            <v>SANTAMO</v>
          </cell>
          <cell r="BB7" t="str">
            <v>JS</v>
          </cell>
          <cell r="BC7" t="str">
            <v>유럽</v>
          </cell>
          <cell r="BD7" t="str">
            <v>C51</v>
          </cell>
          <cell r="BI7" t="str">
            <v>Q-DD</v>
          </cell>
          <cell r="BJ7" t="str">
            <v>G</v>
          </cell>
          <cell r="BS7" t="str">
            <v>WGN단축</v>
          </cell>
          <cell r="BT7" t="str">
            <v>D</v>
          </cell>
          <cell r="BU7" t="str">
            <v>IDI</v>
          </cell>
          <cell r="BV7">
            <v>5</v>
          </cell>
          <cell r="BW7" t="str">
            <v>단축A/T</v>
          </cell>
          <cell r="BX7" t="str">
            <v>B</v>
          </cell>
        </row>
        <row r="8">
          <cell r="AY8" t="str">
            <v/>
          </cell>
          <cell r="BA8" t="str">
            <v>RD</v>
          </cell>
          <cell r="BC8" t="str">
            <v>북미</v>
          </cell>
          <cell r="BD8" t="str">
            <v>B28</v>
          </cell>
          <cell r="BI8" t="str">
            <v>Q-D</v>
          </cell>
          <cell r="BJ8" t="str">
            <v>G</v>
          </cell>
          <cell r="BS8" t="str">
            <v>VAN초장축</v>
          </cell>
          <cell r="BT8" t="str">
            <v>C</v>
          </cell>
          <cell r="BU8" t="str">
            <v>GDI4V</v>
          </cell>
          <cell r="BV8" t="str">
            <v>A</v>
          </cell>
          <cell r="BW8" t="str">
            <v>단축(4WD)M/T</v>
          </cell>
          <cell r="BX8">
            <v>6</v>
          </cell>
        </row>
        <row r="9">
          <cell r="AY9" t="str">
            <v/>
          </cell>
          <cell r="BA9" t="str">
            <v>PORTER</v>
          </cell>
          <cell r="BB9" t="str">
            <v>HA</v>
          </cell>
          <cell r="BC9" t="str">
            <v>내수</v>
          </cell>
          <cell r="BD9" t="str">
            <v>A99</v>
          </cell>
          <cell r="BI9" t="str">
            <v>L-TCI DD</v>
          </cell>
          <cell r="BJ9" t="str">
            <v>A</v>
          </cell>
          <cell r="BS9" t="str">
            <v>VAN장축</v>
          </cell>
          <cell r="BT9" t="str">
            <v>B</v>
          </cell>
          <cell r="BU9" t="str">
            <v>FBM4V</v>
          </cell>
          <cell r="BV9">
            <v>9</v>
          </cell>
          <cell r="BW9" t="str">
            <v>단축(4WD)A/T</v>
          </cell>
          <cell r="BX9" t="str">
            <v>C</v>
          </cell>
        </row>
        <row r="10">
          <cell r="AY10" t="str">
            <v/>
          </cell>
          <cell r="BA10" t="str">
            <v>MX</v>
          </cell>
          <cell r="BB10" t="str">
            <v>AC</v>
          </cell>
          <cell r="BC10" t="str">
            <v xml:space="preserve"> Vietnam</v>
          </cell>
          <cell r="BD10" t="str">
            <v>A26</v>
          </cell>
          <cell r="BI10" t="str">
            <v>L-TCI D</v>
          </cell>
          <cell r="BJ10">
            <v>8</v>
          </cell>
          <cell r="BS10" t="str">
            <v>VAN단축</v>
          </cell>
          <cell r="BT10" t="str">
            <v>A</v>
          </cell>
          <cell r="BU10" t="str">
            <v>FBM3V</v>
          </cell>
          <cell r="BV10">
            <v>2</v>
          </cell>
          <cell r="BW10" t="str">
            <v>4WDM/T(수)</v>
          </cell>
          <cell r="BX10">
            <v>6</v>
          </cell>
        </row>
        <row r="11">
          <cell r="AY11" t="str">
            <v/>
          </cell>
          <cell r="BA11" t="str">
            <v>MIGHTY</v>
          </cell>
          <cell r="BB11" t="str">
            <v>UB</v>
          </cell>
          <cell r="BC11" t="str">
            <v xml:space="preserve"> Venezuela</v>
          </cell>
          <cell r="BD11" t="str">
            <v>B29</v>
          </cell>
          <cell r="BI11" t="str">
            <v>L-TCI</v>
          </cell>
          <cell r="BJ11" t="str">
            <v>C</v>
          </cell>
          <cell r="BS11" t="str">
            <v>RDWGN</v>
          </cell>
          <cell r="BT11" t="str">
            <v>AK</v>
          </cell>
          <cell r="BU11" t="str">
            <v>FBM2V</v>
          </cell>
          <cell r="BV11">
            <v>2</v>
          </cell>
          <cell r="BW11" t="str">
            <v>4WDM/T</v>
          </cell>
          <cell r="BX11">
            <v>6</v>
          </cell>
        </row>
        <row r="12">
          <cell r="AY12" t="str">
            <v/>
          </cell>
          <cell r="BA12" t="str">
            <v>LZ</v>
          </cell>
          <cell r="BB12" t="str">
            <v>EA</v>
          </cell>
          <cell r="BC12" t="str">
            <v xml:space="preserve"> Turkey</v>
          </cell>
          <cell r="BD12" t="str">
            <v>D26</v>
          </cell>
          <cell r="BI12" t="str">
            <v>D-ENG</v>
          </cell>
          <cell r="BJ12" t="str">
            <v>?</v>
          </cell>
          <cell r="BS12" t="str">
            <v>RDSDN</v>
          </cell>
          <cell r="BT12" t="str">
            <v>AK</v>
          </cell>
          <cell r="BU12" t="str">
            <v>CON3V</v>
          </cell>
          <cell r="BV12">
            <v>4</v>
          </cell>
          <cell r="BW12" t="str">
            <v>4WDA/T(수)</v>
          </cell>
          <cell r="BX12" t="str">
            <v>C</v>
          </cell>
        </row>
        <row r="13">
          <cell r="AY13" t="str">
            <v/>
          </cell>
          <cell r="BA13" t="str">
            <v>LX</v>
          </cell>
          <cell r="BB13" t="str">
            <v>AM</v>
          </cell>
          <cell r="BC13" t="str">
            <v xml:space="preserve"> Pakistan</v>
          </cell>
          <cell r="BD13" t="str">
            <v>A19</v>
          </cell>
          <cell r="BI13" t="str">
            <v>D8AY</v>
          </cell>
          <cell r="BJ13" t="str">
            <v>L</v>
          </cell>
          <cell r="BS13" t="str">
            <v>RDCPE</v>
          </cell>
          <cell r="BT13" t="str">
            <v>AN</v>
          </cell>
          <cell r="BU13" t="str">
            <v>4D56TC</v>
          </cell>
          <cell r="BV13">
            <v>7</v>
          </cell>
          <cell r="BW13" t="str">
            <v>2WDM/T(수)</v>
          </cell>
          <cell r="BX13">
            <v>5</v>
          </cell>
        </row>
        <row r="14">
          <cell r="AY14" t="str">
            <v/>
          </cell>
          <cell r="BA14" t="str">
            <v>LC</v>
          </cell>
          <cell r="BB14" t="str">
            <v>BA</v>
          </cell>
          <cell r="BC14" t="str">
            <v xml:space="preserve"> Kenya</v>
          </cell>
          <cell r="BD14" t="str">
            <v>E19</v>
          </cell>
          <cell r="BI14" t="str">
            <v>D8AV</v>
          </cell>
          <cell r="BJ14" t="str">
            <v>M</v>
          </cell>
          <cell r="BU14" t="str">
            <v xml:space="preserve"> T-2</v>
          </cell>
          <cell r="BV14">
            <v>5</v>
          </cell>
          <cell r="BW14" t="str">
            <v>2WDM/T</v>
          </cell>
          <cell r="BX14">
            <v>5</v>
          </cell>
        </row>
        <row r="15">
          <cell r="AY15" t="str">
            <v/>
          </cell>
          <cell r="BA15" t="str">
            <v>J-1</v>
          </cell>
          <cell r="BB15" t="str">
            <v>J1</v>
          </cell>
          <cell r="BC15" t="str">
            <v xml:space="preserve"> Iran</v>
          </cell>
          <cell r="BD15" t="str">
            <v>D04</v>
          </cell>
          <cell r="BI15" t="str">
            <v>D8AC</v>
          </cell>
          <cell r="BJ15" t="str">
            <v>H</v>
          </cell>
          <cell r="BU15" t="str">
            <v xml:space="preserve"> T-1</v>
          </cell>
          <cell r="BV15">
            <v>5</v>
          </cell>
          <cell r="BW15" t="str">
            <v>2WDA/T(수)</v>
          </cell>
          <cell r="BX15" t="str">
            <v>B</v>
          </cell>
        </row>
        <row r="16">
          <cell r="AY16" t="str">
            <v/>
          </cell>
          <cell r="BA16" t="str">
            <v>HP-1</v>
          </cell>
          <cell r="BB16" t="str">
            <v>JH</v>
          </cell>
          <cell r="BC16" t="str">
            <v xml:space="preserve"> India</v>
          </cell>
          <cell r="BD16" t="str">
            <v>A10</v>
          </cell>
          <cell r="BI16" t="str">
            <v>D8AB</v>
          </cell>
          <cell r="BJ16" t="str">
            <v>N</v>
          </cell>
          <cell r="BU16" t="str">
            <v xml:space="preserve"> 4D56TCI</v>
          </cell>
          <cell r="BV16">
            <v>8</v>
          </cell>
          <cell r="BW16" t="str">
            <v>2WDA/T</v>
          </cell>
          <cell r="BX16" t="str">
            <v>B</v>
          </cell>
        </row>
        <row r="17">
          <cell r="AY17" t="str">
            <v/>
          </cell>
          <cell r="BA17" t="str">
            <v>GRACE</v>
          </cell>
          <cell r="BB17" t="str">
            <v>AG</v>
          </cell>
          <cell r="BC17" t="str">
            <v xml:space="preserve"> Egypt</v>
          </cell>
          <cell r="BD17" t="str">
            <v>E01</v>
          </cell>
          <cell r="BI17" t="str">
            <v>D6BR</v>
          </cell>
          <cell r="BJ17" t="str">
            <v>E</v>
          </cell>
          <cell r="BU17" t="str">
            <v xml:space="preserve"> 4D56TC</v>
          </cell>
          <cell r="BV17">
            <v>7</v>
          </cell>
        </row>
        <row r="18">
          <cell r="AY18" t="str">
            <v/>
          </cell>
          <cell r="BA18" t="str">
            <v>GALLOPER</v>
          </cell>
          <cell r="BB18" t="str">
            <v>GA</v>
          </cell>
          <cell r="BC18" t="str">
            <v xml:space="preserve"> China</v>
          </cell>
          <cell r="BD18" t="str">
            <v>A07</v>
          </cell>
          <cell r="BI18" t="str">
            <v>D6BJ</v>
          </cell>
          <cell r="BJ18" t="str">
            <v>F</v>
          </cell>
          <cell r="BU18" t="str">
            <v xml:space="preserve"> 3V</v>
          </cell>
          <cell r="BV18">
            <v>3</v>
          </cell>
        </row>
        <row r="19">
          <cell r="AY19" t="str">
            <v/>
          </cell>
          <cell r="BA19" t="str">
            <v>FO</v>
          </cell>
          <cell r="BB19" t="str">
            <v>EC</v>
          </cell>
          <cell r="BC19" t="str">
            <v xml:space="preserve"> Botswana</v>
          </cell>
          <cell r="BD19" t="str">
            <v>E02</v>
          </cell>
          <cell r="BI19" t="str">
            <v>D6AZ</v>
          </cell>
          <cell r="BJ19" t="str">
            <v>K</v>
          </cell>
          <cell r="BU19" t="str">
            <v>T-2</v>
          </cell>
          <cell r="BV19">
            <v>5</v>
          </cell>
        </row>
        <row r="20">
          <cell r="AY20" t="str">
            <v/>
          </cell>
          <cell r="BA20" t="str">
            <v>EF</v>
          </cell>
          <cell r="BB20" t="str">
            <v>DA</v>
          </cell>
          <cell r="BC20" t="str">
            <v xml:space="preserve"> </v>
          </cell>
          <cell r="BI20" t="str">
            <v>D6AV</v>
          </cell>
          <cell r="BJ20" t="str">
            <v>V</v>
          </cell>
          <cell r="BU20" t="str">
            <v>T-1</v>
          </cell>
          <cell r="BV20">
            <v>5</v>
          </cell>
        </row>
        <row r="21">
          <cell r="AY21" t="str">
            <v/>
          </cell>
          <cell r="BA21" t="str">
            <v>DS-2</v>
          </cell>
          <cell r="BB21" t="str">
            <v>JG</v>
          </cell>
          <cell r="BC21" t="str">
            <v/>
          </cell>
          <cell r="BI21" t="str">
            <v>D6AU</v>
          </cell>
          <cell r="BJ21" t="str">
            <v>J</v>
          </cell>
        </row>
        <row r="22">
          <cell r="AY22" t="str">
            <v/>
          </cell>
          <cell r="BA22" t="str">
            <v>COUNTY</v>
          </cell>
          <cell r="BB22" t="str">
            <v>NB</v>
          </cell>
          <cell r="BC22" t="str">
            <v/>
          </cell>
          <cell r="BI22" t="str">
            <v>D6AC</v>
          </cell>
          <cell r="BJ22" t="str">
            <v>H</v>
          </cell>
        </row>
        <row r="23">
          <cell r="AY23" t="str">
            <v/>
          </cell>
          <cell r="BA23" t="str">
            <v>CHORUS</v>
          </cell>
          <cell r="BB23" t="str">
            <v>NA</v>
          </cell>
          <cell r="BC23" t="str">
            <v/>
          </cell>
          <cell r="BI23" t="str">
            <v>D6AB</v>
          </cell>
          <cell r="BJ23" t="str">
            <v>G</v>
          </cell>
        </row>
        <row r="24">
          <cell r="AY24" t="str">
            <v/>
          </cell>
          <cell r="BA24" t="str">
            <v>A-1</v>
          </cell>
          <cell r="BB24" t="str">
            <v>GA</v>
          </cell>
          <cell r="BC24" t="str">
            <v/>
          </cell>
          <cell r="BI24" t="str">
            <v>D4AF</v>
          </cell>
          <cell r="BJ24" t="str">
            <v>A</v>
          </cell>
        </row>
        <row r="25">
          <cell r="AY25" t="str">
            <v/>
          </cell>
          <cell r="BA25" t="str">
            <v>A/TOWN</v>
          </cell>
          <cell r="BB25" t="str">
            <v>NH</v>
          </cell>
          <cell r="BC25" t="str">
            <v/>
          </cell>
          <cell r="BI25" t="str">
            <v>D4AE</v>
          </cell>
          <cell r="BJ25" t="str">
            <v>C</v>
          </cell>
        </row>
        <row r="26">
          <cell r="AY26" t="str">
            <v/>
          </cell>
          <cell r="BA26" t="str">
            <v>일반버스</v>
          </cell>
          <cell r="BC26" t="str">
            <v/>
          </cell>
          <cell r="BI26" t="str">
            <v>B-ENG</v>
          </cell>
          <cell r="BJ26" t="str">
            <v>?</v>
          </cell>
        </row>
        <row r="27">
          <cell r="AY27" t="str">
            <v/>
          </cell>
          <cell r="BA27" t="str">
            <v>산업용</v>
          </cell>
          <cell r="BB27" t="str">
            <v>SS</v>
          </cell>
          <cell r="BC27" t="str">
            <v/>
          </cell>
          <cell r="BI27" t="str">
            <v>수입엔진</v>
          </cell>
          <cell r="BJ27" t="str">
            <v>?</v>
          </cell>
        </row>
        <row r="28">
          <cell r="AY28" t="str">
            <v/>
          </cell>
          <cell r="BA28" t="str">
            <v>대형트럭</v>
          </cell>
          <cell r="BC28" t="str">
            <v/>
          </cell>
          <cell r="BI28" t="str">
            <v>8DC9 TCI D</v>
          </cell>
          <cell r="BJ28" t="str">
            <v>?</v>
          </cell>
        </row>
        <row r="29">
          <cell r="AY29" t="str">
            <v/>
          </cell>
          <cell r="BA29" t="str">
            <v>고속버스</v>
          </cell>
          <cell r="BC29" t="str">
            <v/>
          </cell>
          <cell r="BI29" t="str">
            <v>8DC9 T6</v>
          </cell>
          <cell r="BJ29" t="str">
            <v>U</v>
          </cell>
        </row>
        <row r="30">
          <cell r="AY30" t="str">
            <v/>
          </cell>
          <cell r="BA30" t="str">
            <v>5TON</v>
          </cell>
          <cell r="BB30" t="str">
            <v>VB</v>
          </cell>
          <cell r="BC30" t="str">
            <v/>
          </cell>
          <cell r="BI30" t="str">
            <v>8DC9 T2</v>
          </cell>
          <cell r="BJ30" t="str">
            <v>W</v>
          </cell>
        </row>
        <row r="31">
          <cell r="AY31" t="str">
            <v/>
          </cell>
          <cell r="BA31" t="str">
            <v/>
          </cell>
          <cell r="BC31" t="str">
            <v/>
          </cell>
          <cell r="BI31" t="str">
            <v>4V</v>
          </cell>
        </row>
        <row r="32">
          <cell r="AY32" t="str">
            <v/>
          </cell>
          <cell r="BA32" t="str">
            <v/>
          </cell>
          <cell r="BC32" t="str">
            <v/>
          </cell>
          <cell r="BI32" t="str">
            <v>4D56TCI</v>
          </cell>
          <cell r="BJ32" t="str">
            <v>Z</v>
          </cell>
        </row>
        <row r="33">
          <cell r="AY33" t="str">
            <v/>
          </cell>
          <cell r="BA33" t="str">
            <v/>
          </cell>
          <cell r="BC33" t="str">
            <v/>
          </cell>
          <cell r="BI33" t="str">
            <v>4D56TC</v>
          </cell>
          <cell r="BJ33" t="str">
            <v>Y</v>
          </cell>
        </row>
        <row r="34">
          <cell r="AY34" t="str">
            <v/>
          </cell>
          <cell r="BA34" t="str">
            <v/>
          </cell>
          <cell r="BC34" t="str">
            <v/>
          </cell>
          <cell r="BI34" t="str">
            <v>4D34TCI D</v>
          </cell>
          <cell r="BJ34" t="str">
            <v>Z</v>
          </cell>
        </row>
        <row r="35">
          <cell r="AY35" t="str">
            <v/>
          </cell>
          <cell r="BA35" t="str">
            <v/>
          </cell>
          <cell r="BC35" t="str">
            <v/>
          </cell>
          <cell r="BI35" t="str">
            <v>4D34TCI</v>
          </cell>
          <cell r="BJ35" t="str">
            <v>Y</v>
          </cell>
        </row>
        <row r="36">
          <cell r="AY36" t="str">
            <v/>
          </cell>
          <cell r="BA36" t="str">
            <v/>
          </cell>
          <cell r="BC36" t="str">
            <v/>
          </cell>
          <cell r="BI36" t="str">
            <v>4D31TCI</v>
          </cell>
          <cell r="BJ36" t="str">
            <v>X</v>
          </cell>
        </row>
        <row r="37">
          <cell r="AY37" t="str">
            <v/>
          </cell>
          <cell r="BA37" t="str">
            <v/>
          </cell>
          <cell r="BC37" t="str">
            <v/>
          </cell>
          <cell r="BI37" t="str">
            <v>3V</v>
          </cell>
          <cell r="BJ37" t="str">
            <v>P</v>
          </cell>
        </row>
        <row r="38">
          <cell r="AY38" t="str">
            <v/>
          </cell>
          <cell r="BA38" t="str">
            <v/>
          </cell>
          <cell r="BC38" t="str">
            <v/>
          </cell>
          <cell r="BI38" t="str">
            <v>2V</v>
          </cell>
        </row>
        <row r="39">
          <cell r="AY39" t="str">
            <v/>
          </cell>
          <cell r="BA39" t="str">
            <v/>
          </cell>
          <cell r="BC39" t="str">
            <v/>
          </cell>
          <cell r="BI39" t="str">
            <v>12L수입</v>
          </cell>
          <cell r="BJ39">
            <v>5</v>
          </cell>
        </row>
        <row r="40">
          <cell r="AY40" t="str">
            <v/>
          </cell>
          <cell r="BA40" t="str">
            <v/>
          </cell>
          <cell r="BC40" t="str">
            <v/>
          </cell>
          <cell r="BI40" t="str">
            <v/>
          </cell>
        </row>
        <row r="41">
          <cell r="AY41" t="str">
            <v/>
          </cell>
          <cell r="BA41" t="str">
            <v/>
          </cell>
          <cell r="BC41" t="str">
            <v/>
          </cell>
          <cell r="BI41" t="str">
            <v/>
          </cell>
        </row>
        <row r="42">
          <cell r="AY42" t="str">
            <v/>
          </cell>
          <cell r="BA42" t="str">
            <v/>
          </cell>
          <cell r="BC42" t="str">
            <v/>
          </cell>
          <cell r="BI42" t="str">
            <v/>
          </cell>
        </row>
        <row r="43">
          <cell r="AY43" t="str">
            <v/>
          </cell>
          <cell r="BA43" t="str">
            <v/>
          </cell>
          <cell r="BC43" t="str">
            <v/>
          </cell>
          <cell r="BI43" t="str">
            <v/>
          </cell>
        </row>
        <row r="44">
          <cell r="AY44" t="str">
            <v/>
          </cell>
          <cell r="BA44" t="str">
            <v/>
          </cell>
          <cell r="BC44" t="str">
            <v/>
          </cell>
          <cell r="BI44" t="str">
            <v/>
          </cell>
        </row>
        <row r="45">
          <cell r="AY45" t="str">
            <v/>
          </cell>
          <cell r="BA45" t="str">
            <v/>
          </cell>
          <cell r="BC45" t="str">
            <v/>
          </cell>
          <cell r="BI45" t="str">
            <v/>
          </cell>
        </row>
        <row r="46">
          <cell r="AY46" t="str">
            <v/>
          </cell>
          <cell r="BA46" t="str">
            <v/>
          </cell>
          <cell r="BC46" t="str">
            <v/>
          </cell>
          <cell r="BI46" t="str">
            <v/>
          </cell>
        </row>
        <row r="47">
          <cell r="AY47" t="str">
            <v/>
          </cell>
          <cell r="BA47" t="str">
            <v/>
          </cell>
          <cell r="BC47" t="str">
            <v/>
          </cell>
          <cell r="BI47" t="str">
            <v/>
          </cell>
        </row>
        <row r="48">
          <cell r="AY48" t="str">
            <v/>
          </cell>
          <cell r="BA48" t="str">
            <v/>
          </cell>
          <cell r="BC48" t="str">
            <v/>
          </cell>
          <cell r="BI48" t="str">
            <v/>
          </cell>
        </row>
        <row r="49">
          <cell r="AY49" t="str">
            <v/>
          </cell>
          <cell r="BA49" t="str">
            <v/>
          </cell>
          <cell r="BC49" t="str">
            <v/>
          </cell>
          <cell r="BI49" t="str">
            <v/>
          </cell>
        </row>
        <row r="50">
          <cell r="AY50" t="str">
            <v/>
          </cell>
          <cell r="BA50" t="str">
            <v/>
          </cell>
          <cell r="BC50" t="str">
            <v/>
          </cell>
          <cell r="BI50" t="str">
            <v/>
          </cell>
        </row>
        <row r="51">
          <cell r="AY51" t="str">
            <v/>
          </cell>
          <cell r="BA51" t="str">
            <v/>
          </cell>
          <cell r="BC51" t="str">
            <v/>
          </cell>
          <cell r="BI51" t="str">
            <v/>
          </cell>
        </row>
        <row r="52">
          <cell r="AY52" t="str">
            <v/>
          </cell>
          <cell r="BA52" t="str">
            <v/>
          </cell>
          <cell r="BC52" t="str">
            <v/>
          </cell>
          <cell r="BI52" t="str">
            <v/>
          </cell>
        </row>
        <row r="53">
          <cell r="AY53" t="str">
            <v/>
          </cell>
          <cell r="BA53" t="str">
            <v/>
          </cell>
          <cell r="BC53" t="str">
            <v/>
          </cell>
          <cell r="BI53" t="str">
            <v/>
          </cell>
        </row>
        <row r="54">
          <cell r="AY54" t="str">
            <v/>
          </cell>
          <cell r="BA54" t="str">
            <v/>
          </cell>
          <cell r="BC54" t="str">
            <v/>
          </cell>
          <cell r="BI54" t="str">
            <v/>
          </cell>
        </row>
        <row r="55">
          <cell r="AY55" t="str">
            <v/>
          </cell>
          <cell r="BA55" t="str">
            <v/>
          </cell>
          <cell r="BC55" t="str">
            <v/>
          </cell>
          <cell r="BI55" t="str">
            <v/>
          </cell>
        </row>
        <row r="56">
          <cell r="AY56" t="str">
            <v/>
          </cell>
          <cell r="BA56" t="str">
            <v/>
          </cell>
          <cell r="BC56" t="str">
            <v/>
          </cell>
          <cell r="BI56" t="str">
            <v/>
          </cell>
        </row>
        <row r="57">
          <cell r="AY57" t="str">
            <v/>
          </cell>
          <cell r="BA57" t="str">
            <v/>
          </cell>
          <cell r="BC57" t="str">
            <v/>
          </cell>
          <cell r="BI57" t="str">
            <v/>
          </cell>
        </row>
        <row r="58">
          <cell r="AY58" t="str">
            <v/>
          </cell>
          <cell r="BA58" t="str">
            <v/>
          </cell>
          <cell r="BC58" t="str">
            <v/>
          </cell>
          <cell r="BI58" t="str">
            <v/>
          </cell>
        </row>
        <row r="59">
          <cell r="AY59" t="str">
            <v/>
          </cell>
          <cell r="BA59" t="str">
            <v/>
          </cell>
          <cell r="BC59" t="str">
            <v/>
          </cell>
          <cell r="BI59" t="str">
            <v/>
          </cell>
        </row>
        <row r="60">
          <cell r="AY60" t="str">
            <v/>
          </cell>
          <cell r="BA60" t="str">
            <v/>
          </cell>
          <cell r="BC60" t="str">
            <v/>
          </cell>
          <cell r="BI60" t="str">
            <v/>
          </cell>
        </row>
        <row r="61">
          <cell r="AY61" t="str">
            <v/>
          </cell>
          <cell r="BA61" t="str">
            <v/>
          </cell>
          <cell r="BC61" t="str">
            <v/>
          </cell>
          <cell r="BI61" t="str">
            <v/>
          </cell>
          <cell r="BS61" t="str">
            <v xml:space="preserve">  </v>
          </cell>
        </row>
        <row r="62">
          <cell r="AY62" t="str">
            <v/>
          </cell>
          <cell r="BA62" t="str">
            <v/>
          </cell>
          <cell r="BC62" t="str">
            <v/>
          </cell>
          <cell r="BI62" t="str">
            <v/>
          </cell>
          <cell r="BS62" t="str">
            <v/>
          </cell>
        </row>
        <row r="63">
          <cell r="AY63" t="str">
            <v/>
          </cell>
          <cell r="BA63" t="str">
            <v/>
          </cell>
          <cell r="BC63" t="str">
            <v/>
          </cell>
          <cell r="BI63" t="str">
            <v/>
          </cell>
          <cell r="BS63" t="str">
            <v/>
          </cell>
        </row>
        <row r="64">
          <cell r="AY64" t="str">
            <v/>
          </cell>
          <cell r="BA64" t="str">
            <v/>
          </cell>
          <cell r="BC64" t="str">
            <v/>
          </cell>
          <cell r="BI64" t="str">
            <v/>
          </cell>
          <cell r="BS64" t="str">
            <v/>
          </cell>
        </row>
        <row r="65">
          <cell r="AY65" t="str">
            <v/>
          </cell>
          <cell r="BA65" t="str">
            <v/>
          </cell>
          <cell r="BC65" t="str">
            <v/>
          </cell>
          <cell r="BI65" t="str">
            <v/>
          </cell>
          <cell r="BS65" t="str">
            <v/>
          </cell>
        </row>
        <row r="66">
          <cell r="AY66" t="str">
            <v/>
          </cell>
          <cell r="BA66" t="str">
            <v/>
          </cell>
          <cell r="BC66" t="str">
            <v/>
          </cell>
          <cell r="BI66" t="str">
            <v/>
          </cell>
          <cell r="BS66" t="str">
            <v/>
          </cell>
        </row>
        <row r="67">
          <cell r="AY67" t="str">
            <v/>
          </cell>
          <cell r="BA67" t="str">
            <v/>
          </cell>
          <cell r="BC67" t="str">
            <v/>
          </cell>
          <cell r="BI67" t="str">
            <v/>
          </cell>
          <cell r="BS67" t="str">
            <v/>
          </cell>
        </row>
        <row r="68">
          <cell r="AY68" t="str">
            <v/>
          </cell>
          <cell r="BA68" t="str">
            <v/>
          </cell>
          <cell r="BC68" t="str">
            <v/>
          </cell>
          <cell r="BI68" t="str">
            <v/>
          </cell>
          <cell r="BS68" t="str">
            <v/>
          </cell>
        </row>
        <row r="69">
          <cell r="AY69" t="str">
            <v/>
          </cell>
          <cell r="BA69" t="str">
            <v/>
          </cell>
          <cell r="BC69" t="str">
            <v/>
          </cell>
          <cell r="BI69" t="str">
            <v/>
          </cell>
          <cell r="BS69" t="str">
            <v/>
          </cell>
        </row>
        <row r="70">
          <cell r="AY70" t="str">
            <v/>
          </cell>
          <cell r="BA70" t="str">
            <v/>
          </cell>
          <cell r="BC70" t="str">
            <v/>
          </cell>
          <cell r="BI70" t="str">
            <v/>
          </cell>
          <cell r="BS70" t="str">
            <v/>
          </cell>
        </row>
        <row r="71">
          <cell r="AY71" t="str">
            <v/>
          </cell>
          <cell r="BA71" t="str">
            <v/>
          </cell>
          <cell r="BC71" t="str">
            <v/>
          </cell>
          <cell r="BI71" t="str">
            <v/>
          </cell>
          <cell r="BS71" t="str">
            <v/>
          </cell>
        </row>
        <row r="72">
          <cell r="AY72" t="str">
            <v/>
          </cell>
          <cell r="BA72" t="str">
            <v/>
          </cell>
          <cell r="BC72" t="str">
            <v/>
          </cell>
          <cell r="BI72" t="str">
            <v/>
          </cell>
          <cell r="BS72" t="str">
            <v/>
          </cell>
        </row>
        <row r="73">
          <cell r="AY73" t="str">
            <v/>
          </cell>
          <cell r="BA73" t="str">
            <v/>
          </cell>
          <cell r="BC73" t="str">
            <v/>
          </cell>
          <cell r="BI73" t="str">
            <v/>
          </cell>
          <cell r="BS73" t="str">
            <v/>
          </cell>
        </row>
        <row r="74">
          <cell r="AY74" t="str">
            <v/>
          </cell>
          <cell r="BA74" t="str">
            <v/>
          </cell>
          <cell r="BC74" t="str">
            <v/>
          </cell>
          <cell r="BI74" t="str">
            <v/>
          </cell>
          <cell r="BS74" t="str">
            <v/>
          </cell>
        </row>
        <row r="75">
          <cell r="AY75" t="str">
            <v/>
          </cell>
          <cell r="BA75" t="str">
            <v/>
          </cell>
          <cell r="BC75" t="str">
            <v/>
          </cell>
          <cell r="BI75" t="str">
            <v/>
          </cell>
          <cell r="BS75" t="str">
            <v/>
          </cell>
        </row>
        <row r="76">
          <cell r="AY76" t="str">
            <v/>
          </cell>
          <cell r="BA76" t="str">
            <v/>
          </cell>
          <cell r="BC76" t="str">
            <v/>
          </cell>
          <cell r="BI76" t="str">
            <v/>
          </cell>
          <cell r="BS76" t="str">
            <v/>
          </cell>
        </row>
        <row r="77">
          <cell r="AY77" t="str">
            <v/>
          </cell>
          <cell r="BA77" t="str">
            <v/>
          </cell>
          <cell r="BC77" t="str">
            <v/>
          </cell>
          <cell r="BI77" t="str">
            <v/>
          </cell>
          <cell r="BS77" t="str">
            <v/>
          </cell>
        </row>
        <row r="78">
          <cell r="AY78" t="str">
            <v/>
          </cell>
          <cell r="BA78" t="str">
            <v/>
          </cell>
          <cell r="BC78" t="str">
            <v/>
          </cell>
          <cell r="BI78" t="str">
            <v/>
          </cell>
          <cell r="BS78" t="str">
            <v/>
          </cell>
        </row>
        <row r="79">
          <cell r="AY79" t="str">
            <v/>
          </cell>
          <cell r="BA79" t="str">
            <v/>
          </cell>
          <cell r="BC79" t="str">
            <v/>
          </cell>
          <cell r="BI79" t="str">
            <v/>
          </cell>
          <cell r="BS79" t="str">
            <v/>
          </cell>
        </row>
        <row r="80">
          <cell r="AY80" t="str">
            <v/>
          </cell>
          <cell r="BA80" t="str">
            <v/>
          </cell>
          <cell r="BC80" t="str">
            <v/>
          </cell>
          <cell r="BI80" t="str">
            <v/>
          </cell>
          <cell r="BS80" t="str">
            <v/>
          </cell>
        </row>
        <row r="81">
          <cell r="AY81" t="str">
            <v/>
          </cell>
          <cell r="BA81" t="str">
            <v/>
          </cell>
          <cell r="BC81" t="str">
            <v/>
          </cell>
          <cell r="BI81" t="str">
            <v/>
          </cell>
          <cell r="BS81" t="str">
            <v/>
          </cell>
        </row>
        <row r="82">
          <cell r="AY82" t="str">
            <v/>
          </cell>
          <cell r="BA82" t="str">
            <v/>
          </cell>
          <cell r="BC82" t="str">
            <v/>
          </cell>
          <cell r="BI82" t="str">
            <v/>
          </cell>
          <cell r="BS82" t="str">
            <v/>
          </cell>
        </row>
        <row r="83">
          <cell r="AY83" t="str">
            <v/>
          </cell>
          <cell r="BA83" t="str">
            <v/>
          </cell>
          <cell r="BC83" t="str">
            <v/>
          </cell>
          <cell r="BI83" t="str">
            <v/>
          </cell>
          <cell r="BS83" t="str">
            <v/>
          </cell>
        </row>
        <row r="84">
          <cell r="AY84" t="str">
            <v/>
          </cell>
          <cell r="BA84" t="str">
            <v/>
          </cell>
          <cell r="BC84" t="str">
            <v/>
          </cell>
          <cell r="BI84" t="str">
            <v/>
          </cell>
          <cell r="BS84" t="str">
            <v/>
          </cell>
        </row>
        <row r="85">
          <cell r="AY85" t="str">
            <v/>
          </cell>
          <cell r="BA85" t="str">
            <v/>
          </cell>
          <cell r="BC85" t="str">
            <v/>
          </cell>
          <cell r="BI85" t="str">
            <v/>
          </cell>
          <cell r="BS85" t="str">
            <v/>
          </cell>
        </row>
        <row r="86">
          <cell r="AY86" t="str">
            <v/>
          </cell>
          <cell r="BA86" t="str">
            <v/>
          </cell>
          <cell r="BC86" t="str">
            <v/>
          </cell>
          <cell r="BI86" t="str">
            <v/>
          </cell>
          <cell r="BS86" t="str">
            <v/>
          </cell>
        </row>
        <row r="87">
          <cell r="AY87" t="str">
            <v/>
          </cell>
          <cell r="BA87" t="str">
            <v/>
          </cell>
          <cell r="BC87" t="str">
            <v/>
          </cell>
          <cell r="BI87" t="str">
            <v/>
          </cell>
          <cell r="BS87" t="str">
            <v/>
          </cell>
        </row>
        <row r="88">
          <cell r="AY88" t="str">
            <v/>
          </cell>
          <cell r="BA88" t="str">
            <v/>
          </cell>
          <cell r="BC88" t="str">
            <v/>
          </cell>
          <cell r="BI88" t="str">
            <v/>
          </cell>
          <cell r="BS88" t="str">
            <v/>
          </cell>
        </row>
        <row r="89">
          <cell r="AY89" t="str">
            <v/>
          </cell>
          <cell r="BA89" t="str">
            <v/>
          </cell>
          <cell r="BC89" t="str">
            <v/>
          </cell>
          <cell r="BI89" t="str">
            <v/>
          </cell>
          <cell r="BS89" t="str">
            <v/>
          </cell>
        </row>
        <row r="90">
          <cell r="AY90" t="str">
            <v/>
          </cell>
          <cell r="BA90" t="str">
            <v/>
          </cell>
          <cell r="BC90" t="str">
            <v/>
          </cell>
          <cell r="BI90" t="str">
            <v/>
          </cell>
          <cell r="BS90" t="str">
            <v/>
          </cell>
        </row>
        <row r="91">
          <cell r="AY91" t="str">
            <v/>
          </cell>
          <cell r="BA91" t="str">
            <v/>
          </cell>
          <cell r="BC91" t="str">
            <v/>
          </cell>
          <cell r="BI91" t="str">
            <v/>
          </cell>
          <cell r="BS91" t="str">
            <v/>
          </cell>
        </row>
        <row r="92">
          <cell r="AY92" t="str">
            <v/>
          </cell>
          <cell r="BA92" t="str">
            <v/>
          </cell>
          <cell r="BC92" t="str">
            <v/>
          </cell>
          <cell r="BI92" t="str">
            <v/>
          </cell>
          <cell r="BS92" t="str">
            <v/>
          </cell>
        </row>
        <row r="93">
          <cell r="AY93" t="str">
            <v/>
          </cell>
          <cell r="BA93" t="str">
            <v/>
          </cell>
          <cell r="BC93" t="str">
            <v/>
          </cell>
          <cell r="BI93" t="str">
            <v/>
          </cell>
          <cell r="BS93" t="str">
            <v/>
          </cell>
        </row>
        <row r="94">
          <cell r="AY94" t="str">
            <v/>
          </cell>
          <cell r="BA94" t="str">
            <v/>
          </cell>
          <cell r="BC94" t="str">
            <v/>
          </cell>
          <cell r="BI94" t="str">
            <v/>
          </cell>
          <cell r="BS94" t="str">
            <v/>
          </cell>
        </row>
        <row r="95">
          <cell r="AY95" t="str">
            <v/>
          </cell>
          <cell r="BA95" t="str">
            <v/>
          </cell>
          <cell r="BC95" t="str">
            <v/>
          </cell>
          <cell r="BI95" t="str">
            <v/>
          </cell>
          <cell r="BS95" t="str">
            <v/>
          </cell>
        </row>
        <row r="96">
          <cell r="AY96" t="str">
            <v/>
          </cell>
          <cell r="BA96" t="str">
            <v/>
          </cell>
          <cell r="BC96" t="str">
            <v/>
          </cell>
          <cell r="BI96" t="str">
            <v/>
          </cell>
          <cell r="BS96" t="str">
            <v/>
          </cell>
        </row>
        <row r="97">
          <cell r="AY97" t="str">
            <v/>
          </cell>
          <cell r="BA97" t="str">
            <v/>
          </cell>
          <cell r="BC97" t="str">
            <v/>
          </cell>
          <cell r="BI97" t="str">
            <v/>
          </cell>
          <cell r="BS97" t="str">
            <v/>
          </cell>
        </row>
        <row r="98">
          <cell r="AY98" t="str">
            <v/>
          </cell>
          <cell r="BA98" t="str">
            <v/>
          </cell>
          <cell r="BC98" t="str">
            <v/>
          </cell>
          <cell r="BI98" t="str">
            <v/>
          </cell>
          <cell r="BS98" t="str">
            <v/>
          </cell>
        </row>
        <row r="99">
          <cell r="AY99" t="str">
            <v/>
          </cell>
          <cell r="BA99" t="str">
            <v/>
          </cell>
          <cell r="BC99" t="str">
            <v/>
          </cell>
          <cell r="BI99" t="str">
            <v/>
          </cell>
          <cell r="BS99" t="str">
            <v/>
          </cell>
        </row>
        <row r="100">
          <cell r="AY100" t="str">
            <v/>
          </cell>
          <cell r="BA100" t="str">
            <v/>
          </cell>
          <cell r="BC100" t="str">
            <v/>
          </cell>
          <cell r="BI100" t="str">
            <v/>
          </cell>
          <cell r="BS100" t="str">
            <v/>
          </cell>
        </row>
        <row r="101">
          <cell r="AY101" t="str">
            <v/>
          </cell>
          <cell r="BA101" t="str">
            <v/>
          </cell>
          <cell r="BC101" t="str">
            <v/>
          </cell>
          <cell r="BI101" t="str">
            <v/>
          </cell>
          <cell r="BS101" t="str">
            <v/>
          </cell>
        </row>
        <row r="102">
          <cell r="AY102" t="str">
            <v/>
          </cell>
          <cell r="BA102" t="str">
            <v/>
          </cell>
          <cell r="BC102" t="str">
            <v/>
          </cell>
          <cell r="BI102" t="str">
            <v/>
          </cell>
          <cell r="BS102" t="str">
            <v/>
          </cell>
        </row>
        <row r="103">
          <cell r="AY103" t="str">
            <v/>
          </cell>
          <cell r="BA103" t="str">
            <v/>
          </cell>
          <cell r="BC103" t="str">
            <v/>
          </cell>
          <cell r="BI103" t="str">
            <v/>
          </cell>
          <cell r="BS103" t="str">
            <v/>
          </cell>
        </row>
        <row r="104">
          <cell r="AY104" t="str">
            <v/>
          </cell>
          <cell r="BA104" t="str">
            <v/>
          </cell>
          <cell r="BC104" t="str">
            <v/>
          </cell>
          <cell r="BI104" t="str">
            <v/>
          </cell>
          <cell r="BS104" t="str">
            <v/>
          </cell>
        </row>
        <row r="105">
          <cell r="AY105" t="str">
            <v/>
          </cell>
          <cell r="BA105" t="str">
            <v/>
          </cell>
          <cell r="BC105" t="str">
            <v/>
          </cell>
          <cell r="BI105" t="str">
            <v/>
          </cell>
          <cell r="BS105" t="str">
            <v/>
          </cell>
        </row>
        <row r="106">
          <cell r="AY106" t="str">
            <v/>
          </cell>
          <cell r="BA106" t="str">
            <v/>
          </cell>
          <cell r="BC106" t="str">
            <v/>
          </cell>
          <cell r="BI106" t="str">
            <v/>
          </cell>
          <cell r="BS106" t="str">
            <v/>
          </cell>
        </row>
        <row r="107">
          <cell r="AY107" t="str">
            <v/>
          </cell>
          <cell r="BA107" t="str">
            <v/>
          </cell>
          <cell r="BC107" t="str">
            <v/>
          </cell>
          <cell r="BI107" t="str">
            <v/>
          </cell>
          <cell r="BS107" t="str">
            <v/>
          </cell>
        </row>
        <row r="108">
          <cell r="AY108" t="str">
            <v/>
          </cell>
          <cell r="BA108" t="str">
            <v/>
          </cell>
          <cell r="BC108" t="str">
            <v/>
          </cell>
          <cell r="BI108" t="str">
            <v/>
          </cell>
          <cell r="BS108" t="str">
            <v/>
          </cell>
          <cell r="BU108" t="str">
            <v/>
          </cell>
          <cell r="BW108" t="str">
            <v/>
          </cell>
        </row>
        <row r="109">
          <cell r="AY109" t="str">
            <v/>
          </cell>
          <cell r="BA109" t="str">
            <v/>
          </cell>
          <cell r="BC109" t="str">
            <v/>
          </cell>
          <cell r="BI109" t="str">
            <v/>
          </cell>
          <cell r="BS109" t="str">
            <v/>
          </cell>
          <cell r="BU109" t="str">
            <v/>
          </cell>
          <cell r="BW109" t="str">
            <v/>
          </cell>
        </row>
        <row r="110">
          <cell r="AY110" t="str">
            <v/>
          </cell>
          <cell r="BA110" t="str">
            <v/>
          </cell>
          <cell r="BC110" t="str">
            <v/>
          </cell>
          <cell r="BI110" t="str">
            <v/>
          </cell>
          <cell r="BS110" t="str">
            <v/>
          </cell>
          <cell r="BU110" t="str">
            <v/>
          </cell>
          <cell r="BW110" t="str">
            <v/>
          </cell>
        </row>
        <row r="111">
          <cell r="AY111" t="str">
            <v/>
          </cell>
          <cell r="BA111" t="str">
            <v/>
          </cell>
          <cell r="BC111" t="str">
            <v/>
          </cell>
          <cell r="BI111" t="str">
            <v/>
          </cell>
          <cell r="BS111" t="str">
            <v/>
          </cell>
          <cell r="BU111" t="str">
            <v/>
          </cell>
          <cell r="BW111" t="str">
            <v/>
          </cell>
        </row>
        <row r="112">
          <cell r="AY112" t="str">
            <v/>
          </cell>
          <cell r="BA112" t="str">
            <v/>
          </cell>
          <cell r="BC112" t="str">
            <v/>
          </cell>
          <cell r="BI112" t="str">
            <v/>
          </cell>
          <cell r="BS112" t="str">
            <v/>
          </cell>
          <cell r="BU112" t="str">
            <v/>
          </cell>
          <cell r="BW112" t="str">
            <v/>
          </cell>
        </row>
        <row r="113">
          <cell r="AY113" t="str">
            <v/>
          </cell>
          <cell r="BA113" t="str">
            <v/>
          </cell>
          <cell r="BC113" t="str">
            <v/>
          </cell>
          <cell r="BI113" t="str">
            <v/>
          </cell>
          <cell r="BS113" t="str">
            <v/>
          </cell>
          <cell r="BU113" t="str">
            <v/>
          </cell>
          <cell r="BW113" t="str">
            <v/>
          </cell>
        </row>
        <row r="114">
          <cell r="AY114" t="str">
            <v/>
          </cell>
          <cell r="BA114" t="str">
            <v/>
          </cell>
          <cell r="BC114" t="str">
            <v/>
          </cell>
          <cell r="BI114" t="str">
            <v/>
          </cell>
          <cell r="BS114" t="str">
            <v/>
          </cell>
          <cell r="BU114" t="str">
            <v/>
          </cell>
          <cell r="BW114" t="str">
            <v/>
          </cell>
        </row>
        <row r="115">
          <cell r="AY115" t="str">
            <v/>
          </cell>
          <cell r="BA115" t="str">
            <v/>
          </cell>
          <cell r="BC115" t="str">
            <v/>
          </cell>
          <cell r="BI115" t="str">
            <v/>
          </cell>
          <cell r="BS115" t="str">
            <v/>
          </cell>
          <cell r="BU115" t="str">
            <v/>
          </cell>
          <cell r="BW115" t="str">
            <v/>
          </cell>
        </row>
        <row r="116">
          <cell r="AY116" t="str">
            <v/>
          </cell>
          <cell r="BA116" t="str">
            <v/>
          </cell>
          <cell r="BC116" t="str">
            <v/>
          </cell>
          <cell r="BI116" t="str">
            <v/>
          </cell>
          <cell r="BS116" t="str">
            <v/>
          </cell>
          <cell r="BU116" t="str">
            <v/>
          </cell>
          <cell r="BW116" t="str">
            <v/>
          </cell>
        </row>
        <row r="117">
          <cell r="AY117" t="str">
            <v/>
          </cell>
          <cell r="BA117" t="str">
            <v/>
          </cell>
          <cell r="BC117" t="str">
            <v/>
          </cell>
          <cell r="BI117" t="str">
            <v/>
          </cell>
          <cell r="BS117" t="str">
            <v/>
          </cell>
          <cell r="BU117" t="str">
            <v/>
          </cell>
          <cell r="BW117" t="str">
            <v/>
          </cell>
        </row>
        <row r="118">
          <cell r="AY118" t="str">
            <v/>
          </cell>
          <cell r="BA118" t="str">
            <v/>
          </cell>
          <cell r="BC118" t="str">
            <v/>
          </cell>
          <cell r="BI118" t="str">
            <v/>
          </cell>
          <cell r="BS118" t="str">
            <v/>
          </cell>
          <cell r="BU118" t="str">
            <v/>
          </cell>
          <cell r="BW118" t="str">
            <v/>
          </cell>
        </row>
        <row r="119">
          <cell r="AY119" t="str">
            <v/>
          </cell>
          <cell r="BA119" t="str">
            <v/>
          </cell>
          <cell r="BC119" t="str">
            <v/>
          </cell>
          <cell r="BI119" t="str">
            <v/>
          </cell>
          <cell r="BS119" t="str">
            <v/>
          </cell>
          <cell r="BU119" t="str">
            <v/>
          </cell>
          <cell r="BW119" t="str">
            <v/>
          </cell>
        </row>
        <row r="120">
          <cell r="AY120" t="str">
            <v/>
          </cell>
          <cell r="BA120" t="str">
            <v/>
          </cell>
          <cell r="BC120" t="str">
            <v/>
          </cell>
          <cell r="BI120" t="str">
            <v/>
          </cell>
          <cell r="BS120" t="str">
            <v/>
          </cell>
          <cell r="BU120" t="str">
            <v/>
          </cell>
          <cell r="BW120" t="str">
            <v/>
          </cell>
        </row>
        <row r="121">
          <cell r="AY121" t="str">
            <v/>
          </cell>
          <cell r="BA121" t="str">
            <v/>
          </cell>
          <cell r="BC121" t="str">
            <v/>
          </cell>
          <cell r="BI121" t="str">
            <v/>
          </cell>
          <cell r="BS121" t="str">
            <v/>
          </cell>
          <cell r="BU121" t="str">
            <v/>
          </cell>
          <cell r="BW121" t="str">
            <v/>
          </cell>
        </row>
        <row r="122">
          <cell r="AY122" t="str">
            <v/>
          </cell>
          <cell r="BA122" t="str">
            <v/>
          </cell>
          <cell r="BC122" t="str">
            <v/>
          </cell>
          <cell r="BI122" t="str">
            <v/>
          </cell>
          <cell r="BS122" t="str">
            <v/>
          </cell>
          <cell r="BU122" t="str">
            <v/>
          </cell>
          <cell r="BW122" t="str">
            <v/>
          </cell>
        </row>
        <row r="123">
          <cell r="AY123" t="str">
            <v/>
          </cell>
          <cell r="BA123" t="str">
            <v/>
          </cell>
          <cell r="BC123" t="str">
            <v/>
          </cell>
          <cell r="BI123" t="str">
            <v/>
          </cell>
          <cell r="BS123" t="str">
            <v/>
          </cell>
          <cell r="BU123" t="str">
            <v/>
          </cell>
          <cell r="BW123" t="str">
            <v/>
          </cell>
        </row>
        <row r="124">
          <cell r="AY124" t="str">
            <v/>
          </cell>
          <cell r="BA124" t="str">
            <v/>
          </cell>
          <cell r="BC124" t="str">
            <v/>
          </cell>
          <cell r="BI124" t="str">
            <v/>
          </cell>
          <cell r="BS124" t="str">
            <v/>
          </cell>
          <cell r="BU124" t="str">
            <v/>
          </cell>
          <cell r="BW124" t="str">
            <v/>
          </cell>
        </row>
        <row r="125">
          <cell r="AY125" t="str">
            <v/>
          </cell>
          <cell r="BA125" t="str">
            <v/>
          </cell>
          <cell r="BC125" t="str">
            <v/>
          </cell>
          <cell r="BI125" t="str">
            <v/>
          </cell>
          <cell r="BS125" t="str">
            <v/>
          </cell>
          <cell r="BU125" t="str">
            <v/>
          </cell>
          <cell r="BW125" t="str">
            <v/>
          </cell>
        </row>
        <row r="126">
          <cell r="AY126" t="str">
            <v/>
          </cell>
          <cell r="BA126" t="str">
            <v/>
          </cell>
          <cell r="BC126" t="str">
            <v/>
          </cell>
          <cell r="BI126" t="str">
            <v/>
          </cell>
          <cell r="BS126" t="str">
            <v/>
          </cell>
          <cell r="BU126" t="str">
            <v/>
          </cell>
          <cell r="BW126" t="str">
            <v/>
          </cell>
        </row>
        <row r="127">
          <cell r="AY127" t="str">
            <v/>
          </cell>
          <cell r="BA127" t="str">
            <v/>
          </cell>
          <cell r="BC127" t="str">
            <v/>
          </cell>
          <cell r="BI127" t="str">
            <v/>
          </cell>
          <cell r="BS127" t="str">
            <v/>
          </cell>
          <cell r="BU127" t="str">
            <v/>
          </cell>
          <cell r="BW127" t="str">
            <v/>
          </cell>
        </row>
        <row r="128">
          <cell r="AY128" t="str">
            <v/>
          </cell>
          <cell r="BA128" t="str">
            <v/>
          </cell>
          <cell r="BC128" t="str">
            <v/>
          </cell>
          <cell r="BI128" t="str">
            <v/>
          </cell>
          <cell r="BS128" t="str">
            <v/>
          </cell>
          <cell r="BU128" t="str">
            <v/>
          </cell>
          <cell r="BW128" t="str">
            <v/>
          </cell>
        </row>
        <row r="129">
          <cell r="AY129" t="str">
            <v/>
          </cell>
          <cell r="BA129" t="str">
            <v/>
          </cell>
          <cell r="BC129" t="str">
            <v/>
          </cell>
          <cell r="BI129" t="str">
            <v/>
          </cell>
          <cell r="BS129" t="str">
            <v/>
          </cell>
          <cell r="BU129" t="str">
            <v/>
          </cell>
          <cell r="BW129" t="str">
            <v/>
          </cell>
        </row>
        <row r="130">
          <cell r="AY130" t="str">
            <v/>
          </cell>
          <cell r="BA130" t="str">
            <v/>
          </cell>
          <cell r="BC130" t="str">
            <v/>
          </cell>
          <cell r="BI130" t="str">
            <v/>
          </cell>
          <cell r="BS130" t="str">
            <v/>
          </cell>
          <cell r="BU130" t="str">
            <v/>
          </cell>
          <cell r="BW130" t="str">
            <v/>
          </cell>
        </row>
        <row r="131">
          <cell r="AY131" t="str">
            <v/>
          </cell>
          <cell r="BA131" t="str">
            <v/>
          </cell>
          <cell r="BC131" t="str">
            <v/>
          </cell>
          <cell r="BI131" t="str">
            <v/>
          </cell>
          <cell r="BS131" t="str">
            <v/>
          </cell>
          <cell r="BU131" t="str">
            <v/>
          </cell>
          <cell r="BW131" t="str">
            <v/>
          </cell>
        </row>
        <row r="132">
          <cell r="AY132" t="str">
            <v/>
          </cell>
          <cell r="BA132" t="str">
            <v/>
          </cell>
          <cell r="BC132" t="str">
            <v/>
          </cell>
          <cell r="BI132" t="str">
            <v/>
          </cell>
          <cell r="BS132" t="str">
            <v/>
          </cell>
          <cell r="BU132" t="str">
            <v/>
          </cell>
          <cell r="BW132" t="str">
            <v/>
          </cell>
        </row>
        <row r="133">
          <cell r="AY133" t="str">
            <v/>
          </cell>
          <cell r="BA133" t="str">
            <v/>
          </cell>
          <cell r="BC133" t="str">
            <v/>
          </cell>
          <cell r="BI133" t="str">
            <v/>
          </cell>
          <cell r="BS133" t="str">
            <v/>
          </cell>
          <cell r="BU133" t="str">
            <v/>
          </cell>
          <cell r="BW133" t="str">
            <v/>
          </cell>
        </row>
        <row r="134">
          <cell r="AY134" t="str">
            <v/>
          </cell>
          <cell r="BA134" t="str">
            <v/>
          </cell>
          <cell r="BC134" t="str">
            <v/>
          </cell>
          <cell r="BI134" t="str">
            <v/>
          </cell>
          <cell r="BS134" t="str">
            <v/>
          </cell>
          <cell r="BU134" t="str">
            <v/>
          </cell>
          <cell r="BW134" t="str">
            <v/>
          </cell>
        </row>
        <row r="135">
          <cell r="AY135" t="str">
            <v/>
          </cell>
          <cell r="BA135" t="str">
            <v/>
          </cell>
          <cell r="BC135" t="str">
            <v/>
          </cell>
          <cell r="BI135" t="str">
            <v/>
          </cell>
          <cell r="BS135" t="str">
            <v/>
          </cell>
          <cell r="BU135" t="str">
            <v/>
          </cell>
          <cell r="BW135" t="str">
            <v/>
          </cell>
        </row>
        <row r="136">
          <cell r="AY136" t="str">
            <v/>
          </cell>
          <cell r="BA136" t="str">
            <v/>
          </cell>
          <cell r="BC136" t="str">
            <v/>
          </cell>
          <cell r="BI136" t="str">
            <v/>
          </cell>
          <cell r="BS136" t="str">
            <v/>
          </cell>
          <cell r="BU136" t="str">
            <v/>
          </cell>
          <cell r="BW136" t="str">
            <v/>
          </cell>
        </row>
        <row r="137">
          <cell r="AY137" t="str">
            <v/>
          </cell>
          <cell r="BA137" t="str">
            <v/>
          </cell>
          <cell r="BC137" t="str">
            <v/>
          </cell>
          <cell r="BI137" t="str">
            <v/>
          </cell>
          <cell r="BS137" t="str">
            <v/>
          </cell>
          <cell r="BU137" t="str">
            <v/>
          </cell>
          <cell r="BW137" t="str">
            <v/>
          </cell>
        </row>
        <row r="138">
          <cell r="AY138" t="str">
            <v/>
          </cell>
          <cell r="BA138" t="str">
            <v/>
          </cell>
          <cell r="BC138" t="str">
            <v/>
          </cell>
          <cell r="BI138" t="str">
            <v/>
          </cell>
          <cell r="BS138" t="str">
            <v/>
          </cell>
          <cell r="BU138" t="str">
            <v/>
          </cell>
          <cell r="BW138" t="str">
            <v/>
          </cell>
        </row>
        <row r="139">
          <cell r="AY139" t="str">
            <v/>
          </cell>
          <cell r="BA139" t="str">
            <v/>
          </cell>
          <cell r="BC139" t="str">
            <v/>
          </cell>
          <cell r="BI139" t="str">
            <v/>
          </cell>
          <cell r="BS139" t="str">
            <v/>
          </cell>
          <cell r="BU139" t="str">
            <v/>
          </cell>
          <cell r="BW139" t="str">
            <v/>
          </cell>
        </row>
        <row r="140">
          <cell r="AY140" t="str">
            <v/>
          </cell>
          <cell r="BA140" t="str">
            <v/>
          </cell>
          <cell r="BC140" t="str">
            <v/>
          </cell>
          <cell r="BI140" t="str">
            <v/>
          </cell>
          <cell r="BS140" t="str">
            <v/>
          </cell>
          <cell r="BU140" t="str">
            <v/>
          </cell>
          <cell r="BW140" t="str">
            <v/>
          </cell>
        </row>
        <row r="141">
          <cell r="AY141" t="str">
            <v/>
          </cell>
          <cell r="BA141" t="str">
            <v/>
          </cell>
          <cell r="BC141" t="str">
            <v/>
          </cell>
          <cell r="BI141" t="str">
            <v/>
          </cell>
          <cell r="BS141" t="str">
            <v/>
          </cell>
          <cell r="BU141" t="str">
            <v/>
          </cell>
          <cell r="BW141" t="str">
            <v/>
          </cell>
        </row>
        <row r="142">
          <cell r="AY142" t="str">
            <v/>
          </cell>
          <cell r="BA142" t="str">
            <v/>
          </cell>
          <cell r="BC142" t="str">
            <v/>
          </cell>
          <cell r="BI142" t="str">
            <v/>
          </cell>
          <cell r="BS142" t="str">
            <v/>
          </cell>
          <cell r="BU142" t="str">
            <v/>
          </cell>
          <cell r="BW142" t="str">
            <v/>
          </cell>
        </row>
        <row r="143">
          <cell r="AY143" t="str">
            <v/>
          </cell>
          <cell r="BA143" t="str">
            <v/>
          </cell>
          <cell r="BC143" t="str">
            <v/>
          </cell>
          <cell r="BI143" t="str">
            <v/>
          </cell>
          <cell r="BS143" t="str">
            <v/>
          </cell>
          <cell r="BU143" t="str">
            <v/>
          </cell>
          <cell r="BW143" t="str">
            <v/>
          </cell>
        </row>
        <row r="144">
          <cell r="AY144" t="str">
            <v/>
          </cell>
          <cell r="BA144" t="str">
            <v/>
          </cell>
          <cell r="BC144" t="str">
            <v/>
          </cell>
          <cell r="BI144" t="str">
            <v/>
          </cell>
          <cell r="BS144" t="str">
            <v/>
          </cell>
          <cell r="BU144" t="str">
            <v/>
          </cell>
          <cell r="BW144" t="str">
            <v/>
          </cell>
        </row>
        <row r="145">
          <cell r="AY145" t="str">
            <v/>
          </cell>
          <cell r="BA145" t="str">
            <v/>
          </cell>
          <cell r="BC145" t="str">
            <v/>
          </cell>
          <cell r="BI145" t="str">
            <v/>
          </cell>
          <cell r="BS145" t="str">
            <v/>
          </cell>
          <cell r="BU145" t="str">
            <v/>
          </cell>
          <cell r="BW145" t="str">
            <v/>
          </cell>
        </row>
        <row r="146">
          <cell r="AY146" t="str">
            <v/>
          </cell>
          <cell r="BA146" t="str">
            <v/>
          </cell>
          <cell r="BC146" t="str">
            <v/>
          </cell>
          <cell r="BI146" t="str">
            <v/>
          </cell>
          <cell r="BS146" t="str">
            <v/>
          </cell>
          <cell r="BU146" t="str">
            <v/>
          </cell>
          <cell r="BW146" t="str">
            <v/>
          </cell>
        </row>
        <row r="147">
          <cell r="AY147" t="str">
            <v/>
          </cell>
          <cell r="BA147" t="str">
            <v/>
          </cell>
          <cell r="BC147" t="str">
            <v/>
          </cell>
          <cell r="BI147" t="str">
            <v/>
          </cell>
          <cell r="BS147" t="str">
            <v/>
          </cell>
          <cell r="BU147" t="str">
            <v/>
          </cell>
          <cell r="BW147" t="str">
            <v/>
          </cell>
        </row>
        <row r="148">
          <cell r="AY148" t="str">
            <v/>
          </cell>
          <cell r="BA148" t="str">
            <v/>
          </cell>
          <cell r="BC148" t="str">
            <v/>
          </cell>
          <cell r="BI148" t="str">
            <v/>
          </cell>
          <cell r="BS148" t="str">
            <v/>
          </cell>
          <cell r="BU148" t="str">
            <v/>
          </cell>
          <cell r="BW148" t="str">
            <v/>
          </cell>
        </row>
        <row r="149">
          <cell r="AY149" t="str">
            <v/>
          </cell>
          <cell r="BA149" t="str">
            <v/>
          </cell>
          <cell r="BC149" t="str">
            <v/>
          </cell>
          <cell r="BI149" t="str">
            <v/>
          </cell>
          <cell r="BS149" t="str">
            <v/>
          </cell>
          <cell r="BU149" t="str">
            <v/>
          </cell>
          <cell r="BW149" t="str">
            <v/>
          </cell>
        </row>
        <row r="150">
          <cell r="AY150" t="str">
            <v/>
          </cell>
          <cell r="BA150" t="str">
            <v/>
          </cell>
          <cell r="BC150" t="str">
            <v/>
          </cell>
          <cell r="BI150" t="str">
            <v/>
          </cell>
          <cell r="BS150" t="str">
            <v/>
          </cell>
          <cell r="BU150" t="str">
            <v/>
          </cell>
          <cell r="BW150" t="str">
            <v/>
          </cell>
        </row>
        <row r="151">
          <cell r="AY151" t="str">
            <v/>
          </cell>
          <cell r="BA151" t="str">
            <v/>
          </cell>
          <cell r="BC151" t="str">
            <v/>
          </cell>
          <cell r="BI151" t="str">
            <v/>
          </cell>
          <cell r="BS151" t="str">
            <v/>
          </cell>
          <cell r="BU151" t="str">
            <v/>
          </cell>
          <cell r="BW151" t="str">
            <v/>
          </cell>
        </row>
        <row r="152">
          <cell r="AY152" t="str">
            <v/>
          </cell>
          <cell r="BA152" t="str">
            <v/>
          </cell>
          <cell r="BC152" t="str">
            <v/>
          </cell>
          <cell r="BI152" t="str">
            <v/>
          </cell>
          <cell r="BS152" t="str">
            <v/>
          </cell>
          <cell r="BU152" t="str">
            <v/>
          </cell>
          <cell r="BW152" t="str">
            <v/>
          </cell>
        </row>
        <row r="153">
          <cell r="AY153" t="str">
            <v/>
          </cell>
          <cell r="BA153" t="str">
            <v/>
          </cell>
          <cell r="BC153" t="str">
            <v/>
          </cell>
          <cell r="BI153" t="str">
            <v/>
          </cell>
          <cell r="BS153" t="str">
            <v/>
          </cell>
          <cell r="BU153" t="str">
            <v/>
          </cell>
          <cell r="BW153" t="str">
            <v/>
          </cell>
        </row>
        <row r="154">
          <cell r="AY154" t="str">
            <v/>
          </cell>
          <cell r="BA154" t="str">
            <v/>
          </cell>
          <cell r="BC154" t="str">
            <v/>
          </cell>
          <cell r="BI154" t="str">
            <v/>
          </cell>
          <cell r="BS154" t="str">
            <v/>
          </cell>
          <cell r="BU154" t="str">
            <v/>
          </cell>
          <cell r="BW154" t="str">
            <v/>
          </cell>
        </row>
        <row r="155">
          <cell r="AY155" t="str">
            <v/>
          </cell>
          <cell r="BA155" t="str">
            <v/>
          </cell>
          <cell r="BC155" t="str">
            <v/>
          </cell>
          <cell r="BI155" t="str">
            <v/>
          </cell>
          <cell r="BS155" t="str">
            <v/>
          </cell>
          <cell r="BU155" t="str">
            <v/>
          </cell>
          <cell r="BW155" t="str">
            <v/>
          </cell>
        </row>
        <row r="156">
          <cell r="AY156" t="str">
            <v/>
          </cell>
          <cell r="BA156" t="str">
            <v/>
          </cell>
          <cell r="BC156" t="str">
            <v/>
          </cell>
          <cell r="BI156" t="str">
            <v/>
          </cell>
          <cell r="BS156" t="str">
            <v/>
          </cell>
          <cell r="BU156" t="str">
            <v/>
          </cell>
          <cell r="BW156" t="str">
            <v/>
          </cell>
        </row>
        <row r="157">
          <cell r="AY157" t="str">
            <v/>
          </cell>
          <cell r="BA157" t="str">
            <v/>
          </cell>
          <cell r="BC157" t="str">
            <v/>
          </cell>
          <cell r="BI157" t="str">
            <v/>
          </cell>
          <cell r="BS157" t="str">
            <v/>
          </cell>
          <cell r="BU157" t="str">
            <v/>
          </cell>
          <cell r="BW157" t="str">
            <v/>
          </cell>
        </row>
        <row r="158">
          <cell r="AY158" t="str">
            <v/>
          </cell>
          <cell r="BA158" t="str">
            <v/>
          </cell>
          <cell r="BC158" t="str">
            <v/>
          </cell>
          <cell r="BI158" t="str">
            <v/>
          </cell>
          <cell r="BS158" t="str">
            <v/>
          </cell>
          <cell r="BU158" t="str">
            <v/>
          </cell>
          <cell r="BW158" t="str">
            <v/>
          </cell>
        </row>
        <row r="159">
          <cell r="AY159" t="str">
            <v/>
          </cell>
          <cell r="BA159" t="str">
            <v/>
          </cell>
          <cell r="BC159" t="str">
            <v/>
          </cell>
          <cell r="BI159" t="str">
            <v/>
          </cell>
          <cell r="BS159" t="str">
            <v/>
          </cell>
          <cell r="BU159" t="str">
            <v/>
          </cell>
          <cell r="BW159" t="str">
            <v/>
          </cell>
        </row>
        <row r="160">
          <cell r="AY160" t="str">
            <v/>
          </cell>
          <cell r="BA160" t="str">
            <v/>
          </cell>
          <cell r="BC160" t="str">
            <v/>
          </cell>
          <cell r="BI160" t="str">
            <v/>
          </cell>
          <cell r="BS160" t="str">
            <v/>
          </cell>
          <cell r="BU160" t="str">
            <v/>
          </cell>
          <cell r="BW160" t="str">
            <v/>
          </cell>
        </row>
        <row r="161">
          <cell r="AY161" t="str">
            <v/>
          </cell>
          <cell r="BA161" t="str">
            <v/>
          </cell>
          <cell r="BC161" t="str">
            <v/>
          </cell>
          <cell r="BI161" t="str">
            <v/>
          </cell>
          <cell r="BS161" t="str">
            <v/>
          </cell>
          <cell r="BU161" t="str">
            <v/>
          </cell>
          <cell r="BW161" t="str">
            <v/>
          </cell>
        </row>
        <row r="162">
          <cell r="AY162" t="str">
            <v/>
          </cell>
          <cell r="BA162" t="str">
            <v/>
          </cell>
          <cell r="BC162" t="str">
            <v/>
          </cell>
          <cell r="BI162" t="str">
            <v/>
          </cell>
          <cell r="BS162" t="str">
            <v/>
          </cell>
          <cell r="BU162" t="str">
            <v/>
          </cell>
          <cell r="BW162" t="str">
            <v/>
          </cell>
        </row>
        <row r="163">
          <cell r="AY163" t="str">
            <v/>
          </cell>
          <cell r="BA163" t="str">
            <v/>
          </cell>
          <cell r="BC163" t="str">
            <v/>
          </cell>
          <cell r="BI163" t="str">
            <v/>
          </cell>
          <cell r="BS163" t="str">
            <v/>
          </cell>
          <cell r="BU163" t="str">
            <v/>
          </cell>
          <cell r="BW163" t="str">
            <v/>
          </cell>
        </row>
        <row r="164">
          <cell r="AY164" t="str">
            <v/>
          </cell>
          <cell r="BA164" t="str">
            <v/>
          </cell>
          <cell r="BC164" t="str">
            <v/>
          </cell>
          <cell r="BI164" t="str">
            <v/>
          </cell>
          <cell r="BS164" t="str">
            <v/>
          </cell>
          <cell r="BU164" t="str">
            <v/>
          </cell>
          <cell r="BW164" t="str">
            <v/>
          </cell>
        </row>
        <row r="165">
          <cell r="AY165" t="str">
            <v/>
          </cell>
          <cell r="BA165" t="str">
            <v/>
          </cell>
          <cell r="BC165" t="str">
            <v/>
          </cell>
          <cell r="BI165" t="str">
            <v/>
          </cell>
          <cell r="BS165" t="str">
            <v/>
          </cell>
          <cell r="BU165" t="str">
            <v/>
          </cell>
          <cell r="BW165" t="str">
            <v/>
          </cell>
        </row>
        <row r="166">
          <cell r="AY166" t="str">
            <v/>
          </cell>
          <cell r="BA166" t="str">
            <v/>
          </cell>
          <cell r="BC166" t="str">
            <v/>
          </cell>
          <cell r="BI166" t="str">
            <v/>
          </cell>
          <cell r="BS166" t="str">
            <v/>
          </cell>
          <cell r="BU166" t="str">
            <v/>
          </cell>
          <cell r="BW166" t="str">
            <v/>
          </cell>
        </row>
        <row r="167">
          <cell r="AY167" t="str">
            <v/>
          </cell>
          <cell r="BA167" t="str">
            <v/>
          </cell>
          <cell r="BC167" t="str">
            <v/>
          </cell>
          <cell r="BI167" t="str">
            <v/>
          </cell>
          <cell r="BS167" t="str">
            <v/>
          </cell>
          <cell r="BU167" t="str">
            <v/>
          </cell>
          <cell r="BW167" t="str">
            <v/>
          </cell>
        </row>
        <row r="168">
          <cell r="AY168" t="str">
            <v/>
          </cell>
          <cell r="BA168" t="str">
            <v/>
          </cell>
          <cell r="BC168" t="str">
            <v/>
          </cell>
          <cell r="BI168" t="str">
            <v/>
          </cell>
          <cell r="BS168" t="str">
            <v/>
          </cell>
          <cell r="BU168" t="str">
            <v/>
          </cell>
          <cell r="BW168" t="str">
            <v/>
          </cell>
        </row>
        <row r="169">
          <cell r="AY169" t="str">
            <v/>
          </cell>
          <cell r="BA169" t="str">
            <v/>
          </cell>
          <cell r="BC169" t="str">
            <v/>
          </cell>
          <cell r="BI169" t="str">
            <v/>
          </cell>
          <cell r="BS169" t="str">
            <v/>
          </cell>
          <cell r="BU169" t="str">
            <v/>
          </cell>
          <cell r="BW169" t="str">
            <v/>
          </cell>
        </row>
        <row r="170">
          <cell r="AY170" t="str">
            <v/>
          </cell>
          <cell r="BA170" t="str">
            <v/>
          </cell>
          <cell r="BC170" t="str">
            <v/>
          </cell>
          <cell r="BI170" t="str">
            <v/>
          </cell>
          <cell r="BS170" t="str">
            <v/>
          </cell>
          <cell r="BU170" t="str">
            <v/>
          </cell>
          <cell r="BW170" t="str">
            <v/>
          </cell>
        </row>
        <row r="171">
          <cell r="AY171" t="str">
            <v/>
          </cell>
          <cell r="BA171" t="str">
            <v/>
          </cell>
          <cell r="BC171" t="str">
            <v/>
          </cell>
          <cell r="BI171" t="str">
            <v/>
          </cell>
          <cell r="BS171" t="str">
            <v/>
          </cell>
          <cell r="BU171" t="str">
            <v/>
          </cell>
          <cell r="BW171" t="str">
            <v/>
          </cell>
        </row>
        <row r="172">
          <cell r="AY172" t="str">
            <v/>
          </cell>
          <cell r="BA172" t="str">
            <v/>
          </cell>
          <cell r="BC172" t="str">
            <v/>
          </cell>
          <cell r="BI172" t="str">
            <v/>
          </cell>
          <cell r="BS172" t="str">
            <v/>
          </cell>
          <cell r="BU172" t="str">
            <v/>
          </cell>
          <cell r="BW172" t="str">
            <v/>
          </cell>
        </row>
        <row r="173">
          <cell r="AY173" t="str">
            <v/>
          </cell>
          <cell r="BA173" t="str">
            <v/>
          </cell>
          <cell r="BC173" t="str">
            <v/>
          </cell>
          <cell r="BI173" t="str">
            <v/>
          </cell>
          <cell r="BS173" t="str">
            <v/>
          </cell>
          <cell r="BU173" t="str">
            <v/>
          </cell>
          <cell r="BW173" t="str">
            <v/>
          </cell>
        </row>
        <row r="174">
          <cell r="AY174" t="str">
            <v/>
          </cell>
          <cell r="BA174" t="str">
            <v/>
          </cell>
          <cell r="BC174" t="str">
            <v/>
          </cell>
          <cell r="BI174" t="str">
            <v/>
          </cell>
          <cell r="BS174" t="str">
            <v/>
          </cell>
          <cell r="BU174" t="str">
            <v/>
          </cell>
          <cell r="BW174" t="str">
            <v/>
          </cell>
        </row>
        <row r="175">
          <cell r="AY175" t="str">
            <v/>
          </cell>
          <cell r="BA175" t="str">
            <v/>
          </cell>
          <cell r="BC175" t="str">
            <v/>
          </cell>
          <cell r="BI175" t="str">
            <v/>
          </cell>
          <cell r="BS175" t="str">
            <v/>
          </cell>
          <cell r="BU175" t="str">
            <v/>
          </cell>
          <cell r="BW175" t="str">
            <v/>
          </cell>
        </row>
        <row r="176">
          <cell r="AY176" t="str">
            <v/>
          </cell>
          <cell r="BA176" t="str">
            <v/>
          </cell>
          <cell r="BC176" t="str">
            <v/>
          </cell>
          <cell r="BI176" t="str">
            <v/>
          </cell>
          <cell r="BS176" t="str">
            <v/>
          </cell>
          <cell r="BU176" t="str">
            <v/>
          </cell>
          <cell r="BW176" t="str">
            <v/>
          </cell>
        </row>
        <row r="177">
          <cell r="AY177" t="str">
            <v/>
          </cell>
          <cell r="BA177" t="str">
            <v/>
          </cell>
          <cell r="BC177" t="str">
            <v/>
          </cell>
          <cell r="BI177" t="str">
            <v/>
          </cell>
          <cell r="BS177" t="str">
            <v/>
          </cell>
          <cell r="BU177" t="str">
            <v/>
          </cell>
          <cell r="BW177" t="str">
            <v/>
          </cell>
        </row>
        <row r="178">
          <cell r="AY178" t="str">
            <v/>
          </cell>
          <cell r="BA178" t="str">
            <v/>
          </cell>
          <cell r="BC178" t="str">
            <v/>
          </cell>
          <cell r="BI178" t="str">
            <v/>
          </cell>
          <cell r="BS178" t="str">
            <v/>
          </cell>
          <cell r="BU178" t="str">
            <v/>
          </cell>
          <cell r="BW178" t="str">
            <v/>
          </cell>
        </row>
        <row r="179">
          <cell r="AY179" t="str">
            <v/>
          </cell>
          <cell r="BA179" t="str">
            <v/>
          </cell>
          <cell r="BC179" t="str">
            <v/>
          </cell>
          <cell r="BI179" t="str">
            <v/>
          </cell>
          <cell r="BS179" t="str">
            <v/>
          </cell>
          <cell r="BU179" t="str">
            <v/>
          </cell>
          <cell r="BW179" t="str">
            <v/>
          </cell>
        </row>
        <row r="180">
          <cell r="AY180" t="str">
            <v/>
          </cell>
          <cell r="BA180" t="str">
            <v/>
          </cell>
          <cell r="BC180" t="str">
            <v/>
          </cell>
          <cell r="BI180" t="str">
            <v/>
          </cell>
          <cell r="BS180" t="str">
            <v/>
          </cell>
          <cell r="BU180" t="str">
            <v/>
          </cell>
          <cell r="BW180" t="str">
            <v/>
          </cell>
        </row>
        <row r="181">
          <cell r="AY181" t="str">
            <v/>
          </cell>
          <cell r="BA181" t="str">
            <v/>
          </cell>
          <cell r="BC181" t="str">
            <v/>
          </cell>
          <cell r="BI181" t="str">
            <v/>
          </cell>
          <cell r="BS181" t="str">
            <v/>
          </cell>
          <cell r="BU181" t="str">
            <v/>
          </cell>
          <cell r="BW181" t="str">
            <v/>
          </cell>
        </row>
        <row r="182">
          <cell r="AY182" t="str">
            <v/>
          </cell>
          <cell r="BA182" t="str">
            <v/>
          </cell>
          <cell r="BC182" t="str">
            <v/>
          </cell>
          <cell r="BI182" t="str">
            <v/>
          </cell>
          <cell r="BS182" t="str">
            <v/>
          </cell>
          <cell r="BU182" t="str">
            <v/>
          </cell>
          <cell r="BW182" t="str">
            <v/>
          </cell>
        </row>
        <row r="183">
          <cell r="AY183" t="str">
            <v/>
          </cell>
          <cell r="BA183" t="str">
            <v/>
          </cell>
          <cell r="BC183" t="str">
            <v/>
          </cell>
          <cell r="BI183" t="str">
            <v/>
          </cell>
          <cell r="BS183" t="str">
            <v/>
          </cell>
          <cell r="BU183" t="str">
            <v/>
          </cell>
          <cell r="BW183" t="str">
            <v/>
          </cell>
        </row>
        <row r="184">
          <cell r="AY184" t="str">
            <v/>
          </cell>
          <cell r="BA184" t="str">
            <v/>
          </cell>
          <cell r="BC184" t="str">
            <v/>
          </cell>
          <cell r="BI184" t="str">
            <v/>
          </cell>
          <cell r="BS184" t="str">
            <v/>
          </cell>
          <cell r="BU184" t="str">
            <v/>
          </cell>
          <cell r="BW184" t="str">
            <v/>
          </cell>
        </row>
        <row r="185">
          <cell r="AY185" t="str">
            <v/>
          </cell>
          <cell r="BA185" t="str">
            <v/>
          </cell>
          <cell r="BC185" t="str">
            <v/>
          </cell>
          <cell r="BI185" t="str">
            <v/>
          </cell>
          <cell r="BS185" t="str">
            <v/>
          </cell>
          <cell r="BU185" t="str">
            <v/>
          </cell>
          <cell r="BW185" t="str">
            <v/>
          </cell>
        </row>
        <row r="186">
          <cell r="AY186" t="str">
            <v/>
          </cell>
          <cell r="BA186" t="str">
            <v/>
          </cell>
          <cell r="BC186" t="str">
            <v/>
          </cell>
          <cell r="BI186" t="str">
            <v/>
          </cell>
          <cell r="BS186" t="str">
            <v/>
          </cell>
          <cell r="BU186" t="str">
            <v/>
          </cell>
          <cell r="BW186" t="str">
            <v/>
          </cell>
        </row>
        <row r="187">
          <cell r="AY187" t="str">
            <v/>
          </cell>
          <cell r="BA187" t="str">
            <v/>
          </cell>
          <cell r="BC187" t="str">
            <v/>
          </cell>
          <cell r="BI187" t="str">
            <v/>
          </cell>
          <cell r="BS187" t="str">
            <v/>
          </cell>
          <cell r="BU187" t="str">
            <v/>
          </cell>
          <cell r="BW187" t="str">
            <v/>
          </cell>
        </row>
        <row r="188">
          <cell r="AY188" t="str">
            <v/>
          </cell>
          <cell r="BA188" t="str">
            <v/>
          </cell>
          <cell r="BC188" t="str">
            <v/>
          </cell>
          <cell r="BI188" t="str">
            <v/>
          </cell>
          <cell r="BS188" t="str">
            <v/>
          </cell>
          <cell r="BU188" t="str">
            <v/>
          </cell>
          <cell r="BW188" t="str">
            <v/>
          </cell>
        </row>
        <row r="189">
          <cell r="AY189" t="str">
            <v/>
          </cell>
          <cell r="BA189" t="str">
            <v/>
          </cell>
          <cell r="BC189" t="str">
            <v/>
          </cell>
          <cell r="BI189" t="str">
            <v/>
          </cell>
          <cell r="BS189" t="str">
            <v/>
          </cell>
          <cell r="BU189" t="str">
            <v/>
          </cell>
          <cell r="BW189" t="str">
            <v/>
          </cell>
        </row>
        <row r="190">
          <cell r="AY190" t="str">
            <v/>
          </cell>
          <cell r="BA190" t="str">
            <v/>
          </cell>
          <cell r="BC190" t="str">
            <v/>
          </cell>
          <cell r="BI190" t="str">
            <v/>
          </cell>
          <cell r="BS190" t="str">
            <v/>
          </cell>
          <cell r="BU190" t="str">
            <v/>
          </cell>
          <cell r="BW190" t="str">
            <v/>
          </cell>
        </row>
        <row r="191">
          <cell r="AY191" t="str">
            <v/>
          </cell>
          <cell r="BA191" t="str">
            <v/>
          </cell>
          <cell r="BC191" t="str">
            <v/>
          </cell>
          <cell r="BI191" t="str">
            <v/>
          </cell>
          <cell r="BS191" t="str">
            <v/>
          </cell>
          <cell r="BU191" t="str">
            <v/>
          </cell>
          <cell r="BW191" t="str">
            <v/>
          </cell>
        </row>
        <row r="192">
          <cell r="AY192" t="str">
            <v/>
          </cell>
          <cell r="BA192" t="str">
            <v/>
          </cell>
          <cell r="BC192" t="str">
            <v/>
          </cell>
          <cell r="BI192" t="str">
            <v/>
          </cell>
          <cell r="BS192" t="str">
            <v/>
          </cell>
          <cell r="BU192" t="str">
            <v/>
          </cell>
          <cell r="BW192" t="str">
            <v/>
          </cell>
        </row>
        <row r="193">
          <cell r="AY193" t="str">
            <v/>
          </cell>
          <cell r="BA193" t="str">
            <v/>
          </cell>
          <cell r="BC193" t="str">
            <v/>
          </cell>
          <cell r="BI193" t="str">
            <v/>
          </cell>
          <cell r="BS193" t="str">
            <v/>
          </cell>
          <cell r="BU193" t="str">
            <v/>
          </cell>
          <cell r="BW193" t="str">
            <v/>
          </cell>
        </row>
        <row r="194">
          <cell r="AY194" t="str">
            <v/>
          </cell>
          <cell r="BA194" t="str">
            <v/>
          </cell>
          <cell r="BC194" t="str">
            <v/>
          </cell>
          <cell r="BI194" t="str">
            <v/>
          </cell>
          <cell r="BS194" t="str">
            <v/>
          </cell>
          <cell r="BU194" t="str">
            <v/>
          </cell>
          <cell r="BW194" t="str">
            <v/>
          </cell>
        </row>
        <row r="195">
          <cell r="AY195" t="str">
            <v/>
          </cell>
          <cell r="BA195" t="str">
            <v/>
          </cell>
          <cell r="BC195" t="str">
            <v/>
          </cell>
          <cell r="BI195" t="str">
            <v/>
          </cell>
          <cell r="BS195" t="str">
            <v/>
          </cell>
          <cell r="BU195" t="str">
            <v/>
          </cell>
          <cell r="BW195" t="str">
            <v/>
          </cell>
        </row>
        <row r="196">
          <cell r="AY196" t="str">
            <v/>
          </cell>
          <cell r="BA196" t="str">
            <v/>
          </cell>
          <cell r="BC196" t="str">
            <v/>
          </cell>
          <cell r="BI196" t="str">
            <v/>
          </cell>
          <cell r="BS196" t="str">
            <v/>
          </cell>
          <cell r="BU196" t="str">
            <v/>
          </cell>
          <cell r="BW196" t="str">
            <v/>
          </cell>
        </row>
        <row r="197">
          <cell r="AY197" t="str">
            <v/>
          </cell>
          <cell r="BA197" t="str">
            <v/>
          </cell>
          <cell r="BC197" t="str">
            <v/>
          </cell>
          <cell r="BI197" t="str">
            <v/>
          </cell>
          <cell r="BS197" t="str">
            <v/>
          </cell>
          <cell r="BU197" t="str">
            <v/>
          </cell>
          <cell r="BW197" t="str">
            <v/>
          </cell>
        </row>
        <row r="198">
          <cell r="AY198" t="str">
            <v/>
          </cell>
          <cell r="BA198" t="str">
            <v/>
          </cell>
          <cell r="BC198" t="str">
            <v/>
          </cell>
          <cell r="BI198" t="str">
            <v/>
          </cell>
          <cell r="BS198" t="str">
            <v/>
          </cell>
          <cell r="BU198" t="str">
            <v/>
          </cell>
          <cell r="BW198" t="str">
            <v/>
          </cell>
        </row>
        <row r="199">
          <cell r="AY199" t="str">
            <v/>
          </cell>
          <cell r="BA199" t="str">
            <v/>
          </cell>
          <cell r="BC199" t="str">
            <v/>
          </cell>
          <cell r="BI199" t="str">
            <v/>
          </cell>
          <cell r="BS199" t="str">
            <v/>
          </cell>
          <cell r="BU199" t="str">
            <v/>
          </cell>
          <cell r="BW199" t="str">
            <v/>
          </cell>
        </row>
        <row r="200">
          <cell r="AY200" t="str">
            <v/>
          </cell>
          <cell r="BA200" t="str">
            <v/>
          </cell>
          <cell r="BC200" t="str">
            <v/>
          </cell>
          <cell r="BI200" t="str">
            <v/>
          </cell>
          <cell r="BS200" t="str">
            <v/>
          </cell>
          <cell r="BU200" t="str">
            <v/>
          </cell>
          <cell r="BW200" t="str">
            <v/>
          </cell>
        </row>
        <row r="201">
          <cell r="AY201" t="str">
            <v/>
          </cell>
          <cell r="BA201" t="str">
            <v/>
          </cell>
          <cell r="BC201" t="str">
            <v/>
          </cell>
          <cell r="BI201" t="str">
            <v/>
          </cell>
          <cell r="BS201" t="str">
            <v/>
          </cell>
          <cell r="BU201" t="str">
            <v/>
          </cell>
          <cell r="BW201" t="str">
            <v/>
          </cell>
        </row>
        <row r="202">
          <cell r="AY202" t="str">
            <v/>
          </cell>
          <cell r="BA202" t="str">
            <v/>
          </cell>
          <cell r="BC202" t="str">
            <v/>
          </cell>
          <cell r="BI202" t="str">
            <v/>
          </cell>
          <cell r="BS202" t="str">
            <v/>
          </cell>
          <cell r="BU202" t="str">
            <v/>
          </cell>
          <cell r="BW202" t="str">
            <v/>
          </cell>
        </row>
        <row r="203">
          <cell r="AY203" t="str">
            <v/>
          </cell>
          <cell r="BA203" t="str">
            <v/>
          </cell>
          <cell r="BC203" t="str">
            <v/>
          </cell>
          <cell r="BI203" t="str">
            <v/>
          </cell>
          <cell r="BS203" t="str">
            <v/>
          </cell>
          <cell r="BU203" t="str">
            <v/>
          </cell>
          <cell r="BW203" t="str">
            <v/>
          </cell>
        </row>
        <row r="204">
          <cell r="AY204" t="str">
            <v/>
          </cell>
          <cell r="BA204" t="str">
            <v/>
          </cell>
          <cell r="BC204" t="str">
            <v/>
          </cell>
          <cell r="BI204" t="str">
            <v/>
          </cell>
          <cell r="BS204" t="str">
            <v/>
          </cell>
          <cell r="BU204" t="str">
            <v/>
          </cell>
          <cell r="BW204" t="str">
            <v/>
          </cell>
        </row>
        <row r="205">
          <cell r="AY205" t="str">
            <v/>
          </cell>
          <cell r="BA205" t="str">
            <v/>
          </cell>
          <cell r="BC205" t="str">
            <v/>
          </cell>
          <cell r="BI205" t="str">
            <v/>
          </cell>
          <cell r="BS205" t="str">
            <v/>
          </cell>
          <cell r="BU205" t="str">
            <v/>
          </cell>
          <cell r="BW205" t="str">
            <v/>
          </cell>
        </row>
        <row r="206">
          <cell r="AY206" t="str">
            <v/>
          </cell>
          <cell r="BA206" t="str">
            <v/>
          </cell>
          <cell r="BC206" t="str">
            <v/>
          </cell>
          <cell r="BI206" t="str">
            <v/>
          </cell>
          <cell r="BS206" t="str">
            <v/>
          </cell>
          <cell r="BU206" t="str">
            <v/>
          </cell>
          <cell r="BW206" t="str">
            <v/>
          </cell>
        </row>
        <row r="207">
          <cell r="AY207" t="str">
            <v/>
          </cell>
          <cell r="BA207" t="str">
            <v/>
          </cell>
          <cell r="BC207" t="str">
            <v/>
          </cell>
          <cell r="BI207" t="str">
            <v/>
          </cell>
          <cell r="BS207" t="str">
            <v/>
          </cell>
          <cell r="BU207" t="str">
            <v/>
          </cell>
          <cell r="BW207" t="str">
            <v/>
          </cell>
        </row>
        <row r="208">
          <cell r="AY208" t="str">
            <v/>
          </cell>
          <cell r="BA208" t="str">
            <v/>
          </cell>
          <cell r="BC208" t="str">
            <v/>
          </cell>
          <cell r="BI208" t="str">
            <v/>
          </cell>
          <cell r="BS208" t="str">
            <v/>
          </cell>
          <cell r="BU208" t="str">
            <v/>
          </cell>
          <cell r="BW208" t="str">
            <v/>
          </cell>
        </row>
        <row r="209">
          <cell r="AY209" t="str">
            <v/>
          </cell>
          <cell r="BA209" t="str">
            <v/>
          </cell>
          <cell r="BC209" t="str">
            <v/>
          </cell>
          <cell r="BI209" t="str">
            <v/>
          </cell>
          <cell r="BS209" t="str">
            <v/>
          </cell>
          <cell r="BU209" t="str">
            <v/>
          </cell>
          <cell r="BW209" t="str">
            <v/>
          </cell>
        </row>
        <row r="210">
          <cell r="AY210" t="str">
            <v/>
          </cell>
          <cell r="BA210" t="str">
            <v/>
          </cell>
          <cell r="BC210" t="str">
            <v/>
          </cell>
          <cell r="BI210" t="str">
            <v/>
          </cell>
          <cell r="BS210" t="str">
            <v/>
          </cell>
          <cell r="BU210" t="str">
            <v/>
          </cell>
          <cell r="BW210" t="str">
            <v/>
          </cell>
        </row>
        <row r="211">
          <cell r="AY211" t="str">
            <v/>
          </cell>
          <cell r="BA211" t="str">
            <v/>
          </cell>
          <cell r="BC211" t="str">
            <v/>
          </cell>
          <cell r="BI211" t="str">
            <v/>
          </cell>
          <cell r="BS211" t="str">
            <v/>
          </cell>
          <cell r="BU211" t="str">
            <v/>
          </cell>
          <cell r="BW211" t="str">
            <v/>
          </cell>
        </row>
        <row r="212">
          <cell r="AY212" t="str">
            <v/>
          </cell>
          <cell r="BA212" t="str">
            <v/>
          </cell>
          <cell r="BC212" t="str">
            <v/>
          </cell>
          <cell r="BI212" t="str">
            <v/>
          </cell>
          <cell r="BS212" t="str">
            <v/>
          </cell>
          <cell r="BU212" t="str">
            <v/>
          </cell>
          <cell r="BW212" t="str">
            <v/>
          </cell>
        </row>
        <row r="213">
          <cell r="AY213" t="str">
            <v/>
          </cell>
          <cell r="BA213" t="str">
            <v/>
          </cell>
          <cell r="BC213" t="str">
            <v/>
          </cell>
          <cell r="BI213" t="str">
            <v/>
          </cell>
          <cell r="BS213" t="str">
            <v/>
          </cell>
          <cell r="BU213" t="str">
            <v/>
          </cell>
          <cell r="BW213" t="str">
            <v/>
          </cell>
        </row>
        <row r="214">
          <cell r="AY214" t="str">
            <v/>
          </cell>
          <cell r="BA214" t="str">
            <v/>
          </cell>
          <cell r="BC214" t="str">
            <v/>
          </cell>
          <cell r="BI214" t="str">
            <v/>
          </cell>
          <cell r="BS214" t="str">
            <v/>
          </cell>
          <cell r="BU214" t="str">
            <v/>
          </cell>
          <cell r="BW214" t="str">
            <v/>
          </cell>
        </row>
        <row r="215">
          <cell r="AY215" t="str">
            <v/>
          </cell>
          <cell r="BA215" t="str">
            <v/>
          </cell>
          <cell r="BC215" t="str">
            <v/>
          </cell>
          <cell r="BI215" t="str">
            <v/>
          </cell>
          <cell r="BS215" t="str">
            <v/>
          </cell>
          <cell r="BU215" t="str">
            <v/>
          </cell>
          <cell r="BW215" t="str">
            <v/>
          </cell>
        </row>
        <row r="216">
          <cell r="AY216" t="str">
            <v/>
          </cell>
          <cell r="BA216" t="str">
            <v/>
          </cell>
          <cell r="BC216" t="str">
            <v/>
          </cell>
          <cell r="BI216" t="str">
            <v/>
          </cell>
          <cell r="BS216" t="str">
            <v/>
          </cell>
          <cell r="BU216" t="str">
            <v/>
          </cell>
          <cell r="BW216" t="str">
            <v/>
          </cell>
        </row>
        <row r="217">
          <cell r="AY217" t="str">
            <v/>
          </cell>
          <cell r="BA217" t="str">
            <v/>
          </cell>
          <cell r="BC217" t="str">
            <v/>
          </cell>
          <cell r="BI217" t="str">
            <v/>
          </cell>
          <cell r="BS217" t="str">
            <v/>
          </cell>
          <cell r="BU217" t="str">
            <v/>
          </cell>
          <cell r="BW217" t="str">
            <v/>
          </cell>
        </row>
        <row r="218">
          <cell r="AY218" t="str">
            <v/>
          </cell>
          <cell r="BA218" t="str">
            <v/>
          </cell>
          <cell r="BC218" t="str">
            <v/>
          </cell>
          <cell r="BI218" t="str">
            <v/>
          </cell>
          <cell r="BS218" t="str">
            <v/>
          </cell>
          <cell r="BU218" t="str">
            <v/>
          </cell>
          <cell r="BW218" t="str">
            <v/>
          </cell>
        </row>
        <row r="219">
          <cell r="AY219" t="str">
            <v/>
          </cell>
          <cell r="BA219" t="str">
            <v/>
          </cell>
          <cell r="BC219" t="str">
            <v/>
          </cell>
          <cell r="BI219" t="str">
            <v/>
          </cell>
          <cell r="BS219" t="str">
            <v/>
          </cell>
          <cell r="BU219" t="str">
            <v/>
          </cell>
          <cell r="BW219" t="str">
            <v/>
          </cell>
        </row>
        <row r="220">
          <cell r="AY220" t="str">
            <v/>
          </cell>
          <cell r="BA220" t="str">
            <v/>
          </cell>
          <cell r="BC220" t="str">
            <v/>
          </cell>
          <cell r="BI220" t="str">
            <v/>
          </cell>
          <cell r="BS220" t="str">
            <v/>
          </cell>
          <cell r="BU220" t="str">
            <v/>
          </cell>
          <cell r="BW220" t="str">
            <v/>
          </cell>
        </row>
        <row r="221">
          <cell r="AY221" t="str">
            <v/>
          </cell>
          <cell r="BA221" t="str">
            <v/>
          </cell>
          <cell r="BC221" t="str">
            <v/>
          </cell>
          <cell r="BI221" t="str">
            <v/>
          </cell>
          <cell r="BS221" t="str">
            <v/>
          </cell>
          <cell r="BU221" t="str">
            <v/>
          </cell>
          <cell r="BW221" t="str">
            <v/>
          </cell>
        </row>
        <row r="222">
          <cell r="AY222" t="str">
            <v/>
          </cell>
          <cell r="BA222" t="str">
            <v/>
          </cell>
          <cell r="BC222" t="str">
            <v/>
          </cell>
          <cell r="BI222" t="str">
            <v/>
          </cell>
          <cell r="BS222" t="str">
            <v/>
          </cell>
          <cell r="BU222" t="str">
            <v/>
          </cell>
          <cell r="BW222" t="str">
            <v/>
          </cell>
        </row>
        <row r="223">
          <cell r="AY223" t="str">
            <v/>
          </cell>
          <cell r="BA223" t="str">
            <v/>
          </cell>
          <cell r="BC223" t="str">
            <v/>
          </cell>
          <cell r="BI223" t="str">
            <v/>
          </cell>
          <cell r="BS223" t="str">
            <v/>
          </cell>
          <cell r="BU223" t="str">
            <v/>
          </cell>
          <cell r="BW223" t="str">
            <v/>
          </cell>
        </row>
        <row r="224">
          <cell r="AY224" t="str">
            <v/>
          </cell>
          <cell r="BA224" t="str">
            <v/>
          </cell>
          <cell r="BC224" t="str">
            <v/>
          </cell>
          <cell r="BI224" t="str">
            <v/>
          </cell>
          <cell r="BS224" t="str">
            <v/>
          </cell>
          <cell r="BU224" t="str">
            <v/>
          </cell>
          <cell r="BW224" t="str">
            <v/>
          </cell>
        </row>
        <row r="225">
          <cell r="AY225" t="str">
            <v/>
          </cell>
          <cell r="BA225" t="str">
            <v/>
          </cell>
          <cell r="BC225" t="str">
            <v/>
          </cell>
          <cell r="BI225" t="str">
            <v/>
          </cell>
          <cell r="BS225" t="str">
            <v/>
          </cell>
          <cell r="BU225" t="str">
            <v/>
          </cell>
          <cell r="BW225" t="str">
            <v/>
          </cell>
        </row>
        <row r="226">
          <cell r="AY226" t="str">
            <v/>
          </cell>
          <cell r="BA226" t="str">
            <v/>
          </cell>
          <cell r="BC226" t="str">
            <v/>
          </cell>
          <cell r="BI226" t="str">
            <v/>
          </cell>
          <cell r="BS226" t="str">
            <v/>
          </cell>
          <cell r="BU226" t="str">
            <v/>
          </cell>
          <cell r="BW226" t="str">
            <v/>
          </cell>
        </row>
        <row r="227">
          <cell r="AY227" t="str">
            <v/>
          </cell>
          <cell r="BA227" t="str">
            <v/>
          </cell>
          <cell r="BC227" t="str">
            <v/>
          </cell>
          <cell r="BI227" t="str">
            <v/>
          </cell>
          <cell r="BS227" t="str">
            <v/>
          </cell>
          <cell r="BU227" t="str">
            <v/>
          </cell>
          <cell r="BW227" t="str">
            <v/>
          </cell>
        </row>
        <row r="228">
          <cell r="AY228" t="str">
            <v/>
          </cell>
          <cell r="BA228" t="str">
            <v/>
          </cell>
          <cell r="BC228" t="str">
            <v/>
          </cell>
          <cell r="BI228" t="str">
            <v/>
          </cell>
          <cell r="BS228" t="str">
            <v/>
          </cell>
          <cell r="BU228" t="str">
            <v/>
          </cell>
          <cell r="BW228" t="str">
            <v/>
          </cell>
        </row>
        <row r="229">
          <cell r="AY229" t="str">
            <v/>
          </cell>
          <cell r="BA229" t="str">
            <v/>
          </cell>
          <cell r="BC229" t="str">
            <v/>
          </cell>
          <cell r="BI229" t="str">
            <v/>
          </cell>
          <cell r="BS229" t="str">
            <v/>
          </cell>
          <cell r="BU229" t="str">
            <v/>
          </cell>
          <cell r="BW229" t="str">
            <v/>
          </cell>
        </row>
        <row r="230">
          <cell r="AY230" t="str">
            <v/>
          </cell>
          <cell r="BA230" t="str">
            <v/>
          </cell>
          <cell r="BC230" t="str">
            <v/>
          </cell>
          <cell r="BI230" t="str">
            <v/>
          </cell>
          <cell r="BS230" t="str">
            <v/>
          </cell>
          <cell r="BU230" t="str">
            <v/>
          </cell>
          <cell r="BW230" t="str">
            <v/>
          </cell>
        </row>
        <row r="231">
          <cell r="AY231" t="str">
            <v/>
          </cell>
          <cell r="BA231" t="str">
            <v/>
          </cell>
          <cell r="BC231" t="str">
            <v/>
          </cell>
          <cell r="BI231" t="str">
            <v/>
          </cell>
          <cell r="BS231" t="str">
            <v/>
          </cell>
          <cell r="BU231" t="str">
            <v/>
          </cell>
          <cell r="BW231" t="str">
            <v/>
          </cell>
        </row>
        <row r="232">
          <cell r="AY232" t="str">
            <v/>
          </cell>
          <cell r="BA232" t="str">
            <v/>
          </cell>
          <cell r="BC232" t="str">
            <v/>
          </cell>
          <cell r="BI232" t="str">
            <v/>
          </cell>
          <cell r="BS232" t="str">
            <v/>
          </cell>
          <cell r="BU232" t="str">
            <v/>
          </cell>
          <cell r="BW232" t="str">
            <v/>
          </cell>
        </row>
        <row r="233">
          <cell r="AY233" t="str">
            <v/>
          </cell>
          <cell r="BA233" t="str">
            <v/>
          </cell>
          <cell r="BC233" t="str">
            <v/>
          </cell>
          <cell r="BI233" t="str">
            <v/>
          </cell>
          <cell r="BS233" t="str">
            <v/>
          </cell>
          <cell r="BU233" t="str">
            <v/>
          </cell>
          <cell r="BW233" t="str">
            <v/>
          </cell>
        </row>
        <row r="234">
          <cell r="AY234" t="str">
            <v/>
          </cell>
          <cell r="BA234" t="str">
            <v/>
          </cell>
          <cell r="BC234" t="str">
            <v/>
          </cell>
          <cell r="BI234" t="str">
            <v/>
          </cell>
          <cell r="BS234" t="str">
            <v/>
          </cell>
          <cell r="BU234" t="str">
            <v/>
          </cell>
          <cell r="BW234" t="str">
            <v/>
          </cell>
        </row>
        <row r="235">
          <cell r="AY235" t="str">
            <v/>
          </cell>
          <cell r="BA235" t="str">
            <v/>
          </cell>
          <cell r="BC235" t="str">
            <v/>
          </cell>
          <cell r="BI235" t="str">
            <v/>
          </cell>
          <cell r="BS235" t="str">
            <v/>
          </cell>
          <cell r="BU235" t="str">
            <v/>
          </cell>
          <cell r="BW235" t="str">
            <v/>
          </cell>
        </row>
        <row r="236">
          <cell r="AY236" t="str">
            <v/>
          </cell>
          <cell r="BA236" t="str">
            <v/>
          </cell>
          <cell r="BC236" t="str">
            <v/>
          </cell>
          <cell r="BI236" t="str">
            <v/>
          </cell>
          <cell r="BS236" t="str">
            <v/>
          </cell>
          <cell r="BU236" t="str">
            <v/>
          </cell>
          <cell r="BW236" t="str">
            <v/>
          </cell>
        </row>
        <row r="237">
          <cell r="AY237" t="str">
            <v/>
          </cell>
          <cell r="BA237" t="str">
            <v/>
          </cell>
          <cell r="BC237" t="str">
            <v/>
          </cell>
          <cell r="BI237" t="str">
            <v/>
          </cell>
          <cell r="BS237" t="str">
            <v/>
          </cell>
          <cell r="BU237" t="str">
            <v/>
          </cell>
          <cell r="BW237" t="str">
            <v/>
          </cell>
        </row>
        <row r="238">
          <cell r="AY238" t="str">
            <v/>
          </cell>
          <cell r="BA238" t="str">
            <v/>
          </cell>
          <cell r="BC238" t="str">
            <v/>
          </cell>
          <cell r="BI238" t="str">
            <v/>
          </cell>
          <cell r="BS238" t="str">
            <v/>
          </cell>
          <cell r="BU238" t="str">
            <v/>
          </cell>
          <cell r="BW238" t="str">
            <v/>
          </cell>
        </row>
        <row r="239">
          <cell r="AY239" t="str">
            <v/>
          </cell>
          <cell r="BA239" t="str">
            <v/>
          </cell>
          <cell r="BC239" t="str">
            <v/>
          </cell>
          <cell r="BI239" t="str">
            <v/>
          </cell>
          <cell r="BS239" t="str">
            <v/>
          </cell>
          <cell r="BU239" t="str">
            <v/>
          </cell>
          <cell r="BW239" t="str">
            <v/>
          </cell>
        </row>
        <row r="240">
          <cell r="AY240" t="str">
            <v/>
          </cell>
          <cell r="BA240" t="str">
            <v/>
          </cell>
          <cell r="BC240" t="str">
            <v/>
          </cell>
          <cell r="BI240" t="str">
            <v/>
          </cell>
          <cell r="BS240" t="str">
            <v/>
          </cell>
          <cell r="BU240" t="str">
            <v/>
          </cell>
          <cell r="BW240" t="str">
            <v/>
          </cell>
        </row>
        <row r="241">
          <cell r="AY241" t="str">
            <v/>
          </cell>
          <cell r="BA241" t="str">
            <v/>
          </cell>
          <cell r="BC241" t="str">
            <v/>
          </cell>
          <cell r="BI241" t="str">
            <v/>
          </cell>
          <cell r="BS241" t="str">
            <v/>
          </cell>
          <cell r="BU241" t="str">
            <v/>
          </cell>
          <cell r="BW241" t="str">
            <v/>
          </cell>
        </row>
        <row r="242">
          <cell r="AY242" t="str">
            <v/>
          </cell>
          <cell r="BA242" t="str">
            <v/>
          </cell>
          <cell r="BC242" t="str">
            <v/>
          </cell>
          <cell r="BI242" t="str">
            <v/>
          </cell>
          <cell r="BS242" t="str">
            <v/>
          </cell>
          <cell r="BU242" t="str">
            <v/>
          </cell>
          <cell r="BW242" t="str">
            <v/>
          </cell>
        </row>
        <row r="243">
          <cell r="AY243" t="str">
            <v/>
          </cell>
          <cell r="BA243" t="str">
            <v/>
          </cell>
          <cell r="BC243" t="str">
            <v/>
          </cell>
          <cell r="BI243" t="str">
            <v/>
          </cell>
          <cell r="BS243" t="str">
            <v/>
          </cell>
          <cell r="BU243" t="str">
            <v/>
          </cell>
          <cell r="BW243" t="str">
            <v/>
          </cell>
        </row>
        <row r="244">
          <cell r="AY244" t="str">
            <v/>
          </cell>
          <cell r="BA244" t="str">
            <v/>
          </cell>
          <cell r="BC244" t="str">
            <v/>
          </cell>
          <cell r="BI244" t="str">
            <v/>
          </cell>
          <cell r="BS244" t="str">
            <v/>
          </cell>
          <cell r="BU244" t="str">
            <v/>
          </cell>
          <cell r="BW244" t="str">
            <v/>
          </cell>
        </row>
        <row r="245">
          <cell r="AY245" t="str">
            <v/>
          </cell>
          <cell r="BA245" t="str">
            <v/>
          </cell>
          <cell r="BC245" t="str">
            <v/>
          </cell>
          <cell r="BI245" t="str">
            <v/>
          </cell>
          <cell r="BS245" t="str">
            <v/>
          </cell>
          <cell r="BU245" t="str">
            <v/>
          </cell>
          <cell r="BW245" t="str">
            <v/>
          </cell>
        </row>
        <row r="246">
          <cell r="AY246" t="str">
            <v/>
          </cell>
          <cell r="BA246" t="str">
            <v/>
          </cell>
          <cell r="BC246" t="str">
            <v/>
          </cell>
          <cell r="BI246" t="str">
            <v/>
          </cell>
          <cell r="BS246" t="str">
            <v/>
          </cell>
          <cell r="BU246" t="str">
            <v/>
          </cell>
          <cell r="BW246" t="str">
            <v/>
          </cell>
        </row>
        <row r="247">
          <cell r="AY247" t="str">
            <v/>
          </cell>
          <cell r="BA247" t="str">
            <v/>
          </cell>
          <cell r="BC247" t="str">
            <v/>
          </cell>
          <cell r="BI247" t="str">
            <v/>
          </cell>
          <cell r="BS247" t="str">
            <v/>
          </cell>
          <cell r="BU247" t="str">
            <v/>
          </cell>
          <cell r="BW247" t="str">
            <v/>
          </cell>
        </row>
        <row r="248">
          <cell r="AY248" t="str">
            <v/>
          </cell>
          <cell r="BA248" t="str">
            <v/>
          </cell>
          <cell r="BC248" t="str">
            <v/>
          </cell>
          <cell r="BI248" t="str">
            <v/>
          </cell>
          <cell r="BS248" t="str">
            <v/>
          </cell>
          <cell r="BU248" t="str">
            <v/>
          </cell>
          <cell r="BW248" t="str">
            <v/>
          </cell>
        </row>
        <row r="249">
          <cell r="AY249" t="str">
            <v/>
          </cell>
          <cell r="BA249" t="str">
            <v/>
          </cell>
          <cell r="BC249" t="str">
            <v/>
          </cell>
          <cell r="BI249" t="str">
            <v/>
          </cell>
          <cell r="BS249" t="str">
            <v/>
          </cell>
          <cell r="BU249" t="str">
            <v/>
          </cell>
          <cell r="BW249" t="str">
            <v/>
          </cell>
        </row>
        <row r="250">
          <cell r="AY250" t="str">
            <v/>
          </cell>
          <cell r="BA250" t="str">
            <v/>
          </cell>
          <cell r="BC250" t="str">
            <v/>
          </cell>
          <cell r="BI250" t="str">
            <v/>
          </cell>
          <cell r="BS250" t="str">
            <v/>
          </cell>
          <cell r="BU250" t="str">
            <v/>
          </cell>
          <cell r="BW250" t="str">
            <v/>
          </cell>
        </row>
        <row r="251">
          <cell r="AY251" t="str">
            <v/>
          </cell>
          <cell r="BA251" t="str">
            <v/>
          </cell>
          <cell r="BC251" t="str">
            <v/>
          </cell>
          <cell r="BI251" t="str">
            <v/>
          </cell>
          <cell r="BS251" t="str">
            <v/>
          </cell>
          <cell r="BU251" t="str">
            <v/>
          </cell>
          <cell r="BW251" t="str">
            <v/>
          </cell>
        </row>
        <row r="252">
          <cell r="AY252" t="str">
            <v/>
          </cell>
          <cell r="BA252" t="str">
            <v/>
          </cell>
          <cell r="BC252" t="str">
            <v/>
          </cell>
          <cell r="BI252" t="str">
            <v/>
          </cell>
          <cell r="BS252" t="str">
            <v/>
          </cell>
          <cell r="BU252" t="str">
            <v/>
          </cell>
          <cell r="BW252" t="str">
            <v/>
          </cell>
        </row>
        <row r="253">
          <cell r="AY253" t="str">
            <v/>
          </cell>
          <cell r="BA253" t="str">
            <v/>
          </cell>
          <cell r="BC253" t="str">
            <v/>
          </cell>
          <cell r="BI253" t="str">
            <v/>
          </cell>
          <cell r="BS253" t="str">
            <v/>
          </cell>
          <cell r="BU253" t="str">
            <v/>
          </cell>
          <cell r="BW253" t="str">
            <v/>
          </cell>
        </row>
        <row r="254">
          <cell r="AY254" t="str">
            <v/>
          </cell>
          <cell r="BA254" t="str">
            <v/>
          </cell>
          <cell r="BC254" t="str">
            <v/>
          </cell>
          <cell r="BI254" t="str">
            <v/>
          </cell>
          <cell r="BS254" t="str">
            <v/>
          </cell>
          <cell r="BU254" t="str">
            <v/>
          </cell>
          <cell r="BW254" t="str">
            <v/>
          </cell>
        </row>
        <row r="255">
          <cell r="AY255" t="str">
            <v/>
          </cell>
          <cell r="BA255" t="str">
            <v/>
          </cell>
          <cell r="BC255" t="str">
            <v/>
          </cell>
          <cell r="BI255" t="str">
            <v/>
          </cell>
          <cell r="BS255" t="str">
            <v/>
          </cell>
          <cell r="BU255" t="str">
            <v/>
          </cell>
          <cell r="BW255" t="str">
            <v/>
          </cell>
        </row>
        <row r="256">
          <cell r="AY256" t="str">
            <v/>
          </cell>
          <cell r="BA256" t="str">
            <v/>
          </cell>
          <cell r="BC256" t="str">
            <v/>
          </cell>
          <cell r="BI256" t="str">
            <v/>
          </cell>
          <cell r="BS256" t="str">
            <v/>
          </cell>
          <cell r="BU256" t="str">
            <v/>
          </cell>
          <cell r="BW256" t="str">
            <v/>
          </cell>
        </row>
        <row r="257">
          <cell r="AY257" t="str">
            <v/>
          </cell>
          <cell r="BA257" t="str">
            <v/>
          </cell>
          <cell r="BC257" t="str">
            <v/>
          </cell>
          <cell r="BI257" t="str">
            <v/>
          </cell>
          <cell r="BS257" t="str">
            <v/>
          </cell>
          <cell r="BU257" t="str">
            <v/>
          </cell>
          <cell r="BW257" t="str">
            <v/>
          </cell>
        </row>
        <row r="258">
          <cell r="AY258" t="str">
            <v/>
          </cell>
          <cell r="BA258" t="str">
            <v/>
          </cell>
          <cell r="BC258" t="str">
            <v/>
          </cell>
          <cell r="BI258" t="str">
            <v/>
          </cell>
          <cell r="BS258" t="str">
            <v/>
          </cell>
          <cell r="BU258" t="str">
            <v/>
          </cell>
          <cell r="BW258" t="str">
            <v/>
          </cell>
        </row>
        <row r="259">
          <cell r="AY259" t="str">
            <v/>
          </cell>
          <cell r="BA259" t="str">
            <v/>
          </cell>
          <cell r="BC259" t="str">
            <v/>
          </cell>
          <cell r="BI259" t="str">
            <v/>
          </cell>
          <cell r="BS259" t="str">
            <v/>
          </cell>
          <cell r="BU259" t="str">
            <v/>
          </cell>
          <cell r="BW259" t="str">
            <v/>
          </cell>
        </row>
        <row r="260">
          <cell r="AY260" t="str">
            <v/>
          </cell>
          <cell r="BA260" t="str">
            <v/>
          </cell>
          <cell r="BC260" t="str">
            <v/>
          </cell>
          <cell r="BI260" t="str">
            <v/>
          </cell>
          <cell r="BS260" t="str">
            <v/>
          </cell>
          <cell r="BU260" t="str">
            <v/>
          </cell>
          <cell r="BW260" t="str">
            <v/>
          </cell>
        </row>
        <row r="261">
          <cell r="AY261" t="str">
            <v/>
          </cell>
          <cell r="BA261" t="str">
            <v/>
          </cell>
          <cell r="BC261" t="str">
            <v/>
          </cell>
          <cell r="BI261" t="str">
            <v/>
          </cell>
          <cell r="BS261" t="str">
            <v/>
          </cell>
          <cell r="BU261" t="str">
            <v/>
          </cell>
          <cell r="BW261" t="str">
            <v/>
          </cell>
        </row>
        <row r="262">
          <cell r="AY262" t="str">
            <v/>
          </cell>
          <cell r="BA262" t="str">
            <v/>
          </cell>
          <cell r="BC262" t="str">
            <v/>
          </cell>
          <cell r="BI262" t="str">
            <v/>
          </cell>
          <cell r="BS262" t="str">
            <v/>
          </cell>
          <cell r="BU262" t="str">
            <v/>
          </cell>
          <cell r="BW262" t="str">
            <v/>
          </cell>
        </row>
        <row r="263">
          <cell r="AY263" t="str">
            <v/>
          </cell>
          <cell r="BA263" t="str">
            <v/>
          </cell>
          <cell r="BC263" t="str">
            <v/>
          </cell>
          <cell r="BI263" t="str">
            <v/>
          </cell>
          <cell r="BS263" t="str">
            <v/>
          </cell>
          <cell r="BU263" t="str">
            <v/>
          </cell>
          <cell r="BW263" t="str">
            <v/>
          </cell>
        </row>
        <row r="264">
          <cell r="AY264" t="str">
            <v/>
          </cell>
          <cell r="BA264" t="str">
            <v/>
          </cell>
          <cell r="BC264" t="str">
            <v/>
          </cell>
          <cell r="BI264" t="str">
            <v/>
          </cell>
          <cell r="BS264" t="str">
            <v/>
          </cell>
          <cell r="BU264" t="str">
            <v/>
          </cell>
          <cell r="BW264" t="str">
            <v/>
          </cell>
        </row>
        <row r="265">
          <cell r="AY265" t="str">
            <v/>
          </cell>
          <cell r="BA265" t="str">
            <v/>
          </cell>
          <cell r="BC265" t="str">
            <v/>
          </cell>
          <cell r="BI265" t="str">
            <v/>
          </cell>
          <cell r="BS265" t="str">
            <v/>
          </cell>
          <cell r="BU265" t="str">
            <v/>
          </cell>
          <cell r="BW265" t="str">
            <v/>
          </cell>
        </row>
        <row r="266">
          <cell r="AY266" t="str">
            <v/>
          </cell>
          <cell r="BA266" t="str">
            <v/>
          </cell>
          <cell r="BC266" t="str">
            <v/>
          </cell>
          <cell r="BI266" t="str">
            <v/>
          </cell>
          <cell r="BS266" t="str">
            <v/>
          </cell>
          <cell r="BU266" t="str">
            <v/>
          </cell>
          <cell r="BW266" t="str">
            <v/>
          </cell>
        </row>
        <row r="267">
          <cell r="AY267" t="str">
            <v/>
          </cell>
          <cell r="BA267" t="str">
            <v/>
          </cell>
          <cell r="BC267" t="str">
            <v/>
          </cell>
          <cell r="BI267" t="str">
            <v/>
          </cell>
          <cell r="BS267" t="str">
            <v/>
          </cell>
          <cell r="BU267" t="str">
            <v/>
          </cell>
          <cell r="BW267" t="str">
            <v/>
          </cell>
        </row>
        <row r="268">
          <cell r="AY268" t="str">
            <v/>
          </cell>
          <cell r="BA268" t="str">
            <v/>
          </cell>
          <cell r="BC268" t="str">
            <v/>
          </cell>
          <cell r="BI268" t="str">
            <v/>
          </cell>
          <cell r="BS268" t="str">
            <v/>
          </cell>
          <cell r="BU268" t="str">
            <v/>
          </cell>
          <cell r="BW268" t="str">
            <v/>
          </cell>
        </row>
        <row r="269">
          <cell r="AY269" t="str">
            <v/>
          </cell>
          <cell r="BA269" t="str">
            <v/>
          </cell>
          <cell r="BC269" t="str">
            <v/>
          </cell>
          <cell r="BI269" t="str">
            <v/>
          </cell>
          <cell r="BS269" t="str">
            <v/>
          </cell>
          <cell r="BU269" t="str">
            <v/>
          </cell>
          <cell r="BW269" t="str">
            <v/>
          </cell>
        </row>
        <row r="270">
          <cell r="AY270" t="str">
            <v/>
          </cell>
          <cell r="BA270" t="str">
            <v/>
          </cell>
          <cell r="BC270" t="str">
            <v/>
          </cell>
          <cell r="BI270" t="str">
            <v/>
          </cell>
          <cell r="BS270" t="str">
            <v/>
          </cell>
          <cell r="BU270" t="str">
            <v/>
          </cell>
          <cell r="BW270" t="str">
            <v/>
          </cell>
        </row>
        <row r="271">
          <cell r="AY271" t="str">
            <v/>
          </cell>
          <cell r="BA271" t="str">
            <v/>
          </cell>
          <cell r="BC271" t="str">
            <v/>
          </cell>
          <cell r="BI271" t="str">
            <v/>
          </cell>
          <cell r="BS271" t="str">
            <v/>
          </cell>
          <cell r="BU271" t="str">
            <v/>
          </cell>
          <cell r="BW271" t="str">
            <v/>
          </cell>
        </row>
        <row r="272">
          <cell r="AY272" t="str">
            <v/>
          </cell>
          <cell r="BA272" t="str">
            <v/>
          </cell>
          <cell r="BC272" t="str">
            <v/>
          </cell>
          <cell r="BI272" t="str">
            <v/>
          </cell>
          <cell r="BS272" t="str">
            <v/>
          </cell>
          <cell r="BU272" t="str">
            <v/>
          </cell>
          <cell r="BW272" t="str">
            <v/>
          </cell>
        </row>
        <row r="273">
          <cell r="AY273" t="str">
            <v/>
          </cell>
          <cell r="BA273" t="str">
            <v/>
          </cell>
          <cell r="BC273" t="str">
            <v/>
          </cell>
          <cell r="BI273" t="str">
            <v/>
          </cell>
          <cell r="BS273" t="str">
            <v/>
          </cell>
          <cell r="BU273" t="str">
            <v/>
          </cell>
          <cell r="BW273" t="str">
            <v/>
          </cell>
        </row>
        <row r="274">
          <cell r="AY274" t="str">
            <v/>
          </cell>
          <cell r="BA274" t="str">
            <v/>
          </cell>
          <cell r="BC274" t="str">
            <v/>
          </cell>
          <cell r="BI274" t="str">
            <v/>
          </cell>
          <cell r="BS274" t="str">
            <v/>
          </cell>
          <cell r="BU274" t="str">
            <v/>
          </cell>
          <cell r="BW274" t="str">
            <v/>
          </cell>
        </row>
        <row r="275">
          <cell r="AY275" t="str">
            <v/>
          </cell>
          <cell r="BA275" t="str">
            <v/>
          </cell>
          <cell r="BC275" t="str">
            <v/>
          </cell>
          <cell r="BI275" t="str">
            <v/>
          </cell>
          <cell r="BS275" t="str">
            <v/>
          </cell>
          <cell r="BU275" t="str">
            <v/>
          </cell>
          <cell r="BW275" t="str">
            <v/>
          </cell>
        </row>
        <row r="276">
          <cell r="AY276" t="str">
            <v/>
          </cell>
          <cell r="BA276" t="str">
            <v/>
          </cell>
          <cell r="BC276" t="str">
            <v/>
          </cell>
          <cell r="BI276" t="str">
            <v/>
          </cell>
          <cell r="BS276" t="str">
            <v/>
          </cell>
          <cell r="BU276" t="str">
            <v/>
          </cell>
          <cell r="BW276" t="str">
            <v/>
          </cell>
        </row>
        <row r="277">
          <cell r="AY277" t="str">
            <v/>
          </cell>
          <cell r="BA277" t="str">
            <v/>
          </cell>
          <cell r="BC277" t="str">
            <v/>
          </cell>
          <cell r="BI277" t="str">
            <v/>
          </cell>
          <cell r="BS277" t="str">
            <v/>
          </cell>
          <cell r="BU277" t="str">
            <v/>
          </cell>
          <cell r="BW277" t="str">
            <v/>
          </cell>
        </row>
        <row r="278">
          <cell r="AY278" t="str">
            <v/>
          </cell>
          <cell r="BA278" t="str">
            <v/>
          </cell>
          <cell r="BC278" t="str">
            <v/>
          </cell>
          <cell r="BI278" t="str">
            <v/>
          </cell>
          <cell r="BS278" t="str">
            <v/>
          </cell>
          <cell r="BU278" t="str">
            <v/>
          </cell>
          <cell r="BW278" t="str">
            <v/>
          </cell>
        </row>
        <row r="279">
          <cell r="AY279" t="str">
            <v/>
          </cell>
          <cell r="BA279" t="str">
            <v/>
          </cell>
          <cell r="BC279" t="str">
            <v/>
          </cell>
          <cell r="BI279" t="str">
            <v/>
          </cell>
          <cell r="BS279" t="str">
            <v/>
          </cell>
          <cell r="BU279" t="str">
            <v/>
          </cell>
          <cell r="BW279" t="str">
            <v/>
          </cell>
        </row>
        <row r="280">
          <cell r="AY280" t="str">
            <v/>
          </cell>
          <cell r="BA280" t="str">
            <v/>
          </cell>
          <cell r="BC280" t="str">
            <v/>
          </cell>
          <cell r="BI280" t="str">
            <v/>
          </cell>
          <cell r="BS280" t="str">
            <v/>
          </cell>
          <cell r="BU280" t="str">
            <v/>
          </cell>
          <cell r="BW280" t="str">
            <v/>
          </cell>
        </row>
        <row r="281">
          <cell r="AY281" t="str">
            <v/>
          </cell>
          <cell r="BA281" t="str">
            <v/>
          </cell>
          <cell r="BC281" t="str">
            <v/>
          </cell>
          <cell r="BI281" t="str">
            <v/>
          </cell>
          <cell r="BS281" t="str">
            <v/>
          </cell>
          <cell r="BU281" t="str">
            <v/>
          </cell>
          <cell r="BW281" t="str">
            <v/>
          </cell>
        </row>
        <row r="282">
          <cell r="AY282" t="str">
            <v/>
          </cell>
          <cell r="BA282" t="str">
            <v/>
          </cell>
          <cell r="BC282" t="str">
            <v/>
          </cell>
          <cell r="BI282" t="str">
            <v/>
          </cell>
          <cell r="BS282" t="str">
            <v/>
          </cell>
          <cell r="BU282" t="str">
            <v/>
          </cell>
          <cell r="BW282" t="str">
            <v/>
          </cell>
        </row>
        <row r="283">
          <cell r="AY283" t="str">
            <v/>
          </cell>
          <cell r="BA283" t="str">
            <v/>
          </cell>
          <cell r="BC283" t="str">
            <v/>
          </cell>
          <cell r="BI283" t="str">
            <v/>
          </cell>
          <cell r="BS283" t="str">
            <v/>
          </cell>
          <cell r="BU283" t="str">
            <v/>
          </cell>
          <cell r="BW283" t="str">
            <v/>
          </cell>
        </row>
        <row r="284">
          <cell r="AY284" t="str">
            <v/>
          </cell>
          <cell r="BA284" t="str">
            <v/>
          </cell>
          <cell r="BC284" t="str">
            <v/>
          </cell>
          <cell r="BI284" t="str">
            <v/>
          </cell>
          <cell r="BS284" t="str">
            <v/>
          </cell>
          <cell r="BU284" t="str">
            <v/>
          </cell>
          <cell r="BW284" t="str">
            <v/>
          </cell>
        </row>
        <row r="285">
          <cell r="AY285" t="str">
            <v/>
          </cell>
          <cell r="BA285" t="str">
            <v/>
          </cell>
          <cell r="BC285" t="str">
            <v/>
          </cell>
          <cell r="BI285" t="str">
            <v/>
          </cell>
          <cell r="BS285" t="str">
            <v/>
          </cell>
          <cell r="BU285" t="str">
            <v/>
          </cell>
          <cell r="BW285" t="str">
            <v/>
          </cell>
        </row>
        <row r="286">
          <cell r="AY286" t="str">
            <v/>
          </cell>
          <cell r="BA286" t="str">
            <v/>
          </cell>
          <cell r="BC286" t="str">
            <v/>
          </cell>
          <cell r="BI286" t="str">
            <v/>
          </cell>
          <cell r="BS286" t="str">
            <v/>
          </cell>
          <cell r="BU286" t="str">
            <v/>
          </cell>
          <cell r="BW286" t="str">
            <v/>
          </cell>
        </row>
        <row r="287">
          <cell r="AY287" t="str">
            <v/>
          </cell>
          <cell r="BA287" t="str">
            <v/>
          </cell>
          <cell r="BC287" t="str">
            <v/>
          </cell>
          <cell r="BI287" t="str">
            <v/>
          </cell>
          <cell r="BS287" t="str">
            <v/>
          </cell>
          <cell r="BU287" t="str">
            <v/>
          </cell>
          <cell r="BW287" t="str">
            <v/>
          </cell>
        </row>
        <row r="288">
          <cell r="AY288" t="str">
            <v/>
          </cell>
          <cell r="BA288" t="str">
            <v/>
          </cell>
          <cell r="BC288" t="str">
            <v/>
          </cell>
          <cell r="BI288" t="str">
            <v/>
          </cell>
          <cell r="BS288" t="str">
            <v/>
          </cell>
          <cell r="BU288" t="str">
            <v/>
          </cell>
          <cell r="BW288" t="str">
            <v/>
          </cell>
        </row>
        <row r="289">
          <cell r="AY289" t="str">
            <v/>
          </cell>
          <cell r="BA289" t="str">
            <v/>
          </cell>
          <cell r="BC289" t="str">
            <v/>
          </cell>
          <cell r="BI289" t="str">
            <v/>
          </cell>
          <cell r="BS289" t="str">
            <v/>
          </cell>
          <cell r="BU289" t="str">
            <v/>
          </cell>
          <cell r="BW289" t="str">
            <v/>
          </cell>
        </row>
        <row r="290">
          <cell r="AY290" t="str">
            <v/>
          </cell>
          <cell r="BA290" t="str">
            <v/>
          </cell>
          <cell r="BC290" t="str">
            <v/>
          </cell>
          <cell r="BI290" t="str">
            <v/>
          </cell>
          <cell r="BS290" t="str">
            <v/>
          </cell>
          <cell r="BU290" t="str">
            <v/>
          </cell>
          <cell r="BW290" t="str">
            <v/>
          </cell>
        </row>
        <row r="291">
          <cell r="AY291" t="str">
            <v/>
          </cell>
          <cell r="BA291" t="str">
            <v/>
          </cell>
          <cell r="BC291" t="str">
            <v/>
          </cell>
          <cell r="BI291" t="str">
            <v/>
          </cell>
          <cell r="BS291" t="str">
            <v/>
          </cell>
          <cell r="BU291" t="str">
            <v/>
          </cell>
          <cell r="BW291" t="str">
            <v/>
          </cell>
        </row>
        <row r="292">
          <cell r="AY292" t="str">
            <v/>
          </cell>
          <cell r="BA292" t="str">
            <v/>
          </cell>
          <cell r="BC292" t="str">
            <v/>
          </cell>
          <cell r="BI292" t="str">
            <v/>
          </cell>
          <cell r="BS292" t="str">
            <v/>
          </cell>
          <cell r="BU292" t="str">
            <v/>
          </cell>
          <cell r="BW292" t="str">
            <v/>
          </cell>
        </row>
        <row r="293">
          <cell r="AY293" t="str">
            <v/>
          </cell>
          <cell r="BA293" t="str">
            <v/>
          </cell>
          <cell r="BC293" t="str">
            <v/>
          </cell>
          <cell r="BI293" t="str">
            <v/>
          </cell>
          <cell r="BS293" t="str">
            <v/>
          </cell>
          <cell r="BU293" t="str">
            <v/>
          </cell>
          <cell r="BW293" t="str">
            <v/>
          </cell>
        </row>
        <row r="294">
          <cell r="AY294" t="str">
            <v/>
          </cell>
          <cell r="BA294" t="str">
            <v/>
          </cell>
          <cell r="BC294" t="str">
            <v/>
          </cell>
          <cell r="BI294" t="str">
            <v/>
          </cell>
          <cell r="BS294" t="str">
            <v/>
          </cell>
          <cell r="BU294" t="str">
            <v/>
          </cell>
          <cell r="BW294" t="str">
            <v/>
          </cell>
        </row>
        <row r="295">
          <cell r="AY295" t="str">
            <v/>
          </cell>
          <cell r="BA295" t="str">
            <v/>
          </cell>
          <cell r="BC295" t="str">
            <v/>
          </cell>
          <cell r="BI295" t="str">
            <v/>
          </cell>
          <cell r="BS295" t="str">
            <v/>
          </cell>
          <cell r="BU295" t="str">
            <v/>
          </cell>
          <cell r="BW295" t="str">
            <v/>
          </cell>
        </row>
        <row r="296">
          <cell r="AY296" t="str">
            <v/>
          </cell>
          <cell r="BA296" t="str">
            <v/>
          </cell>
          <cell r="BC296" t="str">
            <v/>
          </cell>
          <cell r="BI296" t="str">
            <v/>
          </cell>
          <cell r="BS296" t="str">
            <v/>
          </cell>
          <cell r="BU296" t="str">
            <v/>
          </cell>
          <cell r="BW296" t="str">
            <v/>
          </cell>
        </row>
        <row r="297">
          <cell r="AY297" t="str">
            <v/>
          </cell>
          <cell r="BA297" t="str">
            <v/>
          </cell>
          <cell r="BC297" t="str">
            <v/>
          </cell>
          <cell r="BI297" t="str">
            <v/>
          </cell>
          <cell r="BS297" t="str">
            <v/>
          </cell>
          <cell r="BU297" t="str">
            <v/>
          </cell>
          <cell r="BW297" t="str">
            <v/>
          </cell>
        </row>
        <row r="298">
          <cell r="AY298" t="str">
            <v/>
          </cell>
          <cell r="BA298" t="str">
            <v/>
          </cell>
          <cell r="BC298" t="str">
            <v/>
          </cell>
          <cell r="BI298" t="str">
            <v/>
          </cell>
          <cell r="BS298" t="str">
            <v/>
          </cell>
          <cell r="BU298" t="str">
            <v/>
          </cell>
          <cell r="BW298" t="str">
            <v/>
          </cell>
        </row>
        <row r="299">
          <cell r="AY299" t="str">
            <v/>
          </cell>
          <cell r="BA299" t="str">
            <v/>
          </cell>
          <cell r="BC299" t="str">
            <v/>
          </cell>
          <cell r="BI299" t="str">
            <v/>
          </cell>
          <cell r="BS299" t="str">
            <v/>
          </cell>
          <cell r="BU299" t="str">
            <v/>
          </cell>
          <cell r="BW299" t="str">
            <v/>
          </cell>
        </row>
        <row r="300">
          <cell r="AY300" t="str">
            <v/>
          </cell>
          <cell r="BA300" t="str">
            <v/>
          </cell>
          <cell r="BC300" t="str">
            <v/>
          </cell>
          <cell r="BI300" t="str">
            <v/>
          </cell>
          <cell r="BS300" t="str">
            <v/>
          </cell>
          <cell r="BU300" t="str">
            <v/>
          </cell>
          <cell r="BW300" t="str">
            <v/>
          </cell>
        </row>
        <row r="301">
          <cell r="AY301" t="str">
            <v/>
          </cell>
          <cell r="BA301" t="str">
            <v/>
          </cell>
          <cell r="BC301" t="str">
            <v/>
          </cell>
          <cell r="BI301" t="str">
            <v/>
          </cell>
          <cell r="BS301" t="str">
            <v/>
          </cell>
          <cell r="BU301" t="str">
            <v/>
          </cell>
          <cell r="BW301" t="str">
            <v/>
          </cell>
        </row>
        <row r="302">
          <cell r="AY302" t="str">
            <v/>
          </cell>
          <cell r="BA302" t="str">
            <v/>
          </cell>
          <cell r="BC302" t="str">
            <v/>
          </cell>
          <cell r="BI302" t="str">
            <v/>
          </cell>
          <cell r="BS302" t="str">
            <v/>
          </cell>
          <cell r="BU302" t="str">
            <v/>
          </cell>
          <cell r="BW302" t="str">
            <v/>
          </cell>
        </row>
        <row r="303">
          <cell r="AY303" t="str">
            <v/>
          </cell>
          <cell r="BA303" t="str">
            <v/>
          </cell>
          <cell r="BC303" t="str">
            <v/>
          </cell>
          <cell r="BI303" t="str">
            <v/>
          </cell>
          <cell r="BS303" t="str">
            <v/>
          </cell>
          <cell r="BU303" t="str">
            <v/>
          </cell>
          <cell r="BW303" t="str">
            <v/>
          </cell>
        </row>
        <row r="304">
          <cell r="AY304" t="str">
            <v/>
          </cell>
          <cell r="BA304" t="str">
            <v/>
          </cell>
          <cell r="BC304" t="str">
            <v/>
          </cell>
          <cell r="BI304" t="str">
            <v/>
          </cell>
          <cell r="BS304" t="str">
            <v/>
          </cell>
          <cell r="BU304" t="str">
            <v/>
          </cell>
          <cell r="BW304" t="str">
            <v/>
          </cell>
        </row>
        <row r="305">
          <cell r="AY305" t="str">
            <v/>
          </cell>
          <cell r="BA305" t="str">
            <v/>
          </cell>
          <cell r="BC305" t="str">
            <v/>
          </cell>
          <cell r="BI305" t="str">
            <v/>
          </cell>
          <cell r="BS305" t="str">
            <v/>
          </cell>
          <cell r="BU305" t="str">
            <v/>
          </cell>
          <cell r="BW305" t="str">
            <v/>
          </cell>
        </row>
        <row r="306">
          <cell r="AY306" t="str">
            <v/>
          </cell>
          <cell r="BA306" t="str">
            <v/>
          </cell>
          <cell r="BC306" t="str">
            <v/>
          </cell>
          <cell r="BI306" t="str">
            <v/>
          </cell>
          <cell r="BS306" t="str">
            <v/>
          </cell>
          <cell r="BU306" t="str">
            <v/>
          </cell>
          <cell r="BW306" t="str">
            <v/>
          </cell>
        </row>
        <row r="307">
          <cell r="AY307" t="str">
            <v/>
          </cell>
          <cell r="BA307" t="str">
            <v/>
          </cell>
          <cell r="BC307" t="str">
            <v/>
          </cell>
          <cell r="BI307" t="str">
            <v/>
          </cell>
          <cell r="BS307" t="str">
            <v/>
          </cell>
          <cell r="BU307" t="str">
            <v/>
          </cell>
          <cell r="BW307" t="str">
            <v/>
          </cell>
        </row>
        <row r="308">
          <cell r="AY308" t="str">
            <v/>
          </cell>
          <cell r="BA308" t="str">
            <v/>
          </cell>
          <cell r="BC308" t="str">
            <v/>
          </cell>
          <cell r="BI308" t="str">
            <v/>
          </cell>
          <cell r="BS308" t="str">
            <v/>
          </cell>
          <cell r="BU308" t="str">
            <v/>
          </cell>
          <cell r="BW308" t="str">
            <v/>
          </cell>
        </row>
        <row r="309">
          <cell r="AY309" t="str">
            <v/>
          </cell>
          <cell r="BA309" t="str">
            <v/>
          </cell>
          <cell r="BC309" t="str">
            <v/>
          </cell>
          <cell r="BI309" t="str">
            <v/>
          </cell>
          <cell r="BS309" t="str">
            <v/>
          </cell>
          <cell r="BU309" t="str">
            <v/>
          </cell>
          <cell r="BW309" t="str">
            <v/>
          </cell>
        </row>
        <row r="310">
          <cell r="AY310" t="str">
            <v/>
          </cell>
          <cell r="BA310" t="str">
            <v/>
          </cell>
          <cell r="BC310" t="str">
            <v/>
          </cell>
          <cell r="BI310" t="str">
            <v/>
          </cell>
          <cell r="BS310" t="str">
            <v/>
          </cell>
          <cell r="BU310" t="str">
            <v/>
          </cell>
          <cell r="BW310" t="str">
            <v/>
          </cell>
        </row>
        <row r="311">
          <cell r="AY311" t="str">
            <v/>
          </cell>
          <cell r="BA311" t="str">
            <v/>
          </cell>
          <cell r="BC311" t="str">
            <v/>
          </cell>
          <cell r="BI311" t="str">
            <v/>
          </cell>
          <cell r="BS311" t="str">
            <v/>
          </cell>
          <cell r="BU311" t="str">
            <v/>
          </cell>
          <cell r="BW311" t="str">
            <v/>
          </cell>
        </row>
        <row r="312">
          <cell r="AY312" t="str">
            <v/>
          </cell>
          <cell r="BA312" t="str">
            <v/>
          </cell>
          <cell r="BC312" t="str">
            <v/>
          </cell>
          <cell r="BI312" t="str">
            <v/>
          </cell>
          <cell r="BS312" t="str">
            <v/>
          </cell>
          <cell r="BU312" t="str">
            <v/>
          </cell>
          <cell r="BW312" t="str">
            <v/>
          </cell>
        </row>
        <row r="313">
          <cell r="AY313" t="str">
            <v/>
          </cell>
          <cell r="BA313" t="str">
            <v/>
          </cell>
          <cell r="BC313" t="str">
            <v/>
          </cell>
          <cell r="BI313" t="str">
            <v/>
          </cell>
          <cell r="BS313" t="str">
            <v/>
          </cell>
          <cell r="BU313" t="str">
            <v/>
          </cell>
          <cell r="BW313" t="str">
            <v/>
          </cell>
        </row>
        <row r="314">
          <cell r="AY314" t="str">
            <v/>
          </cell>
          <cell r="BA314" t="str">
            <v/>
          </cell>
          <cell r="BC314" t="str">
            <v/>
          </cell>
          <cell r="BI314" t="str">
            <v/>
          </cell>
          <cell r="BS314" t="str">
            <v/>
          </cell>
          <cell r="BU314" t="str">
            <v/>
          </cell>
          <cell r="BW314" t="str">
            <v/>
          </cell>
        </row>
        <row r="315">
          <cell r="AY315" t="str">
            <v/>
          </cell>
          <cell r="BA315" t="str">
            <v/>
          </cell>
          <cell r="BC315" t="str">
            <v/>
          </cell>
          <cell r="BI315" t="str">
            <v/>
          </cell>
          <cell r="BS315" t="str">
            <v/>
          </cell>
          <cell r="BU315" t="str">
            <v/>
          </cell>
          <cell r="BW315" t="str">
            <v/>
          </cell>
        </row>
        <row r="316">
          <cell r="AY316" t="str">
            <v/>
          </cell>
          <cell r="BA316" t="str">
            <v/>
          </cell>
          <cell r="BC316" t="str">
            <v/>
          </cell>
          <cell r="BI316" t="str">
            <v/>
          </cell>
          <cell r="BS316" t="str">
            <v/>
          </cell>
          <cell r="BU316" t="str">
            <v/>
          </cell>
          <cell r="BW316" t="str">
            <v/>
          </cell>
        </row>
        <row r="317">
          <cell r="AY317" t="str">
            <v/>
          </cell>
          <cell r="BA317" t="str">
            <v/>
          </cell>
          <cell r="BC317" t="str">
            <v/>
          </cell>
          <cell r="BI317" t="str">
            <v/>
          </cell>
          <cell r="BS317" t="str">
            <v/>
          </cell>
          <cell r="BU317" t="str">
            <v/>
          </cell>
          <cell r="BW317" t="str">
            <v/>
          </cell>
        </row>
        <row r="318">
          <cell r="AY318" t="str">
            <v/>
          </cell>
          <cell r="BA318" t="str">
            <v/>
          </cell>
          <cell r="BC318" t="str">
            <v/>
          </cell>
          <cell r="BI318" t="str">
            <v/>
          </cell>
          <cell r="BS318" t="str">
            <v/>
          </cell>
          <cell r="BU318" t="str">
            <v/>
          </cell>
          <cell r="BW318" t="str">
            <v/>
          </cell>
        </row>
        <row r="319">
          <cell r="AY319" t="str">
            <v/>
          </cell>
          <cell r="BA319" t="str">
            <v/>
          </cell>
          <cell r="BC319" t="str">
            <v/>
          </cell>
          <cell r="BI319" t="str">
            <v/>
          </cell>
          <cell r="BS319" t="str">
            <v/>
          </cell>
          <cell r="BU319" t="str">
            <v/>
          </cell>
          <cell r="BW319" t="str">
            <v/>
          </cell>
        </row>
        <row r="320">
          <cell r="AY320" t="str">
            <v/>
          </cell>
          <cell r="BA320" t="str">
            <v/>
          </cell>
          <cell r="BC320" t="str">
            <v/>
          </cell>
          <cell r="BI320" t="str">
            <v/>
          </cell>
          <cell r="BS320" t="str">
            <v/>
          </cell>
          <cell r="BU320" t="str">
            <v/>
          </cell>
          <cell r="BW320" t="str">
            <v/>
          </cell>
        </row>
        <row r="321">
          <cell r="AY321" t="str">
            <v/>
          </cell>
          <cell r="BA321" t="str">
            <v/>
          </cell>
          <cell r="BC321" t="str">
            <v/>
          </cell>
          <cell r="BI321" t="str">
            <v/>
          </cell>
          <cell r="BS321" t="str">
            <v/>
          </cell>
          <cell r="BU321" t="str">
            <v/>
          </cell>
          <cell r="BW321" t="str">
            <v/>
          </cell>
        </row>
        <row r="322">
          <cell r="AY322" t="str">
            <v/>
          </cell>
          <cell r="BA322" t="str">
            <v/>
          </cell>
          <cell r="BC322" t="str">
            <v/>
          </cell>
          <cell r="BI322" t="str">
            <v/>
          </cell>
          <cell r="BS322" t="str">
            <v/>
          </cell>
          <cell r="BU322" t="str">
            <v/>
          </cell>
          <cell r="BW322" t="str">
            <v/>
          </cell>
        </row>
        <row r="323">
          <cell r="AY323" t="str">
            <v/>
          </cell>
          <cell r="BA323" t="str">
            <v/>
          </cell>
          <cell r="BC323" t="str">
            <v/>
          </cell>
          <cell r="BI323" t="str">
            <v/>
          </cell>
          <cell r="BS323" t="str">
            <v/>
          </cell>
          <cell r="BU323" t="str">
            <v/>
          </cell>
          <cell r="BW323" t="str">
            <v/>
          </cell>
        </row>
        <row r="324">
          <cell r="AY324" t="str">
            <v/>
          </cell>
          <cell r="BA324" t="str">
            <v/>
          </cell>
          <cell r="BC324" t="str">
            <v/>
          </cell>
          <cell r="BI324" t="str">
            <v/>
          </cell>
          <cell r="BS324" t="str">
            <v/>
          </cell>
          <cell r="BU324" t="str">
            <v/>
          </cell>
          <cell r="BW324" t="str">
            <v/>
          </cell>
        </row>
        <row r="325">
          <cell r="AY325" t="str">
            <v/>
          </cell>
          <cell r="BA325" t="str">
            <v/>
          </cell>
          <cell r="BC325" t="str">
            <v/>
          </cell>
          <cell r="BI325" t="str">
            <v/>
          </cell>
          <cell r="BS325" t="str">
            <v/>
          </cell>
          <cell r="BU325" t="str">
            <v/>
          </cell>
          <cell r="BW325" t="str">
            <v/>
          </cell>
        </row>
        <row r="326">
          <cell r="AY326" t="str">
            <v/>
          </cell>
          <cell r="BA326" t="str">
            <v/>
          </cell>
          <cell r="BC326" t="str">
            <v/>
          </cell>
          <cell r="BI326" t="str">
            <v/>
          </cell>
          <cell r="BS326" t="str">
            <v/>
          </cell>
          <cell r="BU326" t="str">
            <v/>
          </cell>
          <cell r="BW326" t="str">
            <v/>
          </cell>
        </row>
        <row r="327">
          <cell r="AY327" t="str">
            <v/>
          </cell>
          <cell r="BA327" t="str">
            <v/>
          </cell>
          <cell r="BC327" t="str">
            <v/>
          </cell>
          <cell r="BI327" t="str">
            <v/>
          </cell>
          <cell r="BS327" t="str">
            <v/>
          </cell>
          <cell r="BU327" t="str">
            <v/>
          </cell>
          <cell r="BW327" t="str">
            <v/>
          </cell>
        </row>
        <row r="328">
          <cell r="AY328" t="str">
            <v/>
          </cell>
          <cell r="BA328" t="str">
            <v/>
          </cell>
          <cell r="BC328" t="str">
            <v/>
          </cell>
          <cell r="BI328" t="str">
            <v/>
          </cell>
          <cell r="BS328" t="str">
            <v/>
          </cell>
          <cell r="BU328" t="str">
            <v/>
          </cell>
          <cell r="BW328" t="str">
            <v/>
          </cell>
        </row>
        <row r="329">
          <cell r="AY329" t="str">
            <v/>
          </cell>
          <cell r="BA329" t="str">
            <v/>
          </cell>
          <cell r="BC329" t="str">
            <v/>
          </cell>
          <cell r="BI329" t="str">
            <v/>
          </cell>
          <cell r="BS329" t="str">
            <v/>
          </cell>
          <cell r="BU329" t="str">
            <v/>
          </cell>
          <cell r="BW329" t="str">
            <v/>
          </cell>
        </row>
        <row r="330">
          <cell r="AY330" t="str">
            <v/>
          </cell>
          <cell r="BA330" t="str">
            <v/>
          </cell>
          <cell r="BC330" t="str">
            <v/>
          </cell>
          <cell r="BI330" t="str">
            <v/>
          </cell>
          <cell r="BS330" t="str">
            <v/>
          </cell>
          <cell r="BU330" t="str">
            <v/>
          </cell>
          <cell r="BW330" t="str">
            <v/>
          </cell>
        </row>
        <row r="331">
          <cell r="AY331" t="str">
            <v/>
          </cell>
          <cell r="BA331" t="str">
            <v/>
          </cell>
          <cell r="BC331" t="str">
            <v/>
          </cell>
          <cell r="BI331" t="str">
            <v/>
          </cell>
          <cell r="BS331" t="str">
            <v/>
          </cell>
          <cell r="BU331" t="str">
            <v/>
          </cell>
          <cell r="BW331" t="str">
            <v/>
          </cell>
        </row>
        <row r="332">
          <cell r="AY332" t="str">
            <v/>
          </cell>
          <cell r="BA332" t="str">
            <v/>
          </cell>
          <cell r="BC332" t="str">
            <v/>
          </cell>
          <cell r="BI332" t="str">
            <v/>
          </cell>
          <cell r="BS332" t="str">
            <v/>
          </cell>
          <cell r="BU332" t="str">
            <v/>
          </cell>
          <cell r="BW332" t="str">
            <v/>
          </cell>
        </row>
        <row r="333">
          <cell r="AY333" t="str">
            <v/>
          </cell>
          <cell r="BA333" t="str">
            <v/>
          </cell>
          <cell r="BC333" t="str">
            <v/>
          </cell>
          <cell r="BI333" t="str">
            <v/>
          </cell>
          <cell r="BS333" t="str">
            <v/>
          </cell>
          <cell r="BU333" t="str">
            <v/>
          </cell>
          <cell r="BW333" t="str">
            <v/>
          </cell>
        </row>
        <row r="334">
          <cell r="AY334" t="str">
            <v/>
          </cell>
          <cell r="BA334" t="str">
            <v/>
          </cell>
          <cell r="BC334" t="str">
            <v/>
          </cell>
          <cell r="BI334" t="str">
            <v/>
          </cell>
          <cell r="BS334" t="str">
            <v/>
          </cell>
          <cell r="BU334" t="str">
            <v/>
          </cell>
          <cell r="BW334" t="str">
            <v/>
          </cell>
        </row>
        <row r="335">
          <cell r="AY335" t="str">
            <v/>
          </cell>
          <cell r="BA335" t="str">
            <v/>
          </cell>
          <cell r="BC335" t="str">
            <v/>
          </cell>
          <cell r="BI335" t="str">
            <v/>
          </cell>
          <cell r="BS335" t="str">
            <v/>
          </cell>
          <cell r="BU335" t="str">
            <v/>
          </cell>
          <cell r="BW335" t="str">
            <v/>
          </cell>
        </row>
        <row r="336">
          <cell r="AY336" t="str">
            <v/>
          </cell>
          <cell r="BA336" t="str">
            <v/>
          </cell>
          <cell r="BC336" t="str">
            <v/>
          </cell>
          <cell r="BI336" t="str">
            <v/>
          </cell>
          <cell r="BS336" t="str">
            <v/>
          </cell>
          <cell r="BU336" t="str">
            <v/>
          </cell>
          <cell r="BW336" t="str">
            <v/>
          </cell>
        </row>
        <row r="337">
          <cell r="AY337" t="str">
            <v/>
          </cell>
          <cell r="BA337" t="str">
            <v/>
          </cell>
          <cell r="BC337" t="str">
            <v/>
          </cell>
          <cell r="BI337" t="str">
            <v/>
          </cell>
          <cell r="BS337" t="str">
            <v/>
          </cell>
          <cell r="BU337" t="str">
            <v/>
          </cell>
          <cell r="BW337" t="str">
            <v/>
          </cell>
        </row>
        <row r="338">
          <cell r="AY338" t="str">
            <v/>
          </cell>
          <cell r="BA338" t="str">
            <v/>
          </cell>
          <cell r="BC338" t="str">
            <v/>
          </cell>
          <cell r="BI338" t="str">
            <v/>
          </cell>
          <cell r="BS338" t="str">
            <v/>
          </cell>
          <cell r="BU338" t="str">
            <v/>
          </cell>
          <cell r="BW338" t="str">
            <v/>
          </cell>
        </row>
        <row r="339">
          <cell r="AY339" t="str">
            <v/>
          </cell>
          <cell r="BA339" t="str">
            <v/>
          </cell>
          <cell r="BC339" t="str">
            <v/>
          </cell>
          <cell r="BI339" t="str">
            <v/>
          </cell>
          <cell r="BS339" t="str">
            <v/>
          </cell>
          <cell r="BU339" t="str">
            <v/>
          </cell>
          <cell r="BW339" t="str">
            <v/>
          </cell>
        </row>
        <row r="340">
          <cell r="AY340" t="str">
            <v/>
          </cell>
          <cell r="BA340" t="str">
            <v/>
          </cell>
          <cell r="BC340" t="str">
            <v/>
          </cell>
          <cell r="BI340" t="str">
            <v/>
          </cell>
          <cell r="BS340" t="str">
            <v/>
          </cell>
          <cell r="BU340" t="str">
            <v/>
          </cell>
          <cell r="BW340" t="str">
            <v/>
          </cell>
        </row>
        <row r="341">
          <cell r="AY341" t="str">
            <v/>
          </cell>
          <cell r="BA341" t="str">
            <v/>
          </cell>
          <cell r="BC341" t="str">
            <v/>
          </cell>
          <cell r="BI341" t="str">
            <v/>
          </cell>
          <cell r="BS341" t="str">
            <v/>
          </cell>
          <cell r="BU341" t="str">
            <v/>
          </cell>
          <cell r="BW341" t="str">
            <v/>
          </cell>
        </row>
        <row r="342">
          <cell r="AY342" t="str">
            <v/>
          </cell>
          <cell r="BA342" t="str">
            <v/>
          </cell>
          <cell r="BC342" t="str">
            <v/>
          </cell>
          <cell r="BI342" t="str">
            <v/>
          </cell>
          <cell r="BS342" t="str">
            <v/>
          </cell>
          <cell r="BU342" t="str">
            <v/>
          </cell>
          <cell r="BW342" t="str">
            <v/>
          </cell>
        </row>
        <row r="343">
          <cell r="AY343" t="str">
            <v/>
          </cell>
          <cell r="BA343" t="str">
            <v/>
          </cell>
          <cell r="BC343" t="str">
            <v/>
          </cell>
          <cell r="BI343" t="str">
            <v/>
          </cell>
          <cell r="BS343" t="str">
            <v/>
          </cell>
          <cell r="BU343" t="str">
            <v/>
          </cell>
          <cell r="BW343" t="str">
            <v/>
          </cell>
        </row>
        <row r="344">
          <cell r="AY344" t="str">
            <v/>
          </cell>
          <cell r="BA344" t="str">
            <v/>
          </cell>
          <cell r="BC344" t="str">
            <v/>
          </cell>
          <cell r="BI344" t="str">
            <v/>
          </cell>
          <cell r="BS344" t="str">
            <v/>
          </cell>
          <cell r="BU344" t="str">
            <v/>
          </cell>
          <cell r="BW344" t="str">
            <v/>
          </cell>
        </row>
        <row r="345">
          <cell r="AY345" t="str">
            <v/>
          </cell>
          <cell r="BA345" t="str">
            <v/>
          </cell>
          <cell r="BC345" t="str">
            <v/>
          </cell>
          <cell r="BI345" t="str">
            <v/>
          </cell>
          <cell r="BS345" t="str">
            <v/>
          </cell>
          <cell r="BU345" t="str">
            <v/>
          </cell>
          <cell r="BW345" t="str">
            <v/>
          </cell>
        </row>
        <row r="346">
          <cell r="AY346" t="str">
            <v/>
          </cell>
          <cell r="BA346" t="str">
            <v/>
          </cell>
          <cell r="BC346" t="str">
            <v/>
          </cell>
          <cell r="BI346" t="str">
            <v/>
          </cell>
          <cell r="BS346" t="str">
            <v/>
          </cell>
          <cell r="BU346" t="str">
            <v/>
          </cell>
          <cell r="BW346" t="str">
            <v/>
          </cell>
        </row>
        <row r="347">
          <cell r="AY347" t="str">
            <v/>
          </cell>
          <cell r="BA347" t="str">
            <v/>
          </cell>
          <cell r="BC347" t="str">
            <v/>
          </cell>
          <cell r="BI347" t="str">
            <v/>
          </cell>
          <cell r="BS347" t="str">
            <v/>
          </cell>
          <cell r="BU347" t="str">
            <v/>
          </cell>
          <cell r="BW347" t="str">
            <v/>
          </cell>
        </row>
        <row r="348">
          <cell r="AY348" t="str">
            <v/>
          </cell>
          <cell r="BA348" t="str">
            <v/>
          </cell>
          <cell r="BC348" t="str">
            <v/>
          </cell>
          <cell r="BI348" t="str">
            <v/>
          </cell>
          <cell r="BS348" t="str">
            <v/>
          </cell>
          <cell r="BU348" t="str">
            <v/>
          </cell>
          <cell r="BW348" t="str">
            <v/>
          </cell>
        </row>
        <row r="349">
          <cell r="AY349" t="str">
            <v/>
          </cell>
          <cell r="BA349" t="str">
            <v/>
          </cell>
          <cell r="BC349" t="str">
            <v/>
          </cell>
          <cell r="BI349" t="str">
            <v/>
          </cell>
          <cell r="BS349" t="str">
            <v/>
          </cell>
          <cell r="BU349" t="str">
            <v/>
          </cell>
          <cell r="BW349" t="str">
            <v/>
          </cell>
        </row>
        <row r="350">
          <cell r="AY350" t="str">
            <v/>
          </cell>
          <cell r="BA350" t="str">
            <v/>
          </cell>
          <cell r="BC350" t="str">
            <v/>
          </cell>
          <cell r="BI350" t="str">
            <v/>
          </cell>
          <cell r="BS350" t="str">
            <v/>
          </cell>
          <cell r="BU350" t="str">
            <v/>
          </cell>
          <cell r="BW350" t="str">
            <v/>
          </cell>
        </row>
        <row r="351">
          <cell r="AY351" t="str">
            <v/>
          </cell>
          <cell r="BA351" t="str">
            <v/>
          </cell>
          <cell r="BC351" t="str">
            <v/>
          </cell>
          <cell r="BI351" t="str">
            <v/>
          </cell>
          <cell r="BS351" t="str">
            <v/>
          </cell>
          <cell r="BU351" t="str">
            <v/>
          </cell>
          <cell r="BW351" t="str">
            <v/>
          </cell>
        </row>
        <row r="352">
          <cell r="AY352" t="str">
            <v/>
          </cell>
          <cell r="BA352" t="str">
            <v/>
          </cell>
          <cell r="BC352" t="str">
            <v/>
          </cell>
          <cell r="BI352" t="str">
            <v/>
          </cell>
          <cell r="BS352" t="str">
            <v/>
          </cell>
          <cell r="BU352" t="str">
            <v/>
          </cell>
          <cell r="BW352" t="str">
            <v/>
          </cell>
        </row>
        <row r="353">
          <cell r="AY353" t="str">
            <v/>
          </cell>
          <cell r="BA353" t="str">
            <v/>
          </cell>
          <cell r="BC353" t="str">
            <v/>
          </cell>
          <cell r="BI353" t="str">
            <v/>
          </cell>
          <cell r="BS353" t="str">
            <v/>
          </cell>
          <cell r="BU353" t="str">
            <v/>
          </cell>
          <cell r="BW353" t="str">
            <v/>
          </cell>
        </row>
        <row r="354">
          <cell r="AY354" t="str">
            <v/>
          </cell>
          <cell r="BA354" t="str">
            <v/>
          </cell>
          <cell r="BC354" t="str">
            <v/>
          </cell>
          <cell r="BI354" t="str">
            <v/>
          </cell>
          <cell r="BS354" t="str">
            <v/>
          </cell>
          <cell r="BU354" t="str">
            <v/>
          </cell>
          <cell r="BW354" t="str">
            <v/>
          </cell>
        </row>
        <row r="355">
          <cell r="AY355" t="str">
            <v/>
          </cell>
          <cell r="BA355" t="str">
            <v/>
          </cell>
          <cell r="BC355" t="str">
            <v/>
          </cell>
          <cell r="BI355" t="str">
            <v/>
          </cell>
          <cell r="BS355" t="str">
            <v/>
          </cell>
          <cell r="BU355" t="str">
            <v/>
          </cell>
          <cell r="BW355" t="str">
            <v/>
          </cell>
        </row>
        <row r="356">
          <cell r="AY356" t="str">
            <v/>
          </cell>
          <cell r="BA356" t="str">
            <v/>
          </cell>
          <cell r="BC356" t="str">
            <v/>
          </cell>
          <cell r="BI356" t="str">
            <v/>
          </cell>
          <cell r="BS356" t="str">
            <v/>
          </cell>
          <cell r="BU356" t="str">
            <v/>
          </cell>
          <cell r="BW356" t="str">
            <v/>
          </cell>
        </row>
        <row r="357">
          <cell r="AY357" t="str">
            <v/>
          </cell>
          <cell r="BA357" t="str">
            <v/>
          </cell>
          <cell r="BC357" t="str">
            <v/>
          </cell>
          <cell r="BI357" t="str">
            <v/>
          </cell>
          <cell r="BS357" t="str">
            <v/>
          </cell>
          <cell r="BU357" t="str">
            <v/>
          </cell>
          <cell r="BW357" t="str">
            <v/>
          </cell>
        </row>
        <row r="358">
          <cell r="AY358" t="str">
            <v/>
          </cell>
          <cell r="BA358" t="str">
            <v/>
          </cell>
          <cell r="BC358" t="str">
            <v/>
          </cell>
          <cell r="BI358" t="str">
            <v/>
          </cell>
          <cell r="BS358" t="str">
            <v/>
          </cell>
          <cell r="BU358" t="str">
            <v/>
          </cell>
          <cell r="BW358" t="str">
            <v/>
          </cell>
        </row>
        <row r="359">
          <cell r="AY359" t="str">
            <v/>
          </cell>
          <cell r="BA359" t="str">
            <v/>
          </cell>
          <cell r="BC359" t="str">
            <v/>
          </cell>
          <cell r="BI359" t="str">
            <v/>
          </cell>
          <cell r="BS359" t="str">
            <v/>
          </cell>
          <cell r="BU359" t="str">
            <v/>
          </cell>
          <cell r="BW359" t="str">
            <v/>
          </cell>
        </row>
        <row r="360">
          <cell r="AY360" t="str">
            <v/>
          </cell>
          <cell r="BA360" t="str">
            <v/>
          </cell>
          <cell r="BC360" t="str">
            <v/>
          </cell>
          <cell r="BI360" t="str">
            <v/>
          </cell>
          <cell r="BS360" t="str">
            <v/>
          </cell>
          <cell r="BU360" t="str">
            <v/>
          </cell>
          <cell r="BW360" t="str">
            <v/>
          </cell>
        </row>
        <row r="361">
          <cell r="AY361" t="str">
            <v/>
          </cell>
          <cell r="BA361" t="str">
            <v/>
          </cell>
          <cell r="BC361" t="str">
            <v/>
          </cell>
          <cell r="BI361" t="str">
            <v/>
          </cell>
          <cell r="BS361" t="str">
            <v/>
          </cell>
          <cell r="BU361" t="str">
            <v/>
          </cell>
          <cell r="BW361" t="str">
            <v/>
          </cell>
        </row>
        <row r="362">
          <cell r="AY362" t="str">
            <v/>
          </cell>
          <cell r="BA362" t="str">
            <v/>
          </cell>
          <cell r="BC362" t="str">
            <v/>
          </cell>
          <cell r="BI362" t="str">
            <v/>
          </cell>
          <cell r="BS362" t="str">
            <v/>
          </cell>
          <cell r="BU362" t="str">
            <v/>
          </cell>
          <cell r="BW362" t="str">
            <v/>
          </cell>
        </row>
        <row r="363">
          <cell r="AY363" t="str">
            <v/>
          </cell>
          <cell r="BA363" t="str">
            <v/>
          </cell>
          <cell r="BC363" t="str">
            <v/>
          </cell>
          <cell r="BI363" t="str">
            <v/>
          </cell>
          <cell r="BS363" t="str">
            <v/>
          </cell>
          <cell r="BU363" t="str">
            <v/>
          </cell>
          <cell r="BW363" t="str">
            <v/>
          </cell>
        </row>
        <row r="364">
          <cell r="AY364" t="str">
            <v/>
          </cell>
          <cell r="BA364" t="str">
            <v/>
          </cell>
          <cell r="BC364" t="str">
            <v/>
          </cell>
          <cell r="BI364" t="str">
            <v/>
          </cell>
          <cell r="BS364" t="str">
            <v/>
          </cell>
          <cell r="BU364" t="str">
            <v/>
          </cell>
          <cell r="BW364" t="str">
            <v/>
          </cell>
        </row>
        <row r="365">
          <cell r="AY365" t="str">
            <v/>
          </cell>
          <cell r="BA365" t="str">
            <v/>
          </cell>
          <cell r="BC365" t="str">
            <v/>
          </cell>
          <cell r="BI365" t="str">
            <v/>
          </cell>
          <cell r="BS365" t="str">
            <v/>
          </cell>
          <cell r="BU365" t="str">
            <v/>
          </cell>
          <cell r="BW365" t="str">
            <v/>
          </cell>
        </row>
        <row r="366">
          <cell r="AY366" t="str">
            <v/>
          </cell>
          <cell r="BA366" t="str">
            <v/>
          </cell>
          <cell r="BC366" t="str">
            <v/>
          </cell>
          <cell r="BI366" t="str">
            <v/>
          </cell>
          <cell r="BS366" t="str">
            <v/>
          </cell>
          <cell r="BU366" t="str">
            <v/>
          </cell>
          <cell r="BW366" t="str">
            <v/>
          </cell>
        </row>
        <row r="367">
          <cell r="AY367" t="str">
            <v/>
          </cell>
          <cell r="BA367" t="str">
            <v/>
          </cell>
          <cell r="BC367" t="str">
            <v/>
          </cell>
          <cell r="BI367" t="str">
            <v/>
          </cell>
          <cell r="BS367" t="str">
            <v/>
          </cell>
          <cell r="BU367" t="str">
            <v/>
          </cell>
          <cell r="BW367" t="str">
            <v/>
          </cell>
        </row>
        <row r="368">
          <cell r="AY368" t="str">
            <v/>
          </cell>
          <cell r="BA368" t="str">
            <v/>
          </cell>
          <cell r="BC368" t="str">
            <v/>
          </cell>
          <cell r="BI368" t="str">
            <v/>
          </cell>
          <cell r="BS368" t="str">
            <v/>
          </cell>
          <cell r="BU368" t="str">
            <v/>
          </cell>
          <cell r="BW368" t="str">
            <v/>
          </cell>
        </row>
        <row r="369">
          <cell r="AY369" t="str">
            <v/>
          </cell>
          <cell r="BA369" t="str">
            <v/>
          </cell>
          <cell r="BC369" t="str">
            <v/>
          </cell>
          <cell r="BI369" t="str">
            <v/>
          </cell>
          <cell r="BS369" t="str">
            <v/>
          </cell>
          <cell r="BU369" t="str">
            <v/>
          </cell>
          <cell r="BW369" t="str">
            <v/>
          </cell>
        </row>
        <row r="370">
          <cell r="AY370" t="str">
            <v/>
          </cell>
          <cell r="BA370" t="str">
            <v/>
          </cell>
          <cell r="BC370" t="str">
            <v/>
          </cell>
          <cell r="BI370" t="str">
            <v/>
          </cell>
          <cell r="BS370" t="str">
            <v/>
          </cell>
          <cell r="BU370" t="str">
            <v/>
          </cell>
          <cell r="BW370" t="str">
            <v/>
          </cell>
        </row>
        <row r="371">
          <cell r="AY371" t="str">
            <v/>
          </cell>
          <cell r="BA371" t="str">
            <v/>
          </cell>
          <cell r="BC371" t="str">
            <v/>
          </cell>
          <cell r="BI371" t="str">
            <v/>
          </cell>
          <cell r="BS371" t="str">
            <v/>
          </cell>
          <cell r="BU371" t="str">
            <v/>
          </cell>
          <cell r="BW371" t="str">
            <v/>
          </cell>
        </row>
        <row r="372">
          <cell r="AY372" t="str">
            <v/>
          </cell>
          <cell r="BA372" t="str">
            <v/>
          </cell>
          <cell r="BC372" t="str">
            <v/>
          </cell>
          <cell r="BI372" t="str">
            <v/>
          </cell>
          <cell r="BS372" t="str">
            <v/>
          </cell>
          <cell r="BU372" t="str">
            <v/>
          </cell>
          <cell r="BW372" t="str">
            <v/>
          </cell>
        </row>
        <row r="373">
          <cell r="AY373" t="str">
            <v/>
          </cell>
          <cell r="BA373" t="str">
            <v/>
          </cell>
          <cell r="BC373" t="str">
            <v/>
          </cell>
          <cell r="BI373" t="str">
            <v/>
          </cell>
          <cell r="BS373" t="str">
            <v/>
          </cell>
          <cell r="BU373" t="str">
            <v/>
          </cell>
          <cell r="BW373" t="str">
            <v/>
          </cell>
        </row>
        <row r="374">
          <cell r="AY374" t="str">
            <v/>
          </cell>
          <cell r="BA374" t="str">
            <v/>
          </cell>
          <cell r="BC374" t="str">
            <v/>
          </cell>
          <cell r="BI374" t="str">
            <v/>
          </cell>
          <cell r="BS374" t="str">
            <v/>
          </cell>
          <cell r="BU374" t="str">
            <v/>
          </cell>
          <cell r="BW374" t="str">
            <v/>
          </cell>
        </row>
        <row r="375">
          <cell r="AY375" t="str">
            <v/>
          </cell>
          <cell r="BA375" t="str">
            <v/>
          </cell>
          <cell r="BC375" t="str">
            <v/>
          </cell>
          <cell r="BI375" t="str">
            <v/>
          </cell>
          <cell r="BS375" t="str">
            <v/>
          </cell>
          <cell r="BU375" t="str">
            <v/>
          </cell>
          <cell r="BW375" t="str">
            <v/>
          </cell>
        </row>
        <row r="376">
          <cell r="AY376" t="str">
            <v/>
          </cell>
          <cell r="BA376" t="str">
            <v/>
          </cell>
          <cell r="BC376" t="str">
            <v/>
          </cell>
          <cell r="BI376" t="str">
            <v/>
          </cell>
          <cell r="BS376" t="str">
            <v/>
          </cell>
          <cell r="BU376" t="str">
            <v/>
          </cell>
          <cell r="BW376" t="str">
            <v/>
          </cell>
        </row>
        <row r="377">
          <cell r="AY377" t="str">
            <v/>
          </cell>
          <cell r="BA377" t="str">
            <v/>
          </cell>
          <cell r="BC377" t="str">
            <v/>
          </cell>
          <cell r="BI377" t="str">
            <v/>
          </cell>
          <cell r="BS377" t="str">
            <v/>
          </cell>
          <cell r="BU377" t="str">
            <v/>
          </cell>
          <cell r="BW377" t="str">
            <v/>
          </cell>
        </row>
        <row r="378">
          <cell r="AY378" t="str">
            <v/>
          </cell>
          <cell r="BA378" t="str">
            <v/>
          </cell>
          <cell r="BC378" t="str">
            <v/>
          </cell>
          <cell r="BI378" t="str">
            <v/>
          </cell>
          <cell r="BS378" t="str">
            <v/>
          </cell>
          <cell r="BU378" t="str">
            <v/>
          </cell>
          <cell r="BW378" t="str">
            <v/>
          </cell>
        </row>
        <row r="379">
          <cell r="AY379" t="str">
            <v/>
          </cell>
          <cell r="BA379" t="str">
            <v/>
          </cell>
          <cell r="BC379" t="str">
            <v/>
          </cell>
          <cell r="BI379" t="str">
            <v/>
          </cell>
          <cell r="BS379" t="str">
            <v/>
          </cell>
          <cell r="BU379" t="str">
            <v/>
          </cell>
          <cell r="BW379" t="str">
            <v/>
          </cell>
        </row>
        <row r="380">
          <cell r="AY380" t="str">
            <v/>
          </cell>
          <cell r="BA380" t="str">
            <v/>
          </cell>
          <cell r="BC380" t="str">
            <v/>
          </cell>
          <cell r="BI380" t="str">
            <v/>
          </cell>
          <cell r="BS380" t="str">
            <v/>
          </cell>
          <cell r="BU380" t="str">
            <v/>
          </cell>
          <cell r="BW380" t="str">
            <v/>
          </cell>
        </row>
        <row r="381">
          <cell r="AY381" t="str">
            <v/>
          </cell>
          <cell r="BA381" t="str">
            <v/>
          </cell>
          <cell r="BC381" t="str">
            <v/>
          </cell>
          <cell r="BI381" t="str">
            <v/>
          </cell>
          <cell r="BS381" t="str">
            <v/>
          </cell>
          <cell r="BU381" t="str">
            <v/>
          </cell>
          <cell r="BW381" t="str">
            <v/>
          </cell>
        </row>
        <row r="382">
          <cell r="AY382" t="str">
            <v/>
          </cell>
          <cell r="BA382" t="str">
            <v/>
          </cell>
          <cell r="BC382" t="str">
            <v/>
          </cell>
          <cell r="BI382" t="str">
            <v/>
          </cell>
          <cell r="BS382" t="str">
            <v/>
          </cell>
          <cell r="BU382" t="str">
            <v/>
          </cell>
          <cell r="BW382" t="str">
            <v/>
          </cell>
        </row>
        <row r="383">
          <cell r="AY383" t="str">
            <v/>
          </cell>
          <cell r="BA383" t="str">
            <v/>
          </cell>
          <cell r="BC383" t="str">
            <v/>
          </cell>
          <cell r="BI383" t="str">
            <v/>
          </cell>
          <cell r="BS383" t="str">
            <v/>
          </cell>
          <cell r="BU383" t="str">
            <v/>
          </cell>
          <cell r="BW383" t="str">
            <v/>
          </cell>
        </row>
        <row r="384">
          <cell r="AY384" t="str">
            <v/>
          </cell>
          <cell r="BA384" t="str">
            <v/>
          </cell>
          <cell r="BC384" t="str">
            <v/>
          </cell>
          <cell r="BI384" t="str">
            <v/>
          </cell>
          <cell r="BS384" t="str">
            <v/>
          </cell>
          <cell r="BU384" t="str">
            <v/>
          </cell>
          <cell r="BW384" t="str">
            <v/>
          </cell>
        </row>
        <row r="385">
          <cell r="AY385" t="str">
            <v/>
          </cell>
          <cell r="BA385" t="str">
            <v/>
          </cell>
          <cell r="BC385" t="str">
            <v/>
          </cell>
          <cell r="BI385" t="str">
            <v/>
          </cell>
          <cell r="BS385" t="str">
            <v/>
          </cell>
          <cell r="BU385" t="str">
            <v/>
          </cell>
          <cell r="BW385" t="str">
            <v/>
          </cell>
        </row>
        <row r="386">
          <cell r="AY386" t="str">
            <v/>
          </cell>
          <cell r="BA386" t="str">
            <v/>
          </cell>
          <cell r="BC386" t="str">
            <v/>
          </cell>
          <cell r="BI386" t="str">
            <v/>
          </cell>
          <cell r="BS386" t="str">
            <v/>
          </cell>
          <cell r="BU386" t="str">
            <v/>
          </cell>
          <cell r="BW386" t="str">
            <v/>
          </cell>
        </row>
        <row r="387">
          <cell r="AY387" t="str">
            <v/>
          </cell>
          <cell r="BA387" t="str">
            <v/>
          </cell>
          <cell r="BC387" t="str">
            <v/>
          </cell>
          <cell r="BI387" t="str">
            <v/>
          </cell>
          <cell r="BS387" t="str">
            <v/>
          </cell>
          <cell r="BU387" t="str">
            <v/>
          </cell>
          <cell r="BW387" t="str">
            <v/>
          </cell>
        </row>
        <row r="388">
          <cell r="AY388" t="str">
            <v/>
          </cell>
          <cell r="BA388" t="str">
            <v/>
          </cell>
          <cell r="BC388" t="str">
            <v/>
          </cell>
          <cell r="BI388" t="str">
            <v/>
          </cell>
          <cell r="BS388" t="str">
            <v/>
          </cell>
          <cell r="BU388" t="str">
            <v/>
          </cell>
          <cell r="BW388" t="str">
            <v/>
          </cell>
        </row>
        <row r="389">
          <cell r="AY389" t="str">
            <v/>
          </cell>
          <cell r="BA389" t="str">
            <v/>
          </cell>
          <cell r="BC389" t="str">
            <v/>
          </cell>
          <cell r="BI389" t="str">
            <v/>
          </cell>
          <cell r="BS389" t="str">
            <v/>
          </cell>
          <cell r="BU389" t="str">
            <v/>
          </cell>
          <cell r="BW389" t="str">
            <v/>
          </cell>
        </row>
        <row r="390">
          <cell r="AY390" t="str">
            <v/>
          </cell>
          <cell r="BA390" t="str">
            <v/>
          </cell>
          <cell r="BC390" t="str">
            <v/>
          </cell>
          <cell r="BI390" t="str">
            <v/>
          </cell>
          <cell r="BS390" t="str">
            <v/>
          </cell>
          <cell r="BU390" t="str">
            <v/>
          </cell>
          <cell r="BW390" t="str">
            <v/>
          </cell>
        </row>
        <row r="391">
          <cell r="AY391" t="str">
            <v/>
          </cell>
          <cell r="BA391" t="str">
            <v/>
          </cell>
          <cell r="BC391" t="str">
            <v/>
          </cell>
          <cell r="BI391" t="str">
            <v/>
          </cell>
          <cell r="BS391" t="str">
            <v/>
          </cell>
          <cell r="BU391" t="str">
            <v/>
          </cell>
          <cell r="BW391" t="str">
            <v/>
          </cell>
        </row>
        <row r="392">
          <cell r="AY392" t="str">
            <v/>
          </cell>
          <cell r="BA392" t="str">
            <v/>
          </cell>
          <cell r="BC392" t="str">
            <v/>
          </cell>
          <cell r="BI392" t="str">
            <v/>
          </cell>
          <cell r="BS392" t="str">
            <v/>
          </cell>
          <cell r="BU392" t="str">
            <v/>
          </cell>
          <cell r="BW392" t="str">
            <v/>
          </cell>
        </row>
        <row r="393">
          <cell r="AY393" t="str">
            <v/>
          </cell>
          <cell r="BA393" t="str">
            <v/>
          </cell>
          <cell r="BC393" t="str">
            <v/>
          </cell>
          <cell r="BI393" t="str">
            <v/>
          </cell>
          <cell r="BS393" t="str">
            <v/>
          </cell>
          <cell r="BU393" t="str">
            <v/>
          </cell>
          <cell r="BW393" t="str">
            <v/>
          </cell>
        </row>
        <row r="394">
          <cell r="AY394" t="str">
            <v/>
          </cell>
          <cell r="BA394" t="str">
            <v/>
          </cell>
          <cell r="BC394" t="str">
            <v/>
          </cell>
          <cell r="BI394" t="str">
            <v/>
          </cell>
          <cell r="BS394" t="str">
            <v/>
          </cell>
          <cell r="BU394" t="str">
            <v/>
          </cell>
          <cell r="BW394" t="str">
            <v/>
          </cell>
        </row>
        <row r="395">
          <cell r="AY395" t="str">
            <v/>
          </cell>
          <cell r="BA395" t="str">
            <v/>
          </cell>
          <cell r="BC395" t="str">
            <v/>
          </cell>
          <cell r="BI395" t="str">
            <v/>
          </cell>
          <cell r="BS395" t="str">
            <v/>
          </cell>
          <cell r="BU395" t="str">
            <v/>
          </cell>
          <cell r="BW395" t="str">
            <v/>
          </cell>
        </row>
        <row r="396">
          <cell r="AY396" t="str">
            <v/>
          </cell>
          <cell r="BA396" t="str">
            <v/>
          </cell>
          <cell r="BC396" t="str">
            <v/>
          </cell>
          <cell r="BI396" t="str">
            <v/>
          </cell>
          <cell r="BS396" t="str">
            <v/>
          </cell>
          <cell r="BU396" t="str">
            <v/>
          </cell>
          <cell r="BW396" t="str">
            <v/>
          </cell>
        </row>
        <row r="397">
          <cell r="AY397" t="str">
            <v/>
          </cell>
          <cell r="BA397" t="str">
            <v/>
          </cell>
          <cell r="BC397" t="str">
            <v/>
          </cell>
          <cell r="BI397" t="str">
            <v/>
          </cell>
          <cell r="BS397" t="str">
            <v/>
          </cell>
          <cell r="BU397" t="str">
            <v/>
          </cell>
          <cell r="BW397" t="str">
            <v/>
          </cell>
        </row>
        <row r="398">
          <cell r="AY398" t="str">
            <v/>
          </cell>
          <cell r="BA398" t="str">
            <v/>
          </cell>
          <cell r="BC398" t="str">
            <v/>
          </cell>
          <cell r="BI398" t="str">
            <v/>
          </cell>
          <cell r="BS398" t="str">
            <v/>
          </cell>
          <cell r="BU398" t="str">
            <v/>
          </cell>
          <cell r="BW398" t="str">
            <v/>
          </cell>
        </row>
        <row r="399">
          <cell r="AY399" t="str">
            <v/>
          </cell>
          <cell r="BA399" t="str">
            <v/>
          </cell>
          <cell r="BC399" t="str">
            <v/>
          </cell>
          <cell r="BI399" t="str">
            <v/>
          </cell>
          <cell r="BS399" t="str">
            <v/>
          </cell>
          <cell r="BU399" t="str">
            <v/>
          </cell>
          <cell r="BW399" t="str">
            <v/>
          </cell>
        </row>
        <row r="400">
          <cell r="AY400" t="str">
            <v/>
          </cell>
          <cell r="BA400" t="str">
            <v/>
          </cell>
          <cell r="BC400" t="str">
            <v/>
          </cell>
          <cell r="BI400" t="str">
            <v/>
          </cell>
          <cell r="BS400" t="str">
            <v/>
          </cell>
          <cell r="BU400" t="str">
            <v/>
          </cell>
          <cell r="BW400" t="str">
            <v/>
          </cell>
        </row>
        <row r="401">
          <cell r="AY401" t="str">
            <v/>
          </cell>
          <cell r="BA401" t="str">
            <v/>
          </cell>
          <cell r="BC401" t="str">
            <v/>
          </cell>
          <cell r="BI401" t="str">
            <v/>
          </cell>
          <cell r="BS401" t="str">
            <v/>
          </cell>
          <cell r="BU401" t="str">
            <v/>
          </cell>
          <cell r="BW401" t="str">
            <v/>
          </cell>
        </row>
        <row r="402">
          <cell r="AY402" t="str">
            <v/>
          </cell>
          <cell r="BA402" t="str">
            <v/>
          </cell>
          <cell r="BC402" t="str">
            <v/>
          </cell>
          <cell r="BI402" t="str">
            <v/>
          </cell>
          <cell r="BS402" t="str">
            <v/>
          </cell>
          <cell r="BU402" t="str">
            <v/>
          </cell>
          <cell r="BW402" t="str">
            <v/>
          </cell>
        </row>
        <row r="403">
          <cell r="AY403" t="str">
            <v/>
          </cell>
          <cell r="BA403" t="str">
            <v/>
          </cell>
          <cell r="BC403" t="str">
            <v/>
          </cell>
          <cell r="BI403" t="str">
            <v/>
          </cell>
          <cell r="BS403" t="str">
            <v/>
          </cell>
          <cell r="BU403" t="str">
            <v/>
          </cell>
          <cell r="BW403" t="str">
            <v/>
          </cell>
        </row>
        <row r="404">
          <cell r="AY404" t="str">
            <v/>
          </cell>
          <cell r="BA404" t="str">
            <v/>
          </cell>
          <cell r="BC404" t="str">
            <v/>
          </cell>
          <cell r="BI404" t="str">
            <v/>
          </cell>
          <cell r="BS404" t="str">
            <v/>
          </cell>
          <cell r="BU404" t="str">
            <v/>
          </cell>
          <cell r="BW404" t="str">
            <v/>
          </cell>
        </row>
        <row r="405">
          <cell r="AY405" t="str">
            <v/>
          </cell>
          <cell r="BA405" t="str">
            <v/>
          </cell>
          <cell r="BC405" t="str">
            <v/>
          </cell>
          <cell r="BI405" t="str">
            <v/>
          </cell>
          <cell r="BS405" t="str">
            <v/>
          </cell>
          <cell r="BU405" t="str">
            <v/>
          </cell>
          <cell r="BW405" t="str">
            <v/>
          </cell>
        </row>
        <row r="406">
          <cell r="AY406" t="str">
            <v/>
          </cell>
          <cell r="BA406" t="str">
            <v/>
          </cell>
          <cell r="BC406" t="str">
            <v/>
          </cell>
          <cell r="BI406" t="str">
            <v/>
          </cell>
          <cell r="BS406" t="str">
            <v/>
          </cell>
          <cell r="BU406" t="str">
            <v/>
          </cell>
          <cell r="BW406" t="str">
            <v/>
          </cell>
        </row>
        <row r="407">
          <cell r="AY407" t="str">
            <v/>
          </cell>
          <cell r="BA407" t="str">
            <v/>
          </cell>
          <cell r="BC407" t="str">
            <v/>
          </cell>
          <cell r="BI407" t="str">
            <v/>
          </cell>
          <cell r="BS407" t="str">
            <v/>
          </cell>
          <cell r="BU407" t="str">
            <v/>
          </cell>
          <cell r="BW407" t="str">
            <v/>
          </cell>
        </row>
        <row r="408">
          <cell r="AY408" t="str">
            <v/>
          </cell>
          <cell r="BA408" t="str">
            <v/>
          </cell>
          <cell r="BC408" t="str">
            <v/>
          </cell>
          <cell r="BI408" t="str">
            <v/>
          </cell>
          <cell r="BS408" t="str">
            <v/>
          </cell>
          <cell r="BU408" t="str">
            <v/>
          </cell>
          <cell r="BW408" t="str">
            <v/>
          </cell>
        </row>
        <row r="409">
          <cell r="AY409" t="str">
            <v/>
          </cell>
          <cell r="BA409" t="str">
            <v/>
          </cell>
          <cell r="BC409" t="str">
            <v/>
          </cell>
          <cell r="BI409" t="str">
            <v/>
          </cell>
          <cell r="BS409" t="str">
            <v/>
          </cell>
          <cell r="BU409" t="str">
            <v/>
          </cell>
          <cell r="BW409" t="str">
            <v/>
          </cell>
        </row>
        <row r="410">
          <cell r="AY410" t="str">
            <v/>
          </cell>
          <cell r="BA410" t="str">
            <v/>
          </cell>
          <cell r="BC410" t="str">
            <v/>
          </cell>
          <cell r="BI410" t="str">
            <v/>
          </cell>
          <cell r="BS410" t="str">
            <v/>
          </cell>
          <cell r="BU410" t="str">
            <v/>
          </cell>
          <cell r="BW410" t="str">
            <v/>
          </cell>
        </row>
        <row r="411">
          <cell r="AY411" t="str">
            <v/>
          </cell>
          <cell r="BA411" t="str">
            <v/>
          </cell>
          <cell r="BC411" t="str">
            <v/>
          </cell>
          <cell r="BI411" t="str">
            <v/>
          </cell>
          <cell r="BS411" t="str">
            <v/>
          </cell>
          <cell r="BU411" t="str">
            <v/>
          </cell>
          <cell r="BW411" t="str">
            <v/>
          </cell>
        </row>
        <row r="412">
          <cell r="AY412" t="str">
            <v/>
          </cell>
          <cell r="BA412" t="str">
            <v/>
          </cell>
          <cell r="BC412" t="str">
            <v/>
          </cell>
          <cell r="BI412" t="str">
            <v/>
          </cell>
          <cell r="BS412" t="str">
            <v/>
          </cell>
          <cell r="BU412" t="str">
            <v/>
          </cell>
          <cell r="BW412" t="str">
            <v/>
          </cell>
        </row>
        <row r="413">
          <cell r="AY413" t="str">
            <v/>
          </cell>
          <cell r="BA413" t="str">
            <v/>
          </cell>
          <cell r="BC413" t="str">
            <v/>
          </cell>
          <cell r="BI413" t="str">
            <v/>
          </cell>
          <cell r="BS413" t="str">
            <v/>
          </cell>
          <cell r="BU413" t="str">
            <v/>
          </cell>
          <cell r="BW413" t="str">
            <v/>
          </cell>
        </row>
        <row r="414">
          <cell r="AY414" t="str">
            <v/>
          </cell>
          <cell r="BA414" t="str">
            <v/>
          </cell>
          <cell r="BC414" t="str">
            <v/>
          </cell>
          <cell r="BI414" t="str">
            <v/>
          </cell>
          <cell r="BS414" t="str">
            <v/>
          </cell>
          <cell r="BU414" t="str">
            <v/>
          </cell>
          <cell r="BW414" t="str">
            <v/>
          </cell>
        </row>
        <row r="415">
          <cell r="AY415" t="str">
            <v/>
          </cell>
          <cell r="BA415" t="str">
            <v/>
          </cell>
          <cell r="BC415" t="str">
            <v/>
          </cell>
          <cell r="BI415" t="str">
            <v/>
          </cell>
          <cell r="BS415" t="str">
            <v/>
          </cell>
          <cell r="BU415" t="str">
            <v/>
          </cell>
          <cell r="BW415" t="str">
            <v/>
          </cell>
        </row>
        <row r="416">
          <cell r="AY416" t="str">
            <v/>
          </cell>
          <cell r="BA416" t="str">
            <v/>
          </cell>
          <cell r="BC416" t="str">
            <v/>
          </cell>
          <cell r="BI416" t="str">
            <v/>
          </cell>
          <cell r="BS416" t="str">
            <v/>
          </cell>
          <cell r="BU416" t="str">
            <v/>
          </cell>
          <cell r="BW416" t="str">
            <v/>
          </cell>
        </row>
        <row r="417">
          <cell r="AY417" t="str">
            <v/>
          </cell>
          <cell r="BA417" t="str">
            <v/>
          </cell>
          <cell r="BC417" t="str">
            <v/>
          </cell>
          <cell r="BI417" t="str">
            <v/>
          </cell>
          <cell r="BS417" t="str">
            <v/>
          </cell>
          <cell r="BU417" t="str">
            <v/>
          </cell>
          <cell r="BW417" t="str">
            <v/>
          </cell>
        </row>
        <row r="418">
          <cell r="AY418" t="str">
            <v/>
          </cell>
          <cell r="BA418" t="str">
            <v/>
          </cell>
          <cell r="BC418" t="str">
            <v/>
          </cell>
          <cell r="BI418" t="str">
            <v/>
          </cell>
          <cell r="BS418" t="str">
            <v/>
          </cell>
          <cell r="BU418" t="str">
            <v/>
          </cell>
          <cell r="BW418" t="str">
            <v/>
          </cell>
        </row>
        <row r="419">
          <cell r="AY419" t="str">
            <v/>
          </cell>
          <cell r="BA419" t="str">
            <v/>
          </cell>
          <cell r="BC419" t="str">
            <v/>
          </cell>
          <cell r="BI419" t="str">
            <v/>
          </cell>
          <cell r="BS419" t="str">
            <v/>
          </cell>
          <cell r="BU419" t="str">
            <v/>
          </cell>
          <cell r="BW419" t="str">
            <v/>
          </cell>
        </row>
        <row r="420">
          <cell r="AY420" t="str">
            <v/>
          </cell>
          <cell r="BA420" t="str">
            <v/>
          </cell>
          <cell r="BC420" t="str">
            <v/>
          </cell>
          <cell r="BI420" t="str">
            <v/>
          </cell>
          <cell r="BS420" t="str">
            <v/>
          </cell>
          <cell r="BU420" t="str">
            <v/>
          </cell>
          <cell r="BW420" t="str">
            <v/>
          </cell>
        </row>
        <row r="421">
          <cell r="AY421" t="str">
            <v/>
          </cell>
          <cell r="BA421" t="str">
            <v/>
          </cell>
          <cell r="BC421" t="str">
            <v/>
          </cell>
          <cell r="BI421" t="str">
            <v/>
          </cell>
          <cell r="BS421" t="str">
            <v/>
          </cell>
          <cell r="BU421" t="str">
            <v/>
          </cell>
          <cell r="BW421" t="str">
            <v/>
          </cell>
        </row>
        <row r="422">
          <cell r="AY422" t="str">
            <v/>
          </cell>
          <cell r="BA422" t="str">
            <v/>
          </cell>
          <cell r="BC422" t="str">
            <v/>
          </cell>
          <cell r="BI422" t="str">
            <v/>
          </cell>
          <cell r="BS422" t="str">
            <v/>
          </cell>
          <cell r="BU422" t="str">
            <v/>
          </cell>
          <cell r="BW422" t="str">
            <v/>
          </cell>
        </row>
        <row r="423">
          <cell r="AY423" t="str">
            <v/>
          </cell>
          <cell r="BA423" t="str">
            <v/>
          </cell>
          <cell r="BC423" t="str">
            <v/>
          </cell>
          <cell r="BI423" t="str">
            <v/>
          </cell>
          <cell r="BS423" t="str">
            <v/>
          </cell>
          <cell r="BU423" t="str">
            <v/>
          </cell>
          <cell r="BW423" t="str">
            <v/>
          </cell>
        </row>
        <row r="424">
          <cell r="AY424" t="str">
            <v/>
          </cell>
          <cell r="BA424" t="str">
            <v/>
          </cell>
          <cell r="BC424" t="str">
            <v/>
          </cell>
          <cell r="BI424" t="str">
            <v/>
          </cell>
          <cell r="BS424" t="str">
            <v/>
          </cell>
          <cell r="BU424" t="str">
            <v/>
          </cell>
          <cell r="BW424" t="str">
            <v/>
          </cell>
        </row>
        <row r="425">
          <cell r="AY425" t="str">
            <v/>
          </cell>
          <cell r="BA425" t="str">
            <v/>
          </cell>
          <cell r="BC425" t="str">
            <v/>
          </cell>
          <cell r="BI425" t="str">
            <v/>
          </cell>
          <cell r="BS425" t="str">
            <v/>
          </cell>
          <cell r="BU425" t="str">
            <v/>
          </cell>
          <cell r="BW425" t="str">
            <v/>
          </cell>
        </row>
        <row r="426">
          <cell r="AY426" t="str">
            <v/>
          </cell>
          <cell r="BA426" t="str">
            <v/>
          </cell>
          <cell r="BC426" t="str">
            <v/>
          </cell>
          <cell r="BI426" t="str">
            <v/>
          </cell>
          <cell r="BS426" t="str">
            <v/>
          </cell>
          <cell r="BU426" t="str">
            <v/>
          </cell>
          <cell r="BW426" t="str">
            <v/>
          </cell>
        </row>
        <row r="427">
          <cell r="AY427" t="str">
            <v/>
          </cell>
          <cell r="BA427" t="str">
            <v/>
          </cell>
          <cell r="BC427" t="str">
            <v/>
          </cell>
          <cell r="BI427" t="str">
            <v/>
          </cell>
          <cell r="BS427" t="str">
            <v/>
          </cell>
          <cell r="BU427" t="str">
            <v/>
          </cell>
          <cell r="BW427" t="str">
            <v/>
          </cell>
        </row>
        <row r="428">
          <cell r="AY428" t="str">
            <v/>
          </cell>
          <cell r="BA428" t="str">
            <v/>
          </cell>
          <cell r="BC428" t="str">
            <v/>
          </cell>
          <cell r="BI428" t="str">
            <v/>
          </cell>
          <cell r="BS428" t="str">
            <v/>
          </cell>
          <cell r="BU428" t="str">
            <v/>
          </cell>
          <cell r="BW428" t="str">
            <v/>
          </cell>
        </row>
        <row r="429">
          <cell r="AY429" t="str">
            <v/>
          </cell>
          <cell r="BA429" t="str">
            <v/>
          </cell>
          <cell r="BC429" t="str">
            <v/>
          </cell>
          <cell r="BI429" t="str">
            <v/>
          </cell>
          <cell r="BS429" t="str">
            <v/>
          </cell>
          <cell r="BU429" t="str">
            <v/>
          </cell>
          <cell r="BW429" t="str">
            <v/>
          </cell>
        </row>
        <row r="430">
          <cell r="AY430" t="str">
            <v/>
          </cell>
          <cell r="BA430" t="str">
            <v/>
          </cell>
          <cell r="BC430" t="str">
            <v/>
          </cell>
          <cell r="BI430" t="str">
            <v/>
          </cell>
          <cell r="BS430" t="str">
            <v/>
          </cell>
          <cell r="BU430" t="str">
            <v/>
          </cell>
          <cell r="BW430" t="str">
            <v/>
          </cell>
        </row>
        <row r="431">
          <cell r="AY431" t="str">
            <v/>
          </cell>
          <cell r="BA431" t="str">
            <v/>
          </cell>
          <cell r="BC431" t="str">
            <v/>
          </cell>
          <cell r="BI431" t="str">
            <v/>
          </cell>
          <cell r="BS431" t="str">
            <v/>
          </cell>
          <cell r="BU431" t="str">
            <v/>
          </cell>
          <cell r="BW431" t="str">
            <v/>
          </cell>
        </row>
        <row r="432">
          <cell r="AY432" t="str">
            <v/>
          </cell>
          <cell r="BA432" t="str">
            <v/>
          </cell>
          <cell r="BC432" t="str">
            <v/>
          </cell>
          <cell r="BI432" t="str">
            <v/>
          </cell>
          <cell r="BS432" t="str">
            <v/>
          </cell>
          <cell r="BU432" t="str">
            <v/>
          </cell>
          <cell r="BW432" t="str">
            <v/>
          </cell>
        </row>
        <row r="433">
          <cell r="AY433" t="str">
            <v/>
          </cell>
          <cell r="BA433" t="str">
            <v/>
          </cell>
          <cell r="BC433" t="str">
            <v/>
          </cell>
          <cell r="BI433" t="str">
            <v/>
          </cell>
          <cell r="BS433" t="str">
            <v/>
          </cell>
          <cell r="BU433" t="str">
            <v/>
          </cell>
          <cell r="BW433" t="str">
            <v/>
          </cell>
        </row>
        <row r="434">
          <cell r="AY434" t="str">
            <v/>
          </cell>
          <cell r="BA434" t="str">
            <v/>
          </cell>
          <cell r="BC434" t="str">
            <v/>
          </cell>
          <cell r="BI434" t="str">
            <v/>
          </cell>
          <cell r="BS434" t="str">
            <v/>
          </cell>
          <cell r="BU434" t="str">
            <v/>
          </cell>
          <cell r="BW434" t="str">
            <v/>
          </cell>
        </row>
        <row r="435">
          <cell r="AY435" t="str">
            <v/>
          </cell>
          <cell r="BA435" t="str">
            <v/>
          </cell>
          <cell r="BC435" t="str">
            <v/>
          </cell>
          <cell r="BI435" t="str">
            <v/>
          </cell>
          <cell r="BS435" t="str">
            <v/>
          </cell>
          <cell r="BU435" t="str">
            <v/>
          </cell>
          <cell r="BW435" t="str">
            <v/>
          </cell>
        </row>
        <row r="436">
          <cell r="AY436" t="str">
            <v/>
          </cell>
          <cell r="BA436" t="str">
            <v/>
          </cell>
          <cell r="BC436" t="str">
            <v/>
          </cell>
          <cell r="BI436" t="str">
            <v/>
          </cell>
          <cell r="BS436" t="str">
            <v/>
          </cell>
          <cell r="BU436" t="str">
            <v/>
          </cell>
          <cell r="BW436" t="str">
            <v/>
          </cell>
        </row>
        <row r="437">
          <cell r="AY437" t="str">
            <v/>
          </cell>
          <cell r="BA437" t="str">
            <v/>
          </cell>
          <cell r="BC437" t="str">
            <v/>
          </cell>
          <cell r="BI437" t="str">
            <v/>
          </cell>
          <cell r="BS437" t="str">
            <v/>
          </cell>
          <cell r="BU437" t="str">
            <v/>
          </cell>
          <cell r="BW437" t="str">
            <v/>
          </cell>
        </row>
        <row r="438">
          <cell r="AY438" t="str">
            <v/>
          </cell>
          <cell r="BA438" t="str">
            <v/>
          </cell>
          <cell r="BC438" t="str">
            <v/>
          </cell>
          <cell r="BI438" t="str">
            <v/>
          </cell>
          <cell r="BS438" t="str">
            <v/>
          </cell>
          <cell r="BU438" t="str">
            <v/>
          </cell>
          <cell r="BW438" t="str">
            <v/>
          </cell>
        </row>
        <row r="439">
          <cell r="AY439" t="str">
            <v/>
          </cell>
          <cell r="BA439" t="str">
            <v/>
          </cell>
          <cell r="BC439" t="str">
            <v/>
          </cell>
          <cell r="BI439" t="str">
            <v/>
          </cell>
          <cell r="BS439" t="str">
            <v/>
          </cell>
          <cell r="BU439" t="str">
            <v/>
          </cell>
          <cell r="BW439" t="str">
            <v/>
          </cell>
        </row>
        <row r="440">
          <cell r="AY440" t="str">
            <v/>
          </cell>
          <cell r="BA440" t="str">
            <v/>
          </cell>
          <cell r="BC440" t="str">
            <v/>
          </cell>
          <cell r="BI440" t="str">
            <v/>
          </cell>
          <cell r="BS440" t="str">
            <v/>
          </cell>
          <cell r="BU440" t="str">
            <v/>
          </cell>
          <cell r="BW440" t="str">
            <v/>
          </cell>
        </row>
        <row r="441">
          <cell r="AY441" t="str">
            <v/>
          </cell>
          <cell r="BA441" t="str">
            <v/>
          </cell>
          <cell r="BC441" t="str">
            <v/>
          </cell>
          <cell r="BI441" t="str">
            <v/>
          </cell>
          <cell r="BS441" t="str">
            <v/>
          </cell>
          <cell r="BU441" t="str">
            <v/>
          </cell>
          <cell r="BW441" t="str">
            <v/>
          </cell>
        </row>
        <row r="442">
          <cell r="AY442" t="str">
            <v/>
          </cell>
          <cell r="BA442" t="str">
            <v/>
          </cell>
          <cell r="BC442" t="str">
            <v/>
          </cell>
          <cell r="BI442" t="str">
            <v/>
          </cell>
          <cell r="BS442" t="str">
            <v/>
          </cell>
          <cell r="BU442" t="str">
            <v/>
          </cell>
          <cell r="BW442" t="str">
            <v/>
          </cell>
        </row>
        <row r="443">
          <cell r="AY443" t="str">
            <v/>
          </cell>
          <cell r="BA443" t="str">
            <v/>
          </cell>
          <cell r="BC443" t="str">
            <v/>
          </cell>
          <cell r="BI443" t="str">
            <v/>
          </cell>
          <cell r="BS443" t="str">
            <v/>
          </cell>
          <cell r="BU443" t="str">
            <v/>
          </cell>
          <cell r="BW443" t="str">
            <v/>
          </cell>
        </row>
        <row r="444">
          <cell r="AY444" t="str">
            <v/>
          </cell>
          <cell r="BA444" t="str">
            <v/>
          </cell>
          <cell r="BC444" t="str">
            <v/>
          </cell>
          <cell r="BI444" t="str">
            <v/>
          </cell>
          <cell r="BS444" t="str">
            <v/>
          </cell>
          <cell r="BU444" t="str">
            <v/>
          </cell>
          <cell r="BW444" t="str">
            <v/>
          </cell>
        </row>
        <row r="445">
          <cell r="AY445" t="str">
            <v/>
          </cell>
          <cell r="BA445" t="str">
            <v/>
          </cell>
          <cell r="BC445" t="str">
            <v/>
          </cell>
          <cell r="BI445" t="str">
            <v/>
          </cell>
          <cell r="BS445" t="str">
            <v/>
          </cell>
          <cell r="BU445" t="str">
            <v/>
          </cell>
          <cell r="BW445" t="str">
            <v/>
          </cell>
        </row>
        <row r="446">
          <cell r="AY446" t="str">
            <v/>
          </cell>
          <cell r="BA446" t="str">
            <v/>
          </cell>
          <cell r="BC446" t="str">
            <v/>
          </cell>
          <cell r="BI446" t="str">
            <v/>
          </cell>
          <cell r="BS446" t="str">
            <v/>
          </cell>
          <cell r="BU446" t="str">
            <v/>
          </cell>
          <cell r="BW446" t="str">
            <v/>
          </cell>
        </row>
        <row r="447">
          <cell r="AY447" t="str">
            <v/>
          </cell>
          <cell r="BA447" t="str">
            <v/>
          </cell>
          <cell r="BC447" t="str">
            <v/>
          </cell>
          <cell r="BI447" t="str">
            <v/>
          </cell>
          <cell r="BS447" t="str">
            <v/>
          </cell>
          <cell r="BU447" t="str">
            <v/>
          </cell>
          <cell r="BW447" t="str">
            <v/>
          </cell>
        </row>
        <row r="448">
          <cell r="AY448" t="str">
            <v/>
          </cell>
          <cell r="BA448" t="str">
            <v/>
          </cell>
          <cell r="BC448" t="str">
            <v/>
          </cell>
          <cell r="BI448" t="str">
            <v/>
          </cell>
          <cell r="BS448" t="str">
            <v/>
          </cell>
          <cell r="BU448" t="str">
            <v/>
          </cell>
          <cell r="BW448" t="str">
            <v/>
          </cell>
        </row>
        <row r="449">
          <cell r="AY449" t="str">
            <v/>
          </cell>
          <cell r="BA449" t="str">
            <v/>
          </cell>
          <cell r="BC449" t="str">
            <v/>
          </cell>
          <cell r="BI449" t="str">
            <v/>
          </cell>
          <cell r="BS449" t="str">
            <v/>
          </cell>
          <cell r="BU449" t="str">
            <v/>
          </cell>
          <cell r="BW449" t="str">
            <v/>
          </cell>
        </row>
        <row r="450">
          <cell r="AY450" t="str">
            <v/>
          </cell>
          <cell r="BA450" t="str">
            <v/>
          </cell>
          <cell r="BC450" t="str">
            <v/>
          </cell>
          <cell r="BI450" t="str">
            <v/>
          </cell>
          <cell r="BS450" t="str">
            <v/>
          </cell>
          <cell r="BU450" t="str">
            <v/>
          </cell>
          <cell r="BW450" t="str">
            <v/>
          </cell>
        </row>
        <row r="451">
          <cell r="AY451" t="str">
            <v/>
          </cell>
          <cell r="BA451" t="str">
            <v/>
          </cell>
          <cell r="BC451" t="str">
            <v/>
          </cell>
          <cell r="BI451" t="str">
            <v/>
          </cell>
          <cell r="BS451" t="str">
            <v/>
          </cell>
          <cell r="BU451" t="str">
            <v/>
          </cell>
          <cell r="BW451" t="str">
            <v/>
          </cell>
        </row>
        <row r="452">
          <cell r="AY452" t="str">
            <v/>
          </cell>
          <cell r="BA452" t="str">
            <v/>
          </cell>
          <cell r="BC452" t="str">
            <v/>
          </cell>
          <cell r="BI452" t="str">
            <v/>
          </cell>
          <cell r="BS452" t="str">
            <v/>
          </cell>
          <cell r="BU452" t="str">
            <v/>
          </cell>
          <cell r="BW452" t="str">
            <v/>
          </cell>
        </row>
        <row r="453">
          <cell r="AY453" t="str">
            <v/>
          </cell>
          <cell r="BA453" t="str">
            <v/>
          </cell>
          <cell r="BC453" t="str">
            <v/>
          </cell>
          <cell r="BI453" t="str">
            <v/>
          </cell>
          <cell r="BS453" t="str">
            <v/>
          </cell>
          <cell r="BU453" t="str">
            <v/>
          </cell>
          <cell r="BW453" t="str">
            <v/>
          </cell>
        </row>
        <row r="454">
          <cell r="AY454" t="str">
            <v/>
          </cell>
          <cell r="BA454" t="str">
            <v/>
          </cell>
          <cell r="BC454" t="str">
            <v/>
          </cell>
          <cell r="BI454" t="str">
            <v/>
          </cell>
          <cell r="BS454" t="str">
            <v/>
          </cell>
          <cell r="BU454" t="str">
            <v/>
          </cell>
          <cell r="BW454" t="str">
            <v/>
          </cell>
        </row>
        <row r="455">
          <cell r="AY455" t="str">
            <v/>
          </cell>
          <cell r="BA455" t="str">
            <v/>
          </cell>
          <cell r="BC455" t="str">
            <v/>
          </cell>
          <cell r="BI455" t="str">
            <v/>
          </cell>
          <cell r="BS455" t="str">
            <v/>
          </cell>
          <cell r="BU455" t="str">
            <v/>
          </cell>
          <cell r="BW455" t="str">
            <v/>
          </cell>
        </row>
        <row r="456">
          <cell r="AY456" t="str">
            <v/>
          </cell>
          <cell r="BA456" t="str">
            <v/>
          </cell>
          <cell r="BC456" t="str">
            <v/>
          </cell>
          <cell r="BI456" t="str">
            <v/>
          </cell>
          <cell r="BS456" t="str">
            <v/>
          </cell>
          <cell r="BU456" t="str">
            <v/>
          </cell>
          <cell r="BW456" t="str">
            <v/>
          </cell>
        </row>
        <row r="457">
          <cell r="AY457" t="str">
            <v/>
          </cell>
          <cell r="BA457" t="str">
            <v/>
          </cell>
          <cell r="BC457" t="str">
            <v/>
          </cell>
          <cell r="BI457" t="str">
            <v/>
          </cell>
          <cell r="BS457" t="str">
            <v/>
          </cell>
          <cell r="BU457" t="str">
            <v/>
          </cell>
          <cell r="BW457" t="str">
            <v/>
          </cell>
        </row>
        <row r="458">
          <cell r="AY458" t="str">
            <v/>
          </cell>
          <cell r="BA458" t="str">
            <v/>
          </cell>
          <cell r="BC458" t="str">
            <v/>
          </cell>
          <cell r="BI458" t="str">
            <v/>
          </cell>
          <cell r="BS458" t="str">
            <v/>
          </cell>
          <cell r="BU458" t="str">
            <v/>
          </cell>
          <cell r="BW458" t="str">
            <v/>
          </cell>
        </row>
        <row r="459">
          <cell r="AY459" t="str">
            <v/>
          </cell>
          <cell r="BA459" t="str">
            <v/>
          </cell>
          <cell r="BC459" t="str">
            <v/>
          </cell>
          <cell r="BI459" t="str">
            <v/>
          </cell>
          <cell r="BS459" t="str">
            <v/>
          </cell>
          <cell r="BU459" t="str">
            <v/>
          </cell>
          <cell r="BW459" t="str">
            <v/>
          </cell>
        </row>
        <row r="460">
          <cell r="AY460" t="str">
            <v/>
          </cell>
          <cell r="BA460" t="str">
            <v/>
          </cell>
          <cell r="BC460" t="str">
            <v/>
          </cell>
          <cell r="BI460" t="str">
            <v/>
          </cell>
          <cell r="BS460" t="str">
            <v/>
          </cell>
          <cell r="BU460" t="str">
            <v/>
          </cell>
          <cell r="BW460" t="str">
            <v/>
          </cell>
        </row>
        <row r="461">
          <cell r="AY461" t="str">
            <v/>
          </cell>
          <cell r="BA461" t="str">
            <v/>
          </cell>
          <cell r="BC461" t="str">
            <v/>
          </cell>
          <cell r="BI461" t="str">
            <v/>
          </cell>
          <cell r="BS461" t="str">
            <v/>
          </cell>
          <cell r="BU461" t="str">
            <v/>
          </cell>
          <cell r="BW461" t="str">
            <v/>
          </cell>
        </row>
        <row r="462">
          <cell r="AY462" t="str">
            <v/>
          </cell>
          <cell r="BA462" t="str">
            <v/>
          </cell>
          <cell r="BC462" t="str">
            <v/>
          </cell>
          <cell r="BI462" t="str">
            <v/>
          </cell>
          <cell r="BS462" t="str">
            <v/>
          </cell>
          <cell r="BU462" t="str">
            <v/>
          </cell>
          <cell r="BW462" t="str">
            <v/>
          </cell>
        </row>
        <row r="463">
          <cell r="AY463" t="str">
            <v/>
          </cell>
          <cell r="BA463" t="str">
            <v/>
          </cell>
          <cell r="BC463" t="str">
            <v/>
          </cell>
          <cell r="BI463" t="str">
            <v/>
          </cell>
          <cell r="BS463" t="str">
            <v/>
          </cell>
          <cell r="BU463" t="str">
            <v/>
          </cell>
          <cell r="BW463" t="str">
            <v/>
          </cell>
        </row>
        <row r="464">
          <cell r="AY464" t="str">
            <v/>
          </cell>
          <cell r="BA464" t="str">
            <v/>
          </cell>
          <cell r="BC464" t="str">
            <v/>
          </cell>
          <cell r="BI464" t="str">
            <v/>
          </cell>
          <cell r="BS464" t="str">
            <v/>
          </cell>
          <cell r="BU464" t="str">
            <v/>
          </cell>
          <cell r="BW464" t="str">
            <v/>
          </cell>
        </row>
        <row r="465">
          <cell r="AY465" t="str">
            <v/>
          </cell>
          <cell r="BA465" t="str">
            <v/>
          </cell>
          <cell r="BC465" t="str">
            <v/>
          </cell>
          <cell r="BI465" t="str">
            <v/>
          </cell>
          <cell r="BS465" t="str">
            <v/>
          </cell>
          <cell r="BU465" t="str">
            <v/>
          </cell>
          <cell r="BW465" t="str">
            <v/>
          </cell>
        </row>
        <row r="466">
          <cell r="AY466" t="str">
            <v/>
          </cell>
          <cell r="BA466" t="str">
            <v/>
          </cell>
          <cell r="BC466" t="str">
            <v/>
          </cell>
          <cell r="BI466" t="str">
            <v/>
          </cell>
          <cell r="BS466" t="str">
            <v/>
          </cell>
          <cell r="BU466" t="str">
            <v/>
          </cell>
          <cell r="BW466" t="str">
            <v/>
          </cell>
        </row>
        <row r="467">
          <cell r="AY467" t="str">
            <v/>
          </cell>
          <cell r="BA467" t="str">
            <v/>
          </cell>
          <cell r="BC467" t="str">
            <v/>
          </cell>
          <cell r="BI467" t="str">
            <v/>
          </cell>
          <cell r="BS467" t="str">
            <v/>
          </cell>
          <cell r="BU467" t="str">
            <v/>
          </cell>
          <cell r="BW467" t="str">
            <v/>
          </cell>
        </row>
        <row r="468">
          <cell r="AY468" t="str">
            <v/>
          </cell>
          <cell r="BA468" t="str">
            <v/>
          </cell>
          <cell r="BC468" t="str">
            <v/>
          </cell>
          <cell r="BI468" t="str">
            <v/>
          </cell>
          <cell r="BS468" t="str">
            <v/>
          </cell>
          <cell r="BU468" t="str">
            <v/>
          </cell>
          <cell r="BW468" t="str">
            <v/>
          </cell>
        </row>
        <row r="469">
          <cell r="AY469" t="str">
            <v/>
          </cell>
          <cell r="BA469" t="str">
            <v/>
          </cell>
          <cell r="BC469" t="str">
            <v/>
          </cell>
          <cell r="BI469" t="str">
            <v/>
          </cell>
          <cell r="BS469" t="str">
            <v/>
          </cell>
          <cell r="BU469" t="str">
            <v/>
          </cell>
          <cell r="BW469" t="str">
            <v/>
          </cell>
        </row>
        <row r="470">
          <cell r="AY470" t="str">
            <v/>
          </cell>
          <cell r="BA470" t="str">
            <v/>
          </cell>
          <cell r="BC470" t="str">
            <v/>
          </cell>
          <cell r="BI470" t="str">
            <v/>
          </cell>
          <cell r="BS470" t="str">
            <v/>
          </cell>
          <cell r="BU470" t="str">
            <v/>
          </cell>
          <cell r="BW470" t="str">
            <v/>
          </cell>
        </row>
        <row r="471">
          <cell r="AY471" t="str">
            <v/>
          </cell>
          <cell r="BA471" t="str">
            <v/>
          </cell>
          <cell r="BC471" t="str">
            <v/>
          </cell>
          <cell r="BI471" t="str">
            <v/>
          </cell>
          <cell r="BS471" t="str">
            <v/>
          </cell>
          <cell r="BU471" t="str">
            <v/>
          </cell>
          <cell r="BW471" t="str">
            <v/>
          </cell>
        </row>
        <row r="472">
          <cell r="AY472" t="str">
            <v/>
          </cell>
          <cell r="BA472" t="str">
            <v/>
          </cell>
          <cell r="BC472" t="str">
            <v/>
          </cell>
          <cell r="BI472" t="str">
            <v/>
          </cell>
          <cell r="BS472" t="str">
            <v/>
          </cell>
          <cell r="BU472" t="str">
            <v/>
          </cell>
          <cell r="BW472" t="str">
            <v/>
          </cell>
        </row>
        <row r="473">
          <cell r="AY473" t="str">
            <v/>
          </cell>
          <cell r="BA473" t="str">
            <v/>
          </cell>
          <cell r="BC473" t="str">
            <v/>
          </cell>
          <cell r="BI473" t="str">
            <v/>
          </cell>
          <cell r="BS473" t="str">
            <v/>
          </cell>
          <cell r="BU473" t="str">
            <v/>
          </cell>
          <cell r="BW473" t="str">
            <v/>
          </cell>
        </row>
        <row r="474">
          <cell r="AY474" t="str">
            <v/>
          </cell>
          <cell r="BA474" t="str">
            <v/>
          </cell>
          <cell r="BC474" t="str">
            <v/>
          </cell>
          <cell r="BI474" t="str">
            <v/>
          </cell>
          <cell r="BS474" t="str">
            <v/>
          </cell>
          <cell r="BU474" t="str">
            <v/>
          </cell>
          <cell r="BW474" t="str">
            <v/>
          </cell>
        </row>
        <row r="475">
          <cell r="AY475" t="str">
            <v/>
          </cell>
          <cell r="BA475" t="str">
            <v/>
          </cell>
          <cell r="BC475" t="str">
            <v/>
          </cell>
          <cell r="BI475" t="str">
            <v/>
          </cell>
          <cell r="BS475" t="str">
            <v/>
          </cell>
          <cell r="BU475" t="str">
            <v/>
          </cell>
          <cell r="BW475" t="str">
            <v/>
          </cell>
        </row>
        <row r="476">
          <cell r="AY476" t="str">
            <v/>
          </cell>
          <cell r="BA476" t="str">
            <v/>
          </cell>
          <cell r="BC476" t="str">
            <v/>
          </cell>
          <cell r="BI476" t="str">
            <v/>
          </cell>
          <cell r="BS476" t="str">
            <v/>
          </cell>
          <cell r="BU476" t="str">
            <v/>
          </cell>
          <cell r="BW476" t="str">
            <v/>
          </cell>
        </row>
        <row r="477">
          <cell r="AY477" t="str">
            <v/>
          </cell>
          <cell r="BA477" t="str">
            <v/>
          </cell>
          <cell r="BC477" t="str">
            <v/>
          </cell>
          <cell r="BI477" t="str">
            <v/>
          </cell>
          <cell r="BS477" t="str">
            <v/>
          </cell>
          <cell r="BU477" t="str">
            <v/>
          </cell>
          <cell r="BW477" t="str">
            <v/>
          </cell>
        </row>
        <row r="478">
          <cell r="AY478" t="str">
            <v/>
          </cell>
          <cell r="BA478" t="str">
            <v/>
          </cell>
          <cell r="BC478" t="str">
            <v/>
          </cell>
          <cell r="BI478" t="str">
            <v/>
          </cell>
          <cell r="BS478" t="str">
            <v/>
          </cell>
          <cell r="BU478" t="str">
            <v/>
          </cell>
          <cell r="BW478" t="str">
            <v/>
          </cell>
        </row>
        <row r="479">
          <cell r="AY479" t="str">
            <v/>
          </cell>
          <cell r="BA479" t="str">
            <v/>
          </cell>
          <cell r="BC479" t="str">
            <v/>
          </cell>
          <cell r="BI479" t="str">
            <v/>
          </cell>
          <cell r="BS479" t="str">
            <v/>
          </cell>
          <cell r="BU479" t="str">
            <v/>
          </cell>
          <cell r="BW479" t="str">
            <v/>
          </cell>
        </row>
        <row r="480">
          <cell r="AY480" t="str">
            <v/>
          </cell>
          <cell r="BA480" t="str">
            <v/>
          </cell>
          <cell r="BC480" t="str">
            <v/>
          </cell>
          <cell r="BI480" t="str">
            <v/>
          </cell>
          <cell r="BS480" t="str">
            <v/>
          </cell>
          <cell r="BU480" t="str">
            <v/>
          </cell>
          <cell r="BW480" t="str">
            <v/>
          </cell>
        </row>
        <row r="481">
          <cell r="AY481" t="str">
            <v/>
          </cell>
          <cell r="BA481" t="str">
            <v/>
          </cell>
          <cell r="BC481" t="str">
            <v/>
          </cell>
          <cell r="BI481" t="str">
            <v/>
          </cell>
          <cell r="BS481" t="str">
            <v/>
          </cell>
          <cell r="BU481" t="str">
            <v/>
          </cell>
          <cell r="BW481" t="str">
            <v/>
          </cell>
        </row>
        <row r="482">
          <cell r="AY482" t="str">
            <v/>
          </cell>
          <cell r="BA482" t="str">
            <v/>
          </cell>
          <cell r="BC482" t="str">
            <v/>
          </cell>
          <cell r="BI482" t="str">
            <v/>
          </cell>
          <cell r="BS482" t="str">
            <v/>
          </cell>
          <cell r="BU482" t="str">
            <v/>
          </cell>
          <cell r="BW482" t="str">
            <v/>
          </cell>
        </row>
        <row r="483">
          <cell r="AY483" t="str">
            <v/>
          </cell>
          <cell r="BA483" t="str">
            <v/>
          </cell>
          <cell r="BC483" t="str">
            <v/>
          </cell>
          <cell r="BI483" t="str">
            <v/>
          </cell>
          <cell r="BS483" t="str">
            <v/>
          </cell>
          <cell r="BU483" t="str">
            <v/>
          </cell>
          <cell r="BW483" t="str">
            <v/>
          </cell>
        </row>
        <row r="484">
          <cell r="AY484" t="str">
            <v/>
          </cell>
          <cell r="BA484" t="str">
            <v/>
          </cell>
          <cell r="BC484" t="str">
            <v/>
          </cell>
          <cell r="BI484" t="str">
            <v/>
          </cell>
          <cell r="BS484" t="str">
            <v/>
          </cell>
          <cell r="BU484" t="str">
            <v/>
          </cell>
          <cell r="BW484" t="str">
            <v/>
          </cell>
        </row>
        <row r="485">
          <cell r="AY485" t="str">
            <v/>
          </cell>
          <cell r="BA485" t="str">
            <v/>
          </cell>
          <cell r="BC485" t="str">
            <v/>
          </cell>
          <cell r="BI485" t="str">
            <v/>
          </cell>
          <cell r="BS485" t="str">
            <v/>
          </cell>
          <cell r="BU485" t="str">
            <v/>
          </cell>
          <cell r="BW485" t="str">
            <v/>
          </cell>
        </row>
        <row r="486">
          <cell r="AY486" t="str">
            <v/>
          </cell>
          <cell r="BA486" t="str">
            <v/>
          </cell>
          <cell r="BC486" t="str">
            <v/>
          </cell>
          <cell r="BI486" t="str">
            <v/>
          </cell>
          <cell r="BS486" t="str">
            <v/>
          </cell>
          <cell r="BU486" t="str">
            <v/>
          </cell>
          <cell r="BW486" t="str">
            <v/>
          </cell>
        </row>
        <row r="487">
          <cell r="AY487" t="str">
            <v/>
          </cell>
          <cell r="BA487" t="str">
            <v/>
          </cell>
          <cell r="BC487" t="str">
            <v/>
          </cell>
          <cell r="BI487" t="str">
            <v/>
          </cell>
          <cell r="BS487" t="str">
            <v/>
          </cell>
          <cell r="BU487" t="str">
            <v/>
          </cell>
          <cell r="BW487" t="str">
            <v/>
          </cell>
        </row>
        <row r="488">
          <cell r="AY488" t="str">
            <v/>
          </cell>
          <cell r="BA488" t="str">
            <v/>
          </cell>
          <cell r="BC488" t="str">
            <v/>
          </cell>
          <cell r="BI488" t="str">
            <v/>
          </cell>
          <cell r="BS488" t="str">
            <v/>
          </cell>
          <cell r="BU488" t="str">
            <v/>
          </cell>
          <cell r="BW488" t="str">
            <v/>
          </cell>
        </row>
        <row r="489">
          <cell r="AY489" t="str">
            <v/>
          </cell>
          <cell r="BA489" t="str">
            <v/>
          </cell>
          <cell r="BC489" t="str">
            <v/>
          </cell>
          <cell r="BI489" t="str">
            <v/>
          </cell>
          <cell r="BS489" t="str">
            <v/>
          </cell>
          <cell r="BU489" t="str">
            <v/>
          </cell>
          <cell r="BW489" t="str">
            <v/>
          </cell>
        </row>
        <row r="490">
          <cell r="AY490" t="str">
            <v/>
          </cell>
          <cell r="BA490" t="str">
            <v/>
          </cell>
          <cell r="BC490" t="str">
            <v/>
          </cell>
          <cell r="BI490" t="str">
            <v/>
          </cell>
          <cell r="BS490" t="str">
            <v/>
          </cell>
          <cell r="BU490" t="str">
            <v/>
          </cell>
          <cell r="BW490" t="str">
            <v/>
          </cell>
        </row>
        <row r="491">
          <cell r="AY491" t="str">
            <v/>
          </cell>
          <cell r="BA491" t="str">
            <v/>
          </cell>
          <cell r="BC491" t="str">
            <v/>
          </cell>
          <cell r="BI491" t="str">
            <v/>
          </cell>
          <cell r="BS491" t="str">
            <v/>
          </cell>
          <cell r="BU491" t="str">
            <v/>
          </cell>
          <cell r="BW491" t="str">
            <v/>
          </cell>
        </row>
        <row r="492">
          <cell r="AY492" t="str">
            <v/>
          </cell>
          <cell r="BA492" t="str">
            <v/>
          </cell>
          <cell r="BC492" t="str">
            <v/>
          </cell>
          <cell r="BI492" t="str">
            <v/>
          </cell>
          <cell r="BS492" t="str">
            <v/>
          </cell>
          <cell r="BU492" t="str">
            <v/>
          </cell>
          <cell r="BW492" t="str">
            <v/>
          </cell>
        </row>
        <row r="493">
          <cell r="AY493" t="str">
            <v/>
          </cell>
          <cell r="BA493" t="str">
            <v/>
          </cell>
          <cell r="BC493" t="str">
            <v/>
          </cell>
          <cell r="BI493" t="str">
            <v/>
          </cell>
          <cell r="BS493" t="str">
            <v/>
          </cell>
          <cell r="BU493" t="str">
            <v/>
          </cell>
          <cell r="BW493" t="str">
            <v/>
          </cell>
        </row>
        <row r="494">
          <cell r="AY494" t="str">
            <v/>
          </cell>
          <cell r="BA494" t="str">
            <v/>
          </cell>
          <cell r="BC494" t="str">
            <v/>
          </cell>
          <cell r="BI494" t="str">
            <v/>
          </cell>
          <cell r="BS494" t="str">
            <v/>
          </cell>
          <cell r="BU494" t="str">
            <v/>
          </cell>
          <cell r="BW494" t="str">
            <v/>
          </cell>
        </row>
        <row r="495">
          <cell r="AY495" t="str">
            <v/>
          </cell>
          <cell r="BA495" t="str">
            <v/>
          </cell>
          <cell r="BC495" t="str">
            <v/>
          </cell>
          <cell r="BI495" t="str">
            <v/>
          </cell>
          <cell r="BS495" t="str">
            <v/>
          </cell>
          <cell r="BU495" t="str">
            <v/>
          </cell>
          <cell r="BW495" t="str">
            <v/>
          </cell>
        </row>
        <row r="496">
          <cell r="AY496" t="str">
            <v/>
          </cell>
          <cell r="BA496" t="str">
            <v/>
          </cell>
          <cell r="BC496" t="str">
            <v/>
          </cell>
          <cell r="BI496" t="str">
            <v/>
          </cell>
          <cell r="BS496" t="str">
            <v/>
          </cell>
          <cell r="BU496" t="str">
            <v/>
          </cell>
          <cell r="BW496" t="str">
            <v/>
          </cell>
        </row>
        <row r="497">
          <cell r="AY497" t="str">
            <v/>
          </cell>
          <cell r="BA497" t="str">
            <v/>
          </cell>
          <cell r="BC497" t="str">
            <v/>
          </cell>
          <cell r="BI497" t="str">
            <v/>
          </cell>
          <cell r="BS497" t="str">
            <v/>
          </cell>
          <cell r="BU497" t="str">
            <v/>
          </cell>
          <cell r="BW497" t="str">
            <v/>
          </cell>
        </row>
        <row r="498">
          <cell r="AY498" t="str">
            <v/>
          </cell>
          <cell r="BA498" t="str">
            <v/>
          </cell>
          <cell r="BC498" t="str">
            <v/>
          </cell>
          <cell r="BI498" t="str">
            <v/>
          </cell>
          <cell r="BS498" t="str">
            <v/>
          </cell>
          <cell r="BU498" t="str">
            <v/>
          </cell>
          <cell r="BW498" t="str">
            <v/>
          </cell>
        </row>
        <row r="499">
          <cell r="AY499" t="str">
            <v/>
          </cell>
          <cell r="BA499" t="str">
            <v/>
          </cell>
          <cell r="BC499" t="str">
            <v/>
          </cell>
          <cell r="BI499" t="str">
            <v/>
          </cell>
          <cell r="BS499" t="str">
            <v/>
          </cell>
          <cell r="BU499" t="str">
            <v/>
          </cell>
          <cell r="BW499" t="str">
            <v/>
          </cell>
        </row>
        <row r="500">
          <cell r="AY500" t="str">
            <v/>
          </cell>
          <cell r="BA500" t="str">
            <v/>
          </cell>
          <cell r="BC500" t="str">
            <v/>
          </cell>
          <cell r="BI500" t="str">
            <v/>
          </cell>
          <cell r="BS500" t="str">
            <v/>
          </cell>
          <cell r="BU500" t="str">
            <v/>
          </cell>
          <cell r="BW500" t="str">
            <v/>
          </cell>
        </row>
        <row r="501">
          <cell r="AY501" t="str">
            <v/>
          </cell>
          <cell r="BA501" t="str">
            <v/>
          </cell>
          <cell r="BC501" t="str">
            <v/>
          </cell>
          <cell r="BI501" t="str">
            <v/>
          </cell>
          <cell r="BS501" t="str">
            <v/>
          </cell>
          <cell r="BU501" t="str">
            <v/>
          </cell>
          <cell r="BW501" t="str">
            <v/>
          </cell>
        </row>
        <row r="502">
          <cell r="AY502" t="str">
            <v/>
          </cell>
          <cell r="BA502" t="str">
            <v/>
          </cell>
          <cell r="BC502" t="str">
            <v/>
          </cell>
          <cell r="BI502" t="str">
            <v/>
          </cell>
          <cell r="BS502" t="str">
            <v/>
          </cell>
          <cell r="BU502" t="str">
            <v/>
          </cell>
          <cell r="BW502" t="str">
            <v/>
          </cell>
        </row>
        <row r="503">
          <cell r="AY503" t="str">
            <v/>
          </cell>
          <cell r="BA503" t="str">
            <v/>
          </cell>
          <cell r="BC503" t="str">
            <v/>
          </cell>
          <cell r="BI503" t="str">
            <v/>
          </cell>
          <cell r="BS503" t="str">
            <v/>
          </cell>
          <cell r="BU503" t="str">
            <v/>
          </cell>
          <cell r="BW503" t="str">
            <v/>
          </cell>
        </row>
        <row r="504">
          <cell r="AY504" t="str">
            <v/>
          </cell>
          <cell r="BA504" t="str">
            <v/>
          </cell>
          <cell r="BC504" t="str">
            <v/>
          </cell>
          <cell r="BI504" t="str">
            <v/>
          </cell>
          <cell r="BS504" t="str">
            <v/>
          </cell>
          <cell r="BU504" t="str">
            <v/>
          </cell>
          <cell r="BW504" t="str">
            <v/>
          </cell>
        </row>
        <row r="505">
          <cell r="AY505" t="str">
            <v/>
          </cell>
          <cell r="BA505" t="str">
            <v/>
          </cell>
          <cell r="BC505" t="str">
            <v/>
          </cell>
          <cell r="BI505" t="str">
            <v/>
          </cell>
          <cell r="BS505" t="str">
            <v/>
          </cell>
          <cell r="BU505" t="str">
            <v/>
          </cell>
          <cell r="BW505" t="str">
            <v/>
          </cell>
        </row>
        <row r="506">
          <cell r="AY506" t="str">
            <v/>
          </cell>
          <cell r="BA506" t="str">
            <v/>
          </cell>
          <cell r="BC506" t="str">
            <v/>
          </cell>
          <cell r="BI506" t="str">
            <v/>
          </cell>
          <cell r="BS506" t="str">
            <v/>
          </cell>
          <cell r="BU506" t="str">
            <v/>
          </cell>
          <cell r="BW506" t="str">
            <v/>
          </cell>
        </row>
        <row r="507">
          <cell r="AY507" t="str">
            <v/>
          </cell>
          <cell r="BA507" t="str">
            <v/>
          </cell>
          <cell r="BC507" t="str">
            <v/>
          </cell>
          <cell r="BI507" t="str">
            <v/>
          </cell>
          <cell r="BS507" t="str">
            <v/>
          </cell>
          <cell r="BU507" t="str">
            <v/>
          </cell>
          <cell r="BW507" t="str">
            <v/>
          </cell>
        </row>
        <row r="508">
          <cell r="AY508" t="str">
            <v/>
          </cell>
          <cell r="BA508" t="str">
            <v/>
          </cell>
          <cell r="BC508" t="str">
            <v/>
          </cell>
          <cell r="BI508" t="str">
            <v/>
          </cell>
          <cell r="BS508" t="str">
            <v/>
          </cell>
          <cell r="BU508" t="str">
            <v/>
          </cell>
          <cell r="BW508" t="str">
            <v/>
          </cell>
        </row>
        <row r="509">
          <cell r="AY509" t="str">
            <v/>
          </cell>
          <cell r="BA509" t="str">
            <v/>
          </cell>
          <cell r="BC509" t="str">
            <v/>
          </cell>
          <cell r="BI509" t="str">
            <v/>
          </cell>
          <cell r="BS509" t="str">
            <v/>
          </cell>
          <cell r="BU509" t="str">
            <v/>
          </cell>
          <cell r="BW509" t="str">
            <v/>
          </cell>
        </row>
        <row r="510">
          <cell r="AY510" t="str">
            <v/>
          </cell>
          <cell r="BA510" t="str">
            <v/>
          </cell>
          <cell r="BC510" t="str">
            <v/>
          </cell>
          <cell r="BI510" t="str">
            <v/>
          </cell>
          <cell r="BS510" t="str">
            <v/>
          </cell>
          <cell r="BU510" t="str">
            <v/>
          </cell>
          <cell r="BW510" t="str">
            <v/>
          </cell>
        </row>
        <row r="511">
          <cell r="AY511" t="str">
            <v/>
          </cell>
          <cell r="BA511" t="str">
            <v/>
          </cell>
          <cell r="BC511" t="str">
            <v/>
          </cell>
          <cell r="BI511" t="str">
            <v/>
          </cell>
          <cell r="BS511" t="str">
            <v/>
          </cell>
          <cell r="BU511" t="str">
            <v/>
          </cell>
          <cell r="BW511" t="str">
            <v/>
          </cell>
        </row>
        <row r="512">
          <cell r="AY512" t="str">
            <v/>
          </cell>
          <cell r="BA512" t="str">
            <v/>
          </cell>
          <cell r="BC512" t="str">
            <v/>
          </cell>
          <cell r="BI512" t="str">
            <v/>
          </cell>
          <cell r="BS512" t="str">
            <v/>
          </cell>
          <cell r="BU512" t="str">
            <v/>
          </cell>
          <cell r="BW512" t="str">
            <v/>
          </cell>
        </row>
        <row r="513">
          <cell r="AY513" t="str">
            <v/>
          </cell>
          <cell r="BA513" t="str">
            <v/>
          </cell>
          <cell r="BC513" t="str">
            <v/>
          </cell>
          <cell r="BI513" t="str">
            <v/>
          </cell>
          <cell r="BS513" t="str">
            <v/>
          </cell>
          <cell r="BU513" t="str">
            <v/>
          </cell>
          <cell r="BW513" t="str">
            <v/>
          </cell>
        </row>
        <row r="514">
          <cell r="AY514" t="str">
            <v/>
          </cell>
          <cell r="BA514" t="str">
            <v/>
          </cell>
          <cell r="BC514" t="str">
            <v/>
          </cell>
          <cell r="BI514" t="str">
            <v/>
          </cell>
          <cell r="BS514" t="str">
            <v/>
          </cell>
          <cell r="BU514" t="str">
            <v/>
          </cell>
          <cell r="BW514" t="str">
            <v/>
          </cell>
        </row>
        <row r="515">
          <cell r="AY515" t="str">
            <v/>
          </cell>
          <cell r="BA515" t="str">
            <v/>
          </cell>
          <cell r="BC515" t="str">
            <v/>
          </cell>
          <cell r="BI515" t="str">
            <v/>
          </cell>
          <cell r="BS515" t="str">
            <v/>
          </cell>
          <cell r="BU515" t="str">
            <v/>
          </cell>
          <cell r="BW515" t="str">
            <v/>
          </cell>
        </row>
        <row r="516">
          <cell r="AY516" t="str">
            <v/>
          </cell>
          <cell r="BA516" t="str">
            <v/>
          </cell>
          <cell r="BC516" t="str">
            <v/>
          </cell>
          <cell r="BI516" t="str">
            <v/>
          </cell>
          <cell r="BS516" t="str">
            <v/>
          </cell>
          <cell r="BU516" t="str">
            <v/>
          </cell>
          <cell r="BW516" t="str">
            <v/>
          </cell>
        </row>
        <row r="517">
          <cell r="AY517" t="str">
            <v/>
          </cell>
          <cell r="BA517" t="str">
            <v/>
          </cell>
          <cell r="BC517" t="str">
            <v/>
          </cell>
          <cell r="BI517" t="str">
            <v/>
          </cell>
          <cell r="BS517" t="str">
            <v/>
          </cell>
          <cell r="BU517" t="str">
            <v/>
          </cell>
          <cell r="BW517" t="str">
            <v/>
          </cell>
        </row>
        <row r="518">
          <cell r="AY518" t="str">
            <v/>
          </cell>
          <cell r="BA518" t="str">
            <v/>
          </cell>
          <cell r="BC518" t="str">
            <v/>
          </cell>
          <cell r="BI518" t="str">
            <v/>
          </cell>
          <cell r="BS518" t="str">
            <v/>
          </cell>
          <cell r="BU518" t="str">
            <v/>
          </cell>
          <cell r="BW518" t="str">
            <v/>
          </cell>
        </row>
        <row r="519">
          <cell r="AY519" t="str">
            <v/>
          </cell>
          <cell r="BA519" t="str">
            <v/>
          </cell>
          <cell r="BC519" t="str">
            <v/>
          </cell>
          <cell r="BI519" t="str">
            <v/>
          </cell>
          <cell r="BS519" t="str">
            <v/>
          </cell>
          <cell r="BU519" t="str">
            <v/>
          </cell>
          <cell r="BW519" t="str">
            <v/>
          </cell>
        </row>
        <row r="520">
          <cell r="AY520" t="str">
            <v/>
          </cell>
          <cell r="BA520" t="str">
            <v/>
          </cell>
          <cell r="BC520" t="str">
            <v/>
          </cell>
          <cell r="BI520" t="str">
            <v/>
          </cell>
          <cell r="BS520" t="str">
            <v/>
          </cell>
          <cell r="BU520" t="str">
            <v/>
          </cell>
          <cell r="BW520" t="str">
            <v/>
          </cell>
        </row>
        <row r="521">
          <cell r="AY521" t="str">
            <v/>
          </cell>
          <cell r="BA521" t="str">
            <v/>
          </cell>
          <cell r="BC521" t="str">
            <v/>
          </cell>
          <cell r="BI521" t="str">
            <v/>
          </cell>
          <cell r="BS521" t="str">
            <v/>
          </cell>
          <cell r="BU521" t="str">
            <v/>
          </cell>
          <cell r="BW521" t="str">
            <v/>
          </cell>
        </row>
        <row r="522">
          <cell r="AY522" t="str">
            <v/>
          </cell>
          <cell r="BA522" t="str">
            <v/>
          </cell>
          <cell r="BC522" t="str">
            <v/>
          </cell>
          <cell r="BI522" t="str">
            <v/>
          </cell>
          <cell r="BS522" t="str">
            <v/>
          </cell>
          <cell r="BU522" t="str">
            <v/>
          </cell>
          <cell r="BW522" t="str">
            <v/>
          </cell>
        </row>
        <row r="523">
          <cell r="AY523" t="str">
            <v/>
          </cell>
          <cell r="BA523" t="str">
            <v/>
          </cell>
          <cell r="BC523" t="str">
            <v/>
          </cell>
          <cell r="BI523" t="str">
            <v/>
          </cell>
          <cell r="BS523" t="str">
            <v/>
          </cell>
          <cell r="BU523" t="str">
            <v/>
          </cell>
          <cell r="BW523" t="str">
            <v/>
          </cell>
        </row>
        <row r="524">
          <cell r="AY524" t="str">
            <v/>
          </cell>
          <cell r="BA524" t="str">
            <v/>
          </cell>
          <cell r="BC524" t="str">
            <v/>
          </cell>
          <cell r="BI524" t="str">
            <v/>
          </cell>
          <cell r="BS524" t="str">
            <v/>
          </cell>
          <cell r="BU524" t="str">
            <v/>
          </cell>
          <cell r="BW524" t="str">
            <v/>
          </cell>
        </row>
        <row r="525">
          <cell r="AY525" t="str">
            <v/>
          </cell>
          <cell r="BA525" t="str">
            <v/>
          </cell>
          <cell r="BC525" t="str">
            <v/>
          </cell>
          <cell r="BI525" t="str">
            <v/>
          </cell>
          <cell r="BS525" t="str">
            <v/>
          </cell>
          <cell r="BU525" t="str">
            <v/>
          </cell>
          <cell r="BW525" t="str">
            <v/>
          </cell>
        </row>
        <row r="526">
          <cell r="AY526" t="str">
            <v/>
          </cell>
          <cell r="BA526" t="str">
            <v/>
          </cell>
          <cell r="BC526" t="str">
            <v/>
          </cell>
          <cell r="BI526" t="str">
            <v/>
          </cell>
          <cell r="BS526" t="str">
            <v/>
          </cell>
          <cell r="BU526" t="str">
            <v/>
          </cell>
          <cell r="BW526" t="str">
            <v/>
          </cell>
        </row>
        <row r="527">
          <cell r="AY527" t="str">
            <v/>
          </cell>
          <cell r="BA527" t="str">
            <v/>
          </cell>
          <cell r="BC527" t="str">
            <v/>
          </cell>
          <cell r="BI527" t="str">
            <v/>
          </cell>
          <cell r="BS527" t="str">
            <v/>
          </cell>
          <cell r="BU527" t="str">
            <v/>
          </cell>
          <cell r="BW527" t="str">
            <v/>
          </cell>
        </row>
        <row r="528">
          <cell r="AY528" t="str">
            <v/>
          </cell>
          <cell r="BA528" t="str">
            <v/>
          </cell>
          <cell r="BC528" t="str">
            <v/>
          </cell>
          <cell r="BI528" t="str">
            <v/>
          </cell>
          <cell r="BS528" t="str">
            <v/>
          </cell>
          <cell r="BU528" t="str">
            <v/>
          </cell>
          <cell r="BW528" t="str">
            <v/>
          </cell>
        </row>
        <row r="529">
          <cell r="AY529" t="str">
            <v/>
          </cell>
          <cell r="BA529" t="str">
            <v/>
          </cell>
          <cell r="BC529" t="str">
            <v/>
          </cell>
          <cell r="BI529" t="str">
            <v/>
          </cell>
          <cell r="BS529" t="str">
            <v/>
          </cell>
          <cell r="BU529" t="str">
            <v/>
          </cell>
          <cell r="BW529" t="str">
            <v/>
          </cell>
        </row>
        <row r="530">
          <cell r="AY530" t="str">
            <v/>
          </cell>
          <cell r="BA530" t="str">
            <v/>
          </cell>
          <cell r="BC530" t="str">
            <v/>
          </cell>
          <cell r="BI530" t="str">
            <v/>
          </cell>
          <cell r="BS530" t="str">
            <v/>
          </cell>
          <cell r="BU530" t="str">
            <v/>
          </cell>
          <cell r="BW530" t="str">
            <v/>
          </cell>
        </row>
        <row r="531">
          <cell r="AY531" t="str">
            <v/>
          </cell>
          <cell r="BA531" t="str">
            <v/>
          </cell>
          <cell r="BC531" t="str">
            <v/>
          </cell>
          <cell r="BI531" t="str">
            <v/>
          </cell>
          <cell r="BS531" t="str">
            <v/>
          </cell>
          <cell r="BU531" t="str">
            <v/>
          </cell>
          <cell r="BW531" t="str">
            <v/>
          </cell>
        </row>
        <row r="532">
          <cell r="AY532" t="str">
            <v/>
          </cell>
          <cell r="BA532" t="str">
            <v/>
          </cell>
          <cell r="BC532" t="str">
            <v/>
          </cell>
          <cell r="BI532" t="str">
            <v/>
          </cell>
          <cell r="BS532" t="str">
            <v/>
          </cell>
          <cell r="BU532" t="str">
            <v/>
          </cell>
          <cell r="BW532" t="str">
            <v/>
          </cell>
        </row>
        <row r="533">
          <cell r="AY533" t="str">
            <v/>
          </cell>
          <cell r="BA533" t="str">
            <v/>
          </cell>
          <cell r="BC533" t="str">
            <v/>
          </cell>
          <cell r="BI533" t="str">
            <v/>
          </cell>
          <cell r="BS533" t="str">
            <v/>
          </cell>
          <cell r="BU533" t="str">
            <v/>
          </cell>
          <cell r="BW533" t="str">
            <v/>
          </cell>
        </row>
        <row r="534">
          <cell r="AY534" t="str">
            <v/>
          </cell>
          <cell r="BA534" t="str">
            <v/>
          </cell>
          <cell r="BC534" t="str">
            <v/>
          </cell>
          <cell r="BI534" t="str">
            <v/>
          </cell>
          <cell r="BS534" t="str">
            <v/>
          </cell>
          <cell r="BU534" t="str">
            <v/>
          </cell>
          <cell r="BW534" t="str">
            <v/>
          </cell>
        </row>
        <row r="535">
          <cell r="AY535" t="str">
            <v/>
          </cell>
          <cell r="BA535" t="str">
            <v/>
          </cell>
          <cell r="BC535" t="str">
            <v/>
          </cell>
          <cell r="BI535" t="str">
            <v/>
          </cell>
          <cell r="BS535" t="str">
            <v/>
          </cell>
          <cell r="BU535" t="str">
            <v/>
          </cell>
          <cell r="BW535" t="str">
            <v/>
          </cell>
        </row>
        <row r="536">
          <cell r="AY536" t="str">
            <v/>
          </cell>
          <cell r="BA536" t="str">
            <v/>
          </cell>
          <cell r="BC536" t="str">
            <v/>
          </cell>
          <cell r="BI536" t="str">
            <v/>
          </cell>
          <cell r="BS536" t="str">
            <v/>
          </cell>
          <cell r="BU536" t="str">
            <v/>
          </cell>
          <cell r="BW536" t="str">
            <v/>
          </cell>
        </row>
        <row r="537">
          <cell r="AY537" t="str">
            <v/>
          </cell>
          <cell r="BA537" t="str">
            <v/>
          </cell>
          <cell r="BC537" t="str">
            <v/>
          </cell>
          <cell r="BI537" t="str">
            <v/>
          </cell>
          <cell r="BS537" t="str">
            <v/>
          </cell>
          <cell r="BU537" t="str">
            <v/>
          </cell>
          <cell r="BW537" t="str">
            <v/>
          </cell>
        </row>
        <row r="538">
          <cell r="AY538" t="str">
            <v/>
          </cell>
          <cell r="BA538" t="str">
            <v/>
          </cell>
          <cell r="BC538" t="str">
            <v/>
          </cell>
          <cell r="BI538" t="str">
            <v/>
          </cell>
          <cell r="BS538" t="str">
            <v/>
          </cell>
          <cell r="BU538" t="str">
            <v/>
          </cell>
          <cell r="BW538" t="str">
            <v/>
          </cell>
        </row>
        <row r="539">
          <cell r="AY539" t="str">
            <v/>
          </cell>
          <cell r="BA539" t="str">
            <v/>
          </cell>
          <cell r="BC539" t="str">
            <v/>
          </cell>
          <cell r="BI539" t="str">
            <v/>
          </cell>
          <cell r="BS539" t="str">
            <v/>
          </cell>
          <cell r="BU539" t="str">
            <v/>
          </cell>
          <cell r="BW539" t="str">
            <v/>
          </cell>
        </row>
        <row r="540">
          <cell r="AY540" t="str">
            <v/>
          </cell>
          <cell r="BA540" t="str">
            <v/>
          </cell>
          <cell r="BC540" t="str">
            <v/>
          </cell>
          <cell r="BI540" t="str">
            <v/>
          </cell>
          <cell r="BS540" t="str">
            <v/>
          </cell>
          <cell r="BU540" t="str">
            <v/>
          </cell>
          <cell r="BW540" t="str">
            <v/>
          </cell>
        </row>
        <row r="541">
          <cell r="AY541" t="str">
            <v/>
          </cell>
          <cell r="BA541" t="str">
            <v/>
          </cell>
          <cell r="BC541" t="str">
            <v/>
          </cell>
          <cell r="BI541" t="str">
            <v/>
          </cell>
          <cell r="BS541" t="str">
            <v/>
          </cell>
          <cell r="BU541" t="str">
            <v/>
          </cell>
          <cell r="BW541" t="str">
            <v/>
          </cell>
        </row>
        <row r="542">
          <cell r="AY542" t="str">
            <v/>
          </cell>
          <cell r="BA542" t="str">
            <v/>
          </cell>
          <cell r="BC542" t="str">
            <v/>
          </cell>
          <cell r="BI542" t="str">
            <v/>
          </cell>
          <cell r="BS542" t="str">
            <v/>
          </cell>
          <cell r="BU542" t="str">
            <v/>
          </cell>
          <cell r="BW542" t="str">
            <v/>
          </cell>
        </row>
        <row r="543">
          <cell r="AY543" t="str">
            <v/>
          </cell>
          <cell r="BA543" t="str">
            <v/>
          </cell>
          <cell r="BC543" t="str">
            <v/>
          </cell>
          <cell r="BI543" t="str">
            <v/>
          </cell>
          <cell r="BS543" t="str">
            <v/>
          </cell>
          <cell r="BU543" t="str">
            <v/>
          </cell>
          <cell r="BW543" t="str">
            <v/>
          </cell>
        </row>
        <row r="544">
          <cell r="AY544" t="str">
            <v/>
          </cell>
          <cell r="BA544" t="str">
            <v/>
          </cell>
          <cell r="BC544" t="str">
            <v/>
          </cell>
          <cell r="BI544" t="str">
            <v/>
          </cell>
          <cell r="BS544" t="str">
            <v/>
          </cell>
          <cell r="BU544" t="str">
            <v/>
          </cell>
          <cell r="BW544" t="str">
            <v/>
          </cell>
        </row>
        <row r="545">
          <cell r="AY545" t="str">
            <v/>
          </cell>
          <cell r="BA545" t="str">
            <v/>
          </cell>
          <cell r="BC545" t="str">
            <v/>
          </cell>
          <cell r="BI545" t="str">
            <v/>
          </cell>
          <cell r="BS545" t="str">
            <v/>
          </cell>
          <cell r="BU545" t="str">
            <v/>
          </cell>
          <cell r="BW545" t="str">
            <v/>
          </cell>
        </row>
        <row r="546">
          <cell r="AY546" t="str">
            <v/>
          </cell>
          <cell r="BA546" t="str">
            <v/>
          </cell>
          <cell r="BC546" t="str">
            <v/>
          </cell>
          <cell r="BI546" t="str">
            <v/>
          </cell>
          <cell r="BS546" t="str">
            <v/>
          </cell>
          <cell r="BU546" t="str">
            <v/>
          </cell>
          <cell r="BW546" t="str">
            <v/>
          </cell>
        </row>
        <row r="547">
          <cell r="AY547" t="str">
            <v/>
          </cell>
          <cell r="BA547" t="str">
            <v/>
          </cell>
          <cell r="BC547" t="str">
            <v/>
          </cell>
          <cell r="BI547" t="str">
            <v/>
          </cell>
          <cell r="BS547" t="str">
            <v/>
          </cell>
          <cell r="BU547" t="str">
            <v/>
          </cell>
          <cell r="BW547" t="str">
            <v/>
          </cell>
        </row>
        <row r="548">
          <cell r="AY548" t="str">
            <v/>
          </cell>
          <cell r="BA548" t="str">
            <v/>
          </cell>
          <cell r="BC548" t="str">
            <v/>
          </cell>
          <cell r="BI548" t="str">
            <v/>
          </cell>
          <cell r="BS548" t="str">
            <v/>
          </cell>
          <cell r="BU548" t="str">
            <v/>
          </cell>
          <cell r="BW548" t="str">
            <v/>
          </cell>
        </row>
        <row r="549">
          <cell r="AY549" t="str">
            <v/>
          </cell>
          <cell r="BA549" t="str">
            <v/>
          </cell>
          <cell r="BC549" t="str">
            <v/>
          </cell>
          <cell r="BI549" t="str">
            <v/>
          </cell>
          <cell r="BS549" t="str">
            <v/>
          </cell>
          <cell r="BU549" t="str">
            <v/>
          </cell>
          <cell r="BW549" t="str">
            <v/>
          </cell>
        </row>
        <row r="550">
          <cell r="AY550" t="str">
            <v/>
          </cell>
          <cell r="BA550" t="str">
            <v/>
          </cell>
          <cell r="BC550" t="str">
            <v/>
          </cell>
          <cell r="BI550" t="str">
            <v/>
          </cell>
          <cell r="BS550" t="str">
            <v/>
          </cell>
          <cell r="BU550" t="str">
            <v/>
          </cell>
          <cell r="BW550" t="str">
            <v/>
          </cell>
        </row>
        <row r="551">
          <cell r="AY551" t="str">
            <v/>
          </cell>
          <cell r="BA551" t="str">
            <v/>
          </cell>
          <cell r="BC551" t="str">
            <v/>
          </cell>
          <cell r="BI551" t="str">
            <v/>
          </cell>
          <cell r="BS551" t="str">
            <v/>
          </cell>
          <cell r="BU551" t="str">
            <v/>
          </cell>
          <cell r="BW551" t="str">
            <v/>
          </cell>
        </row>
        <row r="552">
          <cell r="AY552" t="str">
            <v/>
          </cell>
          <cell r="BA552" t="str">
            <v/>
          </cell>
          <cell r="BC552" t="str">
            <v/>
          </cell>
          <cell r="BI552" t="str">
            <v/>
          </cell>
          <cell r="BS552" t="str">
            <v/>
          </cell>
          <cell r="BU552" t="str">
            <v/>
          </cell>
          <cell r="BW552" t="str">
            <v/>
          </cell>
        </row>
        <row r="553">
          <cell r="AY553" t="str">
            <v/>
          </cell>
          <cell r="BA553" t="str">
            <v/>
          </cell>
          <cell r="BC553" t="str">
            <v/>
          </cell>
          <cell r="BI553" t="str">
            <v/>
          </cell>
          <cell r="BS553" t="str">
            <v/>
          </cell>
          <cell r="BU553" t="str">
            <v/>
          </cell>
          <cell r="BW553" t="str">
            <v/>
          </cell>
        </row>
        <row r="554">
          <cell r="AY554" t="str">
            <v/>
          </cell>
          <cell r="BA554" t="str">
            <v/>
          </cell>
          <cell r="BC554" t="str">
            <v/>
          </cell>
          <cell r="BI554" t="str">
            <v/>
          </cell>
          <cell r="BS554" t="str">
            <v/>
          </cell>
          <cell r="BU554" t="str">
            <v/>
          </cell>
          <cell r="BW554" t="str">
            <v/>
          </cell>
        </row>
        <row r="555">
          <cell r="AY555" t="str">
            <v/>
          </cell>
          <cell r="BA555" t="str">
            <v/>
          </cell>
          <cell r="BC555" t="str">
            <v/>
          </cell>
          <cell r="BI555" t="str">
            <v/>
          </cell>
          <cell r="BS555" t="str">
            <v/>
          </cell>
          <cell r="BU555" t="str">
            <v/>
          </cell>
          <cell r="BW555" t="str">
            <v/>
          </cell>
        </row>
        <row r="556">
          <cell r="AY556" t="str">
            <v/>
          </cell>
          <cell r="BA556" t="str">
            <v/>
          </cell>
          <cell r="BC556" t="str">
            <v/>
          </cell>
          <cell r="BI556" t="str">
            <v/>
          </cell>
          <cell r="BS556" t="str">
            <v/>
          </cell>
          <cell r="BU556" t="str">
            <v/>
          </cell>
          <cell r="BW556" t="str">
            <v/>
          </cell>
        </row>
        <row r="557">
          <cell r="AY557" t="str">
            <v/>
          </cell>
          <cell r="BA557" t="str">
            <v/>
          </cell>
          <cell r="BC557" t="str">
            <v/>
          </cell>
          <cell r="BI557" t="str">
            <v/>
          </cell>
          <cell r="BS557" t="str">
            <v/>
          </cell>
          <cell r="BU557" t="str">
            <v/>
          </cell>
          <cell r="BW557" t="str">
            <v/>
          </cell>
        </row>
        <row r="558">
          <cell r="AY558" t="str">
            <v/>
          </cell>
          <cell r="BA558" t="str">
            <v/>
          </cell>
          <cell r="BC558" t="str">
            <v/>
          </cell>
          <cell r="BI558" t="str">
            <v/>
          </cell>
          <cell r="BS558" t="str">
            <v/>
          </cell>
          <cell r="BU558" t="str">
            <v/>
          </cell>
          <cell r="BW558" t="str">
            <v/>
          </cell>
        </row>
        <row r="559">
          <cell r="AY559" t="str">
            <v/>
          </cell>
          <cell r="BA559" t="str">
            <v/>
          </cell>
          <cell r="BC559" t="str">
            <v/>
          </cell>
          <cell r="BI559" t="str">
            <v/>
          </cell>
          <cell r="BS559" t="str">
            <v/>
          </cell>
          <cell r="BU559" t="str">
            <v/>
          </cell>
          <cell r="BW559" t="str">
            <v/>
          </cell>
        </row>
        <row r="560">
          <cell r="AY560" t="str">
            <v/>
          </cell>
          <cell r="BA560" t="str">
            <v/>
          </cell>
          <cell r="BC560" t="str">
            <v/>
          </cell>
          <cell r="BI560" t="str">
            <v/>
          </cell>
          <cell r="BS560" t="str">
            <v/>
          </cell>
          <cell r="BU560" t="str">
            <v/>
          </cell>
          <cell r="BW560" t="str">
            <v/>
          </cell>
        </row>
        <row r="561">
          <cell r="AY561" t="str">
            <v/>
          </cell>
          <cell r="BA561" t="str">
            <v/>
          </cell>
          <cell r="BC561" t="str">
            <v/>
          </cell>
          <cell r="BI561" t="str">
            <v/>
          </cell>
          <cell r="BS561" t="str">
            <v/>
          </cell>
          <cell r="BU561" t="str">
            <v/>
          </cell>
          <cell r="BW561" t="str">
            <v/>
          </cell>
        </row>
        <row r="562">
          <cell r="AY562" t="str">
            <v/>
          </cell>
          <cell r="BA562" t="str">
            <v/>
          </cell>
          <cell r="BC562" t="str">
            <v/>
          </cell>
          <cell r="BI562" t="str">
            <v/>
          </cell>
          <cell r="BS562" t="str">
            <v/>
          </cell>
          <cell r="BU562" t="str">
            <v/>
          </cell>
          <cell r="BW562" t="str">
            <v/>
          </cell>
        </row>
        <row r="563">
          <cell r="AY563" t="str">
            <v/>
          </cell>
          <cell r="BA563" t="str">
            <v/>
          </cell>
          <cell r="BC563" t="str">
            <v/>
          </cell>
          <cell r="BI563" t="str">
            <v/>
          </cell>
          <cell r="BS563" t="str">
            <v/>
          </cell>
          <cell r="BU563" t="str">
            <v/>
          </cell>
          <cell r="BW563" t="str">
            <v/>
          </cell>
        </row>
        <row r="564">
          <cell r="AY564" t="str">
            <v/>
          </cell>
          <cell r="BA564" t="str">
            <v/>
          </cell>
          <cell r="BC564" t="str">
            <v/>
          </cell>
          <cell r="BI564" t="str">
            <v/>
          </cell>
          <cell r="BS564" t="str">
            <v/>
          </cell>
          <cell r="BU564" t="str">
            <v/>
          </cell>
          <cell r="BW564" t="str">
            <v/>
          </cell>
        </row>
        <row r="565">
          <cell r="AY565" t="str">
            <v/>
          </cell>
          <cell r="BA565" t="str">
            <v/>
          </cell>
          <cell r="BC565" t="str">
            <v/>
          </cell>
          <cell r="BI565" t="str">
            <v/>
          </cell>
          <cell r="BS565" t="str">
            <v/>
          </cell>
          <cell r="BU565" t="str">
            <v/>
          </cell>
          <cell r="BW565" t="str">
            <v/>
          </cell>
        </row>
        <row r="566">
          <cell r="AY566" t="str">
            <v/>
          </cell>
          <cell r="BA566" t="str">
            <v/>
          </cell>
          <cell r="BC566" t="str">
            <v/>
          </cell>
          <cell r="BI566" t="str">
            <v/>
          </cell>
          <cell r="BS566" t="str">
            <v/>
          </cell>
          <cell r="BU566" t="str">
            <v/>
          </cell>
          <cell r="BW566" t="str">
            <v/>
          </cell>
        </row>
        <row r="567">
          <cell r="AY567" t="str">
            <v/>
          </cell>
          <cell r="BA567" t="str">
            <v/>
          </cell>
          <cell r="BC567" t="str">
            <v/>
          </cell>
          <cell r="BI567" t="str">
            <v/>
          </cell>
          <cell r="BS567" t="str">
            <v/>
          </cell>
          <cell r="BU567" t="str">
            <v/>
          </cell>
          <cell r="BW567" t="str">
            <v/>
          </cell>
        </row>
        <row r="568">
          <cell r="AY568" t="str">
            <v/>
          </cell>
          <cell r="BA568" t="str">
            <v/>
          </cell>
          <cell r="BC568" t="str">
            <v/>
          </cell>
          <cell r="BI568" t="str">
            <v/>
          </cell>
          <cell r="BS568" t="str">
            <v/>
          </cell>
          <cell r="BU568" t="str">
            <v/>
          </cell>
          <cell r="BW568" t="str">
            <v/>
          </cell>
        </row>
        <row r="569">
          <cell r="AY569" t="str">
            <v/>
          </cell>
          <cell r="BA569" t="str">
            <v/>
          </cell>
          <cell r="BC569" t="str">
            <v/>
          </cell>
          <cell r="BI569" t="str">
            <v/>
          </cell>
          <cell r="BS569" t="str">
            <v/>
          </cell>
          <cell r="BU569" t="str">
            <v/>
          </cell>
          <cell r="BW569" t="str">
            <v/>
          </cell>
        </row>
        <row r="570">
          <cell r="AY570" t="str">
            <v/>
          </cell>
          <cell r="BA570" t="str">
            <v/>
          </cell>
          <cell r="BC570" t="str">
            <v/>
          </cell>
          <cell r="BI570" t="str">
            <v/>
          </cell>
          <cell r="BS570" t="str">
            <v/>
          </cell>
          <cell r="BU570" t="str">
            <v/>
          </cell>
          <cell r="BW570" t="str">
            <v/>
          </cell>
        </row>
        <row r="571">
          <cell r="AY571" t="str">
            <v/>
          </cell>
          <cell r="BA571" t="str">
            <v/>
          </cell>
          <cell r="BC571" t="str">
            <v/>
          </cell>
          <cell r="BI571" t="str">
            <v/>
          </cell>
          <cell r="BS571" t="str">
            <v/>
          </cell>
          <cell r="BU571" t="str">
            <v/>
          </cell>
          <cell r="BW571" t="str">
            <v/>
          </cell>
        </row>
        <row r="572">
          <cell r="AY572" t="str">
            <v/>
          </cell>
          <cell r="BA572" t="str">
            <v/>
          </cell>
          <cell r="BC572" t="str">
            <v/>
          </cell>
          <cell r="BI572" t="str">
            <v/>
          </cell>
          <cell r="BS572" t="str">
            <v/>
          </cell>
          <cell r="BU572" t="str">
            <v/>
          </cell>
          <cell r="BW572" t="str">
            <v/>
          </cell>
        </row>
        <row r="573">
          <cell r="AY573" t="str">
            <v/>
          </cell>
          <cell r="BA573" t="str">
            <v/>
          </cell>
          <cell r="BC573" t="str">
            <v/>
          </cell>
          <cell r="BI573" t="str">
            <v/>
          </cell>
          <cell r="BS573" t="str">
            <v/>
          </cell>
          <cell r="BU573" t="str">
            <v/>
          </cell>
          <cell r="BW573" t="str">
            <v/>
          </cell>
        </row>
        <row r="574">
          <cell r="AY574" t="str">
            <v/>
          </cell>
          <cell r="BA574" t="str">
            <v/>
          </cell>
          <cell r="BC574" t="str">
            <v/>
          </cell>
          <cell r="BI574" t="str">
            <v/>
          </cell>
          <cell r="BS574" t="str">
            <v/>
          </cell>
          <cell r="BU574" t="str">
            <v/>
          </cell>
          <cell r="BW574" t="str">
            <v/>
          </cell>
        </row>
        <row r="575">
          <cell r="AY575" t="str">
            <v/>
          </cell>
          <cell r="BA575" t="str">
            <v/>
          </cell>
          <cell r="BC575" t="str">
            <v/>
          </cell>
          <cell r="BI575" t="str">
            <v/>
          </cell>
          <cell r="BS575" t="str">
            <v/>
          </cell>
          <cell r="BU575" t="str">
            <v/>
          </cell>
          <cell r="BW575" t="str">
            <v/>
          </cell>
        </row>
        <row r="576">
          <cell r="AY576" t="str">
            <v/>
          </cell>
          <cell r="BA576" t="str">
            <v/>
          </cell>
          <cell r="BC576" t="str">
            <v/>
          </cell>
          <cell r="BI576" t="str">
            <v/>
          </cell>
          <cell r="BS576" t="str">
            <v/>
          </cell>
          <cell r="BU576" t="str">
            <v/>
          </cell>
          <cell r="BW576" t="str">
            <v/>
          </cell>
        </row>
        <row r="577">
          <cell r="AY577" t="str">
            <v/>
          </cell>
          <cell r="BA577" t="str">
            <v/>
          </cell>
          <cell r="BC577" t="str">
            <v/>
          </cell>
          <cell r="BI577" t="str">
            <v/>
          </cell>
          <cell r="BS577" t="str">
            <v/>
          </cell>
          <cell r="BU577" t="str">
            <v/>
          </cell>
          <cell r="BW577" t="str">
            <v/>
          </cell>
        </row>
        <row r="578">
          <cell r="AY578" t="str">
            <v/>
          </cell>
          <cell r="BA578" t="str">
            <v/>
          </cell>
          <cell r="BC578" t="str">
            <v/>
          </cell>
          <cell r="BI578" t="str">
            <v/>
          </cell>
          <cell r="BS578" t="str">
            <v/>
          </cell>
          <cell r="BU578" t="str">
            <v/>
          </cell>
          <cell r="BW578" t="str">
            <v/>
          </cell>
        </row>
        <row r="579">
          <cell r="AY579" t="str">
            <v/>
          </cell>
          <cell r="BA579" t="str">
            <v/>
          </cell>
          <cell r="BC579" t="str">
            <v/>
          </cell>
          <cell r="BI579" t="str">
            <v/>
          </cell>
          <cell r="BS579" t="str">
            <v/>
          </cell>
          <cell r="BU579" t="str">
            <v/>
          </cell>
          <cell r="BW579" t="str">
            <v/>
          </cell>
        </row>
        <row r="580">
          <cell r="AY580" t="str">
            <v/>
          </cell>
          <cell r="BA580" t="str">
            <v/>
          </cell>
          <cell r="BC580" t="str">
            <v/>
          </cell>
          <cell r="BI580" t="str">
            <v/>
          </cell>
          <cell r="BS580" t="str">
            <v/>
          </cell>
          <cell r="BU580" t="str">
            <v/>
          </cell>
          <cell r="BW580" t="str">
            <v/>
          </cell>
        </row>
        <row r="581">
          <cell r="AY581" t="str">
            <v/>
          </cell>
          <cell r="BA581" t="str">
            <v/>
          </cell>
          <cell r="BC581" t="str">
            <v/>
          </cell>
          <cell r="BI581" t="str">
            <v/>
          </cell>
          <cell r="BS581" t="str">
            <v/>
          </cell>
          <cell r="BU581" t="str">
            <v/>
          </cell>
          <cell r="BW581" t="str">
            <v/>
          </cell>
        </row>
        <row r="582">
          <cell r="AY582" t="str">
            <v/>
          </cell>
          <cell r="BA582" t="str">
            <v/>
          </cell>
          <cell r="BC582" t="str">
            <v/>
          </cell>
          <cell r="BI582" t="str">
            <v/>
          </cell>
          <cell r="BS582" t="str">
            <v/>
          </cell>
          <cell r="BU582" t="str">
            <v/>
          </cell>
          <cell r="BW582" t="str">
            <v/>
          </cell>
        </row>
        <row r="583">
          <cell r="AY583" t="str">
            <v/>
          </cell>
          <cell r="BA583" t="str">
            <v/>
          </cell>
          <cell r="BC583" t="str">
            <v/>
          </cell>
          <cell r="BI583" t="str">
            <v/>
          </cell>
          <cell r="BS583" t="str">
            <v/>
          </cell>
          <cell r="BU583" t="str">
            <v/>
          </cell>
          <cell r="BW583" t="str">
            <v/>
          </cell>
        </row>
        <row r="584">
          <cell r="AY584" t="str">
            <v/>
          </cell>
          <cell r="BA584" t="str">
            <v/>
          </cell>
          <cell r="BC584" t="str">
            <v/>
          </cell>
          <cell r="BI584" t="str">
            <v/>
          </cell>
          <cell r="BS584" t="str">
            <v/>
          </cell>
          <cell r="BU584" t="str">
            <v/>
          </cell>
          <cell r="BW584" t="str">
            <v/>
          </cell>
        </row>
        <row r="585">
          <cell r="AY585" t="str">
            <v/>
          </cell>
          <cell r="BA585" t="str">
            <v/>
          </cell>
          <cell r="BC585" t="str">
            <v/>
          </cell>
          <cell r="BI585" t="str">
            <v/>
          </cell>
          <cell r="BS585" t="str">
            <v/>
          </cell>
          <cell r="BU585" t="str">
            <v/>
          </cell>
          <cell r="BW585" t="str">
            <v/>
          </cell>
        </row>
        <row r="586">
          <cell r="AY586" t="str">
            <v/>
          </cell>
          <cell r="BA586" t="str">
            <v/>
          </cell>
          <cell r="BC586" t="str">
            <v/>
          </cell>
          <cell r="BI586" t="str">
            <v/>
          </cell>
          <cell r="BS586" t="str">
            <v/>
          </cell>
          <cell r="BU586" t="str">
            <v/>
          </cell>
          <cell r="BW586" t="str">
            <v/>
          </cell>
        </row>
        <row r="587">
          <cell r="AY587" t="str">
            <v/>
          </cell>
          <cell r="BA587" t="str">
            <v/>
          </cell>
          <cell r="BC587" t="str">
            <v/>
          </cell>
          <cell r="BI587" t="str">
            <v/>
          </cell>
          <cell r="BS587" t="str">
            <v/>
          </cell>
          <cell r="BU587" t="str">
            <v/>
          </cell>
          <cell r="BW587" t="str">
            <v/>
          </cell>
        </row>
        <row r="588">
          <cell r="AY588" t="str">
            <v/>
          </cell>
          <cell r="BA588" t="str">
            <v/>
          </cell>
          <cell r="BC588" t="str">
            <v/>
          </cell>
          <cell r="BI588" t="str">
            <v/>
          </cell>
          <cell r="BS588" t="str">
            <v/>
          </cell>
          <cell r="BU588" t="str">
            <v/>
          </cell>
          <cell r="BW588" t="str">
            <v/>
          </cell>
        </row>
        <row r="589">
          <cell r="AY589" t="str">
            <v/>
          </cell>
          <cell r="BA589" t="str">
            <v/>
          </cell>
          <cell r="BC589" t="str">
            <v/>
          </cell>
          <cell r="BI589" t="str">
            <v/>
          </cell>
          <cell r="BS589" t="str">
            <v/>
          </cell>
          <cell r="BU589" t="str">
            <v/>
          </cell>
          <cell r="BW589" t="str">
            <v/>
          </cell>
        </row>
        <row r="590">
          <cell r="AY590" t="str">
            <v/>
          </cell>
          <cell r="BA590" t="str">
            <v/>
          </cell>
          <cell r="BC590" t="str">
            <v/>
          </cell>
          <cell r="BI590" t="str">
            <v/>
          </cell>
          <cell r="BS590" t="str">
            <v/>
          </cell>
          <cell r="BU590" t="str">
            <v/>
          </cell>
          <cell r="BW590" t="str">
            <v/>
          </cell>
        </row>
        <row r="591">
          <cell r="AY591" t="str">
            <v/>
          </cell>
          <cell r="BA591" t="str">
            <v/>
          </cell>
          <cell r="BC591" t="str">
            <v/>
          </cell>
          <cell r="BI591" t="str">
            <v/>
          </cell>
          <cell r="BS591" t="str">
            <v/>
          </cell>
          <cell r="BU591" t="str">
            <v/>
          </cell>
          <cell r="BW591" t="str">
            <v/>
          </cell>
        </row>
        <row r="592">
          <cell r="AY592" t="str">
            <v/>
          </cell>
          <cell r="BA592" t="str">
            <v/>
          </cell>
          <cell r="BC592" t="str">
            <v/>
          </cell>
          <cell r="BI592" t="str">
            <v/>
          </cell>
          <cell r="BS592" t="str">
            <v/>
          </cell>
          <cell r="BU592" t="str">
            <v/>
          </cell>
          <cell r="BW592" t="str">
            <v/>
          </cell>
        </row>
        <row r="593">
          <cell r="AY593" t="str">
            <v/>
          </cell>
          <cell r="BA593" t="str">
            <v/>
          </cell>
          <cell r="BC593" t="str">
            <v/>
          </cell>
          <cell r="BI593" t="str">
            <v/>
          </cell>
          <cell r="BS593" t="str">
            <v/>
          </cell>
          <cell r="BU593" t="str">
            <v/>
          </cell>
          <cell r="BW593" t="str">
            <v/>
          </cell>
        </row>
        <row r="594">
          <cell r="AY594" t="str">
            <v/>
          </cell>
          <cell r="BA594" t="str">
            <v/>
          </cell>
          <cell r="BC594" t="str">
            <v/>
          </cell>
          <cell r="BI594" t="str">
            <v/>
          </cell>
          <cell r="BS594" t="str">
            <v/>
          </cell>
          <cell r="BU594" t="str">
            <v/>
          </cell>
          <cell r="BW594" t="str">
            <v/>
          </cell>
        </row>
        <row r="595">
          <cell r="AY595" t="str">
            <v/>
          </cell>
          <cell r="BA595" t="str">
            <v/>
          </cell>
          <cell r="BC595" t="str">
            <v/>
          </cell>
          <cell r="BI595" t="str">
            <v/>
          </cell>
          <cell r="BS595" t="str">
            <v/>
          </cell>
          <cell r="BU595" t="str">
            <v/>
          </cell>
          <cell r="BW595" t="str">
            <v/>
          </cell>
        </row>
        <row r="596">
          <cell r="AY596" t="str">
            <v/>
          </cell>
          <cell r="BA596" t="str">
            <v/>
          </cell>
          <cell r="BC596" t="str">
            <v/>
          </cell>
          <cell r="BI596" t="str">
            <v/>
          </cell>
          <cell r="BS596" t="str">
            <v/>
          </cell>
          <cell r="BU596" t="str">
            <v/>
          </cell>
          <cell r="BW596" t="str">
            <v/>
          </cell>
        </row>
        <row r="597">
          <cell r="AY597" t="str">
            <v/>
          </cell>
          <cell r="BA597" t="str">
            <v/>
          </cell>
          <cell r="BC597" t="str">
            <v/>
          </cell>
          <cell r="BI597" t="str">
            <v/>
          </cell>
          <cell r="BS597" t="str">
            <v/>
          </cell>
          <cell r="BU597" t="str">
            <v/>
          </cell>
          <cell r="BW597" t="str">
            <v/>
          </cell>
        </row>
        <row r="598">
          <cell r="AY598" t="str">
            <v/>
          </cell>
          <cell r="BA598" t="str">
            <v/>
          </cell>
          <cell r="BC598" t="str">
            <v/>
          </cell>
          <cell r="BI598" t="str">
            <v/>
          </cell>
          <cell r="BS598" t="str">
            <v/>
          </cell>
          <cell r="BU598" t="str">
            <v/>
          </cell>
          <cell r="BW598" t="str">
            <v/>
          </cell>
        </row>
        <row r="599">
          <cell r="AY599" t="str">
            <v/>
          </cell>
          <cell r="BA599" t="str">
            <v/>
          </cell>
          <cell r="BC599" t="str">
            <v/>
          </cell>
          <cell r="BI599" t="str">
            <v/>
          </cell>
          <cell r="BS599" t="str">
            <v/>
          </cell>
          <cell r="BU599" t="str">
            <v/>
          </cell>
          <cell r="BW599" t="str">
            <v/>
          </cell>
        </row>
        <row r="600">
          <cell r="AY600" t="str">
            <v/>
          </cell>
          <cell r="BA600" t="str">
            <v/>
          </cell>
          <cell r="BC600" t="str">
            <v/>
          </cell>
          <cell r="BI600" t="str">
            <v/>
          </cell>
          <cell r="BS600" t="str">
            <v/>
          </cell>
          <cell r="BU600" t="str">
            <v/>
          </cell>
          <cell r="BW600" t="str">
            <v/>
          </cell>
        </row>
        <row r="601">
          <cell r="AY601" t="str">
            <v/>
          </cell>
          <cell r="BA601" t="str">
            <v/>
          </cell>
          <cell r="BC601" t="str">
            <v/>
          </cell>
          <cell r="BI601" t="str">
            <v/>
          </cell>
          <cell r="BS601" t="str">
            <v/>
          </cell>
          <cell r="BU601" t="str">
            <v/>
          </cell>
          <cell r="BW601" t="str">
            <v/>
          </cell>
        </row>
        <row r="602">
          <cell r="AY602" t="str">
            <v/>
          </cell>
          <cell r="BA602" t="str">
            <v/>
          </cell>
          <cell r="BC602" t="str">
            <v/>
          </cell>
          <cell r="BI602" t="str">
            <v/>
          </cell>
          <cell r="BS602" t="str">
            <v/>
          </cell>
          <cell r="BU602" t="str">
            <v/>
          </cell>
          <cell r="BW602" t="str">
            <v/>
          </cell>
        </row>
        <row r="603">
          <cell r="AY603" t="str">
            <v/>
          </cell>
          <cell r="BA603" t="str">
            <v/>
          </cell>
          <cell r="BC603" t="str">
            <v/>
          </cell>
          <cell r="BI603" t="str">
            <v/>
          </cell>
          <cell r="BS603" t="str">
            <v/>
          </cell>
          <cell r="BU603" t="str">
            <v/>
          </cell>
          <cell r="BW603" t="str">
            <v/>
          </cell>
        </row>
        <row r="604">
          <cell r="AY604" t="str">
            <v/>
          </cell>
          <cell r="BA604" t="str">
            <v/>
          </cell>
          <cell r="BC604" t="str">
            <v/>
          </cell>
          <cell r="BI604" t="str">
            <v/>
          </cell>
          <cell r="BS604" t="str">
            <v/>
          </cell>
          <cell r="BU604" t="str">
            <v/>
          </cell>
          <cell r="BW604" t="str">
            <v/>
          </cell>
        </row>
        <row r="605">
          <cell r="AY605" t="str">
            <v/>
          </cell>
          <cell r="BA605" t="str">
            <v/>
          </cell>
          <cell r="BC605" t="str">
            <v/>
          </cell>
          <cell r="BI605" t="str">
            <v/>
          </cell>
          <cell r="BS605" t="str">
            <v/>
          </cell>
          <cell r="BU605" t="str">
            <v/>
          </cell>
          <cell r="BW605" t="str">
            <v/>
          </cell>
        </row>
        <row r="606">
          <cell r="AY606" t="str">
            <v/>
          </cell>
          <cell r="BA606" t="str">
            <v/>
          </cell>
          <cell r="BC606" t="str">
            <v/>
          </cell>
          <cell r="BI606" t="str">
            <v/>
          </cell>
          <cell r="BS606" t="str">
            <v/>
          </cell>
          <cell r="BU606" t="str">
            <v/>
          </cell>
          <cell r="BW606" t="str">
            <v/>
          </cell>
        </row>
        <row r="607">
          <cell r="AY607" t="str">
            <v/>
          </cell>
          <cell r="BA607" t="str">
            <v/>
          </cell>
          <cell r="BC607" t="str">
            <v/>
          </cell>
          <cell r="BI607" t="str">
            <v/>
          </cell>
          <cell r="BS607" t="str">
            <v/>
          </cell>
          <cell r="BU607" t="str">
            <v/>
          </cell>
          <cell r="BW607" t="str">
            <v/>
          </cell>
        </row>
        <row r="608">
          <cell r="AY608" t="str">
            <v/>
          </cell>
          <cell r="BA608" t="str">
            <v/>
          </cell>
          <cell r="BC608" t="str">
            <v/>
          </cell>
          <cell r="BI608" t="str">
            <v/>
          </cell>
          <cell r="BS608" t="str">
            <v/>
          </cell>
          <cell r="BU608" t="str">
            <v/>
          </cell>
          <cell r="BW608" t="str">
            <v/>
          </cell>
        </row>
        <row r="609">
          <cell r="AY609" t="str">
            <v/>
          </cell>
          <cell r="BA609" t="str">
            <v/>
          </cell>
          <cell r="BC609" t="str">
            <v/>
          </cell>
          <cell r="BI609" t="str">
            <v/>
          </cell>
          <cell r="BS609" t="str">
            <v/>
          </cell>
          <cell r="BU609" t="str">
            <v/>
          </cell>
          <cell r="BW609" t="str">
            <v/>
          </cell>
        </row>
        <row r="610">
          <cell r="AY610" t="str">
            <v/>
          </cell>
          <cell r="BA610" t="str">
            <v/>
          </cell>
          <cell r="BC610" t="str">
            <v/>
          </cell>
          <cell r="BI610" t="str">
            <v/>
          </cell>
          <cell r="BS610" t="str">
            <v/>
          </cell>
          <cell r="BU610" t="str">
            <v/>
          </cell>
          <cell r="BW610" t="str">
            <v/>
          </cell>
        </row>
        <row r="611">
          <cell r="AY611" t="str">
            <v/>
          </cell>
          <cell r="BA611" t="str">
            <v/>
          </cell>
          <cell r="BC611" t="str">
            <v/>
          </cell>
          <cell r="BI611" t="str">
            <v/>
          </cell>
          <cell r="BS611" t="str">
            <v/>
          </cell>
          <cell r="BU611" t="str">
            <v/>
          </cell>
          <cell r="BW611" t="str">
            <v/>
          </cell>
        </row>
        <row r="612">
          <cell r="AY612" t="str">
            <v/>
          </cell>
          <cell r="BA612" t="str">
            <v/>
          </cell>
          <cell r="BC612" t="str">
            <v/>
          </cell>
          <cell r="BI612" t="str">
            <v/>
          </cell>
          <cell r="BS612" t="str">
            <v/>
          </cell>
          <cell r="BU612" t="str">
            <v/>
          </cell>
          <cell r="BW612" t="str">
            <v/>
          </cell>
        </row>
        <row r="613">
          <cell r="AY613" t="str">
            <v/>
          </cell>
          <cell r="BA613" t="str">
            <v/>
          </cell>
          <cell r="BC613" t="str">
            <v/>
          </cell>
          <cell r="BI613" t="str">
            <v/>
          </cell>
          <cell r="BS613" t="str">
            <v/>
          </cell>
          <cell r="BU613" t="str">
            <v/>
          </cell>
          <cell r="BW613" t="str">
            <v/>
          </cell>
        </row>
        <row r="614">
          <cell r="AY614" t="str">
            <v/>
          </cell>
          <cell r="BA614" t="str">
            <v/>
          </cell>
          <cell r="BC614" t="str">
            <v/>
          </cell>
          <cell r="BI614" t="str">
            <v/>
          </cell>
          <cell r="BS614" t="str">
            <v/>
          </cell>
          <cell r="BU614" t="str">
            <v/>
          </cell>
          <cell r="BW614" t="str">
            <v/>
          </cell>
        </row>
        <row r="615">
          <cell r="AY615" t="str">
            <v/>
          </cell>
          <cell r="BA615" t="str">
            <v/>
          </cell>
          <cell r="BC615" t="str">
            <v/>
          </cell>
          <cell r="BI615" t="str">
            <v/>
          </cell>
          <cell r="BS615" t="str">
            <v/>
          </cell>
          <cell r="BU615" t="str">
            <v/>
          </cell>
          <cell r="BW615" t="str">
            <v/>
          </cell>
        </row>
        <row r="616">
          <cell r="AY616" t="str">
            <v/>
          </cell>
          <cell r="BA616" t="str">
            <v/>
          </cell>
          <cell r="BC616" t="str">
            <v/>
          </cell>
          <cell r="BI616" t="str">
            <v/>
          </cell>
          <cell r="BS616" t="str">
            <v/>
          </cell>
          <cell r="BU616" t="str">
            <v/>
          </cell>
          <cell r="BW616" t="str">
            <v/>
          </cell>
        </row>
        <row r="617">
          <cell r="AY617" t="str">
            <v/>
          </cell>
          <cell r="BA617" t="str">
            <v/>
          </cell>
          <cell r="BC617" t="str">
            <v/>
          </cell>
          <cell r="BI617" t="str">
            <v/>
          </cell>
          <cell r="BS617" t="str">
            <v/>
          </cell>
          <cell r="BU617" t="str">
            <v/>
          </cell>
          <cell r="BW617" t="str">
            <v/>
          </cell>
        </row>
        <row r="618">
          <cell r="AY618" t="str">
            <v/>
          </cell>
          <cell r="BA618" t="str">
            <v/>
          </cell>
          <cell r="BC618" t="str">
            <v/>
          </cell>
          <cell r="BI618" t="str">
            <v/>
          </cell>
          <cell r="BS618" t="str">
            <v/>
          </cell>
          <cell r="BU618" t="str">
            <v/>
          </cell>
          <cell r="BW618" t="str">
            <v/>
          </cell>
        </row>
        <row r="619">
          <cell r="AY619" t="str">
            <v/>
          </cell>
          <cell r="BA619" t="str">
            <v/>
          </cell>
          <cell r="BC619" t="str">
            <v/>
          </cell>
          <cell r="BI619" t="str">
            <v/>
          </cell>
          <cell r="BS619" t="str">
            <v/>
          </cell>
          <cell r="BU619" t="str">
            <v/>
          </cell>
          <cell r="BW619" t="str">
            <v/>
          </cell>
        </row>
        <row r="620">
          <cell r="AY620" t="str">
            <v/>
          </cell>
          <cell r="BA620" t="str">
            <v/>
          </cell>
          <cell r="BC620" t="str">
            <v/>
          </cell>
          <cell r="BI620" t="str">
            <v/>
          </cell>
          <cell r="BS620" t="str">
            <v/>
          </cell>
          <cell r="BU620" t="str">
            <v/>
          </cell>
          <cell r="BW620" t="str">
            <v/>
          </cell>
        </row>
        <row r="621">
          <cell r="AY621" t="str">
            <v/>
          </cell>
          <cell r="BA621" t="str">
            <v/>
          </cell>
          <cell r="BC621" t="str">
            <v/>
          </cell>
          <cell r="BI621" t="str">
            <v/>
          </cell>
          <cell r="BS621" t="str">
            <v/>
          </cell>
          <cell r="BU621" t="str">
            <v/>
          </cell>
          <cell r="BW621" t="str">
            <v/>
          </cell>
        </row>
        <row r="622">
          <cell r="AY622" t="str">
            <v/>
          </cell>
          <cell r="BA622" t="str">
            <v/>
          </cell>
          <cell r="BC622" t="str">
            <v/>
          </cell>
          <cell r="BI622" t="str">
            <v/>
          </cell>
          <cell r="BS622" t="str">
            <v/>
          </cell>
          <cell r="BU622" t="str">
            <v/>
          </cell>
          <cell r="BW622" t="str">
            <v/>
          </cell>
        </row>
        <row r="623">
          <cell r="AY623" t="str">
            <v/>
          </cell>
          <cell r="BA623" t="str">
            <v/>
          </cell>
          <cell r="BC623" t="str">
            <v/>
          </cell>
          <cell r="BI623" t="str">
            <v/>
          </cell>
          <cell r="BS623" t="str">
            <v/>
          </cell>
          <cell r="BU623" t="str">
            <v/>
          </cell>
          <cell r="BW623" t="str">
            <v/>
          </cell>
        </row>
        <row r="624">
          <cell r="AY624" t="str">
            <v/>
          </cell>
          <cell r="BA624" t="str">
            <v/>
          </cell>
          <cell r="BC624" t="str">
            <v/>
          </cell>
          <cell r="BI624" t="str">
            <v/>
          </cell>
          <cell r="BS624" t="str">
            <v/>
          </cell>
          <cell r="BU624" t="str">
            <v/>
          </cell>
          <cell r="BW624" t="str">
            <v/>
          </cell>
        </row>
        <row r="625">
          <cell r="AY625" t="str">
            <v/>
          </cell>
          <cell r="BA625" t="str">
            <v/>
          </cell>
          <cell r="BC625" t="str">
            <v/>
          </cell>
          <cell r="BI625" t="str">
            <v/>
          </cell>
          <cell r="BS625" t="str">
            <v/>
          </cell>
          <cell r="BU625" t="str">
            <v/>
          </cell>
          <cell r="BW625" t="str">
            <v/>
          </cell>
        </row>
        <row r="626">
          <cell r="AY626" t="str">
            <v/>
          </cell>
          <cell r="BA626" t="str">
            <v/>
          </cell>
          <cell r="BC626" t="str">
            <v/>
          </cell>
          <cell r="BI626" t="str">
            <v/>
          </cell>
          <cell r="BS626" t="str">
            <v/>
          </cell>
          <cell r="BU626" t="str">
            <v/>
          </cell>
          <cell r="BW626" t="str">
            <v/>
          </cell>
        </row>
        <row r="627">
          <cell r="AY627" t="str">
            <v/>
          </cell>
          <cell r="BA627" t="str">
            <v/>
          </cell>
          <cell r="BC627" t="str">
            <v/>
          </cell>
          <cell r="BI627" t="str">
            <v/>
          </cell>
          <cell r="BS627" t="str">
            <v/>
          </cell>
          <cell r="BU627" t="str">
            <v/>
          </cell>
          <cell r="BW627" t="str">
            <v/>
          </cell>
        </row>
        <row r="628">
          <cell r="AY628" t="str">
            <v/>
          </cell>
          <cell r="BA628" t="str">
            <v/>
          </cell>
          <cell r="BC628" t="str">
            <v/>
          </cell>
          <cell r="BI628" t="str">
            <v/>
          </cell>
          <cell r="BS628" t="str">
            <v/>
          </cell>
          <cell r="BU628" t="str">
            <v/>
          </cell>
          <cell r="BW628" t="str">
            <v/>
          </cell>
        </row>
        <row r="629">
          <cell r="AY629" t="str">
            <v/>
          </cell>
          <cell r="BA629" t="str">
            <v/>
          </cell>
          <cell r="BC629" t="str">
            <v/>
          </cell>
          <cell r="BI629" t="str">
            <v/>
          </cell>
          <cell r="BS629" t="str">
            <v/>
          </cell>
          <cell r="BU629" t="str">
            <v/>
          </cell>
          <cell r="BW629" t="str">
            <v/>
          </cell>
        </row>
        <row r="630">
          <cell r="AY630" t="str">
            <v/>
          </cell>
          <cell r="BA630" t="str">
            <v/>
          </cell>
          <cell r="BC630" t="str">
            <v/>
          </cell>
          <cell r="BI630" t="str">
            <v/>
          </cell>
          <cell r="BS630" t="str">
            <v/>
          </cell>
          <cell r="BU630" t="str">
            <v/>
          </cell>
          <cell r="BW630" t="str">
            <v/>
          </cell>
        </row>
        <row r="631">
          <cell r="AY631" t="str">
            <v/>
          </cell>
          <cell r="BA631" t="str">
            <v/>
          </cell>
          <cell r="BC631" t="str">
            <v/>
          </cell>
          <cell r="BI631" t="str">
            <v/>
          </cell>
          <cell r="BS631" t="str">
            <v/>
          </cell>
          <cell r="BU631" t="str">
            <v/>
          </cell>
          <cell r="BW631" t="str">
            <v/>
          </cell>
        </row>
        <row r="632">
          <cell r="AY632" t="str">
            <v/>
          </cell>
          <cell r="BA632" t="str">
            <v/>
          </cell>
          <cell r="BC632" t="str">
            <v/>
          </cell>
          <cell r="BI632" t="str">
            <v/>
          </cell>
          <cell r="BS632" t="str">
            <v/>
          </cell>
          <cell r="BU632" t="str">
            <v/>
          </cell>
          <cell r="BW632" t="str">
            <v/>
          </cell>
        </row>
        <row r="633">
          <cell r="AY633" t="str">
            <v/>
          </cell>
          <cell r="BA633" t="str">
            <v/>
          </cell>
          <cell r="BC633" t="str">
            <v/>
          </cell>
          <cell r="BI633" t="str">
            <v/>
          </cell>
          <cell r="BS633" t="str">
            <v/>
          </cell>
          <cell r="BU633" t="str">
            <v/>
          </cell>
          <cell r="BW633" t="str">
            <v/>
          </cell>
        </row>
        <row r="634">
          <cell r="AY634" t="str">
            <v/>
          </cell>
          <cell r="BA634" t="str">
            <v/>
          </cell>
          <cell r="BC634" t="str">
            <v/>
          </cell>
          <cell r="BI634" t="str">
            <v/>
          </cell>
          <cell r="BS634" t="str">
            <v/>
          </cell>
          <cell r="BU634" t="str">
            <v/>
          </cell>
          <cell r="BW634" t="str">
            <v/>
          </cell>
        </row>
        <row r="635">
          <cell r="AY635" t="str">
            <v/>
          </cell>
          <cell r="BA635" t="str">
            <v/>
          </cell>
          <cell r="BC635" t="str">
            <v/>
          </cell>
          <cell r="BI635" t="str">
            <v/>
          </cell>
          <cell r="BS635" t="str">
            <v/>
          </cell>
          <cell r="BU635" t="str">
            <v/>
          </cell>
          <cell r="BW635" t="str">
            <v/>
          </cell>
        </row>
        <row r="636">
          <cell r="AY636" t="str">
            <v/>
          </cell>
          <cell r="BA636" t="str">
            <v/>
          </cell>
          <cell r="BC636" t="str">
            <v/>
          </cell>
          <cell r="BI636" t="str">
            <v/>
          </cell>
          <cell r="BS636" t="str">
            <v/>
          </cell>
          <cell r="BU636" t="str">
            <v/>
          </cell>
          <cell r="BW636" t="str">
            <v/>
          </cell>
        </row>
        <row r="637">
          <cell r="AY637" t="str">
            <v/>
          </cell>
          <cell r="BA637" t="str">
            <v/>
          </cell>
          <cell r="BC637" t="str">
            <v/>
          </cell>
          <cell r="BI637" t="str">
            <v/>
          </cell>
          <cell r="BS637" t="str">
            <v/>
          </cell>
          <cell r="BU637" t="str">
            <v/>
          </cell>
          <cell r="BW637" t="str">
            <v/>
          </cell>
        </row>
        <row r="638">
          <cell r="AY638" t="str">
            <v/>
          </cell>
          <cell r="BA638" t="str">
            <v/>
          </cell>
          <cell r="BC638" t="str">
            <v/>
          </cell>
          <cell r="BI638" t="str">
            <v/>
          </cell>
          <cell r="BS638" t="str">
            <v/>
          </cell>
          <cell r="BU638" t="str">
            <v/>
          </cell>
          <cell r="BW638" t="str">
            <v/>
          </cell>
        </row>
        <row r="639">
          <cell r="AY639" t="str">
            <v/>
          </cell>
          <cell r="BA639" t="str">
            <v/>
          </cell>
          <cell r="BC639" t="str">
            <v/>
          </cell>
          <cell r="BI639" t="str">
            <v/>
          </cell>
          <cell r="BS639" t="str">
            <v/>
          </cell>
          <cell r="BU639" t="str">
            <v/>
          </cell>
          <cell r="BW639" t="str">
            <v/>
          </cell>
        </row>
        <row r="640">
          <cell r="AY640" t="str">
            <v/>
          </cell>
          <cell r="BA640" t="str">
            <v/>
          </cell>
          <cell r="BC640" t="str">
            <v/>
          </cell>
          <cell r="BI640" t="str">
            <v/>
          </cell>
          <cell r="BS640" t="str">
            <v/>
          </cell>
          <cell r="BU640" t="str">
            <v/>
          </cell>
          <cell r="BW640" t="str">
            <v/>
          </cell>
        </row>
        <row r="641">
          <cell r="AY641" t="str">
            <v/>
          </cell>
          <cell r="BA641" t="str">
            <v/>
          </cell>
          <cell r="BC641" t="str">
            <v/>
          </cell>
          <cell r="BI641" t="str">
            <v/>
          </cell>
          <cell r="BS641" t="str">
            <v/>
          </cell>
          <cell r="BU641" t="str">
            <v/>
          </cell>
          <cell r="BW641" t="str">
            <v/>
          </cell>
        </row>
        <row r="642">
          <cell r="AY642" t="str">
            <v/>
          </cell>
          <cell r="BA642" t="str">
            <v/>
          </cell>
          <cell r="BC642" t="str">
            <v/>
          </cell>
          <cell r="BI642" t="str">
            <v/>
          </cell>
          <cell r="BS642" t="str">
            <v/>
          </cell>
          <cell r="BU642" t="str">
            <v/>
          </cell>
          <cell r="BW642" t="str">
            <v/>
          </cell>
        </row>
        <row r="643">
          <cell r="AY643" t="str">
            <v/>
          </cell>
          <cell r="BA643" t="str">
            <v/>
          </cell>
          <cell r="BC643" t="str">
            <v/>
          </cell>
          <cell r="BI643" t="str">
            <v/>
          </cell>
          <cell r="BS643" t="str">
            <v/>
          </cell>
          <cell r="BU643" t="str">
            <v/>
          </cell>
          <cell r="BW643" t="str">
            <v/>
          </cell>
        </row>
        <row r="644">
          <cell r="AY644" t="str">
            <v/>
          </cell>
          <cell r="BA644" t="str">
            <v/>
          </cell>
          <cell r="BC644" t="str">
            <v/>
          </cell>
          <cell r="BI644" t="str">
            <v/>
          </cell>
          <cell r="BS644" t="str">
            <v/>
          </cell>
          <cell r="BU644" t="str">
            <v/>
          </cell>
          <cell r="BW644" t="str">
            <v/>
          </cell>
        </row>
        <row r="645">
          <cell r="AY645" t="str">
            <v/>
          </cell>
          <cell r="BA645" t="str">
            <v/>
          </cell>
          <cell r="BC645" t="str">
            <v/>
          </cell>
          <cell r="BI645" t="str">
            <v/>
          </cell>
          <cell r="BS645" t="str">
            <v/>
          </cell>
          <cell r="BU645" t="str">
            <v/>
          </cell>
          <cell r="BW645" t="str">
            <v/>
          </cell>
        </row>
        <row r="646">
          <cell r="AY646" t="str">
            <v/>
          </cell>
          <cell r="BA646" t="str">
            <v/>
          </cell>
          <cell r="BC646" t="str">
            <v/>
          </cell>
          <cell r="BI646" t="str">
            <v/>
          </cell>
          <cell r="BS646" t="str">
            <v/>
          </cell>
          <cell r="BU646" t="str">
            <v/>
          </cell>
          <cell r="BW646" t="str">
            <v/>
          </cell>
        </row>
        <row r="647">
          <cell r="AY647" t="str">
            <v/>
          </cell>
          <cell r="BA647" t="str">
            <v/>
          </cell>
          <cell r="BC647" t="str">
            <v/>
          </cell>
          <cell r="BI647" t="str">
            <v/>
          </cell>
          <cell r="BS647" t="str">
            <v/>
          </cell>
          <cell r="BU647" t="str">
            <v/>
          </cell>
          <cell r="BW647" t="str">
            <v/>
          </cell>
        </row>
        <row r="648">
          <cell r="AY648" t="str">
            <v/>
          </cell>
          <cell r="BA648" t="str">
            <v/>
          </cell>
          <cell r="BC648" t="str">
            <v/>
          </cell>
          <cell r="BI648" t="str">
            <v/>
          </cell>
          <cell r="BS648" t="str">
            <v/>
          </cell>
          <cell r="BU648" t="str">
            <v/>
          </cell>
          <cell r="BW648" t="str">
            <v/>
          </cell>
        </row>
        <row r="649">
          <cell r="AY649" t="str">
            <v/>
          </cell>
          <cell r="BA649" t="str">
            <v/>
          </cell>
          <cell r="BC649" t="str">
            <v/>
          </cell>
          <cell r="BI649" t="str">
            <v/>
          </cell>
          <cell r="BS649" t="str">
            <v/>
          </cell>
          <cell r="BU649" t="str">
            <v/>
          </cell>
          <cell r="BW649" t="str">
            <v/>
          </cell>
        </row>
        <row r="650">
          <cell r="AY650" t="str">
            <v/>
          </cell>
          <cell r="BA650" t="str">
            <v/>
          </cell>
          <cell r="BC650" t="str">
            <v/>
          </cell>
          <cell r="BI650" t="str">
            <v/>
          </cell>
          <cell r="BS650" t="str">
            <v/>
          </cell>
          <cell r="BU650" t="str">
            <v/>
          </cell>
          <cell r="BW650" t="str">
            <v/>
          </cell>
        </row>
        <row r="651">
          <cell r="AY651" t="str">
            <v/>
          </cell>
          <cell r="BA651" t="str">
            <v/>
          </cell>
          <cell r="BC651" t="str">
            <v/>
          </cell>
          <cell r="BI651" t="str">
            <v/>
          </cell>
          <cell r="BS651" t="str">
            <v/>
          </cell>
          <cell r="BU651" t="str">
            <v/>
          </cell>
          <cell r="BW651" t="str">
            <v/>
          </cell>
        </row>
        <row r="652">
          <cell r="AY652" t="str">
            <v/>
          </cell>
          <cell r="BA652" t="str">
            <v/>
          </cell>
          <cell r="BC652" t="str">
            <v/>
          </cell>
          <cell r="BI652" t="str">
            <v/>
          </cell>
          <cell r="BS652" t="str">
            <v/>
          </cell>
          <cell r="BU652" t="str">
            <v/>
          </cell>
          <cell r="BW652" t="str">
            <v/>
          </cell>
        </row>
        <row r="653">
          <cell r="AY653" t="str">
            <v/>
          </cell>
          <cell r="BA653" t="str">
            <v/>
          </cell>
          <cell r="BC653" t="str">
            <v/>
          </cell>
          <cell r="BI653" t="str">
            <v/>
          </cell>
          <cell r="BS653" t="str">
            <v/>
          </cell>
          <cell r="BU653" t="str">
            <v/>
          </cell>
          <cell r="BW653" t="str">
            <v/>
          </cell>
        </row>
        <row r="654">
          <cell r="AY654" t="str">
            <v/>
          </cell>
          <cell r="BA654" t="str">
            <v/>
          </cell>
          <cell r="BC654" t="str">
            <v/>
          </cell>
          <cell r="BI654" t="str">
            <v/>
          </cell>
          <cell r="BS654" t="str">
            <v/>
          </cell>
          <cell r="BU654" t="str">
            <v/>
          </cell>
          <cell r="BW654" t="str">
            <v/>
          </cell>
        </row>
        <row r="655">
          <cell r="AY655" t="str">
            <v/>
          </cell>
          <cell r="BA655" t="str">
            <v/>
          </cell>
          <cell r="BC655" t="str">
            <v/>
          </cell>
          <cell r="BI655" t="str">
            <v/>
          </cell>
          <cell r="BS655" t="str">
            <v/>
          </cell>
          <cell r="BU655" t="str">
            <v/>
          </cell>
          <cell r="BW655" t="str">
            <v/>
          </cell>
        </row>
        <row r="656">
          <cell r="AY656" t="str">
            <v/>
          </cell>
          <cell r="BA656" t="str">
            <v/>
          </cell>
          <cell r="BC656" t="str">
            <v/>
          </cell>
          <cell r="BI656" t="str">
            <v/>
          </cell>
          <cell r="BS656" t="str">
            <v/>
          </cell>
          <cell r="BU656" t="str">
            <v/>
          </cell>
          <cell r="BW656" t="str">
            <v/>
          </cell>
        </row>
        <row r="657">
          <cell r="AY657" t="str">
            <v/>
          </cell>
          <cell r="BA657" t="str">
            <v/>
          </cell>
          <cell r="BC657" t="str">
            <v/>
          </cell>
          <cell r="BI657" t="str">
            <v/>
          </cell>
          <cell r="BS657" t="str">
            <v/>
          </cell>
          <cell r="BU657" t="str">
            <v/>
          </cell>
          <cell r="BW657" t="str">
            <v/>
          </cell>
        </row>
        <row r="658">
          <cell r="AY658" t="str">
            <v/>
          </cell>
          <cell r="BA658" t="str">
            <v/>
          </cell>
          <cell r="BC658" t="str">
            <v/>
          </cell>
          <cell r="BI658" t="str">
            <v/>
          </cell>
          <cell r="BS658" t="str">
            <v/>
          </cell>
          <cell r="BU658" t="str">
            <v/>
          </cell>
          <cell r="BW658" t="str">
            <v/>
          </cell>
        </row>
        <row r="659">
          <cell r="AY659" t="str">
            <v/>
          </cell>
          <cell r="BA659" t="str">
            <v/>
          </cell>
          <cell r="BC659" t="str">
            <v/>
          </cell>
          <cell r="BI659" t="str">
            <v/>
          </cell>
          <cell r="BS659" t="str">
            <v/>
          </cell>
          <cell r="BU659" t="str">
            <v/>
          </cell>
          <cell r="BW659" t="str">
            <v/>
          </cell>
        </row>
        <row r="660">
          <cell r="AY660" t="str">
            <v/>
          </cell>
          <cell r="BA660" t="str">
            <v/>
          </cell>
          <cell r="BC660" t="str">
            <v/>
          </cell>
          <cell r="BI660" t="str">
            <v/>
          </cell>
          <cell r="BS660" t="str">
            <v/>
          </cell>
          <cell r="BU660" t="str">
            <v/>
          </cell>
          <cell r="BW660" t="str">
            <v/>
          </cell>
        </row>
        <row r="661">
          <cell r="AY661" t="str">
            <v/>
          </cell>
          <cell r="BA661" t="str">
            <v/>
          </cell>
          <cell r="BC661" t="str">
            <v/>
          </cell>
          <cell r="BI661" t="str">
            <v/>
          </cell>
          <cell r="BS661" t="str">
            <v/>
          </cell>
          <cell r="BU661" t="str">
            <v/>
          </cell>
          <cell r="BW661" t="str">
            <v/>
          </cell>
        </row>
        <row r="662">
          <cell r="AY662" t="str">
            <v/>
          </cell>
          <cell r="BA662" t="str">
            <v/>
          </cell>
          <cell r="BC662" t="str">
            <v/>
          </cell>
          <cell r="BI662" t="str">
            <v/>
          </cell>
          <cell r="BS662" t="str">
            <v/>
          </cell>
          <cell r="BU662" t="str">
            <v/>
          </cell>
          <cell r="BW662" t="str">
            <v/>
          </cell>
        </row>
        <row r="663">
          <cell r="AY663" t="str">
            <v/>
          </cell>
          <cell r="BA663" t="str">
            <v/>
          </cell>
          <cell r="BC663" t="str">
            <v/>
          </cell>
          <cell r="BI663" t="str">
            <v/>
          </cell>
          <cell r="BS663" t="str">
            <v/>
          </cell>
          <cell r="BU663" t="str">
            <v/>
          </cell>
          <cell r="BW663" t="str">
            <v/>
          </cell>
        </row>
        <row r="664">
          <cell r="AY664" t="str">
            <v/>
          </cell>
          <cell r="BA664" t="str">
            <v/>
          </cell>
          <cell r="BC664" t="str">
            <v/>
          </cell>
          <cell r="BI664" t="str">
            <v/>
          </cell>
          <cell r="BS664" t="str">
            <v/>
          </cell>
          <cell r="BU664" t="str">
            <v/>
          </cell>
          <cell r="BW664" t="str">
            <v/>
          </cell>
        </row>
        <row r="665">
          <cell r="AY665" t="str">
            <v/>
          </cell>
          <cell r="BA665" t="str">
            <v/>
          </cell>
          <cell r="BC665" t="str">
            <v/>
          </cell>
          <cell r="BI665" t="str">
            <v/>
          </cell>
          <cell r="BS665" t="str">
            <v/>
          </cell>
          <cell r="BU665" t="str">
            <v/>
          </cell>
          <cell r="BW665" t="str">
            <v/>
          </cell>
        </row>
        <row r="666">
          <cell r="AY666" t="str">
            <v/>
          </cell>
          <cell r="BA666" t="str">
            <v/>
          </cell>
          <cell r="BC666" t="str">
            <v/>
          </cell>
          <cell r="BI666" t="str">
            <v/>
          </cell>
          <cell r="BS666" t="str">
            <v/>
          </cell>
          <cell r="BU666" t="str">
            <v/>
          </cell>
          <cell r="BW666" t="str">
            <v/>
          </cell>
        </row>
        <row r="667">
          <cell r="AY667" t="str">
            <v/>
          </cell>
          <cell r="BA667" t="str">
            <v/>
          </cell>
          <cell r="BC667" t="str">
            <v/>
          </cell>
          <cell r="BI667" t="str">
            <v/>
          </cell>
          <cell r="BS667" t="str">
            <v/>
          </cell>
          <cell r="BU667" t="str">
            <v/>
          </cell>
          <cell r="BW667" t="str">
            <v/>
          </cell>
        </row>
        <row r="668">
          <cell r="AY668" t="str">
            <v/>
          </cell>
          <cell r="BA668" t="str">
            <v/>
          </cell>
          <cell r="BC668" t="str">
            <v/>
          </cell>
          <cell r="BI668" t="str">
            <v/>
          </cell>
          <cell r="BS668" t="str">
            <v/>
          </cell>
          <cell r="BU668" t="str">
            <v/>
          </cell>
          <cell r="BW668" t="str">
            <v/>
          </cell>
        </row>
        <row r="669">
          <cell r="AY669" t="str">
            <v/>
          </cell>
          <cell r="BA669" t="str">
            <v/>
          </cell>
          <cell r="BC669" t="str">
            <v/>
          </cell>
          <cell r="BI669" t="str">
            <v/>
          </cell>
          <cell r="BS669" t="str">
            <v/>
          </cell>
          <cell r="BU669" t="str">
            <v/>
          </cell>
          <cell r="BW669" t="str">
            <v/>
          </cell>
        </row>
        <row r="670">
          <cell r="AY670" t="str">
            <v/>
          </cell>
          <cell r="BA670" t="str">
            <v/>
          </cell>
          <cell r="BC670" t="str">
            <v/>
          </cell>
          <cell r="BI670" t="str">
            <v/>
          </cell>
          <cell r="BS670" t="str">
            <v/>
          </cell>
          <cell r="BU670" t="str">
            <v/>
          </cell>
          <cell r="BW670" t="str">
            <v/>
          </cell>
        </row>
        <row r="671">
          <cell r="AY671" t="str">
            <v/>
          </cell>
          <cell r="BA671" t="str">
            <v/>
          </cell>
          <cell r="BC671" t="str">
            <v/>
          </cell>
          <cell r="BI671" t="str">
            <v/>
          </cell>
          <cell r="BS671" t="str">
            <v/>
          </cell>
          <cell r="BU671" t="str">
            <v/>
          </cell>
          <cell r="BW671" t="str">
            <v/>
          </cell>
        </row>
        <row r="672">
          <cell r="AY672" t="str">
            <v/>
          </cell>
          <cell r="BA672" t="str">
            <v/>
          </cell>
          <cell r="BC672" t="str">
            <v/>
          </cell>
          <cell r="BI672" t="str">
            <v/>
          </cell>
          <cell r="BS672" t="str">
            <v/>
          </cell>
          <cell r="BU672" t="str">
            <v/>
          </cell>
          <cell r="BW672" t="str">
            <v/>
          </cell>
        </row>
        <row r="673">
          <cell r="AY673" t="str">
            <v/>
          </cell>
          <cell r="BA673" t="str">
            <v/>
          </cell>
          <cell r="BC673" t="str">
            <v/>
          </cell>
          <cell r="BI673" t="str">
            <v/>
          </cell>
          <cell r="BS673" t="str">
            <v/>
          </cell>
          <cell r="BU673" t="str">
            <v/>
          </cell>
          <cell r="BW673" t="str">
            <v/>
          </cell>
        </row>
        <row r="674">
          <cell r="AY674" t="str">
            <v/>
          </cell>
          <cell r="BA674" t="str">
            <v/>
          </cell>
          <cell r="BC674" t="str">
            <v/>
          </cell>
          <cell r="BI674" t="str">
            <v/>
          </cell>
          <cell r="BS674" t="str">
            <v/>
          </cell>
          <cell r="BU674" t="str">
            <v/>
          </cell>
          <cell r="BW674" t="str">
            <v/>
          </cell>
        </row>
        <row r="675">
          <cell r="AY675" t="str">
            <v/>
          </cell>
          <cell r="BA675" t="str">
            <v/>
          </cell>
          <cell r="BC675" t="str">
            <v/>
          </cell>
          <cell r="BI675" t="str">
            <v/>
          </cell>
          <cell r="BS675" t="str">
            <v/>
          </cell>
          <cell r="BU675" t="str">
            <v/>
          </cell>
          <cell r="BW675" t="str">
            <v/>
          </cell>
        </row>
        <row r="676">
          <cell r="AY676" t="str">
            <v/>
          </cell>
          <cell r="BA676" t="str">
            <v/>
          </cell>
          <cell r="BC676" t="str">
            <v/>
          </cell>
          <cell r="BI676" t="str">
            <v/>
          </cell>
          <cell r="BS676" t="str">
            <v/>
          </cell>
          <cell r="BU676" t="str">
            <v/>
          </cell>
          <cell r="BW676" t="str">
            <v/>
          </cell>
        </row>
        <row r="677">
          <cell r="AY677" t="str">
            <v/>
          </cell>
          <cell r="BA677" t="str">
            <v/>
          </cell>
          <cell r="BC677" t="str">
            <v/>
          </cell>
          <cell r="BI677" t="str">
            <v/>
          </cell>
          <cell r="BS677" t="str">
            <v/>
          </cell>
          <cell r="BU677" t="str">
            <v/>
          </cell>
          <cell r="BW677" t="str">
            <v/>
          </cell>
        </row>
        <row r="678">
          <cell r="AY678" t="str">
            <v/>
          </cell>
          <cell r="BA678" t="str">
            <v/>
          </cell>
          <cell r="BC678" t="str">
            <v/>
          </cell>
          <cell r="BI678" t="str">
            <v/>
          </cell>
          <cell r="BS678" t="str">
            <v/>
          </cell>
          <cell r="BU678" t="str">
            <v/>
          </cell>
          <cell r="BW678" t="str">
            <v/>
          </cell>
        </row>
        <row r="679">
          <cell r="AY679" t="str">
            <v/>
          </cell>
          <cell r="BA679" t="str">
            <v/>
          </cell>
          <cell r="BC679" t="str">
            <v/>
          </cell>
          <cell r="BI679" t="str">
            <v/>
          </cell>
          <cell r="BS679" t="str">
            <v/>
          </cell>
          <cell r="BU679" t="str">
            <v/>
          </cell>
          <cell r="BW679" t="str">
            <v/>
          </cell>
        </row>
        <row r="680">
          <cell r="AY680" t="str">
            <v/>
          </cell>
          <cell r="BA680" t="str">
            <v/>
          </cell>
          <cell r="BC680" t="str">
            <v/>
          </cell>
          <cell r="BI680" t="str">
            <v/>
          </cell>
          <cell r="BS680" t="str">
            <v/>
          </cell>
          <cell r="BU680" t="str">
            <v/>
          </cell>
          <cell r="BW680" t="str">
            <v/>
          </cell>
        </row>
        <row r="681">
          <cell r="AY681" t="str">
            <v/>
          </cell>
          <cell r="BA681" t="str">
            <v/>
          </cell>
          <cell r="BC681" t="str">
            <v/>
          </cell>
          <cell r="BI681" t="str">
            <v/>
          </cell>
          <cell r="BS681" t="str">
            <v/>
          </cell>
          <cell r="BU681" t="str">
            <v/>
          </cell>
          <cell r="BW681" t="str">
            <v/>
          </cell>
        </row>
        <row r="682">
          <cell r="AY682" t="str">
            <v/>
          </cell>
          <cell r="BA682" t="str">
            <v/>
          </cell>
          <cell r="BC682" t="str">
            <v/>
          </cell>
          <cell r="BI682" t="str">
            <v/>
          </cell>
          <cell r="BS682" t="str">
            <v/>
          </cell>
          <cell r="BU682" t="str">
            <v/>
          </cell>
          <cell r="BW682" t="str">
            <v/>
          </cell>
        </row>
        <row r="683">
          <cell r="AY683" t="str">
            <v/>
          </cell>
          <cell r="BA683" t="str">
            <v/>
          </cell>
          <cell r="BC683" t="str">
            <v/>
          </cell>
          <cell r="BI683" t="str">
            <v/>
          </cell>
          <cell r="BS683" t="str">
            <v/>
          </cell>
          <cell r="BU683" t="str">
            <v/>
          </cell>
          <cell r="BW683" t="str">
            <v/>
          </cell>
        </row>
        <row r="684">
          <cell r="AY684" t="str">
            <v/>
          </cell>
          <cell r="BA684" t="str">
            <v/>
          </cell>
          <cell r="BC684" t="str">
            <v/>
          </cell>
          <cell r="BI684" t="str">
            <v/>
          </cell>
          <cell r="BS684" t="str">
            <v/>
          </cell>
          <cell r="BU684" t="str">
            <v/>
          </cell>
          <cell r="BW684" t="str">
            <v/>
          </cell>
        </row>
        <row r="685">
          <cell r="AY685" t="str">
            <v/>
          </cell>
          <cell r="BA685" t="str">
            <v/>
          </cell>
          <cell r="BC685" t="str">
            <v/>
          </cell>
          <cell r="BI685" t="str">
            <v/>
          </cell>
          <cell r="BS685" t="str">
            <v/>
          </cell>
          <cell r="BU685" t="str">
            <v/>
          </cell>
          <cell r="BW685" t="str">
            <v/>
          </cell>
        </row>
        <row r="686">
          <cell r="AY686" t="str">
            <v/>
          </cell>
          <cell r="BA686" t="str">
            <v/>
          </cell>
          <cell r="BC686" t="str">
            <v/>
          </cell>
          <cell r="BI686" t="str">
            <v/>
          </cell>
          <cell r="BS686" t="str">
            <v/>
          </cell>
          <cell r="BU686" t="str">
            <v/>
          </cell>
          <cell r="BW686" t="str">
            <v/>
          </cell>
        </row>
        <row r="687">
          <cell r="AY687" t="str">
            <v/>
          </cell>
          <cell r="BA687" t="str">
            <v/>
          </cell>
          <cell r="BC687" t="str">
            <v/>
          </cell>
          <cell r="BI687" t="str">
            <v/>
          </cell>
          <cell r="BS687" t="str">
            <v/>
          </cell>
          <cell r="BU687" t="str">
            <v/>
          </cell>
          <cell r="BW687" t="str">
            <v/>
          </cell>
        </row>
        <row r="688">
          <cell r="AY688" t="str">
            <v/>
          </cell>
          <cell r="BA688" t="str">
            <v/>
          </cell>
          <cell r="BC688" t="str">
            <v/>
          </cell>
          <cell r="BI688" t="str">
            <v/>
          </cell>
          <cell r="BS688" t="str">
            <v/>
          </cell>
          <cell r="BU688" t="str">
            <v/>
          </cell>
          <cell r="BW688" t="str">
            <v/>
          </cell>
        </row>
        <row r="689">
          <cell r="AY689" t="str">
            <v/>
          </cell>
          <cell r="BA689" t="str">
            <v/>
          </cell>
          <cell r="BC689" t="str">
            <v/>
          </cell>
          <cell r="BI689" t="str">
            <v/>
          </cell>
          <cell r="BS689" t="str">
            <v/>
          </cell>
          <cell r="BU689" t="str">
            <v/>
          </cell>
          <cell r="BW689" t="str">
            <v/>
          </cell>
        </row>
        <row r="690">
          <cell r="AY690" t="str">
            <v/>
          </cell>
          <cell r="BA690" t="str">
            <v/>
          </cell>
          <cell r="BC690" t="str">
            <v/>
          </cell>
          <cell r="BI690" t="str">
            <v/>
          </cell>
          <cell r="BS690" t="str">
            <v/>
          </cell>
          <cell r="BU690" t="str">
            <v/>
          </cell>
          <cell r="BW690" t="str">
            <v/>
          </cell>
        </row>
        <row r="691">
          <cell r="AY691" t="str">
            <v/>
          </cell>
          <cell r="BA691" t="str">
            <v/>
          </cell>
          <cell r="BC691" t="str">
            <v/>
          </cell>
          <cell r="BI691" t="str">
            <v/>
          </cell>
          <cell r="BS691" t="str">
            <v/>
          </cell>
          <cell r="BU691" t="str">
            <v/>
          </cell>
          <cell r="BW691" t="str">
            <v/>
          </cell>
        </row>
        <row r="692">
          <cell r="AY692" t="str">
            <v/>
          </cell>
          <cell r="BA692" t="str">
            <v/>
          </cell>
          <cell r="BC692" t="str">
            <v/>
          </cell>
          <cell r="BI692" t="str">
            <v/>
          </cell>
          <cell r="BS692" t="str">
            <v/>
          </cell>
          <cell r="BU692" t="str">
            <v/>
          </cell>
          <cell r="BW692" t="str">
            <v/>
          </cell>
        </row>
        <row r="693">
          <cell r="AY693" t="str">
            <v/>
          </cell>
          <cell r="BA693" t="str">
            <v/>
          </cell>
          <cell r="BC693" t="str">
            <v/>
          </cell>
          <cell r="BI693" t="str">
            <v/>
          </cell>
          <cell r="BS693" t="str">
            <v/>
          </cell>
          <cell r="BU693" t="str">
            <v/>
          </cell>
          <cell r="BW693" t="str">
            <v/>
          </cell>
        </row>
        <row r="694">
          <cell r="AY694" t="str">
            <v/>
          </cell>
          <cell r="BA694" t="str">
            <v/>
          </cell>
          <cell r="BC694" t="str">
            <v/>
          </cell>
          <cell r="BI694" t="str">
            <v/>
          </cell>
          <cell r="BS694" t="str">
            <v/>
          </cell>
          <cell r="BU694" t="str">
            <v/>
          </cell>
          <cell r="BW694" t="str">
            <v/>
          </cell>
        </row>
        <row r="695">
          <cell r="AY695" t="str">
            <v/>
          </cell>
          <cell r="BA695" t="str">
            <v/>
          </cell>
          <cell r="BC695" t="str">
            <v/>
          </cell>
          <cell r="BI695" t="str">
            <v/>
          </cell>
          <cell r="BS695" t="str">
            <v/>
          </cell>
          <cell r="BU695" t="str">
            <v/>
          </cell>
          <cell r="BW695" t="str">
            <v/>
          </cell>
        </row>
        <row r="696">
          <cell r="AY696" t="str">
            <v/>
          </cell>
          <cell r="BA696" t="str">
            <v/>
          </cell>
          <cell r="BC696" t="str">
            <v/>
          </cell>
          <cell r="BI696" t="str">
            <v/>
          </cell>
          <cell r="BS696" t="str">
            <v/>
          </cell>
          <cell r="BU696" t="str">
            <v/>
          </cell>
          <cell r="BW696" t="str">
            <v/>
          </cell>
        </row>
        <row r="697">
          <cell r="AY697" t="str">
            <v/>
          </cell>
          <cell r="BA697" t="str">
            <v/>
          </cell>
          <cell r="BC697" t="str">
            <v/>
          </cell>
          <cell r="BI697" t="str">
            <v/>
          </cell>
          <cell r="BS697" t="str">
            <v/>
          </cell>
          <cell r="BU697" t="str">
            <v/>
          </cell>
          <cell r="BW697" t="str">
            <v/>
          </cell>
        </row>
        <row r="698">
          <cell r="AY698" t="str">
            <v/>
          </cell>
          <cell r="BA698" t="str">
            <v/>
          </cell>
          <cell r="BC698" t="str">
            <v/>
          </cell>
          <cell r="BI698" t="str">
            <v/>
          </cell>
          <cell r="BS698" t="str">
            <v/>
          </cell>
          <cell r="BU698" t="str">
            <v/>
          </cell>
          <cell r="BW698" t="str">
            <v/>
          </cell>
        </row>
        <row r="699">
          <cell r="AY699" t="str">
            <v/>
          </cell>
          <cell r="BA699" t="str">
            <v/>
          </cell>
          <cell r="BC699" t="str">
            <v/>
          </cell>
          <cell r="BI699" t="str">
            <v/>
          </cell>
          <cell r="BS699" t="str">
            <v/>
          </cell>
          <cell r="BU699" t="str">
            <v/>
          </cell>
          <cell r="BW699" t="str">
            <v/>
          </cell>
        </row>
        <row r="700">
          <cell r="AY700" t="str">
            <v/>
          </cell>
          <cell r="BA700" t="str">
            <v/>
          </cell>
          <cell r="BC700" t="str">
            <v/>
          </cell>
          <cell r="BI700" t="str">
            <v/>
          </cell>
          <cell r="BS700" t="str">
            <v/>
          </cell>
          <cell r="BU700" t="str">
            <v/>
          </cell>
          <cell r="BW700" t="str">
            <v/>
          </cell>
        </row>
        <row r="701">
          <cell r="AY701" t="str">
            <v/>
          </cell>
          <cell r="BA701" t="str">
            <v/>
          </cell>
          <cell r="BC701" t="str">
            <v/>
          </cell>
          <cell r="BI701" t="str">
            <v/>
          </cell>
          <cell r="BS701" t="str">
            <v/>
          </cell>
          <cell r="BU701" t="str">
            <v/>
          </cell>
          <cell r="BW701" t="str">
            <v/>
          </cell>
        </row>
        <row r="702">
          <cell r="AY702" t="str">
            <v/>
          </cell>
          <cell r="BA702" t="str">
            <v/>
          </cell>
          <cell r="BC702" t="str">
            <v/>
          </cell>
          <cell r="BI702" t="str">
            <v/>
          </cell>
          <cell r="BS702" t="str">
            <v/>
          </cell>
          <cell r="BU702" t="str">
            <v/>
          </cell>
          <cell r="BW702" t="str">
            <v/>
          </cell>
        </row>
        <row r="703">
          <cell r="AY703" t="str">
            <v/>
          </cell>
          <cell r="BA703" t="str">
            <v/>
          </cell>
          <cell r="BC703" t="str">
            <v/>
          </cell>
          <cell r="BI703" t="str">
            <v/>
          </cell>
          <cell r="BS703" t="str">
            <v/>
          </cell>
          <cell r="BU703" t="str">
            <v/>
          </cell>
          <cell r="BW703" t="str">
            <v/>
          </cell>
        </row>
        <row r="704">
          <cell r="AY704" t="str">
            <v/>
          </cell>
          <cell r="BA704" t="str">
            <v/>
          </cell>
          <cell r="BC704" t="str">
            <v/>
          </cell>
          <cell r="BI704" t="str">
            <v/>
          </cell>
          <cell r="BS704" t="str">
            <v/>
          </cell>
          <cell r="BU704" t="str">
            <v/>
          </cell>
          <cell r="BW704" t="str">
            <v/>
          </cell>
        </row>
        <row r="705">
          <cell r="AY705" t="str">
            <v/>
          </cell>
          <cell r="BA705" t="str">
            <v/>
          </cell>
          <cell r="BC705" t="str">
            <v/>
          </cell>
          <cell r="BI705" t="str">
            <v/>
          </cell>
          <cell r="BS705" t="str">
            <v/>
          </cell>
          <cell r="BU705" t="str">
            <v/>
          </cell>
          <cell r="BW705" t="str">
            <v/>
          </cell>
        </row>
        <row r="706">
          <cell r="AY706" t="str">
            <v/>
          </cell>
          <cell r="BA706" t="str">
            <v/>
          </cell>
          <cell r="BC706" t="str">
            <v/>
          </cell>
          <cell r="BI706" t="str">
            <v/>
          </cell>
          <cell r="BS706" t="str">
            <v/>
          </cell>
          <cell r="BU706" t="str">
            <v/>
          </cell>
          <cell r="BW706" t="str">
            <v/>
          </cell>
        </row>
        <row r="707">
          <cell r="AY707" t="str">
            <v/>
          </cell>
          <cell r="BA707" t="str">
            <v/>
          </cell>
          <cell r="BC707" t="str">
            <v/>
          </cell>
          <cell r="BI707" t="str">
            <v/>
          </cell>
          <cell r="BS707" t="str">
            <v/>
          </cell>
          <cell r="BU707" t="str">
            <v/>
          </cell>
          <cell r="BW707" t="str">
            <v/>
          </cell>
        </row>
        <row r="708">
          <cell r="AY708" t="str">
            <v/>
          </cell>
          <cell r="BA708" t="str">
            <v/>
          </cell>
          <cell r="BC708" t="str">
            <v/>
          </cell>
          <cell r="BI708" t="str">
            <v/>
          </cell>
          <cell r="BS708" t="str">
            <v/>
          </cell>
          <cell r="BU708" t="str">
            <v/>
          </cell>
          <cell r="BW708" t="str">
            <v/>
          </cell>
        </row>
        <row r="709">
          <cell r="AY709" t="str">
            <v/>
          </cell>
          <cell r="BA709" t="str">
            <v/>
          </cell>
          <cell r="BC709" t="str">
            <v/>
          </cell>
          <cell r="BI709" t="str">
            <v/>
          </cell>
          <cell r="BS709" t="str">
            <v/>
          </cell>
          <cell r="BU709" t="str">
            <v/>
          </cell>
          <cell r="BW709" t="str">
            <v/>
          </cell>
        </row>
        <row r="710">
          <cell r="AY710" t="str">
            <v/>
          </cell>
          <cell r="BA710" t="str">
            <v/>
          </cell>
          <cell r="BC710" t="str">
            <v/>
          </cell>
          <cell r="BI710" t="str">
            <v/>
          </cell>
          <cell r="BS710" t="str">
            <v/>
          </cell>
          <cell r="BU710" t="str">
            <v/>
          </cell>
          <cell r="BW710" t="str">
            <v/>
          </cell>
        </row>
        <row r="711">
          <cell r="AY711" t="str">
            <v/>
          </cell>
          <cell r="BA711" t="str">
            <v/>
          </cell>
          <cell r="BC711" t="str">
            <v/>
          </cell>
          <cell r="BI711" t="str">
            <v/>
          </cell>
          <cell r="BS711" t="str">
            <v/>
          </cell>
          <cell r="BU711" t="str">
            <v/>
          </cell>
          <cell r="BW711" t="str">
            <v/>
          </cell>
        </row>
        <row r="712">
          <cell r="AY712" t="str">
            <v/>
          </cell>
          <cell r="BA712" t="str">
            <v/>
          </cell>
          <cell r="BC712" t="str">
            <v/>
          </cell>
          <cell r="BI712" t="str">
            <v/>
          </cell>
          <cell r="BS712" t="str">
            <v/>
          </cell>
          <cell r="BU712" t="str">
            <v/>
          </cell>
          <cell r="BW712" t="str">
            <v/>
          </cell>
        </row>
        <row r="713">
          <cell r="AY713" t="str">
            <v/>
          </cell>
          <cell r="BA713" t="str">
            <v/>
          </cell>
          <cell r="BC713" t="str">
            <v/>
          </cell>
          <cell r="BI713" t="str">
            <v/>
          </cell>
          <cell r="BS713" t="str">
            <v/>
          </cell>
          <cell r="BU713" t="str">
            <v/>
          </cell>
          <cell r="BW713" t="str">
            <v/>
          </cell>
        </row>
        <row r="714">
          <cell r="AY714" t="str">
            <v/>
          </cell>
          <cell r="BA714" t="str">
            <v/>
          </cell>
          <cell r="BC714" t="str">
            <v/>
          </cell>
          <cell r="BI714" t="str">
            <v/>
          </cell>
          <cell r="BS714" t="str">
            <v/>
          </cell>
          <cell r="BU714" t="str">
            <v/>
          </cell>
          <cell r="BW714" t="str">
            <v/>
          </cell>
        </row>
        <row r="715">
          <cell r="AY715" t="str">
            <v/>
          </cell>
          <cell r="BA715" t="str">
            <v/>
          </cell>
          <cell r="BC715" t="str">
            <v/>
          </cell>
          <cell r="BI715" t="str">
            <v/>
          </cell>
          <cell r="BS715" t="str">
            <v/>
          </cell>
          <cell r="BU715" t="str">
            <v/>
          </cell>
          <cell r="BW715" t="str">
            <v/>
          </cell>
        </row>
        <row r="716">
          <cell r="AY716" t="str">
            <v/>
          </cell>
          <cell r="BA716" t="str">
            <v/>
          </cell>
          <cell r="BC716" t="str">
            <v/>
          </cell>
          <cell r="BI716" t="str">
            <v/>
          </cell>
          <cell r="BS716" t="str">
            <v/>
          </cell>
          <cell r="BU716" t="str">
            <v/>
          </cell>
          <cell r="BW716" t="str">
            <v/>
          </cell>
        </row>
        <row r="717">
          <cell r="AY717" t="str">
            <v/>
          </cell>
          <cell r="BA717" t="str">
            <v/>
          </cell>
          <cell r="BC717" t="str">
            <v/>
          </cell>
          <cell r="BI717" t="str">
            <v/>
          </cell>
          <cell r="BS717" t="str">
            <v/>
          </cell>
          <cell r="BU717" t="str">
            <v/>
          </cell>
          <cell r="BW717" t="str">
            <v/>
          </cell>
        </row>
        <row r="718">
          <cell r="AY718" t="str">
            <v/>
          </cell>
          <cell r="BA718" t="str">
            <v/>
          </cell>
          <cell r="BC718" t="str">
            <v/>
          </cell>
          <cell r="BI718" t="str">
            <v/>
          </cell>
          <cell r="BS718" t="str">
            <v/>
          </cell>
          <cell r="BU718" t="str">
            <v/>
          </cell>
          <cell r="BW718" t="str">
            <v/>
          </cell>
        </row>
        <row r="719">
          <cell r="AY719" t="str">
            <v/>
          </cell>
          <cell r="BA719" t="str">
            <v/>
          </cell>
          <cell r="BC719" t="str">
            <v/>
          </cell>
          <cell r="BI719" t="str">
            <v/>
          </cell>
          <cell r="BS719" t="str">
            <v/>
          </cell>
          <cell r="BU719" t="str">
            <v/>
          </cell>
          <cell r="BW719" t="str">
            <v/>
          </cell>
        </row>
        <row r="720">
          <cell r="AY720" t="str">
            <v/>
          </cell>
          <cell r="BA720" t="str">
            <v/>
          </cell>
          <cell r="BC720" t="str">
            <v/>
          </cell>
          <cell r="BI720" t="str">
            <v/>
          </cell>
          <cell r="BS720" t="str">
            <v/>
          </cell>
          <cell r="BU720" t="str">
            <v/>
          </cell>
          <cell r="BW720" t="str">
            <v/>
          </cell>
        </row>
        <row r="721">
          <cell r="AY721" t="str">
            <v/>
          </cell>
          <cell r="BA721" t="str">
            <v/>
          </cell>
          <cell r="BC721" t="str">
            <v/>
          </cell>
          <cell r="BI721" t="str">
            <v/>
          </cell>
          <cell r="BS721" t="str">
            <v/>
          </cell>
          <cell r="BU721" t="str">
            <v/>
          </cell>
          <cell r="BW721" t="str">
            <v/>
          </cell>
        </row>
        <row r="722">
          <cell r="AY722" t="str">
            <v/>
          </cell>
          <cell r="BA722" t="str">
            <v/>
          </cell>
          <cell r="BC722" t="str">
            <v/>
          </cell>
          <cell r="BI722" t="str">
            <v/>
          </cell>
          <cell r="BS722" t="str">
            <v/>
          </cell>
          <cell r="BU722" t="str">
            <v/>
          </cell>
          <cell r="BW722" t="str">
            <v/>
          </cell>
        </row>
        <row r="723">
          <cell r="AY723" t="str">
            <v/>
          </cell>
          <cell r="BA723" t="str">
            <v/>
          </cell>
          <cell r="BC723" t="str">
            <v/>
          </cell>
          <cell r="BI723" t="str">
            <v/>
          </cell>
          <cell r="BS723" t="str">
            <v/>
          </cell>
          <cell r="BU723" t="str">
            <v/>
          </cell>
          <cell r="BW723" t="str">
            <v/>
          </cell>
        </row>
        <row r="724">
          <cell r="AY724" t="str">
            <v/>
          </cell>
          <cell r="BA724" t="str">
            <v/>
          </cell>
          <cell r="BC724" t="str">
            <v/>
          </cell>
          <cell r="BI724" t="str">
            <v/>
          </cell>
          <cell r="BS724" t="str">
            <v/>
          </cell>
          <cell r="BU724" t="str">
            <v/>
          </cell>
          <cell r="BW724" t="str">
            <v/>
          </cell>
        </row>
        <row r="725">
          <cell r="AY725" t="str">
            <v/>
          </cell>
          <cell r="BA725" t="str">
            <v/>
          </cell>
          <cell r="BC725" t="str">
            <v/>
          </cell>
          <cell r="BI725" t="str">
            <v/>
          </cell>
          <cell r="BS725" t="str">
            <v/>
          </cell>
          <cell r="BU725" t="str">
            <v/>
          </cell>
          <cell r="BW725" t="str">
            <v/>
          </cell>
        </row>
        <row r="726">
          <cell r="AY726" t="str">
            <v/>
          </cell>
          <cell r="BA726" t="str">
            <v/>
          </cell>
          <cell r="BC726" t="str">
            <v/>
          </cell>
          <cell r="BI726" t="str">
            <v/>
          </cell>
          <cell r="BS726" t="str">
            <v/>
          </cell>
          <cell r="BU726" t="str">
            <v/>
          </cell>
          <cell r="BW726" t="str">
            <v/>
          </cell>
        </row>
        <row r="727">
          <cell r="AY727" t="str">
            <v/>
          </cell>
          <cell r="BA727" t="str">
            <v/>
          </cell>
          <cell r="BC727" t="str">
            <v/>
          </cell>
          <cell r="BI727" t="str">
            <v/>
          </cell>
          <cell r="BS727" t="str">
            <v/>
          </cell>
          <cell r="BU727" t="str">
            <v/>
          </cell>
          <cell r="BW727" t="str">
            <v/>
          </cell>
        </row>
        <row r="728">
          <cell r="AY728" t="str">
            <v/>
          </cell>
          <cell r="BA728" t="str">
            <v/>
          </cell>
          <cell r="BC728" t="str">
            <v/>
          </cell>
          <cell r="BI728" t="str">
            <v/>
          </cell>
          <cell r="BS728" t="str">
            <v/>
          </cell>
          <cell r="BU728" t="str">
            <v/>
          </cell>
          <cell r="BW728" t="str">
            <v/>
          </cell>
        </row>
        <row r="729">
          <cell r="AY729" t="str">
            <v/>
          </cell>
          <cell r="BA729" t="str">
            <v/>
          </cell>
          <cell r="BC729" t="str">
            <v/>
          </cell>
          <cell r="BI729" t="str">
            <v/>
          </cell>
          <cell r="BS729" t="str">
            <v/>
          </cell>
          <cell r="BU729" t="str">
            <v/>
          </cell>
          <cell r="BW729" t="str">
            <v/>
          </cell>
        </row>
        <row r="730">
          <cell r="AY730" t="str">
            <v/>
          </cell>
          <cell r="BA730" t="str">
            <v/>
          </cell>
          <cell r="BC730" t="str">
            <v/>
          </cell>
          <cell r="BI730" t="str">
            <v/>
          </cell>
          <cell r="BS730" t="str">
            <v/>
          </cell>
          <cell r="BU730" t="str">
            <v/>
          </cell>
          <cell r="BW730" t="str">
            <v/>
          </cell>
        </row>
        <row r="731">
          <cell r="AY731" t="str">
            <v/>
          </cell>
          <cell r="BA731" t="str">
            <v/>
          </cell>
          <cell r="BC731" t="str">
            <v/>
          </cell>
          <cell r="BI731" t="str">
            <v/>
          </cell>
          <cell r="BS731" t="str">
            <v/>
          </cell>
          <cell r="BU731" t="str">
            <v/>
          </cell>
          <cell r="BW731" t="str">
            <v/>
          </cell>
        </row>
        <row r="732">
          <cell r="AY732" t="str">
            <v/>
          </cell>
          <cell r="BA732" t="str">
            <v/>
          </cell>
          <cell r="BC732" t="str">
            <v/>
          </cell>
          <cell r="BI732" t="str">
            <v/>
          </cell>
          <cell r="BS732" t="str">
            <v/>
          </cell>
          <cell r="BU732" t="str">
            <v/>
          </cell>
          <cell r="BW732" t="str">
            <v/>
          </cell>
        </row>
        <row r="733">
          <cell r="AY733" t="str">
            <v/>
          </cell>
          <cell r="BA733" t="str">
            <v/>
          </cell>
          <cell r="BC733" t="str">
            <v/>
          </cell>
          <cell r="BI733" t="str">
            <v/>
          </cell>
          <cell r="BS733" t="str">
            <v/>
          </cell>
          <cell r="BU733" t="str">
            <v/>
          </cell>
          <cell r="BW733" t="str">
            <v/>
          </cell>
        </row>
        <row r="734">
          <cell r="AY734" t="str">
            <v/>
          </cell>
          <cell r="BA734" t="str">
            <v/>
          </cell>
          <cell r="BC734" t="str">
            <v/>
          </cell>
          <cell r="BI734" t="str">
            <v/>
          </cell>
          <cell r="BS734" t="str">
            <v/>
          </cell>
          <cell r="BU734" t="str">
            <v/>
          </cell>
          <cell r="BW734" t="str">
            <v/>
          </cell>
        </row>
        <row r="735">
          <cell r="AY735" t="str">
            <v/>
          </cell>
          <cell r="BA735" t="str">
            <v/>
          </cell>
          <cell r="BC735" t="str">
            <v/>
          </cell>
          <cell r="BI735" t="str">
            <v/>
          </cell>
          <cell r="BS735" t="str">
            <v/>
          </cell>
          <cell r="BU735" t="str">
            <v/>
          </cell>
          <cell r="BW735" t="str">
            <v/>
          </cell>
        </row>
        <row r="736">
          <cell r="AY736" t="str">
            <v/>
          </cell>
          <cell r="BA736" t="str">
            <v/>
          </cell>
          <cell r="BC736" t="str">
            <v/>
          </cell>
          <cell r="BI736" t="str">
            <v/>
          </cell>
          <cell r="BS736" t="str">
            <v/>
          </cell>
          <cell r="BU736" t="str">
            <v/>
          </cell>
          <cell r="BW736" t="str">
            <v/>
          </cell>
        </row>
        <row r="737">
          <cell r="AY737" t="str">
            <v/>
          </cell>
          <cell r="BA737" t="str">
            <v/>
          </cell>
          <cell r="BC737" t="str">
            <v/>
          </cell>
          <cell r="BI737" t="str">
            <v/>
          </cell>
          <cell r="BS737" t="str">
            <v/>
          </cell>
          <cell r="BU737" t="str">
            <v/>
          </cell>
          <cell r="BW737" t="str">
            <v/>
          </cell>
        </row>
        <row r="738">
          <cell r="AY738" t="str">
            <v/>
          </cell>
          <cell r="BA738" t="str">
            <v/>
          </cell>
          <cell r="BC738" t="str">
            <v/>
          </cell>
          <cell r="BI738" t="str">
            <v/>
          </cell>
          <cell r="BS738" t="str">
            <v/>
          </cell>
          <cell r="BU738" t="str">
            <v/>
          </cell>
          <cell r="BW738" t="str">
            <v/>
          </cell>
        </row>
        <row r="739">
          <cell r="AY739" t="str">
            <v/>
          </cell>
          <cell r="BA739" t="str">
            <v/>
          </cell>
          <cell r="BC739" t="str">
            <v/>
          </cell>
          <cell r="BI739" t="str">
            <v/>
          </cell>
          <cell r="BS739" t="str">
            <v/>
          </cell>
          <cell r="BU739" t="str">
            <v/>
          </cell>
          <cell r="BW739" t="str">
            <v/>
          </cell>
        </row>
        <row r="740">
          <cell r="AY740" t="str">
            <v/>
          </cell>
          <cell r="BA740" t="str">
            <v/>
          </cell>
          <cell r="BC740" t="str">
            <v/>
          </cell>
          <cell r="BI740" t="str">
            <v/>
          </cell>
          <cell r="BS740" t="str">
            <v/>
          </cell>
          <cell r="BU740" t="str">
            <v/>
          </cell>
          <cell r="BW740" t="str">
            <v/>
          </cell>
        </row>
        <row r="741">
          <cell r="AY741" t="str">
            <v/>
          </cell>
          <cell r="BA741" t="str">
            <v/>
          </cell>
          <cell r="BC741" t="str">
            <v/>
          </cell>
          <cell r="BI741" t="str">
            <v/>
          </cell>
          <cell r="BS741" t="str">
            <v/>
          </cell>
          <cell r="BU741" t="str">
            <v/>
          </cell>
          <cell r="BW741" t="str">
            <v/>
          </cell>
        </row>
        <row r="742">
          <cell r="AY742" t="str">
            <v/>
          </cell>
          <cell r="BA742" t="str">
            <v/>
          </cell>
          <cell r="BC742" t="str">
            <v/>
          </cell>
          <cell r="BI742" t="str">
            <v/>
          </cell>
          <cell r="BS742" t="str">
            <v/>
          </cell>
          <cell r="BU742" t="str">
            <v/>
          </cell>
          <cell r="BW742" t="str">
            <v/>
          </cell>
        </row>
        <row r="743">
          <cell r="AY743" t="str">
            <v/>
          </cell>
          <cell r="BA743" t="str">
            <v/>
          </cell>
          <cell r="BC743" t="str">
            <v/>
          </cell>
          <cell r="BI743" t="str">
            <v/>
          </cell>
          <cell r="BS743" t="str">
            <v/>
          </cell>
          <cell r="BU743" t="str">
            <v/>
          </cell>
          <cell r="BW743" t="str">
            <v/>
          </cell>
        </row>
        <row r="744">
          <cell r="AY744" t="str">
            <v/>
          </cell>
          <cell r="BA744" t="str">
            <v/>
          </cell>
          <cell r="BC744" t="str">
            <v/>
          </cell>
          <cell r="BI744" t="str">
            <v/>
          </cell>
          <cell r="BS744" t="str">
            <v/>
          </cell>
          <cell r="BU744" t="str">
            <v/>
          </cell>
          <cell r="BW744" t="str">
            <v/>
          </cell>
        </row>
        <row r="745">
          <cell r="AY745" t="str">
            <v/>
          </cell>
          <cell r="BA745" t="str">
            <v/>
          </cell>
          <cell r="BC745" t="str">
            <v/>
          </cell>
          <cell r="BI745" t="str">
            <v/>
          </cell>
          <cell r="BS745" t="str">
            <v/>
          </cell>
          <cell r="BU745" t="str">
            <v/>
          </cell>
          <cell r="BW745" t="str">
            <v/>
          </cell>
        </row>
        <row r="746">
          <cell r="AY746" t="str">
            <v/>
          </cell>
          <cell r="BA746" t="str">
            <v/>
          </cell>
          <cell r="BC746" t="str">
            <v/>
          </cell>
          <cell r="BI746" t="str">
            <v/>
          </cell>
          <cell r="BS746" t="str">
            <v/>
          </cell>
          <cell r="BU746" t="str">
            <v/>
          </cell>
          <cell r="BW746" t="str">
            <v/>
          </cell>
        </row>
        <row r="747">
          <cell r="AY747" t="str">
            <v/>
          </cell>
          <cell r="BA747" t="str">
            <v/>
          </cell>
          <cell r="BC747" t="str">
            <v/>
          </cell>
          <cell r="BI747" t="str">
            <v/>
          </cell>
          <cell r="BS747" t="str">
            <v/>
          </cell>
          <cell r="BU747" t="str">
            <v/>
          </cell>
          <cell r="BW747" t="str">
            <v/>
          </cell>
        </row>
        <row r="748">
          <cell r="AY748" t="str">
            <v/>
          </cell>
          <cell r="AZ748"/>
          <cell r="BA748" t="str">
            <v/>
          </cell>
          <cell r="BC748" t="str">
            <v/>
          </cell>
          <cell r="BI748" t="str">
            <v/>
          </cell>
          <cell r="BS748" t="str">
            <v/>
          </cell>
          <cell r="BU748" t="str">
            <v/>
          </cell>
          <cell r="BW748" t="str">
            <v/>
          </cell>
        </row>
        <row r="749">
          <cell r="AY749" t="str">
            <v/>
          </cell>
          <cell r="BA749" t="str">
            <v/>
          </cell>
          <cell r="BC749" t="str">
            <v/>
          </cell>
          <cell r="BI749" t="str">
            <v/>
          </cell>
          <cell r="BS749" t="str">
            <v/>
          </cell>
          <cell r="BU749" t="str">
            <v/>
          </cell>
          <cell r="BW749" t="str">
            <v/>
          </cell>
        </row>
        <row r="750">
          <cell r="AY750" t="str">
            <v/>
          </cell>
          <cell r="BA750" t="str">
            <v/>
          </cell>
          <cell r="BC750" t="str">
            <v/>
          </cell>
          <cell r="BI750" t="str">
            <v/>
          </cell>
          <cell r="BS750" t="str">
            <v/>
          </cell>
          <cell r="BU750" t="str">
            <v/>
          </cell>
          <cell r="BW750" t="str">
            <v/>
          </cell>
        </row>
        <row r="751">
          <cell r="AY751" t="str">
            <v/>
          </cell>
          <cell r="BA751" t="str">
            <v/>
          </cell>
          <cell r="BC751" t="str">
            <v/>
          </cell>
          <cell r="BI751" t="str">
            <v/>
          </cell>
          <cell r="BS751" t="str">
            <v/>
          </cell>
          <cell r="BU751" t="str">
            <v/>
          </cell>
          <cell r="BW751" t="str">
            <v/>
          </cell>
        </row>
        <row r="752">
          <cell r="AY752" t="str">
            <v/>
          </cell>
          <cell r="BA752" t="str">
            <v/>
          </cell>
          <cell r="BC752" t="str">
            <v/>
          </cell>
          <cell r="BI752" t="str">
            <v/>
          </cell>
          <cell r="BS752" t="str">
            <v/>
          </cell>
          <cell r="BU752" t="str">
            <v/>
          </cell>
          <cell r="BW752" t="str">
            <v/>
          </cell>
        </row>
        <row r="753">
          <cell r="AY753" t="str">
            <v/>
          </cell>
          <cell r="BA753" t="str">
            <v/>
          </cell>
          <cell r="BC753" t="str">
            <v/>
          </cell>
          <cell r="BI753" t="str">
            <v/>
          </cell>
          <cell r="BS753" t="str">
            <v/>
          </cell>
          <cell r="BU753" t="str">
            <v/>
          </cell>
          <cell r="BW753" t="str">
            <v/>
          </cell>
        </row>
        <row r="754">
          <cell r="AY754" t="str">
            <v/>
          </cell>
          <cell r="BA754" t="str">
            <v/>
          </cell>
          <cell r="BC754" t="str">
            <v/>
          </cell>
          <cell r="BI754" t="str">
            <v/>
          </cell>
          <cell r="BS754" t="str">
            <v/>
          </cell>
          <cell r="BU754" t="str">
            <v/>
          </cell>
          <cell r="BW754" t="str">
            <v/>
          </cell>
        </row>
        <row r="755">
          <cell r="AY755" t="str">
            <v/>
          </cell>
          <cell r="BA755" t="str">
            <v/>
          </cell>
          <cell r="BC755" t="str">
            <v/>
          </cell>
          <cell r="BI755" t="str">
            <v/>
          </cell>
          <cell r="BS755" t="str">
            <v/>
          </cell>
          <cell r="BU755" t="str">
            <v/>
          </cell>
          <cell r="BW755" t="str">
            <v/>
          </cell>
        </row>
        <row r="756">
          <cell r="AY756" t="str">
            <v/>
          </cell>
          <cell r="BA756" t="str">
            <v/>
          </cell>
          <cell r="BC756" t="str">
            <v/>
          </cell>
          <cell r="BI756" t="str">
            <v/>
          </cell>
          <cell r="BS756" t="str">
            <v/>
          </cell>
          <cell r="BU756" t="str">
            <v/>
          </cell>
          <cell r="BW756" t="str">
            <v/>
          </cell>
        </row>
        <row r="757">
          <cell r="AY757" t="str">
            <v/>
          </cell>
          <cell r="BA757" t="str">
            <v/>
          </cell>
          <cell r="BC757" t="str">
            <v/>
          </cell>
          <cell r="BI757" t="str">
            <v/>
          </cell>
          <cell r="BS757" t="str">
            <v/>
          </cell>
          <cell r="BU757" t="str">
            <v/>
          </cell>
          <cell r="BW757" t="str">
            <v/>
          </cell>
        </row>
        <row r="758">
          <cell r="AY758" t="str">
            <v/>
          </cell>
          <cell r="BA758" t="str">
            <v/>
          </cell>
          <cell r="BC758" t="str">
            <v/>
          </cell>
          <cell r="BI758" t="str">
            <v/>
          </cell>
          <cell r="BS758" t="str">
            <v/>
          </cell>
          <cell r="BU758" t="str">
            <v/>
          </cell>
          <cell r="BW758" t="str">
            <v/>
          </cell>
        </row>
        <row r="759">
          <cell r="AY759" t="str">
            <v/>
          </cell>
          <cell r="BA759" t="str">
            <v/>
          </cell>
          <cell r="BC759" t="str">
            <v/>
          </cell>
          <cell r="BI759" t="str">
            <v/>
          </cell>
          <cell r="BS759" t="str">
            <v/>
          </cell>
          <cell r="BU759" t="str">
            <v/>
          </cell>
          <cell r="BW759" t="str">
            <v/>
          </cell>
        </row>
        <row r="760">
          <cell r="AY760" t="str">
            <v/>
          </cell>
          <cell r="BA760" t="str">
            <v/>
          </cell>
          <cell r="BC760" t="str">
            <v/>
          </cell>
          <cell r="BI760" t="str">
            <v/>
          </cell>
          <cell r="BS760" t="str">
            <v/>
          </cell>
          <cell r="BU760" t="str">
            <v/>
          </cell>
          <cell r="BW760" t="str">
            <v/>
          </cell>
        </row>
        <row r="761">
          <cell r="AY761" t="str">
            <v/>
          </cell>
          <cell r="BA761" t="str">
            <v/>
          </cell>
          <cell r="BC761" t="str">
            <v/>
          </cell>
          <cell r="BI761" t="str">
            <v/>
          </cell>
          <cell r="BS761" t="str">
            <v/>
          </cell>
          <cell r="BU761" t="str">
            <v/>
          </cell>
          <cell r="BW761" t="str">
            <v/>
          </cell>
        </row>
        <row r="762">
          <cell r="AY762" t="str">
            <v/>
          </cell>
          <cell r="BA762" t="str">
            <v/>
          </cell>
          <cell r="BC762" t="str">
            <v/>
          </cell>
          <cell r="BI762" t="str">
            <v/>
          </cell>
          <cell r="BS762" t="str">
            <v/>
          </cell>
          <cell r="BU762" t="str">
            <v/>
          </cell>
          <cell r="BW762" t="str">
            <v/>
          </cell>
        </row>
        <row r="763">
          <cell r="AY763" t="str">
            <v/>
          </cell>
          <cell r="BA763" t="str">
            <v/>
          </cell>
          <cell r="BC763" t="str">
            <v/>
          </cell>
          <cell r="BI763" t="str">
            <v/>
          </cell>
          <cell r="BS763" t="str">
            <v/>
          </cell>
          <cell r="BU763" t="str">
            <v/>
          </cell>
          <cell r="BW763" t="str">
            <v/>
          </cell>
        </row>
        <row r="764">
          <cell r="AY764" t="str">
            <v/>
          </cell>
          <cell r="BA764" t="str">
            <v/>
          </cell>
          <cell r="BC764" t="str">
            <v/>
          </cell>
          <cell r="BI764" t="str">
            <v/>
          </cell>
          <cell r="BS764" t="str">
            <v/>
          </cell>
          <cell r="BU764" t="str">
            <v/>
          </cell>
          <cell r="BW764" t="str">
            <v/>
          </cell>
        </row>
        <row r="765">
          <cell r="AY765" t="str">
            <v/>
          </cell>
          <cell r="BA765" t="str">
            <v/>
          </cell>
          <cell r="BC765" t="str">
            <v/>
          </cell>
          <cell r="BI765" t="str">
            <v/>
          </cell>
          <cell r="BS765" t="str">
            <v/>
          </cell>
          <cell r="BU765" t="str">
            <v/>
          </cell>
          <cell r="BW765" t="str">
            <v/>
          </cell>
        </row>
        <row r="766">
          <cell r="AY766" t="str">
            <v/>
          </cell>
          <cell r="BA766" t="str">
            <v/>
          </cell>
          <cell r="BC766" t="str">
            <v/>
          </cell>
          <cell r="BI766" t="str">
            <v/>
          </cell>
          <cell r="BS766" t="str">
            <v/>
          </cell>
          <cell r="BU766" t="str">
            <v/>
          </cell>
          <cell r="BW766" t="str">
            <v/>
          </cell>
        </row>
        <row r="767">
          <cell r="AY767" t="str">
            <v/>
          </cell>
          <cell r="BA767" t="str">
            <v/>
          </cell>
          <cell r="BC767" t="str">
            <v/>
          </cell>
          <cell r="BI767" t="str">
            <v/>
          </cell>
          <cell r="BS767" t="str">
            <v/>
          </cell>
          <cell r="BU767" t="str">
            <v/>
          </cell>
          <cell r="BW767" t="str">
            <v/>
          </cell>
        </row>
        <row r="768">
          <cell r="AY768" t="str">
            <v/>
          </cell>
          <cell r="BA768" t="str">
            <v/>
          </cell>
          <cell r="BC768" t="str">
            <v/>
          </cell>
          <cell r="BI768" t="str">
            <v/>
          </cell>
          <cell r="BS768" t="str">
            <v/>
          </cell>
          <cell r="BU768" t="str">
            <v/>
          </cell>
          <cell r="BW768" t="str">
            <v/>
          </cell>
        </row>
        <row r="769">
          <cell r="AY769" t="str">
            <v/>
          </cell>
          <cell r="BA769" t="str">
            <v/>
          </cell>
          <cell r="BC769" t="str">
            <v/>
          </cell>
          <cell r="BI769" t="str">
            <v/>
          </cell>
          <cell r="BS769" t="str">
            <v/>
          </cell>
          <cell r="BU769" t="str">
            <v/>
          </cell>
          <cell r="BW769" t="str">
            <v/>
          </cell>
        </row>
        <row r="770">
          <cell r="AY770" t="str">
            <v/>
          </cell>
          <cell r="BA770" t="str">
            <v/>
          </cell>
          <cell r="BC770" t="str">
            <v/>
          </cell>
          <cell r="BI770" t="str">
            <v/>
          </cell>
          <cell r="BS770" t="str">
            <v/>
          </cell>
          <cell r="BU770" t="str">
            <v/>
          </cell>
          <cell r="BW770" t="str">
            <v/>
          </cell>
        </row>
        <row r="771">
          <cell r="AY771" t="str">
            <v/>
          </cell>
          <cell r="BA771" t="str">
            <v/>
          </cell>
          <cell r="BC771" t="str">
            <v/>
          </cell>
          <cell r="BI771" t="str">
            <v/>
          </cell>
          <cell r="BS771" t="str">
            <v/>
          </cell>
          <cell r="BU771" t="str">
            <v/>
          </cell>
          <cell r="BW771" t="str">
            <v/>
          </cell>
        </row>
        <row r="772">
          <cell r="AY772" t="str">
            <v/>
          </cell>
          <cell r="BA772" t="str">
            <v/>
          </cell>
          <cell r="BC772" t="str">
            <v/>
          </cell>
          <cell r="BI772" t="str">
            <v/>
          </cell>
          <cell r="BS772" t="str">
            <v/>
          </cell>
          <cell r="BU772" t="str">
            <v/>
          </cell>
          <cell r="BW772" t="str">
            <v/>
          </cell>
        </row>
        <row r="773">
          <cell r="AY773" t="str">
            <v/>
          </cell>
          <cell r="BA773" t="str">
            <v/>
          </cell>
          <cell r="BC773" t="str">
            <v/>
          </cell>
          <cell r="BI773" t="str">
            <v/>
          </cell>
          <cell r="BS773" t="str">
            <v/>
          </cell>
          <cell r="BU773" t="str">
            <v/>
          </cell>
          <cell r="BW773" t="str">
            <v/>
          </cell>
        </row>
        <row r="774">
          <cell r="AY774" t="str">
            <v/>
          </cell>
          <cell r="BA774" t="str">
            <v/>
          </cell>
          <cell r="BC774" t="str">
            <v/>
          </cell>
          <cell r="BI774" t="str">
            <v/>
          </cell>
          <cell r="BS774" t="str">
            <v/>
          </cell>
          <cell r="BU774" t="str">
            <v/>
          </cell>
          <cell r="BW774" t="str">
            <v/>
          </cell>
        </row>
        <row r="775">
          <cell r="AY775" t="str">
            <v/>
          </cell>
          <cell r="BA775" t="str">
            <v/>
          </cell>
          <cell r="BC775" t="str">
            <v/>
          </cell>
          <cell r="BI775" t="str">
            <v/>
          </cell>
          <cell r="BS775" t="str">
            <v/>
          </cell>
          <cell r="BU775" t="str">
            <v/>
          </cell>
          <cell r="BW775" t="str">
            <v/>
          </cell>
        </row>
        <row r="776">
          <cell r="AY776" t="str">
            <v/>
          </cell>
          <cell r="BA776" t="str">
            <v/>
          </cell>
          <cell r="BC776" t="str">
            <v/>
          </cell>
          <cell r="BI776" t="str">
            <v/>
          </cell>
          <cell r="BS776" t="str">
            <v/>
          </cell>
          <cell r="BU776" t="str">
            <v/>
          </cell>
          <cell r="BW776" t="str">
            <v/>
          </cell>
        </row>
        <row r="777">
          <cell r="AY777" t="str">
            <v/>
          </cell>
          <cell r="BA777" t="str">
            <v/>
          </cell>
          <cell r="BC777" t="str">
            <v/>
          </cell>
          <cell r="BI777" t="str">
            <v/>
          </cell>
          <cell r="BS777" t="str">
            <v/>
          </cell>
          <cell r="BU777" t="str">
            <v/>
          </cell>
          <cell r="BW777" t="str">
            <v/>
          </cell>
        </row>
        <row r="778">
          <cell r="AY778" t="str">
            <v/>
          </cell>
          <cell r="BA778" t="str">
            <v/>
          </cell>
          <cell r="BC778" t="str">
            <v/>
          </cell>
          <cell r="BI778" t="str">
            <v/>
          </cell>
          <cell r="BS778" t="str">
            <v/>
          </cell>
          <cell r="BU778" t="str">
            <v/>
          </cell>
          <cell r="BW778" t="str">
            <v/>
          </cell>
        </row>
        <row r="779">
          <cell r="AY779" t="str">
            <v/>
          </cell>
          <cell r="BA779" t="str">
            <v/>
          </cell>
          <cell r="BC779" t="str">
            <v/>
          </cell>
          <cell r="BI779" t="str">
            <v/>
          </cell>
          <cell r="BS779" t="str">
            <v/>
          </cell>
          <cell r="BU779" t="str">
            <v/>
          </cell>
          <cell r="BW779" t="str">
            <v/>
          </cell>
        </row>
        <row r="780">
          <cell r="AY780" t="str">
            <v/>
          </cell>
          <cell r="BA780" t="str">
            <v/>
          </cell>
          <cell r="BC780" t="str">
            <v/>
          </cell>
          <cell r="BI780" t="str">
            <v/>
          </cell>
          <cell r="BS780" t="str">
            <v/>
          </cell>
          <cell r="BU780" t="str">
            <v/>
          </cell>
          <cell r="BW780" t="str">
            <v/>
          </cell>
        </row>
        <row r="781">
          <cell r="AY781" t="str">
            <v/>
          </cell>
          <cell r="BA781" t="str">
            <v/>
          </cell>
          <cell r="BC781" t="str">
            <v/>
          </cell>
          <cell r="BI781" t="str">
            <v/>
          </cell>
          <cell r="BS781" t="str">
            <v/>
          </cell>
          <cell r="BU781" t="str">
            <v/>
          </cell>
          <cell r="BW781" t="str">
            <v/>
          </cell>
        </row>
        <row r="782">
          <cell r="AY782" t="str">
            <v/>
          </cell>
          <cell r="BA782" t="str">
            <v/>
          </cell>
          <cell r="BC782" t="str">
            <v/>
          </cell>
          <cell r="BI782" t="str">
            <v/>
          </cell>
          <cell r="BS782" t="str">
            <v/>
          </cell>
          <cell r="BU782" t="str">
            <v/>
          </cell>
          <cell r="BW782" t="str">
            <v/>
          </cell>
        </row>
        <row r="783">
          <cell r="AY783" t="str">
            <v/>
          </cell>
          <cell r="BA783" t="str">
            <v/>
          </cell>
          <cell r="BC783" t="str">
            <v/>
          </cell>
          <cell r="BI783" t="str">
            <v/>
          </cell>
          <cell r="BS783" t="str">
            <v/>
          </cell>
          <cell r="BU783" t="str">
            <v/>
          </cell>
          <cell r="BW783" t="str">
            <v/>
          </cell>
        </row>
        <row r="784">
          <cell r="AY784" t="str">
            <v/>
          </cell>
          <cell r="BA784" t="str">
            <v/>
          </cell>
          <cell r="BC784" t="str">
            <v/>
          </cell>
          <cell r="BI784" t="str">
            <v/>
          </cell>
          <cell r="BS784" t="str">
            <v/>
          </cell>
          <cell r="BU784" t="str">
            <v/>
          </cell>
          <cell r="BW784" t="str">
            <v/>
          </cell>
        </row>
        <row r="785">
          <cell r="AY785" t="str">
            <v/>
          </cell>
          <cell r="BA785" t="str">
            <v/>
          </cell>
          <cell r="BC785" t="str">
            <v/>
          </cell>
          <cell r="BI785" t="str">
            <v/>
          </cell>
          <cell r="BS785" t="str">
            <v/>
          </cell>
          <cell r="BU785" t="str">
            <v/>
          </cell>
          <cell r="BW785" t="str">
            <v/>
          </cell>
        </row>
        <row r="786">
          <cell r="AY786" t="str">
            <v/>
          </cell>
          <cell r="BA786" t="str">
            <v/>
          </cell>
          <cell r="BC786" t="str">
            <v/>
          </cell>
          <cell r="BI786" t="str">
            <v/>
          </cell>
          <cell r="BS786" t="str">
            <v/>
          </cell>
          <cell r="BU786" t="str">
            <v/>
          </cell>
          <cell r="BW786" t="str">
            <v/>
          </cell>
        </row>
        <row r="787">
          <cell r="AY787" t="str">
            <v/>
          </cell>
          <cell r="BA787" t="str">
            <v/>
          </cell>
          <cell r="BC787" t="str">
            <v/>
          </cell>
          <cell r="BI787" t="str">
            <v/>
          </cell>
          <cell r="BS787" t="str">
            <v/>
          </cell>
          <cell r="BU787" t="str">
            <v/>
          </cell>
          <cell r="BW787" t="str">
            <v/>
          </cell>
        </row>
        <row r="788">
          <cell r="AY788" t="str">
            <v/>
          </cell>
          <cell r="BA788" t="str">
            <v/>
          </cell>
          <cell r="BC788" t="str">
            <v/>
          </cell>
          <cell r="BI788" t="str">
            <v/>
          </cell>
          <cell r="BS788" t="str">
            <v/>
          </cell>
          <cell r="BU788" t="str">
            <v/>
          </cell>
          <cell r="BW788" t="str">
            <v/>
          </cell>
        </row>
        <row r="789">
          <cell r="AY789" t="str">
            <v/>
          </cell>
          <cell r="BA789" t="str">
            <v/>
          </cell>
          <cell r="BC789" t="str">
            <v/>
          </cell>
          <cell r="BI789" t="str">
            <v/>
          </cell>
          <cell r="BS789" t="str">
            <v/>
          </cell>
          <cell r="BU789" t="str">
            <v/>
          </cell>
          <cell r="BW789" t="str">
            <v/>
          </cell>
        </row>
        <row r="790">
          <cell r="AY790" t="str">
            <v/>
          </cell>
          <cell r="BA790" t="str">
            <v/>
          </cell>
          <cell r="BC790" t="str">
            <v/>
          </cell>
          <cell r="BI790" t="str">
            <v/>
          </cell>
          <cell r="BS790" t="str">
            <v/>
          </cell>
          <cell r="BU790" t="str">
            <v/>
          </cell>
          <cell r="BW790" t="str">
            <v/>
          </cell>
        </row>
        <row r="791">
          <cell r="AY791" t="str">
            <v/>
          </cell>
          <cell r="BA791" t="str">
            <v/>
          </cell>
          <cell r="BC791" t="str">
            <v/>
          </cell>
          <cell r="BI791" t="str">
            <v/>
          </cell>
          <cell r="BS791" t="str">
            <v/>
          </cell>
          <cell r="BU791" t="str">
            <v/>
          </cell>
          <cell r="BW791" t="str">
            <v/>
          </cell>
        </row>
        <row r="792">
          <cell r="AY792" t="str">
            <v/>
          </cell>
          <cell r="BA792" t="str">
            <v/>
          </cell>
          <cell r="BC792" t="str">
            <v/>
          </cell>
          <cell r="BI792" t="str">
            <v/>
          </cell>
          <cell r="BS792" t="str">
            <v/>
          </cell>
          <cell r="BU792" t="str">
            <v/>
          </cell>
          <cell r="BW792" t="str">
            <v/>
          </cell>
        </row>
        <row r="793">
          <cell r="AY793" t="str">
            <v/>
          </cell>
          <cell r="BA793" t="str">
            <v/>
          </cell>
          <cell r="BC793" t="str">
            <v/>
          </cell>
          <cell r="BI793" t="str">
            <v/>
          </cell>
          <cell r="BS793" t="str">
            <v/>
          </cell>
          <cell r="BU793" t="str">
            <v/>
          </cell>
          <cell r="BW793" t="str">
            <v/>
          </cell>
        </row>
        <row r="794">
          <cell r="AY794" t="str">
            <v/>
          </cell>
          <cell r="BA794" t="str">
            <v/>
          </cell>
          <cell r="BC794" t="str">
            <v/>
          </cell>
          <cell r="BI794" t="str">
            <v/>
          </cell>
          <cell r="BS794" t="str">
            <v/>
          </cell>
          <cell r="BU794" t="str">
            <v/>
          </cell>
          <cell r="BW794" t="str">
            <v/>
          </cell>
        </row>
        <row r="795">
          <cell r="AY795" t="str">
            <v/>
          </cell>
          <cell r="BA795" t="str">
            <v/>
          </cell>
          <cell r="BC795" t="str">
            <v/>
          </cell>
          <cell r="BI795" t="str">
            <v/>
          </cell>
          <cell r="BS795" t="str">
            <v/>
          </cell>
          <cell r="BU795" t="str">
            <v/>
          </cell>
          <cell r="BW795" t="str">
            <v/>
          </cell>
        </row>
        <row r="796">
          <cell r="AY796" t="str">
            <v/>
          </cell>
          <cell r="BA796" t="str">
            <v/>
          </cell>
          <cell r="BC796" t="str">
            <v/>
          </cell>
          <cell r="BI796" t="str">
            <v/>
          </cell>
          <cell r="BS796" t="str">
            <v/>
          </cell>
          <cell r="BU796" t="str">
            <v/>
          </cell>
          <cell r="BW796" t="str">
            <v/>
          </cell>
        </row>
        <row r="797">
          <cell r="AY797" t="str">
            <v/>
          </cell>
          <cell r="BA797" t="str">
            <v/>
          </cell>
          <cell r="BC797" t="str">
            <v/>
          </cell>
          <cell r="BI797" t="str">
            <v/>
          </cell>
          <cell r="BS797" t="str">
            <v/>
          </cell>
          <cell r="BU797" t="str">
            <v/>
          </cell>
          <cell r="BW797" t="str">
            <v/>
          </cell>
        </row>
        <row r="798">
          <cell r="AY798" t="str">
            <v/>
          </cell>
          <cell r="BA798" t="str">
            <v/>
          </cell>
          <cell r="BC798" t="str">
            <v/>
          </cell>
          <cell r="BI798" t="str">
            <v/>
          </cell>
          <cell r="BS798" t="str">
            <v/>
          </cell>
          <cell r="BU798" t="str">
            <v/>
          </cell>
          <cell r="BW798" t="str">
            <v/>
          </cell>
        </row>
        <row r="799">
          <cell r="AY799" t="str">
            <v/>
          </cell>
          <cell r="BA799" t="str">
            <v/>
          </cell>
          <cell r="BC799" t="str">
            <v/>
          </cell>
          <cell r="BI799" t="str">
            <v/>
          </cell>
          <cell r="BS799" t="str">
            <v/>
          </cell>
          <cell r="BU799" t="str">
            <v/>
          </cell>
          <cell r="BW799" t="str">
            <v/>
          </cell>
        </row>
        <row r="800">
          <cell r="AY800" t="str">
            <v/>
          </cell>
          <cell r="BA800" t="str">
            <v/>
          </cell>
          <cell r="BC800" t="str">
            <v/>
          </cell>
          <cell r="BI800" t="str">
            <v/>
          </cell>
          <cell r="BS800" t="str">
            <v/>
          </cell>
          <cell r="BU800" t="str">
            <v/>
          </cell>
          <cell r="BW800" t="str">
            <v/>
          </cell>
        </row>
        <row r="801">
          <cell r="AY801" t="str">
            <v/>
          </cell>
          <cell r="BA801" t="str">
            <v/>
          </cell>
          <cell r="BC801" t="str">
            <v/>
          </cell>
          <cell r="BI801" t="str">
            <v/>
          </cell>
          <cell r="BS801" t="str">
            <v/>
          </cell>
          <cell r="BU801" t="str">
            <v/>
          </cell>
          <cell r="BW801" t="str">
            <v/>
          </cell>
        </row>
        <row r="802">
          <cell r="AY802" t="str">
            <v/>
          </cell>
          <cell r="BA802" t="str">
            <v/>
          </cell>
          <cell r="BC802" t="str">
            <v/>
          </cell>
          <cell r="BI802" t="str">
            <v/>
          </cell>
          <cell r="BS802" t="str">
            <v/>
          </cell>
          <cell r="BU802" t="str">
            <v/>
          </cell>
          <cell r="BW802" t="str">
            <v/>
          </cell>
        </row>
        <row r="803">
          <cell r="AY803" t="str">
            <v/>
          </cell>
          <cell r="BA803" t="str">
            <v/>
          </cell>
          <cell r="BC803" t="str">
            <v/>
          </cell>
          <cell r="BI803" t="str">
            <v/>
          </cell>
          <cell r="BS803" t="str">
            <v/>
          </cell>
          <cell r="BU803" t="str">
            <v/>
          </cell>
          <cell r="BW803" t="str">
            <v/>
          </cell>
        </row>
        <row r="804">
          <cell r="AY804" t="str">
            <v/>
          </cell>
          <cell r="BA804" t="str">
            <v/>
          </cell>
          <cell r="BC804" t="str">
            <v/>
          </cell>
          <cell r="BI804" t="str">
            <v/>
          </cell>
          <cell r="BS804" t="str">
            <v/>
          </cell>
          <cell r="BU804" t="str">
            <v/>
          </cell>
          <cell r="BW804" t="str">
            <v/>
          </cell>
        </row>
        <row r="805">
          <cell r="AY805" t="str">
            <v/>
          </cell>
          <cell r="BA805" t="str">
            <v/>
          </cell>
          <cell r="BC805" t="str">
            <v/>
          </cell>
          <cell r="BI805" t="str">
            <v/>
          </cell>
          <cell r="BS805" t="str">
            <v/>
          </cell>
          <cell r="BU805" t="str">
            <v/>
          </cell>
          <cell r="BW805" t="str">
            <v/>
          </cell>
        </row>
        <row r="806">
          <cell r="AY806" t="str">
            <v/>
          </cell>
          <cell r="BA806" t="str">
            <v/>
          </cell>
          <cell r="BC806" t="str">
            <v/>
          </cell>
          <cell r="BI806" t="str">
            <v/>
          </cell>
          <cell r="BS806" t="str">
            <v/>
          </cell>
          <cell r="BU806" t="str">
            <v/>
          </cell>
          <cell r="BW806" t="str">
            <v/>
          </cell>
        </row>
        <row r="807">
          <cell r="AY807" t="str">
            <v/>
          </cell>
          <cell r="BA807" t="str">
            <v/>
          </cell>
          <cell r="BC807" t="str">
            <v/>
          </cell>
          <cell r="BI807" t="str">
            <v/>
          </cell>
          <cell r="BS807" t="str">
            <v/>
          </cell>
          <cell r="BU807" t="str">
            <v/>
          </cell>
          <cell r="BW807" t="str">
            <v/>
          </cell>
        </row>
        <row r="808">
          <cell r="AY808" t="str">
            <v/>
          </cell>
          <cell r="BA808" t="str">
            <v/>
          </cell>
          <cell r="BC808" t="str">
            <v/>
          </cell>
          <cell r="BI808" t="str">
            <v/>
          </cell>
          <cell r="BS808" t="str">
            <v/>
          </cell>
          <cell r="BU808" t="str">
            <v/>
          </cell>
          <cell r="BW808" t="str">
            <v/>
          </cell>
        </row>
        <row r="809">
          <cell r="AY809" t="str">
            <v/>
          </cell>
          <cell r="BA809" t="str">
            <v/>
          </cell>
          <cell r="BC809" t="str">
            <v/>
          </cell>
          <cell r="BI809" t="str">
            <v/>
          </cell>
          <cell r="BS809" t="str">
            <v/>
          </cell>
          <cell r="BU809" t="str">
            <v/>
          </cell>
          <cell r="BW809" t="str">
            <v/>
          </cell>
        </row>
        <row r="810">
          <cell r="AY810" t="str">
            <v/>
          </cell>
          <cell r="BA810" t="str">
            <v/>
          </cell>
          <cell r="BC810" t="str">
            <v/>
          </cell>
          <cell r="BI810" t="str">
            <v/>
          </cell>
          <cell r="BS810" t="str">
            <v/>
          </cell>
          <cell r="BU810" t="str">
            <v/>
          </cell>
          <cell r="BW810" t="str">
            <v/>
          </cell>
        </row>
        <row r="811">
          <cell r="AY811" t="str">
            <v/>
          </cell>
          <cell r="BA811" t="str">
            <v/>
          </cell>
          <cell r="BC811" t="str">
            <v/>
          </cell>
          <cell r="BI811" t="str">
            <v/>
          </cell>
          <cell r="BS811" t="str">
            <v/>
          </cell>
          <cell r="BU811" t="str">
            <v/>
          </cell>
          <cell r="BW811" t="str">
            <v/>
          </cell>
        </row>
        <row r="812">
          <cell r="AY812" t="str">
            <v/>
          </cell>
          <cell r="BA812" t="str">
            <v/>
          </cell>
          <cell r="BC812" t="str">
            <v/>
          </cell>
          <cell r="BI812" t="str">
            <v/>
          </cell>
          <cell r="BS812" t="str">
            <v/>
          </cell>
          <cell r="BU812" t="str">
            <v/>
          </cell>
          <cell r="BW812" t="str">
            <v/>
          </cell>
        </row>
        <row r="813">
          <cell r="AY813" t="str">
            <v/>
          </cell>
          <cell r="BA813" t="str">
            <v/>
          </cell>
          <cell r="BC813" t="str">
            <v/>
          </cell>
          <cell r="BI813" t="str">
            <v/>
          </cell>
          <cell r="BS813" t="str">
            <v/>
          </cell>
          <cell r="BU813" t="str">
            <v/>
          </cell>
          <cell r="BW813" t="str">
            <v/>
          </cell>
        </row>
        <row r="814">
          <cell r="AY814" t="str">
            <v/>
          </cell>
          <cell r="BA814" t="str">
            <v/>
          </cell>
          <cell r="BC814" t="str">
            <v/>
          </cell>
          <cell r="BI814" t="str">
            <v/>
          </cell>
          <cell r="BS814" t="str">
            <v/>
          </cell>
          <cell r="BU814" t="str">
            <v/>
          </cell>
          <cell r="BW814" t="str">
            <v/>
          </cell>
        </row>
        <row r="815">
          <cell r="AY815" t="str">
            <v/>
          </cell>
          <cell r="BA815" t="str">
            <v/>
          </cell>
          <cell r="BC815" t="str">
            <v/>
          </cell>
          <cell r="BI815" t="str">
            <v/>
          </cell>
          <cell r="BS815" t="str">
            <v/>
          </cell>
          <cell r="BU815" t="str">
            <v/>
          </cell>
          <cell r="BW815" t="str">
            <v/>
          </cell>
        </row>
        <row r="816">
          <cell r="AY816" t="str">
            <v/>
          </cell>
          <cell r="BA816" t="str">
            <v/>
          </cell>
          <cell r="BC816" t="str">
            <v/>
          </cell>
          <cell r="BI816" t="str">
            <v/>
          </cell>
          <cell r="BS816" t="str">
            <v/>
          </cell>
          <cell r="BU816" t="str">
            <v/>
          </cell>
          <cell r="BW816" t="str">
            <v/>
          </cell>
        </row>
        <row r="817">
          <cell r="AY817" t="str">
            <v/>
          </cell>
          <cell r="BA817" t="str">
            <v/>
          </cell>
          <cell r="BC817" t="str">
            <v/>
          </cell>
          <cell r="BI817" t="str">
            <v/>
          </cell>
          <cell r="BS817" t="str">
            <v/>
          </cell>
          <cell r="BU817" t="str">
            <v/>
          </cell>
          <cell r="BW817" t="str">
            <v/>
          </cell>
        </row>
        <row r="818">
          <cell r="AY818" t="str">
            <v/>
          </cell>
          <cell r="BA818" t="str">
            <v/>
          </cell>
          <cell r="BC818" t="str">
            <v/>
          </cell>
          <cell r="BI818" t="str">
            <v/>
          </cell>
          <cell r="BS818" t="str">
            <v/>
          </cell>
          <cell r="BU818" t="str">
            <v/>
          </cell>
          <cell r="BW818" t="str">
            <v/>
          </cell>
        </row>
        <row r="819">
          <cell r="AY819" t="str">
            <v/>
          </cell>
          <cell r="BA819" t="str">
            <v/>
          </cell>
          <cell r="BC819" t="str">
            <v/>
          </cell>
          <cell r="BI819" t="str">
            <v/>
          </cell>
          <cell r="BS819" t="str">
            <v/>
          </cell>
          <cell r="BU819" t="str">
            <v/>
          </cell>
          <cell r="BW819" t="str">
            <v/>
          </cell>
        </row>
        <row r="820">
          <cell r="AY820" t="str">
            <v/>
          </cell>
          <cell r="BA820" t="str">
            <v/>
          </cell>
          <cell r="BC820" t="str">
            <v/>
          </cell>
          <cell r="BI820" t="str">
            <v/>
          </cell>
          <cell r="BS820" t="str">
            <v/>
          </cell>
          <cell r="BU820" t="str">
            <v/>
          </cell>
          <cell r="BW820" t="str">
            <v/>
          </cell>
        </row>
        <row r="821">
          <cell r="AY821" t="str">
            <v/>
          </cell>
          <cell r="BA821" t="str">
            <v/>
          </cell>
          <cell r="BC821" t="str">
            <v/>
          </cell>
          <cell r="BI821" t="str">
            <v/>
          </cell>
          <cell r="BS821" t="str">
            <v/>
          </cell>
          <cell r="BU821" t="str">
            <v/>
          </cell>
          <cell r="BW821" t="str">
            <v/>
          </cell>
        </row>
        <row r="822">
          <cell r="AY822" t="str">
            <v/>
          </cell>
          <cell r="BA822" t="str">
            <v/>
          </cell>
          <cell r="BC822" t="str">
            <v/>
          </cell>
          <cell r="BI822" t="str">
            <v/>
          </cell>
          <cell r="BS822" t="str">
            <v/>
          </cell>
          <cell r="BU822" t="str">
            <v/>
          </cell>
          <cell r="BW822" t="str">
            <v/>
          </cell>
        </row>
        <row r="823">
          <cell r="AY823" t="str">
            <v/>
          </cell>
          <cell r="BA823" t="str">
            <v/>
          </cell>
          <cell r="BC823" t="str">
            <v/>
          </cell>
          <cell r="BI823" t="str">
            <v/>
          </cell>
          <cell r="BS823" t="str">
            <v/>
          </cell>
          <cell r="BU823" t="str">
            <v/>
          </cell>
          <cell r="BW823" t="str">
            <v/>
          </cell>
        </row>
        <row r="824">
          <cell r="AY824" t="str">
            <v/>
          </cell>
          <cell r="BA824" t="str">
            <v/>
          </cell>
          <cell r="BC824" t="str">
            <v/>
          </cell>
          <cell r="BI824" t="str">
            <v/>
          </cell>
          <cell r="BS824" t="str">
            <v/>
          </cell>
          <cell r="BU824" t="str">
            <v/>
          </cell>
          <cell r="BW824" t="str">
            <v/>
          </cell>
        </row>
        <row r="825">
          <cell r="AY825" t="str">
            <v/>
          </cell>
          <cell r="BA825" t="str">
            <v/>
          </cell>
          <cell r="BC825" t="str">
            <v/>
          </cell>
          <cell r="BI825" t="str">
            <v/>
          </cell>
          <cell r="BS825" t="str">
            <v/>
          </cell>
          <cell r="BU825" t="str">
            <v/>
          </cell>
          <cell r="BW825" t="str">
            <v/>
          </cell>
        </row>
        <row r="826">
          <cell r="AY826" t="str">
            <v/>
          </cell>
          <cell r="BA826" t="str">
            <v/>
          </cell>
          <cell r="BC826" t="str">
            <v/>
          </cell>
          <cell r="BI826" t="str">
            <v/>
          </cell>
          <cell r="BS826" t="str">
            <v/>
          </cell>
          <cell r="BU826" t="str">
            <v/>
          </cell>
          <cell r="BW826" t="str">
            <v/>
          </cell>
        </row>
        <row r="827">
          <cell r="AY827" t="str">
            <v/>
          </cell>
          <cell r="BA827" t="str">
            <v/>
          </cell>
          <cell r="BC827" t="str">
            <v/>
          </cell>
          <cell r="BI827" t="str">
            <v/>
          </cell>
          <cell r="BS827" t="str">
            <v/>
          </cell>
          <cell r="BU827" t="str">
            <v/>
          </cell>
          <cell r="BW827" t="str">
            <v/>
          </cell>
        </row>
        <row r="828">
          <cell r="AY828" t="str">
            <v/>
          </cell>
          <cell r="BA828" t="str">
            <v/>
          </cell>
          <cell r="BC828" t="str">
            <v/>
          </cell>
          <cell r="BI828" t="str">
            <v/>
          </cell>
          <cell r="BS828" t="str">
            <v/>
          </cell>
          <cell r="BU828" t="str">
            <v/>
          </cell>
          <cell r="BW828" t="str">
            <v/>
          </cell>
        </row>
        <row r="829">
          <cell r="AY829" t="str">
            <v/>
          </cell>
          <cell r="BA829" t="str">
            <v/>
          </cell>
          <cell r="BC829" t="str">
            <v/>
          </cell>
          <cell r="BI829" t="str">
            <v/>
          </cell>
          <cell r="BS829" t="str">
            <v/>
          </cell>
          <cell r="BU829" t="str">
            <v/>
          </cell>
          <cell r="BW829" t="str">
            <v/>
          </cell>
        </row>
        <row r="830">
          <cell r="AY830" t="str">
            <v/>
          </cell>
          <cell r="BA830" t="str">
            <v/>
          </cell>
          <cell r="BC830" t="str">
            <v/>
          </cell>
          <cell r="BI830" t="str">
            <v/>
          </cell>
          <cell r="BS830" t="str">
            <v/>
          </cell>
          <cell r="BU830" t="str">
            <v/>
          </cell>
          <cell r="BW830" t="str">
            <v/>
          </cell>
        </row>
        <row r="831">
          <cell r="AY831" t="str">
            <v/>
          </cell>
          <cell r="BA831" t="str">
            <v/>
          </cell>
          <cell r="BC831" t="str">
            <v/>
          </cell>
          <cell r="BI831" t="str">
            <v/>
          </cell>
          <cell r="BS831" t="str">
            <v/>
          </cell>
          <cell r="BU831" t="str">
            <v/>
          </cell>
          <cell r="BW831" t="str">
            <v/>
          </cell>
        </row>
        <row r="832">
          <cell r="AY832" t="str">
            <v/>
          </cell>
          <cell r="BA832" t="str">
            <v/>
          </cell>
          <cell r="BC832" t="str">
            <v/>
          </cell>
          <cell r="BI832" t="str">
            <v/>
          </cell>
          <cell r="BS832" t="str">
            <v/>
          </cell>
          <cell r="BU832" t="str">
            <v/>
          </cell>
          <cell r="BW832" t="str">
            <v/>
          </cell>
        </row>
        <row r="833">
          <cell r="AY833" t="str">
            <v/>
          </cell>
          <cell r="BA833" t="str">
            <v/>
          </cell>
          <cell r="BC833" t="str">
            <v/>
          </cell>
          <cell r="BI833" t="str">
            <v/>
          </cell>
          <cell r="BS833" t="str">
            <v/>
          </cell>
          <cell r="BU833" t="str">
            <v/>
          </cell>
          <cell r="BW833" t="str">
            <v/>
          </cell>
        </row>
        <row r="834">
          <cell r="AY834" t="str">
            <v/>
          </cell>
          <cell r="BA834" t="str">
            <v/>
          </cell>
          <cell r="BC834" t="str">
            <v/>
          </cell>
          <cell r="BI834" t="str">
            <v/>
          </cell>
          <cell r="BS834" t="str">
            <v/>
          </cell>
          <cell r="BU834" t="str">
            <v/>
          </cell>
          <cell r="BW834" t="str">
            <v/>
          </cell>
        </row>
        <row r="835">
          <cell r="AY835" t="str">
            <v/>
          </cell>
          <cell r="BA835" t="str">
            <v/>
          </cell>
          <cell r="BC835" t="str">
            <v/>
          </cell>
          <cell r="BI835" t="str">
            <v/>
          </cell>
          <cell r="BS835" t="str">
            <v/>
          </cell>
          <cell r="BU835" t="str">
            <v/>
          </cell>
          <cell r="BW835" t="str">
            <v/>
          </cell>
        </row>
        <row r="836">
          <cell r="AY836" t="str">
            <v/>
          </cell>
          <cell r="BA836" t="str">
            <v/>
          </cell>
          <cell r="BC836" t="str">
            <v/>
          </cell>
          <cell r="BI836" t="str">
            <v/>
          </cell>
          <cell r="BS836" t="str">
            <v/>
          </cell>
          <cell r="BU836" t="str">
            <v/>
          </cell>
          <cell r="BW836" t="str">
            <v/>
          </cell>
        </row>
        <row r="837">
          <cell r="AY837" t="str">
            <v/>
          </cell>
          <cell r="BA837" t="str">
            <v/>
          </cell>
          <cell r="BC837" t="str">
            <v/>
          </cell>
          <cell r="BI837" t="str">
            <v/>
          </cell>
          <cell r="BS837" t="str">
            <v/>
          </cell>
          <cell r="BU837" t="str">
            <v/>
          </cell>
          <cell r="BW837" t="str">
            <v/>
          </cell>
        </row>
        <row r="838">
          <cell r="AY838" t="str">
            <v/>
          </cell>
          <cell r="BA838" t="str">
            <v/>
          </cell>
          <cell r="BC838" t="str">
            <v/>
          </cell>
          <cell r="BI838" t="str">
            <v/>
          </cell>
          <cell r="BS838" t="str">
            <v/>
          </cell>
          <cell r="BU838" t="str">
            <v/>
          </cell>
          <cell r="BW838" t="str">
            <v/>
          </cell>
        </row>
        <row r="839">
          <cell r="AY839" t="str">
            <v/>
          </cell>
          <cell r="BA839" t="str">
            <v/>
          </cell>
          <cell r="BC839" t="str">
            <v/>
          </cell>
          <cell r="BI839" t="str">
            <v/>
          </cell>
          <cell r="BS839" t="str">
            <v/>
          </cell>
          <cell r="BU839" t="str">
            <v/>
          </cell>
          <cell r="BW839" t="str">
            <v/>
          </cell>
        </row>
        <row r="840">
          <cell r="AY840" t="str">
            <v/>
          </cell>
          <cell r="BA840" t="str">
            <v/>
          </cell>
          <cell r="BC840" t="str">
            <v/>
          </cell>
          <cell r="BI840" t="str">
            <v/>
          </cell>
          <cell r="BS840" t="str">
            <v/>
          </cell>
          <cell r="BU840" t="str">
            <v/>
          </cell>
          <cell r="BW840" t="str">
            <v/>
          </cell>
        </row>
        <row r="841">
          <cell r="AY841" t="str">
            <v/>
          </cell>
          <cell r="BA841" t="str">
            <v/>
          </cell>
          <cell r="BC841" t="str">
            <v/>
          </cell>
          <cell r="BI841" t="str">
            <v/>
          </cell>
          <cell r="BS841" t="str">
            <v/>
          </cell>
          <cell r="BU841" t="str">
            <v/>
          </cell>
          <cell r="BW841" t="str">
            <v/>
          </cell>
        </row>
        <row r="842">
          <cell r="AY842" t="str">
            <v/>
          </cell>
          <cell r="BA842" t="str">
            <v/>
          </cell>
          <cell r="BC842" t="str">
            <v/>
          </cell>
          <cell r="BI842" t="str">
            <v/>
          </cell>
          <cell r="BS842" t="str">
            <v/>
          </cell>
          <cell r="BU842" t="str">
            <v/>
          </cell>
          <cell r="BW842" t="str">
            <v/>
          </cell>
        </row>
        <row r="843">
          <cell r="AY843" t="str">
            <v/>
          </cell>
          <cell r="BA843" t="str">
            <v/>
          </cell>
          <cell r="BC843" t="str">
            <v/>
          </cell>
          <cell r="BI843" t="str">
            <v/>
          </cell>
          <cell r="BS843" t="str">
            <v/>
          </cell>
          <cell r="BU843" t="str">
            <v/>
          </cell>
          <cell r="BW843" t="str">
            <v/>
          </cell>
        </row>
        <row r="844">
          <cell r="AY844" t="str">
            <v/>
          </cell>
          <cell r="BA844" t="str">
            <v/>
          </cell>
          <cell r="BC844" t="str">
            <v/>
          </cell>
          <cell r="BI844" t="str">
            <v/>
          </cell>
          <cell r="BS844" t="str">
            <v/>
          </cell>
          <cell r="BU844" t="str">
            <v/>
          </cell>
          <cell r="BW844" t="str">
            <v/>
          </cell>
        </row>
        <row r="845">
          <cell r="AY845" t="str">
            <v/>
          </cell>
          <cell r="BA845" t="str">
            <v/>
          </cell>
          <cell r="BC845" t="str">
            <v/>
          </cell>
          <cell r="BI845" t="str">
            <v/>
          </cell>
          <cell r="BS845" t="str">
            <v/>
          </cell>
          <cell r="BU845" t="str">
            <v/>
          </cell>
          <cell r="BW845" t="str">
            <v/>
          </cell>
        </row>
        <row r="846">
          <cell r="AY846" t="str">
            <v/>
          </cell>
          <cell r="BA846" t="str">
            <v/>
          </cell>
          <cell r="BC846" t="str">
            <v/>
          </cell>
          <cell r="BI846" t="str">
            <v/>
          </cell>
          <cell r="BS846" t="str">
            <v/>
          </cell>
          <cell r="BU846" t="str">
            <v/>
          </cell>
          <cell r="BW846" t="str">
            <v/>
          </cell>
        </row>
        <row r="847">
          <cell r="AY847" t="str">
            <v/>
          </cell>
          <cell r="BA847" t="str">
            <v/>
          </cell>
          <cell r="BC847" t="str">
            <v/>
          </cell>
          <cell r="BI847" t="str">
            <v/>
          </cell>
          <cell r="BS847" t="str">
            <v/>
          </cell>
          <cell r="BU847" t="str">
            <v/>
          </cell>
          <cell r="BW847" t="str">
            <v/>
          </cell>
        </row>
        <row r="848">
          <cell r="AY848" t="str">
            <v/>
          </cell>
          <cell r="BA848" t="str">
            <v/>
          </cell>
          <cell r="BC848" t="str">
            <v/>
          </cell>
          <cell r="BI848" t="str">
            <v/>
          </cell>
          <cell r="BS848" t="str">
            <v/>
          </cell>
          <cell r="BU848" t="str">
            <v/>
          </cell>
          <cell r="BW848" t="str">
            <v/>
          </cell>
        </row>
        <row r="849">
          <cell r="AY849" t="str">
            <v/>
          </cell>
          <cell r="BA849" t="str">
            <v/>
          </cell>
          <cell r="BC849" t="str">
            <v/>
          </cell>
          <cell r="BI849" t="str">
            <v/>
          </cell>
          <cell r="BS849" t="str">
            <v/>
          </cell>
          <cell r="BU849" t="str">
            <v/>
          </cell>
          <cell r="BW849" t="str">
            <v/>
          </cell>
        </row>
        <row r="850">
          <cell r="AY850" t="str">
            <v/>
          </cell>
          <cell r="BA850" t="str">
            <v/>
          </cell>
          <cell r="BC850" t="str">
            <v/>
          </cell>
          <cell r="BI850" t="str">
            <v/>
          </cell>
          <cell r="BS850" t="str">
            <v/>
          </cell>
          <cell r="BU850" t="str">
            <v/>
          </cell>
          <cell r="BW850" t="str">
            <v/>
          </cell>
        </row>
        <row r="851">
          <cell r="AY851" t="str">
            <v/>
          </cell>
          <cell r="BA851" t="str">
            <v/>
          </cell>
          <cell r="BC851" t="str">
            <v/>
          </cell>
          <cell r="BI851" t="str">
            <v/>
          </cell>
          <cell r="BS851" t="str">
            <v/>
          </cell>
          <cell r="BU851" t="str">
            <v/>
          </cell>
          <cell r="BW851" t="str">
            <v/>
          </cell>
        </row>
        <row r="852">
          <cell r="AY852" t="str">
            <v/>
          </cell>
          <cell r="BA852" t="str">
            <v/>
          </cell>
          <cell r="BC852" t="str">
            <v/>
          </cell>
          <cell r="BI852" t="str">
            <v/>
          </cell>
          <cell r="BS852" t="str">
            <v/>
          </cell>
          <cell r="BU852" t="str">
            <v/>
          </cell>
          <cell r="BW852" t="str">
            <v/>
          </cell>
        </row>
        <row r="853">
          <cell r="AY853" t="str">
            <v/>
          </cell>
          <cell r="BA853" t="str">
            <v/>
          </cell>
          <cell r="BC853" t="str">
            <v/>
          </cell>
          <cell r="BI853" t="str">
            <v/>
          </cell>
          <cell r="BS853" t="str">
            <v/>
          </cell>
          <cell r="BU853" t="str">
            <v/>
          </cell>
          <cell r="BW853" t="str">
            <v/>
          </cell>
        </row>
        <row r="854">
          <cell r="AY854" t="str">
            <v/>
          </cell>
          <cell r="BA854" t="str">
            <v/>
          </cell>
          <cell r="BC854" t="str">
            <v/>
          </cell>
          <cell r="BI854" t="str">
            <v/>
          </cell>
          <cell r="BS854" t="str">
            <v/>
          </cell>
          <cell r="BU854" t="str">
            <v/>
          </cell>
          <cell r="BW854" t="str">
            <v/>
          </cell>
        </row>
        <row r="855">
          <cell r="AY855" t="str">
            <v/>
          </cell>
          <cell r="BA855" t="str">
            <v/>
          </cell>
          <cell r="BC855" t="str">
            <v/>
          </cell>
          <cell r="BI855" t="str">
            <v/>
          </cell>
          <cell r="BS855" t="str">
            <v/>
          </cell>
          <cell r="BU855" t="str">
            <v/>
          </cell>
          <cell r="BW855" t="str">
            <v/>
          </cell>
        </row>
        <row r="856">
          <cell r="AY856" t="str">
            <v/>
          </cell>
          <cell r="BA856" t="str">
            <v/>
          </cell>
          <cell r="BC856" t="str">
            <v/>
          </cell>
          <cell r="BI856" t="str">
            <v/>
          </cell>
          <cell r="BS856" t="str">
            <v/>
          </cell>
          <cell r="BU856" t="str">
            <v/>
          </cell>
          <cell r="BW856" t="str">
            <v/>
          </cell>
        </row>
        <row r="857">
          <cell r="AY857" t="str">
            <v/>
          </cell>
          <cell r="BA857" t="str">
            <v/>
          </cell>
          <cell r="BC857" t="str">
            <v/>
          </cell>
          <cell r="BI857" t="str">
            <v/>
          </cell>
          <cell r="BS857" t="str">
            <v/>
          </cell>
          <cell r="BU857" t="str">
            <v/>
          </cell>
          <cell r="BW857" t="str">
            <v/>
          </cell>
        </row>
        <row r="858">
          <cell r="AY858" t="str">
            <v/>
          </cell>
          <cell r="BA858" t="str">
            <v/>
          </cell>
          <cell r="BC858" t="str">
            <v/>
          </cell>
          <cell r="BI858" t="str">
            <v/>
          </cell>
          <cell r="BS858" t="str">
            <v/>
          </cell>
          <cell r="BU858" t="str">
            <v/>
          </cell>
          <cell r="BW858" t="str">
            <v/>
          </cell>
        </row>
        <row r="859">
          <cell r="AY859" t="str">
            <v/>
          </cell>
          <cell r="BA859" t="str">
            <v/>
          </cell>
          <cell r="BC859" t="str">
            <v/>
          </cell>
          <cell r="BI859" t="str">
            <v/>
          </cell>
          <cell r="BS859" t="str">
            <v/>
          </cell>
          <cell r="BU859" t="str">
            <v/>
          </cell>
          <cell r="BW859" t="str">
            <v/>
          </cell>
        </row>
        <row r="860">
          <cell r="AY860" t="str">
            <v/>
          </cell>
          <cell r="BA860" t="str">
            <v/>
          </cell>
          <cell r="BC860" t="str">
            <v/>
          </cell>
          <cell r="BI860" t="str">
            <v/>
          </cell>
          <cell r="BS860" t="str">
            <v/>
          </cell>
          <cell r="BU860" t="str">
            <v/>
          </cell>
          <cell r="BW860" t="str">
            <v/>
          </cell>
        </row>
        <row r="861">
          <cell r="AY861" t="str">
            <v/>
          </cell>
          <cell r="BA861" t="str">
            <v/>
          </cell>
          <cell r="BC861" t="str">
            <v/>
          </cell>
          <cell r="BI861" t="str">
            <v/>
          </cell>
          <cell r="BS861" t="str">
            <v/>
          </cell>
          <cell r="BU861" t="str">
            <v/>
          </cell>
          <cell r="BW861" t="str">
            <v/>
          </cell>
        </row>
        <row r="862">
          <cell r="AY862" t="str">
            <v/>
          </cell>
          <cell r="BA862" t="str">
            <v/>
          </cell>
          <cell r="BC862" t="str">
            <v/>
          </cell>
          <cell r="BI862" t="str">
            <v/>
          </cell>
          <cell r="BS862" t="str">
            <v/>
          </cell>
          <cell r="BU862" t="str">
            <v/>
          </cell>
          <cell r="BW862" t="str">
            <v/>
          </cell>
        </row>
        <row r="863">
          <cell r="AY863" t="str">
            <v/>
          </cell>
          <cell r="BA863" t="str">
            <v/>
          </cell>
          <cell r="BC863" t="str">
            <v/>
          </cell>
          <cell r="BI863" t="str">
            <v/>
          </cell>
          <cell r="BS863" t="str">
            <v/>
          </cell>
          <cell r="BU863" t="str">
            <v/>
          </cell>
          <cell r="BW863" t="str">
            <v/>
          </cell>
        </row>
        <row r="864">
          <cell r="AY864" t="str">
            <v/>
          </cell>
          <cell r="BA864" t="str">
            <v/>
          </cell>
          <cell r="BC864" t="str">
            <v/>
          </cell>
          <cell r="BI864" t="str">
            <v/>
          </cell>
          <cell r="BS864" t="str">
            <v/>
          </cell>
          <cell r="BU864" t="str">
            <v/>
          </cell>
          <cell r="BW864" t="str">
            <v/>
          </cell>
        </row>
        <row r="865">
          <cell r="AY865" t="str">
            <v/>
          </cell>
          <cell r="BA865" t="str">
            <v/>
          </cell>
          <cell r="BC865" t="str">
            <v/>
          </cell>
          <cell r="BI865" t="str">
            <v/>
          </cell>
          <cell r="BS865" t="str">
            <v/>
          </cell>
          <cell r="BU865" t="str">
            <v/>
          </cell>
          <cell r="BW865" t="str">
            <v/>
          </cell>
        </row>
        <row r="866">
          <cell r="AY866" t="str">
            <v/>
          </cell>
          <cell r="BA866" t="str">
            <v/>
          </cell>
          <cell r="BC866" t="str">
            <v/>
          </cell>
          <cell r="BI866" t="str">
            <v/>
          </cell>
          <cell r="BS866" t="str">
            <v/>
          </cell>
          <cell r="BU866" t="str">
            <v/>
          </cell>
          <cell r="BW866" t="str">
            <v/>
          </cell>
        </row>
        <row r="867">
          <cell r="AY867" t="str">
            <v/>
          </cell>
          <cell r="BA867" t="str">
            <v/>
          </cell>
          <cell r="BC867" t="str">
            <v/>
          </cell>
          <cell r="BI867" t="str">
            <v/>
          </cell>
          <cell r="BS867" t="str">
            <v/>
          </cell>
          <cell r="BU867" t="str">
            <v/>
          </cell>
          <cell r="BW867" t="str">
            <v/>
          </cell>
        </row>
        <row r="868">
          <cell r="AY868" t="str">
            <v/>
          </cell>
          <cell r="BA868" t="str">
            <v/>
          </cell>
          <cell r="BC868" t="str">
            <v/>
          </cell>
          <cell r="BI868" t="str">
            <v/>
          </cell>
          <cell r="BS868" t="str">
            <v/>
          </cell>
          <cell r="BU868" t="str">
            <v/>
          </cell>
          <cell r="BW868" t="str">
            <v/>
          </cell>
        </row>
        <row r="869">
          <cell r="AY869" t="str">
            <v/>
          </cell>
          <cell r="BA869" t="str">
            <v/>
          </cell>
          <cell r="BC869" t="str">
            <v/>
          </cell>
          <cell r="BI869" t="str">
            <v/>
          </cell>
          <cell r="BS869" t="str">
            <v/>
          </cell>
          <cell r="BU869" t="str">
            <v/>
          </cell>
          <cell r="BW869" t="str">
            <v/>
          </cell>
        </row>
        <row r="870">
          <cell r="AY870" t="str">
            <v/>
          </cell>
          <cell r="BA870" t="str">
            <v/>
          </cell>
          <cell r="BC870" t="str">
            <v/>
          </cell>
          <cell r="BI870" t="str">
            <v/>
          </cell>
          <cell r="BS870" t="str">
            <v/>
          </cell>
          <cell r="BU870" t="str">
            <v/>
          </cell>
          <cell r="BW870" t="str">
            <v/>
          </cell>
        </row>
        <row r="871">
          <cell r="AY871" t="str">
            <v/>
          </cell>
          <cell r="BA871" t="str">
            <v/>
          </cell>
          <cell r="BC871" t="str">
            <v/>
          </cell>
          <cell r="BI871" t="str">
            <v/>
          </cell>
          <cell r="BS871" t="str">
            <v/>
          </cell>
          <cell r="BU871" t="str">
            <v/>
          </cell>
          <cell r="BW871" t="str">
            <v/>
          </cell>
        </row>
        <row r="872">
          <cell r="AY872" t="str">
            <v/>
          </cell>
          <cell r="BA872" t="str">
            <v/>
          </cell>
          <cell r="BC872" t="str">
            <v/>
          </cell>
          <cell r="BI872" t="str">
            <v/>
          </cell>
          <cell r="BS872" t="str">
            <v/>
          </cell>
          <cell r="BU872" t="str">
            <v/>
          </cell>
          <cell r="BW872" t="str">
            <v/>
          </cell>
        </row>
        <row r="873">
          <cell r="AY873" t="str">
            <v/>
          </cell>
          <cell r="BA873" t="str">
            <v/>
          </cell>
          <cell r="BC873" t="str">
            <v/>
          </cell>
          <cell r="BI873" t="str">
            <v/>
          </cell>
          <cell r="BS873" t="str">
            <v/>
          </cell>
          <cell r="BU873" t="str">
            <v/>
          </cell>
          <cell r="BW873" t="str">
            <v/>
          </cell>
        </row>
        <row r="874">
          <cell r="AY874" t="str">
            <v/>
          </cell>
          <cell r="BA874" t="str">
            <v/>
          </cell>
          <cell r="BC874" t="str">
            <v/>
          </cell>
          <cell r="BI874" t="str">
            <v/>
          </cell>
          <cell r="BS874" t="str">
            <v/>
          </cell>
          <cell r="BU874" t="str">
            <v/>
          </cell>
          <cell r="BW874" t="str">
            <v/>
          </cell>
        </row>
        <row r="875">
          <cell r="AY875" t="str">
            <v/>
          </cell>
          <cell r="BA875" t="str">
            <v/>
          </cell>
          <cell r="BC875" t="str">
            <v/>
          </cell>
          <cell r="BI875" t="str">
            <v/>
          </cell>
          <cell r="BS875" t="str">
            <v/>
          </cell>
          <cell r="BU875" t="str">
            <v/>
          </cell>
          <cell r="BW875" t="str">
            <v/>
          </cell>
        </row>
        <row r="876">
          <cell r="AY876" t="str">
            <v/>
          </cell>
          <cell r="BA876" t="str">
            <v/>
          </cell>
          <cell r="BC876" t="str">
            <v/>
          </cell>
          <cell r="BI876" t="str">
            <v/>
          </cell>
          <cell r="BS876" t="str">
            <v/>
          </cell>
          <cell r="BU876" t="str">
            <v/>
          </cell>
          <cell r="BW876" t="str">
            <v/>
          </cell>
        </row>
        <row r="877">
          <cell r="AY877" t="str">
            <v/>
          </cell>
          <cell r="BA877" t="str">
            <v/>
          </cell>
          <cell r="BC877" t="str">
            <v/>
          </cell>
          <cell r="BI877" t="str">
            <v/>
          </cell>
          <cell r="BS877" t="str">
            <v/>
          </cell>
          <cell r="BU877" t="str">
            <v/>
          </cell>
          <cell r="BW877" t="str">
            <v/>
          </cell>
        </row>
        <row r="878">
          <cell r="AY878" t="str">
            <v/>
          </cell>
          <cell r="BA878" t="str">
            <v/>
          </cell>
          <cell r="BC878" t="str">
            <v/>
          </cell>
          <cell r="BI878" t="str">
            <v/>
          </cell>
          <cell r="BS878" t="str">
            <v/>
          </cell>
          <cell r="BU878" t="str">
            <v/>
          </cell>
          <cell r="BW878" t="str">
            <v/>
          </cell>
        </row>
        <row r="879">
          <cell r="AY879" t="str">
            <v/>
          </cell>
          <cell r="BA879" t="str">
            <v/>
          </cell>
          <cell r="BC879" t="str">
            <v/>
          </cell>
          <cell r="BI879" t="str">
            <v/>
          </cell>
          <cell r="BS879" t="str">
            <v/>
          </cell>
          <cell r="BU879" t="str">
            <v/>
          </cell>
          <cell r="BW879" t="str">
            <v/>
          </cell>
        </row>
        <row r="880">
          <cell r="AY880" t="str">
            <v/>
          </cell>
          <cell r="BA880" t="str">
            <v/>
          </cell>
          <cell r="BC880" t="str">
            <v/>
          </cell>
          <cell r="BI880" t="str">
            <v/>
          </cell>
          <cell r="BS880" t="str">
            <v/>
          </cell>
          <cell r="BU880" t="str">
            <v/>
          </cell>
          <cell r="BW880" t="str">
            <v/>
          </cell>
        </row>
        <row r="881">
          <cell r="AY881" t="str">
            <v/>
          </cell>
          <cell r="BA881" t="str">
            <v/>
          </cell>
          <cell r="BC881" t="str">
            <v/>
          </cell>
          <cell r="BI881" t="str">
            <v/>
          </cell>
          <cell r="BS881" t="str">
            <v/>
          </cell>
          <cell r="BU881" t="str">
            <v/>
          </cell>
          <cell r="BW881" t="str">
            <v/>
          </cell>
        </row>
        <row r="882">
          <cell r="AY882" t="str">
            <v/>
          </cell>
          <cell r="BA882" t="str">
            <v/>
          </cell>
          <cell r="BC882" t="str">
            <v/>
          </cell>
          <cell r="BI882" t="str">
            <v/>
          </cell>
          <cell r="BS882" t="str">
            <v/>
          </cell>
          <cell r="BU882" t="str">
            <v/>
          </cell>
          <cell r="BW882" t="str">
            <v/>
          </cell>
        </row>
        <row r="883">
          <cell r="AY883" t="str">
            <v/>
          </cell>
          <cell r="BA883" t="str">
            <v/>
          </cell>
          <cell r="BC883" t="str">
            <v/>
          </cell>
          <cell r="BI883" t="str">
            <v/>
          </cell>
          <cell r="BS883" t="str">
            <v/>
          </cell>
          <cell r="BU883" t="str">
            <v/>
          </cell>
          <cell r="BW883" t="str">
            <v/>
          </cell>
        </row>
        <row r="884">
          <cell r="AY884" t="str">
            <v/>
          </cell>
          <cell r="BA884" t="str">
            <v/>
          </cell>
          <cell r="BC884" t="str">
            <v/>
          </cell>
          <cell r="BI884" t="str">
            <v/>
          </cell>
          <cell r="BS884" t="str">
            <v/>
          </cell>
          <cell r="BU884" t="str">
            <v/>
          </cell>
          <cell r="BW884" t="str">
            <v/>
          </cell>
        </row>
        <row r="885">
          <cell r="AY885" t="str">
            <v/>
          </cell>
          <cell r="BA885" t="str">
            <v/>
          </cell>
          <cell r="BC885" t="str">
            <v/>
          </cell>
          <cell r="BI885" t="str">
            <v/>
          </cell>
          <cell r="BS885" t="str">
            <v/>
          </cell>
          <cell r="BU885" t="str">
            <v/>
          </cell>
          <cell r="BW885" t="str">
            <v/>
          </cell>
        </row>
        <row r="886">
          <cell r="AY886" t="str">
            <v/>
          </cell>
          <cell r="BA886" t="str">
            <v/>
          </cell>
          <cell r="BC886" t="str">
            <v/>
          </cell>
          <cell r="BI886" t="str">
            <v/>
          </cell>
          <cell r="BS886" t="str">
            <v/>
          </cell>
          <cell r="BU886" t="str">
            <v/>
          </cell>
          <cell r="BW886" t="str">
            <v/>
          </cell>
        </row>
        <row r="887">
          <cell r="AY887" t="str">
            <v/>
          </cell>
          <cell r="BA887" t="str">
            <v/>
          </cell>
          <cell r="BC887" t="str">
            <v/>
          </cell>
          <cell r="BI887" t="str">
            <v/>
          </cell>
          <cell r="BS887" t="str">
            <v/>
          </cell>
          <cell r="BU887" t="str">
            <v/>
          </cell>
          <cell r="BW887" t="str">
            <v/>
          </cell>
        </row>
        <row r="888">
          <cell r="AY888" t="str">
            <v/>
          </cell>
          <cell r="BA888" t="str">
            <v/>
          </cell>
          <cell r="BC888" t="str">
            <v/>
          </cell>
          <cell r="BI888" t="str">
            <v/>
          </cell>
          <cell r="BS888" t="str">
            <v/>
          </cell>
          <cell r="BU888" t="str">
            <v/>
          </cell>
          <cell r="BW888" t="str">
            <v/>
          </cell>
        </row>
        <row r="889">
          <cell r="AY889" t="str">
            <v/>
          </cell>
          <cell r="BA889" t="str">
            <v/>
          </cell>
          <cell r="BC889" t="str">
            <v/>
          </cell>
          <cell r="BI889" t="str">
            <v/>
          </cell>
          <cell r="BS889" t="str">
            <v/>
          </cell>
          <cell r="BU889" t="str">
            <v/>
          </cell>
          <cell r="BW889" t="str">
            <v/>
          </cell>
        </row>
        <row r="890">
          <cell r="AY890" t="str">
            <v/>
          </cell>
          <cell r="BA890" t="str">
            <v/>
          </cell>
          <cell r="BC890" t="str">
            <v/>
          </cell>
          <cell r="BI890" t="str">
            <v/>
          </cell>
          <cell r="BS890" t="str">
            <v/>
          </cell>
          <cell r="BU890" t="str">
            <v/>
          </cell>
          <cell r="BW890" t="str">
            <v/>
          </cell>
        </row>
        <row r="891">
          <cell r="AY891" t="str">
            <v/>
          </cell>
          <cell r="BA891" t="str">
            <v/>
          </cell>
          <cell r="BC891" t="str">
            <v/>
          </cell>
          <cell r="BI891" t="str">
            <v/>
          </cell>
          <cell r="BS891" t="str">
            <v/>
          </cell>
          <cell r="BU891" t="str">
            <v/>
          </cell>
          <cell r="BW891" t="str">
            <v/>
          </cell>
        </row>
        <row r="892">
          <cell r="AY892" t="str">
            <v/>
          </cell>
        </row>
      </sheetData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운영자매뉴얼"/>
      <sheetName val="역할"/>
      <sheetName val="보안관리"/>
      <sheetName val="업무권한"/>
      <sheetName val="W.CTR(화면관계도)"/>
      <sheetName val="업무권한 (2)"/>
      <sheetName val="업무권한 (3)"/>
      <sheetName val="책임권한"/>
      <sheetName val="M-Hour(화면관계도)"/>
      <sheetName val="END-부자재-원자재 "/>
      <sheetName val="#REF"/>
      <sheetName val="2COMPO_TABLE"/>
      <sheetName val="10"/>
      <sheetName val="90"/>
      <sheetName val="40"/>
      <sheetName val="50"/>
      <sheetName val="60"/>
      <sheetName val="70"/>
      <sheetName val="camera_10"/>
      <sheetName val="Sheet5"/>
      <sheetName val="Sheet6 (3)"/>
      <sheetName val="3.운영자매뉴얼_1)2)역활,보안관리"/>
      <sheetName val="CODE"/>
      <sheetName val="계정"/>
      <sheetName val="report_20"/>
      <sheetName val="camera_3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TCA"/>
      <sheetName val="#REF!"/>
      <sheetName val="MC&amp;다변화"/>
      <sheetName val="TEL"/>
    </sheetNames>
    <sheetDataSet>
      <sheetData sheetId="0" refreshError="1"/>
      <sheetData sheetId="1" refreshError="1"/>
      <sheetData sheetId="2"/>
      <sheetData sheetId="3" refreshError="1"/>
      <sheetData sheetId="4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o-021"/>
      <sheetName val="소상 &quot;1&quot;"/>
      <sheetName val="304"/>
      <sheetName val="301-2"/>
      <sheetName val="7월상여소급"/>
      <sheetName val="#REF!"/>
      <sheetName val="대외공문"/>
      <sheetName val="2.대외공문"/>
      <sheetName val="인원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본문5.1집행예산상세내역"/>
      <sheetName val="현설비 대응방안(1)"/>
      <sheetName val="본문5.2집행예산편성표"/>
      <sheetName val="#REF"/>
      <sheetName val="기안"/>
      <sheetName val="계정"/>
      <sheetName val="so-021"/>
      <sheetName val="현금경비중역"/>
      <sheetName val="TCA"/>
      <sheetName val="Sheet1"/>
      <sheetName val="2.대외공문"/>
      <sheetName val="원단위"/>
      <sheetName val="전체현황"/>
      <sheetName val="공문송부업체"/>
      <sheetName val="협조전"/>
      <sheetName val="1월급여"/>
      <sheetName val="HS04090062"/>
      <sheetName val="본문"/>
      <sheetName val="PROCEDURE LIST"/>
      <sheetName val="예산계획"/>
      <sheetName val="품의서"/>
      <sheetName val="#REF!"/>
      <sheetName val="major"/>
      <sheetName val="마스타 (2)"/>
      <sheetName val="품의서(TL)"/>
      <sheetName val="차수"/>
      <sheetName val="RD제품개발투자비(매가)"/>
      <sheetName val="R&amp;D"/>
    </sheetNames>
    <sheetDataSet>
      <sheetData sheetId="0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목차"/>
      <sheetName val="본문1"/>
      <sheetName val="본문2"/>
      <sheetName val="본문3"/>
      <sheetName val="M.S(D+9)"/>
      <sheetName val="12만(가로)"/>
      <sheetName val="본문2 (2)"/>
      <sheetName val="Sheet1"/>
      <sheetName val="Sheet2"/>
      <sheetName val="Sheet1 (2)"/>
      <sheetName val="#REF"/>
      <sheetName val="자가2급"/>
      <sheetName val="내수1.8GL"/>
      <sheetName val="RD제품개발투자비(매가)"/>
      <sheetName val="계실5-1"/>
      <sheetName val="재정"/>
      <sheetName val="대외공문"/>
      <sheetName val="ESTI."/>
      <sheetName val="DI-EST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Sheet2"/>
      <sheetName val="Sheet3"/>
      <sheetName val="견적비교(로더)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Sheet3"/>
      <sheetName val="협조전"/>
    </sheetNames>
    <sheetDataSet>
      <sheetData sheetId="0"/>
      <sheetData sheetId="1"/>
      <sheetData sheetId="2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"/>
      <sheetName val="협조전"/>
    </sheetNames>
    <sheetDataSet>
      <sheetData sheetId="0"/>
      <sheetData sheetId="1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양식"/>
      <sheetName val="_REF"/>
      <sheetName val="보고"/>
      <sheetName val="712"/>
      <sheetName val="기타"/>
      <sheetName val="RD제품개발투자비(매가)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PS일계획"/>
      <sheetName val="11"/>
    </sheetNames>
    <sheetDataSet>
      <sheetData sheetId="0" refreshError="1"/>
      <sheetData sheetId="1"/>
      <sheetData sheetId="2" refreshError="1"/>
      <sheetData sheetId="3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"/>
      <sheetName val="#REF"/>
      <sheetName val="Macro1"/>
      <sheetName val="11"/>
      <sheetName val="BASE"/>
      <sheetName val="주행"/>
      <sheetName val="표지★"/>
      <sheetName val="MX628EX"/>
      <sheetName val="p2-1"/>
      <sheetName val="2.대외공문"/>
      <sheetName val="85872-82"/>
      <sheetName val="_REF"/>
      <sheetName val="표지_"/>
      <sheetName val="p2_1"/>
      <sheetName val="2_대외공문"/>
      <sheetName val="???"/>
      <sheetName val="비교원가(84601-3L040)"/>
      <sheetName val="비교원가(84601-3L050)"/>
      <sheetName val="비교원가(84601-3L060)"/>
      <sheetName val="비교원가(84601-3L070)"/>
      <sheetName val="비교원가(84660-3L000)"/>
      <sheetName val="비교원가(84660-3L100)"/>
      <sheetName val="비교원가(84690-3L000)"/>
      <sheetName val="비교원가(84640-3L000)"/>
      <sheetName val="비교원가(84640-3L010)"/>
      <sheetName val="비교원가(84640-3L020)"/>
      <sheetName val="비교원가(97040-3L000)"/>
      <sheetName val="??仛"/>
      <sheetName val="??★"/>
      <sheetName val="2.????"/>
      <sheetName val="Ç°ÀÇ¼­"/>
      <sheetName val="ÁÖÇà"/>
      <sheetName val="Ç¥Áö¡Ú"/>
      <sheetName val="2.´ë¿Ü°ø¹®"/>
      <sheetName val="근태현황"/>
      <sheetName val="Sheet1"/>
      <sheetName val="Sheet2"/>
      <sheetName val="Sheet3"/>
      <sheetName val="외주현황.wq1"/>
      <sheetName val="Production Plan1"/>
      <sheetName val="CAUDIT"/>
      <sheetName val="협조전"/>
      <sheetName val="품의양식"/>
      <sheetName val="Book1"/>
      <sheetName val="Value Analysis - Sheet 1"/>
      <sheetName val="카케라1"/>
      <sheetName val="카메라4"/>
      <sheetName val="원단위"/>
      <sheetName val="RD제품개발투자비(매가)"/>
      <sheetName val="표2"/>
      <sheetName val="so-021"/>
      <sheetName val="major"/>
      <sheetName val="기안"/>
      <sheetName val="R&amp;D"/>
      <sheetName val="신규DEP"/>
      <sheetName val="95계획"/>
      <sheetName val="BUS제원1"/>
      <sheetName val="GRACE"/>
      <sheetName val="대외공문"/>
      <sheetName val="기안(2)"/>
      <sheetName val="예산근거"/>
      <sheetName val="경쟁실분"/>
      <sheetName val="그패프"/>
      <sheetName val="현금경비중역"/>
      <sheetName val="MAST S"/>
      <sheetName val="96수출"/>
      <sheetName val="인도원가"/>
      <sheetName val="전체현황"/>
      <sheetName val="차수"/>
      <sheetName val="견적LIST"/>
      <sheetName val="투자계획서"/>
      <sheetName val="Sheet4"/>
      <sheetName val="Sheet5"/>
      <sheetName val="표지"/>
      <sheetName val="END리스트"/>
      <sheetName val="부특1(ABS)"/>
      <sheetName val="부특1(TCS)"/>
      <sheetName val="부특2"/>
      <sheetName val="신기술"/>
      <sheetName val="기존차비교"/>
      <sheetName val="기존차문제"/>
      <sheetName val="도면문제"/>
      <sheetName val="시작차문제"/>
      <sheetName val="전체일정1"/>
      <sheetName val="전체일정2"/>
      <sheetName val="금형개발 "/>
      <sheetName val="검사구개발"/>
      <sheetName val="지그개발"/>
      <sheetName val="설비개발"/>
      <sheetName val="신뢰성(HU)"/>
      <sheetName val="신뢰성(SEN)"/>
      <sheetName val="외주개발"/>
      <sheetName val="납품용기개발"/>
      <sheetName val="CH'K P(A)"/>
      <sheetName val="CH'K P(B)"/>
      <sheetName val="FMEA W_S(HU)"/>
      <sheetName val="FMEA W_S(S_W)"/>
      <sheetName val="참조(구매품질조직도)"/>
      <sheetName val="참조(업체별담당자)"/>
      <sheetName val=".mdb,*.htm,*.html,*.pub);웹 페이지("/>
      <sheetName val="ccar"/>
      <sheetName val="목차"/>
      <sheetName val="1-1)개발추진범위"/>
      <sheetName val="1-2)개발일정"/>
      <sheetName val="S_MBR_UPR"/>
      <sheetName val="S_MBR_LWR"/>
      <sheetName val="Sheet6"/>
      <sheetName val="Sheet7"/>
      <sheetName val="Sheet8"/>
      <sheetName val="품목리스트"/>
      <sheetName val="회사조직도"/>
      <sheetName val="품질목표"/>
      <sheetName val="KPC항목"/>
      <sheetName val="CFT조직도"/>
      <sheetName val="부품특성1"/>
      <sheetName val="부품특성2 "/>
      <sheetName val="과거차문제점검토및반영계획"/>
      <sheetName val="전체일정"/>
      <sheetName val="부품SOURCE"/>
      <sheetName val="금형"/>
      <sheetName val="검사구"/>
      <sheetName val="지그"/>
      <sheetName val="설비"/>
      <sheetName val="납품용기"/>
      <sheetName val="신뢰성(H&amp;E)"/>
      <sheetName val="시작품관리계획서"/>
      <sheetName val="설계구조검토"/>
      <sheetName val="시작문제반영"/>
      <sheetName val=""/>
      <sheetName val="5_1_설비투자변경이력"/>
      <sheetName val="5_2_설비투자LIST_금액조정"/>
      <sheetName val="6_부대설비LIST"/>
      <sheetName val="02자동화합리화"/>
      <sheetName val="첨부_가공계획011120"/>
      <sheetName val="SPARE"/>
      <sheetName val="_x0005__x0003__x0004_b"/>
      <sheetName val="S"/>
      <sheetName val="VXXX"/>
      <sheetName val="SPARE PART(기계부)"/>
      <sheetName val="SPARE PART(전기부)"/>
      <sheetName val="소모 공구"/>
      <sheetName val="소모품"/>
      <sheetName val="부자재"/>
      <sheetName val="기타(볼트,니쁠,프로파일,아크릴)"/>
      <sheetName val="우일 FA(납땜),아이제 코리아(마킹),반도상사(도장)"/>
      <sheetName val="10.21이후 (최종본)"/>
      <sheetName val="List(Item별) (10_21회의록 근거)"/>
      <sheetName val="10.21이후"/>
      <sheetName val="10.20까지"/>
      <sheetName val="228"/>
      <sheetName val="25.32.34"/>
      <sheetName val="List(Item별) (하나모듈)"/>
      <sheetName val="List(Item별)"/>
      <sheetName val="List(UPG별)"/>
      <sheetName val="EO-List"/>
      <sheetName val="사장"/>
      <sheetName val="사원"/>
      <sheetName val="기존젨비교"/>
      <sheetName val="_x0000_䅀㿠_x0000__x0000__x0000__x0000__x0001__x0000__x0000__x0000__x0000__x0000__x0001_t_x0016__x0000_䅀㿰_x0000__x0000_"/>
      <sheetName val="戀椀最㔀"/>
      <sheetName val="Sheet1_x0000__x0000__x0000__x0004__x0000__x0000__x0000__x0000__x0000__x0000_ ǅ_x0000__x0000__x0000__x0000__x0000__x0000__x0000__x0000__x0000__x0000__x0000_"/>
      <sheetName val="_x0000__x0001__x0000__x0001__x0000__x0003__x0000__x0001__x0000_Ô_x0000__x0001__x0000__x0000__x0000_,_x0000_¦_x0000_¦_x0000__x0000__x0000__x0000__x0000__x0000__x0000__x0000__x0000__x0000__x0000_"/>
      <sheetName val="_x001e_.&gt;N^n~®¾ÎÞî"/>
      <sheetName val="bleĤģ_x0000__x0000__x0000__x0000__x0000__x0000_서식을 Ĩĥ_x0000__x0000__x0000__x0000_ħĦ_x0000__x0000__x0000__x0000__x0000__x0000_률_x0000_"/>
      <sheetName val="전산품의"/>
      <sheetName val="수출"/>
      <sheetName val="Sheet1_x0000_ˆŒ_x0004__x0000_ ǅ_x0001__x0000_ˆ&lt;BOOK1.XLS]Shee"/>
      <sheetName val="_x001e_.&gt;N^n~Žž®¾ÎÞî"/>
      <sheetName val="bleĤģ서식을 ĨĥħĦ_x0000_률_x0000_며_x0000_을 변경īĪ용_x0000_ĭĬ 끌어"/>
      <sheetName val="ㅊ.ㅔㅁㅇ"/>
      <sheetName val="Sheet1_x0000_ˆŒ_x0000__x0004__x0000_ ǅ"/>
      <sheetName val="??"/>
      <sheetName val="¿ÜÁÖÇöÈ².wq1"/>
      <sheetName val="LEASE4"/>
      <sheetName val="DATA"/>
      <sheetName val="CD-실적"/>
      <sheetName val="NBQA"/>
      <sheetName val="FR HR(A-LEA)"/>
      <sheetName val="FR HR(VINYL)"/>
      <sheetName val="PROTECTOR단가"/>
      <sheetName val="bleĤģ"/>
      <sheetName val="MOTO"/>
      <sheetName val="UPH"/>
      <sheetName val="̃_x0000_"/>
      <sheetName val="Sheet1_x0000__x0000__x0004__x0000_ ǅ_x0000__x0001__x0000_&lt;BOOK1.XLS]Sh"/>
      <sheetName val="bleĤģ_x0000_서식을 Ĩĥ_x0000_ħĦ_x0000_률_x0000_며_x0000_을 변경īĪ_x0000_용_x0000_ĭĬ"/>
      <sheetName val="bleĤģ서식을 ĨĥħĦ"/>
      <sheetName val="RR 세부"/>
      <sheetName val="?䅀㿠????_x0001_?????_x0001_t_x0016_?䅀㿰??"/>
      <sheetName val="Sheet1???_x0004_?????? ǅ???????????"/>
      <sheetName val="?_x0001_?_x0001_?_x0003_?_x0001_?Ô?_x0001_???,?¦?¦???????????"/>
      <sheetName val="bleĤģ??????서식을 Ĩĥ????ħĦ??????률?"/>
      <sheetName val="Sheet1?ˆŒ_x0004_? ǅ_x0001_?ˆ&lt;BOOK1.XLS]Shee"/>
      <sheetName val="bleĤģ서식을 ĨĥħĦ?률?며?을 변경īĪ용?ĭĬ 끌어"/>
      <sheetName val="Sheet1?ˆŒ?_x0004_? ǅ"/>
      <sheetName val="_x0001_?_x0001_?_x0003_?_x0001_?Ô_x0001_?,?¦¦"/>
      <sheetName val="bleĤģ서식을 ĨĥħĦ?률?"/>
      <sheetName val="[Book1.xls]dd mmmm yyyy_x0000__x0000__x0000_赶_x0000__x0003__x0016_["/>
      <sheetName val="[Book1.xls][Book1.xls][Book1.xl"/>
      <sheetName val="2_대외공문1"/>
      <sheetName val="2_????"/>
      <sheetName val="B_K작업분석1"/>
      <sheetName val="조치사항"/>
      <sheetName val="XGPROD"/>
      <sheetName val="OPT손익_내수"/>
      <sheetName val="B"/>
      <sheetName val="OPT손익_수출"/>
      <sheetName val="full_(2)"/>
      <sheetName val="GRP"/>
      <sheetName val="발생장소"/>
      <sheetName val="공작"/>
      <sheetName val="계열사현황종합"/>
      <sheetName val="모듈"/>
      <sheetName val="KMCWD"/>
      <sheetName val="KD율"/>
      <sheetName val="문제유형"/>
      <sheetName val="DATA_(2)"/>
      <sheetName val="A-A"/>
      <sheetName val="전장"/>
      <sheetName val="64164"/>
      <sheetName val="차체"/>
      <sheetName val="HOLE_9905(1)"/>
      <sheetName val="_SR3차원단위_(3)"/>
      <sheetName val="내장"/>
      <sheetName val="계정"/>
      <sheetName val="THEME_CODE"/>
      <sheetName val="1-5-2"/>
      <sheetName val="외장"/>
      <sheetName val="해외"/>
      <sheetName val="VDR"/>
      <sheetName val="126_255"/>
      <sheetName val="JANG_DOM"/>
      <sheetName val="CR_CODE"/>
      <sheetName val="설비사양서B-1"/>
      <sheetName val="구list"/>
      <sheetName val="대표경력"/>
      <sheetName val="대표자"/>
      <sheetName val="2월"/>
      <sheetName val="부서CODE"/>
      <sheetName val="차체부품_INS_REPORT(갑)"/>
      <sheetName val="DAT(목표)"/>
      <sheetName val="인원"/>
      <sheetName val="진급관련DATA"/>
      <sheetName val="1.변경범위"/>
      <sheetName val="PC%계산"/>
      <sheetName val="3.일반사상"/>
      <sheetName val="___"/>
      <sheetName val="__仛"/>
      <sheetName val="__★"/>
      <sheetName val="2.____"/>
      <sheetName val=".mdb,_.htm,_.html,_.pub);웹 페이지("/>
      <sheetName val="_x0001_"/>
      <sheetName val="기초자료"/>
      <sheetName val="[Book1.xls][Book1.xls]d/m/yy_x0000__x0013_["/>
      <sheetName val="dd mmmm yyyy_x0000__x0000__x0000_赶_x0000__x0003__x0016_[$-0409]hh:m"/>
      <sheetName val="[Book1.xls]d_m_yy_____1010000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/>
      <sheetData sheetId="187" refreshError="1"/>
      <sheetData sheetId="188"/>
      <sheetData sheetId="189" refreshError="1"/>
      <sheetData sheetId="190" refreshError="1"/>
      <sheetData sheetId="191" refreshError="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규정"/>
      <sheetName val="정치"/>
      <sheetName val="주행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BE_MAR"/>
      <sheetName val="기안"/>
      <sheetName val="주행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그래프1수정"/>
      <sheetName val="그래프2수정"/>
      <sheetName val="종합현황 (1)"/>
      <sheetName val="종합현황(2)"/>
      <sheetName val="자료2-1"/>
      <sheetName val="자료2-2"/>
      <sheetName val="자료2-2 -1"/>
      <sheetName val="자료2-2-2-3"/>
      <sheetName val="자료2-2-4 "/>
      <sheetName val="HMC"/>
      <sheetName val="2-2-2(KMC)"/>
      <sheetName val="자료2-3 "/>
      <sheetName val="자료2-3 첨부"/>
      <sheetName val="자료3-1"/>
      <sheetName val="자료3-2"/>
      <sheetName val="자료3-3"/>
      <sheetName val="4.물류비"/>
      <sheetName val="자료4-2"/>
      <sheetName val="자료4-3"/>
      <sheetName val="자료4-4  "/>
      <sheetName val="자료4-5"/>
      <sheetName val="자료5-1"/>
      <sheetName val="자료5-1첨부"/>
      <sheetName val="자료5-2"/>
      <sheetName val="자료5-3"/>
      <sheetName val="자료5-4"/>
      <sheetName val="자료6-1"/>
      <sheetName val="자료6-2  (수정)"/>
      <sheetName val="자료6-3 (2)"/>
      <sheetName val="자료7"/>
      <sheetName val="자료8-1"/>
      <sheetName val="자료8 -2"/>
      <sheetName val="자료8 (3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1.변경범위"/>
    </sheetNames>
    <sheetDataSet>
      <sheetData sheetId="0" refreshError="1"/>
      <sheetData sheetId="1" refreshError="1"/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SXL70"/>
      <sheetName val="Sheet1"/>
      <sheetName val="Sheet2"/>
      <sheetName val="Sheet3"/>
    </sheetNames>
    <definedNames>
      <definedName name="PCDOCSFileClose"/>
    </definedNames>
    <sheetDataSet>
      <sheetData sheetId="0" refreshError="1"/>
      <sheetData sheetId="1"/>
      <sheetData sheetId="2"/>
      <sheetData sheetId="3"/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품의서"/>
    </sheetNames>
    <sheetDataSet>
      <sheetData sheetId="0" refreshError="1"/>
      <sheetData sheetId="1" refreshError="1"/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#REF"/>
      <sheetName val="소상 &quot;1&quot;"/>
      <sheetName val="협조전"/>
      <sheetName val="GRACE"/>
      <sheetName val="2.대외공문"/>
      <sheetName val="10-1"/>
      <sheetName val="수출가격"/>
      <sheetName val="MAST S"/>
      <sheetName val="기안"/>
      <sheetName val="내수1.8GL"/>
      <sheetName val="#REF!"/>
      <sheetName val="RD제품개발투자비(매가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CE"/>
      <sheetName val="공구현황"/>
    </sheetNames>
    <sheetDataSet>
      <sheetData sheetId="0" refreshError="1"/>
      <sheetData sheetId="1" refreshError="1"/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/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●목차"/>
    </sheetNames>
    <sheetDataSet>
      <sheetData sheetId="0" refreshError="1"/>
      <sheetData sheetId="1" refreshError="1"/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●현황"/>
      <sheetName val="●목차"/>
    </sheetNames>
    <sheetDataSet>
      <sheetData sheetId="0" refreshError="1"/>
      <sheetData sheetId="1" refreshError="1"/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000000000000000000"/>
      <sheetName val="Sheet1"/>
      <sheetName val="Sheet2"/>
      <sheetName val="Sheet3"/>
      <sheetName val="0000"/>
      <sheetName val="VXXXXX"/>
      <sheetName val="000000"/>
      <sheetName val="oO3RvdHqbseVihUUP5r9VE3xC"/>
      <sheetName val="VXXXXXXXXXXXXXXXXXXXXXXXX"/>
      <sheetName val="Pq7bfVaQC7gFtsnu6xucgWard"/>
      <sheetName val="nRIuRDcQPKrnuR2KMy3U4f8Rq"/>
      <sheetName val="rRNUygK7ev2ylkXXsSu0YHLaF"/>
      <sheetName val="LQGSK8V3i1kGnuJNwIRdVOGa0"/>
      <sheetName val="wIxR1pNPLWJmKl9kqSpIW2egv"/>
      <sheetName val="Sheet4"/>
      <sheetName val="Sheet5"/>
      <sheetName val="Sheet6"/>
      <sheetName val="Sheet7"/>
      <sheetName val="Sheet8"/>
      <sheetName val="Sheet9"/>
      <sheetName val="Sheet10"/>
      <sheetName val="qVlxpBaONIpLsP13R1MYPjBvv"/>
      <sheetName val="Dh9K0o5aavC9FbQUdPd6hasNM"/>
      <sheetName val="0000000"/>
      <sheetName val="eUZ6B72EyyTawdG5tC51J2uMg"/>
      <sheetName val="●현황"/>
      <sheetName val="●목차"/>
      <sheetName val="xxxxxx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/>
      <sheetData sheetId="24" refreshError="1"/>
      <sheetData sheetId="25" refreshError="1"/>
      <sheetData sheetId="26" refreshError="1"/>
      <sheetData sheetId="27"/>
      <sheetData sheetId="28" refreshError="1"/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생산"/>
    </sheetNames>
    <sheetDataSet>
      <sheetData sheetId="0" refreshError="1"/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보고"/>
      <sheetName val="출장거리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경쟁실분"/>
      <sheetName val="최신가-lc"/>
      <sheetName val="최신가-sm"/>
      <sheetName val="DAT(목표)"/>
      <sheetName val="대외공문"/>
      <sheetName val="Tiburon"/>
      <sheetName val="#REF"/>
      <sheetName val="DailyInput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최신가-lc"/>
      <sheetName val="최신가-sm"/>
      <sheetName val="경쟁실분"/>
      <sheetName val="그패프"/>
      <sheetName val="대외공문"/>
      <sheetName val="업체별"/>
      <sheetName val="동아합의"/>
      <sheetName val="환산table"/>
      <sheetName val="카스타"/>
      <sheetName val="김경원"/>
      <sheetName val="2.대외공문"/>
      <sheetName val="#REF!"/>
      <sheetName val="수출가격"/>
      <sheetName val="Sheet1"/>
      <sheetName val="계DATA"/>
      <sheetName val="실DATA "/>
      <sheetName val="5.세운W-A"/>
      <sheetName val="정의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LC4DR"/>
      <sheetName val="LC35DR"/>
      <sheetName val="LC생계동향"/>
      <sheetName val="SM"/>
      <sheetName val="SM생계동향"/>
      <sheetName val="최신가-lc"/>
      <sheetName val="최신가-sm"/>
      <sheetName val="협조전"/>
      <sheetName val="Sÿ"/>
      <sheetName val="2.대외공문"/>
      <sheetName val="#REF!"/>
      <sheetName val="RD제품개발투자비(매가)"/>
      <sheetName val="승용"/>
      <sheetName val="원2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MC 52라인 개조 견적서_080909"/>
      <sheetName val="주의사항"/>
      <sheetName val="갑지"/>
      <sheetName val="원가항목별(집계)"/>
      <sheetName val="단위공사별(집계)"/>
      <sheetName val="전기"/>
      <sheetName val="단위장비1"/>
      <sheetName val="단위장비2"/>
      <sheetName val="단위장비3"/>
      <sheetName val="단위장비4"/>
      <sheetName val="단위장비5"/>
      <sheetName val="단위장비6"/>
      <sheetName val="단위장비7"/>
      <sheetName val="단위장비8"/>
      <sheetName val="단위장비9"/>
      <sheetName val="단위장비10"/>
      <sheetName val="단위장비11"/>
      <sheetName val="단위장비12"/>
      <sheetName val="단위장비13"/>
      <sheetName val="단위장비14"/>
      <sheetName val="단위장비15"/>
      <sheetName val="단위장비16"/>
      <sheetName val="단위장비17"/>
      <sheetName val="단위장비18"/>
      <sheetName val="첨부(견적조건차이내역)"/>
    </sheetNames>
    <definedNames>
      <definedName name="값이있는행만출력하시오"/>
    </defined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갑지"/>
      <sheetName val="원가항목별(집계)1"/>
      <sheetName val="단위장비별(집계)2"/>
      <sheetName val="단위장비1"/>
      <sheetName val="전기"/>
    </sheetNames>
    <sheetDataSet>
      <sheetData sheetId="0" refreshError="1"/>
      <sheetData sheetId="1" refreshError="1"/>
      <sheetData sheetId="2" refreshError="1"/>
      <sheetData sheetId="3">
        <row r="10">
          <cell r="H10">
            <v>0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Relationship Id="rId4" Type="http://schemas.openxmlformats.org/officeDocument/2006/relationships/comments" Target="../comments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35752-E31C-4803-94C4-1C0B096C2C58}">
  <sheetPr>
    <pageSetUpPr fitToPage="1"/>
  </sheetPr>
  <dimension ref="A1:L43"/>
  <sheetViews>
    <sheetView tabSelected="1" zoomScaleNormal="85" workbookViewId="0">
      <selection activeCell="K10" sqref="K10"/>
    </sheetView>
  </sheetViews>
  <sheetFormatPr defaultRowHeight="13.5"/>
  <cols>
    <col min="1" max="1" width="2" style="38" customWidth="1"/>
    <col min="2" max="2" width="4.875" style="38" customWidth="1"/>
    <col min="3" max="3" width="8.5" style="38" customWidth="1"/>
    <col min="4" max="4" width="21.125" style="38" customWidth="1"/>
    <col min="5" max="5" width="11.125" style="38" customWidth="1"/>
    <col min="6" max="6" width="10.75" style="38" customWidth="1"/>
    <col min="7" max="7" width="12.5" style="38" customWidth="1"/>
    <col min="8" max="8" width="12.25" style="38" customWidth="1"/>
    <col min="9" max="9" width="15.625" style="38" customWidth="1"/>
    <col min="10" max="10" width="10.375" style="38" bestFit="1" customWidth="1"/>
    <col min="11" max="11" width="9" style="38"/>
    <col min="12" max="12" width="10.375" style="38" bestFit="1" customWidth="1"/>
    <col min="13" max="16384" width="9" style="38"/>
  </cols>
  <sheetData>
    <row r="1" spans="2:10">
      <c r="B1" s="38" t="s">
        <v>45</v>
      </c>
    </row>
    <row r="2" spans="2:10" ht="38.25">
      <c r="B2" s="873" t="s">
        <v>40</v>
      </c>
      <c r="C2" s="873"/>
      <c r="D2" s="873"/>
      <c r="E2" s="873"/>
      <c r="F2" s="873"/>
      <c r="G2" s="873"/>
      <c r="H2" s="873"/>
      <c r="I2" s="873"/>
    </row>
    <row r="4" spans="2:10" s="44" customFormat="1" ht="24" customHeight="1">
      <c r="B4" s="896" t="s">
        <v>349</v>
      </c>
      <c r="C4" s="896"/>
      <c r="D4" s="896"/>
      <c r="E4" s="877"/>
      <c r="F4" s="877"/>
      <c r="G4" s="108"/>
      <c r="H4" s="109"/>
      <c r="I4" s="110"/>
    </row>
    <row r="5" spans="2:10" s="44" customFormat="1" ht="20.25" customHeight="1">
      <c r="B5" s="894" t="s">
        <v>293</v>
      </c>
      <c r="C5" s="895"/>
      <c r="D5" s="101">
        <v>46066</v>
      </c>
      <c r="E5" s="49"/>
      <c r="F5" s="49"/>
      <c r="G5" s="109" t="s">
        <v>255</v>
      </c>
      <c r="H5" s="105"/>
      <c r="I5" s="105"/>
    </row>
    <row r="6" spans="2:10" s="44" customFormat="1" ht="20.25" customHeight="1">
      <c r="B6" s="879" t="s">
        <v>28</v>
      </c>
      <c r="C6" s="880"/>
      <c r="D6" s="103" t="s">
        <v>1574</v>
      </c>
      <c r="E6" s="50"/>
      <c r="F6" s="49"/>
      <c r="G6" s="105" t="s">
        <v>256</v>
      </c>
      <c r="H6" s="106"/>
      <c r="I6" s="106"/>
      <c r="J6" s="53"/>
    </row>
    <row r="7" spans="2:10" s="44" customFormat="1" ht="20.25" customHeight="1">
      <c r="B7" s="897" t="s">
        <v>29</v>
      </c>
      <c r="C7" s="1" t="s">
        <v>43</v>
      </c>
      <c r="D7" s="714">
        <v>46341</v>
      </c>
      <c r="E7" s="50"/>
      <c r="F7" s="49"/>
      <c r="G7" s="110" t="s">
        <v>257</v>
      </c>
      <c r="H7" s="106"/>
      <c r="I7" s="106"/>
      <c r="J7" s="53"/>
    </row>
    <row r="8" spans="2:10" s="44" customFormat="1" ht="20.25" customHeight="1">
      <c r="B8" s="897"/>
      <c r="C8" s="1" t="s">
        <v>44</v>
      </c>
      <c r="D8" s="103" t="s">
        <v>326</v>
      </c>
      <c r="E8" s="50"/>
      <c r="F8" s="49"/>
      <c r="G8" s="110" t="s">
        <v>258</v>
      </c>
      <c r="H8" s="106"/>
      <c r="I8" s="106"/>
      <c r="J8" s="53"/>
    </row>
    <row r="9" spans="2:10" s="44" customFormat="1" ht="20.25" customHeight="1">
      <c r="B9" s="879" t="s">
        <v>30</v>
      </c>
      <c r="C9" s="880"/>
      <c r="D9" s="103" t="s">
        <v>54</v>
      </c>
      <c r="E9" s="50"/>
      <c r="F9" s="49"/>
      <c r="G9" s="105" t="s">
        <v>259</v>
      </c>
      <c r="H9" s="106"/>
      <c r="I9" s="106"/>
      <c r="J9" s="53"/>
    </row>
    <row r="10" spans="2:10" s="44" customFormat="1" ht="20.25" customHeight="1">
      <c r="B10" s="879" t="s">
        <v>31</v>
      </c>
      <c r="C10" s="880"/>
      <c r="D10" s="103" t="s">
        <v>1570</v>
      </c>
      <c r="E10" s="50"/>
      <c r="G10" s="105" t="s">
        <v>1569</v>
      </c>
      <c r="H10" s="107"/>
      <c r="I10" s="111"/>
    </row>
    <row r="11" spans="2:10" s="44" customFormat="1" ht="20.25" customHeight="1">
      <c r="B11" s="879" t="s">
        <v>32</v>
      </c>
      <c r="C11" s="880"/>
      <c r="D11" s="102" t="s">
        <v>55</v>
      </c>
      <c r="E11" s="50"/>
      <c r="G11" s="105" t="s">
        <v>327</v>
      </c>
      <c r="H11" s="107"/>
      <c r="I11" s="111"/>
    </row>
    <row r="12" spans="2:10" s="45" customFormat="1" ht="10.5" customHeight="1">
      <c r="B12" s="47"/>
      <c r="I12" s="46"/>
    </row>
    <row r="13" spans="2:10" s="52" customFormat="1" ht="24.95" customHeight="1">
      <c r="B13" s="83" t="s">
        <v>51</v>
      </c>
      <c r="C13" s="83"/>
      <c r="D13" s="82" t="s">
        <v>1571</v>
      </c>
      <c r="E13" s="82"/>
      <c r="F13" s="82"/>
      <c r="G13" s="82"/>
      <c r="H13" s="104"/>
      <c r="I13" s="270"/>
    </row>
    <row r="14" spans="2:10" s="52" customFormat="1" ht="24.95" customHeight="1">
      <c r="B14" s="83" t="s">
        <v>52</v>
      </c>
      <c r="C14" s="83"/>
      <c r="D14" s="82" t="str">
        <f>"一金  "&amp;NUMBERSTRING(H33*1000,1)&amp;"원整"</f>
        <v>一金  삼억삼천오백만원整</v>
      </c>
      <c r="E14" s="82"/>
      <c r="F14" s="82"/>
      <c r="G14" s="878">
        <f>ROUND(H33*1000,-3)</f>
        <v>335000000</v>
      </c>
      <c r="H14" s="878"/>
      <c r="I14" s="270"/>
    </row>
    <row r="15" spans="2:10" s="44" customFormat="1" ht="8.25" customHeight="1"/>
    <row r="16" spans="2:10" s="39" customFormat="1" ht="24.95" customHeight="1">
      <c r="B16" s="863" t="s">
        <v>23</v>
      </c>
      <c r="C16" s="881" t="s">
        <v>48</v>
      </c>
      <c r="D16" s="882"/>
      <c r="E16" s="864" t="s">
        <v>39</v>
      </c>
      <c r="F16" s="864"/>
      <c r="G16" s="864"/>
      <c r="H16" s="864"/>
      <c r="I16" s="863" t="s">
        <v>3</v>
      </c>
    </row>
    <row r="17" spans="2:9" s="39" customFormat="1" ht="29.25" customHeight="1">
      <c r="B17" s="864"/>
      <c r="C17" s="883"/>
      <c r="D17" s="884"/>
      <c r="E17" s="61" t="s">
        <v>37</v>
      </c>
      <c r="F17" s="62" t="s">
        <v>38</v>
      </c>
      <c r="G17" s="63" t="s">
        <v>41</v>
      </c>
      <c r="H17" s="60" t="s">
        <v>27</v>
      </c>
      <c r="I17" s="864"/>
    </row>
    <row r="18" spans="2:9" s="48" customFormat="1" ht="24.95" customHeight="1">
      <c r="B18" s="243">
        <v>1</v>
      </c>
      <c r="C18" s="887" t="str">
        <f>IF('단위장비별(집계)2'!N7&gt;0,'단위장비별(집계)2'!B7,"")</f>
        <v>BASE PART</v>
      </c>
      <c r="D18" s="888"/>
      <c r="E18" s="244">
        <f>IF('단위장비별(집계)2'!N7&gt;1,('단위장비별(집계)2'!D7+'단위장비별(집계)2'!E7+'단위장비별(집계)2'!F7+'단위장비별(집계)2'!G7+'단위장비별(집계)2'!H7+'단위장비별(집계)2'!I7)/1000," ")</f>
        <v>28678.019873193742</v>
      </c>
      <c r="F18" s="245">
        <f>IF('단위장비별(집계)2'!N7&gt;0,'단위장비별(집계)2'!K22/1000,"")</f>
        <v>133557.43500000003</v>
      </c>
      <c r="G18" s="246">
        <f>IF('단위장비별(집계)2'!N7&gt;0,('단위장비별(집계)2'!L7+'단위장비별(집계)2'!M7)/1000,"")</f>
        <v>773.43794514081321</v>
      </c>
      <c r="H18" s="247">
        <f>IF('단위장비별(집계)2'!N7&gt;0,'단위장비별(집계)2'!N7/1000,"")</f>
        <v>48977.886591932191</v>
      </c>
      <c r="I18" s="248"/>
    </row>
    <row r="19" spans="2:9" s="48" customFormat="1" ht="24.95" customHeight="1">
      <c r="B19" s="249">
        <v>2</v>
      </c>
      <c r="C19" s="871" t="str">
        <f>IF('단위장비별(집계)2'!N8&gt;0,'단위장비별(집계)2'!B8,"")</f>
        <v>TRANSFER PART</v>
      </c>
      <c r="D19" s="872"/>
      <c r="E19" s="250">
        <f>IF('단위장비별(집계)2'!N8&gt;1,('단위장비별(집계)2'!D8+'단위장비별(집계)2'!E8+'단위장비별(집계)2'!F8+'단위장비별(집계)2'!G8+'단위장비별(집계)2'!H8+'단위장비별(집계)2'!I8)/1000," ")</f>
        <v>29231.327825443495</v>
      </c>
      <c r="F19" s="251"/>
      <c r="G19" s="252">
        <f>IF('단위장비별(집계)2'!N8&gt;0,('단위장비별(집계)2'!L8+'단위장비별(집계)2'!M8)/1000,"")</f>
        <v>4288.5207089282321</v>
      </c>
      <c r="H19" s="253">
        <f>IF('단위장비별(집계)2'!N8&gt;0,'단위장비별(집계)2'!N8/1000,"")</f>
        <v>55743.635857413094</v>
      </c>
      <c r="I19" s="254"/>
    </row>
    <row r="20" spans="2:9" s="48" customFormat="1" ht="24.95" customHeight="1">
      <c r="B20" s="249">
        <v>3</v>
      </c>
      <c r="C20" s="871" t="str">
        <f>IF('단위장비별(집계)2'!N9&gt;0,'단위장비별(집계)2'!B9,"")</f>
        <v>JIG PART</v>
      </c>
      <c r="D20" s="872"/>
      <c r="E20" s="250">
        <f>IF('단위장비별(집계)2'!N9&gt;1,('단위장비별(집계)2'!D9+'단위장비별(집계)2'!E9+'단위장비별(집계)2'!F9+'단위장비별(집계)2'!G9+'단위장비별(집계)2'!H9+'단위장비별(집계)2'!I9)/1000," ")</f>
        <v>17477.340175541383</v>
      </c>
      <c r="F20" s="251"/>
      <c r="G20" s="252">
        <f>IF('단위장비별(집계)2'!N9&gt;0,('단위장비별(집계)2'!L9+'단위장비별(집계)2'!M9)/1000,"")</f>
        <v>2564.0961548983423</v>
      </c>
      <c r="H20" s="253">
        <f>IF('단위장비별(집계)2'!N9&gt;0,'단위장비별(집계)2'!N9/1000,"")</f>
        <v>33328.98499579991</v>
      </c>
      <c r="I20" s="254"/>
    </row>
    <row r="21" spans="2:9" s="48" customFormat="1" ht="24.95" customHeight="1">
      <c r="B21" s="803">
        <v>4</v>
      </c>
      <c r="C21" s="885">
        <f>'단위장비별(집계)2'!B10</f>
        <v>0</v>
      </c>
      <c r="D21" s="886"/>
      <c r="E21" s="804" t="str">
        <f>IF('단위장비별(집계)2'!N10&gt;1,('단위장비별(집계)2'!D10+'단위장비별(집계)2'!E10+'단위장비별(집계)2'!F10+'단위장비별(집계)2'!G10+'단위장비별(집계)2'!H10+'단위장비별(집계)2'!I10)/1000," ")</f>
        <v xml:space="preserve"> </v>
      </c>
      <c r="F21" s="805"/>
      <c r="G21" s="806" t="str">
        <f>IF('단위장비별(집계)2'!N10&gt;0,('단위장비별(집계)2'!L10+'단위장비별(집계)2'!M10)/1000,"")</f>
        <v/>
      </c>
      <c r="H21" s="807" t="str">
        <f>IF('단위장비별(집계)2'!N10&gt;0,'단위장비별(집계)2'!N10/1000,"")</f>
        <v/>
      </c>
      <c r="I21" s="808"/>
    </row>
    <row r="22" spans="2:9" s="48" customFormat="1" ht="24.95" customHeight="1">
      <c r="B22" s="249">
        <v>5</v>
      </c>
      <c r="C22" s="871" t="str">
        <f>'단위장비별(집계)2'!B11</f>
        <v>MEASURING PART</v>
      </c>
      <c r="D22" s="872"/>
      <c r="E22" s="250">
        <f>IF('단위장비별(집계)2'!N11&gt;1,('단위장비별(집계)2'!D11+'단위장비별(집계)2'!E11+'단위장비별(집계)2'!F11+'단위장비별(집계)2'!G11+'단위장비별(집계)2'!H11+'단위장비별(집계)2'!I11)/1000," ")</f>
        <v>45953.317462632374</v>
      </c>
      <c r="F22" s="251"/>
      <c r="G22" s="252">
        <f>IF('단위장비별(집계)2'!N11&gt;0,('단위장비별(집계)2'!L11+'단위장비별(집계)2'!M11)/1000,"")</f>
        <v>6741.7995774696674</v>
      </c>
      <c r="H22" s="253">
        <f>IF('단위장비별(집계)2'!N11&gt;0,'단위장비별(집계)2'!N11/1000,"")</f>
        <v>87632.180459739917</v>
      </c>
      <c r="I22" s="254"/>
    </row>
    <row r="23" spans="2:9" s="48" customFormat="1" ht="24.95" customHeight="1">
      <c r="B23" s="249">
        <v>6</v>
      </c>
      <c r="C23" s="871" t="str">
        <f>'단위장비별(집계)2'!B12</f>
        <v>RAM PART</v>
      </c>
      <c r="D23" s="872"/>
      <c r="E23" s="250">
        <f>IF('단위장비별(집계)2'!N12&gt;1,('단위장비별(집계)2'!D12+'단위장비별(집계)2'!E12+'단위장비별(집계)2'!F12+'단위장비별(집계)2'!G12+'단위장비별(집계)2'!H12+'단위장비별(집계)2'!I12)/1000," ")</f>
        <v>39791.424896203054</v>
      </c>
      <c r="F23" s="251"/>
      <c r="G23" s="252">
        <f>IF('단위장비별(집계)2'!N12&gt;0,('단위장비별(집계)2'!L12+'단위장비별(집계)2'!M12)/1000,"")</f>
        <v>5837.7898781797876</v>
      </c>
      <c r="H23" s="253">
        <f>IF('단위장비별(집계)2'!N12&gt;0,'단위장비별(집계)2'!N12/1000,"")</f>
        <v>75881.558063566728</v>
      </c>
      <c r="I23" s="254"/>
    </row>
    <row r="24" spans="2:9" s="48" customFormat="1" ht="24.95" customHeight="1">
      <c r="B24" s="249">
        <v>7</v>
      </c>
      <c r="C24" s="871" t="str">
        <f>'단위장비별(집계)2'!B13</f>
        <v>MASTER/NG PART</v>
      </c>
      <c r="D24" s="872"/>
      <c r="E24" s="250">
        <f>IF('단위장비별(집계)2'!N13&gt;1,('단위장비별(집계)2'!D13+'단위장비별(집계)2'!E13+'단위장비별(집계)2'!F13+'단위장비별(집계)2'!G13+'단위장비별(집계)2'!H13+'단위장비별(집계)2'!I13)/1000," ")</f>
        <v>7689.2428450298175</v>
      </c>
      <c r="F24" s="251"/>
      <c r="G24" s="252">
        <f>IF('단위장비별(집계)2'!N13&gt;0,('단위장비별(집계)2'!L13+'단위장비별(집계)2'!M13)/1000,"")</f>
        <v>1128.0868722010687</v>
      </c>
      <c r="H24" s="253">
        <f>IF('단위장비별(집계)2'!N13&gt;0,'단위장비별(집계)2'!N13/1000,"")</f>
        <v>14663.252922759011</v>
      </c>
      <c r="I24" s="254"/>
    </row>
    <row r="25" spans="2:9" s="48" customFormat="1" ht="24.95" customHeight="1">
      <c r="B25" s="255">
        <v>8</v>
      </c>
      <c r="C25" s="871" t="str">
        <f>'단위장비별(집계)2'!B14</f>
        <v>DOOR&amp;COVER PART</v>
      </c>
      <c r="D25" s="872"/>
      <c r="E25" s="250">
        <f>IF('단위장비별(집계)2'!N14&gt;1,('단위장비별(집계)2'!D14+'단위장비별(집계)2'!E14+'단위장비별(집계)2'!F14+'단위장비별(집계)2'!G14+'단위장비별(집계)2'!H14+'단위장비별(집계)2'!I14)/1000," ")</f>
        <v>4712.793851051435</v>
      </c>
      <c r="F25" s="251"/>
      <c r="G25" s="252">
        <f>IF('단위장비별(집계)2'!N14&gt;0,('단위장비별(집계)2'!L14+'단위장비별(집계)2'!M14)/1000,"")</f>
        <v>691.41279341924917</v>
      </c>
      <c r="H25" s="253">
        <f>IF('단위장비별(집계)2'!N14&gt;0,'단위장비별(집계)2'!N14/1000,"")</f>
        <v>8987.2162452846369</v>
      </c>
      <c r="I25" s="254"/>
    </row>
    <row r="26" spans="2:9" s="48" customFormat="1" ht="24.95" customHeight="1">
      <c r="B26" s="255">
        <v>9</v>
      </c>
      <c r="C26" s="871" t="str">
        <f>'단위장비별(집계)2'!B15</f>
        <v>AIR CIRCUIT PART</v>
      </c>
      <c r="D26" s="872"/>
      <c r="E26" s="250">
        <f>IF('단위장비별(집계)2'!N15&gt;1,('단위장비별(집계)2'!D15+'단위장비별(집계)2'!E15+'단위장비별(집계)2'!F15+'단위장비별(집계)2'!G15+'단위장비별(집계)2'!H15+'단위장비별(집계)2'!I15)/1000," ")</f>
        <v>5131.4870709047082</v>
      </c>
      <c r="F26" s="251"/>
      <c r="G26" s="252">
        <f>IF('단위장비별(집계)2'!N15&gt;0,('단위장비별(집계)2'!L15+'단위장비별(집계)2'!M15)/1000,"")</f>
        <v>752.83916976284104</v>
      </c>
      <c r="H26" s="253">
        <f>IF('단위장비별(집계)2'!N15&gt;0,'단위장비별(집계)2'!N15/1000,"")</f>
        <v>9785.6569635045453</v>
      </c>
      <c r="I26" s="254"/>
    </row>
    <row r="27" spans="2:9" s="48" customFormat="1" ht="24.95" customHeight="1">
      <c r="B27" s="249">
        <v>10</v>
      </c>
      <c r="C27" s="871">
        <f>'단위장비별(집계)2'!B16</f>
        <v>0</v>
      </c>
      <c r="D27" s="872"/>
      <c r="E27" s="250" t="str">
        <f>IF('단위장비별(집계)2'!N16&gt;1,('단위장비별(집계)2'!D16+'단위장비별(집계)2'!E16+'단위장비별(집계)2'!F16+'단위장비별(집계)2'!G16+'단위장비별(집계)2'!H16+'단위장비별(집계)2'!I16)/1000," ")</f>
        <v xml:space="preserve"> </v>
      </c>
      <c r="F27" s="251"/>
      <c r="G27" s="252" t="str">
        <f>IF('단위장비별(집계)2'!N16&gt;0,('단위장비별(집계)2'!L16+'단위장비별(집계)2'!M16)/1000,"")</f>
        <v/>
      </c>
      <c r="H27" s="253" t="str">
        <f>IF('단위장비별(집계)2'!N16&gt;0,'단위장비별(집계)2'!N16/1000,"")</f>
        <v/>
      </c>
      <c r="I27" s="256"/>
    </row>
    <row r="28" spans="2:9" s="48" customFormat="1" ht="24.95" customHeight="1">
      <c r="B28" s="257">
        <v>11</v>
      </c>
      <c r="C28" s="871">
        <f>'단위장비별(집계)2'!B17</f>
        <v>0</v>
      </c>
      <c r="D28" s="872"/>
      <c r="E28" s="250" t="str">
        <f>IF('단위장비별(집계)2'!N17&gt;1,('단위장비별(집계)2'!D17+'단위장비별(집계)2'!E17+'단위장비별(집계)2'!F17+'단위장비별(집계)2'!G17+'단위장비별(집계)2'!H17+'단위장비별(집계)2'!I17)/1000," ")</f>
        <v xml:space="preserve"> </v>
      </c>
      <c r="F28" s="251"/>
      <c r="G28" s="252" t="str">
        <f>IF('단위장비별(집계)2'!N17&gt;0,('단위장비별(집계)2'!L17+'단위장비별(집계)2'!M17)/1000,"")</f>
        <v/>
      </c>
      <c r="H28" s="253" t="str">
        <f>IF('단위장비별(집계)2'!N17&gt;0,'단위장비별(집계)2'!N17/1000,"")</f>
        <v/>
      </c>
      <c r="I28" s="254"/>
    </row>
    <row r="29" spans="2:9" s="48" customFormat="1" ht="24.95" customHeight="1">
      <c r="B29" s="257">
        <v>12</v>
      </c>
      <c r="C29" s="871">
        <f>'단위장비별(집계)2'!B18</f>
        <v>0</v>
      </c>
      <c r="D29" s="872"/>
      <c r="E29" s="250" t="str">
        <f>IF('단위장비별(집계)2'!N18&gt;1,('단위장비별(집계)2'!D18+'단위장비별(집계)2'!E18+'단위장비별(집계)2'!F18+'단위장비별(집계)2'!G18+'단위장비별(집계)2'!H18+'단위장비별(집계)2'!I18)/1000," ")</f>
        <v xml:space="preserve"> </v>
      </c>
      <c r="F29" s="251"/>
      <c r="G29" s="252" t="str">
        <f>IF('단위장비별(집계)2'!N18&gt;0,('단위장비별(집계)2'!L18+'단위장비별(집계)2'!M18)/1000,"")</f>
        <v/>
      </c>
      <c r="H29" s="253" t="str">
        <f>IF('단위장비별(집계)2'!N18&gt;0,'단위장비별(집계)2'!N18/1000,"")</f>
        <v/>
      </c>
      <c r="I29" s="254"/>
    </row>
    <row r="30" spans="2:9" s="48" customFormat="1" ht="24.95" customHeight="1">
      <c r="B30" s="257">
        <v>13</v>
      </c>
      <c r="C30" s="871">
        <f>'단위장비별(집계)2'!B19</f>
        <v>0</v>
      </c>
      <c r="D30" s="872"/>
      <c r="E30" s="250" t="str">
        <f>IF('단위장비별(집계)2'!N19&gt;1,('단위장비별(집계)2'!D19+'단위장비별(집계)2'!E19+'단위장비별(집계)2'!F19+'단위장비별(집계)2'!G19+'단위장비별(집계)2'!H19+'단위장비별(집계)2'!I19)/1000," ")</f>
        <v xml:space="preserve"> </v>
      </c>
      <c r="F30" s="251"/>
      <c r="G30" s="252" t="str">
        <f>IF('단위장비별(집계)2'!N19&gt;0,('단위장비별(집계)2'!L19+'단위장비별(집계)2'!M19)/1000,"")</f>
        <v/>
      </c>
      <c r="H30" s="253" t="str">
        <f>IF('단위장비별(집계)2'!N19&gt;0,'단위장비별(집계)2'!N19/1000,"")</f>
        <v/>
      </c>
      <c r="I30" s="254"/>
    </row>
    <row r="31" spans="2:9" s="48" customFormat="1" ht="24.95" customHeight="1">
      <c r="B31" s="257">
        <v>14</v>
      </c>
      <c r="C31" s="871">
        <f>'단위장비별(집계)2'!B20</f>
        <v>0</v>
      </c>
      <c r="D31" s="872"/>
      <c r="E31" s="250" t="str">
        <f>IF('단위장비별(집계)2'!N20&gt;1,('단위장비별(집계)2'!D20+'단위장비별(집계)2'!E20+'단위장비별(집계)2'!F20+'단위장비별(집계)2'!G20+'단위장비별(집계)2'!H20+'단위장비별(집계)2'!I20)/1000," ")</f>
        <v xml:space="preserve"> </v>
      </c>
      <c r="F31" s="251"/>
      <c r="G31" s="252" t="str">
        <f>IF('단위장비별(집계)2'!N20&gt;0,('단위장비별(집계)2'!L20+'단위장비별(집계)2'!M20)/1000,"")</f>
        <v/>
      </c>
      <c r="H31" s="253" t="str">
        <f>IF('단위장비별(집계)2'!N20&gt;0,'단위장비별(집계)2'!N20/1000,"")</f>
        <v/>
      </c>
      <c r="I31" s="254"/>
    </row>
    <row r="32" spans="2:9" s="48" customFormat="1" ht="24.95" customHeight="1">
      <c r="B32" s="717">
        <v>15</v>
      </c>
      <c r="C32" s="892"/>
      <c r="D32" s="893"/>
      <c r="E32" s="718" t="str">
        <f>IF('단위장비별(집계)2'!N21&gt;1,('단위장비별(집계)2'!D21+'단위장비별(집계)2'!E21+'단위장비별(집계)2'!F21+'단위장비별(집계)2'!G21+'단위장비별(집계)2'!H21+'단위장비별(집계)2'!I21)/1000," ")</f>
        <v xml:space="preserve"> </v>
      </c>
      <c r="F32" s="719"/>
      <c r="G32" s="720" t="str">
        <f>IF('단위장비별(집계)2'!N21&gt;0,('단위장비별(집계)2'!L21+'단위장비별(집계)2'!M21)/1000,"")</f>
        <v/>
      </c>
      <c r="H32" s="721" t="str">
        <f>IF('단위장비별(집계)2'!N21&gt;0,'단위장비별(집계)2'!N21/1000,"")</f>
        <v/>
      </c>
      <c r="I32" s="722"/>
    </row>
    <row r="33" spans="1:12" ht="24.95" customHeight="1">
      <c r="B33" s="849" t="s">
        <v>214</v>
      </c>
      <c r="C33" s="850"/>
      <c r="D33" s="851"/>
      <c r="E33" s="258">
        <f>SUM(E18:E29)</f>
        <v>178664.95399999997</v>
      </c>
      <c r="F33" s="259">
        <f>SUM(F18:F29)</f>
        <v>133557.43500000003</v>
      </c>
      <c r="G33" s="259">
        <f>SUM(G18:G29)</f>
        <v>22777.983099999998</v>
      </c>
      <c r="H33" s="57">
        <f>ROUND(SUM(H18:H32),0)</f>
        <v>335000</v>
      </c>
      <c r="I33" s="112"/>
      <c r="J33" s="54"/>
      <c r="L33" s="54"/>
    </row>
    <row r="34" spans="1:12" ht="4.5" customHeight="1">
      <c r="A34" s="40"/>
      <c r="B34" s="41"/>
      <c r="C34" s="42"/>
      <c r="D34" s="42"/>
      <c r="E34" s="43"/>
      <c r="F34" s="43"/>
      <c r="G34" s="43"/>
      <c r="H34" s="43"/>
      <c r="I34" s="40"/>
    </row>
    <row r="35" spans="1:12" ht="24" customHeight="1">
      <c r="A35" s="40"/>
      <c r="B35" s="42"/>
      <c r="C35" s="42"/>
      <c r="D35" s="42"/>
      <c r="E35" s="43"/>
      <c r="F35" s="869" t="s">
        <v>42</v>
      </c>
      <c r="G35" s="870"/>
      <c r="H35" s="58"/>
      <c r="I35" s="40"/>
    </row>
    <row r="36" spans="1:12" ht="5.25" customHeight="1">
      <c r="A36" s="40"/>
      <c r="B36" s="42"/>
      <c r="C36" s="42"/>
      <c r="D36" s="42"/>
      <c r="E36" s="43"/>
      <c r="F36" s="43"/>
      <c r="G36" s="43"/>
      <c r="H36" s="43"/>
      <c r="I36" s="40"/>
    </row>
    <row r="37" spans="1:12" ht="22.5" customHeight="1">
      <c r="B37" s="855" t="s">
        <v>26</v>
      </c>
      <c r="C37" s="865" t="s">
        <v>24</v>
      </c>
      <c r="D37" s="866"/>
      <c r="E37" s="867"/>
      <c r="F37" s="874" t="s">
        <v>47</v>
      </c>
      <c r="G37" s="875"/>
      <c r="H37" s="875"/>
      <c r="I37" s="876"/>
    </row>
    <row r="38" spans="1:12" ht="22.5" customHeight="1">
      <c r="B38" s="856"/>
      <c r="C38" s="868" t="s">
        <v>25</v>
      </c>
      <c r="D38" s="853"/>
      <c r="E38" s="854"/>
      <c r="F38" s="51" t="s">
        <v>33</v>
      </c>
      <c r="G38" s="843"/>
      <c r="H38" s="844"/>
      <c r="I38" s="845"/>
    </row>
    <row r="39" spans="1:12" ht="22.5" customHeight="1">
      <c r="B39" s="856"/>
      <c r="C39" s="852" t="s">
        <v>1579</v>
      </c>
      <c r="D39" s="853"/>
      <c r="E39" s="854"/>
      <c r="F39" s="55" t="s">
        <v>34</v>
      </c>
      <c r="G39" s="846"/>
      <c r="H39" s="847"/>
      <c r="I39" s="848"/>
    </row>
    <row r="40" spans="1:12" ht="22.5" customHeight="1">
      <c r="B40" s="856"/>
      <c r="C40" s="852"/>
      <c r="D40" s="853"/>
      <c r="E40" s="854"/>
      <c r="F40" s="55" t="s">
        <v>35</v>
      </c>
      <c r="G40" s="846"/>
      <c r="H40" s="847"/>
      <c r="I40" s="848"/>
    </row>
    <row r="41" spans="1:12" ht="22.5" customHeight="1">
      <c r="B41" s="857"/>
      <c r="C41" s="889"/>
      <c r="D41" s="890"/>
      <c r="E41" s="891"/>
      <c r="F41" s="56" t="s">
        <v>36</v>
      </c>
      <c r="G41" s="860"/>
      <c r="H41" s="861"/>
      <c r="I41" s="862"/>
    </row>
    <row r="42" spans="1:12">
      <c r="B42" s="841"/>
      <c r="C42" s="842"/>
      <c r="D42" s="842"/>
      <c r="E42" s="842"/>
      <c r="F42" s="842"/>
      <c r="G42" s="842"/>
      <c r="H42" s="842"/>
      <c r="I42" s="842"/>
    </row>
    <row r="43" spans="1:12">
      <c r="B43" s="858"/>
      <c r="C43" s="859"/>
      <c r="D43" s="859"/>
      <c r="E43" s="859"/>
      <c r="F43" s="859"/>
      <c r="G43" s="859"/>
      <c r="H43" s="859"/>
      <c r="I43" s="859"/>
    </row>
  </sheetData>
  <mergeCells count="44">
    <mergeCell ref="C32:D32"/>
    <mergeCell ref="B5:C5"/>
    <mergeCell ref="B4:D4"/>
    <mergeCell ref="B6:C6"/>
    <mergeCell ref="B7:B8"/>
    <mergeCell ref="B11:C11"/>
    <mergeCell ref="C31:D31"/>
    <mergeCell ref="E16:H16"/>
    <mergeCell ref="C18:D18"/>
    <mergeCell ref="B16:B17"/>
    <mergeCell ref="C27:D27"/>
    <mergeCell ref="C41:E41"/>
    <mergeCell ref="C29:D29"/>
    <mergeCell ref="C28:D28"/>
    <mergeCell ref="C22:D22"/>
    <mergeCell ref="C19:D19"/>
    <mergeCell ref="C30:D30"/>
    <mergeCell ref="B2:I2"/>
    <mergeCell ref="F37:I37"/>
    <mergeCell ref="E4:F4"/>
    <mergeCell ref="G14:H14"/>
    <mergeCell ref="B9:C9"/>
    <mergeCell ref="C26:D26"/>
    <mergeCell ref="B10:C10"/>
    <mergeCell ref="C16:D17"/>
    <mergeCell ref="C24:D24"/>
    <mergeCell ref="C21:D21"/>
    <mergeCell ref="B43:I43"/>
    <mergeCell ref="G41:I41"/>
    <mergeCell ref="I16:I17"/>
    <mergeCell ref="C37:E37"/>
    <mergeCell ref="C38:E38"/>
    <mergeCell ref="F35:G35"/>
    <mergeCell ref="C20:D20"/>
    <mergeCell ref="C23:D23"/>
    <mergeCell ref="C25:D25"/>
    <mergeCell ref="C40:E40"/>
    <mergeCell ref="B42:I42"/>
    <mergeCell ref="G38:I38"/>
    <mergeCell ref="G40:I40"/>
    <mergeCell ref="B33:D33"/>
    <mergeCell ref="C39:E39"/>
    <mergeCell ref="B37:B41"/>
    <mergeCell ref="G39:I39"/>
  </mergeCells>
  <phoneticPr fontId="3" type="noConversion"/>
  <printOptions horizontalCentered="1"/>
  <pageMargins left="0.24" right="0.3" top="0.56000000000000005" bottom="0.39370078740157483" header="0.51181102362204722" footer="0.39370078740157483"/>
  <pageSetup paperSize="9" scale="91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D699C-01AF-45E8-B495-80B591E89FE9}">
  <sheetPr codeName="Sheet3">
    <pageSetUpPr fitToPage="1"/>
  </sheetPr>
  <dimension ref="B1:M50"/>
  <sheetViews>
    <sheetView zoomScale="80" zoomScaleNormal="80" workbookViewId="0">
      <pane ySplit="6" topLeftCell="A34" activePane="bottomLeft" state="frozen"/>
      <selection activeCell="K15" sqref="K15"/>
      <selection pane="bottomLeft" activeCell="M52" sqref="M52"/>
    </sheetView>
  </sheetViews>
  <sheetFormatPr defaultRowHeight="19.5" customHeight="1"/>
  <cols>
    <col min="1" max="1" width="0.5" style="2" customWidth="1"/>
    <col min="2" max="2" width="5.25" style="2" bestFit="1" customWidth="1"/>
    <col min="3" max="3" width="7.375" style="2" customWidth="1"/>
    <col min="4" max="4" width="8.875" style="2" customWidth="1"/>
    <col min="5" max="5" width="17.75" style="2" customWidth="1"/>
    <col min="6" max="6" width="6.375" style="3" customWidth="1"/>
    <col min="7" max="7" width="8.875" style="9" customWidth="1"/>
    <col min="8" max="8" width="9.75" style="14" customWidth="1"/>
    <col min="9" max="9" width="17.5" style="14" bestFit="1" customWidth="1"/>
    <col min="10" max="10" width="14.875" style="2" customWidth="1"/>
    <col min="11" max="11" width="18.125" style="23" bestFit="1" customWidth="1"/>
    <col min="12" max="12" width="10.875" style="2" bestFit="1" customWidth="1"/>
    <col min="13" max="16384" width="9" style="2"/>
  </cols>
  <sheetData>
    <row r="1" spans="2:11" s="201" customFormat="1" ht="19.5" customHeight="1">
      <c r="F1" s="202"/>
      <c r="G1" s="203"/>
      <c r="H1" s="204"/>
      <c r="I1" s="204"/>
      <c r="K1" s="205"/>
    </row>
    <row r="2" spans="2:11" s="212" customFormat="1" ht="26.25" customHeight="1">
      <c r="B2" s="84" t="s">
        <v>181</v>
      </c>
      <c r="C2" s="206"/>
      <c r="D2" s="207"/>
      <c r="E2" s="207"/>
      <c r="F2" s="208"/>
      <c r="G2" s="209"/>
      <c r="H2" s="210"/>
      <c r="I2" s="210"/>
      <c r="J2" s="207"/>
      <c r="K2" s="211"/>
    </row>
    <row r="3" spans="2:11" s="212" customFormat="1" ht="19.5" customHeight="1">
      <c r="B3" s="213"/>
      <c r="C3" s="206"/>
      <c r="D3" s="207"/>
      <c r="E3" s="207"/>
      <c r="F3" s="208"/>
      <c r="G3" s="209"/>
      <c r="H3" s="210"/>
      <c r="I3" s="210"/>
      <c r="J3" s="207"/>
      <c r="K3" s="211"/>
    </row>
    <row r="4" spans="2:11" ht="0.75" customHeight="1" thickBot="1">
      <c r="B4" s="33"/>
      <c r="C4" s="214"/>
      <c r="D4" s="30"/>
      <c r="J4" s="3"/>
    </row>
    <row r="5" spans="2:11" s="3" customFormat="1" ht="8.25" customHeight="1">
      <c r="B5" s="65"/>
      <c r="C5" s="907"/>
      <c r="D5" s="908"/>
      <c r="E5" s="909"/>
      <c r="F5" s="66"/>
      <c r="G5" s="67"/>
      <c r="H5" s="67"/>
      <c r="I5" s="67"/>
      <c r="J5" s="68"/>
      <c r="K5" s="24"/>
    </row>
    <row r="6" spans="2:11" s="3" customFormat="1" ht="22.5" customHeight="1" thickBot="1">
      <c r="B6" s="69" t="s">
        <v>165</v>
      </c>
      <c r="C6" s="910" t="s">
        <v>182</v>
      </c>
      <c r="D6" s="911"/>
      <c r="E6" s="912"/>
      <c r="F6" s="13" t="s">
        <v>125</v>
      </c>
      <c r="G6" s="15" t="s">
        <v>126</v>
      </c>
      <c r="H6" s="15" t="s">
        <v>183</v>
      </c>
      <c r="I6" s="15" t="s">
        <v>184</v>
      </c>
      <c r="J6" s="70" t="s">
        <v>185</v>
      </c>
      <c r="K6" s="24"/>
    </row>
    <row r="7" spans="2:11" ht="19.5" customHeight="1" thickTop="1">
      <c r="B7" s="904">
        <v>1</v>
      </c>
      <c r="C7" s="921" t="s">
        <v>14</v>
      </c>
      <c r="D7" s="916" t="s">
        <v>167</v>
      </c>
      <c r="E7" s="12" t="s">
        <v>186</v>
      </c>
      <c r="F7" s="36" t="s">
        <v>187</v>
      </c>
      <c r="G7" s="25">
        <f>단위장비1!F8+단위장비2!F13+단위장비3!F6+단위장비4!F8+단위장비5!F88+단위장비6!F8+단위장비7!F15+단위장비8!F28+단위장비9!F20+단위장비10!F15+단위장비11!F28+단위장비12!F23+단위장비13!F14+단위장비14!F14+단위장비15!F8</f>
        <v>121</v>
      </c>
      <c r="H7" s="16"/>
      <c r="I7" s="16">
        <f>단위장비1!H14+단위장비2!H13+단위장비3!H6+단위장비4!H8+단위장비5!H10+단위장비6!H11+단위장비7!H15+단위장비8!H28+단위장비9!H20+단위장비10!H15+단위장비11!H28+단위장비12!H23+단위장비13!H14+단위장비14!H14+단위장비15!H8</f>
        <v>2096000</v>
      </c>
      <c r="J7" s="703" t="s">
        <v>320</v>
      </c>
    </row>
    <row r="8" spans="2:11" ht="19.5" customHeight="1">
      <c r="B8" s="904"/>
      <c r="C8" s="916"/>
      <c r="D8" s="916"/>
      <c r="E8" s="5" t="s">
        <v>188</v>
      </c>
      <c r="F8" s="34" t="s">
        <v>189</v>
      </c>
      <c r="G8" s="26">
        <v>1</v>
      </c>
      <c r="H8" s="11"/>
      <c r="I8" s="11">
        <f>단위장비1!H104+단위장비2!H107+단위장비3!H97+단위장비4!H37+단위장비5!H137+단위장비6!H33+단위장비7!H41+단위장비8!H52+단위장비9!H51+단위장비10!H52+단위장비11!H53+단위장비12!H48+단위장비13!H34+단위장비14!H33+단위장비15!H24</f>
        <v>66866354</v>
      </c>
      <c r="J8" s="704" t="s">
        <v>321</v>
      </c>
    </row>
    <row r="9" spans="2:11" ht="19.5" customHeight="1">
      <c r="B9" s="904"/>
      <c r="C9" s="916"/>
      <c r="D9" s="916"/>
      <c r="E9" s="5" t="s">
        <v>134</v>
      </c>
      <c r="F9" s="34" t="s">
        <v>189</v>
      </c>
      <c r="G9" s="27">
        <v>1</v>
      </c>
      <c r="H9" s="11"/>
      <c r="I9" s="11">
        <f>단위장비1!H200+단위장비2!H229+단위장비3!H255+단위장비4!H61+단위장비5!H326+단위장비6!H71+단위장비7!H78+단위장비8!H104+단위장비9!H67+단위장비10!H139+단위장비11!H61+단위장비12!H56+단위장비13!H42+단위장비14!H45+단위장비15!H59</f>
        <v>75802600</v>
      </c>
      <c r="J9" s="704" t="s">
        <v>322</v>
      </c>
    </row>
    <row r="10" spans="2:11" ht="19.5" customHeight="1">
      <c r="B10" s="904"/>
      <c r="C10" s="916"/>
      <c r="D10" s="916"/>
      <c r="E10" s="705" t="s">
        <v>323</v>
      </c>
      <c r="F10" s="706" t="s">
        <v>189</v>
      </c>
      <c r="G10" s="707">
        <v>1</v>
      </c>
      <c r="H10" s="708"/>
      <c r="I10" s="708">
        <f>[151]단위장비1!H10</f>
        <v>0</v>
      </c>
      <c r="J10" s="709" t="s">
        <v>324</v>
      </c>
    </row>
    <row r="11" spans="2:11" ht="19.5" customHeight="1">
      <c r="B11" s="904"/>
      <c r="C11" s="916"/>
      <c r="D11" s="922"/>
      <c r="E11" s="6" t="s">
        <v>190</v>
      </c>
      <c r="F11" s="898"/>
      <c r="G11" s="899"/>
      <c r="H11" s="900"/>
      <c r="I11" s="17">
        <f>SUM(I7:I9)</f>
        <v>144764954</v>
      </c>
      <c r="J11" s="72"/>
    </row>
    <row r="12" spans="2:11" ht="19.5" customHeight="1">
      <c r="B12" s="904"/>
      <c r="C12" s="916"/>
      <c r="D12" s="923" t="s">
        <v>191</v>
      </c>
      <c r="E12" s="710" t="s">
        <v>137</v>
      </c>
      <c r="F12" s="706" t="s">
        <v>138</v>
      </c>
      <c r="G12" s="711">
        <f>단위장비1!F202+단위장비2!F231+단위장비3!F257+단위장비4!F63+단위장비5!F328+단위장비6!F73+단위장비7!F80+단위장비8!F106+단위장비9!F69+단위장비10!F141+단위장비11!F63+단위장비12!F58+단위장비13!F44+단위장비14!F47+단위장비15!F61</f>
        <v>0</v>
      </c>
      <c r="H12" s="711" t="str">
        <f>IF(단위장비1!G202&gt;0,단위장비1!G202,"")</f>
        <v/>
      </c>
      <c r="I12" s="712">
        <f>SUM(단위장비1!H202+단위장비2!H231+단위장비3!H257+단위장비4!H63+단위장비5!H328+단위장비6!H73+단위장비7!H80+단위장비8!H106+단위장비9!H69+단위장비10!H141+단위장비11!H63+단위장비12!H58+단위장비13!H44)+단위장비14!H47+단위장비15!H61</f>
        <v>0</v>
      </c>
      <c r="J12" s="72"/>
    </row>
    <row r="13" spans="2:11" ht="19.5" customHeight="1">
      <c r="B13" s="904"/>
      <c r="C13" s="916"/>
      <c r="D13" s="916"/>
      <c r="E13" s="5" t="s">
        <v>192</v>
      </c>
      <c r="F13" s="34" t="s">
        <v>138</v>
      </c>
      <c r="G13" s="11">
        <f xml:space="preserve"> 단위장비1!F203+단위장비2!F232+단위장비3!F258+단위장비4!F64+단위장비5!F329+단위장비6!F74+단위장비7!F81+단위장비8!F107+단위장비9!F70+단위장비10!F142+단위장비11!F64+단위장비12!F59+단위장비13!F45+단위장비14!F48+단위장비15!F62</f>
        <v>11</v>
      </c>
      <c r="H13" s="11">
        <f>IF(단위장비1!G203&gt;0,단위장비1!G203,"")</f>
        <v>350000</v>
      </c>
      <c r="I13" s="11">
        <f>단위장비1!H203+단위장비2!H232+단위장비3!H258+단위장비4!H64+단위장비5!H329+단위장비6!H74+단위장비7!H81+단위장비8!H107+단위장비9!H70+단위장비10!H142+단위장비11!H64+단위장비12!H59+단위장비13!H45+단위장비14!H48+단위장비15!H62</f>
        <v>3850000</v>
      </c>
      <c r="J13" s="72"/>
    </row>
    <row r="14" spans="2:11" ht="19.5" customHeight="1">
      <c r="B14" s="904"/>
      <c r="C14" s="916"/>
      <c r="D14" s="916"/>
      <c r="E14" s="5" t="s">
        <v>193</v>
      </c>
      <c r="F14" s="34" t="s">
        <v>138</v>
      </c>
      <c r="G14" s="11">
        <f>단위장비1!F204+단위장비2!F233+단위장비3!F259+단위장비4!F65+단위장비5!F330+단위장비7!F82+단위장비8!F108+단위장비9!F71+단위장비10!F143+단위장비11!F65+단위장비12!F60+단위장비13!F46+단위장비14!F49+단위장비15!F63</f>
        <v>24</v>
      </c>
      <c r="H14" s="11">
        <f>IF(단위장비1!G204&gt;0,단위장비1!G204,"")</f>
        <v>350000</v>
      </c>
      <c r="I14" s="11">
        <f>단위장비1!H204+단위장비2!H233+단위장비3!H259+단위장비4!H65+단위장비5!H330+단위장비6!H75+단위장비7!H82+단위장비8!H108+단위장비9!H71+단위장비10!H143+단위장비11!H65+단위장비12!H60+단위장비13!H46+단위장비14!H49+단위장비15!H63</f>
        <v>9800000</v>
      </c>
      <c r="J14" s="72"/>
    </row>
    <row r="15" spans="2:11" ht="19.5" customHeight="1">
      <c r="B15" s="904"/>
      <c r="C15" s="916"/>
      <c r="D15" s="916"/>
      <c r="E15" s="5" t="s">
        <v>194</v>
      </c>
      <c r="F15" s="34" t="s">
        <v>138</v>
      </c>
      <c r="G15" s="11">
        <f>단위장비1!F205+단위장비2!F234+단위장비3!F260+단위장비4!F66+단위장비5!F331+단위장비7!F83+단위장비8!F109+단위장비9!F72+단위장비10!F144+단위장비11!F66+단위장비12!F61+단위장비13!F47+단위장비14!F49+단위장비15!F64</f>
        <v>11</v>
      </c>
      <c r="H15" s="11">
        <f>IF(단위장비1!G205&gt;0,단위장비1!G205,"")</f>
        <v>350000</v>
      </c>
      <c r="I15" s="11">
        <f>단위장비1!H205+단위장비2!H234+단위장비3!H260+단위장비4!H66+단위장비5!H331+단위장비6!H76+단위장비7!H83+단위장비8!H109+단위장비9!H72+단위장비10!H144+단위장비11!H66+단위장비12!H61+단위장비13!H47+단위장비14!H50+단위장비15!H64</f>
        <v>4550000</v>
      </c>
      <c r="J15" s="72"/>
    </row>
    <row r="16" spans="2:11" ht="19.5" customHeight="1">
      <c r="B16" s="904"/>
      <c r="C16" s="916"/>
      <c r="D16" s="916"/>
      <c r="E16" s="710" t="s">
        <v>195</v>
      </c>
      <c r="F16" s="706" t="s">
        <v>138</v>
      </c>
      <c r="G16" s="711">
        <f>단위장비1!F206+단위장비2!F235+단위장비3!F261+단위장비4!F67+단위장비5!F332+단위장비6!F77+단위장비7!F84+단위장비8!F110+단위장비9!F73+단위장비10!F145+단위장비11!F67+단위장비12!F62+단위장비13!F48+단위장비14!F51+단위장비15!F65</f>
        <v>9</v>
      </c>
      <c r="H16" s="711">
        <f>IF(단위장비1!G206&gt;0,단위장비1!G206,"")</f>
        <v>350000</v>
      </c>
      <c r="I16" s="711">
        <f>단위장비1!H206+단위장비2!H235+단위장비3!H261+단위장비4!H67+단위장비5!H332+단위장비6!H77+단위장비7!H84+단위장비8!H110+단위장비9!H73+단위장비10!H145+단위장비11!H67+단위장비12!H62+단위장비13!H48+단위장비14!H51+단위장비15!H65</f>
        <v>3150000</v>
      </c>
      <c r="J16" s="72"/>
    </row>
    <row r="17" spans="2:11" ht="19.5" customHeight="1">
      <c r="B17" s="904"/>
      <c r="C17" s="916"/>
      <c r="D17" s="916"/>
      <c r="E17" s="710" t="s">
        <v>196</v>
      </c>
      <c r="F17" s="706" t="s">
        <v>138</v>
      </c>
      <c r="G17" s="711">
        <f>단위장비1!F207+단위장비2!F236+단위장비3!F262+단위장비4!F68+단위장비5!F333+단위장비6!F78+단위장비7!F85+단위장비8!F111+단위장비9!F74+단위장비10!F146+단위장비11!F68+단위장비12!F63+단위장비13!F49+단위장비14!F52+단위장비15!F66</f>
        <v>4</v>
      </c>
      <c r="H17" s="711">
        <f>IF(단위장비1!G207&gt;0,단위장비1!G207,"")</f>
        <v>350000</v>
      </c>
      <c r="I17" s="711">
        <f>단위장비1!H207+단위장비2!H236+단위장비3!H262+단위장비4!H68+단위장비5!H333+단위장비6!H78+단위장비7!H85+단위장비8!H111+단위장비9!H74+단위장비10!H146+단위장비11!H68+단위장비12!H63+단위장비13!H49+단위장비14!H52+단위장비15!H66</f>
        <v>1400000</v>
      </c>
      <c r="J17" s="72"/>
    </row>
    <row r="18" spans="2:11" ht="19.5" customHeight="1">
      <c r="B18" s="904"/>
      <c r="C18" s="916"/>
      <c r="D18" s="916"/>
      <c r="E18" s="5" t="s">
        <v>171</v>
      </c>
      <c r="F18" s="34" t="s">
        <v>138</v>
      </c>
      <c r="G18" s="11">
        <f>단위장비1!F208+단위장비2!F237+단위장비3!F263+단위장비4!F69+단위장비5!F334+단위장비6!F79+단위장비7!F86+단위장비8!F112+단위장비9!F75+단위장비10!F147+단위장비11!F69+단위장비12!F64+단위장비13!F50+단위장비14!F53+단위장비15!F67</f>
        <v>0</v>
      </c>
      <c r="H18" s="11">
        <f>IF(단위장비1!G208&gt;0,단위장비1!G208,"")</f>
        <v>350000</v>
      </c>
      <c r="I18" s="11">
        <f>단위장비1!H208+단위장비2!H237+단위장비3!H263+단위장비4!H69+단위장비5!H334+단위장비6!H79+단위장비7!H86+단위장비8!H112+단위장비9!H75+단위장비10!H147+단위장비11!H69+단위장비12!H64+단위장비13!H50+단위장비14!H53+단위장비15!H67</f>
        <v>0</v>
      </c>
      <c r="J18" s="72"/>
    </row>
    <row r="19" spans="2:11" ht="19.5" customHeight="1">
      <c r="B19" s="904"/>
      <c r="C19" s="916"/>
      <c r="D19" s="916"/>
      <c r="E19" s="5" t="s">
        <v>197</v>
      </c>
      <c r="F19" s="34" t="s">
        <v>138</v>
      </c>
      <c r="G19" s="11">
        <f>단위장비1!F209+단위장비2!F238+단위장비3!F264+단위장비4!F70+단위장비5!F335+단위장비6!F80+단위장비7!F87+단위장비8!F113+단위장비9!F76+단위장비10!F148+단위장비11!F70+단위장비12!F65+단위장비13!F51+단위장비14!F54+단위장비15!F68</f>
        <v>9</v>
      </c>
      <c r="H19" s="11">
        <f>IF(단위장비1!G209&gt;0,단위장비1!G209,"")</f>
        <v>350000</v>
      </c>
      <c r="I19" s="11">
        <f>단위장비1!H209+단위장비2!H238+단위장비3!H264+단위장비4!H70+단위장비5!H335+단위장비6!H80+단위장비7!H87+단위장비8!H113+단위장비9!H76+단위장비10!H148+단위장비11!H70+단위장비12!H65+단위장비13!H51+단위장비14!H54+단위장비15!H68</f>
        <v>3150000</v>
      </c>
      <c r="J19" s="72"/>
    </row>
    <row r="20" spans="2:11" ht="19.5" customHeight="1">
      <c r="B20" s="904"/>
      <c r="C20" s="916"/>
      <c r="D20" s="922"/>
      <c r="E20" s="6" t="s">
        <v>190</v>
      </c>
      <c r="F20" s="898"/>
      <c r="G20" s="899"/>
      <c r="H20" s="900"/>
      <c r="I20" s="17">
        <f>SUM(I12:I19)</f>
        <v>25900000</v>
      </c>
      <c r="J20" s="72"/>
    </row>
    <row r="21" spans="2:11" ht="19.5" customHeight="1">
      <c r="B21" s="904"/>
      <c r="C21" s="916"/>
      <c r="D21" s="32" t="s">
        <v>198</v>
      </c>
      <c r="E21" s="31"/>
      <c r="F21" s="898"/>
      <c r="G21" s="899"/>
      <c r="H21" s="900"/>
      <c r="I21" s="20">
        <f>단위장비1!H212+단위장비1!H213+단위장비2!H241+단위장비2!H242+단위장비3!H267+단위장비3!H268+단위장비4!H73+단위장비4!H74+단위장비5!H338+단위장비5!H339+단위장비6!H83+단위장비6!H84+단위장비7!H90+단위장비7!H91+단위장비8!H116+단위장비8!H117+단위장비9!H79+단위장비9!H80+단위장비10!H151+단위장비10!H152+단위장비11!H73+단위장비11!H74+단위장비12!H68+단위장비12!H69+단위장비13!H54+단위장비13!H55+단위장비14!H57+단위장비14!H58+단위장비15!H71+단위장비15!H72</f>
        <v>22155983.100000001</v>
      </c>
      <c r="J21" s="73"/>
    </row>
    <row r="22" spans="2:11" ht="19.5" customHeight="1">
      <c r="B22" s="905"/>
      <c r="C22" s="917"/>
      <c r="D22" s="7"/>
      <c r="E22" s="8" t="s">
        <v>199</v>
      </c>
      <c r="F22" s="901"/>
      <c r="G22" s="902"/>
      <c r="H22" s="903"/>
      <c r="I22" s="18">
        <f>I20+I11+I21</f>
        <v>192820937.09999999</v>
      </c>
      <c r="J22" s="74"/>
    </row>
    <row r="23" spans="2:11" ht="19.5" customHeight="1">
      <c r="B23" s="906">
        <v>2</v>
      </c>
      <c r="C23" s="913" t="s">
        <v>15</v>
      </c>
      <c r="D23" s="924" t="s">
        <v>167</v>
      </c>
      <c r="E23" s="4" t="s">
        <v>200</v>
      </c>
      <c r="F23" s="35" t="s">
        <v>189</v>
      </c>
      <c r="G23" s="10">
        <v>1</v>
      </c>
      <c r="H23" s="10"/>
      <c r="I23" s="10">
        <f>전기!H152</f>
        <v>83586900</v>
      </c>
      <c r="J23" s="75"/>
    </row>
    <row r="24" spans="2:11" ht="19.5" customHeight="1">
      <c r="B24" s="904"/>
      <c r="C24" s="914"/>
      <c r="D24" s="925"/>
      <c r="E24" s="705" t="s">
        <v>323</v>
      </c>
      <c r="F24" s="706" t="s">
        <v>189</v>
      </c>
      <c r="G24" s="707">
        <v>1</v>
      </c>
      <c r="H24" s="708"/>
      <c r="I24" s="708">
        <f>[151]단위장비1!H24</f>
        <v>0</v>
      </c>
      <c r="J24" s="71"/>
    </row>
    <row r="25" spans="2:11" ht="19.5" customHeight="1">
      <c r="B25" s="904"/>
      <c r="C25" s="915"/>
      <c r="D25" s="923" t="s">
        <v>191</v>
      </c>
      <c r="E25" s="710" t="s">
        <v>201</v>
      </c>
      <c r="F25" s="706" t="s">
        <v>138</v>
      </c>
      <c r="G25" s="711">
        <f>전기!F153</f>
        <v>0</v>
      </c>
      <c r="H25" s="711" t="str">
        <f>IF(전기!G153&gt;0,전기!G153,"")</f>
        <v/>
      </c>
      <c r="I25" s="711">
        <f>전기!H153</f>
        <v>0</v>
      </c>
      <c r="J25" s="72"/>
      <c r="K25" s="298"/>
    </row>
    <row r="26" spans="2:11" ht="19.5" customHeight="1">
      <c r="B26" s="904"/>
      <c r="C26" s="915"/>
      <c r="D26" s="916"/>
      <c r="E26" s="5" t="s">
        <v>202</v>
      </c>
      <c r="F26" s="34" t="s">
        <v>138</v>
      </c>
      <c r="G26" s="11">
        <f>전기!F154</f>
        <v>7</v>
      </c>
      <c r="H26" s="11">
        <f>IF(전기!G154&gt;0,전기!G154,"")</f>
        <v>350000</v>
      </c>
      <c r="I26" s="11">
        <f>전기!H154</f>
        <v>2450000</v>
      </c>
      <c r="J26" s="72"/>
      <c r="K26" s="298"/>
    </row>
    <row r="27" spans="2:11" ht="19.5" customHeight="1">
      <c r="B27" s="904"/>
      <c r="C27" s="915"/>
      <c r="D27" s="916"/>
      <c r="E27" s="5" t="s">
        <v>169</v>
      </c>
      <c r="F27" s="34" t="s">
        <v>138</v>
      </c>
      <c r="G27" s="11">
        <f>전기!F155</f>
        <v>7</v>
      </c>
      <c r="H27" s="11">
        <f>IF(전기!G155&gt;0,전기!G155,"")</f>
        <v>350000</v>
      </c>
      <c r="I27" s="11">
        <f>전기!H155</f>
        <v>2450000</v>
      </c>
      <c r="J27" s="72"/>
      <c r="K27" s="298"/>
    </row>
    <row r="28" spans="2:11" ht="19.5" customHeight="1">
      <c r="B28" s="904"/>
      <c r="C28" s="915"/>
      <c r="D28" s="916"/>
      <c r="E28" s="5" t="s">
        <v>194</v>
      </c>
      <c r="F28" s="34" t="s">
        <v>138</v>
      </c>
      <c r="G28" s="11">
        <f>전기!F156</f>
        <v>7</v>
      </c>
      <c r="H28" s="11">
        <f>IF(전기!G156&gt;0,전기!G156,"")</f>
        <v>350000</v>
      </c>
      <c r="I28" s="11">
        <f>전기!H156</f>
        <v>2450000</v>
      </c>
      <c r="J28" s="72"/>
      <c r="K28" s="298"/>
    </row>
    <row r="29" spans="2:11" ht="19.5" customHeight="1">
      <c r="B29" s="904"/>
      <c r="C29" s="915"/>
      <c r="D29" s="916"/>
      <c r="E29" s="710" t="s">
        <v>195</v>
      </c>
      <c r="F29" s="706" t="s">
        <v>138</v>
      </c>
      <c r="G29" s="711">
        <f>전기!F157</f>
        <v>7</v>
      </c>
      <c r="H29" s="711">
        <f>IF(전기!G157&gt;0,전기!G157,"")</f>
        <v>350000</v>
      </c>
      <c r="I29" s="711">
        <f>전기!H157</f>
        <v>2450000</v>
      </c>
      <c r="J29" s="72"/>
      <c r="K29" s="298"/>
    </row>
    <row r="30" spans="2:11" ht="19.5" customHeight="1">
      <c r="B30" s="904"/>
      <c r="C30" s="915"/>
      <c r="D30" s="916"/>
      <c r="E30" s="710" t="s">
        <v>196</v>
      </c>
      <c r="F30" s="706" t="s">
        <v>138</v>
      </c>
      <c r="G30" s="711">
        <f>전기!F158</f>
        <v>15</v>
      </c>
      <c r="H30" s="711">
        <f>IF(전기!G158&gt;0,전기!G158,"")</f>
        <v>650000</v>
      </c>
      <c r="I30" s="711">
        <f>전기!H158</f>
        <v>9750000</v>
      </c>
      <c r="J30" s="72"/>
      <c r="K30" s="298"/>
    </row>
    <row r="31" spans="2:11" ht="19.5" customHeight="1">
      <c r="B31" s="904"/>
      <c r="C31" s="915"/>
      <c r="D31" s="916"/>
      <c r="E31" s="5" t="s">
        <v>171</v>
      </c>
      <c r="F31" s="34" t="s">
        <v>138</v>
      </c>
      <c r="G31" s="11">
        <f>전기!F159</f>
        <v>20</v>
      </c>
      <c r="H31" s="11">
        <f>IF(전기!G159&gt;0,전기!G159,"")</f>
        <v>650000</v>
      </c>
      <c r="I31" s="11">
        <f>전기!H159</f>
        <v>13000000</v>
      </c>
      <c r="J31" s="72"/>
      <c r="K31" s="298"/>
    </row>
    <row r="32" spans="2:11" ht="19.5" customHeight="1">
      <c r="B32" s="904"/>
      <c r="C32" s="915"/>
      <c r="D32" s="922"/>
      <c r="E32" s="6" t="s">
        <v>203</v>
      </c>
      <c r="F32" s="898"/>
      <c r="G32" s="899"/>
      <c r="H32" s="900"/>
      <c r="I32" s="17">
        <f>SUM(I25:I31)</f>
        <v>32550000</v>
      </c>
      <c r="J32" s="72"/>
    </row>
    <row r="33" spans="2:13" ht="19.5" customHeight="1">
      <c r="B33" s="904"/>
      <c r="C33" s="916"/>
      <c r="D33" s="32" t="s">
        <v>198</v>
      </c>
      <c r="E33" s="31"/>
      <c r="F33" s="898"/>
      <c r="G33" s="899"/>
      <c r="H33" s="900"/>
      <c r="I33" s="20">
        <f>전기!H162+전기!H163</f>
        <v>17420535</v>
      </c>
      <c r="J33" s="73"/>
    </row>
    <row r="34" spans="2:13" ht="19.5" customHeight="1">
      <c r="B34" s="905"/>
      <c r="C34" s="917"/>
      <c r="D34" s="7"/>
      <c r="E34" s="8" t="s">
        <v>204</v>
      </c>
      <c r="F34" s="901"/>
      <c r="G34" s="902"/>
      <c r="H34" s="903"/>
      <c r="I34" s="18">
        <f>I32+I23+I33</f>
        <v>133557435</v>
      </c>
      <c r="J34" s="74"/>
    </row>
    <row r="35" spans="2:13" ht="19.5" customHeight="1">
      <c r="B35" s="937">
        <v>3</v>
      </c>
      <c r="C35" s="918" t="s">
        <v>205</v>
      </c>
      <c r="D35" s="919"/>
      <c r="E35" s="920"/>
      <c r="F35" s="918"/>
      <c r="G35" s="919"/>
      <c r="H35" s="920"/>
      <c r="I35" s="19">
        <f>I23+I11</f>
        <v>228351854</v>
      </c>
      <c r="J35" s="75"/>
    </row>
    <row r="36" spans="2:13" ht="19.5" customHeight="1">
      <c r="B36" s="938"/>
      <c r="C36" s="898" t="s">
        <v>206</v>
      </c>
      <c r="D36" s="899"/>
      <c r="E36" s="900"/>
      <c r="F36" s="898"/>
      <c r="G36" s="899"/>
      <c r="H36" s="900"/>
      <c r="I36" s="17">
        <f>I32+I20</f>
        <v>58450000</v>
      </c>
      <c r="J36" s="72"/>
    </row>
    <row r="37" spans="2:13" ht="19.5" customHeight="1">
      <c r="B37" s="938"/>
      <c r="C37" s="935" t="s">
        <v>207</v>
      </c>
      <c r="D37" s="935"/>
      <c r="E37" s="936"/>
      <c r="F37" s="923"/>
      <c r="G37" s="935"/>
      <c r="H37" s="936"/>
      <c r="I37" s="20">
        <f>I36+I35</f>
        <v>286801854</v>
      </c>
      <c r="J37" s="73"/>
    </row>
    <row r="38" spans="2:13" ht="20.25" customHeight="1">
      <c r="B38" s="76">
        <v>4</v>
      </c>
      <c r="C38" s="918" t="s">
        <v>208</v>
      </c>
      <c r="D38" s="919"/>
      <c r="E38" s="920"/>
      <c r="F38" s="918"/>
      <c r="G38" s="919"/>
      <c r="H38" s="939"/>
      <c r="I38" s="64">
        <v>8000000</v>
      </c>
      <c r="J38" s="77"/>
    </row>
    <row r="39" spans="2:13" ht="22.5" customHeight="1">
      <c r="B39" s="78">
        <v>5</v>
      </c>
      <c r="C39" s="898" t="s">
        <v>1</v>
      </c>
      <c r="D39" s="899"/>
      <c r="E39" s="900"/>
      <c r="F39" s="940" t="s">
        <v>325</v>
      </c>
      <c r="G39" s="941"/>
      <c r="H39" s="942"/>
      <c r="I39" s="29">
        <f>CEILING(MIN(I48:I49),1000)</f>
        <v>622000</v>
      </c>
      <c r="J39" s="713">
        <f>I30+I29+I25+I24+I17+I16+I12+I10</f>
        <v>16750000</v>
      </c>
      <c r="K39" s="100"/>
      <c r="M39" s="37"/>
    </row>
    <row r="40" spans="2:13" ht="20.25" customHeight="1">
      <c r="B40" s="78">
        <v>6</v>
      </c>
      <c r="C40" s="898" t="s">
        <v>147</v>
      </c>
      <c r="D40" s="899"/>
      <c r="E40" s="900"/>
      <c r="F40" s="926"/>
      <c r="G40" s="927"/>
      <c r="H40" s="928"/>
      <c r="I40" s="17">
        <f>전기!H162+단위장비1!H212+단위장비2!H241+단위장비3!H267+단위장비4!H73+단위장비5!H338+단위장비6!H83+단위장비7!H90+단위장비8!H116+단위장비9!H79+단위장비10!H151+단위장비11!H73+단위장비12!H68+단위장비13!H54+단위장비14!H57+단위장비15!H71</f>
        <v>13192172.700000001</v>
      </c>
      <c r="J40" s="72"/>
    </row>
    <row r="41" spans="2:13" ht="20.25" customHeight="1">
      <c r="B41" s="79">
        <v>7</v>
      </c>
      <c r="C41" s="901" t="s">
        <v>209</v>
      </c>
      <c r="D41" s="902"/>
      <c r="E41" s="903"/>
      <c r="F41" s="929"/>
      <c r="G41" s="930"/>
      <c r="H41" s="931"/>
      <c r="I41" s="20">
        <f>전기!H163+단위장비1!H213+단위장비2!H242+단위장비3!H268+단위장비4!H74+단위장비5!H339+단위장비6!H84+단위장비7!H91+단위장비8!H117+단위장비9!H80+단위장비10!H152+단위장비11!H74+단위장비12!H69+단위장비13!H55+단위장비14!H58+단위장비15!H72</f>
        <v>26384345.400000002</v>
      </c>
      <c r="J41" s="73"/>
      <c r="K41" s="2"/>
    </row>
    <row r="42" spans="2:13" ht="28.5" customHeight="1" thickBot="1">
      <c r="B42" s="80"/>
      <c r="C42" s="951" t="s">
        <v>210</v>
      </c>
      <c r="D42" s="951"/>
      <c r="E42" s="951"/>
      <c r="F42" s="932" t="s">
        <v>211</v>
      </c>
      <c r="G42" s="933"/>
      <c r="H42" s="934"/>
      <c r="I42" s="21">
        <f>I22+I34+I38+I39</f>
        <v>335000372.10000002</v>
      </c>
      <c r="J42" s="81"/>
      <c r="K42" s="2"/>
    </row>
    <row r="43" spans="2:13" ht="19.5" customHeight="1">
      <c r="B43" s="2" t="s">
        <v>212</v>
      </c>
      <c r="C43" s="3"/>
      <c r="D43" s="3"/>
      <c r="E43" s="3"/>
    </row>
    <row r="44" spans="2:13" ht="19.5" customHeight="1">
      <c r="B44" s="2" t="s">
        <v>213</v>
      </c>
      <c r="C44" s="3"/>
      <c r="D44" s="3"/>
      <c r="E44" s="3"/>
    </row>
    <row r="45" spans="2:13" ht="13.5" customHeight="1">
      <c r="C45" s="3"/>
      <c r="D45" s="3"/>
      <c r="E45" s="3"/>
    </row>
    <row r="46" spans="2:13" ht="13.5" customHeight="1">
      <c r="B46" s="952"/>
      <c r="C46" s="953"/>
      <c r="D46" s="953"/>
      <c r="E46" s="953"/>
      <c r="F46" s="953"/>
      <c r="G46" s="953"/>
      <c r="H46" s="953"/>
      <c r="I46" s="953"/>
      <c r="J46" s="953"/>
    </row>
    <row r="47" spans="2:13" ht="19.5" customHeight="1">
      <c r="E47" s="943" t="s">
        <v>310</v>
      </c>
      <c r="F47" s="946" t="s">
        <v>311</v>
      </c>
      <c r="G47" s="947"/>
      <c r="H47" s="948"/>
      <c r="I47" s="693" t="s">
        <v>312</v>
      </c>
      <c r="J47" s="694" t="s">
        <v>313</v>
      </c>
      <c r="K47" s="695" t="s">
        <v>314</v>
      </c>
    </row>
    <row r="48" spans="2:13" ht="19.5" customHeight="1">
      <c r="E48" s="944"/>
      <c r="F48" s="949" t="s">
        <v>315</v>
      </c>
      <c r="G48" s="950"/>
      <c r="H48" s="950"/>
      <c r="I48" s="17">
        <f>IF(J48&lt;500000000,J48*0.0309,1)+IF(J48&gt;500000000,J48*0.0199+5499000)*IF(J48&gt;5000000000,0,1)+IF(J48&gt;5000000000,J48*0.021,0)</f>
        <v>9109377.2885999996</v>
      </c>
      <c r="J48" s="696">
        <f>SUM(I7:I10,I12:I19,I23:I31,I38)</f>
        <v>294801854</v>
      </c>
      <c r="K48" s="696" t="s">
        <v>316</v>
      </c>
    </row>
    <row r="49" spans="5:11" ht="19.5" customHeight="1">
      <c r="E49" s="945"/>
      <c r="F49" s="949" t="s">
        <v>317</v>
      </c>
      <c r="G49" s="950"/>
      <c r="H49" s="950"/>
      <c r="I49" s="17">
        <f>(IF(J49&lt;500000000,J49*0.0309,1)+IF(J49&gt;500000000,J49*0.0199+5499000)*IF(J49&gt;5000000000,0,1)+IF(J49&gt;5000000000,J49*0.021,0))*1.2</f>
        <v>621090</v>
      </c>
      <c r="J49" s="697">
        <f>SUM(I10,I24:I25,I12,I16:I17,I29:I30)</f>
        <v>16750000</v>
      </c>
      <c r="K49" s="696" t="s">
        <v>318</v>
      </c>
    </row>
    <row r="50" spans="5:11" ht="19.5" customHeight="1">
      <c r="E50" s="698"/>
      <c r="F50" s="699"/>
      <c r="G50" s="700" t="s">
        <v>319</v>
      </c>
      <c r="H50" s="701"/>
      <c r="I50" s="701"/>
      <c r="J50" s="698"/>
      <c r="K50" s="702"/>
    </row>
  </sheetData>
  <mergeCells count="39">
    <mergeCell ref="E47:E49"/>
    <mergeCell ref="F47:H47"/>
    <mergeCell ref="F48:H48"/>
    <mergeCell ref="F49:H49"/>
    <mergeCell ref="C42:E42"/>
    <mergeCell ref="B46:J46"/>
    <mergeCell ref="B35:B37"/>
    <mergeCell ref="C35:E35"/>
    <mergeCell ref="C36:E36"/>
    <mergeCell ref="C37:E37"/>
    <mergeCell ref="F38:H38"/>
    <mergeCell ref="F39:H39"/>
    <mergeCell ref="F36:H36"/>
    <mergeCell ref="C39:E39"/>
    <mergeCell ref="C38:E38"/>
    <mergeCell ref="F40:H40"/>
    <mergeCell ref="F41:H41"/>
    <mergeCell ref="F42:H42"/>
    <mergeCell ref="C40:E40"/>
    <mergeCell ref="C41:E41"/>
    <mergeCell ref="F37:H37"/>
    <mergeCell ref="C5:E5"/>
    <mergeCell ref="C6:E6"/>
    <mergeCell ref="C23:C34"/>
    <mergeCell ref="F35:H35"/>
    <mergeCell ref="C7:C22"/>
    <mergeCell ref="D7:D11"/>
    <mergeCell ref="D25:D32"/>
    <mergeCell ref="D12:D20"/>
    <mergeCell ref="D23:D24"/>
    <mergeCell ref="F21:H21"/>
    <mergeCell ref="F11:H11"/>
    <mergeCell ref="F32:H32"/>
    <mergeCell ref="F33:H33"/>
    <mergeCell ref="F34:H34"/>
    <mergeCell ref="F20:H20"/>
    <mergeCell ref="B7:B22"/>
    <mergeCell ref="B23:B34"/>
    <mergeCell ref="F22:H22"/>
  </mergeCells>
  <phoneticPr fontId="3" type="noConversion"/>
  <printOptions horizontalCentered="1"/>
  <pageMargins left="0.39370078740157483" right="0.39370078740157483" top="0.59055118110236227" bottom="0.39370078740157483" header="0.51181102362204722" footer="0.23622047244094491"/>
  <pageSetup paperSize="9" scale="87" orientation="portrait" horizontalDpi="4294967292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EE388-FA73-4A0F-B1B0-70CE73164DDF}">
  <sheetPr codeName="Sheet4">
    <pageSetUpPr fitToPage="1"/>
  </sheetPr>
  <dimension ref="A2:P29"/>
  <sheetViews>
    <sheetView zoomScale="80" zoomScaleNormal="80" workbookViewId="0">
      <pane xSplit="3" ySplit="6" topLeftCell="D16" activePane="bottomRight" state="frozen"/>
      <selection pane="topRight" activeCell="D1" sqref="D1"/>
      <selection pane="bottomLeft" activeCell="A7" sqref="A7"/>
      <selection pane="bottomRight" activeCell="J27" sqref="J27"/>
    </sheetView>
  </sheetViews>
  <sheetFormatPr defaultRowHeight="17.25" customHeight="1"/>
  <cols>
    <col min="1" max="1" width="5" style="113" customWidth="1"/>
    <col min="2" max="2" width="20.125" style="113" customWidth="1"/>
    <col min="3" max="3" width="6.25" style="113" customWidth="1"/>
    <col min="4" max="8" width="11.875" style="113" customWidth="1"/>
    <col min="9" max="9" width="13" style="113" customWidth="1"/>
    <col min="10" max="11" width="13.875" style="113" customWidth="1"/>
    <col min="12" max="12" width="14.5" style="113" bestFit="1" customWidth="1"/>
    <col min="13" max="13" width="17.375" style="113" bestFit="1" customWidth="1"/>
    <col min="14" max="14" width="15.125" style="113" customWidth="1"/>
    <col min="15" max="15" width="10.375" style="113" customWidth="1"/>
    <col min="16" max="16" width="17.875" style="113" customWidth="1"/>
    <col min="17" max="17" width="14" style="113" customWidth="1"/>
    <col min="18" max="16384" width="9" style="113"/>
  </cols>
  <sheetData>
    <row r="2" spans="1:16" s="149" customFormat="1" ht="31.5" customHeight="1">
      <c r="A2" s="84" t="s">
        <v>161</v>
      </c>
    </row>
    <row r="3" spans="1:16" s="149" customFormat="1" ht="17.25" customHeight="1" thickBot="1">
      <c r="N3" s="149" t="s">
        <v>162</v>
      </c>
    </row>
    <row r="4" spans="1:16" s="155" customFormat="1" ht="8.25" customHeight="1">
      <c r="A4" s="150"/>
      <c r="B4" s="150"/>
      <c r="C4" s="150"/>
      <c r="D4" s="957"/>
      <c r="E4" s="958"/>
      <c r="F4" s="958"/>
      <c r="G4" s="958"/>
      <c r="H4" s="958"/>
      <c r="I4" s="958"/>
      <c r="J4" s="959"/>
      <c r="K4" s="151"/>
      <c r="L4" s="151"/>
      <c r="M4" s="152"/>
      <c r="N4" s="153"/>
      <c r="O4" s="154"/>
    </row>
    <row r="5" spans="1:16" s="164" customFormat="1" ht="25.5" customHeight="1">
      <c r="A5" s="156"/>
      <c r="B5" s="156"/>
      <c r="C5" s="156"/>
      <c r="D5" s="157"/>
      <c r="E5" s="151"/>
      <c r="F5" s="151"/>
      <c r="G5" s="151"/>
      <c r="H5" s="151"/>
      <c r="I5" s="158" t="s">
        <v>163</v>
      </c>
      <c r="J5" s="159"/>
      <c r="K5" s="160"/>
      <c r="L5" s="160" t="s">
        <v>164</v>
      </c>
      <c r="M5" s="161" t="s">
        <v>147</v>
      </c>
      <c r="N5" s="162"/>
      <c r="O5" s="163"/>
    </row>
    <row r="6" spans="1:16" s="164" customFormat="1" ht="25.5" customHeight="1" thickBot="1">
      <c r="A6" s="165" t="s">
        <v>165</v>
      </c>
      <c r="B6" s="165" t="s">
        <v>166</v>
      </c>
      <c r="C6" s="165" t="s">
        <v>126</v>
      </c>
      <c r="D6" s="166" t="s">
        <v>167</v>
      </c>
      <c r="E6" s="167" t="s">
        <v>168</v>
      </c>
      <c r="F6" s="167" t="s">
        <v>169</v>
      </c>
      <c r="G6" s="167" t="s">
        <v>170</v>
      </c>
      <c r="H6" s="167" t="s">
        <v>171</v>
      </c>
      <c r="I6" s="168" t="s">
        <v>172</v>
      </c>
      <c r="J6" s="169" t="s">
        <v>173</v>
      </c>
      <c r="K6" s="167" t="s">
        <v>174</v>
      </c>
      <c r="L6" s="167" t="s">
        <v>175</v>
      </c>
      <c r="M6" s="170" t="s">
        <v>176</v>
      </c>
      <c r="N6" s="171" t="s">
        <v>177</v>
      </c>
      <c r="O6" s="172" t="s">
        <v>178</v>
      </c>
    </row>
    <row r="7" spans="1:16" s="181" customFormat="1" ht="25.5" customHeight="1" thickTop="1">
      <c r="A7" s="173">
        <f>IF(B7&gt;0,1,"")</f>
        <v>1</v>
      </c>
      <c r="B7" s="241" t="str">
        <f>단위장비1!C$1</f>
        <v>BASE PART</v>
      </c>
      <c r="C7" s="496" t="s">
        <v>295</v>
      </c>
      <c r="D7" s="174">
        <f>단위장비1!H201</f>
        <v>22958400</v>
      </c>
      <c r="E7" s="175">
        <f>단위장비1!H202</f>
        <v>0</v>
      </c>
      <c r="F7" s="175">
        <f>단위장비1!H203+단위장비1!H204+단위장비1!H205+단위장비1!H209</f>
        <v>3850000</v>
      </c>
      <c r="G7" s="175">
        <f>단위장비1!H206+단위장비1!H207</f>
        <v>700000</v>
      </c>
      <c r="H7" s="175">
        <f>단위장비1!H208</f>
        <v>0</v>
      </c>
      <c r="I7" s="176">
        <f>IF($B7&gt;0,'원가항목별(집계)1'!I$38*$P7/$P$22,0)</f>
        <v>1169619.8731937394</v>
      </c>
      <c r="J7" s="177">
        <f>SUM(D7:I7)</f>
        <v>28678019.873193741</v>
      </c>
      <c r="K7" s="175">
        <f>IF(B7&gt;0,'원가항목별(집계)1'!I$34*P7/P$22,0)</f>
        <v>19526428.773597635</v>
      </c>
      <c r="L7" s="175">
        <f>IF($B7&gt;0,'원가항목별(집계)1'!I$39*$P7/$P$22,0)</f>
        <v>90937.945140813245</v>
      </c>
      <c r="M7" s="178">
        <f>단위장비1!H212+단위장비1!H213</f>
        <v>682500</v>
      </c>
      <c r="N7" s="179">
        <f>SUM(J7:M7)</f>
        <v>48977886.591932192</v>
      </c>
      <c r="O7" s="180"/>
      <c r="P7" s="181">
        <f t="shared" ref="P7:P22" si="0">D7+E7+F7+G7+H7+M7</f>
        <v>28190900</v>
      </c>
    </row>
    <row r="8" spans="1:16" s="181" customFormat="1" ht="25.5" customHeight="1">
      <c r="A8" s="182">
        <f>IF(B8&gt;0,A7+1,"")</f>
        <v>2</v>
      </c>
      <c r="B8" s="242" t="str">
        <f>단위장비2!C$1</f>
        <v>TRANSFER PART</v>
      </c>
      <c r="C8" s="421" t="s">
        <v>295</v>
      </c>
      <c r="D8" s="183">
        <f>단위장비2!H230</f>
        <v>25100138</v>
      </c>
      <c r="E8" s="184">
        <f>단위장비2!H231</f>
        <v>0</v>
      </c>
      <c r="F8" s="184">
        <f>단위장비2!H232+단위장비2!H233+단위장비2!H234+단위장비2!H238</f>
        <v>2100000</v>
      </c>
      <c r="G8" s="184">
        <f>단위장비2!H235+단위장비2!H236</f>
        <v>700000</v>
      </c>
      <c r="H8" s="184">
        <f>단위장비2!H237</f>
        <v>0</v>
      </c>
      <c r="I8" s="185">
        <f>IF($B8&gt;0,'원가항목별(집계)1'!I$38*$P8/$P$22,0)</f>
        <v>1331189.8254434944</v>
      </c>
      <c r="J8" s="186">
        <f>SUM(D8:I8)</f>
        <v>29231327.825443495</v>
      </c>
      <c r="K8" s="184">
        <f>IF(B8&gt;0,'원가항목별(집계)1'!I$34*P8/P$22,0)</f>
        <v>22223787.323041357</v>
      </c>
      <c r="L8" s="184">
        <f>IF($B8&gt;0,'원가항목별(집계)1'!I$39*$P8/$P$22,0)</f>
        <v>103500.00892823169</v>
      </c>
      <c r="M8" s="187">
        <f>단위장비2!H241+단위장비2!H242</f>
        <v>4185020.7</v>
      </c>
      <c r="N8" s="188">
        <f t="shared" ref="N8:N16" si="1">SUM(J8:M8)</f>
        <v>55743635.857413091</v>
      </c>
      <c r="O8" s="189"/>
      <c r="P8" s="181">
        <f t="shared" si="0"/>
        <v>32085158.699999999</v>
      </c>
    </row>
    <row r="9" spans="1:16" s="181" customFormat="1" ht="25.5" customHeight="1">
      <c r="A9" s="182">
        <f t="shared" ref="A9:A15" si="2">IF(B9&gt;0,A8+1,"")</f>
        <v>3</v>
      </c>
      <c r="B9" s="242" t="str">
        <f>단위장비3!C$1</f>
        <v>JIG PART</v>
      </c>
      <c r="C9" s="421" t="s">
        <v>295</v>
      </c>
      <c r="D9" s="183">
        <f>단위장비3!H256</f>
        <v>13531425</v>
      </c>
      <c r="E9" s="184">
        <f>단위장비3!H257</f>
        <v>0</v>
      </c>
      <c r="F9" s="184">
        <f>단위장비3!H258+단위장비3!H259+단위장비3!H260+단위장비3!H264</f>
        <v>2450000</v>
      </c>
      <c r="G9" s="184">
        <f>단위장비3!H261+단위장비3!H262</f>
        <v>700000</v>
      </c>
      <c r="H9" s="184">
        <f>단위장비3!H263</f>
        <v>0</v>
      </c>
      <c r="I9" s="185">
        <f>IF($B9&gt;0,'원가항목별(집계)1'!I$38*$P9/$P$22,0)</f>
        <v>795915.17554138054</v>
      </c>
      <c r="J9" s="186">
        <f t="shared" ref="J9:J22" si="3">SUM(D9:I9)</f>
        <v>17477340.175541382</v>
      </c>
      <c r="K9" s="184">
        <f>IF(B9&gt;0,'원가항목별(집계)1'!I$34*P9/P$22,0)</f>
        <v>13287548.66536019</v>
      </c>
      <c r="L9" s="184">
        <f>IF($B9&gt;0,'원가항목별(집계)1'!I$39*$P9/$P$22,0)</f>
        <v>61882.404898342342</v>
      </c>
      <c r="M9" s="187">
        <f>단위장비3!H267+단위장비3!H268</f>
        <v>2502213.75</v>
      </c>
      <c r="N9" s="188">
        <f t="shared" si="1"/>
        <v>33328984.995799914</v>
      </c>
      <c r="O9" s="189"/>
      <c r="P9" s="181">
        <f t="shared" si="0"/>
        <v>19183638.75</v>
      </c>
    </row>
    <row r="10" spans="1:16" s="181" customFormat="1" ht="25.15" customHeight="1">
      <c r="A10" s="182">
        <v>4</v>
      </c>
      <c r="B10" s="242">
        <f>단위장비4!C1</f>
        <v>0</v>
      </c>
      <c r="C10" s="421" t="s">
        <v>295</v>
      </c>
      <c r="D10" s="183">
        <f>단위장비4!H62</f>
        <v>0</v>
      </c>
      <c r="E10" s="184">
        <f>단위장비4!H63</f>
        <v>0</v>
      </c>
      <c r="F10" s="184">
        <f>단위장비4!H64+단위장비4!H65+단위장비4!H66+단위장비4!H70</f>
        <v>0</v>
      </c>
      <c r="G10" s="184">
        <f>단위장비4!H67+단위장비4!H68</f>
        <v>0</v>
      </c>
      <c r="H10" s="184">
        <f>단위장비4!H69</f>
        <v>0</v>
      </c>
      <c r="I10" s="185">
        <f>IF($B10&gt;0,'원가항목별(집계)1'!I$38*$P10/$P$22,0)</f>
        <v>0</v>
      </c>
      <c r="J10" s="186">
        <f>SUM(D10:I10)</f>
        <v>0</v>
      </c>
      <c r="K10" s="184">
        <f>IF(B10&gt;0,'원가항목별(집계)1'!I$34*P10/P$22,0)</f>
        <v>0</v>
      </c>
      <c r="L10" s="184">
        <f>IF($B10&gt;0,'원가항목별(집계)1'!I$39*$P10/$P$22,0)</f>
        <v>0</v>
      </c>
      <c r="M10" s="187">
        <f>단위장비4!H73+단위장비4!H74</f>
        <v>0</v>
      </c>
      <c r="N10" s="188">
        <f>SUM(J10:M10)</f>
        <v>0</v>
      </c>
      <c r="O10" s="189"/>
      <c r="P10" s="181">
        <f>D10+E10+F10+G10+H10+M10</f>
        <v>0</v>
      </c>
    </row>
    <row r="11" spans="1:16" s="181" customFormat="1" ht="25.5" customHeight="1">
      <c r="A11" s="182">
        <f t="shared" si="2"/>
        <v>5</v>
      </c>
      <c r="B11" s="242" t="str">
        <f>단위장비5!C$1</f>
        <v>MEASURING PART</v>
      </c>
      <c r="C11" s="302" t="s">
        <v>296</v>
      </c>
      <c r="D11" s="183">
        <f>단위장비5!H327</f>
        <v>38610611</v>
      </c>
      <c r="E11" s="184">
        <f>단위장비5!H328</f>
        <v>0</v>
      </c>
      <c r="F11" s="184">
        <f>단위장비5!H329+단위장비5!H330+단위장비5!H331+단위장비5!H335</f>
        <v>4200000</v>
      </c>
      <c r="G11" s="184">
        <f>단위장비5!H332+단위장비5!H333</f>
        <v>1050000</v>
      </c>
      <c r="H11" s="184">
        <f>단위장비5!H334</f>
        <v>0</v>
      </c>
      <c r="I11" s="185">
        <f>IF($B11&gt;0,'원가항목별(집계)1'!I$38*$P11/$P$22,0)</f>
        <v>2092706.4626323716</v>
      </c>
      <c r="J11" s="186">
        <f>SUM(D11:I11)</f>
        <v>45953317.462632373</v>
      </c>
      <c r="K11" s="184">
        <f>IF(B11&gt;0,'원가항목별(집계)1'!I$34*P11/P$22,0)</f>
        <v>34937063.419637866</v>
      </c>
      <c r="L11" s="184">
        <f>IF($B11&gt;0,'원가항목별(집계)1'!I$39*$P11/$P$22,0)</f>
        <v>162707.92746966687</v>
      </c>
      <c r="M11" s="187">
        <f>단위장비5!H338+단위장비5!H339</f>
        <v>6579091.6500000004</v>
      </c>
      <c r="N11" s="188">
        <f t="shared" si="1"/>
        <v>87632180.459739923</v>
      </c>
      <c r="O11" s="189"/>
      <c r="P11" s="181">
        <f t="shared" si="0"/>
        <v>50439702.649999999</v>
      </c>
    </row>
    <row r="12" spans="1:16" s="181" customFormat="1" ht="25.5" customHeight="1">
      <c r="A12" s="182">
        <f t="shared" si="2"/>
        <v>6</v>
      </c>
      <c r="B12" s="242" t="str">
        <f>단위장비6!C$1</f>
        <v>RAM PART</v>
      </c>
      <c r="C12" s="302" t="s">
        <v>296</v>
      </c>
      <c r="D12" s="183">
        <f>단위장비6!H72</f>
        <v>33779330</v>
      </c>
      <c r="E12" s="184">
        <f>단위장비6!H73</f>
        <v>0</v>
      </c>
      <c r="F12" s="184">
        <f>단위장비6!H74+단위장비6!H75+단위장비6!H76+단위장비6!H80</f>
        <v>3500000</v>
      </c>
      <c r="G12" s="184">
        <f>단위장비6!H77+단위장비6!H78</f>
        <v>700000</v>
      </c>
      <c r="H12" s="184">
        <f>단위장비6!H79</f>
        <v>0</v>
      </c>
      <c r="I12" s="185">
        <f>IF($B12&gt;0,'원가항목별(집계)1'!I$38*$P12/$P$22,0)</f>
        <v>1812094.8962030534</v>
      </c>
      <c r="J12" s="186">
        <f t="shared" si="3"/>
        <v>39791424.896203056</v>
      </c>
      <c r="K12" s="184">
        <f>IF(B12&gt;0,'원가항목별(집계)1'!I$34*P12/P$22,0)</f>
        <v>30252343.289183881</v>
      </c>
      <c r="L12" s="184">
        <f>IF($B12&gt;0,'원가항목별(집계)1'!I$39*$P12/$P$22,0)</f>
        <v>140890.37817978743</v>
      </c>
      <c r="M12" s="187">
        <f>단위장비6!H83+단위장비6!H84</f>
        <v>5696899.5</v>
      </c>
      <c r="N12" s="188">
        <f t="shared" si="1"/>
        <v>75881558.063566729</v>
      </c>
      <c r="O12" s="189"/>
      <c r="P12" s="181">
        <f t="shared" si="0"/>
        <v>43676229.5</v>
      </c>
    </row>
    <row r="13" spans="1:16" s="181" customFormat="1" ht="25.5" customHeight="1">
      <c r="A13" s="182">
        <f t="shared" si="2"/>
        <v>7</v>
      </c>
      <c r="B13" s="242" t="str">
        <f>단위장비7!C$1</f>
        <v>MASTER/NG PART</v>
      </c>
      <c r="C13" s="421" t="s">
        <v>295</v>
      </c>
      <c r="D13" s="183">
        <f>단위장비7!H79</f>
        <v>5239076</v>
      </c>
      <c r="E13" s="184">
        <f>단위장비7!H80</f>
        <v>0</v>
      </c>
      <c r="F13" s="184">
        <f>단위장비7!H81+단위장비7!H82+단위장비7!H83+단위장비7!H87</f>
        <v>2100000</v>
      </c>
      <c r="G13" s="184">
        <f>단위장비7!H84+단위장비7!H85</f>
        <v>0</v>
      </c>
      <c r="H13" s="184">
        <f>단위장비7!H86</f>
        <v>0</v>
      </c>
      <c r="I13" s="185">
        <f>IF($B13&gt;0,'원가항목별(집계)1'!I$38*$P13/$P$22,0)</f>
        <v>350166.84502981807</v>
      </c>
      <c r="J13" s="186">
        <f t="shared" si="3"/>
        <v>7689242.8450298179</v>
      </c>
      <c r="K13" s="184">
        <f>IF(B13&gt;0,'원가항목별(집계)1'!I$34*P13/P$22,0)</f>
        <v>5845923.2055281252</v>
      </c>
      <c r="L13" s="184">
        <f>IF($B13&gt;0,'원가항목별(집계)1'!I$39*$P13/$P$22,0)</f>
        <v>27225.472201068358</v>
      </c>
      <c r="M13" s="187">
        <f>단위장비7!H90+단위장비7!H91</f>
        <v>1100861.4000000001</v>
      </c>
      <c r="N13" s="188">
        <f t="shared" si="1"/>
        <v>14663252.922759011</v>
      </c>
      <c r="O13" s="189"/>
      <c r="P13" s="181">
        <f t="shared" si="0"/>
        <v>8439937.4000000004</v>
      </c>
    </row>
    <row r="14" spans="1:16" s="181" customFormat="1" ht="25.5" customHeight="1">
      <c r="A14" s="182">
        <f t="shared" si="2"/>
        <v>8</v>
      </c>
      <c r="B14" s="242" t="str">
        <f>단위장비8!C$1</f>
        <v>DOOR&amp;COVER PART</v>
      </c>
      <c r="C14" s="182" t="s">
        <v>46</v>
      </c>
      <c r="D14" s="183">
        <f>단위장비8!H105</f>
        <v>2748174</v>
      </c>
      <c r="E14" s="184">
        <f>단위장비8!H106</f>
        <v>0</v>
      </c>
      <c r="F14" s="184">
        <f>단위장비8!H107+단위장비8!H108+단위장비8!H109</f>
        <v>1400000</v>
      </c>
      <c r="G14" s="184">
        <f>단위장비8!H110+단위장비8!H111</f>
        <v>350000</v>
      </c>
      <c r="H14" s="184">
        <f>단위장비8!H112</f>
        <v>0</v>
      </c>
      <c r="I14" s="185">
        <f>IF($B14&gt;0,'원가항목별(집계)1'!I$38*$P14/$P$22,0)</f>
        <v>214619.85105143441</v>
      </c>
      <c r="J14" s="186">
        <f t="shared" si="3"/>
        <v>4712793.8510514349</v>
      </c>
      <c r="K14" s="184">
        <f>IF(B14&gt;0,'원가항목별(집계)1'!I$34*P14/P$22,0)</f>
        <v>3583009.6008139541</v>
      </c>
      <c r="L14" s="184">
        <f>IF($B14&gt;0,'원가항목별(집계)1'!I$39*$P14/$P$22,0)</f>
        <v>16686.693419249026</v>
      </c>
      <c r="M14" s="187">
        <f>단위장비8!H116+단위장비8!H117</f>
        <v>674726.10000000009</v>
      </c>
      <c r="N14" s="188">
        <f t="shared" si="1"/>
        <v>8987216.2452846374</v>
      </c>
      <c r="O14" s="189"/>
      <c r="P14" s="181">
        <f t="shared" si="0"/>
        <v>5172900.0999999996</v>
      </c>
    </row>
    <row r="15" spans="1:16" s="181" customFormat="1" ht="25.5" customHeight="1">
      <c r="A15" s="182">
        <f t="shared" si="2"/>
        <v>9</v>
      </c>
      <c r="B15" s="242" t="str">
        <f>단위장비9!C$1</f>
        <v>AIR CIRCUIT PART</v>
      </c>
      <c r="C15" s="421" t="s">
        <v>295</v>
      </c>
      <c r="D15" s="183">
        <f>단위장비9!H68</f>
        <v>2797800</v>
      </c>
      <c r="E15" s="184">
        <f>단위장비9!H69</f>
        <v>0</v>
      </c>
      <c r="F15" s="184">
        <f>단위장비9!H70+단위장비9!H71+단위장비9!H72+단위장비9!H76</f>
        <v>1750000</v>
      </c>
      <c r="G15" s="184">
        <f>단위장비9!H73+단위장비9!H74</f>
        <v>350000</v>
      </c>
      <c r="H15" s="184">
        <f>단위장비9!H75</f>
        <v>0</v>
      </c>
      <c r="I15" s="185">
        <f>IF($B15&gt;0,'원가항목별(집계)1'!I$38*$P15/$P$22,0)</f>
        <v>233687.07090470832</v>
      </c>
      <c r="J15" s="186">
        <f t="shared" si="3"/>
        <v>5131487.0709047085</v>
      </c>
      <c r="K15" s="184">
        <f>IF(B15&gt;0,'원가항목별(집계)1'!I$34*P15/P$22,0)</f>
        <v>3901330.7228369964</v>
      </c>
      <c r="L15" s="184">
        <f>IF($B15&gt;0,'원가항목별(집계)1'!I$39*$P15/$P$22,0)</f>
        <v>18169.169762841073</v>
      </c>
      <c r="M15" s="187">
        <f>단위장비9!H79+단위장비9!H80</f>
        <v>734670</v>
      </c>
      <c r="N15" s="188">
        <f t="shared" si="1"/>
        <v>9785656.9635045454</v>
      </c>
      <c r="O15" s="189"/>
      <c r="P15" s="181">
        <f t="shared" si="0"/>
        <v>5632470</v>
      </c>
    </row>
    <row r="16" spans="1:16" s="181" customFormat="1" ht="25.5" customHeight="1">
      <c r="A16" s="182">
        <v>10</v>
      </c>
      <c r="B16" s="242">
        <f>단위장비10!C$1</f>
        <v>0</v>
      </c>
      <c r="C16" s="421" t="s">
        <v>295</v>
      </c>
      <c r="D16" s="183">
        <f>단위장비10!H140</f>
        <v>0</v>
      </c>
      <c r="E16" s="184">
        <f>단위장비10!H141</f>
        <v>0</v>
      </c>
      <c r="F16" s="184">
        <f>단위장비10!H142+단위장비10!H143+단위장비10!H144+단위장비10!H148</f>
        <v>0</v>
      </c>
      <c r="G16" s="184">
        <f>단위장비10!H145+단위장비10!H146</f>
        <v>0</v>
      </c>
      <c r="H16" s="184">
        <f>단위장비10!H147</f>
        <v>0</v>
      </c>
      <c r="I16" s="185">
        <f>IF($B16&gt;0,'원가항목별(집계)1'!I$38*$P16/$P$22,0)</f>
        <v>0</v>
      </c>
      <c r="J16" s="186">
        <f t="shared" si="3"/>
        <v>0</v>
      </c>
      <c r="K16" s="184">
        <f>IF(B16&gt;0,'원가항목별(집계)1'!I$34*P16/P$22,0)</f>
        <v>0</v>
      </c>
      <c r="L16" s="184">
        <f>IF($B16&gt;0,'원가항목별(집계)1'!I$39*$P16/$P$22,0)</f>
        <v>0</v>
      </c>
      <c r="M16" s="187">
        <f>단위장비10!H151+단위장비10!H152</f>
        <v>0</v>
      </c>
      <c r="N16" s="188">
        <f t="shared" si="1"/>
        <v>0</v>
      </c>
      <c r="O16" s="189"/>
      <c r="P16" s="181">
        <f t="shared" si="0"/>
        <v>0</v>
      </c>
    </row>
    <row r="17" spans="1:16" s="181" customFormat="1" ht="25.5" customHeight="1">
      <c r="A17" s="182">
        <v>11</v>
      </c>
      <c r="B17" s="242">
        <f>단위장비11!C$1</f>
        <v>0</v>
      </c>
      <c r="C17" s="421" t="s">
        <v>295</v>
      </c>
      <c r="D17" s="183">
        <f>단위장비11!H62</f>
        <v>0</v>
      </c>
      <c r="E17" s="184">
        <f>단위장비11!H63</f>
        <v>0</v>
      </c>
      <c r="F17" s="184">
        <f>단위장비11!H64+단위장비11!H65+단위장비11!H66+단위장비11!H70</f>
        <v>0</v>
      </c>
      <c r="G17" s="184">
        <f>단위장비11!H67+단위장비11!H68</f>
        <v>0</v>
      </c>
      <c r="H17" s="184">
        <f>단위장비11!H69</f>
        <v>0</v>
      </c>
      <c r="I17" s="185">
        <f>IF($B17&gt;0,'원가항목별(집계)1'!I$38*$P17/$P$22,0)</f>
        <v>0</v>
      </c>
      <c r="J17" s="186">
        <f>SUM(D17:I17)</f>
        <v>0</v>
      </c>
      <c r="K17" s="184">
        <f>IF(B17&gt;0,'원가항목별(집계)1'!I$34*P17/P$22,0)</f>
        <v>0</v>
      </c>
      <c r="L17" s="184">
        <f>IF($B17&gt;0,'원가항목별(집계)1'!I$39*$P17/$P$22,0)</f>
        <v>0</v>
      </c>
      <c r="M17" s="187">
        <f>단위장비11!H73+단위장비11!H74</f>
        <v>0</v>
      </c>
      <c r="N17" s="188">
        <f>SUM(J17:M17)</f>
        <v>0</v>
      </c>
      <c r="O17" s="190"/>
      <c r="P17" s="181">
        <f t="shared" si="0"/>
        <v>0</v>
      </c>
    </row>
    <row r="18" spans="1:16" s="181" customFormat="1" ht="25.5" customHeight="1">
      <c r="A18" s="182">
        <v>12</v>
      </c>
      <c r="B18" s="242">
        <f>단위장비12!C$1</f>
        <v>0</v>
      </c>
      <c r="C18" s="421" t="s">
        <v>295</v>
      </c>
      <c r="D18" s="183">
        <f>단위장비12!H57</f>
        <v>0</v>
      </c>
      <c r="E18" s="184">
        <f>단위장비12!H58</f>
        <v>0</v>
      </c>
      <c r="F18" s="184">
        <f>단위장비12!H59+단위장비12!H60+단위장비12!H61+단위장비12!H65</f>
        <v>0</v>
      </c>
      <c r="G18" s="184">
        <f>단위장비12!H62+단위장비12!H63</f>
        <v>0</v>
      </c>
      <c r="H18" s="184">
        <f>단위장비12!H64</f>
        <v>0</v>
      </c>
      <c r="I18" s="185">
        <f>IF($B18&gt;0,'원가항목별(집계)1'!I$38*$P18/$P$22,0)</f>
        <v>0</v>
      </c>
      <c r="J18" s="186">
        <f>SUM(D18:I18)</f>
        <v>0</v>
      </c>
      <c r="K18" s="184">
        <f>IF(B18&gt;0,'원가항목별(집계)1'!I$34*P18/P$22,0)</f>
        <v>0</v>
      </c>
      <c r="L18" s="184">
        <f>IF($B18&gt;0,'원가항목별(집계)1'!I$39*$P18/$P$22,0)</f>
        <v>0</v>
      </c>
      <c r="M18" s="187">
        <f>단위장비12!H68+단위장비12!H69</f>
        <v>0</v>
      </c>
      <c r="N18" s="188">
        <f>SUM(J18:M18)</f>
        <v>0</v>
      </c>
      <c r="O18" s="190"/>
      <c r="P18" s="181">
        <f t="shared" si="0"/>
        <v>0</v>
      </c>
    </row>
    <row r="19" spans="1:16" s="181" customFormat="1" ht="25.5" customHeight="1">
      <c r="A19" s="182">
        <v>13</v>
      </c>
      <c r="B19" s="242">
        <f>단위장비13!C$1</f>
        <v>0</v>
      </c>
      <c r="C19" s="302" t="s">
        <v>328</v>
      </c>
      <c r="D19" s="183">
        <f>단위장비13!H43</f>
        <v>0</v>
      </c>
      <c r="E19" s="184">
        <f>단위장비13!H44</f>
        <v>0</v>
      </c>
      <c r="F19" s="184">
        <f>단위장비13!H45+단위장비13!H46+단위장비13!H47+단위장비13!H51</f>
        <v>0</v>
      </c>
      <c r="G19" s="184">
        <f>단위장비13!H48+단위장비13!H49</f>
        <v>0</v>
      </c>
      <c r="H19" s="184">
        <f>단위장비13!H50</f>
        <v>0</v>
      </c>
      <c r="I19" s="185">
        <f>IF($B19&gt;0,'원가항목별(집계)1'!I$38*$P19/$P$22,0)</f>
        <v>0</v>
      </c>
      <c r="J19" s="186">
        <f>SUM(D19:I19)</f>
        <v>0</v>
      </c>
      <c r="K19" s="184">
        <f>IF(B19&gt;0,'원가항목별(집계)1'!I$34*P19/P$22,0)</f>
        <v>0</v>
      </c>
      <c r="L19" s="184">
        <f>IF($B19&gt;0,'원가항목별(집계)1'!I$39*$P19/$P$22,0)</f>
        <v>0</v>
      </c>
      <c r="M19" s="187">
        <f>단위장비13!H54+단위장비13!H55</f>
        <v>0</v>
      </c>
      <c r="N19" s="188">
        <f>SUM(J19:M19)</f>
        <v>0</v>
      </c>
      <c r="O19" s="691"/>
      <c r="P19" s="181">
        <f>D19+E19+F19+G19+H19+M19</f>
        <v>0</v>
      </c>
    </row>
    <row r="20" spans="1:16" s="181" customFormat="1" ht="25.5" customHeight="1">
      <c r="A20" s="182">
        <v>14</v>
      </c>
      <c r="B20" s="242">
        <f>단위장비14!C1</f>
        <v>0</v>
      </c>
      <c r="C20" s="421" t="s">
        <v>276</v>
      </c>
      <c r="D20" s="183">
        <f>단위장비14!H46</f>
        <v>0</v>
      </c>
      <c r="E20" s="184">
        <f>단위장비14!H47</f>
        <v>0</v>
      </c>
      <c r="F20" s="184">
        <f>단위장비14!H48+단위장비14!H49+단위장비14!H50+단위장비14!H54</f>
        <v>0</v>
      </c>
      <c r="G20" s="184">
        <f>단위장비14!H51+단위장비14!H52</f>
        <v>0</v>
      </c>
      <c r="H20" s="184">
        <f>단위장비14!H53</f>
        <v>0</v>
      </c>
      <c r="I20" s="185">
        <f>IF($B20&gt;0,'원가항목별(집계)1'!I$38*$P20/$P$22,0)</f>
        <v>0</v>
      </c>
      <c r="J20" s="186">
        <f>SUM(D20:I20)</f>
        <v>0</v>
      </c>
      <c r="K20" s="184">
        <f>IF(B20&gt;0,'원가항목별(집계)1'!I$34*P20/P$22,0)</f>
        <v>0</v>
      </c>
      <c r="L20" s="184">
        <f>IF($B20&gt;0,'원가항목별(집계)1'!I$39*$P20/$P$22,0)</f>
        <v>0</v>
      </c>
      <c r="M20" s="187">
        <f>단위장비14!H57+단위장비14!H58</f>
        <v>0</v>
      </c>
      <c r="N20" s="188">
        <f>SUM(J20:M20)</f>
        <v>0</v>
      </c>
      <c r="O20" s="691"/>
      <c r="P20" s="181">
        <f>D20+E20+F20+G20+H20+M20</f>
        <v>0</v>
      </c>
    </row>
    <row r="21" spans="1:16" s="181" customFormat="1" ht="25.5" customHeight="1">
      <c r="A21" s="182">
        <v>15</v>
      </c>
      <c r="B21" s="242">
        <v>0</v>
      </c>
      <c r="C21" s="421" t="s">
        <v>296</v>
      </c>
      <c r="D21" s="183">
        <f>단위장비15!H60</f>
        <v>0</v>
      </c>
      <c r="E21" s="184">
        <f>단위장비15!H61</f>
        <v>0</v>
      </c>
      <c r="F21" s="184">
        <f>단위장비15!H62+단위장비15!H63+단위장비15!H64+단위장비15!H68</f>
        <v>0</v>
      </c>
      <c r="G21" s="184">
        <f>단위장비15!H65+단위장비15!H66</f>
        <v>0</v>
      </c>
      <c r="H21" s="184">
        <f>단위장비15!H67</f>
        <v>0</v>
      </c>
      <c r="I21" s="185">
        <f>IF($B21&gt;0,'원가항목별(집계)1'!I$38*$P21/$P$22,0)</f>
        <v>0</v>
      </c>
      <c r="J21" s="186">
        <f>SUM(D21:I21)</f>
        <v>0</v>
      </c>
      <c r="K21" s="184">
        <f>IF(B21&gt;0,'원가항목별(집계)1'!I$34*P21/P$22,0)</f>
        <v>0</v>
      </c>
      <c r="L21" s="184">
        <f>IF($B21&gt;0,'원가항목별(집계)1'!I$39*$P21/$P$22,0)</f>
        <v>0</v>
      </c>
      <c r="M21" s="187">
        <f>단위장비15!H71+단위장비15!H72</f>
        <v>0</v>
      </c>
      <c r="N21" s="188">
        <f>SUM(J21:M21)</f>
        <v>0</v>
      </c>
      <c r="O21" s="691"/>
      <c r="P21" s="181">
        <f>D21+E21+F21+G21+H21+M21</f>
        <v>0</v>
      </c>
    </row>
    <row r="22" spans="1:16" s="195" customFormat="1" ht="33" customHeight="1">
      <c r="A22" s="954" t="s">
        <v>179</v>
      </c>
      <c r="B22" s="955"/>
      <c r="C22" s="956"/>
      <c r="D22" s="191">
        <f t="shared" ref="D22:I22" si="4">SUM(D7:D21)</f>
        <v>144764954</v>
      </c>
      <c r="E22" s="192">
        <f t="shared" si="4"/>
        <v>0</v>
      </c>
      <c r="F22" s="192">
        <f t="shared" si="4"/>
        <v>21350000</v>
      </c>
      <c r="G22" s="192">
        <f t="shared" si="4"/>
        <v>4550000</v>
      </c>
      <c r="H22" s="192">
        <f t="shared" si="4"/>
        <v>0</v>
      </c>
      <c r="I22" s="193">
        <f t="shared" si="4"/>
        <v>7999999.9999999991</v>
      </c>
      <c r="J22" s="85">
        <f t="shared" si="3"/>
        <v>178664954</v>
      </c>
      <c r="K22" s="86">
        <f>SUM(K7:K21)</f>
        <v>133557435.00000001</v>
      </c>
      <c r="L22" s="86">
        <f>SUM(L7:L21)</f>
        <v>622000</v>
      </c>
      <c r="M22" s="87">
        <f>SUM(M7:M21)</f>
        <v>22155983.100000001</v>
      </c>
      <c r="N22" s="88">
        <f>SUM(N7:N21)</f>
        <v>335000372.10000002</v>
      </c>
      <c r="O22" s="194"/>
      <c r="P22" s="195">
        <f t="shared" si="0"/>
        <v>192820937.09999999</v>
      </c>
    </row>
    <row r="23" spans="1:16" s="97" customFormat="1" ht="18.75" customHeight="1" thickBot="1">
      <c r="A23" s="89"/>
      <c r="B23" s="90"/>
      <c r="C23" s="91"/>
      <c r="D23" s="196">
        <f t="shared" ref="D23:N23" si="5">IF(D22=0,"",D22/$N22)</f>
        <v>0.432133711053869</v>
      </c>
      <c r="E23" s="93" t="str">
        <f t="shared" si="5"/>
        <v/>
      </c>
      <c r="F23" s="93">
        <f t="shared" si="5"/>
        <v>6.373127249430896E-2</v>
      </c>
      <c r="G23" s="93">
        <f t="shared" si="5"/>
        <v>1.3582074466000271E-2</v>
      </c>
      <c r="H23" s="93" t="str">
        <f t="shared" si="5"/>
        <v/>
      </c>
      <c r="I23" s="197">
        <f t="shared" si="5"/>
        <v>2.3880570489670804E-2</v>
      </c>
      <c r="J23" s="92">
        <f t="shared" si="5"/>
        <v>0.53332762850384907</v>
      </c>
      <c r="K23" s="93">
        <f t="shared" si="5"/>
        <v>0.39867846761714093</v>
      </c>
      <c r="L23" s="93">
        <f t="shared" si="5"/>
        <v>1.8567143555719052E-3</v>
      </c>
      <c r="M23" s="94">
        <f t="shared" si="5"/>
        <v>6.6137189523438139E-2</v>
      </c>
      <c r="N23" s="95">
        <f t="shared" si="5"/>
        <v>1</v>
      </c>
      <c r="O23" s="96"/>
    </row>
    <row r="24" spans="1:16" s="148" customFormat="1" ht="28.5" customHeight="1">
      <c r="A24" s="148" t="s">
        <v>180</v>
      </c>
      <c r="H24" s="9"/>
      <c r="I24" s="9"/>
      <c r="J24" s="9"/>
      <c r="K24" s="9"/>
      <c r="L24" s="9"/>
      <c r="M24" s="195"/>
      <c r="N24" s="195">
        <f>'원가항목별(집계)1'!I42-'단위장비별(집계)2'!N22</f>
        <v>0</v>
      </c>
    </row>
    <row r="25" spans="1:16" ht="13.5" customHeight="1">
      <c r="A25" s="148"/>
      <c r="B25" s="148"/>
      <c r="C25" s="148"/>
      <c r="D25" s="148"/>
      <c r="E25" s="148"/>
      <c r="F25" s="148"/>
      <c r="G25" s="148"/>
      <c r="H25" s="14"/>
      <c r="I25" s="14"/>
      <c r="J25" s="198" t="str">
        <f>N25</f>
        <v/>
      </c>
      <c r="K25" s="14"/>
      <c r="L25" s="14"/>
      <c r="M25" s="98"/>
      <c r="N25" s="99" t="str">
        <f>IF('원가항목별(집계)1'!I42='단위장비별(집계)2'!N22,"","DATA오류입니다!")</f>
        <v/>
      </c>
    </row>
    <row r="26" spans="1:16" ht="13.5" customHeight="1">
      <c r="A26" s="199"/>
    </row>
    <row r="27" spans="1:16" ht="17.25" customHeight="1">
      <c r="H27" s="114"/>
      <c r="I27" s="114"/>
      <c r="J27" s="114"/>
      <c r="L27" s="114"/>
    </row>
    <row r="28" spans="1:16" s="200" customFormat="1" ht="17.25" customHeight="1"/>
    <row r="29" spans="1:16" s="200" customFormat="1" ht="17.25" customHeight="1"/>
  </sheetData>
  <mergeCells count="2">
    <mergeCell ref="A22:C22"/>
    <mergeCell ref="D4:J4"/>
  </mergeCells>
  <phoneticPr fontId="3" type="noConversion"/>
  <printOptions horizontalCentered="1"/>
  <pageMargins left="0.35" right="0.31" top="0.66" bottom="0.39370078740157483" header="0.51" footer="0.19685039370078741"/>
  <pageSetup paperSize="9" scale="65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B0A1-0C34-4E53-BD14-5C503B9D6B1A}">
  <sheetPr codeName="Sheet5"/>
  <dimension ref="A1:O276"/>
  <sheetViews>
    <sheetView view="pageBreakPreview" zoomScale="80" zoomScaleNormal="85" workbookViewId="0">
      <pane xSplit="3" ySplit="2" topLeftCell="D111" activePane="bottomRight" state="frozen"/>
      <selection activeCell="K15" sqref="K15"/>
      <selection pane="topRight" activeCell="K15" sqref="K15"/>
      <selection pane="bottomLeft" activeCell="K15" sqref="K15"/>
      <selection pane="bottomRight" activeCell="L126" sqref="L126"/>
    </sheetView>
  </sheetViews>
  <sheetFormatPr defaultRowHeight="13.5"/>
  <cols>
    <col min="1" max="1" width="5" style="53" customWidth="1"/>
    <col min="2" max="2" width="17.875" style="53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16.5" style="53" customWidth="1"/>
    <col min="11" max="11" width="14.125" style="227" bestFit="1" customWidth="1"/>
    <col min="12" max="12" width="9.25" style="227" bestFit="1" customWidth="1"/>
    <col min="13" max="13" width="13" style="227" bestFit="1" customWidth="1"/>
    <col min="14" max="15" width="11.5" style="53" bestFit="1" customWidth="1"/>
    <col min="16" max="16384" width="9" style="53"/>
  </cols>
  <sheetData>
    <row r="1" spans="1:15" ht="22.5" customHeight="1">
      <c r="A1" s="45" t="s">
        <v>152</v>
      </c>
      <c r="B1" s="28"/>
      <c r="C1" s="497" t="s">
        <v>153</v>
      </c>
      <c r="D1" s="262"/>
      <c r="E1" s="238"/>
      <c r="F1" s="22"/>
      <c r="G1" s="114"/>
      <c r="I1" s="230" t="s">
        <v>121</v>
      </c>
      <c r="K1" s="229"/>
      <c r="L1" s="229"/>
      <c r="M1" s="229"/>
    </row>
    <row r="2" spans="1:15" s="119" customFormat="1" ht="16.5" customHeight="1">
      <c r="A2" s="379" t="s">
        <v>122</v>
      </c>
      <c r="B2" s="382"/>
      <c r="C2" s="391" t="s">
        <v>123</v>
      </c>
      <c r="D2" s="377" t="s">
        <v>124</v>
      </c>
      <c r="E2" s="377" t="s">
        <v>125</v>
      </c>
      <c r="F2" s="466" t="s">
        <v>126</v>
      </c>
      <c r="G2" s="466" t="s">
        <v>127</v>
      </c>
      <c r="H2" s="466" t="s">
        <v>128</v>
      </c>
      <c r="I2" s="467" t="s">
        <v>129</v>
      </c>
      <c r="K2" s="228"/>
      <c r="L2" s="228"/>
      <c r="M2" s="228"/>
    </row>
    <row r="3" spans="1:15" ht="15.95" customHeight="1">
      <c r="A3" s="962" t="s">
        <v>130</v>
      </c>
      <c r="B3" s="341" t="s">
        <v>131</v>
      </c>
      <c r="C3" s="753" t="s">
        <v>350</v>
      </c>
      <c r="D3" s="754" t="s">
        <v>351</v>
      </c>
      <c r="E3" s="755" t="s">
        <v>352</v>
      </c>
      <c r="F3" s="756" t="s">
        <v>1572</v>
      </c>
      <c r="G3" s="757">
        <v>7500000</v>
      </c>
      <c r="H3" s="499">
        <f>G3*F3</f>
        <v>7500000</v>
      </c>
      <c r="I3" s="386" t="s">
        <v>395</v>
      </c>
      <c r="K3" s="228"/>
    </row>
    <row r="4" spans="1:15" ht="15.95" customHeight="1">
      <c r="A4" s="963"/>
      <c r="B4" s="341"/>
      <c r="C4" s="758" t="s">
        <v>353</v>
      </c>
      <c r="D4" s="759" t="s">
        <v>354</v>
      </c>
      <c r="E4" s="755" t="s">
        <v>352</v>
      </c>
      <c r="F4" s="756" t="s">
        <v>1572</v>
      </c>
      <c r="G4" s="757">
        <v>3800000</v>
      </c>
      <c r="H4" s="499">
        <f>G4*F4</f>
        <v>3800000</v>
      </c>
      <c r="I4" s="386" t="s">
        <v>395</v>
      </c>
      <c r="K4" s="228"/>
    </row>
    <row r="5" spans="1:15" ht="15.95" customHeight="1">
      <c r="A5" s="963"/>
      <c r="B5" s="341"/>
      <c r="C5" s="760" t="s">
        <v>355</v>
      </c>
      <c r="D5" s="761" t="s">
        <v>356</v>
      </c>
      <c r="E5" s="755" t="s">
        <v>352</v>
      </c>
      <c r="F5" s="756" t="s">
        <v>1572</v>
      </c>
      <c r="G5" s="757">
        <v>625000</v>
      </c>
      <c r="H5" s="499">
        <f t="shared" ref="H5:H29" si="0">G5*F5</f>
        <v>625000</v>
      </c>
      <c r="I5" s="386" t="s">
        <v>395</v>
      </c>
      <c r="K5" s="228"/>
    </row>
    <row r="6" spans="1:15" ht="15.95" customHeight="1">
      <c r="A6" s="963"/>
      <c r="B6" s="341"/>
      <c r="C6" s="760" t="s">
        <v>357</v>
      </c>
      <c r="D6" s="761" t="s">
        <v>358</v>
      </c>
      <c r="E6" s="755" t="s">
        <v>352</v>
      </c>
      <c r="F6" s="756" t="s">
        <v>1572</v>
      </c>
      <c r="G6" s="757">
        <v>680000</v>
      </c>
      <c r="H6" s="499">
        <f t="shared" si="0"/>
        <v>680000</v>
      </c>
      <c r="I6" s="386" t="s">
        <v>395</v>
      </c>
      <c r="K6" s="228"/>
      <c r="O6" s="308">
        <v>300000</v>
      </c>
    </row>
    <row r="7" spans="1:15" ht="15.95" customHeight="1">
      <c r="A7" s="963"/>
      <c r="B7" s="341"/>
      <c r="C7" s="760" t="s">
        <v>357</v>
      </c>
      <c r="D7" s="761" t="s">
        <v>359</v>
      </c>
      <c r="E7" s="755" t="s">
        <v>352</v>
      </c>
      <c r="F7" s="756" t="s">
        <v>1572</v>
      </c>
      <c r="G7" s="757">
        <v>610000</v>
      </c>
      <c r="H7" s="499">
        <f t="shared" si="0"/>
        <v>610000</v>
      </c>
      <c r="I7" s="386" t="s">
        <v>395</v>
      </c>
      <c r="K7" s="228"/>
      <c r="O7" s="308"/>
    </row>
    <row r="8" spans="1:15" ht="15.95" customHeight="1">
      <c r="A8" s="963"/>
      <c r="B8" s="341"/>
      <c r="C8" s="762" t="s">
        <v>357</v>
      </c>
      <c r="D8" s="761" t="s">
        <v>360</v>
      </c>
      <c r="E8" s="755" t="s">
        <v>352</v>
      </c>
      <c r="F8" s="756" t="s">
        <v>1572</v>
      </c>
      <c r="G8" s="757">
        <v>610000</v>
      </c>
      <c r="H8" s="499">
        <f t="shared" si="0"/>
        <v>610000</v>
      </c>
      <c r="I8" s="386" t="s">
        <v>395</v>
      </c>
      <c r="K8" s="228"/>
      <c r="O8" s="308"/>
    </row>
    <row r="9" spans="1:15" ht="15.95" customHeight="1">
      <c r="A9" s="963"/>
      <c r="B9" s="341"/>
      <c r="C9" s="763" t="s">
        <v>361</v>
      </c>
      <c r="D9" s="763" t="s">
        <v>362</v>
      </c>
      <c r="E9" s="755" t="s">
        <v>352</v>
      </c>
      <c r="F9" s="756" t="s">
        <v>1572</v>
      </c>
      <c r="G9" s="757">
        <v>125000</v>
      </c>
      <c r="H9" s="499">
        <f t="shared" si="0"/>
        <v>125000</v>
      </c>
      <c r="I9" s="386" t="s">
        <v>395</v>
      </c>
      <c r="K9" s="228"/>
      <c r="O9" s="308"/>
    </row>
    <row r="10" spans="1:15" ht="15.95" customHeight="1">
      <c r="A10" s="963"/>
      <c r="B10" s="341"/>
      <c r="C10" s="763" t="s">
        <v>361</v>
      </c>
      <c r="D10" s="763" t="s">
        <v>363</v>
      </c>
      <c r="E10" s="755" t="s">
        <v>352</v>
      </c>
      <c r="F10" s="756" t="s">
        <v>1572</v>
      </c>
      <c r="G10" s="757">
        <v>112000</v>
      </c>
      <c r="H10" s="499">
        <f t="shared" si="0"/>
        <v>112000</v>
      </c>
      <c r="I10" s="386" t="s">
        <v>395</v>
      </c>
      <c r="K10" s="228"/>
      <c r="O10" s="308"/>
    </row>
    <row r="11" spans="1:15" ht="15.95" customHeight="1">
      <c r="A11" s="963"/>
      <c r="B11" s="341"/>
      <c r="C11" s="763" t="s">
        <v>361</v>
      </c>
      <c r="D11" s="763" t="s">
        <v>364</v>
      </c>
      <c r="E11" s="755" t="s">
        <v>352</v>
      </c>
      <c r="F11" s="756" t="s">
        <v>1572</v>
      </c>
      <c r="G11" s="764">
        <v>90000</v>
      </c>
      <c r="H11" s="499">
        <f t="shared" si="0"/>
        <v>90000</v>
      </c>
      <c r="I11" s="386" t="s">
        <v>395</v>
      </c>
      <c r="K11" s="228"/>
      <c r="O11" s="308"/>
    </row>
    <row r="12" spans="1:15" ht="15.95" customHeight="1">
      <c r="A12" s="963"/>
      <c r="B12" s="341"/>
      <c r="C12" s="763" t="s">
        <v>361</v>
      </c>
      <c r="D12" s="763" t="s">
        <v>365</v>
      </c>
      <c r="E12" s="755" t="s">
        <v>352</v>
      </c>
      <c r="F12" s="756" t="s">
        <v>1572</v>
      </c>
      <c r="G12" s="757">
        <v>9000</v>
      </c>
      <c r="H12" s="499">
        <f t="shared" si="0"/>
        <v>9000</v>
      </c>
      <c r="I12" s="386" t="s">
        <v>395</v>
      </c>
      <c r="K12" s="228"/>
      <c r="O12" s="308"/>
    </row>
    <row r="13" spans="1:15" ht="15.95" customHeight="1">
      <c r="A13" s="963"/>
      <c r="B13" s="341"/>
      <c r="C13" s="765" t="s">
        <v>366</v>
      </c>
      <c r="D13" s="766" t="s">
        <v>367</v>
      </c>
      <c r="E13" s="755" t="s">
        <v>352</v>
      </c>
      <c r="F13" s="756" t="s">
        <v>1572</v>
      </c>
      <c r="G13" s="767">
        <v>260000</v>
      </c>
      <c r="H13" s="499">
        <f t="shared" si="0"/>
        <v>260000</v>
      </c>
      <c r="I13" s="386" t="s">
        <v>395</v>
      </c>
      <c r="K13" s="228"/>
      <c r="L13" s="304"/>
      <c r="M13" s="306"/>
      <c r="N13" s="308"/>
      <c r="O13" s="308"/>
    </row>
    <row r="14" spans="1:15" ht="15.95" customHeight="1">
      <c r="A14" s="963"/>
      <c r="B14" s="341"/>
      <c r="C14" s="768" t="s">
        <v>368</v>
      </c>
      <c r="D14" s="769" t="s">
        <v>369</v>
      </c>
      <c r="E14" s="770" t="s">
        <v>352</v>
      </c>
      <c r="F14" s="756" t="s">
        <v>1572</v>
      </c>
      <c r="G14" s="764">
        <v>200000</v>
      </c>
      <c r="H14" s="499">
        <f t="shared" si="0"/>
        <v>200000</v>
      </c>
      <c r="I14" s="386" t="s">
        <v>395</v>
      </c>
      <c r="K14" s="228"/>
      <c r="L14" s="304"/>
      <c r="M14" s="306"/>
      <c r="N14" s="308"/>
      <c r="O14" s="308"/>
    </row>
    <row r="15" spans="1:15" ht="15.95" customHeight="1">
      <c r="A15" s="963"/>
      <c r="B15" s="341"/>
      <c r="C15" s="771" t="s">
        <v>370</v>
      </c>
      <c r="D15" s="769" t="s">
        <v>371</v>
      </c>
      <c r="E15" s="755" t="s">
        <v>352</v>
      </c>
      <c r="F15" s="772">
        <v>2</v>
      </c>
      <c r="G15" s="422">
        <v>40000</v>
      </c>
      <c r="H15" s="499">
        <f t="shared" si="0"/>
        <v>80000</v>
      </c>
      <c r="I15" s="386" t="s">
        <v>395</v>
      </c>
      <c r="K15" s="228"/>
      <c r="L15" s="304"/>
      <c r="M15" s="306"/>
      <c r="N15" s="308"/>
      <c r="O15" s="308"/>
    </row>
    <row r="16" spans="1:15" ht="15.95" customHeight="1">
      <c r="A16" s="963"/>
      <c r="B16" s="341"/>
      <c r="C16" s="771" t="s">
        <v>372</v>
      </c>
      <c r="D16" s="769" t="s">
        <v>373</v>
      </c>
      <c r="E16" s="755" t="s">
        <v>352</v>
      </c>
      <c r="F16" s="772">
        <v>1</v>
      </c>
      <c r="G16" s="764">
        <v>170000</v>
      </c>
      <c r="H16" s="499">
        <f t="shared" si="0"/>
        <v>170000</v>
      </c>
      <c r="I16" s="386" t="s">
        <v>395</v>
      </c>
      <c r="K16" s="228"/>
      <c r="L16" s="304"/>
      <c r="M16" s="306"/>
      <c r="N16" s="308"/>
      <c r="O16" s="308"/>
    </row>
    <row r="17" spans="1:15" ht="15.6" customHeight="1">
      <c r="A17" s="963"/>
      <c r="B17" s="341"/>
      <c r="C17" s="771" t="s">
        <v>374</v>
      </c>
      <c r="D17" s="769" t="s">
        <v>375</v>
      </c>
      <c r="E17" s="755" t="s">
        <v>352</v>
      </c>
      <c r="F17" s="772">
        <v>2</v>
      </c>
      <c r="G17" s="422">
        <v>50000</v>
      </c>
      <c r="H17" s="499">
        <f t="shared" si="0"/>
        <v>100000</v>
      </c>
      <c r="I17" s="386" t="s">
        <v>395</v>
      </c>
      <c r="K17" s="228"/>
      <c r="L17" s="304"/>
      <c r="M17" s="306"/>
      <c r="N17" s="308"/>
      <c r="O17" s="308"/>
    </row>
    <row r="18" spans="1:15" ht="15.6" customHeight="1">
      <c r="A18" s="963"/>
      <c r="B18" s="341"/>
      <c r="C18" s="771" t="s">
        <v>376</v>
      </c>
      <c r="D18" s="769" t="s">
        <v>377</v>
      </c>
      <c r="E18" s="755" t="s">
        <v>352</v>
      </c>
      <c r="F18" s="772">
        <v>1</v>
      </c>
      <c r="G18" s="764">
        <v>440000</v>
      </c>
      <c r="H18" s="499">
        <f t="shared" si="0"/>
        <v>440000</v>
      </c>
      <c r="I18" s="386" t="s">
        <v>395</v>
      </c>
      <c r="K18" s="228"/>
      <c r="L18" s="304"/>
      <c r="M18" s="306"/>
      <c r="N18" s="308"/>
      <c r="O18" s="308"/>
    </row>
    <row r="19" spans="1:15" ht="15.6" customHeight="1">
      <c r="A19" s="963"/>
      <c r="B19" s="341"/>
      <c r="C19" s="771" t="s">
        <v>378</v>
      </c>
      <c r="D19" s="769" t="s">
        <v>379</v>
      </c>
      <c r="E19" s="755" t="s">
        <v>352</v>
      </c>
      <c r="F19" s="772">
        <v>1</v>
      </c>
      <c r="G19" s="764">
        <v>650000</v>
      </c>
      <c r="H19" s="499">
        <f t="shared" si="0"/>
        <v>650000</v>
      </c>
      <c r="I19" s="386" t="s">
        <v>395</v>
      </c>
      <c r="K19" s="228"/>
      <c r="L19" s="304"/>
      <c r="M19" s="306"/>
      <c r="N19" s="308"/>
      <c r="O19" s="308"/>
    </row>
    <row r="20" spans="1:15" ht="15.6" customHeight="1">
      <c r="A20" s="963"/>
      <c r="B20" s="341"/>
      <c r="C20" s="771" t="s">
        <v>380</v>
      </c>
      <c r="D20" s="769" t="s">
        <v>381</v>
      </c>
      <c r="E20" s="755" t="s">
        <v>352</v>
      </c>
      <c r="F20" s="772">
        <v>2</v>
      </c>
      <c r="G20" s="422">
        <v>188000</v>
      </c>
      <c r="H20" s="499">
        <f t="shared" si="0"/>
        <v>376000</v>
      </c>
      <c r="I20" s="386" t="s">
        <v>395</v>
      </c>
      <c r="K20" s="228"/>
      <c r="L20" s="304"/>
      <c r="M20" s="306"/>
      <c r="N20" s="308"/>
      <c r="O20" s="308"/>
    </row>
    <row r="21" spans="1:15" ht="15.6" customHeight="1">
      <c r="A21" s="963"/>
      <c r="B21" s="341"/>
      <c r="C21" s="768" t="s">
        <v>382</v>
      </c>
      <c r="D21" s="769" t="s">
        <v>383</v>
      </c>
      <c r="E21" s="755" t="s">
        <v>352</v>
      </c>
      <c r="F21" s="772">
        <v>1</v>
      </c>
      <c r="G21" s="764">
        <v>50000</v>
      </c>
      <c r="H21" s="499">
        <f t="shared" si="0"/>
        <v>50000</v>
      </c>
      <c r="I21" s="386" t="s">
        <v>395</v>
      </c>
      <c r="K21" s="228"/>
      <c r="L21" s="304"/>
      <c r="M21" s="306"/>
      <c r="N21" s="308"/>
      <c r="O21" s="308"/>
    </row>
    <row r="22" spans="1:15" ht="15.6" customHeight="1">
      <c r="A22" s="963"/>
      <c r="B22" s="341"/>
      <c r="C22" s="771" t="s">
        <v>384</v>
      </c>
      <c r="D22" s="769" t="s">
        <v>385</v>
      </c>
      <c r="E22" s="755" t="s">
        <v>352</v>
      </c>
      <c r="F22" s="772">
        <v>1</v>
      </c>
      <c r="G22" s="764">
        <v>50000</v>
      </c>
      <c r="H22" s="499">
        <f t="shared" si="0"/>
        <v>50000</v>
      </c>
      <c r="I22" s="386" t="s">
        <v>395</v>
      </c>
      <c r="K22" s="228"/>
      <c r="L22" s="304"/>
      <c r="M22" s="306"/>
      <c r="N22" s="308"/>
      <c r="O22" s="308"/>
    </row>
    <row r="23" spans="1:15" ht="15.6" customHeight="1">
      <c r="A23" s="963"/>
      <c r="B23" s="341"/>
      <c r="C23" s="771" t="s">
        <v>380</v>
      </c>
      <c r="D23" s="769" t="s">
        <v>386</v>
      </c>
      <c r="E23" s="755" t="s">
        <v>352</v>
      </c>
      <c r="F23" s="772">
        <v>1</v>
      </c>
      <c r="G23" s="764">
        <v>64000</v>
      </c>
      <c r="H23" s="499">
        <f t="shared" si="0"/>
        <v>64000</v>
      </c>
      <c r="I23" s="386" t="s">
        <v>395</v>
      </c>
      <c r="K23" s="228"/>
      <c r="L23" s="304"/>
      <c r="M23" s="306"/>
      <c r="N23" s="308"/>
      <c r="O23" s="308"/>
    </row>
    <row r="24" spans="1:15" ht="15.6" customHeight="1">
      <c r="A24" s="963"/>
      <c r="B24" s="341"/>
      <c r="C24" s="771" t="s">
        <v>387</v>
      </c>
      <c r="D24" s="769" t="s">
        <v>388</v>
      </c>
      <c r="E24" s="755" t="s">
        <v>352</v>
      </c>
      <c r="F24" s="772">
        <v>10</v>
      </c>
      <c r="G24" s="422">
        <v>4000</v>
      </c>
      <c r="H24" s="499">
        <f t="shared" si="0"/>
        <v>40000</v>
      </c>
      <c r="I24" s="386" t="s">
        <v>395</v>
      </c>
      <c r="K24" s="228"/>
      <c r="L24" s="304"/>
      <c r="M24" s="306"/>
      <c r="N24" s="308"/>
      <c r="O24" s="308"/>
    </row>
    <row r="25" spans="1:15" ht="15.6" customHeight="1">
      <c r="A25" s="963"/>
      <c r="B25" s="341"/>
      <c r="C25" s="771" t="s">
        <v>389</v>
      </c>
      <c r="D25" s="769" t="s">
        <v>390</v>
      </c>
      <c r="E25" s="755" t="s">
        <v>352</v>
      </c>
      <c r="F25" s="772">
        <v>1</v>
      </c>
      <c r="G25" s="422">
        <v>260000</v>
      </c>
      <c r="H25" s="499">
        <f t="shared" si="0"/>
        <v>260000</v>
      </c>
      <c r="I25" s="386" t="s">
        <v>395</v>
      </c>
      <c r="K25" s="228"/>
      <c r="L25" s="304"/>
      <c r="M25" s="306"/>
      <c r="N25" s="308"/>
      <c r="O25" s="308"/>
    </row>
    <row r="26" spans="1:15" ht="15.6" customHeight="1">
      <c r="A26" s="963"/>
      <c r="B26" s="341"/>
      <c r="C26" s="771" t="s">
        <v>391</v>
      </c>
      <c r="D26" s="769" t="s">
        <v>392</v>
      </c>
      <c r="E26" s="755" t="s">
        <v>352</v>
      </c>
      <c r="F26" s="772">
        <v>1</v>
      </c>
      <c r="G26" s="422">
        <v>50000</v>
      </c>
      <c r="H26" s="499">
        <f t="shared" si="0"/>
        <v>50000</v>
      </c>
      <c r="I26" s="386" t="s">
        <v>395</v>
      </c>
      <c r="K26" s="228"/>
      <c r="L26" s="304"/>
      <c r="M26" s="306"/>
      <c r="N26" s="308"/>
      <c r="O26" s="308"/>
    </row>
    <row r="27" spans="1:15" ht="15.6" customHeight="1">
      <c r="A27" s="963"/>
      <c r="B27" s="341"/>
      <c r="C27" s="771" t="s">
        <v>393</v>
      </c>
      <c r="D27" s="769" t="s">
        <v>394</v>
      </c>
      <c r="E27" s="755" t="s">
        <v>352</v>
      </c>
      <c r="F27" s="772">
        <v>5</v>
      </c>
      <c r="G27" s="422">
        <v>40000</v>
      </c>
      <c r="H27" s="499">
        <f t="shared" si="0"/>
        <v>200000</v>
      </c>
      <c r="I27" s="386" t="s">
        <v>395</v>
      </c>
      <c r="K27" s="228"/>
      <c r="L27" s="304"/>
      <c r="M27" s="306"/>
      <c r="N27" s="308"/>
      <c r="O27" s="308"/>
    </row>
    <row r="28" spans="1:15" ht="15.6" customHeight="1">
      <c r="A28" s="963"/>
      <c r="B28" s="341"/>
      <c r="C28" s="443"/>
      <c r="D28" s="329"/>
      <c r="E28" s="498" t="s">
        <v>216</v>
      </c>
      <c r="F28" s="501"/>
      <c r="G28" s="500"/>
      <c r="H28" s="499">
        <f t="shared" si="0"/>
        <v>0</v>
      </c>
      <c r="I28" s="394"/>
      <c r="K28" s="228"/>
      <c r="L28" s="304"/>
      <c r="M28" s="306"/>
      <c r="N28" s="308"/>
      <c r="O28" s="308"/>
    </row>
    <row r="29" spans="1:15" ht="15.6" customHeight="1">
      <c r="A29" s="963"/>
      <c r="B29" s="341"/>
      <c r="C29" s="443"/>
      <c r="D29" s="329"/>
      <c r="E29" s="498" t="s">
        <v>216</v>
      </c>
      <c r="F29" s="501"/>
      <c r="G29" s="500"/>
      <c r="H29" s="499">
        <f t="shared" si="0"/>
        <v>0</v>
      </c>
      <c r="I29" s="394"/>
      <c r="K29" s="228"/>
      <c r="L29" s="304"/>
      <c r="M29" s="306"/>
      <c r="N29" s="308"/>
      <c r="O29" s="308"/>
    </row>
    <row r="30" spans="1:15" ht="15.6" customHeight="1">
      <c r="A30" s="963"/>
      <c r="B30" s="341"/>
      <c r="C30" s="433"/>
      <c r="D30" s="329"/>
      <c r="E30" s="498" t="s">
        <v>216</v>
      </c>
      <c r="F30" s="501"/>
      <c r="G30" s="330"/>
      <c r="H30" s="450">
        <f t="shared" ref="H30:H39" si="1">IF(F30=0,G30,G30*F30)</f>
        <v>0</v>
      </c>
      <c r="I30" s="394"/>
      <c r="K30" s="228"/>
      <c r="L30" s="304"/>
      <c r="M30" s="306"/>
      <c r="N30" s="308"/>
      <c r="O30" s="308"/>
    </row>
    <row r="31" spans="1:15" ht="15.6" customHeight="1">
      <c r="A31" s="963"/>
      <c r="B31" s="341"/>
      <c r="C31" s="443"/>
      <c r="D31" s="329"/>
      <c r="E31" s="498" t="s">
        <v>216</v>
      </c>
      <c r="F31" s="501"/>
      <c r="G31" s="330"/>
      <c r="H31" s="450">
        <f t="shared" si="1"/>
        <v>0</v>
      </c>
      <c r="I31" s="394"/>
      <c r="K31" s="228"/>
      <c r="L31" s="304"/>
      <c r="M31" s="306"/>
      <c r="N31" s="308"/>
      <c r="O31" s="308"/>
    </row>
    <row r="32" spans="1:15" ht="15.6" customHeight="1">
      <c r="A32" s="963"/>
      <c r="B32" s="341"/>
      <c r="C32" s="443"/>
      <c r="D32" s="329"/>
      <c r="E32" s="498" t="s">
        <v>216</v>
      </c>
      <c r="F32" s="501"/>
      <c r="G32" s="330"/>
      <c r="H32" s="450">
        <f t="shared" si="1"/>
        <v>0</v>
      </c>
      <c r="I32" s="394"/>
      <c r="K32" s="228"/>
      <c r="L32" s="304"/>
      <c r="M32" s="306"/>
      <c r="N32" s="308"/>
      <c r="O32" s="308"/>
    </row>
    <row r="33" spans="1:15" ht="15.6" customHeight="1">
      <c r="A33" s="963"/>
      <c r="B33" s="341"/>
      <c r="C33" s="443"/>
      <c r="D33" s="329"/>
      <c r="E33" s="498" t="s">
        <v>216</v>
      </c>
      <c r="F33" s="501"/>
      <c r="G33" s="330"/>
      <c r="H33" s="450">
        <f t="shared" si="1"/>
        <v>0</v>
      </c>
      <c r="I33" s="394"/>
      <c r="K33" s="228"/>
      <c r="L33" s="304"/>
      <c r="M33" s="306"/>
      <c r="N33" s="308"/>
      <c r="O33" s="308"/>
    </row>
    <row r="34" spans="1:15" ht="15.95" customHeight="1">
      <c r="A34" s="963"/>
      <c r="B34" s="341"/>
      <c r="C34" s="443"/>
      <c r="D34" s="329"/>
      <c r="E34" s="498" t="s">
        <v>216</v>
      </c>
      <c r="F34" s="501"/>
      <c r="G34" s="330"/>
      <c r="H34" s="450">
        <f t="shared" si="1"/>
        <v>0</v>
      </c>
      <c r="I34" s="394"/>
      <c r="K34" s="228"/>
      <c r="L34" s="304"/>
      <c r="M34" s="306"/>
      <c r="N34" s="308"/>
      <c r="O34" s="308"/>
    </row>
    <row r="35" spans="1:15" ht="15.95" customHeight="1">
      <c r="A35" s="963"/>
      <c r="B35" s="341"/>
      <c r="C35" s="443"/>
      <c r="D35" s="329"/>
      <c r="E35" s="498" t="s">
        <v>216</v>
      </c>
      <c r="F35" s="501"/>
      <c r="G35" s="330"/>
      <c r="H35" s="450">
        <f t="shared" si="1"/>
        <v>0</v>
      </c>
      <c r="I35" s="394"/>
      <c r="K35" s="228"/>
      <c r="L35" s="304"/>
      <c r="M35" s="306"/>
      <c r="N35" s="308"/>
      <c r="O35" s="308"/>
    </row>
    <row r="36" spans="1:15" ht="15.95" customHeight="1">
      <c r="A36" s="963"/>
      <c r="B36" s="341"/>
      <c r="C36" s="443"/>
      <c r="D36" s="329"/>
      <c r="E36" s="498" t="s">
        <v>216</v>
      </c>
      <c r="F36" s="501"/>
      <c r="G36" s="330"/>
      <c r="H36" s="502">
        <f t="shared" si="1"/>
        <v>0</v>
      </c>
      <c r="I36" s="394"/>
      <c r="K36" s="228"/>
      <c r="L36" s="304"/>
      <c r="M36" s="306"/>
      <c r="N36" s="308"/>
      <c r="O36" s="308"/>
    </row>
    <row r="37" spans="1:15" ht="15.95" customHeight="1">
      <c r="A37" s="963"/>
      <c r="B37" s="341"/>
      <c r="C37" s="443"/>
      <c r="D37" s="329"/>
      <c r="E37" s="498" t="s">
        <v>216</v>
      </c>
      <c r="F37" s="501"/>
      <c r="G37" s="330"/>
      <c r="H37" s="502">
        <f t="shared" si="1"/>
        <v>0</v>
      </c>
      <c r="I37" s="394"/>
      <c r="K37" s="228"/>
      <c r="L37" s="304"/>
      <c r="M37" s="306"/>
      <c r="N37" s="308"/>
      <c r="O37" s="308"/>
    </row>
    <row r="38" spans="1:15" ht="15.95" customHeight="1">
      <c r="A38" s="963"/>
      <c r="B38" s="341"/>
      <c r="C38" s="443"/>
      <c r="D38" s="329"/>
      <c r="E38" s="498" t="s">
        <v>216</v>
      </c>
      <c r="F38" s="501"/>
      <c r="G38" s="330"/>
      <c r="H38" s="502">
        <f t="shared" si="1"/>
        <v>0</v>
      </c>
      <c r="I38" s="394"/>
      <c r="K38" s="228"/>
      <c r="L38" s="304"/>
      <c r="M38" s="306"/>
      <c r="N38" s="308"/>
      <c r="O38" s="308"/>
    </row>
    <row r="39" spans="1:15" ht="15.95" customHeight="1">
      <c r="A39" s="963"/>
      <c r="B39" s="341"/>
      <c r="C39" s="443"/>
      <c r="D39" s="329"/>
      <c r="E39" s="498" t="s">
        <v>216</v>
      </c>
      <c r="F39" s="501"/>
      <c r="G39" s="330"/>
      <c r="H39" s="502">
        <f t="shared" si="1"/>
        <v>0</v>
      </c>
      <c r="I39" s="394"/>
      <c r="K39" s="228"/>
      <c r="L39" s="304"/>
      <c r="M39" s="306"/>
      <c r="N39" s="308"/>
      <c r="O39" s="308"/>
    </row>
    <row r="40" spans="1:15" ht="15.95" customHeight="1">
      <c r="A40" s="963"/>
      <c r="B40" s="341"/>
      <c r="C40" s="503"/>
      <c r="D40" s="503"/>
      <c r="E40" s="504"/>
      <c r="F40" s="503"/>
      <c r="G40" s="505"/>
      <c r="H40" s="364"/>
      <c r="I40" s="394"/>
      <c r="K40" s="228"/>
      <c r="L40" s="304"/>
      <c r="M40" s="306"/>
      <c r="N40" s="308"/>
      <c r="O40" s="308"/>
    </row>
    <row r="41" spans="1:15" ht="15.95" customHeight="1">
      <c r="A41" s="963"/>
      <c r="B41" s="341"/>
      <c r="C41" s="332"/>
      <c r="D41" s="506"/>
      <c r="E41" s="334"/>
      <c r="F41" s="507"/>
      <c r="G41" s="508"/>
      <c r="H41" s="374"/>
      <c r="I41" s="388"/>
    </row>
    <row r="42" spans="1:15" ht="15.95" customHeight="1">
      <c r="A42" s="963"/>
      <c r="B42" s="342"/>
      <c r="C42" s="389"/>
      <c r="D42" s="509"/>
      <c r="E42" s="430"/>
      <c r="F42" s="510"/>
      <c r="G42" s="346"/>
      <c r="H42" s="346">
        <f>SUM(H3:H41)</f>
        <v>17151000</v>
      </c>
      <c r="I42" s="395"/>
    </row>
    <row r="43" spans="1:15" ht="15.95" customHeight="1">
      <c r="A43" s="963"/>
      <c r="B43" s="349" t="s">
        <v>154</v>
      </c>
      <c r="C43" s="511"/>
      <c r="D43" s="511"/>
      <c r="E43" s="512"/>
      <c r="F43" s="513"/>
      <c r="G43" s="415"/>
      <c r="H43" s="514">
        <f>G43*F43</f>
        <v>0</v>
      </c>
      <c r="I43" s="387"/>
    </row>
    <row r="44" spans="1:15" ht="15.95" customHeight="1">
      <c r="A44" s="963"/>
      <c r="B44" s="773" t="s">
        <v>436</v>
      </c>
      <c r="C44" s="774" t="s">
        <v>396</v>
      </c>
      <c r="D44" s="774" t="s">
        <v>397</v>
      </c>
      <c r="E44" s="481" t="s">
        <v>398</v>
      </c>
      <c r="F44" s="776">
        <v>1</v>
      </c>
      <c r="G44" s="777">
        <v>161000</v>
      </c>
      <c r="H44" s="502">
        <f t="shared" ref="H44:H88" si="2">IF(F44=0,G44,G44*F44)</f>
        <v>161000</v>
      </c>
      <c r="I44" s="780" t="s">
        <v>438</v>
      </c>
    </row>
    <row r="45" spans="1:15" ht="15.95" customHeight="1">
      <c r="A45" s="963"/>
      <c r="B45" s="341"/>
      <c r="C45" s="775" t="s">
        <v>399</v>
      </c>
      <c r="D45" s="775" t="s">
        <v>400</v>
      </c>
      <c r="E45" s="481" t="s">
        <v>216</v>
      </c>
      <c r="F45" s="778">
        <v>1</v>
      </c>
      <c r="G45" s="779">
        <v>52000</v>
      </c>
      <c r="H45" s="502">
        <f t="shared" si="2"/>
        <v>52000</v>
      </c>
      <c r="I45" s="781" t="s">
        <v>438</v>
      </c>
    </row>
    <row r="46" spans="1:15" ht="15.95" customHeight="1">
      <c r="A46" s="963"/>
      <c r="B46" s="341"/>
      <c r="C46" s="775" t="s">
        <v>401</v>
      </c>
      <c r="D46" s="775" t="s">
        <v>402</v>
      </c>
      <c r="E46" s="481" t="s">
        <v>216</v>
      </c>
      <c r="F46" s="778">
        <v>1</v>
      </c>
      <c r="G46" s="779">
        <v>3000</v>
      </c>
      <c r="H46" s="502">
        <f t="shared" si="2"/>
        <v>3000</v>
      </c>
      <c r="I46" s="781" t="s">
        <v>438</v>
      </c>
    </row>
    <row r="47" spans="1:15" ht="15.95" customHeight="1">
      <c r="A47" s="963"/>
      <c r="B47" s="341"/>
      <c r="C47" s="775" t="s">
        <v>403</v>
      </c>
      <c r="D47" s="775" t="s">
        <v>404</v>
      </c>
      <c r="E47" s="481" t="s">
        <v>216</v>
      </c>
      <c r="F47" s="778">
        <v>1</v>
      </c>
      <c r="G47" s="779">
        <v>52000</v>
      </c>
      <c r="H47" s="502">
        <f t="shared" si="2"/>
        <v>52000</v>
      </c>
      <c r="I47" s="781" t="s">
        <v>439</v>
      </c>
    </row>
    <row r="48" spans="1:15" ht="15.95" customHeight="1">
      <c r="A48" s="963"/>
      <c r="B48" s="341"/>
      <c r="C48" s="775" t="s">
        <v>405</v>
      </c>
      <c r="D48" s="775" t="s">
        <v>406</v>
      </c>
      <c r="E48" s="481" t="s">
        <v>216</v>
      </c>
      <c r="F48" s="778">
        <v>1</v>
      </c>
      <c r="G48" s="779">
        <v>58000</v>
      </c>
      <c r="H48" s="502">
        <f t="shared" si="2"/>
        <v>58000</v>
      </c>
      <c r="I48" s="781" t="s">
        <v>440</v>
      </c>
    </row>
    <row r="49" spans="1:13" ht="15.95" customHeight="1">
      <c r="A49" s="963"/>
      <c r="B49" s="341"/>
      <c r="C49" s="775" t="s">
        <v>405</v>
      </c>
      <c r="D49" s="775" t="s">
        <v>407</v>
      </c>
      <c r="E49" s="481" t="s">
        <v>216</v>
      </c>
      <c r="F49" s="778">
        <v>4</v>
      </c>
      <c r="G49" s="779">
        <v>58000</v>
      </c>
      <c r="H49" s="502">
        <f t="shared" si="2"/>
        <v>232000</v>
      </c>
      <c r="I49" s="781" t="s">
        <v>440</v>
      </c>
    </row>
    <row r="50" spans="1:13" ht="15.95" customHeight="1">
      <c r="A50" s="963"/>
      <c r="B50" s="341"/>
      <c r="C50" s="775" t="s">
        <v>408</v>
      </c>
      <c r="D50" s="775" t="s">
        <v>409</v>
      </c>
      <c r="E50" s="481" t="s">
        <v>216</v>
      </c>
      <c r="F50" s="778">
        <v>2</v>
      </c>
      <c r="G50" s="779">
        <v>16000</v>
      </c>
      <c r="H50" s="502">
        <f t="shared" si="2"/>
        <v>32000</v>
      </c>
      <c r="I50" s="781" t="s">
        <v>441</v>
      </c>
    </row>
    <row r="51" spans="1:13" ht="15.95" customHeight="1">
      <c r="A51" s="963"/>
      <c r="B51" s="341"/>
      <c r="C51" s="775" t="s">
        <v>410</v>
      </c>
      <c r="D51" s="775" t="s">
        <v>411</v>
      </c>
      <c r="E51" s="481" t="s">
        <v>216</v>
      </c>
      <c r="F51" s="778">
        <v>1</v>
      </c>
      <c r="G51" s="779">
        <v>312000</v>
      </c>
      <c r="H51" s="502">
        <f t="shared" si="2"/>
        <v>312000</v>
      </c>
      <c r="I51" s="781" t="s">
        <v>442</v>
      </c>
    </row>
    <row r="52" spans="1:13" ht="15.95" customHeight="1">
      <c r="A52" s="963"/>
      <c r="B52" s="341"/>
      <c r="C52" s="775" t="s">
        <v>412</v>
      </c>
      <c r="D52" s="775" t="s">
        <v>413</v>
      </c>
      <c r="E52" s="481" t="s">
        <v>216</v>
      </c>
      <c r="F52" s="778">
        <v>1</v>
      </c>
      <c r="G52" s="779">
        <v>96500</v>
      </c>
      <c r="H52" s="502">
        <f t="shared" si="2"/>
        <v>96500</v>
      </c>
      <c r="I52" s="781" t="s">
        <v>395</v>
      </c>
    </row>
    <row r="53" spans="1:13" ht="15.95" customHeight="1">
      <c r="A53" s="963"/>
      <c r="B53" s="341"/>
      <c r="C53" s="775" t="s">
        <v>414</v>
      </c>
      <c r="D53" s="775" t="s">
        <v>415</v>
      </c>
      <c r="E53" s="481" t="s">
        <v>216</v>
      </c>
      <c r="F53" s="778">
        <v>1</v>
      </c>
      <c r="G53" s="779">
        <v>446500</v>
      </c>
      <c r="H53" s="502">
        <f t="shared" si="2"/>
        <v>446500</v>
      </c>
      <c r="I53" s="781" t="s">
        <v>443</v>
      </c>
    </row>
    <row r="54" spans="1:13" ht="15.95" customHeight="1">
      <c r="A54" s="963"/>
      <c r="B54" s="341"/>
      <c r="C54" s="775" t="s">
        <v>416</v>
      </c>
      <c r="D54" s="775" t="s">
        <v>417</v>
      </c>
      <c r="E54" s="481" t="s">
        <v>216</v>
      </c>
      <c r="F54" s="778">
        <v>1</v>
      </c>
      <c r="G54" s="779">
        <v>168000</v>
      </c>
      <c r="H54" s="502">
        <f t="shared" si="2"/>
        <v>168000</v>
      </c>
      <c r="I54" s="781" t="s">
        <v>444</v>
      </c>
    </row>
    <row r="55" spans="1:13" ht="15.95" customHeight="1">
      <c r="A55" s="963"/>
      <c r="B55" s="341"/>
      <c r="C55" s="775" t="s">
        <v>418</v>
      </c>
      <c r="D55" s="775" t="s">
        <v>419</v>
      </c>
      <c r="E55" s="481" t="s">
        <v>216</v>
      </c>
      <c r="F55" s="778">
        <v>1</v>
      </c>
      <c r="G55" s="779">
        <v>60500</v>
      </c>
      <c r="H55" s="502">
        <f t="shared" si="2"/>
        <v>60500</v>
      </c>
      <c r="I55" s="781" t="s">
        <v>438</v>
      </c>
    </row>
    <row r="56" spans="1:13" ht="15.95" customHeight="1">
      <c r="A56" s="963"/>
      <c r="B56" s="341"/>
      <c r="C56" s="775" t="s">
        <v>418</v>
      </c>
      <c r="D56" s="775" t="s">
        <v>420</v>
      </c>
      <c r="E56" s="481" t="s">
        <v>270</v>
      </c>
      <c r="F56" s="778">
        <v>1</v>
      </c>
      <c r="G56" s="779">
        <v>60500</v>
      </c>
      <c r="H56" s="502">
        <f t="shared" si="2"/>
        <v>60500</v>
      </c>
      <c r="I56" s="781" t="s">
        <v>438</v>
      </c>
    </row>
    <row r="57" spans="1:13" ht="15.95" customHeight="1">
      <c r="A57" s="963"/>
      <c r="B57" s="341"/>
      <c r="C57" s="775" t="s">
        <v>418</v>
      </c>
      <c r="D57" s="775" t="s">
        <v>421</v>
      </c>
      <c r="E57" s="481" t="s">
        <v>270</v>
      </c>
      <c r="F57" s="778">
        <v>1</v>
      </c>
      <c r="G57" s="779">
        <v>60500</v>
      </c>
      <c r="H57" s="502">
        <f t="shared" si="2"/>
        <v>60500</v>
      </c>
      <c r="I57" s="781" t="s">
        <v>438</v>
      </c>
    </row>
    <row r="58" spans="1:13" ht="15.95" customHeight="1">
      <c r="A58" s="963"/>
      <c r="B58" s="341"/>
      <c r="C58" s="775" t="s">
        <v>418</v>
      </c>
      <c r="D58" s="775" t="s">
        <v>422</v>
      </c>
      <c r="E58" s="481" t="s">
        <v>270</v>
      </c>
      <c r="F58" s="778">
        <v>1</v>
      </c>
      <c r="G58" s="779">
        <v>64700</v>
      </c>
      <c r="H58" s="502">
        <f t="shared" si="2"/>
        <v>64700</v>
      </c>
      <c r="I58" s="781" t="s">
        <v>438</v>
      </c>
      <c r="J58" s="289"/>
      <c r="K58" s="289"/>
      <c r="L58" s="289"/>
      <c r="M58" s="289"/>
    </row>
    <row r="59" spans="1:13" ht="15.95" customHeight="1">
      <c r="A59" s="963"/>
      <c r="B59" s="341"/>
      <c r="C59" s="775" t="s">
        <v>423</v>
      </c>
      <c r="D59" s="775" t="s">
        <v>424</v>
      </c>
      <c r="E59" s="481" t="s">
        <v>270</v>
      </c>
      <c r="F59" s="778">
        <v>1</v>
      </c>
      <c r="G59" s="779">
        <v>33900</v>
      </c>
      <c r="H59" s="502">
        <f t="shared" si="2"/>
        <v>33900</v>
      </c>
      <c r="I59" s="781" t="s">
        <v>438</v>
      </c>
      <c r="J59" s="289"/>
      <c r="K59" s="289"/>
      <c r="L59" s="289"/>
      <c r="M59" s="289"/>
    </row>
    <row r="60" spans="1:13" ht="15.95" customHeight="1">
      <c r="A60" s="963"/>
      <c r="B60" s="341"/>
      <c r="C60" s="775" t="s">
        <v>423</v>
      </c>
      <c r="D60" s="775" t="s">
        <v>425</v>
      </c>
      <c r="E60" s="481" t="s">
        <v>216</v>
      </c>
      <c r="F60" s="778">
        <v>4</v>
      </c>
      <c r="G60" s="779">
        <v>50500</v>
      </c>
      <c r="H60" s="502">
        <f t="shared" si="2"/>
        <v>202000</v>
      </c>
      <c r="I60" s="781" t="s">
        <v>438</v>
      </c>
      <c r="J60" s="289"/>
      <c r="K60" s="289"/>
      <c r="L60" s="289"/>
      <c r="M60" s="289"/>
    </row>
    <row r="61" spans="1:13" ht="15.95" customHeight="1">
      <c r="A61" s="963"/>
      <c r="B61" s="341"/>
      <c r="C61" s="775" t="s">
        <v>423</v>
      </c>
      <c r="D61" s="775" t="s">
        <v>426</v>
      </c>
      <c r="E61" s="481" t="s">
        <v>216</v>
      </c>
      <c r="F61" s="778">
        <v>1</v>
      </c>
      <c r="G61" s="779">
        <v>68900</v>
      </c>
      <c r="H61" s="502">
        <f t="shared" si="2"/>
        <v>68900</v>
      </c>
      <c r="I61" s="781" t="s">
        <v>438</v>
      </c>
      <c r="J61" s="289"/>
      <c r="K61" s="289"/>
      <c r="L61" s="289"/>
      <c r="M61" s="289"/>
    </row>
    <row r="62" spans="1:13" ht="15.95" customHeight="1">
      <c r="A62" s="963"/>
      <c r="B62" s="341"/>
      <c r="C62" s="775" t="s">
        <v>427</v>
      </c>
      <c r="D62" s="775" t="s">
        <v>428</v>
      </c>
      <c r="E62" s="481" t="s">
        <v>216</v>
      </c>
      <c r="F62" s="778">
        <v>3</v>
      </c>
      <c r="G62" s="779">
        <v>56000</v>
      </c>
      <c r="H62" s="502">
        <f t="shared" si="2"/>
        <v>168000</v>
      </c>
      <c r="I62" s="781" t="s">
        <v>442</v>
      </c>
      <c r="J62" s="289"/>
      <c r="K62" s="289"/>
      <c r="L62" s="289"/>
      <c r="M62" s="289"/>
    </row>
    <row r="63" spans="1:13" ht="15.95" customHeight="1">
      <c r="A63" s="963"/>
      <c r="B63" s="341"/>
      <c r="C63" s="775" t="s">
        <v>429</v>
      </c>
      <c r="D63" s="775" t="s">
        <v>430</v>
      </c>
      <c r="E63" s="481" t="s">
        <v>216</v>
      </c>
      <c r="F63" s="778">
        <v>3</v>
      </c>
      <c r="G63" s="779">
        <v>36000</v>
      </c>
      <c r="H63" s="502">
        <f t="shared" si="2"/>
        <v>108000</v>
      </c>
      <c r="I63" s="781" t="s">
        <v>442</v>
      </c>
      <c r="J63" s="289"/>
      <c r="K63" s="289"/>
      <c r="L63" s="289"/>
      <c r="M63" s="289"/>
    </row>
    <row r="64" spans="1:13" ht="15.95" customHeight="1">
      <c r="A64" s="963"/>
      <c r="B64" s="341"/>
      <c r="C64" s="775" t="s">
        <v>427</v>
      </c>
      <c r="D64" s="775" t="s">
        <v>431</v>
      </c>
      <c r="E64" s="481" t="s">
        <v>216</v>
      </c>
      <c r="F64" s="778">
        <v>1</v>
      </c>
      <c r="G64" s="779">
        <v>56000</v>
      </c>
      <c r="H64" s="502">
        <f t="shared" si="2"/>
        <v>56000</v>
      </c>
      <c r="I64" s="781" t="s">
        <v>442</v>
      </c>
      <c r="J64" s="289"/>
      <c r="K64" s="289"/>
      <c r="L64" s="289"/>
      <c r="M64" s="289"/>
    </row>
    <row r="65" spans="1:13" ht="15.95" customHeight="1">
      <c r="A65" s="963"/>
      <c r="B65" s="341"/>
      <c r="C65" s="775" t="s">
        <v>429</v>
      </c>
      <c r="D65" s="775" t="s">
        <v>432</v>
      </c>
      <c r="E65" s="481" t="s">
        <v>216</v>
      </c>
      <c r="F65" s="778">
        <v>1</v>
      </c>
      <c r="G65" s="779">
        <v>36000</v>
      </c>
      <c r="H65" s="502">
        <f t="shared" si="2"/>
        <v>36000</v>
      </c>
      <c r="I65" s="781" t="s">
        <v>442</v>
      </c>
      <c r="J65" s="289"/>
      <c r="K65" s="289"/>
      <c r="L65" s="289"/>
      <c r="M65" s="289"/>
    </row>
    <row r="66" spans="1:13" ht="15.95" customHeight="1">
      <c r="A66" s="963"/>
      <c r="B66" s="341"/>
      <c r="C66" s="775" t="s">
        <v>433</v>
      </c>
      <c r="D66" s="775" t="s">
        <v>434</v>
      </c>
      <c r="E66" s="481" t="s">
        <v>216</v>
      </c>
      <c r="F66" s="778">
        <v>4</v>
      </c>
      <c r="G66" s="779">
        <v>52000</v>
      </c>
      <c r="H66" s="502">
        <f t="shared" si="2"/>
        <v>208000</v>
      </c>
      <c r="I66" s="781" t="s">
        <v>442</v>
      </c>
      <c r="J66" s="289"/>
      <c r="K66" s="289"/>
      <c r="L66" s="289"/>
      <c r="M66" s="289"/>
    </row>
    <row r="67" spans="1:13" ht="15.95" customHeight="1">
      <c r="A67" s="963"/>
      <c r="B67" s="341"/>
      <c r="C67" s="775" t="s">
        <v>437</v>
      </c>
      <c r="D67" s="775" t="s">
        <v>435</v>
      </c>
      <c r="E67" s="481" t="s">
        <v>270</v>
      </c>
      <c r="F67" s="778">
        <v>1</v>
      </c>
      <c r="G67" s="779">
        <v>3500000</v>
      </c>
      <c r="H67" s="502">
        <f t="shared" si="2"/>
        <v>3500000</v>
      </c>
      <c r="I67" s="781" t="s">
        <v>445</v>
      </c>
      <c r="J67" s="290"/>
      <c r="K67" s="290"/>
      <c r="L67" s="290"/>
      <c r="M67" s="290"/>
    </row>
    <row r="68" spans="1:13" ht="15.95" customHeight="1">
      <c r="A68" s="963"/>
      <c r="B68" s="341"/>
      <c r="C68" s="515"/>
      <c r="D68" s="518"/>
      <c r="E68" s="481"/>
      <c r="F68" s="516"/>
      <c r="G68" s="319"/>
      <c r="H68" s="502">
        <f t="shared" si="2"/>
        <v>0</v>
      </c>
      <c r="I68" s="387"/>
      <c r="J68" s="290"/>
      <c r="K68" s="290"/>
      <c r="L68" s="290"/>
      <c r="M68" s="290"/>
    </row>
    <row r="69" spans="1:13" ht="15.95" customHeight="1">
      <c r="A69" s="963"/>
      <c r="B69" s="773" t="s">
        <v>446</v>
      </c>
      <c r="C69" s="775" t="s">
        <v>447</v>
      </c>
      <c r="D69" s="775" t="s">
        <v>448</v>
      </c>
      <c r="E69" s="481" t="s">
        <v>398</v>
      </c>
      <c r="F69" s="778">
        <v>1</v>
      </c>
      <c r="G69" s="779">
        <v>10500</v>
      </c>
      <c r="H69" s="502">
        <f t="shared" si="2"/>
        <v>10500</v>
      </c>
      <c r="I69" s="781" t="s">
        <v>488</v>
      </c>
      <c r="J69" s="290"/>
      <c r="K69" s="290"/>
      <c r="L69" s="290"/>
      <c r="M69" s="290"/>
    </row>
    <row r="70" spans="1:13" ht="15.95" customHeight="1">
      <c r="A70" s="963"/>
      <c r="B70" s="341"/>
      <c r="C70" s="775" t="s">
        <v>449</v>
      </c>
      <c r="D70" s="775" t="s">
        <v>450</v>
      </c>
      <c r="E70" s="481" t="s">
        <v>270</v>
      </c>
      <c r="F70" s="778">
        <v>1</v>
      </c>
      <c r="G70" s="779">
        <v>4800</v>
      </c>
      <c r="H70" s="502">
        <f t="shared" si="2"/>
        <v>4800</v>
      </c>
      <c r="I70" s="781" t="s">
        <v>488</v>
      </c>
      <c r="J70" s="290"/>
      <c r="K70" s="290"/>
      <c r="L70" s="290"/>
      <c r="M70" s="290"/>
    </row>
    <row r="71" spans="1:13" ht="15.95" customHeight="1">
      <c r="A71" s="963"/>
      <c r="B71" s="341"/>
      <c r="C71" s="775" t="s">
        <v>451</v>
      </c>
      <c r="D71" s="775" t="s">
        <v>452</v>
      </c>
      <c r="E71" s="481" t="s">
        <v>270</v>
      </c>
      <c r="F71" s="778">
        <v>1</v>
      </c>
      <c r="G71" s="779">
        <v>12200</v>
      </c>
      <c r="H71" s="502">
        <f t="shared" si="2"/>
        <v>12200</v>
      </c>
      <c r="I71" s="781" t="s">
        <v>488</v>
      </c>
      <c r="J71" s="290"/>
      <c r="K71" s="290"/>
      <c r="L71" s="290"/>
      <c r="M71" s="290"/>
    </row>
    <row r="72" spans="1:13" ht="15.95" customHeight="1">
      <c r="A72" s="963"/>
      <c r="B72" s="341"/>
      <c r="C72" s="775" t="s">
        <v>453</v>
      </c>
      <c r="D72" s="775" t="s">
        <v>452</v>
      </c>
      <c r="E72" s="481" t="s">
        <v>270</v>
      </c>
      <c r="F72" s="778">
        <v>1</v>
      </c>
      <c r="G72" s="779">
        <v>12200</v>
      </c>
      <c r="H72" s="502">
        <f t="shared" si="2"/>
        <v>12200</v>
      </c>
      <c r="I72" s="781" t="s">
        <v>488</v>
      </c>
      <c r="J72" s="290"/>
      <c r="K72" s="53"/>
      <c r="L72" s="290"/>
      <c r="M72" s="290"/>
    </row>
    <row r="73" spans="1:13" ht="15.95" customHeight="1">
      <c r="A73" s="963"/>
      <c r="B73" s="341"/>
      <c r="C73" s="775" t="s">
        <v>454</v>
      </c>
      <c r="D73" s="775" t="s">
        <v>455</v>
      </c>
      <c r="E73" s="481" t="s">
        <v>270</v>
      </c>
      <c r="F73" s="778">
        <v>1</v>
      </c>
      <c r="G73" s="779">
        <v>12200</v>
      </c>
      <c r="H73" s="502">
        <f t="shared" si="2"/>
        <v>12200</v>
      </c>
      <c r="I73" s="781" t="s">
        <v>488</v>
      </c>
      <c r="J73" s="290"/>
      <c r="K73" s="290"/>
      <c r="L73" s="290"/>
      <c r="M73" s="290"/>
    </row>
    <row r="74" spans="1:13" ht="15.95" customHeight="1">
      <c r="A74" s="963"/>
      <c r="B74" s="341"/>
      <c r="C74" s="775" t="s">
        <v>456</v>
      </c>
      <c r="D74" s="775" t="s">
        <v>457</v>
      </c>
      <c r="E74" s="481" t="s">
        <v>270</v>
      </c>
      <c r="F74" s="778">
        <v>1</v>
      </c>
      <c r="G74" s="779">
        <v>4600</v>
      </c>
      <c r="H74" s="502">
        <f t="shared" si="2"/>
        <v>4600</v>
      </c>
      <c r="I74" s="781" t="s">
        <v>488</v>
      </c>
      <c r="J74" s="290"/>
      <c r="K74" s="290"/>
      <c r="L74" s="290"/>
      <c r="M74" s="290"/>
    </row>
    <row r="75" spans="1:13" ht="15.95" customHeight="1">
      <c r="A75" s="963"/>
      <c r="B75" s="341"/>
      <c r="C75" s="775" t="s">
        <v>458</v>
      </c>
      <c r="D75" s="775" t="s">
        <v>459</v>
      </c>
      <c r="E75" s="481" t="s">
        <v>270</v>
      </c>
      <c r="F75" s="778">
        <v>1</v>
      </c>
      <c r="G75" s="779">
        <v>7980</v>
      </c>
      <c r="H75" s="502">
        <f t="shared" si="2"/>
        <v>7980</v>
      </c>
      <c r="I75" s="781" t="s">
        <v>488</v>
      </c>
      <c r="J75" s="290"/>
      <c r="K75" s="290"/>
      <c r="L75" s="290"/>
      <c r="M75" s="290"/>
    </row>
    <row r="76" spans="1:13" ht="15.95" customHeight="1">
      <c r="A76" s="963"/>
      <c r="B76" s="341"/>
      <c r="C76" s="782" t="s">
        <v>460</v>
      </c>
      <c r="D76" s="782" t="s">
        <v>461</v>
      </c>
      <c r="E76" s="481" t="s">
        <v>270</v>
      </c>
      <c r="F76" s="784">
        <v>1</v>
      </c>
      <c r="G76" s="785">
        <v>7980</v>
      </c>
      <c r="H76" s="502">
        <f t="shared" si="2"/>
        <v>7980</v>
      </c>
      <c r="I76" s="781" t="s">
        <v>488</v>
      </c>
      <c r="J76" s="290"/>
      <c r="K76" s="290"/>
      <c r="L76" s="290"/>
      <c r="M76" s="290"/>
    </row>
    <row r="77" spans="1:13" ht="15.95" customHeight="1">
      <c r="A77" s="963"/>
      <c r="B77" s="341"/>
      <c r="C77" s="783" t="s">
        <v>462</v>
      </c>
      <c r="D77" s="783" t="s">
        <v>463</v>
      </c>
      <c r="E77" s="481" t="s">
        <v>216</v>
      </c>
      <c r="F77" s="778">
        <v>1</v>
      </c>
      <c r="G77" s="786">
        <v>12020</v>
      </c>
      <c r="H77" s="502">
        <f t="shared" si="2"/>
        <v>12020</v>
      </c>
      <c r="I77" s="781" t="s">
        <v>488</v>
      </c>
      <c r="J77" s="290"/>
      <c r="K77" s="290"/>
      <c r="L77" s="290"/>
      <c r="M77" s="290"/>
    </row>
    <row r="78" spans="1:13" ht="15.95" customHeight="1">
      <c r="A78" s="963"/>
      <c r="B78" s="341"/>
      <c r="C78" s="783" t="s">
        <v>464</v>
      </c>
      <c r="D78" s="783" t="s">
        <v>465</v>
      </c>
      <c r="E78" s="481" t="s">
        <v>216</v>
      </c>
      <c r="F78" s="778">
        <v>1</v>
      </c>
      <c r="G78" s="786">
        <v>4020</v>
      </c>
      <c r="H78" s="502">
        <f t="shared" si="2"/>
        <v>4020</v>
      </c>
      <c r="I78" s="781" t="s">
        <v>488</v>
      </c>
      <c r="J78" s="291"/>
      <c r="K78" s="292"/>
      <c r="L78" s="292"/>
      <c r="M78" s="292"/>
    </row>
    <row r="79" spans="1:13" ht="15.95" customHeight="1">
      <c r="A79" s="963"/>
      <c r="B79" s="341"/>
      <c r="C79" s="783" t="s">
        <v>466</v>
      </c>
      <c r="D79" s="783" t="s">
        <v>467</v>
      </c>
      <c r="E79" s="481" t="s">
        <v>216</v>
      </c>
      <c r="F79" s="778">
        <v>1</v>
      </c>
      <c r="G79" s="786">
        <v>198200</v>
      </c>
      <c r="H79" s="502">
        <f t="shared" si="2"/>
        <v>198200</v>
      </c>
      <c r="I79" s="781" t="s">
        <v>439</v>
      </c>
      <c r="J79" s="291"/>
      <c r="K79" s="292"/>
      <c r="L79" s="292"/>
      <c r="M79" s="292"/>
    </row>
    <row r="80" spans="1:13" ht="15.95" customHeight="1">
      <c r="A80" s="963"/>
      <c r="B80" s="341"/>
      <c r="C80" s="783" t="s">
        <v>468</v>
      </c>
      <c r="D80" s="783" t="s">
        <v>469</v>
      </c>
      <c r="E80" s="481" t="s">
        <v>216</v>
      </c>
      <c r="F80" s="778">
        <v>1</v>
      </c>
      <c r="G80" s="786">
        <v>300000</v>
      </c>
      <c r="H80" s="502">
        <f t="shared" si="2"/>
        <v>300000</v>
      </c>
      <c r="I80" s="781" t="s">
        <v>489</v>
      </c>
    </row>
    <row r="81" spans="1:15" ht="15.95" customHeight="1">
      <c r="A81" s="963"/>
      <c r="B81" s="341"/>
      <c r="C81" s="783" t="s">
        <v>470</v>
      </c>
      <c r="D81" s="783" t="s">
        <v>471</v>
      </c>
      <c r="E81" s="481" t="s">
        <v>216</v>
      </c>
      <c r="F81" s="778">
        <v>1</v>
      </c>
      <c r="G81" s="786">
        <v>76500</v>
      </c>
      <c r="H81" s="502">
        <f t="shared" si="2"/>
        <v>76500</v>
      </c>
      <c r="I81" s="781" t="s">
        <v>490</v>
      </c>
    </row>
    <row r="82" spans="1:15" ht="15.95" customHeight="1">
      <c r="A82" s="963"/>
      <c r="B82" s="341"/>
      <c r="C82" s="783" t="s">
        <v>472</v>
      </c>
      <c r="D82" s="783" t="s">
        <v>473</v>
      </c>
      <c r="E82" s="481" t="s">
        <v>216</v>
      </c>
      <c r="F82" s="778">
        <v>1</v>
      </c>
      <c r="G82" s="786">
        <v>126500</v>
      </c>
      <c r="H82" s="502">
        <f t="shared" si="2"/>
        <v>126500</v>
      </c>
      <c r="I82" s="781" t="s">
        <v>491</v>
      </c>
    </row>
    <row r="83" spans="1:15" ht="15.95" customHeight="1">
      <c r="A83" s="963"/>
      <c r="B83" s="341"/>
      <c r="C83" s="783" t="s">
        <v>474</v>
      </c>
      <c r="D83" s="783" t="s">
        <v>475</v>
      </c>
      <c r="E83" s="481" t="s">
        <v>216</v>
      </c>
      <c r="F83" s="778">
        <v>1</v>
      </c>
      <c r="G83" s="786">
        <v>4600</v>
      </c>
      <c r="H83" s="502">
        <f t="shared" si="2"/>
        <v>4600</v>
      </c>
      <c r="I83" s="781" t="s">
        <v>488</v>
      </c>
    </row>
    <row r="84" spans="1:15" ht="15.95" customHeight="1">
      <c r="A84" s="963"/>
      <c r="B84" s="341"/>
      <c r="C84" s="783" t="s">
        <v>474</v>
      </c>
      <c r="D84" s="783" t="s">
        <v>476</v>
      </c>
      <c r="E84" s="481" t="s">
        <v>216</v>
      </c>
      <c r="F84" s="778">
        <v>1</v>
      </c>
      <c r="G84" s="786">
        <v>8000</v>
      </c>
      <c r="H84" s="502">
        <f t="shared" si="2"/>
        <v>8000</v>
      </c>
      <c r="I84" s="781" t="s">
        <v>488</v>
      </c>
    </row>
    <row r="85" spans="1:15" ht="15.95" customHeight="1">
      <c r="A85" s="963"/>
      <c r="B85" s="341"/>
      <c r="C85" s="783" t="s">
        <v>477</v>
      </c>
      <c r="D85" s="783" t="s">
        <v>478</v>
      </c>
      <c r="E85" s="481" t="s">
        <v>216</v>
      </c>
      <c r="F85" s="778">
        <v>1</v>
      </c>
      <c r="G85" s="786">
        <v>7000</v>
      </c>
      <c r="H85" s="502">
        <f t="shared" si="2"/>
        <v>7000</v>
      </c>
      <c r="I85" s="781" t="s">
        <v>492</v>
      </c>
    </row>
    <row r="86" spans="1:15" ht="15.95" customHeight="1">
      <c r="A86" s="963"/>
      <c r="B86" s="341"/>
      <c r="C86" s="783" t="s">
        <v>477</v>
      </c>
      <c r="D86" s="783" t="s">
        <v>479</v>
      </c>
      <c r="E86" s="481" t="s">
        <v>270</v>
      </c>
      <c r="F86" s="778">
        <v>1</v>
      </c>
      <c r="G86" s="786">
        <v>8000</v>
      </c>
      <c r="H86" s="502">
        <f t="shared" si="2"/>
        <v>8000</v>
      </c>
      <c r="I86" s="781" t="s">
        <v>492</v>
      </c>
      <c r="J86" s="293"/>
      <c r="K86" s="293"/>
      <c r="L86" s="293"/>
      <c r="M86" s="293"/>
      <c r="N86" s="294"/>
      <c r="O86" s="294"/>
    </row>
    <row r="87" spans="1:15" ht="15.95" customHeight="1">
      <c r="A87" s="963"/>
      <c r="B87" s="341"/>
      <c r="C87" s="783" t="s">
        <v>480</v>
      </c>
      <c r="D87" s="783" t="s">
        <v>481</v>
      </c>
      <c r="E87" s="481" t="s">
        <v>270</v>
      </c>
      <c r="F87" s="778">
        <v>1</v>
      </c>
      <c r="G87" s="786">
        <v>11200</v>
      </c>
      <c r="H87" s="502">
        <f t="shared" si="2"/>
        <v>11200</v>
      </c>
      <c r="I87" s="781" t="s">
        <v>493</v>
      </c>
      <c r="J87" s="295"/>
      <c r="K87" s="295"/>
      <c r="L87" s="295"/>
      <c r="M87" s="295"/>
      <c r="N87" s="296"/>
      <c r="O87" s="294"/>
    </row>
    <row r="88" spans="1:15" ht="15.95" customHeight="1">
      <c r="A88" s="963"/>
      <c r="B88" s="341"/>
      <c r="C88" s="783" t="s">
        <v>482</v>
      </c>
      <c r="D88" s="783" t="s">
        <v>483</v>
      </c>
      <c r="E88" s="481" t="s">
        <v>270</v>
      </c>
      <c r="F88" s="778">
        <v>2</v>
      </c>
      <c r="G88" s="786">
        <v>16000</v>
      </c>
      <c r="H88" s="502">
        <f t="shared" si="2"/>
        <v>32000</v>
      </c>
      <c r="I88" s="781" t="s">
        <v>493</v>
      </c>
      <c r="J88" s="295"/>
      <c r="K88" s="295"/>
      <c r="L88" s="295"/>
      <c r="M88" s="295"/>
      <c r="N88" s="296"/>
      <c r="O88" s="294"/>
    </row>
    <row r="89" spans="1:15" ht="15.95" customHeight="1">
      <c r="A89" s="963"/>
      <c r="B89" s="341"/>
      <c r="C89" s="783" t="s">
        <v>484</v>
      </c>
      <c r="D89" s="783" t="s">
        <v>485</v>
      </c>
      <c r="E89" s="481" t="s">
        <v>270</v>
      </c>
      <c r="F89" s="778">
        <v>1</v>
      </c>
      <c r="G89" s="786">
        <v>36000</v>
      </c>
      <c r="H89" s="450">
        <f t="shared" ref="H89:H148" si="3">IF(F89=0,G89,G89*F89)</f>
        <v>36000</v>
      </c>
      <c r="I89" s="781" t="s">
        <v>494</v>
      </c>
    </row>
    <row r="90" spans="1:15" ht="15.95" customHeight="1">
      <c r="A90" s="963"/>
      <c r="B90" s="341"/>
      <c r="C90" s="783" t="s">
        <v>486</v>
      </c>
      <c r="D90" s="783" t="s">
        <v>479</v>
      </c>
      <c r="E90" s="481" t="s">
        <v>270</v>
      </c>
      <c r="F90" s="778">
        <v>1</v>
      </c>
      <c r="G90" s="786">
        <v>45800</v>
      </c>
      <c r="H90" s="450">
        <f t="shared" si="3"/>
        <v>45800</v>
      </c>
      <c r="I90" s="781" t="s">
        <v>494</v>
      </c>
    </row>
    <row r="91" spans="1:15" ht="15.95" customHeight="1">
      <c r="A91" s="963"/>
      <c r="B91" s="341"/>
      <c r="C91" s="783" t="s">
        <v>482</v>
      </c>
      <c r="D91" s="783" t="s">
        <v>487</v>
      </c>
      <c r="E91" s="481" t="s">
        <v>270</v>
      </c>
      <c r="F91" s="778">
        <v>1</v>
      </c>
      <c r="G91" s="786">
        <v>8000</v>
      </c>
      <c r="H91" s="450">
        <f t="shared" si="3"/>
        <v>8000</v>
      </c>
      <c r="I91" s="781" t="s">
        <v>494</v>
      </c>
    </row>
    <row r="92" spans="1:15" ht="15.95" customHeight="1">
      <c r="A92" s="963"/>
      <c r="B92" s="341"/>
      <c r="C92" s="515"/>
      <c r="D92" s="318"/>
      <c r="E92" s="481"/>
      <c r="F92" s="315"/>
      <c r="G92" s="319"/>
      <c r="H92" s="450">
        <f t="shared" si="3"/>
        <v>0</v>
      </c>
      <c r="I92" s="317"/>
    </row>
    <row r="93" spans="1:15" ht="15.95" customHeight="1">
      <c r="A93" s="963"/>
      <c r="B93" s="773" t="s">
        <v>547</v>
      </c>
      <c r="C93" s="783" t="s">
        <v>495</v>
      </c>
      <c r="D93" s="783" t="s">
        <v>496</v>
      </c>
      <c r="E93" s="481" t="s">
        <v>398</v>
      </c>
      <c r="F93" s="778">
        <v>1</v>
      </c>
      <c r="G93" s="786">
        <v>319000</v>
      </c>
      <c r="H93" s="450">
        <f t="shared" si="3"/>
        <v>319000</v>
      </c>
      <c r="I93" s="781" t="s">
        <v>549</v>
      </c>
    </row>
    <row r="94" spans="1:15" ht="15.95" customHeight="1">
      <c r="A94" s="963"/>
      <c r="B94" s="341"/>
      <c r="C94" s="783" t="s">
        <v>497</v>
      </c>
      <c r="D94" s="783" t="s">
        <v>498</v>
      </c>
      <c r="E94" s="481" t="s">
        <v>270</v>
      </c>
      <c r="F94" s="778">
        <v>1</v>
      </c>
      <c r="G94" s="786">
        <v>193000</v>
      </c>
      <c r="H94" s="450">
        <f t="shared" si="3"/>
        <v>193000</v>
      </c>
      <c r="I94" s="781" t="s">
        <v>549</v>
      </c>
    </row>
    <row r="95" spans="1:15" ht="15.95" customHeight="1">
      <c r="A95" s="963"/>
      <c r="B95" s="341"/>
      <c r="C95" s="775" t="s">
        <v>499</v>
      </c>
      <c r="D95" s="783" t="s">
        <v>500</v>
      </c>
      <c r="E95" s="481" t="s">
        <v>270</v>
      </c>
      <c r="F95" s="778">
        <v>1</v>
      </c>
      <c r="G95" s="786">
        <v>1950000</v>
      </c>
      <c r="H95" s="450">
        <f t="shared" si="3"/>
        <v>1950000</v>
      </c>
      <c r="I95" s="781" t="s">
        <v>549</v>
      </c>
    </row>
    <row r="96" spans="1:15" ht="15.95" customHeight="1">
      <c r="A96" s="963"/>
      <c r="B96" s="341"/>
      <c r="C96" s="782" t="s">
        <v>501</v>
      </c>
      <c r="D96" s="783" t="s">
        <v>502</v>
      </c>
      <c r="E96" s="481" t="s">
        <v>270</v>
      </c>
      <c r="F96" s="784">
        <v>3</v>
      </c>
      <c r="G96" s="785">
        <v>440000</v>
      </c>
      <c r="H96" s="450">
        <f t="shared" si="3"/>
        <v>1320000</v>
      </c>
      <c r="I96" s="781" t="s">
        <v>549</v>
      </c>
    </row>
    <row r="97" spans="1:9" ht="15.95" customHeight="1">
      <c r="A97" s="963"/>
      <c r="B97" s="341"/>
      <c r="C97" s="782" t="s">
        <v>501</v>
      </c>
      <c r="D97" s="783" t="s">
        <v>503</v>
      </c>
      <c r="E97" s="481" t="s">
        <v>271</v>
      </c>
      <c r="F97" s="784">
        <v>2</v>
      </c>
      <c r="G97" s="785">
        <v>440000</v>
      </c>
      <c r="H97" s="450">
        <f t="shared" si="3"/>
        <v>880000</v>
      </c>
      <c r="I97" s="781" t="s">
        <v>549</v>
      </c>
    </row>
    <row r="98" spans="1:9" ht="15.95" customHeight="1">
      <c r="A98" s="963"/>
      <c r="B98" s="341"/>
      <c r="C98" s="782" t="s">
        <v>501</v>
      </c>
      <c r="D98" s="783" t="s">
        <v>504</v>
      </c>
      <c r="E98" s="481" t="s">
        <v>271</v>
      </c>
      <c r="F98" s="784">
        <v>2</v>
      </c>
      <c r="G98" s="785">
        <v>160000</v>
      </c>
      <c r="H98" s="450">
        <f t="shared" si="3"/>
        <v>320000</v>
      </c>
      <c r="I98" s="781" t="s">
        <v>549</v>
      </c>
    </row>
    <row r="99" spans="1:9" ht="15.95" customHeight="1">
      <c r="A99" s="963"/>
      <c r="B99" s="341"/>
      <c r="C99" s="782" t="s">
        <v>505</v>
      </c>
      <c r="D99" s="783" t="s">
        <v>506</v>
      </c>
      <c r="E99" s="481" t="s">
        <v>220</v>
      </c>
      <c r="F99" s="784">
        <v>1</v>
      </c>
      <c r="G99" s="785">
        <v>928900</v>
      </c>
      <c r="H99" s="450">
        <f t="shared" si="3"/>
        <v>928900</v>
      </c>
      <c r="I99" s="781" t="s">
        <v>549</v>
      </c>
    </row>
    <row r="100" spans="1:9" ht="15.95" customHeight="1">
      <c r="A100" s="963"/>
      <c r="B100" s="341"/>
      <c r="C100" s="783" t="s">
        <v>507</v>
      </c>
      <c r="D100" s="783" t="s">
        <v>508</v>
      </c>
      <c r="E100" s="481" t="s">
        <v>270</v>
      </c>
      <c r="F100" s="778">
        <v>1</v>
      </c>
      <c r="G100" s="786">
        <v>2200000</v>
      </c>
      <c r="H100" s="450">
        <f t="shared" si="3"/>
        <v>2200000</v>
      </c>
      <c r="I100" s="781" t="s">
        <v>550</v>
      </c>
    </row>
    <row r="101" spans="1:9" ht="15.95" customHeight="1">
      <c r="A101" s="963"/>
      <c r="B101" s="341"/>
      <c r="C101" s="783" t="s">
        <v>509</v>
      </c>
      <c r="D101" s="783" t="s">
        <v>510</v>
      </c>
      <c r="E101" s="481" t="s">
        <v>271</v>
      </c>
      <c r="F101" s="778">
        <v>1</v>
      </c>
      <c r="G101" s="786">
        <v>124500</v>
      </c>
      <c r="H101" s="450">
        <f t="shared" si="3"/>
        <v>124500</v>
      </c>
      <c r="I101" s="781" t="s">
        <v>549</v>
      </c>
    </row>
    <row r="102" spans="1:9" ht="15.95" customHeight="1">
      <c r="A102" s="963"/>
      <c r="B102" s="341"/>
      <c r="C102" s="783" t="s">
        <v>509</v>
      </c>
      <c r="D102" s="783" t="s">
        <v>511</v>
      </c>
      <c r="E102" s="481" t="s">
        <v>270</v>
      </c>
      <c r="F102" s="778">
        <v>1</v>
      </c>
      <c r="G102" s="786">
        <v>2800000</v>
      </c>
      <c r="H102" s="450">
        <f t="shared" si="3"/>
        <v>2800000</v>
      </c>
      <c r="I102" s="781" t="s">
        <v>549</v>
      </c>
    </row>
    <row r="103" spans="1:9" ht="15.95" customHeight="1">
      <c r="A103" s="963"/>
      <c r="B103" s="341"/>
      <c r="C103" s="775"/>
      <c r="D103" s="775"/>
      <c r="E103" s="481" t="s">
        <v>271</v>
      </c>
      <c r="F103" s="778"/>
      <c r="G103" s="779"/>
      <c r="H103" s="450">
        <f t="shared" si="3"/>
        <v>0</v>
      </c>
      <c r="I103" s="781"/>
    </row>
    <row r="104" spans="1:9" ht="15.95" customHeight="1">
      <c r="A104" s="963"/>
      <c r="B104" s="773" t="s">
        <v>548</v>
      </c>
      <c r="C104" s="775" t="s">
        <v>512</v>
      </c>
      <c r="D104" s="775" t="s">
        <v>513</v>
      </c>
      <c r="E104" s="481" t="s">
        <v>220</v>
      </c>
      <c r="F104" s="778">
        <v>1</v>
      </c>
      <c r="G104" s="786">
        <v>522000</v>
      </c>
      <c r="H104" s="450">
        <f t="shared" si="3"/>
        <v>522000</v>
      </c>
      <c r="I104" s="781" t="s">
        <v>549</v>
      </c>
    </row>
    <row r="105" spans="1:9" ht="15.95" customHeight="1">
      <c r="A105" s="963"/>
      <c r="B105" s="341"/>
      <c r="C105" s="775" t="s">
        <v>514</v>
      </c>
      <c r="D105" s="775" t="s">
        <v>515</v>
      </c>
      <c r="E105" s="481" t="s">
        <v>270</v>
      </c>
      <c r="F105" s="778">
        <v>1</v>
      </c>
      <c r="G105" s="779">
        <v>46000</v>
      </c>
      <c r="H105" s="450">
        <f t="shared" si="3"/>
        <v>46000</v>
      </c>
      <c r="I105" s="781" t="s">
        <v>549</v>
      </c>
    </row>
    <row r="106" spans="1:9" ht="15.95" customHeight="1">
      <c r="A106" s="963"/>
      <c r="B106" s="341"/>
      <c r="C106" s="775" t="s">
        <v>516</v>
      </c>
      <c r="D106" s="775" t="s">
        <v>517</v>
      </c>
      <c r="E106" s="481" t="s">
        <v>271</v>
      </c>
      <c r="F106" s="778">
        <v>1</v>
      </c>
      <c r="G106" s="779">
        <v>44000</v>
      </c>
      <c r="H106" s="450">
        <f t="shared" si="3"/>
        <v>44000</v>
      </c>
      <c r="I106" s="781" t="s">
        <v>549</v>
      </c>
    </row>
    <row r="107" spans="1:9" ht="15.95" customHeight="1">
      <c r="A107" s="963"/>
      <c r="B107" s="341"/>
      <c r="C107" s="775" t="s">
        <v>518</v>
      </c>
      <c r="D107" s="775" t="s">
        <v>519</v>
      </c>
      <c r="E107" s="481" t="s">
        <v>271</v>
      </c>
      <c r="F107" s="778">
        <v>1</v>
      </c>
      <c r="G107" s="779">
        <v>40000</v>
      </c>
      <c r="H107" s="450">
        <f t="shared" si="3"/>
        <v>40000</v>
      </c>
      <c r="I107" s="781" t="s">
        <v>549</v>
      </c>
    </row>
    <row r="108" spans="1:9" ht="15.95" customHeight="1">
      <c r="A108" s="963"/>
      <c r="B108" s="341"/>
      <c r="C108" s="775" t="s">
        <v>520</v>
      </c>
      <c r="D108" s="775" t="s">
        <v>521</v>
      </c>
      <c r="E108" s="481" t="s">
        <v>271</v>
      </c>
      <c r="F108" s="778">
        <v>1</v>
      </c>
      <c r="G108" s="779">
        <v>62000</v>
      </c>
      <c r="H108" s="450">
        <f t="shared" si="3"/>
        <v>62000</v>
      </c>
      <c r="I108" s="781" t="s">
        <v>549</v>
      </c>
    </row>
    <row r="109" spans="1:9" ht="15.95" customHeight="1">
      <c r="A109" s="963"/>
      <c r="B109" s="341"/>
      <c r="C109" s="775" t="s">
        <v>512</v>
      </c>
      <c r="D109" s="775" t="s">
        <v>522</v>
      </c>
      <c r="E109" s="481" t="s">
        <v>271</v>
      </c>
      <c r="F109" s="778">
        <v>1</v>
      </c>
      <c r="G109" s="779">
        <v>599000</v>
      </c>
      <c r="H109" s="450">
        <f t="shared" si="3"/>
        <v>599000</v>
      </c>
      <c r="I109" s="781" t="s">
        <v>549</v>
      </c>
    </row>
    <row r="110" spans="1:9" ht="15.95" customHeight="1">
      <c r="A110" s="963"/>
      <c r="B110" s="341"/>
      <c r="C110" s="775" t="s">
        <v>514</v>
      </c>
      <c r="D110" s="775" t="s">
        <v>523</v>
      </c>
      <c r="E110" s="481" t="s">
        <v>271</v>
      </c>
      <c r="F110" s="778">
        <v>1</v>
      </c>
      <c r="G110" s="779">
        <v>56000</v>
      </c>
      <c r="H110" s="450">
        <f t="shared" si="3"/>
        <v>56000</v>
      </c>
      <c r="I110" s="781" t="s">
        <v>549</v>
      </c>
    </row>
    <row r="111" spans="1:9" ht="15.95" customHeight="1">
      <c r="A111" s="963"/>
      <c r="B111" s="341"/>
      <c r="C111" s="775" t="s">
        <v>524</v>
      </c>
      <c r="D111" s="775" t="s">
        <v>525</v>
      </c>
      <c r="E111" s="481" t="s">
        <v>271</v>
      </c>
      <c r="F111" s="778">
        <v>1</v>
      </c>
      <c r="G111" s="779">
        <v>48000</v>
      </c>
      <c r="H111" s="450">
        <f t="shared" si="3"/>
        <v>48000</v>
      </c>
      <c r="I111" s="781" t="s">
        <v>549</v>
      </c>
    </row>
    <row r="112" spans="1:9" ht="15.95" customHeight="1">
      <c r="A112" s="963"/>
      <c r="B112" s="341"/>
      <c r="C112" s="775" t="s">
        <v>526</v>
      </c>
      <c r="D112" s="775" t="s">
        <v>519</v>
      </c>
      <c r="E112" s="481" t="s">
        <v>220</v>
      </c>
      <c r="F112" s="778">
        <v>1</v>
      </c>
      <c r="G112" s="779">
        <v>40000</v>
      </c>
      <c r="H112" s="450">
        <f t="shared" si="3"/>
        <v>40000</v>
      </c>
      <c r="I112" s="781" t="s">
        <v>549</v>
      </c>
    </row>
    <row r="113" spans="1:9" ht="15.95" customHeight="1">
      <c r="A113" s="963"/>
      <c r="B113" s="341"/>
      <c r="C113" s="775" t="s">
        <v>527</v>
      </c>
      <c r="D113" s="775" t="s">
        <v>521</v>
      </c>
      <c r="E113" s="481" t="s">
        <v>271</v>
      </c>
      <c r="F113" s="778">
        <v>1</v>
      </c>
      <c r="G113" s="779">
        <v>72000</v>
      </c>
      <c r="H113" s="450">
        <f t="shared" si="3"/>
        <v>72000</v>
      </c>
      <c r="I113" s="781" t="s">
        <v>549</v>
      </c>
    </row>
    <row r="114" spans="1:9" ht="15.95" customHeight="1">
      <c r="A114" s="963"/>
      <c r="B114" s="341"/>
      <c r="C114" s="775" t="s">
        <v>512</v>
      </c>
      <c r="D114" s="775" t="s">
        <v>528</v>
      </c>
      <c r="E114" s="481" t="s">
        <v>271</v>
      </c>
      <c r="F114" s="778">
        <v>1</v>
      </c>
      <c r="G114" s="779">
        <v>1800000</v>
      </c>
      <c r="H114" s="450">
        <f t="shared" si="3"/>
        <v>1800000</v>
      </c>
      <c r="I114" s="781" t="s">
        <v>549</v>
      </c>
    </row>
    <row r="115" spans="1:9" ht="15.95" customHeight="1">
      <c r="A115" s="963"/>
      <c r="B115" s="341"/>
      <c r="C115" s="775" t="s">
        <v>514</v>
      </c>
      <c r="D115" s="775" t="s">
        <v>529</v>
      </c>
      <c r="E115" s="481" t="s">
        <v>271</v>
      </c>
      <c r="F115" s="778">
        <v>1</v>
      </c>
      <c r="G115" s="779">
        <v>90000</v>
      </c>
      <c r="H115" s="450">
        <f t="shared" si="3"/>
        <v>90000</v>
      </c>
      <c r="I115" s="781" t="s">
        <v>549</v>
      </c>
    </row>
    <row r="116" spans="1:9" ht="15.95" customHeight="1">
      <c r="A116" s="963"/>
      <c r="B116" s="341"/>
      <c r="C116" s="775" t="s">
        <v>530</v>
      </c>
      <c r="D116" s="775" t="s">
        <v>531</v>
      </c>
      <c r="E116" s="481" t="s">
        <v>220</v>
      </c>
      <c r="F116" s="778">
        <v>1</v>
      </c>
      <c r="G116" s="779">
        <v>38000</v>
      </c>
      <c r="H116" s="450">
        <f t="shared" si="3"/>
        <v>38000</v>
      </c>
      <c r="I116" s="781" t="s">
        <v>549</v>
      </c>
    </row>
    <row r="117" spans="1:9" ht="15.95" customHeight="1">
      <c r="A117" s="963"/>
      <c r="B117" s="341"/>
      <c r="C117" s="775" t="s">
        <v>532</v>
      </c>
      <c r="D117" s="775" t="s">
        <v>533</v>
      </c>
      <c r="E117" s="481" t="s">
        <v>220</v>
      </c>
      <c r="F117" s="778">
        <v>1</v>
      </c>
      <c r="G117" s="779">
        <v>38000</v>
      </c>
      <c r="H117" s="450">
        <f t="shared" si="3"/>
        <v>38000</v>
      </c>
      <c r="I117" s="781" t="s">
        <v>549</v>
      </c>
    </row>
    <row r="118" spans="1:9" ht="15.95" customHeight="1">
      <c r="A118" s="963"/>
      <c r="B118" s="341"/>
      <c r="C118" s="775" t="s">
        <v>534</v>
      </c>
      <c r="D118" s="775" t="s">
        <v>535</v>
      </c>
      <c r="E118" s="481" t="s">
        <v>220</v>
      </c>
      <c r="F118" s="778">
        <v>1</v>
      </c>
      <c r="G118" s="779">
        <v>94000</v>
      </c>
      <c r="H118" s="450">
        <f t="shared" si="3"/>
        <v>94000</v>
      </c>
      <c r="I118" s="781" t="s">
        <v>549</v>
      </c>
    </row>
    <row r="119" spans="1:9" ht="15.95" customHeight="1">
      <c r="A119" s="963"/>
      <c r="B119" s="341"/>
      <c r="C119" s="775" t="s">
        <v>536</v>
      </c>
      <c r="D119" s="775" t="s">
        <v>537</v>
      </c>
      <c r="E119" s="521" t="s">
        <v>220</v>
      </c>
      <c r="F119" s="778">
        <v>1</v>
      </c>
      <c r="G119" s="779">
        <v>194000</v>
      </c>
      <c r="H119" s="450">
        <f t="shared" si="3"/>
        <v>194000</v>
      </c>
      <c r="I119" s="781" t="s">
        <v>549</v>
      </c>
    </row>
    <row r="120" spans="1:9" ht="15.95" customHeight="1">
      <c r="A120" s="963"/>
      <c r="B120" s="341"/>
      <c r="C120" s="775" t="s">
        <v>538</v>
      </c>
      <c r="D120" s="775" t="s">
        <v>539</v>
      </c>
      <c r="E120" s="481" t="s">
        <v>220</v>
      </c>
      <c r="F120" s="778">
        <v>4</v>
      </c>
      <c r="G120" s="779">
        <v>60000</v>
      </c>
      <c r="H120" s="450">
        <f t="shared" si="3"/>
        <v>240000</v>
      </c>
      <c r="I120" s="781" t="s">
        <v>549</v>
      </c>
    </row>
    <row r="121" spans="1:9" ht="15.95" customHeight="1">
      <c r="A121" s="963"/>
      <c r="B121" s="341"/>
      <c r="C121" s="775" t="s">
        <v>538</v>
      </c>
      <c r="D121" s="775" t="s">
        <v>540</v>
      </c>
      <c r="E121" s="481" t="s">
        <v>220</v>
      </c>
      <c r="F121" s="778">
        <v>2</v>
      </c>
      <c r="G121" s="779">
        <v>204000</v>
      </c>
      <c r="H121" s="450">
        <f t="shared" si="3"/>
        <v>408000</v>
      </c>
      <c r="I121" s="781" t="s">
        <v>551</v>
      </c>
    </row>
    <row r="122" spans="1:9" ht="15.95" customHeight="1">
      <c r="A122" s="963"/>
      <c r="B122" s="341"/>
      <c r="C122" s="775" t="s">
        <v>541</v>
      </c>
      <c r="D122" s="775" t="s">
        <v>542</v>
      </c>
      <c r="E122" s="481" t="s">
        <v>220</v>
      </c>
      <c r="F122" s="778">
        <v>10</v>
      </c>
      <c r="G122" s="779">
        <v>20000</v>
      </c>
      <c r="H122" s="450">
        <f t="shared" si="3"/>
        <v>200000</v>
      </c>
      <c r="I122" s="781" t="s">
        <v>551</v>
      </c>
    </row>
    <row r="123" spans="1:9" ht="15.95" customHeight="1">
      <c r="A123" s="963"/>
      <c r="B123" s="341"/>
      <c r="C123" s="775" t="s">
        <v>543</v>
      </c>
      <c r="D123" s="775" t="s">
        <v>544</v>
      </c>
      <c r="E123" s="481" t="s">
        <v>220</v>
      </c>
      <c r="F123" s="778">
        <v>4</v>
      </c>
      <c r="G123" s="779">
        <v>32000</v>
      </c>
      <c r="H123" s="450">
        <f t="shared" si="3"/>
        <v>128000</v>
      </c>
      <c r="I123" s="781" t="s">
        <v>551</v>
      </c>
    </row>
    <row r="124" spans="1:9" ht="15.95" customHeight="1">
      <c r="A124" s="963"/>
      <c r="B124" s="341"/>
      <c r="C124" s="775" t="s">
        <v>543</v>
      </c>
      <c r="D124" s="775" t="s">
        <v>545</v>
      </c>
      <c r="E124" s="481" t="s">
        <v>220</v>
      </c>
      <c r="F124" s="778">
        <v>4</v>
      </c>
      <c r="G124" s="779">
        <v>34000</v>
      </c>
      <c r="H124" s="450">
        <f t="shared" si="3"/>
        <v>136000</v>
      </c>
      <c r="I124" s="781" t="s">
        <v>551</v>
      </c>
    </row>
    <row r="125" spans="1:9" ht="15.95" customHeight="1">
      <c r="A125" s="963"/>
      <c r="B125" s="341"/>
      <c r="C125" s="775" t="s">
        <v>543</v>
      </c>
      <c r="D125" s="775" t="s">
        <v>546</v>
      </c>
      <c r="E125" s="481" t="s">
        <v>220</v>
      </c>
      <c r="F125" s="778">
        <v>3</v>
      </c>
      <c r="G125" s="779">
        <v>38400</v>
      </c>
      <c r="H125" s="450">
        <f t="shared" si="3"/>
        <v>115200</v>
      </c>
      <c r="I125" s="781" t="s">
        <v>551</v>
      </c>
    </row>
    <row r="126" spans="1:9" ht="15.95" customHeight="1">
      <c r="A126" s="963"/>
      <c r="B126" s="341"/>
      <c r="C126" s="515"/>
      <c r="D126" s="331"/>
      <c r="E126" s="481" t="s">
        <v>220</v>
      </c>
      <c r="F126" s="426"/>
      <c r="G126" s="319"/>
      <c r="H126" s="450">
        <f t="shared" si="3"/>
        <v>0</v>
      </c>
      <c r="I126" s="317"/>
    </row>
    <row r="127" spans="1:9" ht="15.95" customHeight="1">
      <c r="A127" s="963"/>
      <c r="B127" s="773" t="s">
        <v>1575</v>
      </c>
      <c r="C127" s="515" t="s">
        <v>1577</v>
      </c>
      <c r="D127" s="331" t="s">
        <v>1576</v>
      </c>
      <c r="E127" s="481" t="s">
        <v>220</v>
      </c>
      <c r="F127" s="426">
        <v>1</v>
      </c>
      <c r="G127" s="522">
        <v>42200000</v>
      </c>
      <c r="H127" s="450">
        <f t="shared" si="3"/>
        <v>42200000</v>
      </c>
      <c r="I127" s="317" t="s">
        <v>1578</v>
      </c>
    </row>
    <row r="128" spans="1:9" ht="15.95" customHeight="1">
      <c r="A128" s="963"/>
      <c r="B128" s="341"/>
      <c r="C128" s="318"/>
      <c r="D128" s="318"/>
      <c r="E128" s="481" t="s">
        <v>271</v>
      </c>
      <c r="F128" s="315"/>
      <c r="G128" s="319"/>
      <c r="H128" s="450">
        <f t="shared" si="3"/>
        <v>0</v>
      </c>
      <c r="I128" s="387"/>
    </row>
    <row r="129" spans="1:9" ht="15.95" customHeight="1">
      <c r="A129" s="963"/>
      <c r="B129" s="341"/>
      <c r="C129" s="318"/>
      <c r="D129" s="318"/>
      <c r="E129" s="481" t="s">
        <v>271</v>
      </c>
      <c r="F129" s="315"/>
      <c r="G129" s="474"/>
      <c r="H129" s="450">
        <f t="shared" si="3"/>
        <v>0</v>
      </c>
      <c r="I129" s="387"/>
    </row>
    <row r="130" spans="1:9" ht="15.95" customHeight="1">
      <c r="A130" s="963"/>
      <c r="B130" s="341"/>
      <c r="C130" s="318"/>
      <c r="D130" s="318"/>
      <c r="E130" s="481" t="s">
        <v>220</v>
      </c>
      <c r="F130" s="315"/>
      <c r="G130" s="319"/>
      <c r="H130" s="450">
        <f t="shared" si="3"/>
        <v>0</v>
      </c>
      <c r="I130" s="387"/>
    </row>
    <row r="131" spans="1:9" ht="15.95" customHeight="1">
      <c r="A131" s="963"/>
      <c r="B131" s="341"/>
      <c r="C131" s="523"/>
      <c r="D131" s="523"/>
      <c r="E131" s="481" t="s">
        <v>220</v>
      </c>
      <c r="F131" s="520"/>
      <c r="G131" s="319"/>
      <c r="H131" s="450">
        <f t="shared" si="3"/>
        <v>0</v>
      </c>
      <c r="I131" s="387"/>
    </row>
    <row r="132" spans="1:9" ht="15.95" customHeight="1">
      <c r="A132" s="963"/>
      <c r="B132" s="341"/>
      <c r="C132" s="523"/>
      <c r="D132" s="523"/>
      <c r="E132" s="481" t="s">
        <v>220</v>
      </c>
      <c r="F132" s="520"/>
      <c r="G132" s="319"/>
      <c r="H132" s="450">
        <f t="shared" si="3"/>
        <v>0</v>
      </c>
      <c r="I132" s="387"/>
    </row>
    <row r="133" spans="1:9" ht="15.95" customHeight="1">
      <c r="A133" s="963"/>
      <c r="B133" s="341"/>
      <c r="C133" s="438"/>
      <c r="D133" s="438"/>
      <c r="E133" s="481" t="s">
        <v>220</v>
      </c>
      <c r="F133" s="315"/>
      <c r="G133" s="524"/>
      <c r="H133" s="450">
        <f t="shared" si="3"/>
        <v>0</v>
      </c>
      <c r="I133" s="387"/>
    </row>
    <row r="134" spans="1:9" ht="15.95" customHeight="1">
      <c r="A134" s="963"/>
      <c r="B134" s="341"/>
      <c r="C134" s="438"/>
      <c r="D134" s="438"/>
      <c r="E134" s="481" t="s">
        <v>220</v>
      </c>
      <c r="F134" s="315"/>
      <c r="G134" s="524"/>
      <c r="H134" s="450">
        <f t="shared" si="3"/>
        <v>0</v>
      </c>
      <c r="I134" s="387"/>
    </row>
    <row r="135" spans="1:9" ht="15.95" customHeight="1">
      <c r="A135" s="963"/>
      <c r="B135" s="341"/>
      <c r="C135" s="318"/>
      <c r="D135" s="318"/>
      <c r="E135" s="498" t="s">
        <v>271</v>
      </c>
      <c r="F135" s="321"/>
      <c r="G135" s="538"/>
      <c r="H135" s="450">
        <f t="shared" si="3"/>
        <v>0</v>
      </c>
      <c r="I135" s="526"/>
    </row>
    <row r="136" spans="1:9" ht="15.95" customHeight="1">
      <c r="A136" s="963"/>
      <c r="B136" s="341"/>
      <c r="C136" s="318"/>
      <c r="D136" s="318"/>
      <c r="E136" s="498" t="s">
        <v>216</v>
      </c>
      <c r="F136" s="321"/>
      <c r="G136" s="525"/>
      <c r="H136" s="450">
        <f t="shared" si="3"/>
        <v>0</v>
      </c>
      <c r="I136" s="526"/>
    </row>
    <row r="137" spans="1:9" ht="15.95" customHeight="1">
      <c r="A137" s="963"/>
      <c r="B137" s="341"/>
      <c r="C137" s="318"/>
      <c r="D137" s="318"/>
      <c r="E137" s="498" t="s">
        <v>216</v>
      </c>
      <c r="F137" s="321"/>
      <c r="G137" s="525"/>
      <c r="H137" s="450">
        <f t="shared" si="3"/>
        <v>0</v>
      </c>
      <c r="I137" s="526"/>
    </row>
    <row r="138" spans="1:9" ht="15.95" customHeight="1">
      <c r="A138" s="963"/>
      <c r="B138" s="341"/>
      <c r="C138" s="527"/>
      <c r="D138" s="527"/>
      <c r="E138" s="498" t="s">
        <v>216</v>
      </c>
      <c r="F138" s="528"/>
      <c r="G138" s="525"/>
      <c r="H138" s="450">
        <f t="shared" si="3"/>
        <v>0</v>
      </c>
      <c r="I138" s="526"/>
    </row>
    <row r="139" spans="1:9" ht="15.95" customHeight="1">
      <c r="A139" s="963"/>
      <c r="B139" s="341"/>
      <c r="C139" s="318"/>
      <c r="D139" s="318"/>
      <c r="E139" s="498" t="s">
        <v>216</v>
      </c>
      <c r="F139" s="321"/>
      <c r="G139" s="525"/>
      <c r="H139" s="450">
        <f t="shared" si="3"/>
        <v>0</v>
      </c>
      <c r="I139" s="526"/>
    </row>
    <row r="140" spans="1:9" ht="15.95" customHeight="1">
      <c r="A140" s="963"/>
      <c r="B140" s="341"/>
      <c r="C140" s="527"/>
      <c r="D140" s="527"/>
      <c r="E140" s="498" t="s">
        <v>216</v>
      </c>
      <c r="F140" s="528"/>
      <c r="G140" s="525"/>
      <c r="H140" s="450">
        <f t="shared" si="3"/>
        <v>0</v>
      </c>
      <c r="I140" s="526"/>
    </row>
    <row r="141" spans="1:9" ht="15.95" customHeight="1">
      <c r="A141" s="963"/>
      <c r="B141" s="341"/>
      <c r="C141" s="527"/>
      <c r="D141" s="527"/>
      <c r="E141" s="498" t="s">
        <v>216</v>
      </c>
      <c r="F141" s="528"/>
      <c r="G141" s="525"/>
      <c r="H141" s="450">
        <f t="shared" si="3"/>
        <v>0</v>
      </c>
      <c r="I141" s="526"/>
    </row>
    <row r="142" spans="1:9" ht="15.95" customHeight="1">
      <c r="A142" s="963"/>
      <c r="B142" s="341"/>
      <c r="C142" s="527"/>
      <c r="D142" s="527"/>
      <c r="E142" s="498" t="s">
        <v>216</v>
      </c>
      <c r="F142" s="528"/>
      <c r="G142" s="525"/>
      <c r="H142" s="450">
        <f t="shared" si="3"/>
        <v>0</v>
      </c>
      <c r="I142" s="526"/>
    </row>
    <row r="143" spans="1:9" ht="15.95" customHeight="1">
      <c r="A143" s="963"/>
      <c r="B143" s="341"/>
      <c r="C143" s="527"/>
      <c r="D143" s="527"/>
      <c r="E143" s="498" t="s">
        <v>216</v>
      </c>
      <c r="F143" s="528"/>
      <c r="G143" s="525"/>
      <c r="H143" s="450">
        <f t="shared" si="3"/>
        <v>0</v>
      </c>
      <c r="I143" s="526"/>
    </row>
    <row r="144" spans="1:9" ht="15.95" customHeight="1">
      <c r="A144" s="963"/>
      <c r="B144" s="341"/>
      <c r="C144" s="527"/>
      <c r="D144" s="527"/>
      <c r="E144" s="498" t="s">
        <v>216</v>
      </c>
      <c r="F144" s="528"/>
      <c r="G144" s="525"/>
      <c r="H144" s="450">
        <f t="shared" si="3"/>
        <v>0</v>
      </c>
      <c r="I144" s="526"/>
    </row>
    <row r="145" spans="1:11" ht="15.95" customHeight="1">
      <c r="A145" s="963"/>
      <c r="B145" s="341"/>
      <c r="C145" s="527"/>
      <c r="D145" s="527"/>
      <c r="E145" s="498" t="s">
        <v>216</v>
      </c>
      <c r="F145" s="528"/>
      <c r="G145" s="525"/>
      <c r="H145" s="450">
        <f t="shared" si="3"/>
        <v>0</v>
      </c>
      <c r="I145" s="526"/>
    </row>
    <row r="146" spans="1:11" ht="15.95" customHeight="1">
      <c r="A146" s="963"/>
      <c r="B146" s="341"/>
      <c r="C146" s="527"/>
      <c r="D146" s="527"/>
      <c r="E146" s="498" t="s">
        <v>216</v>
      </c>
      <c r="F146" s="528"/>
      <c r="G146" s="525"/>
      <c r="H146" s="450">
        <f t="shared" si="3"/>
        <v>0</v>
      </c>
      <c r="I146" s="526"/>
    </row>
    <row r="147" spans="1:11" ht="15.95" customHeight="1">
      <c r="A147" s="963"/>
      <c r="B147" s="341"/>
      <c r="C147" s="527"/>
      <c r="D147" s="527"/>
      <c r="E147" s="498" t="s">
        <v>216</v>
      </c>
      <c r="F147" s="528"/>
      <c r="G147" s="525"/>
      <c r="H147" s="450">
        <f t="shared" si="3"/>
        <v>0</v>
      </c>
      <c r="I147" s="526"/>
    </row>
    <row r="148" spans="1:11" ht="15.95" customHeight="1">
      <c r="A148" s="963"/>
      <c r="B148" s="341"/>
      <c r="C148" s="527"/>
      <c r="D148" s="527"/>
      <c r="E148" s="498" t="s">
        <v>216</v>
      </c>
      <c r="F148" s="528"/>
      <c r="G148" s="525"/>
      <c r="H148" s="450">
        <f t="shared" si="3"/>
        <v>0</v>
      </c>
      <c r="I148" s="526"/>
    </row>
    <row r="149" spans="1:11" ht="15.95" customHeight="1">
      <c r="A149" s="963"/>
      <c r="B149" s="341"/>
      <c r="C149" s="529"/>
      <c r="D149" s="529"/>
      <c r="E149" s="530"/>
      <c r="F149" s="531"/>
      <c r="G149" s="531"/>
      <c r="H149" s="532"/>
      <c r="I149" s="526"/>
    </row>
    <row r="150" spans="1:11" ht="15.95" customHeight="1">
      <c r="A150" s="963"/>
      <c r="B150" s="341"/>
      <c r="C150" s="332" t="s">
        <v>285</v>
      </c>
      <c r="D150" s="333"/>
      <c r="E150" s="334" t="s">
        <v>189</v>
      </c>
      <c r="F150" s="335">
        <v>1</v>
      </c>
      <c r="G150" s="336"/>
      <c r="H150" s="339">
        <v>1000000</v>
      </c>
      <c r="I150" s="388"/>
    </row>
    <row r="151" spans="1:11" ht="15.95" customHeight="1">
      <c r="A151" s="963"/>
      <c r="B151" s="342"/>
      <c r="C151" s="389"/>
      <c r="D151" s="390"/>
      <c r="E151" s="391"/>
      <c r="F151" s="378"/>
      <c r="G151" s="378"/>
      <c r="H151" s="347">
        <f>SUM(H43:H150)</f>
        <v>66435900</v>
      </c>
      <c r="I151" s="392"/>
    </row>
    <row r="152" spans="1:11" ht="15.95" customHeight="1">
      <c r="A152" s="350"/>
      <c r="B152" s="351" t="s">
        <v>135</v>
      </c>
      <c r="C152" s="352"/>
      <c r="D152" s="376"/>
      <c r="E152" s="377"/>
      <c r="F152" s="393"/>
      <c r="G152" s="393"/>
      <c r="H152" s="347">
        <f>SUM(H151,H42)</f>
        <v>83586900</v>
      </c>
      <c r="I152" s="392"/>
    </row>
    <row r="153" spans="1:11" ht="15.95" customHeight="1">
      <c r="A153" s="960" t="s">
        <v>136</v>
      </c>
      <c r="B153" s="354" t="s">
        <v>137</v>
      </c>
      <c r="C153" s="355"/>
      <c r="D153" s="356"/>
      <c r="E153" s="357" t="s">
        <v>138</v>
      </c>
      <c r="F153" s="533"/>
      <c r="G153" s="415"/>
      <c r="H153" s="358">
        <f t="shared" ref="H153:H159" si="4">F153*G153</f>
        <v>0</v>
      </c>
      <c r="I153" s="386"/>
    </row>
    <row r="154" spans="1:11" ht="15.95" customHeight="1">
      <c r="A154" s="961"/>
      <c r="B154" s="360" t="s">
        <v>155</v>
      </c>
      <c r="C154" s="361"/>
      <c r="D154" s="362"/>
      <c r="E154" s="363" t="s">
        <v>11</v>
      </c>
      <c r="F154" s="534">
        <v>7</v>
      </c>
      <c r="G154" s="400">
        <v>350000</v>
      </c>
      <c r="H154" s="364">
        <f t="shared" si="4"/>
        <v>2450000</v>
      </c>
      <c r="I154" s="394"/>
    </row>
    <row r="155" spans="1:11" ht="15.95" customHeight="1">
      <c r="A155" s="961"/>
      <c r="B155" s="365" t="s">
        <v>156</v>
      </c>
      <c r="C155" s="366"/>
      <c r="D155" s="367"/>
      <c r="E155" s="368" t="s">
        <v>11</v>
      </c>
      <c r="F155" s="535">
        <v>7</v>
      </c>
      <c r="G155" s="319">
        <v>350000</v>
      </c>
      <c r="H155" s="369">
        <f t="shared" si="4"/>
        <v>2450000</v>
      </c>
      <c r="I155" s="387"/>
      <c r="K155" s="261"/>
    </row>
    <row r="156" spans="1:11" ht="15.95" customHeight="1">
      <c r="A156" s="961"/>
      <c r="B156" s="365" t="s">
        <v>157</v>
      </c>
      <c r="C156" s="366"/>
      <c r="D156" s="367"/>
      <c r="E156" s="368" t="s">
        <v>11</v>
      </c>
      <c r="F156" s="535">
        <v>7</v>
      </c>
      <c r="G156" s="319">
        <v>350000</v>
      </c>
      <c r="H156" s="369">
        <f>F156*G156</f>
        <v>2450000</v>
      </c>
      <c r="I156" s="387"/>
      <c r="K156" s="261"/>
    </row>
    <row r="157" spans="1:11" ht="15.95" customHeight="1">
      <c r="A157" s="961"/>
      <c r="B157" s="365" t="s">
        <v>158</v>
      </c>
      <c r="C157" s="366"/>
      <c r="D157" s="367"/>
      <c r="E157" s="368" t="s">
        <v>11</v>
      </c>
      <c r="F157" s="535">
        <v>7</v>
      </c>
      <c r="G157" s="319">
        <v>350000</v>
      </c>
      <c r="H157" s="369">
        <f t="shared" si="4"/>
        <v>2450000</v>
      </c>
      <c r="I157" s="387"/>
    </row>
    <row r="158" spans="1:11" ht="15.95" customHeight="1">
      <c r="A158" s="961"/>
      <c r="B158" s="365" t="s">
        <v>159</v>
      </c>
      <c r="C158" s="366"/>
      <c r="D158" s="367"/>
      <c r="E158" s="368" t="s">
        <v>11</v>
      </c>
      <c r="F158" s="535">
        <v>15</v>
      </c>
      <c r="G158" s="319">
        <v>650000</v>
      </c>
      <c r="H158" s="369">
        <f t="shared" si="4"/>
        <v>9750000</v>
      </c>
      <c r="I158" s="387"/>
    </row>
    <row r="159" spans="1:11" ht="15.95" customHeight="1">
      <c r="A159" s="961"/>
      <c r="B159" s="370" t="s">
        <v>1314</v>
      </c>
      <c r="C159" s="371"/>
      <c r="D159" s="372"/>
      <c r="E159" s="373" t="s">
        <v>11</v>
      </c>
      <c r="F159" s="536">
        <v>20</v>
      </c>
      <c r="G159" s="336">
        <v>650000</v>
      </c>
      <c r="H159" s="374">
        <f t="shared" si="4"/>
        <v>13000000</v>
      </c>
      <c r="I159" s="388"/>
    </row>
    <row r="160" spans="1:11" ht="15.95" customHeight="1">
      <c r="A160" s="350"/>
      <c r="B160" s="375" t="s">
        <v>145</v>
      </c>
      <c r="C160" s="352"/>
      <c r="D160" s="376"/>
      <c r="E160" s="377"/>
      <c r="F160" s="378"/>
      <c r="G160" s="378"/>
      <c r="H160" s="347">
        <f>SUM(H153:H159)</f>
        <v>32550000</v>
      </c>
      <c r="I160" s="392"/>
    </row>
    <row r="161" spans="1:9" ht="15.95" customHeight="1">
      <c r="A161" s="379"/>
      <c r="B161" s="375" t="s">
        <v>146</v>
      </c>
      <c r="C161" s="352"/>
      <c r="D161" s="376"/>
      <c r="E161" s="377"/>
      <c r="F161" s="380"/>
      <c r="G161" s="537" t="s">
        <v>160</v>
      </c>
      <c r="H161" s="353">
        <v>0</v>
      </c>
      <c r="I161" s="392"/>
    </row>
    <row r="162" spans="1:9" ht="15.95" customHeight="1">
      <c r="A162" s="379"/>
      <c r="B162" s="375" t="s">
        <v>147</v>
      </c>
      <c r="C162" s="352"/>
      <c r="D162" s="376"/>
      <c r="E162" s="348" t="s">
        <v>221</v>
      </c>
      <c r="F162" s="347">
        <v>5</v>
      </c>
      <c r="G162" s="381"/>
      <c r="H162" s="416">
        <f>(H152+H160)*0.05</f>
        <v>5806845</v>
      </c>
      <c r="I162" s="396"/>
    </row>
    <row r="163" spans="1:9" ht="15.95" customHeight="1">
      <c r="A163" s="379"/>
      <c r="B163" s="375" t="s">
        <v>148</v>
      </c>
      <c r="C163" s="352"/>
      <c r="D163" s="376"/>
      <c r="E163" s="348" t="s">
        <v>221</v>
      </c>
      <c r="F163" s="347">
        <v>10</v>
      </c>
      <c r="G163" s="381"/>
      <c r="H163" s="416">
        <f>(H152+H160)*0.1</f>
        <v>11613690</v>
      </c>
      <c r="I163" s="396"/>
    </row>
    <row r="164" spans="1:9" ht="15.95" customHeight="1">
      <c r="A164" s="379"/>
      <c r="B164" s="375" t="s">
        <v>149</v>
      </c>
      <c r="C164" s="352"/>
      <c r="D164" s="376"/>
      <c r="E164" s="377"/>
      <c r="F164" s="380"/>
      <c r="G164" s="380"/>
      <c r="H164" s="346">
        <f>H152+H160+H161+H162+H163</f>
        <v>133557435</v>
      </c>
      <c r="I164" s="392"/>
    </row>
    <row r="165" spans="1:9" ht="15.95" customHeight="1">
      <c r="A165" s="119"/>
    </row>
    <row r="166" spans="1:9" ht="15.95" customHeight="1">
      <c r="A166" s="225"/>
      <c r="B166" s="119"/>
      <c r="C166" s="119"/>
      <c r="F166" s="119"/>
      <c r="G166" s="119"/>
      <c r="H166" s="119"/>
      <c r="I166" s="240"/>
    </row>
    <row r="167" spans="1:9" ht="15.95" customHeight="1"/>
    <row r="168" spans="1:9" ht="15.95" customHeight="1"/>
    <row r="169" spans="1:9" ht="15.95" customHeight="1"/>
    <row r="170" spans="1:9" ht="15.95" customHeight="1"/>
    <row r="171" spans="1:9" ht="15.95" customHeight="1"/>
    <row r="172" spans="1:9" ht="15.95" customHeight="1"/>
    <row r="173" spans="1:9" ht="15.95" customHeight="1"/>
    <row r="174" spans="1:9" ht="15.95" customHeight="1"/>
    <row r="175" spans="1:9" ht="15.95" customHeight="1"/>
    <row r="176" spans="1:9" ht="15.95" customHeight="1"/>
    <row r="177" ht="15.95" customHeight="1"/>
    <row r="178" ht="15.95" customHeight="1"/>
    <row r="179" ht="15.95" customHeight="1"/>
    <row r="180" ht="15.95" customHeight="1"/>
    <row r="181" ht="15.95" customHeight="1"/>
    <row r="182" ht="15.95" customHeight="1"/>
    <row r="183" ht="15.95" customHeight="1"/>
    <row r="184" ht="15.95" customHeight="1"/>
    <row r="185" ht="15.95" customHeight="1"/>
    <row r="186" ht="15.95" customHeight="1"/>
    <row r="187" ht="15.95" customHeight="1"/>
    <row r="188" ht="15.95" customHeight="1"/>
    <row r="189" ht="15.95" customHeight="1"/>
    <row r="190" ht="15.95" customHeight="1"/>
    <row r="191" ht="15.95" customHeight="1"/>
    <row r="192" ht="15.95" customHeight="1"/>
    <row r="193" ht="15.95" customHeight="1"/>
    <row r="194" ht="15.95" customHeight="1"/>
    <row r="195" ht="15.95" customHeight="1"/>
    <row r="196" ht="15.95" customHeight="1"/>
    <row r="197" ht="15.95" customHeight="1"/>
    <row r="198" ht="15.95" customHeight="1"/>
    <row r="199" ht="15.95" customHeight="1"/>
    <row r="200" ht="15.95" customHeight="1"/>
    <row r="201" ht="15.95" customHeight="1"/>
    <row r="202" ht="15.95" customHeight="1"/>
    <row r="203" ht="15.95" customHeight="1"/>
    <row r="204" ht="15.95" customHeight="1"/>
    <row r="205" ht="15.95" customHeight="1"/>
    <row r="206" ht="15.95" customHeight="1"/>
    <row r="207" ht="15.95" customHeight="1"/>
    <row r="208" ht="15.95" customHeight="1"/>
    <row r="209" ht="15.95" customHeight="1"/>
    <row r="210" ht="15.95" customHeight="1"/>
    <row r="211" ht="15.95" customHeight="1"/>
    <row r="212" ht="15.95" customHeight="1"/>
    <row r="213" ht="15.95" customHeight="1"/>
    <row r="214" ht="15.95" customHeight="1"/>
    <row r="215" ht="15.95" customHeight="1"/>
    <row r="216" ht="15.95" customHeight="1"/>
    <row r="217" ht="15.95" customHeight="1"/>
    <row r="218" ht="15.95" customHeight="1"/>
    <row r="219" ht="15.95" customHeight="1"/>
    <row r="220" ht="15.95" customHeight="1"/>
    <row r="221" ht="15.95" customHeight="1"/>
    <row r="222" ht="15.95" customHeight="1"/>
    <row r="223" ht="15.95" customHeight="1"/>
    <row r="224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  <row r="242" ht="15.95" customHeight="1"/>
    <row r="243" ht="15.95" customHeight="1"/>
    <row r="244" ht="15.95" customHeight="1"/>
    <row r="245" ht="15.95" customHeight="1"/>
    <row r="246" ht="15.95" customHeight="1"/>
    <row r="247" ht="15.95" customHeight="1"/>
    <row r="248" ht="15.95" customHeight="1"/>
    <row r="249" ht="15.95" customHeight="1"/>
    <row r="250" ht="15.95" customHeight="1"/>
    <row r="251" ht="15.95" customHeight="1"/>
    <row r="252" ht="15.95" customHeight="1"/>
    <row r="253" ht="15.95" customHeight="1"/>
    <row r="254" ht="15.95" customHeight="1"/>
    <row r="255" ht="15.95" customHeight="1"/>
    <row r="256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  <row r="267" ht="15.95" customHeight="1"/>
    <row r="268" ht="15.95" customHeight="1"/>
    <row r="269" ht="15.95" customHeight="1"/>
    <row r="270" ht="15.95" customHeight="1"/>
    <row r="271" ht="15.95" customHeight="1"/>
    <row r="272" ht="15.95" customHeight="1"/>
    <row r="273" ht="15.95" customHeight="1"/>
    <row r="274" ht="15.95" customHeight="1"/>
    <row r="275" ht="15.95" customHeight="1"/>
    <row r="276" ht="15.95" customHeight="1"/>
  </sheetData>
  <mergeCells count="2">
    <mergeCell ref="A153:A159"/>
    <mergeCell ref="A3:A151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6" orientation="portrait" horizontalDpi="4294967292" r:id="rId1"/>
  <headerFooter alignWithMargins="0"/>
  <rowBreaks count="1" manualBreakCount="1">
    <brk id="76" max="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F7F74-450F-4505-AD06-10F8E85D298B}">
  <sheetPr codeName="Sheet6"/>
  <dimension ref="A1:M241"/>
  <sheetViews>
    <sheetView view="pageBreakPreview" zoomScale="80" zoomScaleNormal="80" workbookViewId="0">
      <pane xSplit="2" ySplit="2" topLeftCell="C186" activePane="bottomRight" state="frozen"/>
      <selection activeCell="K15" sqref="K15"/>
      <selection pane="topRight" activeCell="K15" sqref="K15"/>
      <selection pane="bottomLeft" activeCell="K15" sqref="K15"/>
      <selection pane="bottomRight" activeCell="K204" sqref="K204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9" style="227"/>
    <col min="11" max="11" width="16.375" style="227" customWidth="1"/>
    <col min="12" max="13" width="9" style="227"/>
    <col min="14" max="16384" width="9" style="53"/>
  </cols>
  <sheetData>
    <row r="1" spans="1:13" ht="22.5" customHeight="1">
      <c r="A1" s="45" t="s">
        <v>70</v>
      </c>
      <c r="B1" s="45"/>
      <c r="C1" s="419" t="s">
        <v>552</v>
      </c>
      <c r="D1" s="262"/>
      <c r="E1" s="238"/>
      <c r="F1" s="22"/>
      <c r="G1" s="114"/>
      <c r="I1" s="230" t="s">
        <v>53</v>
      </c>
      <c r="J1" s="229"/>
      <c r="K1" s="229"/>
      <c r="L1" s="229"/>
      <c r="M1" s="229"/>
    </row>
    <row r="2" spans="1:13" s="119" customFormat="1" ht="16.5" customHeight="1">
      <c r="A2" s="964" t="s">
        <v>57</v>
      </c>
      <c r="B2" s="965"/>
      <c r="C2" s="377" t="s">
        <v>7</v>
      </c>
      <c r="D2" s="377" t="s">
        <v>58</v>
      </c>
      <c r="E2" s="377" t="s">
        <v>59</v>
      </c>
      <c r="F2" s="466" t="s">
        <v>4</v>
      </c>
      <c r="G2" s="466" t="s">
        <v>60</v>
      </c>
      <c r="H2" s="466" t="s">
        <v>61</v>
      </c>
      <c r="I2" s="467" t="s">
        <v>9</v>
      </c>
      <c r="J2" s="228"/>
      <c r="K2" s="228"/>
      <c r="L2" s="228"/>
      <c r="M2" s="228"/>
    </row>
    <row r="3" spans="1:13" ht="15.95" customHeight="1">
      <c r="A3" s="962" t="s">
        <v>234</v>
      </c>
      <c r="B3" s="341" t="s">
        <v>235</v>
      </c>
      <c r="C3" s="420" t="s">
        <v>236</v>
      </c>
      <c r="D3" s="420"/>
      <c r="E3" s="420" t="s">
        <v>237</v>
      </c>
      <c r="F3" s="415">
        <v>500</v>
      </c>
      <c r="G3" s="415">
        <v>1200</v>
      </c>
      <c r="H3" s="358">
        <f>IF(F3=0,G3,G3*F3)</f>
        <v>600000</v>
      </c>
      <c r="I3" s="386"/>
    </row>
    <row r="4" spans="1:13" ht="15.95" customHeight="1">
      <c r="A4" s="963"/>
      <c r="B4" s="341"/>
      <c r="C4" s="468" t="s">
        <v>280</v>
      </c>
      <c r="D4" s="469"/>
      <c r="E4" s="470" t="s">
        <v>281</v>
      </c>
      <c r="F4" s="471">
        <v>6</v>
      </c>
      <c r="G4" s="406">
        <v>12000</v>
      </c>
      <c r="H4" s="364">
        <f>IF(F4=0,G4,G4*F4)</f>
        <v>72000</v>
      </c>
      <c r="I4" s="387"/>
    </row>
    <row r="5" spans="1:13" ht="15.95" customHeight="1">
      <c r="A5" s="966"/>
      <c r="B5" s="341"/>
      <c r="C5" s="331"/>
      <c r="D5" s="425"/>
      <c r="E5" s="315"/>
      <c r="F5" s="424"/>
      <c r="G5" s="406"/>
      <c r="H5" s="369">
        <f t="shared" ref="H5:H10" si="0">IF(F5=0,G5,G5*F5)</f>
        <v>0</v>
      </c>
      <c r="I5" s="387"/>
    </row>
    <row r="6" spans="1:13" ht="15.95" customHeight="1">
      <c r="A6" s="966"/>
      <c r="B6" s="341"/>
      <c r="C6" s="472"/>
      <c r="D6" s="305"/>
      <c r="E6" s="315"/>
      <c r="F6" s="424"/>
      <c r="G6" s="406"/>
      <c r="H6" s="369">
        <f t="shared" si="0"/>
        <v>0</v>
      </c>
      <c r="I6" s="387"/>
    </row>
    <row r="7" spans="1:13" ht="15.95" customHeight="1">
      <c r="A7" s="966"/>
      <c r="B7" s="341"/>
      <c r="C7" s="331"/>
      <c r="D7" s="305"/>
      <c r="E7" s="315"/>
      <c r="F7" s="424"/>
      <c r="G7" s="406"/>
      <c r="H7" s="369">
        <f t="shared" si="0"/>
        <v>0</v>
      </c>
      <c r="I7" s="387"/>
    </row>
    <row r="8" spans="1:13" ht="15.95" customHeight="1">
      <c r="A8" s="966"/>
      <c r="B8" s="341"/>
      <c r="C8" s="331"/>
      <c r="D8" s="305"/>
      <c r="E8" s="315"/>
      <c r="F8" s="424"/>
      <c r="G8" s="406"/>
      <c r="H8" s="369">
        <f t="shared" si="0"/>
        <v>0</v>
      </c>
      <c r="I8" s="387"/>
    </row>
    <row r="9" spans="1:13" ht="15.95" customHeight="1">
      <c r="A9" s="966"/>
      <c r="B9" s="341"/>
      <c r="C9" s="331"/>
      <c r="D9" s="305"/>
      <c r="E9" s="315"/>
      <c r="F9" s="424"/>
      <c r="G9" s="406"/>
      <c r="H9" s="369">
        <f t="shared" si="0"/>
        <v>0</v>
      </c>
      <c r="I9" s="387"/>
    </row>
    <row r="10" spans="1:13" ht="15.95" customHeight="1">
      <c r="A10" s="966"/>
      <c r="B10" s="341"/>
      <c r="C10" s="331"/>
      <c r="D10" s="425"/>
      <c r="E10" s="315"/>
      <c r="F10" s="424"/>
      <c r="G10" s="406"/>
      <c r="H10" s="369">
        <f t="shared" si="0"/>
        <v>0</v>
      </c>
      <c r="I10" s="387"/>
    </row>
    <row r="11" spans="1:13" ht="15.95" customHeight="1">
      <c r="A11" s="966"/>
      <c r="B11" s="341"/>
      <c r="C11" s="331"/>
      <c r="D11" s="305"/>
      <c r="E11" s="426"/>
      <c r="F11" s="473"/>
      <c r="G11" s="474"/>
      <c r="H11" s="364">
        <f>IF(F11=0,G11,G11*F11)</f>
        <v>0</v>
      </c>
      <c r="I11" s="387"/>
    </row>
    <row r="12" spans="1:13" ht="15.95" customHeight="1">
      <c r="A12" s="966"/>
      <c r="B12" s="341"/>
      <c r="C12" s="331"/>
      <c r="D12" s="305"/>
      <c r="E12" s="426"/>
      <c r="F12" s="475"/>
      <c r="G12" s="474"/>
      <c r="H12" s="364">
        <f>IF(F12=0,G12,G12*F12)</f>
        <v>0</v>
      </c>
      <c r="I12" s="387"/>
    </row>
    <row r="13" spans="1:13" ht="15.95" customHeight="1">
      <c r="A13" s="966"/>
      <c r="B13" s="341"/>
      <c r="C13" s="402" t="s">
        <v>238</v>
      </c>
      <c r="D13" s="402"/>
      <c r="E13" s="402" t="s">
        <v>237</v>
      </c>
      <c r="F13" s="336">
        <v>20</v>
      </c>
      <c r="G13" s="336">
        <v>10000</v>
      </c>
      <c r="H13" s="369">
        <f>IF(F13=0,G13,G13*F13)</f>
        <v>200000</v>
      </c>
      <c r="I13" s="387"/>
    </row>
    <row r="14" spans="1:13" ht="15.95" customHeight="1">
      <c r="A14" s="966"/>
      <c r="B14" s="342"/>
      <c r="C14" s="389"/>
      <c r="D14" s="390"/>
      <c r="E14" s="430"/>
      <c r="F14" s="431">
        <f>SUM(F3:F13)</f>
        <v>526</v>
      </c>
      <c r="G14" s="347"/>
      <c r="H14" s="347">
        <f>SUM(H3:H13)</f>
        <v>872000</v>
      </c>
      <c r="I14" s="392"/>
    </row>
    <row r="15" spans="1:13" ht="15.95" customHeight="1">
      <c r="A15" s="966"/>
      <c r="B15" s="349" t="s">
        <v>240</v>
      </c>
      <c r="C15" s="324"/>
      <c r="D15" s="476"/>
      <c r="E15" s="477"/>
      <c r="F15" s="478"/>
      <c r="G15" s="327"/>
      <c r="H15" s="337">
        <f t="shared" ref="H15:H78" si="1">IF(F15=0,G15,G15*F15)</f>
        <v>0</v>
      </c>
      <c r="I15" s="418"/>
    </row>
    <row r="16" spans="1:13" ht="15.95" customHeight="1">
      <c r="A16" s="966"/>
      <c r="B16" s="341" t="s">
        <v>241</v>
      </c>
      <c r="C16" s="479"/>
      <c r="D16" s="480"/>
      <c r="E16" s="315"/>
      <c r="F16" s="481"/>
      <c r="G16" s="319"/>
      <c r="H16" s="320">
        <f t="shared" si="1"/>
        <v>0</v>
      </c>
      <c r="I16" s="317"/>
    </row>
    <row r="17" spans="1:9" ht="15.95" customHeight="1">
      <c r="A17" s="966"/>
      <c r="B17" s="787" t="s">
        <v>554</v>
      </c>
      <c r="C17" s="775" t="s">
        <v>555</v>
      </c>
      <c r="D17" s="775" t="s">
        <v>556</v>
      </c>
      <c r="E17" s="778" t="s">
        <v>557</v>
      </c>
      <c r="F17" s="790">
        <v>4</v>
      </c>
      <c r="G17" s="791">
        <v>20300</v>
      </c>
      <c r="H17" s="320">
        <f t="shared" si="1"/>
        <v>81200</v>
      </c>
      <c r="I17" s="788" t="s">
        <v>563</v>
      </c>
    </row>
    <row r="18" spans="1:9" ht="15.95" customHeight="1">
      <c r="A18" s="966"/>
      <c r="B18" s="437"/>
      <c r="C18" s="775"/>
      <c r="D18" s="775"/>
      <c r="E18" s="778"/>
      <c r="F18" s="790"/>
      <c r="G18" s="791"/>
      <c r="H18" s="320">
        <f t="shared" si="1"/>
        <v>0</v>
      </c>
      <c r="I18" s="788"/>
    </row>
    <row r="19" spans="1:9" ht="15.95" customHeight="1">
      <c r="A19" s="966"/>
      <c r="B19" s="437"/>
      <c r="C19" s="775"/>
      <c r="D19" s="775"/>
      <c r="E19" s="778"/>
      <c r="F19" s="790"/>
      <c r="G19" s="791"/>
      <c r="H19" s="320">
        <f t="shared" si="1"/>
        <v>0</v>
      </c>
      <c r="I19" s="788"/>
    </row>
    <row r="20" spans="1:9" ht="15.95" customHeight="1">
      <c r="A20" s="966"/>
      <c r="B20" s="789" t="s">
        <v>566</v>
      </c>
      <c r="C20" s="775" t="s">
        <v>558</v>
      </c>
      <c r="D20" s="775" t="s">
        <v>559</v>
      </c>
      <c r="E20" s="778" t="s">
        <v>557</v>
      </c>
      <c r="F20" s="792">
        <v>2</v>
      </c>
      <c r="G20" s="791">
        <v>365000</v>
      </c>
      <c r="H20" s="320">
        <f t="shared" si="1"/>
        <v>730000</v>
      </c>
      <c r="I20" s="781" t="s">
        <v>564</v>
      </c>
    </row>
    <row r="21" spans="1:9" ht="15.95" customHeight="1">
      <c r="A21" s="966"/>
      <c r="B21" s="437"/>
      <c r="C21" s="775" t="s">
        <v>560</v>
      </c>
      <c r="D21" s="775" t="s">
        <v>561</v>
      </c>
      <c r="E21" s="778" t="s">
        <v>557</v>
      </c>
      <c r="F21" s="792">
        <v>2</v>
      </c>
      <c r="G21" s="791">
        <v>14800</v>
      </c>
      <c r="H21" s="320">
        <f t="shared" si="1"/>
        <v>29600</v>
      </c>
      <c r="I21" s="781" t="s">
        <v>564</v>
      </c>
    </row>
    <row r="22" spans="1:9" ht="15.95" customHeight="1">
      <c r="A22" s="966"/>
      <c r="B22" s="437"/>
      <c r="C22" s="775" t="s">
        <v>560</v>
      </c>
      <c r="D22" s="775" t="s">
        <v>562</v>
      </c>
      <c r="E22" s="778" t="s">
        <v>557</v>
      </c>
      <c r="F22" s="792">
        <v>2</v>
      </c>
      <c r="G22" s="791">
        <v>14800</v>
      </c>
      <c r="H22" s="320">
        <f t="shared" si="1"/>
        <v>29600</v>
      </c>
      <c r="I22" s="781" t="s">
        <v>564</v>
      </c>
    </row>
    <row r="23" spans="1:9" ht="15.95" customHeight="1">
      <c r="A23" s="966"/>
      <c r="B23" s="437"/>
      <c r="C23" s="447"/>
      <c r="D23" s="445"/>
      <c r="E23" s="315" t="s">
        <v>223</v>
      </c>
      <c r="F23" s="444"/>
      <c r="G23" s="330"/>
      <c r="H23" s="320">
        <f t="shared" si="1"/>
        <v>0</v>
      </c>
      <c r="I23" s="317"/>
    </row>
    <row r="24" spans="1:9" ht="15.95" customHeight="1">
      <c r="A24" s="966"/>
      <c r="B24" s="437"/>
      <c r="C24" s="479"/>
      <c r="D24" s="480"/>
      <c r="E24" s="315" t="s">
        <v>223</v>
      </c>
      <c r="F24" s="481"/>
      <c r="G24" s="319"/>
      <c r="H24" s="320">
        <f t="shared" si="1"/>
        <v>0</v>
      </c>
      <c r="I24" s="317"/>
    </row>
    <row r="25" spans="1:9" ht="15.95" customHeight="1">
      <c r="A25" s="966"/>
      <c r="B25" s="437"/>
      <c r="C25" s="479"/>
      <c r="D25" s="480"/>
      <c r="E25" s="315" t="s">
        <v>223</v>
      </c>
      <c r="F25" s="481"/>
      <c r="G25" s="319"/>
      <c r="H25" s="320">
        <f t="shared" si="1"/>
        <v>0</v>
      </c>
      <c r="I25" s="317"/>
    </row>
    <row r="26" spans="1:9" ht="15.95" customHeight="1">
      <c r="A26" s="966"/>
      <c r="B26" s="437"/>
      <c r="C26" s="479"/>
      <c r="D26" s="445"/>
      <c r="E26" s="315" t="s">
        <v>223</v>
      </c>
      <c r="F26" s="444"/>
      <c r="G26" s="330"/>
      <c r="H26" s="320">
        <f t="shared" si="1"/>
        <v>0</v>
      </c>
      <c r="I26" s="317"/>
    </row>
    <row r="27" spans="1:9" ht="15.95" customHeight="1">
      <c r="A27" s="966"/>
      <c r="B27" s="437"/>
      <c r="C27" s="479"/>
      <c r="D27" s="445"/>
      <c r="E27" s="315" t="s">
        <v>223</v>
      </c>
      <c r="F27" s="444"/>
      <c r="G27" s="330"/>
      <c r="H27" s="320">
        <f t="shared" si="1"/>
        <v>0</v>
      </c>
      <c r="I27" s="317"/>
    </row>
    <row r="28" spans="1:9" ht="15.95" customHeight="1">
      <c r="A28" s="966"/>
      <c r="B28" s="437"/>
      <c r="C28" s="479"/>
      <c r="D28" s="480"/>
      <c r="E28" s="315" t="s">
        <v>223</v>
      </c>
      <c r="F28" s="481"/>
      <c r="G28" s="319"/>
      <c r="H28" s="320">
        <f t="shared" si="1"/>
        <v>0</v>
      </c>
      <c r="I28" s="317"/>
    </row>
    <row r="29" spans="1:9" ht="15.95" customHeight="1">
      <c r="A29" s="966"/>
      <c r="B29" s="437"/>
      <c r="C29" s="479"/>
      <c r="D29" s="480"/>
      <c r="E29" s="315" t="s">
        <v>223</v>
      </c>
      <c r="F29" s="481"/>
      <c r="G29" s="319"/>
      <c r="H29" s="320">
        <f t="shared" si="1"/>
        <v>0</v>
      </c>
      <c r="I29" s="317"/>
    </row>
    <row r="30" spans="1:9" ht="15.95" customHeight="1">
      <c r="A30" s="966"/>
      <c r="B30" s="437"/>
      <c r="C30" s="479"/>
      <c r="D30" s="480"/>
      <c r="E30" s="315"/>
      <c r="F30" s="481"/>
      <c r="G30" s="319"/>
      <c r="H30" s="320">
        <f t="shared" si="1"/>
        <v>0</v>
      </c>
      <c r="I30" s="317"/>
    </row>
    <row r="31" spans="1:9" ht="15.95" customHeight="1">
      <c r="A31" s="966"/>
      <c r="B31" s="437"/>
      <c r="C31" s="318"/>
      <c r="D31" s="318"/>
      <c r="E31" s="315" t="s">
        <v>223</v>
      </c>
      <c r="F31" s="321"/>
      <c r="G31" s="319"/>
      <c r="H31" s="320">
        <f t="shared" si="1"/>
        <v>0</v>
      </c>
      <c r="I31" s="317"/>
    </row>
    <row r="32" spans="1:9" ht="15.95" customHeight="1">
      <c r="A32" s="966"/>
      <c r="B32" s="436"/>
      <c r="C32" s="483"/>
      <c r="D32" s="484"/>
      <c r="E32" s="481" t="s">
        <v>223</v>
      </c>
      <c r="F32" s="481"/>
      <c r="G32" s="319"/>
      <c r="H32" s="320">
        <f t="shared" si="1"/>
        <v>0</v>
      </c>
      <c r="I32" s="485"/>
    </row>
    <row r="33" spans="1:9" ht="15.95" customHeight="1">
      <c r="A33" s="966"/>
      <c r="B33" s="436"/>
      <c r="C33" s="483"/>
      <c r="D33" s="480"/>
      <c r="E33" s="481" t="s">
        <v>223</v>
      </c>
      <c r="F33" s="481"/>
      <c r="G33" s="319"/>
      <c r="H33" s="320">
        <f t="shared" si="1"/>
        <v>0</v>
      </c>
      <c r="I33" s="485"/>
    </row>
    <row r="34" spans="1:9" ht="15.95" customHeight="1">
      <c r="A34" s="966"/>
      <c r="B34" s="341"/>
      <c r="C34" s="479"/>
      <c r="D34" s="480"/>
      <c r="E34" s="481" t="s">
        <v>223</v>
      </c>
      <c r="F34" s="481"/>
      <c r="G34" s="319"/>
      <c r="H34" s="320">
        <f t="shared" si="1"/>
        <v>0</v>
      </c>
      <c r="I34" s="485"/>
    </row>
    <row r="35" spans="1:9" ht="15.95" customHeight="1">
      <c r="A35" s="966"/>
      <c r="B35" s="341"/>
      <c r="C35" s="479"/>
      <c r="D35" s="480"/>
      <c r="E35" s="481" t="s">
        <v>223</v>
      </c>
      <c r="F35" s="481"/>
      <c r="G35" s="319"/>
      <c r="H35" s="320">
        <f t="shared" si="1"/>
        <v>0</v>
      </c>
      <c r="I35" s="485"/>
    </row>
    <row r="36" spans="1:9" ht="15.95" customHeight="1">
      <c r="A36" s="966"/>
      <c r="B36" s="341"/>
      <c r="C36" s="479"/>
      <c r="D36" s="480"/>
      <c r="E36" s="481" t="s">
        <v>223</v>
      </c>
      <c r="F36" s="481"/>
      <c r="G36" s="319"/>
      <c r="H36" s="320">
        <f t="shared" si="1"/>
        <v>0</v>
      </c>
      <c r="I36" s="485"/>
    </row>
    <row r="37" spans="1:9" ht="15.95" customHeight="1">
      <c r="A37" s="966"/>
      <c r="B37" s="341"/>
      <c r="C37" s="479"/>
      <c r="D37" s="480"/>
      <c r="E37" s="481" t="s">
        <v>223</v>
      </c>
      <c r="F37" s="481"/>
      <c r="G37" s="319"/>
      <c r="H37" s="320">
        <f t="shared" si="1"/>
        <v>0</v>
      </c>
      <c r="I37" s="485"/>
    </row>
    <row r="38" spans="1:9" ht="15.95" customHeight="1">
      <c r="A38" s="966"/>
      <c r="B38" s="341"/>
      <c r="C38" s="479"/>
      <c r="D38" s="480"/>
      <c r="E38" s="481" t="s">
        <v>223</v>
      </c>
      <c r="F38" s="481"/>
      <c r="G38" s="319"/>
      <c r="H38" s="320">
        <f t="shared" si="1"/>
        <v>0</v>
      </c>
      <c r="I38" s="485"/>
    </row>
    <row r="39" spans="1:9" ht="15.95" customHeight="1">
      <c r="A39" s="966"/>
      <c r="B39" s="341"/>
      <c r="C39" s="479"/>
      <c r="D39" s="480"/>
      <c r="E39" s="481" t="s">
        <v>223</v>
      </c>
      <c r="F39" s="481"/>
      <c r="G39" s="319"/>
      <c r="H39" s="320">
        <f t="shared" si="1"/>
        <v>0</v>
      </c>
      <c r="I39" s="485"/>
    </row>
    <row r="40" spans="1:9" ht="15.95" customHeight="1">
      <c r="A40" s="966"/>
      <c r="B40" s="341"/>
      <c r="C40" s="479"/>
      <c r="D40" s="480"/>
      <c r="E40" s="481" t="s">
        <v>223</v>
      </c>
      <c r="F40" s="481"/>
      <c r="G40" s="319"/>
      <c r="H40" s="320">
        <f t="shared" si="1"/>
        <v>0</v>
      </c>
      <c r="I40" s="485"/>
    </row>
    <row r="41" spans="1:9" ht="15.95" customHeight="1">
      <c r="A41" s="966"/>
      <c r="B41" s="341"/>
      <c r="C41" s="479"/>
      <c r="D41" s="480"/>
      <c r="E41" s="481" t="s">
        <v>223</v>
      </c>
      <c r="F41" s="481"/>
      <c r="G41" s="319"/>
      <c r="H41" s="320">
        <f t="shared" si="1"/>
        <v>0</v>
      </c>
      <c r="I41" s="485"/>
    </row>
    <row r="42" spans="1:9" ht="15.95" customHeight="1">
      <c r="A42" s="966"/>
      <c r="B42" s="341"/>
      <c r="C42" s="479"/>
      <c r="D42" s="480"/>
      <c r="E42" s="481" t="s">
        <v>262</v>
      </c>
      <c r="F42" s="481"/>
      <c r="G42" s="319"/>
      <c r="H42" s="320">
        <f t="shared" si="1"/>
        <v>0</v>
      </c>
      <c r="I42" s="485"/>
    </row>
    <row r="43" spans="1:9" ht="15.95" customHeight="1">
      <c r="A43" s="966"/>
      <c r="B43" s="341"/>
      <c r="C43" s="479"/>
      <c r="D43" s="480"/>
      <c r="E43" s="481" t="s">
        <v>262</v>
      </c>
      <c r="F43" s="481"/>
      <c r="G43" s="319"/>
      <c r="H43" s="320">
        <f t="shared" si="1"/>
        <v>0</v>
      </c>
      <c r="I43" s="485"/>
    </row>
    <row r="44" spans="1:9" ht="15.95" customHeight="1">
      <c r="A44" s="966"/>
      <c r="B44" s="341"/>
      <c r="C44" s="479"/>
      <c r="D44" s="486"/>
      <c r="E44" s="481" t="s">
        <v>268</v>
      </c>
      <c r="F44" s="481"/>
      <c r="G44" s="319"/>
      <c r="H44" s="320">
        <f t="shared" si="1"/>
        <v>0</v>
      </c>
      <c r="I44" s="485"/>
    </row>
    <row r="45" spans="1:9" ht="15.95" customHeight="1">
      <c r="A45" s="966"/>
      <c r="B45" s="341"/>
      <c r="C45" s="479"/>
      <c r="D45" s="486"/>
      <c r="E45" s="481" t="s">
        <v>268</v>
      </c>
      <c r="F45" s="481"/>
      <c r="G45" s="319"/>
      <c r="H45" s="320">
        <f t="shared" si="1"/>
        <v>0</v>
      </c>
      <c r="I45" s="485"/>
    </row>
    <row r="46" spans="1:9" ht="15.95" customHeight="1">
      <c r="A46" s="966"/>
      <c r="B46" s="341"/>
      <c r="C46" s="479"/>
      <c r="D46" s="486"/>
      <c r="E46" s="481" t="s">
        <v>268</v>
      </c>
      <c r="F46" s="481"/>
      <c r="G46" s="319"/>
      <c r="H46" s="320">
        <f t="shared" si="1"/>
        <v>0</v>
      </c>
      <c r="I46" s="485"/>
    </row>
    <row r="47" spans="1:9" ht="15.95" customHeight="1">
      <c r="A47" s="966"/>
      <c r="B47" s="341"/>
      <c r="C47" s="479"/>
      <c r="D47" s="480"/>
      <c r="E47" s="481" t="s">
        <v>268</v>
      </c>
      <c r="F47" s="481"/>
      <c r="G47" s="319"/>
      <c r="H47" s="320">
        <f t="shared" si="1"/>
        <v>0</v>
      </c>
      <c r="I47" s="485"/>
    </row>
    <row r="48" spans="1:9" ht="15.95" customHeight="1">
      <c r="A48" s="966"/>
      <c r="B48" s="341"/>
      <c r="C48" s="479"/>
      <c r="D48" s="487"/>
      <c r="E48" s="481" t="s">
        <v>268</v>
      </c>
      <c r="F48" s="481"/>
      <c r="G48" s="319"/>
      <c r="H48" s="320">
        <f t="shared" si="1"/>
        <v>0</v>
      </c>
      <c r="I48" s="488"/>
    </row>
    <row r="49" spans="1:11" ht="15.95" customHeight="1">
      <c r="A49" s="966"/>
      <c r="B49" s="341"/>
      <c r="C49" s="479"/>
      <c r="D49" s="486"/>
      <c r="E49" s="481" t="s">
        <v>262</v>
      </c>
      <c r="F49" s="481"/>
      <c r="G49" s="319"/>
      <c r="H49" s="320">
        <f t="shared" si="1"/>
        <v>0</v>
      </c>
      <c r="I49" s="488"/>
    </row>
    <row r="50" spans="1:11" ht="15.95" customHeight="1">
      <c r="A50" s="966"/>
      <c r="B50" s="341"/>
      <c r="C50" s="479"/>
      <c r="D50" s="480"/>
      <c r="E50" s="481" t="s">
        <v>264</v>
      </c>
      <c r="F50" s="481"/>
      <c r="G50" s="319"/>
      <c r="H50" s="320">
        <f t="shared" si="1"/>
        <v>0</v>
      </c>
      <c r="I50" s="485"/>
    </row>
    <row r="51" spans="1:11" ht="15.95" customHeight="1">
      <c r="A51" s="966"/>
      <c r="B51" s="341"/>
      <c r="C51" s="479"/>
      <c r="D51" s="480"/>
      <c r="E51" s="481" t="s">
        <v>262</v>
      </c>
      <c r="F51" s="481"/>
      <c r="G51" s="319"/>
      <c r="H51" s="320">
        <f t="shared" si="1"/>
        <v>0</v>
      </c>
      <c r="I51" s="485"/>
    </row>
    <row r="52" spans="1:11" ht="15.95" customHeight="1">
      <c r="A52" s="966"/>
      <c r="B52" s="341"/>
      <c r="C52" s="479"/>
      <c r="D52" s="480"/>
      <c r="E52" s="481" t="s">
        <v>262</v>
      </c>
      <c r="F52" s="481"/>
      <c r="G52" s="319"/>
      <c r="H52" s="320">
        <f t="shared" si="1"/>
        <v>0</v>
      </c>
      <c r="I52" s="485"/>
    </row>
    <row r="53" spans="1:11" ht="15.95" customHeight="1">
      <c r="A53" s="966"/>
      <c r="B53" s="341"/>
      <c r="C53" s="479"/>
      <c r="D53" s="480"/>
      <c r="E53" s="481" t="s">
        <v>262</v>
      </c>
      <c r="F53" s="481"/>
      <c r="G53" s="319"/>
      <c r="H53" s="320">
        <f t="shared" si="1"/>
        <v>0</v>
      </c>
      <c r="I53" s="485"/>
    </row>
    <row r="54" spans="1:11" ht="15.95" customHeight="1">
      <c r="A54" s="966"/>
      <c r="B54" s="341"/>
      <c r="C54" s="483"/>
      <c r="D54" s="480"/>
      <c r="E54" s="481" t="s">
        <v>262</v>
      </c>
      <c r="F54" s="481"/>
      <c r="G54" s="319"/>
      <c r="H54" s="320">
        <f t="shared" si="1"/>
        <v>0</v>
      </c>
      <c r="I54" s="485"/>
    </row>
    <row r="55" spans="1:11" ht="15.95" customHeight="1">
      <c r="A55" s="966"/>
      <c r="B55" s="341"/>
      <c r="C55" s="483"/>
      <c r="D55" s="480"/>
      <c r="E55" s="481" t="s">
        <v>262</v>
      </c>
      <c r="F55" s="481"/>
      <c r="G55" s="319"/>
      <c r="H55" s="320">
        <f t="shared" si="1"/>
        <v>0</v>
      </c>
      <c r="I55" s="485"/>
    </row>
    <row r="56" spans="1:11" ht="15.95" customHeight="1">
      <c r="A56" s="966"/>
      <c r="B56" s="341"/>
      <c r="C56" s="482"/>
      <c r="D56" s="489"/>
      <c r="E56" s="481" t="s">
        <v>262</v>
      </c>
      <c r="F56" s="481"/>
      <c r="G56" s="319"/>
      <c r="H56" s="320">
        <f t="shared" si="1"/>
        <v>0</v>
      </c>
      <c r="I56" s="488"/>
    </row>
    <row r="57" spans="1:11" ht="15.95" customHeight="1">
      <c r="A57" s="966"/>
      <c r="B57" s="341"/>
      <c r="C57" s="318"/>
      <c r="D57" s="438"/>
      <c r="E57" s="481" t="s">
        <v>262</v>
      </c>
      <c r="F57" s="321"/>
      <c r="G57" s="319"/>
      <c r="H57" s="320">
        <f t="shared" si="1"/>
        <v>0</v>
      </c>
      <c r="I57" s="317"/>
    </row>
    <row r="58" spans="1:11" ht="15.95" customHeight="1">
      <c r="A58" s="966"/>
      <c r="B58" s="341"/>
      <c r="C58" s="490"/>
      <c r="D58" s="438"/>
      <c r="E58" s="481" t="s">
        <v>262</v>
      </c>
      <c r="F58" s="321"/>
      <c r="G58" s="319"/>
      <c r="H58" s="320">
        <f t="shared" si="1"/>
        <v>0</v>
      </c>
      <c r="I58" s="485"/>
    </row>
    <row r="59" spans="1:11" ht="15.95" customHeight="1">
      <c r="A59" s="966"/>
      <c r="B59" s="341"/>
      <c r="C59" s="490"/>
      <c r="D59" s="438"/>
      <c r="E59" s="481" t="s">
        <v>262</v>
      </c>
      <c r="F59" s="321"/>
      <c r="G59" s="319"/>
      <c r="H59" s="320">
        <f t="shared" si="1"/>
        <v>0</v>
      </c>
      <c r="I59" s="485"/>
      <c r="K59" s="261"/>
    </row>
    <row r="60" spans="1:11" ht="15.95" customHeight="1">
      <c r="A60" s="966"/>
      <c r="B60" s="341"/>
      <c r="C60" s="331"/>
      <c r="D60" s="318"/>
      <c r="E60" s="481" t="s">
        <v>262</v>
      </c>
      <c r="F60" s="321"/>
      <c r="G60" s="319"/>
      <c r="H60" s="320">
        <f t="shared" si="1"/>
        <v>0</v>
      </c>
      <c r="I60" s="317"/>
      <c r="K60" s="261"/>
    </row>
    <row r="61" spans="1:11" ht="15.95" customHeight="1">
      <c r="A61" s="966"/>
      <c r="B61" s="341"/>
      <c r="C61" s="318"/>
      <c r="D61" s="318"/>
      <c r="E61" s="481" t="s">
        <v>262</v>
      </c>
      <c r="F61" s="321"/>
      <c r="G61" s="319"/>
      <c r="H61" s="320">
        <f t="shared" si="1"/>
        <v>0</v>
      </c>
      <c r="I61" s="317"/>
    </row>
    <row r="62" spans="1:11" ht="15.95" customHeight="1">
      <c r="A62" s="966"/>
      <c r="B62" s="341"/>
      <c r="C62" s="490"/>
      <c r="D62" s="318"/>
      <c r="E62" s="481" t="s">
        <v>262</v>
      </c>
      <c r="F62" s="321"/>
      <c r="G62" s="319"/>
      <c r="H62" s="320">
        <f t="shared" si="1"/>
        <v>0</v>
      </c>
      <c r="I62" s="485"/>
    </row>
    <row r="63" spans="1:11" ht="15.95" customHeight="1">
      <c r="A63" s="966"/>
      <c r="B63" s="341"/>
      <c r="C63" s="490"/>
      <c r="D63" s="318"/>
      <c r="E63" s="481" t="s">
        <v>262</v>
      </c>
      <c r="F63" s="321"/>
      <c r="G63" s="319"/>
      <c r="H63" s="320">
        <f t="shared" si="1"/>
        <v>0</v>
      </c>
      <c r="I63" s="485"/>
    </row>
    <row r="64" spans="1:11" ht="15.95" customHeight="1">
      <c r="A64" s="966"/>
      <c r="B64" s="341"/>
      <c r="C64" s="318"/>
      <c r="D64" s="318"/>
      <c r="E64" s="481" t="s">
        <v>262</v>
      </c>
      <c r="F64" s="321"/>
      <c r="G64" s="319"/>
      <c r="H64" s="320">
        <f t="shared" si="1"/>
        <v>0</v>
      </c>
      <c r="I64" s="317"/>
    </row>
    <row r="65" spans="1:9" ht="15.95" customHeight="1">
      <c r="A65" s="966"/>
      <c r="B65" s="341"/>
      <c r="C65" s="479"/>
      <c r="D65" s="318"/>
      <c r="E65" s="481" t="s">
        <v>262</v>
      </c>
      <c r="F65" s="321"/>
      <c r="G65" s="319"/>
      <c r="H65" s="320">
        <f t="shared" si="1"/>
        <v>0</v>
      </c>
      <c r="I65" s="317"/>
    </row>
    <row r="66" spans="1:9" ht="15.95" customHeight="1">
      <c r="A66" s="966"/>
      <c r="B66" s="341"/>
      <c r="C66" s="318"/>
      <c r="D66" s="318"/>
      <c r="E66" s="481" t="s">
        <v>262</v>
      </c>
      <c r="F66" s="321"/>
      <c r="G66" s="319"/>
      <c r="H66" s="320">
        <f t="shared" si="1"/>
        <v>0</v>
      </c>
      <c r="I66" s="317"/>
    </row>
    <row r="67" spans="1:9" ht="15.95" customHeight="1">
      <c r="A67" s="966"/>
      <c r="B67" s="341"/>
      <c r="C67" s="490"/>
      <c r="D67" s="318"/>
      <c r="E67" s="481" t="s">
        <v>262</v>
      </c>
      <c r="F67" s="321"/>
      <c r="G67" s="319"/>
      <c r="H67" s="320">
        <f t="shared" si="1"/>
        <v>0</v>
      </c>
      <c r="I67" s="317"/>
    </row>
    <row r="68" spans="1:9" ht="15.95" customHeight="1">
      <c r="A68" s="966"/>
      <c r="B68" s="341"/>
      <c r="C68" s="490"/>
      <c r="D68" s="318"/>
      <c r="E68" s="481" t="s">
        <v>262</v>
      </c>
      <c r="F68" s="321"/>
      <c r="G68" s="319"/>
      <c r="H68" s="320">
        <f t="shared" si="1"/>
        <v>0</v>
      </c>
      <c r="I68" s="485"/>
    </row>
    <row r="69" spans="1:9" ht="15.95" customHeight="1">
      <c r="A69" s="966"/>
      <c r="B69" s="341"/>
      <c r="C69" s="318"/>
      <c r="D69" s="318"/>
      <c r="E69" s="481" t="s">
        <v>262</v>
      </c>
      <c r="F69" s="321"/>
      <c r="G69" s="319"/>
      <c r="H69" s="320">
        <f t="shared" si="1"/>
        <v>0</v>
      </c>
      <c r="I69" s="317"/>
    </row>
    <row r="70" spans="1:9" ht="15.95" customHeight="1">
      <c r="A70" s="966"/>
      <c r="B70" s="341"/>
      <c r="C70" s="490"/>
      <c r="D70" s="318"/>
      <c r="E70" s="481" t="s">
        <v>262</v>
      </c>
      <c r="F70" s="321"/>
      <c r="G70" s="319"/>
      <c r="H70" s="320">
        <f t="shared" si="1"/>
        <v>0</v>
      </c>
      <c r="I70" s="485"/>
    </row>
    <row r="71" spans="1:9" ht="15.95" customHeight="1">
      <c r="A71" s="966"/>
      <c r="B71" s="341"/>
      <c r="C71" s="483"/>
      <c r="D71" s="318"/>
      <c r="E71" s="481" t="s">
        <v>262</v>
      </c>
      <c r="F71" s="321"/>
      <c r="G71" s="319"/>
      <c r="H71" s="320">
        <f t="shared" si="1"/>
        <v>0</v>
      </c>
      <c r="I71" s="485"/>
    </row>
    <row r="72" spans="1:9" ht="15.95" customHeight="1">
      <c r="A72" s="966"/>
      <c r="B72" s="341"/>
      <c r="C72" s="490"/>
      <c r="D72" s="318"/>
      <c r="E72" s="481" t="s">
        <v>262</v>
      </c>
      <c r="F72" s="321"/>
      <c r="G72" s="319"/>
      <c r="H72" s="320">
        <f t="shared" si="1"/>
        <v>0</v>
      </c>
      <c r="I72" s="485"/>
    </row>
    <row r="73" spans="1:9" ht="15.95" customHeight="1">
      <c r="A73" s="966"/>
      <c r="B73" s="341"/>
      <c r="C73" s="490"/>
      <c r="D73" s="318"/>
      <c r="E73" s="481" t="s">
        <v>262</v>
      </c>
      <c r="F73" s="321"/>
      <c r="G73" s="319"/>
      <c r="H73" s="320">
        <f t="shared" si="1"/>
        <v>0</v>
      </c>
      <c r="I73" s="485"/>
    </row>
    <row r="74" spans="1:9" ht="15.95" customHeight="1">
      <c r="A74" s="966"/>
      <c r="B74" s="341"/>
      <c r="C74" s="318"/>
      <c r="D74" s="318"/>
      <c r="E74" s="481" t="s">
        <v>262</v>
      </c>
      <c r="F74" s="321"/>
      <c r="G74" s="319"/>
      <c r="H74" s="320">
        <f t="shared" si="1"/>
        <v>0</v>
      </c>
      <c r="I74" s="317"/>
    </row>
    <row r="75" spans="1:9" ht="15.95" customHeight="1">
      <c r="A75" s="966"/>
      <c r="B75" s="341"/>
      <c r="C75" s="318"/>
      <c r="D75" s="318"/>
      <c r="E75" s="481" t="s">
        <v>262</v>
      </c>
      <c r="F75" s="321"/>
      <c r="G75" s="319"/>
      <c r="H75" s="320">
        <f t="shared" si="1"/>
        <v>0</v>
      </c>
      <c r="I75" s="317"/>
    </row>
    <row r="76" spans="1:9" ht="15.95" customHeight="1">
      <c r="A76" s="966"/>
      <c r="B76" s="341"/>
      <c r="C76" s="318"/>
      <c r="D76" s="318"/>
      <c r="E76" s="481" t="s">
        <v>262</v>
      </c>
      <c r="F76" s="321"/>
      <c r="G76" s="319"/>
      <c r="H76" s="320">
        <f t="shared" si="1"/>
        <v>0</v>
      </c>
      <c r="I76" s="317"/>
    </row>
    <row r="77" spans="1:9" ht="15.95" customHeight="1">
      <c r="A77" s="966"/>
      <c r="B77" s="341"/>
      <c r="C77" s="490"/>
      <c r="D77" s="318"/>
      <c r="E77" s="481" t="s">
        <v>262</v>
      </c>
      <c r="F77" s="321"/>
      <c r="G77" s="319"/>
      <c r="H77" s="320">
        <f t="shared" si="1"/>
        <v>0</v>
      </c>
      <c r="I77" s="317"/>
    </row>
    <row r="78" spans="1:9" ht="15.95" customHeight="1">
      <c r="A78" s="966"/>
      <c r="B78" s="341"/>
      <c r="C78" s="318"/>
      <c r="D78" s="318"/>
      <c r="E78" s="481" t="s">
        <v>262</v>
      </c>
      <c r="F78" s="321"/>
      <c r="G78" s="319"/>
      <c r="H78" s="320">
        <f t="shared" si="1"/>
        <v>0</v>
      </c>
      <c r="I78" s="317"/>
    </row>
    <row r="79" spans="1:9" ht="15.95" customHeight="1">
      <c r="A79" s="966"/>
      <c r="B79" s="341"/>
      <c r="C79" s="318"/>
      <c r="D79" s="318"/>
      <c r="E79" s="481" t="s">
        <v>262</v>
      </c>
      <c r="F79" s="321"/>
      <c r="G79" s="319"/>
      <c r="H79" s="320">
        <f t="shared" ref="H79:H101" si="2">IF(F79=0,G79,G79*F79)</f>
        <v>0</v>
      </c>
      <c r="I79" s="317"/>
    </row>
    <row r="80" spans="1:9" ht="15.95" customHeight="1">
      <c r="A80" s="966"/>
      <c r="B80" s="341"/>
      <c r="C80" s="318"/>
      <c r="D80" s="318"/>
      <c r="E80" s="481" t="s">
        <v>262</v>
      </c>
      <c r="F80" s="321"/>
      <c r="G80" s="319"/>
      <c r="H80" s="320">
        <f t="shared" si="2"/>
        <v>0</v>
      </c>
      <c r="I80" s="317"/>
    </row>
    <row r="81" spans="1:9" ht="15.95" customHeight="1">
      <c r="A81" s="966"/>
      <c r="B81" s="341"/>
      <c r="C81" s="318"/>
      <c r="D81" s="318"/>
      <c r="E81" s="481" t="s">
        <v>262</v>
      </c>
      <c r="F81" s="321"/>
      <c r="G81" s="319"/>
      <c r="H81" s="320">
        <f t="shared" si="2"/>
        <v>0</v>
      </c>
      <c r="I81" s="485"/>
    </row>
    <row r="82" spans="1:9" ht="15.95" customHeight="1">
      <c r="A82" s="966"/>
      <c r="B82" s="341"/>
      <c r="C82" s="490"/>
      <c r="D82" s="318"/>
      <c r="E82" s="481" t="s">
        <v>262</v>
      </c>
      <c r="F82" s="321"/>
      <c r="G82" s="319"/>
      <c r="H82" s="320">
        <f t="shared" si="2"/>
        <v>0</v>
      </c>
      <c r="I82" s="485"/>
    </row>
    <row r="83" spans="1:9" ht="15.95" customHeight="1">
      <c r="A83" s="966"/>
      <c r="B83" s="341"/>
      <c r="C83" s="318"/>
      <c r="D83" s="318"/>
      <c r="E83" s="481" t="s">
        <v>262</v>
      </c>
      <c r="F83" s="321"/>
      <c r="G83" s="319"/>
      <c r="H83" s="320">
        <f t="shared" si="2"/>
        <v>0</v>
      </c>
      <c r="I83" s="317"/>
    </row>
    <row r="84" spans="1:9" ht="15.95" customHeight="1">
      <c r="A84" s="966"/>
      <c r="B84" s="341"/>
      <c r="C84" s="318"/>
      <c r="D84" s="318"/>
      <c r="E84" s="481" t="s">
        <v>262</v>
      </c>
      <c r="F84" s="321"/>
      <c r="G84" s="319"/>
      <c r="H84" s="320">
        <f t="shared" si="2"/>
        <v>0</v>
      </c>
      <c r="I84" s="317"/>
    </row>
    <row r="85" spans="1:9" ht="15.95" customHeight="1">
      <c r="A85" s="966"/>
      <c r="B85" s="341"/>
      <c r="C85" s="318"/>
      <c r="D85" s="318"/>
      <c r="E85" s="481" t="s">
        <v>262</v>
      </c>
      <c r="F85" s="321"/>
      <c r="G85" s="319"/>
      <c r="H85" s="320">
        <f t="shared" si="2"/>
        <v>0</v>
      </c>
      <c r="I85" s="317"/>
    </row>
    <row r="86" spans="1:9" ht="15.95" customHeight="1">
      <c r="A86" s="966"/>
      <c r="B86" s="341"/>
      <c r="C86" s="490"/>
      <c r="D86" s="318"/>
      <c r="E86" s="481" t="s">
        <v>262</v>
      </c>
      <c r="F86" s="321"/>
      <c r="G86" s="319"/>
      <c r="H86" s="320">
        <f t="shared" si="2"/>
        <v>0</v>
      </c>
      <c r="I86" s="485"/>
    </row>
    <row r="87" spans="1:9" ht="15.95" customHeight="1">
      <c r="A87" s="966"/>
      <c r="B87" s="341"/>
      <c r="C87" s="318"/>
      <c r="D87" s="318"/>
      <c r="E87" s="481" t="s">
        <v>262</v>
      </c>
      <c r="F87" s="321"/>
      <c r="G87" s="319"/>
      <c r="H87" s="320">
        <f t="shared" si="2"/>
        <v>0</v>
      </c>
      <c r="I87" s="317"/>
    </row>
    <row r="88" spans="1:9" ht="15.95" customHeight="1">
      <c r="A88" s="966"/>
      <c r="B88" s="341"/>
      <c r="C88" s="318"/>
      <c r="D88" s="318"/>
      <c r="E88" s="481" t="s">
        <v>262</v>
      </c>
      <c r="F88" s="321"/>
      <c r="G88" s="319"/>
      <c r="H88" s="320">
        <f t="shared" si="2"/>
        <v>0</v>
      </c>
      <c r="I88" s="317"/>
    </row>
    <row r="89" spans="1:9" ht="15.95" customHeight="1">
      <c r="A89" s="966"/>
      <c r="B89" s="341"/>
      <c r="C89" s="318"/>
      <c r="D89" s="318"/>
      <c r="E89" s="481" t="s">
        <v>262</v>
      </c>
      <c r="F89" s="321"/>
      <c r="G89" s="319"/>
      <c r="H89" s="320">
        <f t="shared" si="2"/>
        <v>0</v>
      </c>
      <c r="I89" s="485"/>
    </row>
    <row r="90" spans="1:9" ht="15.95" customHeight="1">
      <c r="A90" s="966"/>
      <c r="B90" s="341"/>
      <c r="C90" s="490"/>
      <c r="D90" s="318"/>
      <c r="E90" s="481" t="s">
        <v>262</v>
      </c>
      <c r="F90" s="321"/>
      <c r="G90" s="319"/>
      <c r="H90" s="320">
        <f t="shared" si="2"/>
        <v>0</v>
      </c>
      <c r="I90" s="485"/>
    </row>
    <row r="91" spans="1:9" ht="15.95" customHeight="1">
      <c r="A91" s="966"/>
      <c r="B91" s="341"/>
      <c r="C91" s="318"/>
      <c r="D91" s="318"/>
      <c r="E91" s="481" t="s">
        <v>262</v>
      </c>
      <c r="F91" s="321"/>
      <c r="G91" s="319"/>
      <c r="H91" s="320">
        <f t="shared" si="2"/>
        <v>0</v>
      </c>
      <c r="I91" s="485"/>
    </row>
    <row r="92" spans="1:9" ht="15.95" customHeight="1">
      <c r="A92" s="966"/>
      <c r="B92" s="341"/>
      <c r="C92" s="318"/>
      <c r="D92" s="318"/>
      <c r="E92" s="481" t="s">
        <v>262</v>
      </c>
      <c r="F92" s="321"/>
      <c r="G92" s="319"/>
      <c r="H92" s="320">
        <f t="shared" si="2"/>
        <v>0</v>
      </c>
      <c r="I92" s="485"/>
    </row>
    <row r="93" spans="1:9" ht="15.95" customHeight="1">
      <c r="A93" s="966"/>
      <c r="B93" s="341"/>
      <c r="C93" s="490"/>
      <c r="D93" s="318"/>
      <c r="E93" s="481" t="s">
        <v>262</v>
      </c>
      <c r="F93" s="321"/>
      <c r="G93" s="319"/>
      <c r="H93" s="320">
        <f t="shared" si="2"/>
        <v>0</v>
      </c>
      <c r="I93" s="485"/>
    </row>
    <row r="94" spans="1:9" ht="15.95" customHeight="1">
      <c r="A94" s="966"/>
      <c r="B94" s="341"/>
      <c r="C94" s="318"/>
      <c r="D94" s="318"/>
      <c r="E94" s="481" t="s">
        <v>262</v>
      </c>
      <c r="F94" s="321"/>
      <c r="G94" s="319"/>
      <c r="H94" s="320">
        <f t="shared" si="2"/>
        <v>0</v>
      </c>
      <c r="I94" s="485"/>
    </row>
    <row r="95" spans="1:9" ht="15.95" customHeight="1">
      <c r="A95" s="966"/>
      <c r="B95" s="341"/>
      <c r="C95" s="490"/>
      <c r="D95" s="318"/>
      <c r="E95" s="481" t="s">
        <v>262</v>
      </c>
      <c r="F95" s="321"/>
      <c r="G95" s="319"/>
      <c r="H95" s="320">
        <f t="shared" si="2"/>
        <v>0</v>
      </c>
      <c r="I95" s="485"/>
    </row>
    <row r="96" spans="1:9" ht="15.95" customHeight="1">
      <c r="A96" s="966"/>
      <c r="B96" s="341"/>
      <c r="C96" s="331"/>
      <c r="D96" s="305"/>
      <c r="E96" s="481" t="s">
        <v>262</v>
      </c>
      <c r="F96" s="321"/>
      <c r="G96" s="319"/>
      <c r="H96" s="320">
        <f t="shared" si="2"/>
        <v>0</v>
      </c>
      <c r="I96" s="485"/>
    </row>
    <row r="97" spans="1:9" ht="15.95" customHeight="1">
      <c r="A97" s="966"/>
      <c r="B97" s="341"/>
      <c r="C97" s="331"/>
      <c r="D97" s="305"/>
      <c r="E97" s="481" t="s">
        <v>262</v>
      </c>
      <c r="F97" s="321"/>
      <c r="G97" s="319"/>
      <c r="H97" s="320">
        <f t="shared" si="2"/>
        <v>0</v>
      </c>
      <c r="I97" s="485"/>
    </row>
    <row r="98" spans="1:9" ht="15.95" customHeight="1">
      <c r="A98" s="966"/>
      <c r="B98" s="341"/>
      <c r="C98" s="331"/>
      <c r="D98" s="305"/>
      <c r="E98" s="481" t="s">
        <v>262</v>
      </c>
      <c r="F98" s="321"/>
      <c r="G98" s="319"/>
      <c r="H98" s="320">
        <f t="shared" si="2"/>
        <v>0</v>
      </c>
      <c r="I98" s="485"/>
    </row>
    <row r="99" spans="1:9" ht="15.95" customHeight="1">
      <c r="A99" s="966"/>
      <c r="B99" s="341"/>
      <c r="C99" s="331"/>
      <c r="D99" s="305"/>
      <c r="E99" s="481" t="s">
        <v>262</v>
      </c>
      <c r="F99" s="321"/>
      <c r="G99" s="319"/>
      <c r="H99" s="320">
        <f t="shared" si="2"/>
        <v>0</v>
      </c>
      <c r="I99" s="317"/>
    </row>
    <row r="100" spans="1:9" ht="15.95" customHeight="1">
      <c r="A100" s="966"/>
      <c r="B100" s="341"/>
      <c r="C100" s="331"/>
      <c r="D100" s="305"/>
      <c r="E100" s="481" t="s">
        <v>262</v>
      </c>
      <c r="F100" s="321"/>
      <c r="G100" s="319"/>
      <c r="H100" s="320">
        <f t="shared" si="2"/>
        <v>0</v>
      </c>
      <c r="I100" s="485"/>
    </row>
    <row r="101" spans="1:9" ht="15.95" customHeight="1">
      <c r="A101" s="966"/>
      <c r="B101" s="341"/>
      <c r="C101" s="331"/>
      <c r="D101" s="305"/>
      <c r="E101" s="481" t="s">
        <v>262</v>
      </c>
      <c r="F101" s="321"/>
      <c r="G101" s="319"/>
      <c r="H101" s="320">
        <f t="shared" si="2"/>
        <v>0</v>
      </c>
      <c r="I101" s="485"/>
    </row>
    <row r="102" spans="1:9" ht="15.95" customHeight="1">
      <c r="A102" s="966"/>
      <c r="B102" s="341"/>
      <c r="C102" s="331"/>
      <c r="D102" s="305"/>
      <c r="E102" s="426"/>
      <c r="F102" s="473"/>
      <c r="G102" s="319"/>
      <c r="H102" s="320"/>
      <c r="I102" s="387"/>
    </row>
    <row r="103" spans="1:9" ht="15.95" customHeight="1">
      <c r="A103" s="966"/>
      <c r="B103" s="341"/>
      <c r="C103" s="332" t="s">
        <v>266</v>
      </c>
      <c r="D103" s="333"/>
      <c r="E103" s="334" t="s">
        <v>239</v>
      </c>
      <c r="F103" s="335">
        <v>1</v>
      </c>
      <c r="G103" s="336"/>
      <c r="H103" s="339">
        <v>300000</v>
      </c>
      <c r="I103" s="388"/>
    </row>
    <row r="104" spans="1:9" ht="15.95" customHeight="1">
      <c r="A104" s="966"/>
      <c r="B104" s="342"/>
      <c r="C104" s="389"/>
      <c r="D104" s="390"/>
      <c r="E104" s="430"/>
      <c r="F104" s="491"/>
      <c r="G104" s="346"/>
      <c r="H104" s="347">
        <f>SUM(H15:H103)</f>
        <v>1170400</v>
      </c>
      <c r="I104" s="392"/>
    </row>
    <row r="105" spans="1:9" ht="15.95" customHeight="1">
      <c r="A105" s="966"/>
      <c r="B105" s="349" t="s">
        <v>267</v>
      </c>
      <c r="C105" s="492"/>
      <c r="D105" s="325"/>
      <c r="E105" s="311"/>
      <c r="F105" s="493"/>
      <c r="G105" s="415"/>
      <c r="H105" s="337">
        <f t="shared" ref="H105:H110" si="3">G105*F105</f>
        <v>0</v>
      </c>
      <c r="I105" s="418"/>
    </row>
    <row r="106" spans="1:9" ht="15.95" customHeight="1">
      <c r="A106" s="966"/>
      <c r="B106" s="787" t="s">
        <v>554</v>
      </c>
      <c r="C106" s="775" t="s">
        <v>568</v>
      </c>
      <c r="D106" s="775" t="s">
        <v>569</v>
      </c>
      <c r="E106" s="778" t="s">
        <v>557</v>
      </c>
      <c r="F106" s="790">
        <v>1</v>
      </c>
      <c r="G106" s="791">
        <v>3500000</v>
      </c>
      <c r="H106" s="320">
        <f t="shared" si="3"/>
        <v>3500000</v>
      </c>
      <c r="I106" s="485" t="s">
        <v>613</v>
      </c>
    </row>
    <row r="107" spans="1:9" ht="15.95" customHeight="1">
      <c r="A107" s="966"/>
      <c r="B107" s="436"/>
      <c r="C107" s="775" t="s">
        <v>570</v>
      </c>
      <c r="D107" s="775" t="s">
        <v>571</v>
      </c>
      <c r="E107" s="778" t="s">
        <v>557</v>
      </c>
      <c r="F107" s="778">
        <v>1</v>
      </c>
      <c r="G107" s="791">
        <v>70000</v>
      </c>
      <c r="H107" s="320">
        <f t="shared" si="3"/>
        <v>70000</v>
      </c>
      <c r="I107" s="485" t="s">
        <v>263</v>
      </c>
    </row>
    <row r="108" spans="1:9" ht="15.95" customHeight="1">
      <c r="A108" s="966"/>
      <c r="B108" s="436"/>
      <c r="C108" s="775" t="s">
        <v>570</v>
      </c>
      <c r="D108" s="775" t="s">
        <v>572</v>
      </c>
      <c r="E108" s="778" t="s">
        <v>557</v>
      </c>
      <c r="F108" s="778">
        <v>1</v>
      </c>
      <c r="G108" s="791">
        <v>70000</v>
      </c>
      <c r="H108" s="320">
        <f t="shared" si="3"/>
        <v>70000</v>
      </c>
      <c r="I108" s="485" t="s">
        <v>263</v>
      </c>
    </row>
    <row r="109" spans="1:9" ht="15.95" customHeight="1">
      <c r="A109" s="966"/>
      <c r="B109" s="436"/>
      <c r="C109" s="775" t="s">
        <v>573</v>
      </c>
      <c r="D109" s="775" t="s">
        <v>574</v>
      </c>
      <c r="E109" s="778" t="s">
        <v>557</v>
      </c>
      <c r="F109" s="778">
        <v>1</v>
      </c>
      <c r="G109" s="791">
        <v>385000</v>
      </c>
      <c r="H109" s="320">
        <f t="shared" si="3"/>
        <v>385000</v>
      </c>
      <c r="I109" s="485" t="s">
        <v>263</v>
      </c>
    </row>
    <row r="110" spans="1:9" ht="15.95" customHeight="1">
      <c r="A110" s="966"/>
      <c r="B110" s="436"/>
      <c r="C110" s="775" t="s">
        <v>576</v>
      </c>
      <c r="D110" s="775" t="s">
        <v>577</v>
      </c>
      <c r="E110" s="778" t="s">
        <v>557</v>
      </c>
      <c r="F110" s="778">
        <v>4</v>
      </c>
      <c r="G110" s="791">
        <v>90000</v>
      </c>
      <c r="H110" s="320">
        <f t="shared" si="3"/>
        <v>360000</v>
      </c>
      <c r="I110" s="485" t="s">
        <v>263</v>
      </c>
    </row>
    <row r="111" spans="1:9" ht="15.95" customHeight="1">
      <c r="A111" s="966"/>
      <c r="B111" s="436"/>
      <c r="C111" s="775"/>
      <c r="D111" s="775"/>
      <c r="E111" s="778"/>
      <c r="F111" s="790"/>
      <c r="G111" s="791"/>
      <c r="H111" s="320">
        <f>IF(F111=0,G111,G111*F111)</f>
        <v>0</v>
      </c>
      <c r="I111" s="485"/>
    </row>
    <row r="112" spans="1:9" ht="15.95" customHeight="1">
      <c r="A112" s="966"/>
      <c r="B112" s="794" t="s">
        <v>566</v>
      </c>
      <c r="C112" s="775" t="s">
        <v>578</v>
      </c>
      <c r="D112" s="775" t="s">
        <v>579</v>
      </c>
      <c r="E112" s="778" t="s">
        <v>557</v>
      </c>
      <c r="F112" s="778">
        <v>1</v>
      </c>
      <c r="G112" s="791">
        <v>1500000</v>
      </c>
      <c r="H112" s="320">
        <f>IF(F112=0,G112,G112*F112)</f>
        <v>1500000</v>
      </c>
      <c r="I112" s="485" t="s">
        <v>614</v>
      </c>
    </row>
    <row r="113" spans="1:9" ht="15.95" customHeight="1">
      <c r="A113" s="966"/>
      <c r="B113" s="436"/>
      <c r="C113" s="775" t="s">
        <v>580</v>
      </c>
      <c r="D113" s="775" t="s">
        <v>581</v>
      </c>
      <c r="E113" s="778" t="s">
        <v>557</v>
      </c>
      <c r="F113" s="778">
        <v>1</v>
      </c>
      <c r="G113" s="791">
        <v>1500000</v>
      </c>
      <c r="H113" s="320">
        <f>IF(F113=0,G113,G113*F113)</f>
        <v>1500000</v>
      </c>
      <c r="I113" s="485" t="s">
        <v>263</v>
      </c>
    </row>
    <row r="114" spans="1:9" ht="15.95" customHeight="1">
      <c r="A114" s="966"/>
      <c r="B114" s="436"/>
      <c r="C114" s="775" t="s">
        <v>582</v>
      </c>
      <c r="D114" s="775" t="s">
        <v>583</v>
      </c>
      <c r="E114" s="778" t="s">
        <v>557</v>
      </c>
      <c r="F114" s="778">
        <v>1</v>
      </c>
      <c r="G114" s="791">
        <v>3000000</v>
      </c>
      <c r="H114" s="320">
        <f>IF(F114=0,G114,G114*F114)</f>
        <v>3000000</v>
      </c>
      <c r="I114" s="485" t="s">
        <v>263</v>
      </c>
    </row>
    <row r="115" spans="1:9" ht="15.95" customHeight="1">
      <c r="A115" s="966"/>
      <c r="B115" s="436"/>
      <c r="C115" s="775" t="s">
        <v>584</v>
      </c>
      <c r="D115" s="775" t="s">
        <v>585</v>
      </c>
      <c r="E115" s="778" t="s">
        <v>557</v>
      </c>
      <c r="F115" s="778">
        <v>1</v>
      </c>
      <c r="G115" s="791">
        <v>320000</v>
      </c>
      <c r="H115" s="320">
        <f>IF(F115=0,G115,G115*F115)</f>
        <v>320000</v>
      </c>
      <c r="I115" s="485" t="s">
        <v>263</v>
      </c>
    </row>
    <row r="116" spans="1:9" ht="15.95" customHeight="1">
      <c r="A116" s="966"/>
      <c r="B116" s="436"/>
      <c r="C116" s="775" t="s">
        <v>586</v>
      </c>
      <c r="D116" s="775" t="s">
        <v>587</v>
      </c>
      <c r="E116" s="778" t="s">
        <v>557</v>
      </c>
      <c r="F116" s="778">
        <v>1</v>
      </c>
      <c r="G116" s="791">
        <v>240000</v>
      </c>
      <c r="H116" s="320">
        <f t="shared" ref="H116:H122" si="4">IF(F116=0,G116,G116*F116)</f>
        <v>240000</v>
      </c>
      <c r="I116" s="485" t="s">
        <v>263</v>
      </c>
    </row>
    <row r="117" spans="1:9" ht="15.95" customHeight="1">
      <c r="A117" s="966"/>
      <c r="B117" s="436"/>
      <c r="C117" s="775" t="s">
        <v>588</v>
      </c>
      <c r="D117" s="775" t="s">
        <v>589</v>
      </c>
      <c r="E117" s="778" t="s">
        <v>557</v>
      </c>
      <c r="F117" s="778">
        <v>4</v>
      </c>
      <c r="G117" s="791">
        <v>48000</v>
      </c>
      <c r="H117" s="320">
        <f t="shared" si="4"/>
        <v>192000</v>
      </c>
      <c r="I117" s="485" t="s">
        <v>263</v>
      </c>
    </row>
    <row r="118" spans="1:9" ht="15.95" customHeight="1">
      <c r="A118" s="966"/>
      <c r="B118" s="436"/>
      <c r="C118" s="775" t="s">
        <v>590</v>
      </c>
      <c r="D118" s="775" t="s">
        <v>591</v>
      </c>
      <c r="E118" s="778" t="s">
        <v>557</v>
      </c>
      <c r="F118" s="778">
        <v>4</v>
      </c>
      <c r="G118" s="791">
        <v>26000</v>
      </c>
      <c r="H118" s="320">
        <f t="shared" si="4"/>
        <v>104000</v>
      </c>
      <c r="I118" s="485" t="s">
        <v>263</v>
      </c>
    </row>
    <row r="119" spans="1:9" ht="15.95" customHeight="1">
      <c r="A119" s="966"/>
      <c r="B119" s="436"/>
      <c r="C119" s="775" t="s">
        <v>592</v>
      </c>
      <c r="D119" s="775" t="s">
        <v>593</v>
      </c>
      <c r="E119" s="778" t="s">
        <v>557</v>
      </c>
      <c r="F119" s="778">
        <v>1</v>
      </c>
      <c r="G119" s="791">
        <v>4000000</v>
      </c>
      <c r="H119" s="320">
        <f t="shared" si="4"/>
        <v>4000000</v>
      </c>
      <c r="I119" s="485" t="s">
        <v>263</v>
      </c>
    </row>
    <row r="120" spans="1:9" ht="15.95" customHeight="1">
      <c r="A120" s="966"/>
      <c r="B120" s="436"/>
      <c r="C120" s="775" t="s">
        <v>594</v>
      </c>
      <c r="D120" s="775" t="s">
        <v>595</v>
      </c>
      <c r="E120" s="778" t="s">
        <v>557</v>
      </c>
      <c r="F120" s="778">
        <v>1</v>
      </c>
      <c r="G120" s="791">
        <v>4100000</v>
      </c>
      <c r="H120" s="320">
        <f t="shared" si="4"/>
        <v>4100000</v>
      </c>
      <c r="I120" s="485" t="s">
        <v>263</v>
      </c>
    </row>
    <row r="121" spans="1:9" ht="15.95" customHeight="1">
      <c r="A121" s="966"/>
      <c r="B121" s="341"/>
      <c r="C121" s="775" t="s">
        <v>596</v>
      </c>
      <c r="D121" s="775" t="s">
        <v>597</v>
      </c>
      <c r="E121" s="778" t="s">
        <v>557</v>
      </c>
      <c r="F121" s="778">
        <v>1</v>
      </c>
      <c r="G121" s="791">
        <v>110000</v>
      </c>
      <c r="H121" s="320">
        <f t="shared" si="4"/>
        <v>110000</v>
      </c>
      <c r="I121" s="485" t="s">
        <v>263</v>
      </c>
    </row>
    <row r="122" spans="1:9" ht="15.95" customHeight="1">
      <c r="A122" s="966"/>
      <c r="B122" s="341"/>
      <c r="C122" s="775" t="s">
        <v>598</v>
      </c>
      <c r="D122" s="775" t="s">
        <v>599</v>
      </c>
      <c r="E122" s="778" t="s">
        <v>557</v>
      </c>
      <c r="F122" s="778">
        <v>1</v>
      </c>
      <c r="G122" s="791">
        <v>110000</v>
      </c>
      <c r="H122" s="320">
        <f t="shared" si="4"/>
        <v>110000</v>
      </c>
      <c r="I122" s="485" t="s">
        <v>263</v>
      </c>
    </row>
    <row r="123" spans="1:9" ht="15.95" customHeight="1">
      <c r="A123" s="966"/>
      <c r="B123" s="341"/>
      <c r="C123" s="775" t="s">
        <v>600</v>
      </c>
      <c r="D123" s="775" t="s">
        <v>601</v>
      </c>
      <c r="E123" s="778" t="s">
        <v>557</v>
      </c>
      <c r="F123" s="778">
        <v>2</v>
      </c>
      <c r="G123" s="791">
        <v>142000</v>
      </c>
      <c r="H123" s="320">
        <f>IF(F123=0,G123,G123*F123)</f>
        <v>284000</v>
      </c>
      <c r="I123" s="485" t="s">
        <v>263</v>
      </c>
    </row>
    <row r="124" spans="1:9" ht="15.95" customHeight="1">
      <c r="A124" s="966"/>
      <c r="B124" s="341"/>
      <c r="C124" s="775" t="s">
        <v>570</v>
      </c>
      <c r="D124" s="775" t="s">
        <v>602</v>
      </c>
      <c r="E124" s="778" t="s">
        <v>557</v>
      </c>
      <c r="F124" s="778">
        <v>1</v>
      </c>
      <c r="G124" s="791">
        <v>60000</v>
      </c>
      <c r="H124" s="320">
        <f>IF(F124=0,G124,G124*F124)</f>
        <v>60000</v>
      </c>
      <c r="I124" s="485" t="s">
        <v>263</v>
      </c>
    </row>
    <row r="125" spans="1:9" ht="15.95" customHeight="1">
      <c r="A125" s="966"/>
      <c r="B125" s="341"/>
      <c r="C125" s="775" t="s">
        <v>603</v>
      </c>
      <c r="D125" s="775" t="s">
        <v>604</v>
      </c>
      <c r="E125" s="778" t="s">
        <v>557</v>
      </c>
      <c r="F125" s="778">
        <v>1</v>
      </c>
      <c r="G125" s="791">
        <v>224000</v>
      </c>
      <c r="H125" s="320">
        <f>IF(F125=0,G125,G125*F125)</f>
        <v>224000</v>
      </c>
      <c r="I125" s="485" t="s">
        <v>263</v>
      </c>
    </row>
    <row r="126" spans="1:9" ht="15.95" customHeight="1">
      <c r="A126" s="966"/>
      <c r="B126" s="341"/>
      <c r="C126" s="775" t="s">
        <v>605</v>
      </c>
      <c r="D126" s="775" t="s">
        <v>606</v>
      </c>
      <c r="E126" s="778" t="s">
        <v>557</v>
      </c>
      <c r="F126" s="778">
        <v>1</v>
      </c>
      <c r="G126" s="791">
        <v>90000</v>
      </c>
      <c r="H126" s="320">
        <f t="shared" ref="H126:H132" si="5">IF(F126=0,G126,G126*F126)</f>
        <v>90000</v>
      </c>
      <c r="I126" s="485" t="s">
        <v>263</v>
      </c>
    </row>
    <row r="127" spans="1:9" ht="15.95" customHeight="1">
      <c r="A127" s="966"/>
      <c r="B127" s="341"/>
      <c r="C127" s="775" t="s">
        <v>570</v>
      </c>
      <c r="D127" s="775" t="s">
        <v>607</v>
      </c>
      <c r="E127" s="778" t="s">
        <v>557</v>
      </c>
      <c r="F127" s="778">
        <v>9</v>
      </c>
      <c r="G127" s="791">
        <v>30000</v>
      </c>
      <c r="H127" s="320">
        <f t="shared" si="5"/>
        <v>270000</v>
      </c>
      <c r="I127" s="485" t="s">
        <v>263</v>
      </c>
    </row>
    <row r="128" spans="1:9" ht="15.95" customHeight="1">
      <c r="A128" s="966"/>
      <c r="B128" s="341"/>
      <c r="C128" s="775" t="s">
        <v>609</v>
      </c>
      <c r="D128" s="775" t="s">
        <v>610</v>
      </c>
      <c r="E128" s="778" t="s">
        <v>557</v>
      </c>
      <c r="F128" s="778">
        <v>2</v>
      </c>
      <c r="G128" s="791">
        <v>80000</v>
      </c>
      <c r="H128" s="320">
        <f t="shared" si="5"/>
        <v>160000</v>
      </c>
      <c r="I128" s="485" t="s">
        <v>263</v>
      </c>
    </row>
    <row r="129" spans="1:9" ht="15.95" customHeight="1">
      <c r="A129" s="966"/>
      <c r="B129" s="341"/>
      <c r="C129" s="775" t="s">
        <v>611</v>
      </c>
      <c r="D129" s="775" t="s">
        <v>612</v>
      </c>
      <c r="E129" s="778" t="s">
        <v>557</v>
      </c>
      <c r="F129" s="778">
        <v>3</v>
      </c>
      <c r="G129" s="791">
        <v>89000</v>
      </c>
      <c r="H129" s="320">
        <f t="shared" si="5"/>
        <v>267000</v>
      </c>
      <c r="I129" s="485" t="s">
        <v>263</v>
      </c>
    </row>
    <row r="130" spans="1:9" ht="15.95" customHeight="1">
      <c r="A130" s="966"/>
      <c r="B130" s="341"/>
      <c r="C130" s="445"/>
      <c r="D130" s="329"/>
      <c r="E130" s="315" t="s">
        <v>262</v>
      </c>
      <c r="F130" s="444"/>
      <c r="G130" s="319"/>
      <c r="H130" s="320">
        <f t="shared" si="5"/>
        <v>0</v>
      </c>
      <c r="I130" s="485"/>
    </row>
    <row r="131" spans="1:9" ht="15.95" customHeight="1">
      <c r="A131" s="966"/>
      <c r="B131" s="341"/>
      <c r="C131" s="445"/>
      <c r="D131" s="329"/>
      <c r="E131" s="315" t="s">
        <v>262</v>
      </c>
      <c r="F131" s="444"/>
      <c r="G131" s="319"/>
      <c r="H131" s="320">
        <f t="shared" si="5"/>
        <v>0</v>
      </c>
      <c r="I131" s="485"/>
    </row>
    <row r="132" spans="1:9" ht="15.95" customHeight="1">
      <c r="A132" s="966"/>
      <c r="B132" s="341"/>
      <c r="C132" s="446"/>
      <c r="D132" s="329"/>
      <c r="E132" s="315" t="s">
        <v>262</v>
      </c>
      <c r="F132" s="444"/>
      <c r="G132" s="319"/>
      <c r="H132" s="320">
        <f t="shared" si="5"/>
        <v>0</v>
      </c>
      <c r="I132" s="485"/>
    </row>
    <row r="133" spans="1:9" ht="15.95" customHeight="1">
      <c r="A133" s="966"/>
      <c r="B133" s="341"/>
      <c r="C133" s="447"/>
      <c r="D133" s="329"/>
      <c r="E133" s="315" t="s">
        <v>262</v>
      </c>
      <c r="F133" s="444"/>
      <c r="G133" s="330"/>
      <c r="H133" s="320">
        <f>IF(F133=0,G133,G133*F133)</f>
        <v>0</v>
      </c>
      <c r="I133" s="485"/>
    </row>
    <row r="134" spans="1:9" ht="15.95" customHeight="1">
      <c r="A134" s="966"/>
      <c r="B134" s="341"/>
      <c r="C134" s="433"/>
      <c r="D134" s="329"/>
      <c r="E134" s="315" t="s">
        <v>262</v>
      </c>
      <c r="F134" s="444"/>
      <c r="G134" s="319"/>
      <c r="H134" s="320">
        <f t="shared" ref="H134:H145" si="6">IF(F134=0,G134,G134*F134)</f>
        <v>0</v>
      </c>
      <c r="I134" s="485"/>
    </row>
    <row r="135" spans="1:9" ht="15.95" customHeight="1">
      <c r="A135" s="966"/>
      <c r="B135" s="341"/>
      <c r="C135" s="433"/>
      <c r="D135" s="329"/>
      <c r="E135" s="315" t="s">
        <v>262</v>
      </c>
      <c r="F135" s="444"/>
      <c r="G135" s="330"/>
      <c r="H135" s="320">
        <f t="shared" si="6"/>
        <v>0</v>
      </c>
      <c r="I135" s="485"/>
    </row>
    <row r="136" spans="1:9" ht="15.95" customHeight="1">
      <c r="A136" s="966"/>
      <c r="B136" s="341"/>
      <c r="C136" s="433"/>
      <c r="D136" s="329"/>
      <c r="E136" s="315" t="s">
        <v>262</v>
      </c>
      <c r="F136" s="444"/>
      <c r="G136" s="319"/>
      <c r="H136" s="320">
        <f t="shared" si="6"/>
        <v>0</v>
      </c>
      <c r="I136" s="485"/>
    </row>
    <row r="137" spans="1:9" ht="15.95" customHeight="1">
      <c r="A137" s="966"/>
      <c r="B137" s="341"/>
      <c r="C137" s="433"/>
      <c r="D137" s="329"/>
      <c r="E137" s="315" t="s">
        <v>262</v>
      </c>
      <c r="F137" s="444"/>
      <c r="G137" s="319"/>
      <c r="H137" s="320">
        <f t="shared" si="6"/>
        <v>0</v>
      </c>
      <c r="I137" s="485"/>
    </row>
    <row r="138" spans="1:9" ht="15.95" customHeight="1">
      <c r="A138" s="966"/>
      <c r="B138" s="341"/>
      <c r="C138" s="433"/>
      <c r="D138" s="329"/>
      <c r="E138" s="315" t="s">
        <v>262</v>
      </c>
      <c r="F138" s="444"/>
      <c r="G138" s="319"/>
      <c r="H138" s="320">
        <f t="shared" si="6"/>
        <v>0</v>
      </c>
      <c r="I138" s="485"/>
    </row>
    <row r="139" spans="1:9" ht="15.95" customHeight="1">
      <c r="A139" s="966"/>
      <c r="B139" s="341"/>
      <c r="C139" s="446"/>
      <c r="D139" s="329"/>
      <c r="E139" s="315" t="s">
        <v>262</v>
      </c>
      <c r="F139" s="444"/>
      <c r="G139" s="330"/>
      <c r="H139" s="320">
        <f t="shared" si="6"/>
        <v>0</v>
      </c>
      <c r="I139" s="485"/>
    </row>
    <row r="140" spans="1:9" ht="15.95" customHeight="1">
      <c r="A140" s="966"/>
      <c r="B140" s="341"/>
      <c r="C140" s="446"/>
      <c r="D140" s="329"/>
      <c r="E140" s="315" t="s">
        <v>262</v>
      </c>
      <c r="F140" s="444"/>
      <c r="G140" s="330"/>
      <c r="H140" s="320">
        <f t="shared" si="6"/>
        <v>0</v>
      </c>
      <c r="I140" s="485"/>
    </row>
    <row r="141" spans="1:9" ht="15.95" customHeight="1">
      <c r="A141" s="966"/>
      <c r="B141" s="341"/>
      <c r="C141" s="446"/>
      <c r="D141" s="329"/>
      <c r="E141" s="315" t="s">
        <v>262</v>
      </c>
      <c r="F141" s="444"/>
      <c r="G141" s="330"/>
      <c r="H141" s="320">
        <f t="shared" si="6"/>
        <v>0</v>
      </c>
      <c r="I141" s="485"/>
    </row>
    <row r="142" spans="1:9" ht="15.95" customHeight="1">
      <c r="A142" s="966"/>
      <c r="B142" s="341"/>
      <c r="C142" s="433"/>
      <c r="D142" s="329"/>
      <c r="E142" s="315" t="s">
        <v>262</v>
      </c>
      <c r="F142" s="444"/>
      <c r="G142" s="330"/>
      <c r="H142" s="320">
        <f t="shared" si="6"/>
        <v>0</v>
      </c>
      <c r="I142" s="485"/>
    </row>
    <row r="143" spans="1:9" ht="15.95" customHeight="1">
      <c r="A143" s="966"/>
      <c r="B143" s="341"/>
      <c r="C143" s="433"/>
      <c r="D143" s="329"/>
      <c r="E143" s="315" t="s">
        <v>262</v>
      </c>
      <c r="F143" s="444"/>
      <c r="G143" s="319"/>
      <c r="H143" s="320">
        <f t="shared" si="6"/>
        <v>0</v>
      </c>
      <c r="I143" s="485"/>
    </row>
    <row r="144" spans="1:9" ht="15.95" customHeight="1">
      <c r="A144" s="966"/>
      <c r="B144" s="341"/>
      <c r="C144" s="445"/>
      <c r="D144" s="433"/>
      <c r="E144" s="315" t="s">
        <v>262</v>
      </c>
      <c r="F144" s="444"/>
      <c r="G144" s="319"/>
      <c r="H144" s="320">
        <f t="shared" si="6"/>
        <v>0</v>
      </c>
      <c r="I144" s="485"/>
    </row>
    <row r="145" spans="1:9" ht="15.95" customHeight="1">
      <c r="A145" s="966"/>
      <c r="B145" s="341"/>
      <c r="C145" s="445"/>
      <c r="D145" s="433"/>
      <c r="E145" s="315" t="s">
        <v>262</v>
      </c>
      <c r="F145" s="444"/>
      <c r="G145" s="319"/>
      <c r="H145" s="320">
        <f t="shared" si="6"/>
        <v>0</v>
      </c>
      <c r="I145" s="485"/>
    </row>
    <row r="146" spans="1:9" ht="15.95" customHeight="1">
      <c r="A146" s="966"/>
      <c r="B146" s="341"/>
      <c r="C146" s="445"/>
      <c r="D146" s="433"/>
      <c r="E146" s="315" t="s">
        <v>262</v>
      </c>
      <c r="F146" s="444"/>
      <c r="G146" s="330"/>
      <c r="H146" s="320">
        <f>IF(F146=0,G146,G146*F146)</f>
        <v>0</v>
      </c>
      <c r="I146" s="485"/>
    </row>
    <row r="147" spans="1:9" ht="15.95" customHeight="1">
      <c r="A147" s="966"/>
      <c r="B147" s="341"/>
      <c r="C147" s="445"/>
      <c r="D147" s="433"/>
      <c r="E147" s="315" t="s">
        <v>262</v>
      </c>
      <c r="F147" s="444"/>
      <c r="G147" s="330"/>
      <c r="H147" s="320">
        <f>IF(F147=0,G147,G147*F147)</f>
        <v>0</v>
      </c>
      <c r="I147" s="485"/>
    </row>
    <row r="148" spans="1:9" ht="15.95" customHeight="1">
      <c r="A148" s="966"/>
      <c r="B148" s="341"/>
      <c r="C148" s="445"/>
      <c r="D148" s="433"/>
      <c r="E148" s="315" t="s">
        <v>262</v>
      </c>
      <c r="F148" s="444"/>
      <c r="G148" s="319"/>
      <c r="H148" s="320">
        <f t="shared" ref="H148:H171" si="7">IF(F148=0,G148,G148*F148)</f>
        <v>0</v>
      </c>
      <c r="I148" s="485"/>
    </row>
    <row r="149" spans="1:9" ht="15.95" customHeight="1">
      <c r="A149" s="966"/>
      <c r="B149" s="341"/>
      <c r="C149" s="445"/>
      <c r="D149" s="433"/>
      <c r="E149" s="315" t="s">
        <v>262</v>
      </c>
      <c r="F149" s="444"/>
      <c r="G149" s="319"/>
      <c r="H149" s="320">
        <f t="shared" si="7"/>
        <v>0</v>
      </c>
      <c r="I149" s="485"/>
    </row>
    <row r="150" spans="1:9" ht="15.95" customHeight="1">
      <c r="A150" s="966"/>
      <c r="B150" s="341"/>
      <c r="C150" s="445"/>
      <c r="D150" s="433"/>
      <c r="E150" s="315" t="s">
        <v>262</v>
      </c>
      <c r="F150" s="444"/>
      <c r="G150" s="319"/>
      <c r="H150" s="320">
        <f t="shared" si="7"/>
        <v>0</v>
      </c>
      <c r="I150" s="485"/>
    </row>
    <row r="151" spans="1:9" ht="15.95" customHeight="1">
      <c r="A151" s="966"/>
      <c r="B151" s="341"/>
      <c r="C151" s="446"/>
      <c r="D151" s="433"/>
      <c r="E151" s="315" t="s">
        <v>262</v>
      </c>
      <c r="F151" s="444"/>
      <c r="G151" s="319"/>
      <c r="H151" s="320">
        <f t="shared" si="7"/>
        <v>0</v>
      </c>
      <c r="I151" s="485"/>
    </row>
    <row r="152" spans="1:9" ht="15.95" customHeight="1">
      <c r="A152" s="966"/>
      <c r="B152" s="341"/>
      <c r="C152" s="445"/>
      <c r="D152" s="433"/>
      <c r="E152" s="315" t="s">
        <v>262</v>
      </c>
      <c r="F152" s="444"/>
      <c r="G152" s="330"/>
      <c r="H152" s="320">
        <f t="shared" si="7"/>
        <v>0</v>
      </c>
      <c r="I152" s="485"/>
    </row>
    <row r="153" spans="1:9" ht="15.95" customHeight="1">
      <c r="A153" s="966"/>
      <c r="B153" s="341"/>
      <c r="C153" s="445"/>
      <c r="D153" s="433"/>
      <c r="E153" s="315" t="s">
        <v>262</v>
      </c>
      <c r="F153" s="444"/>
      <c r="G153" s="330"/>
      <c r="H153" s="320">
        <f t="shared" si="7"/>
        <v>0</v>
      </c>
      <c r="I153" s="485"/>
    </row>
    <row r="154" spans="1:9" ht="15.95" customHeight="1">
      <c r="A154" s="966"/>
      <c r="B154" s="341"/>
      <c r="C154" s="433"/>
      <c r="D154" s="329"/>
      <c r="E154" s="315" t="s">
        <v>262</v>
      </c>
      <c r="F154" s="444"/>
      <c r="G154" s="330"/>
      <c r="H154" s="320">
        <f t="shared" si="7"/>
        <v>0</v>
      </c>
      <c r="I154" s="485"/>
    </row>
    <row r="155" spans="1:9" ht="15.95" customHeight="1">
      <c r="A155" s="966"/>
      <c r="B155" s="341"/>
      <c r="C155" s="445"/>
      <c r="D155" s="433"/>
      <c r="E155" s="315" t="s">
        <v>262</v>
      </c>
      <c r="F155" s="444"/>
      <c r="G155" s="330"/>
      <c r="H155" s="320">
        <f t="shared" si="7"/>
        <v>0</v>
      </c>
      <c r="I155" s="485"/>
    </row>
    <row r="156" spans="1:9" ht="15.95" customHeight="1">
      <c r="A156" s="966"/>
      <c r="B156" s="341"/>
      <c r="C156" s="446"/>
      <c r="D156" s="433"/>
      <c r="E156" s="315" t="s">
        <v>262</v>
      </c>
      <c r="F156" s="444"/>
      <c r="G156" s="330"/>
      <c r="H156" s="320">
        <f t="shared" si="7"/>
        <v>0</v>
      </c>
      <c r="I156" s="485"/>
    </row>
    <row r="157" spans="1:9" ht="15.95" customHeight="1">
      <c r="A157" s="966"/>
      <c r="B157" s="341"/>
      <c r="C157" s="446"/>
      <c r="D157" s="433"/>
      <c r="E157" s="315" t="s">
        <v>262</v>
      </c>
      <c r="F157" s="444"/>
      <c r="G157" s="330"/>
      <c r="H157" s="320">
        <f t="shared" si="7"/>
        <v>0</v>
      </c>
      <c r="I157" s="485"/>
    </row>
    <row r="158" spans="1:9" ht="15.95" customHeight="1">
      <c r="A158" s="966"/>
      <c r="B158" s="341"/>
      <c r="C158" s="446"/>
      <c r="D158" s="433"/>
      <c r="E158" s="315" t="s">
        <v>262</v>
      </c>
      <c r="F158" s="444"/>
      <c r="G158" s="319"/>
      <c r="H158" s="320">
        <f t="shared" si="7"/>
        <v>0</v>
      </c>
      <c r="I158" s="485"/>
    </row>
    <row r="159" spans="1:9" ht="15.95" customHeight="1">
      <c r="A159" s="966"/>
      <c r="B159" s="341"/>
      <c r="C159" s="433"/>
      <c r="D159" s="433"/>
      <c r="E159" s="315" t="s">
        <v>262</v>
      </c>
      <c r="F159" s="444"/>
      <c r="G159" s="319"/>
      <c r="H159" s="320">
        <f t="shared" si="7"/>
        <v>0</v>
      </c>
      <c r="I159" s="485"/>
    </row>
    <row r="160" spans="1:9" ht="15.95" customHeight="1">
      <c r="A160" s="966"/>
      <c r="B160" s="341"/>
      <c r="C160" s="433"/>
      <c r="D160" s="433"/>
      <c r="E160" s="315" t="s">
        <v>262</v>
      </c>
      <c r="F160" s="444"/>
      <c r="G160" s="319"/>
      <c r="H160" s="320">
        <f t="shared" si="7"/>
        <v>0</v>
      </c>
      <c r="I160" s="485"/>
    </row>
    <row r="161" spans="1:9" ht="15.95" customHeight="1">
      <c r="A161" s="966"/>
      <c r="B161" s="341"/>
      <c r="C161" s="433"/>
      <c r="D161" s="433"/>
      <c r="E161" s="315" t="s">
        <v>262</v>
      </c>
      <c r="F161" s="444"/>
      <c r="G161" s="319"/>
      <c r="H161" s="320">
        <f t="shared" si="7"/>
        <v>0</v>
      </c>
      <c r="I161" s="485"/>
    </row>
    <row r="162" spans="1:9" ht="15.95" customHeight="1">
      <c r="A162" s="966"/>
      <c r="B162" s="341"/>
      <c r="C162" s="433"/>
      <c r="D162" s="433"/>
      <c r="E162" s="315" t="s">
        <v>262</v>
      </c>
      <c r="F162" s="444"/>
      <c r="G162" s="319"/>
      <c r="H162" s="320">
        <f t="shared" si="7"/>
        <v>0</v>
      </c>
      <c r="I162" s="485"/>
    </row>
    <row r="163" spans="1:9" ht="15.95" customHeight="1">
      <c r="A163" s="966"/>
      <c r="B163" s="341"/>
      <c r="C163" s="433"/>
      <c r="D163" s="433"/>
      <c r="E163" s="315" t="s">
        <v>262</v>
      </c>
      <c r="F163" s="444"/>
      <c r="G163" s="319"/>
      <c r="H163" s="320">
        <f t="shared" si="7"/>
        <v>0</v>
      </c>
      <c r="I163" s="485"/>
    </row>
    <row r="164" spans="1:9" ht="15.95" customHeight="1">
      <c r="A164" s="966"/>
      <c r="B164" s="341"/>
      <c r="C164" s="433"/>
      <c r="D164" s="433"/>
      <c r="E164" s="315" t="s">
        <v>262</v>
      </c>
      <c r="F164" s="444"/>
      <c r="G164" s="319"/>
      <c r="H164" s="320">
        <f t="shared" si="7"/>
        <v>0</v>
      </c>
      <c r="I164" s="485"/>
    </row>
    <row r="165" spans="1:9" ht="15.95" customHeight="1">
      <c r="A165" s="966"/>
      <c r="B165" s="341"/>
      <c r="C165" s="433"/>
      <c r="D165" s="433"/>
      <c r="E165" s="315" t="s">
        <v>262</v>
      </c>
      <c r="F165" s="444"/>
      <c r="G165" s="319"/>
      <c r="H165" s="320">
        <f t="shared" si="7"/>
        <v>0</v>
      </c>
      <c r="I165" s="485"/>
    </row>
    <row r="166" spans="1:9" ht="15.95" customHeight="1">
      <c r="A166" s="966"/>
      <c r="B166" s="341"/>
      <c r="C166" s="433"/>
      <c r="D166" s="433"/>
      <c r="E166" s="315" t="s">
        <v>262</v>
      </c>
      <c r="F166" s="444"/>
      <c r="G166" s="319"/>
      <c r="H166" s="320">
        <f t="shared" si="7"/>
        <v>0</v>
      </c>
      <c r="I166" s="485"/>
    </row>
    <row r="167" spans="1:9" ht="15.95" customHeight="1">
      <c r="A167" s="966"/>
      <c r="B167" s="341"/>
      <c r="C167" s="433"/>
      <c r="D167" s="433"/>
      <c r="E167" s="315" t="s">
        <v>262</v>
      </c>
      <c r="F167" s="444"/>
      <c r="G167" s="319"/>
      <c r="H167" s="320">
        <f t="shared" si="7"/>
        <v>0</v>
      </c>
      <c r="I167" s="485"/>
    </row>
    <row r="168" spans="1:9" ht="15.95" customHeight="1">
      <c r="A168" s="966"/>
      <c r="B168" s="341"/>
      <c r="C168" s="433"/>
      <c r="D168" s="433"/>
      <c r="E168" s="315" t="s">
        <v>262</v>
      </c>
      <c r="F168" s="444"/>
      <c r="G168" s="319"/>
      <c r="H168" s="320">
        <f t="shared" si="7"/>
        <v>0</v>
      </c>
      <c r="I168" s="485"/>
    </row>
    <row r="169" spans="1:9" ht="15.95" customHeight="1">
      <c r="A169" s="966"/>
      <c r="B169" s="341"/>
      <c r="C169" s="433"/>
      <c r="D169" s="433"/>
      <c r="E169" s="315" t="s">
        <v>262</v>
      </c>
      <c r="F169" s="444"/>
      <c r="G169" s="319"/>
      <c r="H169" s="320">
        <f t="shared" si="7"/>
        <v>0</v>
      </c>
      <c r="I169" s="485"/>
    </row>
    <row r="170" spans="1:9" ht="15.95" customHeight="1">
      <c r="A170" s="966"/>
      <c r="B170" s="341"/>
      <c r="C170" s="446"/>
      <c r="D170" s="433"/>
      <c r="E170" s="315" t="s">
        <v>262</v>
      </c>
      <c r="F170" s="444"/>
      <c r="G170" s="319"/>
      <c r="H170" s="320">
        <f t="shared" si="7"/>
        <v>0</v>
      </c>
      <c r="I170" s="485"/>
    </row>
    <row r="171" spans="1:9" ht="15.95" customHeight="1">
      <c r="A171" s="966"/>
      <c r="B171" s="341"/>
      <c r="C171" s="433"/>
      <c r="D171" s="433"/>
      <c r="E171" s="315" t="s">
        <v>262</v>
      </c>
      <c r="F171" s="444"/>
      <c r="G171" s="319"/>
      <c r="H171" s="320">
        <f t="shared" si="7"/>
        <v>0</v>
      </c>
      <c r="I171" s="485"/>
    </row>
    <row r="172" spans="1:9" ht="15.95" customHeight="1">
      <c r="A172" s="966"/>
      <c r="B172" s="341"/>
      <c r="C172" s="445"/>
      <c r="D172" s="433"/>
      <c r="E172" s="315" t="s">
        <v>262</v>
      </c>
      <c r="F172" s="444"/>
      <c r="G172" s="330"/>
      <c r="H172" s="320">
        <f>IF(F172=0,G172,G172*F172)</f>
        <v>0</v>
      </c>
      <c r="I172" s="485"/>
    </row>
    <row r="173" spans="1:9" ht="15.95" customHeight="1">
      <c r="A173" s="966"/>
      <c r="B173" s="341"/>
      <c r="C173" s="445"/>
      <c r="D173" s="494"/>
      <c r="E173" s="315" t="s">
        <v>262</v>
      </c>
      <c r="F173" s="434"/>
      <c r="G173" s="330"/>
      <c r="H173" s="320">
        <f>IF(F173=0,G173,G173*F173)</f>
        <v>0</v>
      </c>
      <c r="I173" s="485"/>
    </row>
    <row r="174" spans="1:9" ht="15.95" customHeight="1">
      <c r="A174" s="966"/>
      <c r="B174" s="341"/>
      <c r="C174" s="446"/>
      <c r="D174" s="494"/>
      <c r="E174" s="315" t="s">
        <v>262</v>
      </c>
      <c r="F174" s="434"/>
      <c r="G174" s="319"/>
      <c r="H174" s="320">
        <f t="shared" ref="H174:H185" si="8">IF(F174=0,G174,G174*F174)</f>
        <v>0</v>
      </c>
      <c r="I174" s="485"/>
    </row>
    <row r="175" spans="1:9" ht="15.95" customHeight="1">
      <c r="A175" s="966"/>
      <c r="B175" s="341"/>
      <c r="C175" s="447"/>
      <c r="D175" s="494"/>
      <c r="E175" s="315" t="s">
        <v>262</v>
      </c>
      <c r="F175" s="434"/>
      <c r="G175" s="319"/>
      <c r="H175" s="320">
        <f t="shared" si="8"/>
        <v>0</v>
      </c>
      <c r="I175" s="485"/>
    </row>
    <row r="176" spans="1:9" ht="15.95" customHeight="1">
      <c r="A176" s="966"/>
      <c r="B176" s="341"/>
      <c r="C176" s="447"/>
      <c r="D176" s="494"/>
      <c r="E176" s="315" t="s">
        <v>262</v>
      </c>
      <c r="F176" s="434"/>
      <c r="G176" s="330"/>
      <c r="H176" s="320">
        <f t="shared" si="8"/>
        <v>0</v>
      </c>
      <c r="I176" s="485"/>
    </row>
    <row r="177" spans="1:9" ht="15.95" customHeight="1">
      <c r="A177" s="966"/>
      <c r="B177" s="341"/>
      <c r="C177" s="433"/>
      <c r="D177" s="494"/>
      <c r="E177" s="315" t="s">
        <v>262</v>
      </c>
      <c r="F177" s="434"/>
      <c r="G177" s="319"/>
      <c r="H177" s="320">
        <f t="shared" si="8"/>
        <v>0</v>
      </c>
      <c r="I177" s="485"/>
    </row>
    <row r="178" spans="1:9" ht="15.95" customHeight="1">
      <c r="A178" s="966"/>
      <c r="B178" s="341"/>
      <c r="C178" s="433"/>
      <c r="D178" s="494"/>
      <c r="E178" s="315" t="s">
        <v>262</v>
      </c>
      <c r="F178" s="434"/>
      <c r="G178" s="319"/>
      <c r="H178" s="320">
        <f t="shared" si="8"/>
        <v>0</v>
      </c>
      <c r="I178" s="485"/>
    </row>
    <row r="179" spans="1:9" ht="15.95" customHeight="1">
      <c r="A179" s="966"/>
      <c r="B179" s="341"/>
      <c r="C179" s="433"/>
      <c r="D179" s="494"/>
      <c r="E179" s="315" t="s">
        <v>262</v>
      </c>
      <c r="F179" s="434"/>
      <c r="G179" s="319"/>
      <c r="H179" s="320">
        <f t="shared" si="8"/>
        <v>0</v>
      </c>
      <c r="I179" s="485"/>
    </row>
    <row r="180" spans="1:9" ht="15.95" customHeight="1">
      <c r="A180" s="966"/>
      <c r="B180" s="341"/>
      <c r="C180" s="433"/>
      <c r="D180" s="494"/>
      <c r="E180" s="315" t="s">
        <v>262</v>
      </c>
      <c r="F180" s="434"/>
      <c r="G180" s="319"/>
      <c r="H180" s="320">
        <f t="shared" si="8"/>
        <v>0</v>
      </c>
      <c r="I180" s="485"/>
    </row>
    <row r="181" spans="1:9" ht="15.95" customHeight="1">
      <c r="A181" s="966"/>
      <c r="B181" s="341"/>
      <c r="C181" s="433"/>
      <c r="D181" s="494"/>
      <c r="E181" s="315" t="s">
        <v>262</v>
      </c>
      <c r="F181" s="434"/>
      <c r="G181" s="319"/>
      <c r="H181" s="320">
        <f t="shared" si="8"/>
        <v>0</v>
      </c>
      <c r="I181" s="485"/>
    </row>
    <row r="182" spans="1:9" ht="15.95" customHeight="1">
      <c r="A182" s="966"/>
      <c r="B182" s="341"/>
      <c r="C182" s="433"/>
      <c r="D182" s="494"/>
      <c r="E182" s="315" t="s">
        <v>262</v>
      </c>
      <c r="F182" s="434"/>
      <c r="G182" s="319"/>
      <c r="H182" s="320">
        <f t="shared" si="8"/>
        <v>0</v>
      </c>
      <c r="I182" s="485"/>
    </row>
    <row r="183" spans="1:9" ht="15.95" customHeight="1">
      <c r="A183" s="966"/>
      <c r="B183" s="341"/>
      <c r="C183" s="433"/>
      <c r="D183" s="494"/>
      <c r="E183" s="315" t="s">
        <v>262</v>
      </c>
      <c r="F183" s="434"/>
      <c r="G183" s="319"/>
      <c r="H183" s="320">
        <f t="shared" si="8"/>
        <v>0</v>
      </c>
      <c r="I183" s="485"/>
    </row>
    <row r="184" spans="1:9" ht="15.95" customHeight="1">
      <c r="A184" s="966"/>
      <c r="B184" s="341"/>
      <c r="C184" s="433"/>
      <c r="D184" s="494"/>
      <c r="E184" s="315" t="s">
        <v>262</v>
      </c>
      <c r="F184" s="434"/>
      <c r="G184" s="319"/>
      <c r="H184" s="320">
        <f t="shared" si="8"/>
        <v>0</v>
      </c>
      <c r="I184" s="485"/>
    </row>
    <row r="185" spans="1:9" ht="15.95" customHeight="1">
      <c r="A185" s="966"/>
      <c r="B185" s="341"/>
      <c r="C185" s="446"/>
      <c r="D185" s="329"/>
      <c r="E185" s="315" t="s">
        <v>262</v>
      </c>
      <c r="F185" s="434"/>
      <c r="G185" s="319"/>
      <c r="H185" s="320">
        <f t="shared" si="8"/>
        <v>0</v>
      </c>
      <c r="I185" s="485"/>
    </row>
    <row r="186" spans="1:9" ht="15.95" customHeight="1">
      <c r="A186" s="966"/>
      <c r="B186" s="341"/>
      <c r="C186" s="445"/>
      <c r="D186" s="329"/>
      <c r="E186" s="315" t="s">
        <v>262</v>
      </c>
      <c r="F186" s="434"/>
      <c r="G186" s="330"/>
      <c r="H186" s="320">
        <f>IF(F186=0,G186,G186*F186)</f>
        <v>0</v>
      </c>
      <c r="I186" s="485"/>
    </row>
    <row r="187" spans="1:9" ht="15.95" customHeight="1">
      <c r="A187" s="966"/>
      <c r="B187" s="341"/>
      <c r="C187" s="446"/>
      <c r="D187" s="329"/>
      <c r="E187" s="315" t="s">
        <v>262</v>
      </c>
      <c r="F187" s="434"/>
      <c r="G187" s="330"/>
      <c r="H187" s="320">
        <f>IF(F187=0,G187,G187*F187)</f>
        <v>0</v>
      </c>
      <c r="I187" s="485"/>
    </row>
    <row r="188" spans="1:9" ht="15.95" customHeight="1">
      <c r="A188" s="966"/>
      <c r="B188" s="341"/>
      <c r="C188" s="447"/>
      <c r="D188" s="329"/>
      <c r="E188" s="315" t="s">
        <v>262</v>
      </c>
      <c r="F188" s="434"/>
      <c r="G188" s="330"/>
      <c r="H188" s="320">
        <f>IF(F188=0,G188,G188*F188)</f>
        <v>0</v>
      </c>
      <c r="I188" s="485"/>
    </row>
    <row r="189" spans="1:9" ht="15.95" customHeight="1">
      <c r="A189" s="966"/>
      <c r="B189" s="341"/>
      <c r="C189" s="447"/>
      <c r="D189" s="329"/>
      <c r="E189" s="315" t="s">
        <v>262</v>
      </c>
      <c r="F189" s="434"/>
      <c r="G189" s="330"/>
      <c r="H189" s="320">
        <f>IF(F189=0,G189,G189*F189)</f>
        <v>0</v>
      </c>
      <c r="I189" s="485"/>
    </row>
    <row r="190" spans="1:9" ht="15.95" customHeight="1">
      <c r="A190" s="966"/>
      <c r="B190" s="341"/>
      <c r="C190" s="447"/>
      <c r="D190" s="329"/>
      <c r="E190" s="315" t="s">
        <v>262</v>
      </c>
      <c r="F190" s="434"/>
      <c r="G190" s="330"/>
      <c r="H190" s="320">
        <f>IF(F190=0,G190,G190*F190)</f>
        <v>0</v>
      </c>
      <c r="I190" s="485"/>
    </row>
    <row r="191" spans="1:9" ht="15.95" customHeight="1">
      <c r="A191" s="966"/>
      <c r="B191" s="341"/>
      <c r="C191" s="433"/>
      <c r="D191" s="329"/>
      <c r="E191" s="315" t="s">
        <v>262</v>
      </c>
      <c r="F191" s="434"/>
      <c r="G191" s="319"/>
      <c r="H191" s="320">
        <f t="shared" ref="H191:H198" si="9">IF(F191=0,G191,G191*F191)</f>
        <v>0</v>
      </c>
      <c r="I191" s="485"/>
    </row>
    <row r="192" spans="1:9" ht="15.95" customHeight="1">
      <c r="A192" s="966"/>
      <c r="B192" s="341"/>
      <c r="C192" s="433"/>
      <c r="D192" s="329"/>
      <c r="E192" s="315" t="s">
        <v>262</v>
      </c>
      <c r="F192" s="434"/>
      <c r="G192" s="330"/>
      <c r="H192" s="320">
        <f t="shared" si="9"/>
        <v>0</v>
      </c>
      <c r="I192" s="485"/>
    </row>
    <row r="193" spans="1:9" ht="15.95" customHeight="1">
      <c r="A193" s="966"/>
      <c r="B193" s="341"/>
      <c r="C193" s="433"/>
      <c r="D193" s="329"/>
      <c r="E193" s="315" t="s">
        <v>262</v>
      </c>
      <c r="F193" s="434"/>
      <c r="G193" s="330"/>
      <c r="H193" s="320">
        <f t="shared" si="9"/>
        <v>0</v>
      </c>
      <c r="I193" s="485"/>
    </row>
    <row r="194" spans="1:9" ht="15.95" customHeight="1">
      <c r="A194" s="966"/>
      <c r="B194" s="341"/>
      <c r="C194" s="433"/>
      <c r="D194" s="329"/>
      <c r="E194" s="315" t="s">
        <v>262</v>
      </c>
      <c r="F194" s="434"/>
      <c r="G194" s="319"/>
      <c r="H194" s="320">
        <f t="shared" si="9"/>
        <v>0</v>
      </c>
      <c r="I194" s="485"/>
    </row>
    <row r="195" spans="1:9" ht="15.95" customHeight="1">
      <c r="A195" s="966"/>
      <c r="B195" s="341"/>
      <c r="C195" s="433"/>
      <c r="D195" s="329"/>
      <c r="E195" s="315" t="s">
        <v>262</v>
      </c>
      <c r="F195" s="434"/>
      <c r="G195" s="319"/>
      <c r="H195" s="320">
        <f t="shared" si="9"/>
        <v>0</v>
      </c>
      <c r="I195" s="485"/>
    </row>
    <row r="196" spans="1:9" ht="15.95" customHeight="1">
      <c r="A196" s="966"/>
      <c r="B196" s="341"/>
      <c r="C196" s="433"/>
      <c r="D196" s="329"/>
      <c r="E196" s="315" t="s">
        <v>262</v>
      </c>
      <c r="F196" s="434"/>
      <c r="G196" s="319"/>
      <c r="H196" s="320">
        <f t="shared" si="9"/>
        <v>0</v>
      </c>
      <c r="I196" s="485"/>
    </row>
    <row r="197" spans="1:9" ht="15.95" customHeight="1">
      <c r="A197" s="966"/>
      <c r="B197" s="341"/>
      <c r="C197" s="433"/>
      <c r="D197" s="329"/>
      <c r="E197" s="315" t="s">
        <v>262</v>
      </c>
      <c r="F197" s="434"/>
      <c r="G197" s="319"/>
      <c r="H197" s="320">
        <f t="shared" si="9"/>
        <v>0</v>
      </c>
      <c r="I197" s="485"/>
    </row>
    <row r="198" spans="1:9" ht="15.95" customHeight="1">
      <c r="A198" s="966"/>
      <c r="B198" s="341"/>
      <c r="C198" s="433"/>
      <c r="D198" s="329"/>
      <c r="E198" s="315" t="s">
        <v>262</v>
      </c>
      <c r="F198" s="434"/>
      <c r="G198" s="319"/>
      <c r="H198" s="320">
        <f t="shared" si="9"/>
        <v>0</v>
      </c>
      <c r="I198" s="485"/>
    </row>
    <row r="199" spans="1:9" ht="15.95" customHeight="1">
      <c r="A199" s="966"/>
      <c r="B199" s="341"/>
      <c r="C199" s="402"/>
      <c r="D199" s="402"/>
      <c r="E199" s="402"/>
      <c r="F199" s="336"/>
      <c r="G199" s="336"/>
      <c r="H199" s="339"/>
      <c r="I199" s="388"/>
    </row>
    <row r="200" spans="1:9" ht="15.95" customHeight="1">
      <c r="A200" s="966"/>
      <c r="B200" s="342"/>
      <c r="C200" s="389"/>
      <c r="D200" s="390"/>
      <c r="E200" s="391"/>
      <c r="F200" s="378"/>
      <c r="G200" s="346"/>
      <c r="H200" s="347">
        <f>SUM(H105:H199)</f>
        <v>20916000</v>
      </c>
      <c r="I200" s="392"/>
    </row>
    <row r="201" spans="1:9" ht="15.95" customHeight="1">
      <c r="A201" s="350"/>
      <c r="B201" s="351" t="s">
        <v>269</v>
      </c>
      <c r="C201" s="352"/>
      <c r="D201" s="376"/>
      <c r="E201" s="377"/>
      <c r="F201" s="393"/>
      <c r="G201" s="353"/>
      <c r="H201" s="347">
        <f>SUM(H200,H104,H14)</f>
        <v>22958400</v>
      </c>
      <c r="I201" s="392"/>
    </row>
    <row r="202" spans="1:9" ht="15.95" customHeight="1">
      <c r="A202" s="962" t="s">
        <v>13</v>
      </c>
      <c r="B202" s="354" t="s">
        <v>65</v>
      </c>
      <c r="C202" s="366"/>
      <c r="D202" s="356"/>
      <c r="E202" s="357" t="s">
        <v>12</v>
      </c>
      <c r="F202" s="326"/>
      <c r="G202" s="415"/>
      <c r="H202" s="358">
        <f t="shared" ref="H202:H208" si="10">F202*G202</f>
        <v>0</v>
      </c>
      <c r="I202" s="386"/>
    </row>
    <row r="203" spans="1:9" ht="15.95" customHeight="1">
      <c r="A203" s="963"/>
      <c r="B203" s="360" t="s">
        <v>16</v>
      </c>
      <c r="C203" s="366"/>
      <c r="D203" s="362"/>
      <c r="E203" s="363" t="s">
        <v>11</v>
      </c>
      <c r="F203" s="399">
        <v>2</v>
      </c>
      <c r="G203" s="400">
        <v>350000</v>
      </c>
      <c r="H203" s="364">
        <f t="shared" si="10"/>
        <v>700000</v>
      </c>
      <c r="I203" s="394"/>
    </row>
    <row r="204" spans="1:9" ht="15.95" customHeight="1">
      <c r="A204" s="963"/>
      <c r="B204" s="365" t="s">
        <v>297</v>
      </c>
      <c r="C204" s="366"/>
      <c r="D204" s="367"/>
      <c r="E204" s="368" t="s">
        <v>11</v>
      </c>
      <c r="F204" s="321">
        <v>5</v>
      </c>
      <c r="G204" s="319">
        <v>350000</v>
      </c>
      <c r="H204" s="369">
        <f t="shared" si="10"/>
        <v>1750000</v>
      </c>
      <c r="I204" s="387"/>
    </row>
    <row r="205" spans="1:9" ht="15.95" customHeight="1">
      <c r="A205" s="963"/>
      <c r="B205" s="365" t="s">
        <v>18</v>
      </c>
      <c r="C205" s="366"/>
      <c r="D205" s="367"/>
      <c r="E205" s="368" t="s">
        <v>11</v>
      </c>
      <c r="F205" s="321">
        <v>2</v>
      </c>
      <c r="G205" s="319">
        <v>350000</v>
      </c>
      <c r="H205" s="369">
        <f t="shared" si="10"/>
        <v>700000</v>
      </c>
      <c r="I205" s="387"/>
    </row>
    <row r="206" spans="1:9" ht="15.95" customHeight="1">
      <c r="A206" s="963"/>
      <c r="B206" s="365" t="s">
        <v>19</v>
      </c>
      <c r="C206" s="366"/>
      <c r="D206" s="367"/>
      <c r="E206" s="368" t="s">
        <v>11</v>
      </c>
      <c r="F206" s="321">
        <v>2</v>
      </c>
      <c r="G206" s="319">
        <v>350000</v>
      </c>
      <c r="H206" s="369">
        <f t="shared" si="10"/>
        <v>700000</v>
      </c>
      <c r="I206" s="387"/>
    </row>
    <row r="207" spans="1:9" ht="15.95" customHeight="1">
      <c r="A207" s="963"/>
      <c r="B207" s="365" t="s">
        <v>20</v>
      </c>
      <c r="C207" s="366"/>
      <c r="D207" s="367"/>
      <c r="E207" s="368" t="s">
        <v>11</v>
      </c>
      <c r="F207" s="321"/>
      <c r="G207" s="319">
        <v>350000</v>
      </c>
      <c r="H207" s="369">
        <f t="shared" si="10"/>
        <v>0</v>
      </c>
      <c r="I207" s="387"/>
    </row>
    <row r="208" spans="1:9" ht="15.95" customHeight="1">
      <c r="A208" s="963"/>
      <c r="B208" s="365" t="s">
        <v>21</v>
      </c>
      <c r="C208" s="366"/>
      <c r="D208" s="367"/>
      <c r="E208" s="368" t="s">
        <v>11</v>
      </c>
      <c r="F208" s="321"/>
      <c r="G208" s="319">
        <v>350000</v>
      </c>
      <c r="H208" s="369">
        <f t="shared" si="10"/>
        <v>0</v>
      </c>
      <c r="I208" s="387"/>
    </row>
    <row r="209" spans="1:9" ht="15.95" customHeight="1">
      <c r="A209" s="963"/>
      <c r="B209" s="370" t="s">
        <v>22</v>
      </c>
      <c r="C209" s="371"/>
      <c r="D209" s="372"/>
      <c r="E209" s="373" t="s">
        <v>11</v>
      </c>
      <c r="F209" s="335">
        <v>2</v>
      </c>
      <c r="G209" s="336">
        <v>350000</v>
      </c>
      <c r="H209" s="374">
        <f>G209*F209</f>
        <v>700000</v>
      </c>
      <c r="I209" s="388"/>
    </row>
    <row r="210" spans="1:9" ht="15.95" customHeight="1">
      <c r="A210" s="350"/>
      <c r="B210" s="375" t="s">
        <v>66</v>
      </c>
      <c r="C210" s="352"/>
      <c r="D210" s="376"/>
      <c r="E210" s="377"/>
      <c r="F210" s="378"/>
      <c r="G210" s="346"/>
      <c r="H210" s="346">
        <f>SUM(H202:H209)</f>
        <v>4550000</v>
      </c>
      <c r="I210" s="395"/>
    </row>
    <row r="211" spans="1:9" ht="15.95" customHeight="1">
      <c r="A211" s="379"/>
      <c r="B211" s="375" t="s">
        <v>67</v>
      </c>
      <c r="C211" s="352"/>
      <c r="D211" s="376"/>
      <c r="E211" s="377"/>
      <c r="F211" s="380"/>
      <c r="G211" s="347"/>
      <c r="H211" s="353">
        <f>'단위장비별(집계)2'!I7+'단위장비별(집계)2'!L7</f>
        <v>1260557.8183345527</v>
      </c>
      <c r="I211" s="392"/>
    </row>
    <row r="212" spans="1:9" ht="15.95" customHeight="1">
      <c r="A212" s="379"/>
      <c r="B212" s="375" t="s">
        <v>2</v>
      </c>
      <c r="C212" s="352"/>
      <c r="D212" s="376"/>
      <c r="E212" s="348" t="s">
        <v>221</v>
      </c>
      <c r="F212" s="347">
        <v>5</v>
      </c>
      <c r="G212" s="495"/>
      <c r="H212" s="416">
        <f>(H56+H210)*0.05</f>
        <v>227500</v>
      </c>
      <c r="I212" s="396"/>
    </row>
    <row r="213" spans="1:9" ht="15.95" customHeight="1">
      <c r="A213" s="379"/>
      <c r="B213" s="375" t="s">
        <v>68</v>
      </c>
      <c r="C213" s="352"/>
      <c r="D213" s="376"/>
      <c r="E213" s="348" t="s">
        <v>221</v>
      </c>
      <c r="F213" s="347">
        <v>10</v>
      </c>
      <c r="G213" s="495"/>
      <c r="H213" s="416">
        <f>(H56+H210)*0.1</f>
        <v>455000</v>
      </c>
      <c r="I213" s="396"/>
    </row>
    <row r="214" spans="1:9" ht="15.95" customHeight="1">
      <c r="A214" s="379"/>
      <c r="B214" s="375" t="s">
        <v>69</v>
      </c>
      <c r="C214" s="352"/>
      <c r="D214" s="376"/>
      <c r="E214" s="377"/>
      <c r="F214" s="380"/>
      <c r="G214" s="347"/>
      <c r="H214" s="346">
        <f>H201+H210+H211+H212+H213</f>
        <v>29451457.818334553</v>
      </c>
      <c r="I214" s="392"/>
    </row>
    <row r="215" spans="1:9" ht="15.95" customHeight="1"/>
    <row r="216" spans="1:9" ht="15.95" customHeight="1"/>
    <row r="217" spans="1:9" ht="15.95" customHeight="1"/>
    <row r="218" spans="1:9" ht="15.95" customHeight="1"/>
    <row r="219" spans="1:9" ht="15.95" customHeight="1"/>
    <row r="220" spans="1:9" ht="15.95" customHeight="1"/>
    <row r="221" spans="1:9" ht="15.95" customHeight="1"/>
    <row r="222" spans="1:9" ht="15.95" customHeight="1"/>
    <row r="223" spans="1:9" ht="15.95" customHeight="1"/>
    <row r="224" spans="1:9" ht="15.95" customHeight="1"/>
    <row r="225" ht="15.95" customHeight="1"/>
    <row r="226" ht="15.95" customHeight="1"/>
    <row r="227" ht="15.95" customHeight="1"/>
    <row r="228" ht="15.95" customHeight="1"/>
    <row r="229" ht="15.95" customHeight="1"/>
    <row r="230" ht="15.95" customHeight="1"/>
    <row r="231" ht="15.95" customHeight="1"/>
    <row r="232" ht="15.95" customHeight="1"/>
    <row r="233" ht="15.95" customHeight="1"/>
    <row r="234" ht="15.95" customHeight="1"/>
    <row r="235" ht="15.95" customHeight="1"/>
    <row r="236" ht="15.95" customHeight="1"/>
    <row r="237" ht="15.95" customHeight="1"/>
    <row r="238" ht="15.95" customHeight="1"/>
    <row r="239" ht="15.95" customHeight="1"/>
    <row r="240" ht="15.95" customHeight="1"/>
    <row r="241" ht="15.95" customHeight="1"/>
  </sheetData>
  <mergeCells count="3">
    <mergeCell ref="A2:B2"/>
    <mergeCell ref="A202:A209"/>
    <mergeCell ref="A3:A200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5" orientation="portrait" horizontalDpi="4294967292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15FB3-DC98-41D3-8B38-C1FDC6CE9CB4}">
  <sheetPr codeName="Sheet7"/>
  <dimension ref="A1:M266"/>
  <sheetViews>
    <sheetView view="pageBreakPreview" zoomScale="80" zoomScaleNormal="85" workbookViewId="0">
      <pane xSplit="2" ySplit="2" topLeftCell="C117" activePane="bottomRight" state="frozen"/>
      <selection activeCell="F67" sqref="F67"/>
      <selection pane="topRight" activeCell="F67" sqref="F67"/>
      <selection pane="bottomLeft" activeCell="F67" sqref="F67"/>
      <selection pane="bottomRight" activeCell="F118" sqref="F118"/>
    </sheetView>
  </sheetViews>
  <sheetFormatPr defaultRowHeight="13.5"/>
  <cols>
    <col min="1" max="1" width="5" style="144" customWidth="1"/>
    <col min="2" max="2" width="17.875" style="144" bestFit="1" customWidth="1"/>
    <col min="3" max="3" width="23.625" style="144" customWidth="1"/>
    <col min="4" max="4" width="18.25" style="269" customWidth="1"/>
    <col min="5" max="5" width="5.25" style="145" bestFit="1" customWidth="1"/>
    <col min="6" max="6" width="7.625" style="146" customWidth="1"/>
    <col min="7" max="8" width="15.625" style="146" customWidth="1"/>
    <col min="9" max="9" width="12.75" style="239" customWidth="1"/>
    <col min="10" max="10" width="9" style="227"/>
    <col min="11" max="11" width="10" style="227" bestFit="1" customWidth="1"/>
    <col min="12" max="13" width="9" style="227"/>
    <col min="14" max="16384" width="9" style="144"/>
  </cols>
  <sheetData>
    <row r="1" spans="1:13" s="53" customFormat="1" ht="22.5" customHeight="1">
      <c r="A1" s="45" t="s">
        <v>71</v>
      </c>
      <c r="B1" s="45"/>
      <c r="C1" s="419" t="s">
        <v>615</v>
      </c>
      <c r="D1" s="463"/>
      <c r="E1" s="238"/>
      <c r="F1" s="22"/>
      <c r="G1" s="114"/>
      <c r="H1" s="115"/>
      <c r="I1" s="230" t="s">
        <v>72</v>
      </c>
      <c r="J1" s="229"/>
      <c r="K1" s="229"/>
      <c r="L1" s="229"/>
      <c r="M1" s="229"/>
    </row>
    <row r="2" spans="1:13" s="119" customFormat="1" ht="16.5" customHeight="1">
      <c r="A2" s="964" t="s">
        <v>73</v>
      </c>
      <c r="B2" s="965"/>
      <c r="C2" s="359" t="s">
        <v>74</v>
      </c>
      <c r="D2" s="383" t="s">
        <v>75</v>
      </c>
      <c r="E2" s="383" t="s">
        <v>76</v>
      </c>
      <c r="F2" s="384" t="s">
        <v>77</v>
      </c>
      <c r="G2" s="384" t="s">
        <v>78</v>
      </c>
      <c r="H2" s="384" t="s">
        <v>79</v>
      </c>
      <c r="I2" s="385" t="s">
        <v>80</v>
      </c>
      <c r="J2" s="228"/>
      <c r="K2" s="228"/>
      <c r="L2" s="228"/>
      <c r="M2" s="228"/>
    </row>
    <row r="3" spans="1:13" ht="15.95" customHeight="1">
      <c r="A3" s="962" t="s">
        <v>234</v>
      </c>
      <c r="B3" s="341" t="s">
        <v>235</v>
      </c>
      <c r="C3" s="420" t="s">
        <v>236</v>
      </c>
      <c r="D3" s="420"/>
      <c r="E3" s="311" t="s">
        <v>237</v>
      </c>
      <c r="F3" s="415">
        <v>20</v>
      </c>
      <c r="G3" s="415">
        <v>1200</v>
      </c>
      <c r="H3" s="337">
        <f t="shared" ref="H3:H12" si="0">IF(F3=0,G3,G3*F3)</f>
        <v>24000</v>
      </c>
      <c r="I3" s="386"/>
    </row>
    <row r="4" spans="1:13" ht="15.95" customHeight="1">
      <c r="A4" s="966"/>
      <c r="B4" s="341"/>
      <c r="C4" s="331" t="s">
        <v>280</v>
      </c>
      <c r="D4" s="423"/>
      <c r="E4" s="315" t="s">
        <v>281</v>
      </c>
      <c r="F4" s="424"/>
      <c r="G4" s="406"/>
      <c r="H4" s="320">
        <f t="shared" si="0"/>
        <v>0</v>
      </c>
      <c r="I4" s="387"/>
    </row>
    <row r="5" spans="1:13" ht="15.95" customHeight="1">
      <c r="A5" s="966"/>
      <c r="B5" s="341"/>
      <c r="C5" s="331"/>
      <c r="D5" s="425"/>
      <c r="E5" s="315"/>
      <c r="F5" s="424"/>
      <c r="G5" s="406"/>
      <c r="H5" s="320">
        <f t="shared" si="0"/>
        <v>0</v>
      </c>
      <c r="I5" s="387"/>
    </row>
    <row r="6" spans="1:13" ht="15.95" customHeight="1">
      <c r="A6" s="966"/>
      <c r="B6" s="341"/>
      <c r="C6" s="331"/>
      <c r="D6" s="425"/>
      <c r="E6" s="315"/>
      <c r="F6" s="424"/>
      <c r="G6" s="406"/>
      <c r="H6" s="320">
        <f t="shared" si="0"/>
        <v>0</v>
      </c>
      <c r="I6" s="387"/>
    </row>
    <row r="7" spans="1:13" ht="15.95" customHeight="1">
      <c r="A7" s="966"/>
      <c r="B7" s="341"/>
      <c r="C7" s="331"/>
      <c r="D7" s="305"/>
      <c r="E7" s="315"/>
      <c r="F7" s="424"/>
      <c r="G7" s="406"/>
      <c r="H7" s="320">
        <f t="shared" si="0"/>
        <v>0</v>
      </c>
      <c r="I7" s="387"/>
    </row>
    <row r="8" spans="1:13" ht="15.95" customHeight="1">
      <c r="A8" s="966"/>
      <c r="B8" s="341"/>
      <c r="C8" s="331"/>
      <c r="D8" s="305"/>
      <c r="E8" s="426"/>
      <c r="F8" s="427"/>
      <c r="G8" s="428"/>
      <c r="H8" s="320">
        <f t="shared" si="0"/>
        <v>0</v>
      </c>
      <c r="I8" s="387"/>
    </row>
    <row r="9" spans="1:13" ht="15.95" customHeight="1">
      <c r="A9" s="966"/>
      <c r="B9" s="341"/>
      <c r="C9" s="331"/>
      <c r="D9" s="305"/>
      <c r="E9" s="426"/>
      <c r="F9" s="427"/>
      <c r="G9" s="428"/>
      <c r="H9" s="320">
        <f t="shared" si="0"/>
        <v>0</v>
      </c>
      <c r="I9" s="387"/>
    </row>
    <row r="10" spans="1:13" ht="15.95" customHeight="1">
      <c r="A10" s="966"/>
      <c r="B10" s="341"/>
      <c r="C10" s="331"/>
      <c r="D10" s="425"/>
      <c r="E10" s="426"/>
      <c r="F10" s="427"/>
      <c r="G10" s="429"/>
      <c r="H10" s="320">
        <f t="shared" si="0"/>
        <v>0</v>
      </c>
      <c r="I10" s="387"/>
    </row>
    <row r="11" spans="1:13" ht="15.95" customHeight="1">
      <c r="A11" s="966"/>
      <c r="B11" s="341"/>
      <c r="C11" s="305"/>
      <c r="D11" s="305"/>
      <c r="E11" s="426"/>
      <c r="F11" s="427"/>
      <c r="G11" s="429"/>
      <c r="H11" s="320">
        <f t="shared" si="0"/>
        <v>0</v>
      </c>
      <c r="I11" s="387"/>
    </row>
    <row r="12" spans="1:13" ht="15.95" customHeight="1">
      <c r="A12" s="966"/>
      <c r="B12" s="341"/>
      <c r="C12" s="402" t="s">
        <v>238</v>
      </c>
      <c r="D12" s="402"/>
      <c r="E12" s="402" t="s">
        <v>237</v>
      </c>
      <c r="F12" s="336">
        <v>10</v>
      </c>
      <c r="G12" s="336">
        <v>10000</v>
      </c>
      <c r="H12" s="339">
        <f t="shared" si="0"/>
        <v>100000</v>
      </c>
      <c r="I12" s="388"/>
    </row>
    <row r="13" spans="1:13" ht="15.95" customHeight="1">
      <c r="A13" s="966"/>
      <c r="B13" s="342"/>
      <c r="C13" s="389"/>
      <c r="D13" s="390"/>
      <c r="E13" s="430"/>
      <c r="F13" s="431">
        <f>SUM(F3:F12)</f>
        <v>30</v>
      </c>
      <c r="G13" s="378"/>
      <c r="H13" s="347">
        <f>SUM(H3:H12)</f>
        <v>124000</v>
      </c>
      <c r="I13" s="392"/>
    </row>
    <row r="14" spans="1:13" ht="15.95" customHeight="1">
      <c r="A14" s="966"/>
      <c r="B14" s="349" t="s">
        <v>240</v>
      </c>
      <c r="C14" s="420"/>
      <c r="D14" s="420"/>
      <c r="E14" s="311"/>
      <c r="F14" s="464"/>
      <c r="G14" s="415"/>
      <c r="H14" s="337">
        <f t="shared" ref="H14:H21" si="1">G14*F14</f>
        <v>0</v>
      </c>
      <c r="I14" s="432"/>
    </row>
    <row r="15" spans="1:13" ht="15.95" customHeight="1">
      <c r="A15" s="966"/>
      <c r="B15" s="341" t="s">
        <v>241</v>
      </c>
      <c r="C15" s="318"/>
      <c r="D15" s="433"/>
      <c r="E15" s="315"/>
      <c r="F15" s="321"/>
      <c r="G15" s="330"/>
      <c r="H15" s="320">
        <f t="shared" si="1"/>
        <v>0</v>
      </c>
      <c r="I15" s="435"/>
    </row>
    <row r="16" spans="1:13" ht="15.95" customHeight="1">
      <c r="A16" s="966"/>
      <c r="B16" s="773" t="s">
        <v>554</v>
      </c>
      <c r="C16" s="775" t="s">
        <v>616</v>
      </c>
      <c r="D16" s="775" t="s">
        <v>617</v>
      </c>
      <c r="E16" s="778" t="s">
        <v>557</v>
      </c>
      <c r="F16" s="792">
        <v>1</v>
      </c>
      <c r="G16" s="791">
        <v>498000</v>
      </c>
      <c r="H16" s="320">
        <f t="shared" si="1"/>
        <v>498000</v>
      </c>
      <c r="I16" s="781" t="s">
        <v>666</v>
      </c>
    </row>
    <row r="17" spans="1:9" ht="15.95" customHeight="1">
      <c r="A17" s="966"/>
      <c r="B17" s="436"/>
      <c r="C17" s="775" t="s">
        <v>618</v>
      </c>
      <c r="D17" s="775" t="s">
        <v>619</v>
      </c>
      <c r="E17" s="778" t="s">
        <v>557</v>
      </c>
      <c r="F17" s="778">
        <v>2</v>
      </c>
      <c r="G17" s="791">
        <v>4290</v>
      </c>
      <c r="H17" s="320">
        <f t="shared" si="1"/>
        <v>8580</v>
      </c>
      <c r="I17" s="781" t="s">
        <v>666</v>
      </c>
    </row>
    <row r="18" spans="1:9" ht="15.95" customHeight="1">
      <c r="A18" s="966"/>
      <c r="B18" s="436"/>
      <c r="C18" s="775" t="s">
        <v>620</v>
      </c>
      <c r="D18" s="795" t="s">
        <v>621</v>
      </c>
      <c r="E18" s="778" t="s">
        <v>557</v>
      </c>
      <c r="F18" s="778">
        <v>4</v>
      </c>
      <c r="G18" s="791">
        <v>198000</v>
      </c>
      <c r="H18" s="320">
        <f t="shared" si="1"/>
        <v>792000</v>
      </c>
      <c r="I18" s="781" t="s">
        <v>667</v>
      </c>
    </row>
    <row r="19" spans="1:9" ht="15.95" customHeight="1">
      <c r="A19" s="966"/>
      <c r="B19" s="436"/>
      <c r="C19" s="775" t="s">
        <v>620</v>
      </c>
      <c r="D19" s="795" t="s">
        <v>622</v>
      </c>
      <c r="E19" s="778" t="s">
        <v>557</v>
      </c>
      <c r="F19" s="778">
        <v>2</v>
      </c>
      <c r="G19" s="791">
        <v>195000</v>
      </c>
      <c r="H19" s="320">
        <f t="shared" si="1"/>
        <v>390000</v>
      </c>
      <c r="I19" s="781" t="s">
        <v>667</v>
      </c>
    </row>
    <row r="20" spans="1:9" ht="15.95" customHeight="1">
      <c r="A20" s="966"/>
      <c r="B20" s="341"/>
      <c r="C20" s="775" t="s">
        <v>623</v>
      </c>
      <c r="D20" s="775" t="s">
        <v>624</v>
      </c>
      <c r="E20" s="778" t="s">
        <v>557</v>
      </c>
      <c r="F20" s="778">
        <v>2</v>
      </c>
      <c r="G20" s="791">
        <v>5347</v>
      </c>
      <c r="H20" s="320">
        <f t="shared" si="1"/>
        <v>10694</v>
      </c>
      <c r="I20" s="781" t="s">
        <v>668</v>
      </c>
    </row>
    <row r="21" spans="1:9" ht="15.95" customHeight="1">
      <c r="A21" s="966"/>
      <c r="B21" s="341"/>
      <c r="C21" s="775" t="s">
        <v>625</v>
      </c>
      <c r="D21" s="775" t="s">
        <v>626</v>
      </c>
      <c r="E21" s="778" t="s">
        <v>557</v>
      </c>
      <c r="F21" s="778">
        <v>4</v>
      </c>
      <c r="G21" s="791">
        <v>9610</v>
      </c>
      <c r="H21" s="320">
        <f t="shared" si="1"/>
        <v>38440</v>
      </c>
      <c r="I21" s="781" t="s">
        <v>667</v>
      </c>
    </row>
    <row r="22" spans="1:9" ht="15.95" customHeight="1">
      <c r="A22" s="966"/>
      <c r="B22" s="341"/>
      <c r="C22" s="775" t="s">
        <v>628</v>
      </c>
      <c r="D22" s="775" t="s">
        <v>629</v>
      </c>
      <c r="E22" s="778" t="s">
        <v>557</v>
      </c>
      <c r="F22" s="778">
        <v>4</v>
      </c>
      <c r="G22" s="791">
        <v>9190</v>
      </c>
      <c r="H22" s="320">
        <f t="shared" ref="H22:H27" si="2">IF(F22=0,G22,G22*F22)</f>
        <v>36760</v>
      </c>
      <c r="I22" s="781" t="s">
        <v>668</v>
      </c>
    </row>
    <row r="23" spans="1:9" ht="15.95" customHeight="1">
      <c r="A23" s="966"/>
      <c r="B23" s="341"/>
      <c r="C23" s="775" t="s">
        <v>630</v>
      </c>
      <c r="D23" s="775" t="s">
        <v>631</v>
      </c>
      <c r="E23" s="778" t="s">
        <v>557</v>
      </c>
      <c r="F23" s="778">
        <v>1</v>
      </c>
      <c r="G23" s="791">
        <v>55000</v>
      </c>
      <c r="H23" s="320">
        <f t="shared" si="2"/>
        <v>55000</v>
      </c>
      <c r="I23" s="781" t="s">
        <v>669</v>
      </c>
    </row>
    <row r="24" spans="1:9" ht="15.95" customHeight="1">
      <c r="A24" s="966"/>
      <c r="B24" s="341"/>
      <c r="C24" s="775" t="s">
        <v>560</v>
      </c>
      <c r="D24" s="775" t="s">
        <v>632</v>
      </c>
      <c r="E24" s="778" t="s">
        <v>557</v>
      </c>
      <c r="F24" s="778">
        <v>2</v>
      </c>
      <c r="G24" s="791">
        <v>10700</v>
      </c>
      <c r="H24" s="320">
        <f t="shared" si="2"/>
        <v>21400</v>
      </c>
      <c r="I24" s="781" t="s">
        <v>669</v>
      </c>
    </row>
    <row r="25" spans="1:9" ht="15.95" customHeight="1">
      <c r="A25" s="966"/>
      <c r="B25" s="341"/>
      <c r="C25" s="775" t="s">
        <v>625</v>
      </c>
      <c r="D25" s="775" t="s">
        <v>633</v>
      </c>
      <c r="E25" s="778" t="s">
        <v>557</v>
      </c>
      <c r="F25" s="778">
        <v>8</v>
      </c>
      <c r="G25" s="791">
        <v>5170</v>
      </c>
      <c r="H25" s="320">
        <f t="shared" si="2"/>
        <v>41360</v>
      </c>
      <c r="I25" s="781" t="s">
        <v>667</v>
      </c>
    </row>
    <row r="26" spans="1:9" ht="15.95" customHeight="1">
      <c r="A26" s="966"/>
      <c r="B26" s="341"/>
      <c r="C26" s="775" t="s">
        <v>634</v>
      </c>
      <c r="D26" s="775" t="s">
        <v>635</v>
      </c>
      <c r="E26" s="778" t="s">
        <v>557</v>
      </c>
      <c r="F26" s="778">
        <v>16</v>
      </c>
      <c r="G26" s="791">
        <v>130</v>
      </c>
      <c r="H26" s="320">
        <f t="shared" si="2"/>
        <v>2080</v>
      </c>
      <c r="I26" s="781" t="s">
        <v>670</v>
      </c>
    </row>
    <row r="27" spans="1:9" ht="15.95" customHeight="1">
      <c r="A27" s="966"/>
      <c r="B27" s="341"/>
      <c r="C27" s="775" t="s">
        <v>628</v>
      </c>
      <c r="D27" s="775" t="s">
        <v>636</v>
      </c>
      <c r="E27" s="778" t="s">
        <v>557</v>
      </c>
      <c r="F27" s="778">
        <v>3</v>
      </c>
      <c r="G27" s="791">
        <v>25250</v>
      </c>
      <c r="H27" s="320">
        <f t="shared" si="2"/>
        <v>75750</v>
      </c>
      <c r="I27" s="781" t="s">
        <v>668</v>
      </c>
    </row>
    <row r="28" spans="1:9" ht="15.95" customHeight="1">
      <c r="A28" s="966"/>
      <c r="B28" s="341"/>
      <c r="C28" s="775" t="s">
        <v>628</v>
      </c>
      <c r="D28" s="775" t="s">
        <v>637</v>
      </c>
      <c r="E28" s="778" t="s">
        <v>557</v>
      </c>
      <c r="F28" s="778">
        <v>1</v>
      </c>
      <c r="G28" s="791">
        <v>31870</v>
      </c>
      <c r="H28" s="320">
        <f t="shared" ref="H28:H38" si="3">IF(F28=0,G28,G28*F28)</f>
        <v>31870</v>
      </c>
      <c r="I28" s="781" t="s">
        <v>668</v>
      </c>
    </row>
    <row r="29" spans="1:9" ht="15.95" customHeight="1">
      <c r="A29" s="966"/>
      <c r="B29" s="341"/>
      <c r="C29" s="775" t="s">
        <v>638</v>
      </c>
      <c r="D29" s="775" t="s">
        <v>639</v>
      </c>
      <c r="E29" s="778" t="s">
        <v>557</v>
      </c>
      <c r="F29" s="778">
        <v>4</v>
      </c>
      <c r="G29" s="791">
        <v>27800</v>
      </c>
      <c r="H29" s="320">
        <f t="shared" si="3"/>
        <v>111200</v>
      </c>
      <c r="I29" s="781" t="s">
        <v>669</v>
      </c>
    </row>
    <row r="30" spans="1:9" ht="15.95" customHeight="1">
      <c r="A30" s="966"/>
      <c r="B30" s="341"/>
      <c r="C30" s="775" t="s">
        <v>640</v>
      </c>
      <c r="D30" s="775" t="s">
        <v>641</v>
      </c>
      <c r="E30" s="778" t="s">
        <v>557</v>
      </c>
      <c r="F30" s="778">
        <v>4</v>
      </c>
      <c r="G30" s="791">
        <v>8400</v>
      </c>
      <c r="H30" s="320">
        <f t="shared" si="3"/>
        <v>33600</v>
      </c>
      <c r="I30" s="781" t="s">
        <v>669</v>
      </c>
    </row>
    <row r="31" spans="1:9" ht="15.95" customHeight="1">
      <c r="A31" s="966"/>
      <c r="B31" s="341"/>
      <c r="C31" s="775" t="s">
        <v>642</v>
      </c>
      <c r="D31" s="775" t="s">
        <v>643</v>
      </c>
      <c r="E31" s="778" t="s">
        <v>557</v>
      </c>
      <c r="F31" s="778">
        <v>12</v>
      </c>
      <c r="G31" s="791">
        <v>90340</v>
      </c>
      <c r="H31" s="320">
        <f t="shared" si="3"/>
        <v>1084080</v>
      </c>
      <c r="I31" s="781" t="s">
        <v>668</v>
      </c>
    </row>
    <row r="32" spans="1:9" ht="15.95" customHeight="1">
      <c r="A32" s="966"/>
      <c r="B32" s="341"/>
      <c r="C32" s="775" t="s">
        <v>644</v>
      </c>
      <c r="D32" s="775" t="s">
        <v>645</v>
      </c>
      <c r="E32" s="778" t="s">
        <v>557</v>
      </c>
      <c r="F32" s="778">
        <v>2</v>
      </c>
      <c r="G32" s="791">
        <v>47130</v>
      </c>
      <c r="H32" s="320">
        <f t="shared" si="3"/>
        <v>94260</v>
      </c>
      <c r="I32" s="781" t="s">
        <v>666</v>
      </c>
    </row>
    <row r="33" spans="1:9" ht="15.95" customHeight="1">
      <c r="A33" s="966"/>
      <c r="B33" s="341"/>
      <c r="C33" s="775" t="s">
        <v>616</v>
      </c>
      <c r="D33" s="775" t="s">
        <v>646</v>
      </c>
      <c r="E33" s="778" t="s">
        <v>557</v>
      </c>
      <c r="F33" s="778">
        <v>2</v>
      </c>
      <c r="G33" s="791">
        <v>117360</v>
      </c>
      <c r="H33" s="320">
        <f t="shared" si="3"/>
        <v>234720</v>
      </c>
      <c r="I33" s="781" t="s">
        <v>666</v>
      </c>
    </row>
    <row r="34" spans="1:9" ht="15.95" customHeight="1">
      <c r="A34" s="966"/>
      <c r="B34" s="341"/>
      <c r="C34" s="775" t="s">
        <v>618</v>
      </c>
      <c r="D34" s="775" t="s">
        <v>647</v>
      </c>
      <c r="E34" s="778" t="s">
        <v>557</v>
      </c>
      <c r="F34" s="778">
        <v>4</v>
      </c>
      <c r="G34" s="791">
        <v>6250</v>
      </c>
      <c r="H34" s="320">
        <f t="shared" si="3"/>
        <v>25000</v>
      </c>
      <c r="I34" s="781" t="s">
        <v>666</v>
      </c>
    </row>
    <row r="35" spans="1:9" ht="15.95" customHeight="1">
      <c r="A35" s="966"/>
      <c r="B35" s="341"/>
      <c r="C35" s="775"/>
      <c r="D35" s="775"/>
      <c r="E35" s="778"/>
      <c r="F35" s="792"/>
      <c r="G35" s="791"/>
      <c r="H35" s="320">
        <f t="shared" si="3"/>
        <v>0</v>
      </c>
      <c r="I35" s="781"/>
    </row>
    <row r="36" spans="1:9" ht="15.95" customHeight="1">
      <c r="A36" s="966"/>
      <c r="B36" s="796" t="s">
        <v>565</v>
      </c>
      <c r="C36" s="775" t="s">
        <v>616</v>
      </c>
      <c r="D36" s="775" t="s">
        <v>617</v>
      </c>
      <c r="E36" s="778" t="s">
        <v>557</v>
      </c>
      <c r="F36" s="792">
        <v>1</v>
      </c>
      <c r="G36" s="791">
        <v>456200</v>
      </c>
      <c r="H36" s="320">
        <f t="shared" si="3"/>
        <v>456200</v>
      </c>
      <c r="I36" s="781" t="s">
        <v>666</v>
      </c>
    </row>
    <row r="37" spans="1:9" ht="15.95" customHeight="1">
      <c r="A37" s="966"/>
      <c r="B37" s="341"/>
      <c r="C37" s="775" t="s">
        <v>618</v>
      </c>
      <c r="D37" s="775" t="s">
        <v>619</v>
      </c>
      <c r="E37" s="778" t="s">
        <v>557</v>
      </c>
      <c r="F37" s="778">
        <v>2</v>
      </c>
      <c r="G37" s="791">
        <v>4290</v>
      </c>
      <c r="H37" s="320">
        <f t="shared" si="3"/>
        <v>8580</v>
      </c>
      <c r="I37" s="781" t="s">
        <v>666</v>
      </c>
    </row>
    <row r="38" spans="1:9" ht="15.95" customHeight="1">
      <c r="A38" s="966"/>
      <c r="B38" s="341"/>
      <c r="C38" s="775" t="s">
        <v>623</v>
      </c>
      <c r="D38" s="775" t="s">
        <v>624</v>
      </c>
      <c r="E38" s="778" t="s">
        <v>557</v>
      </c>
      <c r="F38" s="778">
        <v>2</v>
      </c>
      <c r="G38" s="791">
        <v>5347</v>
      </c>
      <c r="H38" s="320">
        <f t="shared" si="3"/>
        <v>10694</v>
      </c>
      <c r="I38" s="781" t="s">
        <v>668</v>
      </c>
    </row>
    <row r="39" spans="1:9" ht="15.95" customHeight="1">
      <c r="A39" s="966"/>
      <c r="B39" s="341"/>
      <c r="C39" s="775" t="s">
        <v>620</v>
      </c>
      <c r="D39" s="795" t="s">
        <v>648</v>
      </c>
      <c r="E39" s="778" t="s">
        <v>557</v>
      </c>
      <c r="F39" s="778">
        <v>4</v>
      </c>
      <c r="G39" s="791">
        <v>198900</v>
      </c>
      <c r="H39" s="320">
        <f t="shared" ref="H39:H46" si="4">SUM(G39*F39)</f>
        <v>795600</v>
      </c>
      <c r="I39" s="781" t="s">
        <v>667</v>
      </c>
    </row>
    <row r="40" spans="1:9" ht="15.95" customHeight="1">
      <c r="A40" s="966"/>
      <c r="B40" s="341"/>
      <c r="C40" s="775" t="s">
        <v>620</v>
      </c>
      <c r="D40" s="795" t="s">
        <v>649</v>
      </c>
      <c r="E40" s="778" t="s">
        <v>557</v>
      </c>
      <c r="F40" s="778">
        <v>2</v>
      </c>
      <c r="G40" s="791">
        <v>197400</v>
      </c>
      <c r="H40" s="320">
        <f t="shared" si="4"/>
        <v>394800</v>
      </c>
      <c r="I40" s="781" t="s">
        <v>667</v>
      </c>
    </row>
    <row r="41" spans="1:9" ht="15.95" customHeight="1">
      <c r="A41" s="966"/>
      <c r="B41" s="341"/>
      <c r="C41" s="775" t="s">
        <v>625</v>
      </c>
      <c r="D41" s="775" t="s">
        <v>626</v>
      </c>
      <c r="E41" s="778" t="s">
        <v>557</v>
      </c>
      <c r="F41" s="778">
        <v>4</v>
      </c>
      <c r="G41" s="791">
        <v>9610</v>
      </c>
      <c r="H41" s="320">
        <f t="shared" si="4"/>
        <v>38440</v>
      </c>
      <c r="I41" s="781" t="s">
        <v>667</v>
      </c>
    </row>
    <row r="42" spans="1:9" ht="15.95" customHeight="1">
      <c r="A42" s="966"/>
      <c r="B42" s="341"/>
      <c r="C42" s="775" t="s">
        <v>628</v>
      </c>
      <c r="D42" s="775" t="s">
        <v>650</v>
      </c>
      <c r="E42" s="778" t="s">
        <v>557</v>
      </c>
      <c r="F42" s="778">
        <v>4</v>
      </c>
      <c r="G42" s="791">
        <v>9190</v>
      </c>
      <c r="H42" s="320">
        <f t="shared" si="4"/>
        <v>36760</v>
      </c>
      <c r="I42" s="781" t="s">
        <v>668</v>
      </c>
    </row>
    <row r="43" spans="1:9" ht="15.95" customHeight="1">
      <c r="A43" s="966"/>
      <c r="B43" s="341"/>
      <c r="C43" s="775" t="s">
        <v>651</v>
      </c>
      <c r="D43" s="775" t="s">
        <v>652</v>
      </c>
      <c r="E43" s="778" t="s">
        <v>557</v>
      </c>
      <c r="F43" s="778">
        <v>3</v>
      </c>
      <c r="G43" s="791">
        <v>9190</v>
      </c>
      <c r="H43" s="320">
        <f t="shared" si="4"/>
        <v>27570</v>
      </c>
      <c r="I43" s="781" t="s">
        <v>668</v>
      </c>
    </row>
    <row r="44" spans="1:9" ht="15.95" customHeight="1">
      <c r="A44" s="966"/>
      <c r="B44" s="341"/>
      <c r="C44" s="775" t="s">
        <v>651</v>
      </c>
      <c r="D44" s="775" t="s">
        <v>653</v>
      </c>
      <c r="E44" s="778" t="s">
        <v>557</v>
      </c>
      <c r="F44" s="778">
        <v>2</v>
      </c>
      <c r="G44" s="791">
        <v>9190</v>
      </c>
      <c r="H44" s="320">
        <f t="shared" si="4"/>
        <v>18380</v>
      </c>
      <c r="I44" s="781" t="s">
        <v>668</v>
      </c>
    </row>
    <row r="45" spans="1:9" ht="15.95" customHeight="1">
      <c r="A45" s="966"/>
      <c r="B45" s="437"/>
      <c r="C45" s="775" t="s">
        <v>651</v>
      </c>
      <c r="D45" s="775" t="s">
        <v>654</v>
      </c>
      <c r="E45" s="778" t="s">
        <v>557</v>
      </c>
      <c r="F45" s="778">
        <v>3</v>
      </c>
      <c r="G45" s="791">
        <v>9190</v>
      </c>
      <c r="H45" s="320">
        <f t="shared" si="4"/>
        <v>27570</v>
      </c>
      <c r="I45" s="781" t="s">
        <v>668</v>
      </c>
    </row>
    <row r="46" spans="1:9" ht="15.95" customHeight="1">
      <c r="A46" s="966"/>
      <c r="B46" s="437"/>
      <c r="C46" s="775" t="s">
        <v>630</v>
      </c>
      <c r="D46" s="775" t="s">
        <v>631</v>
      </c>
      <c r="E46" s="778" t="s">
        <v>557</v>
      </c>
      <c r="F46" s="778">
        <v>3</v>
      </c>
      <c r="G46" s="791">
        <v>55500</v>
      </c>
      <c r="H46" s="320">
        <f t="shared" si="4"/>
        <v>166500</v>
      </c>
      <c r="I46" s="781" t="s">
        <v>669</v>
      </c>
    </row>
    <row r="47" spans="1:9" ht="15.95" customHeight="1">
      <c r="A47" s="966"/>
      <c r="B47" s="437"/>
      <c r="C47" s="775" t="s">
        <v>560</v>
      </c>
      <c r="D47" s="775" t="s">
        <v>632</v>
      </c>
      <c r="E47" s="778" t="s">
        <v>557</v>
      </c>
      <c r="F47" s="778">
        <v>6</v>
      </c>
      <c r="G47" s="791">
        <v>10700</v>
      </c>
      <c r="H47" s="320">
        <f t="shared" ref="H47:H71" si="5">SUM(G47*F47)</f>
        <v>64200</v>
      </c>
      <c r="I47" s="781" t="s">
        <v>669</v>
      </c>
    </row>
    <row r="48" spans="1:9" ht="15.95" customHeight="1">
      <c r="A48" s="966"/>
      <c r="B48" s="437"/>
      <c r="C48" s="775" t="s">
        <v>655</v>
      </c>
      <c r="D48" s="775" t="s">
        <v>656</v>
      </c>
      <c r="E48" s="778" t="s">
        <v>557</v>
      </c>
      <c r="F48" s="778">
        <v>4</v>
      </c>
      <c r="G48" s="791">
        <v>5500</v>
      </c>
      <c r="H48" s="320">
        <f t="shared" si="5"/>
        <v>22000</v>
      </c>
      <c r="I48" s="781" t="s">
        <v>671</v>
      </c>
    </row>
    <row r="49" spans="1:11" ht="15.95" customHeight="1">
      <c r="A49" s="966"/>
      <c r="B49" s="437"/>
      <c r="C49" s="775" t="s">
        <v>625</v>
      </c>
      <c r="D49" s="775" t="s">
        <v>633</v>
      </c>
      <c r="E49" s="778" t="s">
        <v>557</v>
      </c>
      <c r="F49" s="778">
        <v>8</v>
      </c>
      <c r="G49" s="791">
        <v>5170</v>
      </c>
      <c r="H49" s="320">
        <f t="shared" si="5"/>
        <v>41360</v>
      </c>
      <c r="I49" s="781" t="s">
        <v>667</v>
      </c>
    </row>
    <row r="50" spans="1:11" ht="15.95" customHeight="1">
      <c r="A50" s="966"/>
      <c r="B50" s="437"/>
      <c r="C50" s="775" t="s">
        <v>634</v>
      </c>
      <c r="D50" s="775" t="s">
        <v>635</v>
      </c>
      <c r="E50" s="778" t="s">
        <v>557</v>
      </c>
      <c r="F50" s="778">
        <v>16</v>
      </c>
      <c r="G50" s="791">
        <v>130</v>
      </c>
      <c r="H50" s="320">
        <f t="shared" si="5"/>
        <v>2080</v>
      </c>
      <c r="I50" s="781" t="s">
        <v>670</v>
      </c>
    </row>
    <row r="51" spans="1:11" ht="15.95" customHeight="1">
      <c r="A51" s="966"/>
      <c r="B51" s="437"/>
      <c r="C51" s="775" t="s">
        <v>628</v>
      </c>
      <c r="D51" s="775" t="s">
        <v>636</v>
      </c>
      <c r="E51" s="778" t="s">
        <v>557</v>
      </c>
      <c r="F51" s="778">
        <v>3</v>
      </c>
      <c r="G51" s="791">
        <v>25250</v>
      </c>
      <c r="H51" s="320">
        <f t="shared" si="5"/>
        <v>75750</v>
      </c>
      <c r="I51" s="781" t="s">
        <v>668</v>
      </c>
    </row>
    <row r="52" spans="1:11" ht="15.95" customHeight="1">
      <c r="A52" s="966"/>
      <c r="B52" s="437"/>
      <c r="C52" s="775" t="s">
        <v>628</v>
      </c>
      <c r="D52" s="775" t="s">
        <v>637</v>
      </c>
      <c r="E52" s="778" t="s">
        <v>557</v>
      </c>
      <c r="F52" s="778">
        <v>1</v>
      </c>
      <c r="G52" s="791">
        <v>31870</v>
      </c>
      <c r="H52" s="320">
        <f t="shared" si="5"/>
        <v>31870</v>
      </c>
      <c r="I52" s="781" t="s">
        <v>668</v>
      </c>
    </row>
    <row r="53" spans="1:11" ht="15.95" customHeight="1">
      <c r="A53" s="966"/>
      <c r="B53" s="437"/>
      <c r="C53" s="775" t="s">
        <v>638</v>
      </c>
      <c r="D53" s="775" t="s">
        <v>639</v>
      </c>
      <c r="E53" s="778" t="s">
        <v>557</v>
      </c>
      <c r="F53" s="778">
        <v>4</v>
      </c>
      <c r="G53" s="791">
        <v>27800</v>
      </c>
      <c r="H53" s="320">
        <f t="shared" si="5"/>
        <v>111200</v>
      </c>
      <c r="I53" s="781" t="s">
        <v>669</v>
      </c>
    </row>
    <row r="54" spans="1:11" ht="15.95" customHeight="1">
      <c r="A54" s="966"/>
      <c r="B54" s="436"/>
      <c r="C54" s="775" t="s">
        <v>640</v>
      </c>
      <c r="D54" s="775" t="s">
        <v>641</v>
      </c>
      <c r="E54" s="778" t="s">
        <v>557</v>
      </c>
      <c r="F54" s="778">
        <v>4</v>
      </c>
      <c r="G54" s="791">
        <v>8400</v>
      </c>
      <c r="H54" s="320">
        <f t="shared" si="5"/>
        <v>33600</v>
      </c>
      <c r="I54" s="781" t="s">
        <v>669</v>
      </c>
    </row>
    <row r="55" spans="1:11" ht="15.95" customHeight="1">
      <c r="A55" s="966"/>
      <c r="B55" s="436"/>
      <c r="C55" s="775" t="s">
        <v>642</v>
      </c>
      <c r="D55" s="775" t="s">
        <v>643</v>
      </c>
      <c r="E55" s="778" t="s">
        <v>557</v>
      </c>
      <c r="F55" s="778">
        <v>12</v>
      </c>
      <c r="G55" s="791">
        <v>90340</v>
      </c>
      <c r="H55" s="320">
        <f t="shared" si="5"/>
        <v>1084080</v>
      </c>
      <c r="I55" s="781" t="s">
        <v>668</v>
      </c>
    </row>
    <row r="56" spans="1:11" ht="15.95" customHeight="1">
      <c r="A56" s="966"/>
      <c r="B56" s="436"/>
      <c r="C56" s="775" t="s">
        <v>644</v>
      </c>
      <c r="D56" s="775" t="s">
        <v>645</v>
      </c>
      <c r="E56" s="778" t="s">
        <v>557</v>
      </c>
      <c r="F56" s="778">
        <v>2</v>
      </c>
      <c r="G56" s="791">
        <v>47130</v>
      </c>
      <c r="H56" s="320">
        <f t="shared" si="5"/>
        <v>94260</v>
      </c>
      <c r="I56" s="781" t="s">
        <v>666</v>
      </c>
    </row>
    <row r="57" spans="1:11" ht="15.95" customHeight="1">
      <c r="A57" s="966"/>
      <c r="B57" s="436"/>
      <c r="C57" s="775" t="s">
        <v>616</v>
      </c>
      <c r="D57" s="775" t="s">
        <v>657</v>
      </c>
      <c r="E57" s="778" t="s">
        <v>557</v>
      </c>
      <c r="F57" s="778">
        <v>2</v>
      </c>
      <c r="G57" s="791">
        <v>105400</v>
      </c>
      <c r="H57" s="320">
        <f t="shared" si="5"/>
        <v>210800</v>
      </c>
      <c r="I57" s="781" t="s">
        <v>666</v>
      </c>
    </row>
    <row r="58" spans="1:11" ht="15.95" customHeight="1">
      <c r="A58" s="966"/>
      <c r="B58" s="436"/>
      <c r="C58" s="775" t="s">
        <v>618</v>
      </c>
      <c r="D58" s="775" t="s">
        <v>647</v>
      </c>
      <c r="E58" s="778" t="s">
        <v>557</v>
      </c>
      <c r="F58" s="778">
        <v>4</v>
      </c>
      <c r="G58" s="791">
        <v>6250</v>
      </c>
      <c r="H58" s="320">
        <f t="shared" si="5"/>
        <v>25000</v>
      </c>
      <c r="I58" s="781" t="s">
        <v>666</v>
      </c>
    </row>
    <row r="59" spans="1:11" ht="15.95" customHeight="1">
      <c r="A59" s="966"/>
      <c r="B59" s="436"/>
      <c r="C59" s="775"/>
      <c r="D59" s="775"/>
      <c r="E59" s="778"/>
      <c r="F59" s="792"/>
      <c r="G59" s="791"/>
      <c r="H59" s="320">
        <f t="shared" si="5"/>
        <v>0</v>
      </c>
      <c r="I59" s="781"/>
    </row>
    <row r="60" spans="1:11" ht="15.95" customHeight="1">
      <c r="A60" s="966"/>
      <c r="B60" s="793" t="s">
        <v>672</v>
      </c>
      <c r="C60" s="775" t="s">
        <v>658</v>
      </c>
      <c r="D60" s="775" t="s">
        <v>659</v>
      </c>
      <c r="E60" s="778" t="s">
        <v>557</v>
      </c>
      <c r="F60" s="792">
        <v>12</v>
      </c>
      <c r="G60" s="791">
        <v>3800</v>
      </c>
      <c r="H60" s="320">
        <f t="shared" si="5"/>
        <v>45600</v>
      </c>
      <c r="I60" s="781" t="s">
        <v>667</v>
      </c>
      <c r="K60" s="261"/>
    </row>
    <row r="61" spans="1:11" ht="15.95" customHeight="1">
      <c r="A61" s="966"/>
      <c r="B61" s="436"/>
      <c r="C61" s="775" t="s">
        <v>651</v>
      </c>
      <c r="D61" s="775" t="s">
        <v>660</v>
      </c>
      <c r="E61" s="778" t="s">
        <v>557</v>
      </c>
      <c r="F61" s="778">
        <v>4</v>
      </c>
      <c r="G61" s="791">
        <v>27400</v>
      </c>
      <c r="H61" s="320">
        <f t="shared" si="5"/>
        <v>109600</v>
      </c>
      <c r="I61" s="781" t="s">
        <v>667</v>
      </c>
      <c r="K61" s="261"/>
    </row>
    <row r="62" spans="1:11" ht="15.95" customHeight="1">
      <c r="A62" s="966"/>
      <c r="B62" s="436"/>
      <c r="C62" s="775" t="s">
        <v>555</v>
      </c>
      <c r="D62" s="775" t="s">
        <v>661</v>
      </c>
      <c r="E62" s="778" t="s">
        <v>557</v>
      </c>
      <c r="F62" s="778">
        <v>6</v>
      </c>
      <c r="G62" s="791">
        <v>10150</v>
      </c>
      <c r="H62" s="320">
        <f t="shared" si="5"/>
        <v>60900</v>
      </c>
      <c r="I62" s="781" t="s">
        <v>563</v>
      </c>
    </row>
    <row r="63" spans="1:11" ht="15.95" customHeight="1">
      <c r="A63" s="966"/>
      <c r="B63" s="436"/>
      <c r="C63" s="775" t="s">
        <v>662</v>
      </c>
      <c r="D63" s="775" t="s">
        <v>663</v>
      </c>
      <c r="E63" s="778" t="s">
        <v>557</v>
      </c>
      <c r="F63" s="778">
        <v>4</v>
      </c>
      <c r="G63" s="791">
        <v>9000</v>
      </c>
      <c r="H63" s="320">
        <f t="shared" si="5"/>
        <v>36000</v>
      </c>
      <c r="I63" s="781" t="s">
        <v>668</v>
      </c>
    </row>
    <row r="64" spans="1:11" ht="15.95" customHeight="1">
      <c r="A64" s="966"/>
      <c r="B64" s="436"/>
      <c r="C64" s="775" t="s">
        <v>630</v>
      </c>
      <c r="D64" s="775" t="s">
        <v>631</v>
      </c>
      <c r="E64" s="778" t="s">
        <v>557</v>
      </c>
      <c r="F64" s="778">
        <v>1</v>
      </c>
      <c r="G64" s="791">
        <v>65500</v>
      </c>
      <c r="H64" s="320">
        <f t="shared" si="5"/>
        <v>65500</v>
      </c>
      <c r="I64" s="781" t="s">
        <v>669</v>
      </c>
    </row>
    <row r="65" spans="1:9" ht="15.95" customHeight="1">
      <c r="A65" s="966"/>
      <c r="B65" s="436"/>
      <c r="C65" s="775" t="s">
        <v>640</v>
      </c>
      <c r="D65" s="775" t="s">
        <v>632</v>
      </c>
      <c r="E65" s="778" t="s">
        <v>557</v>
      </c>
      <c r="F65" s="778">
        <v>2</v>
      </c>
      <c r="G65" s="791">
        <v>10700</v>
      </c>
      <c r="H65" s="320">
        <f t="shared" si="5"/>
        <v>21400</v>
      </c>
      <c r="I65" s="781" t="s">
        <v>669</v>
      </c>
    </row>
    <row r="66" spans="1:9" ht="15.95" customHeight="1">
      <c r="A66" s="966"/>
      <c r="B66" s="436"/>
      <c r="C66" s="775" t="s">
        <v>620</v>
      </c>
      <c r="D66" s="775" t="s">
        <v>664</v>
      </c>
      <c r="E66" s="778" t="s">
        <v>557</v>
      </c>
      <c r="F66" s="778">
        <v>3</v>
      </c>
      <c r="G66" s="791">
        <v>256430</v>
      </c>
      <c r="H66" s="320">
        <f t="shared" si="5"/>
        <v>769290</v>
      </c>
      <c r="I66" s="781" t="s">
        <v>667</v>
      </c>
    </row>
    <row r="67" spans="1:9" ht="15.95" customHeight="1">
      <c r="A67" s="966"/>
      <c r="B67" s="436"/>
      <c r="C67" s="775" t="s">
        <v>665</v>
      </c>
      <c r="D67" s="775" t="s">
        <v>643</v>
      </c>
      <c r="E67" s="778" t="s">
        <v>557</v>
      </c>
      <c r="F67" s="778">
        <v>9</v>
      </c>
      <c r="G67" s="791">
        <v>90340</v>
      </c>
      <c r="H67" s="320">
        <f t="shared" si="5"/>
        <v>813060</v>
      </c>
      <c r="I67" s="781" t="s">
        <v>668</v>
      </c>
    </row>
    <row r="68" spans="1:9" ht="15.95" customHeight="1">
      <c r="A68" s="966"/>
      <c r="B68" s="436"/>
      <c r="C68" s="318"/>
      <c r="D68" s="331"/>
      <c r="E68" s="315" t="s">
        <v>223</v>
      </c>
      <c r="F68" s="321"/>
      <c r="G68" s="319"/>
      <c r="H68" s="320">
        <f t="shared" si="5"/>
        <v>0</v>
      </c>
      <c r="I68" s="317"/>
    </row>
    <row r="69" spans="1:9" ht="15.95" customHeight="1">
      <c r="A69" s="966"/>
      <c r="B69" s="436"/>
      <c r="C69" s="438"/>
      <c r="D69" s="331"/>
      <c r="E69" s="315" t="s">
        <v>223</v>
      </c>
      <c r="F69" s="321"/>
      <c r="G69" s="319"/>
      <c r="H69" s="320">
        <f t="shared" si="5"/>
        <v>0</v>
      </c>
      <c r="I69" s="317"/>
    </row>
    <row r="70" spans="1:9" ht="15.95" customHeight="1">
      <c r="A70" s="966"/>
      <c r="B70" s="436"/>
      <c r="C70" s="438"/>
      <c r="D70" s="331"/>
      <c r="E70" s="315" t="s">
        <v>223</v>
      </c>
      <c r="F70" s="321"/>
      <c r="G70" s="319"/>
      <c r="H70" s="320">
        <f t="shared" si="5"/>
        <v>0</v>
      </c>
      <c r="I70" s="317"/>
    </row>
    <row r="71" spans="1:9" ht="15.95" customHeight="1">
      <c r="A71" s="966"/>
      <c r="B71" s="436"/>
      <c r="C71" s="438"/>
      <c r="D71" s="331"/>
      <c r="E71" s="315" t="s">
        <v>223</v>
      </c>
      <c r="F71" s="321"/>
      <c r="G71" s="319"/>
      <c r="H71" s="320">
        <f t="shared" si="5"/>
        <v>0</v>
      </c>
      <c r="I71" s="317"/>
    </row>
    <row r="72" spans="1:9" ht="15.95" customHeight="1">
      <c r="A72" s="966"/>
      <c r="B72" s="436"/>
      <c r="C72" s="438"/>
      <c r="D72" s="331"/>
      <c r="E72" s="315" t="s">
        <v>223</v>
      </c>
      <c r="F72" s="321"/>
      <c r="G72" s="319"/>
      <c r="H72" s="320">
        <f>SUM(G72*F72)</f>
        <v>0</v>
      </c>
      <c r="I72" s="317"/>
    </row>
    <row r="73" spans="1:9" ht="15.95" customHeight="1">
      <c r="A73" s="966"/>
      <c r="B73" s="436"/>
      <c r="C73" s="438"/>
      <c r="D73" s="331"/>
      <c r="E73" s="315" t="s">
        <v>223</v>
      </c>
      <c r="F73" s="321"/>
      <c r="G73" s="319"/>
      <c r="H73" s="320">
        <f t="shared" ref="H73:H78" si="6">SUM(G73*F73)</f>
        <v>0</v>
      </c>
      <c r="I73" s="317"/>
    </row>
    <row r="74" spans="1:9" ht="15.95" customHeight="1">
      <c r="A74" s="966"/>
      <c r="B74" s="436"/>
      <c r="C74" s="438"/>
      <c r="D74" s="331"/>
      <c r="E74" s="315" t="s">
        <v>223</v>
      </c>
      <c r="F74" s="321"/>
      <c r="G74" s="319"/>
      <c r="H74" s="320">
        <f t="shared" si="6"/>
        <v>0</v>
      </c>
      <c r="I74" s="317"/>
    </row>
    <row r="75" spans="1:9" ht="15.95" customHeight="1">
      <c r="A75" s="966"/>
      <c r="B75" s="436"/>
      <c r="C75" s="438"/>
      <c r="D75" s="331"/>
      <c r="E75" s="315" t="s">
        <v>223</v>
      </c>
      <c r="F75" s="321"/>
      <c r="G75" s="319"/>
      <c r="H75" s="320">
        <f t="shared" si="6"/>
        <v>0</v>
      </c>
      <c r="I75" s="317"/>
    </row>
    <row r="76" spans="1:9" ht="15.95" customHeight="1">
      <c r="A76" s="966"/>
      <c r="B76" s="436"/>
      <c r="C76" s="438"/>
      <c r="D76" s="331"/>
      <c r="E76" s="315" t="s">
        <v>223</v>
      </c>
      <c r="F76" s="321"/>
      <c r="G76" s="319"/>
      <c r="H76" s="320">
        <f t="shared" si="6"/>
        <v>0</v>
      </c>
      <c r="I76" s="317"/>
    </row>
    <row r="77" spans="1:9" ht="15.95" customHeight="1">
      <c r="A77" s="966"/>
      <c r="B77" s="436"/>
      <c r="C77" s="438"/>
      <c r="D77" s="331"/>
      <c r="E77" s="315" t="s">
        <v>223</v>
      </c>
      <c r="F77" s="321"/>
      <c r="G77" s="319"/>
      <c r="H77" s="320">
        <f t="shared" si="6"/>
        <v>0</v>
      </c>
      <c r="I77" s="317"/>
    </row>
    <row r="78" spans="1:9" ht="15.95" customHeight="1">
      <c r="A78" s="966"/>
      <c r="B78" s="436"/>
      <c r="C78" s="318"/>
      <c r="D78" s="331"/>
      <c r="E78" s="315" t="s">
        <v>223</v>
      </c>
      <c r="F78" s="321"/>
      <c r="G78" s="319"/>
      <c r="H78" s="320">
        <f t="shared" si="6"/>
        <v>0</v>
      </c>
      <c r="I78" s="317"/>
    </row>
    <row r="79" spans="1:9" ht="15.95" customHeight="1">
      <c r="A79" s="966"/>
      <c r="B79" s="436"/>
      <c r="C79" s="318"/>
      <c r="D79" s="331"/>
      <c r="E79" s="315" t="s">
        <v>223</v>
      </c>
      <c r="F79" s="321"/>
      <c r="G79" s="319"/>
      <c r="H79" s="320">
        <f t="shared" ref="H79:H91" si="7">IF(F79=0,G79,G79*F79)</f>
        <v>0</v>
      </c>
      <c r="I79" s="317"/>
    </row>
    <row r="80" spans="1:9" ht="15.95" customHeight="1">
      <c r="A80" s="966"/>
      <c r="B80" s="436"/>
      <c r="C80" s="438"/>
      <c r="D80" s="331"/>
      <c r="E80" s="315" t="s">
        <v>223</v>
      </c>
      <c r="F80" s="321"/>
      <c r="G80" s="319"/>
      <c r="H80" s="320">
        <f t="shared" si="7"/>
        <v>0</v>
      </c>
      <c r="I80" s="317"/>
    </row>
    <row r="81" spans="1:9" ht="15.95" customHeight="1">
      <c r="A81" s="966"/>
      <c r="B81" s="436"/>
      <c r="C81" s="318"/>
      <c r="D81" s="331"/>
      <c r="E81" s="315" t="s">
        <v>223</v>
      </c>
      <c r="F81" s="321"/>
      <c r="G81" s="319"/>
      <c r="H81" s="320">
        <f t="shared" si="7"/>
        <v>0</v>
      </c>
      <c r="I81" s="317"/>
    </row>
    <row r="82" spans="1:9" ht="15.95" customHeight="1">
      <c r="A82" s="966"/>
      <c r="B82" s="436"/>
      <c r="C82" s="318"/>
      <c r="D82" s="331"/>
      <c r="E82" s="315" t="s">
        <v>223</v>
      </c>
      <c r="F82" s="321"/>
      <c r="G82" s="319"/>
      <c r="H82" s="320">
        <f t="shared" si="7"/>
        <v>0</v>
      </c>
      <c r="I82" s="317"/>
    </row>
    <row r="83" spans="1:9" ht="15.95" customHeight="1">
      <c r="A83" s="966"/>
      <c r="B83" s="436"/>
      <c r="C83" s="318"/>
      <c r="D83" s="331"/>
      <c r="E83" s="315" t="s">
        <v>223</v>
      </c>
      <c r="F83" s="321"/>
      <c r="G83" s="319"/>
      <c r="H83" s="320">
        <f t="shared" si="7"/>
        <v>0</v>
      </c>
      <c r="I83" s="317"/>
    </row>
    <row r="84" spans="1:9" ht="15.95" customHeight="1">
      <c r="A84" s="966"/>
      <c r="B84" s="436"/>
      <c r="C84" s="318"/>
      <c r="D84" s="331"/>
      <c r="E84" s="315" t="s">
        <v>223</v>
      </c>
      <c r="F84" s="321"/>
      <c r="G84" s="319"/>
      <c r="H84" s="320">
        <f t="shared" si="7"/>
        <v>0</v>
      </c>
      <c r="I84" s="317"/>
    </row>
    <row r="85" spans="1:9" ht="15.95" customHeight="1">
      <c r="A85" s="966"/>
      <c r="B85" s="436"/>
      <c r="C85" s="318"/>
      <c r="D85" s="331"/>
      <c r="E85" s="315" t="s">
        <v>223</v>
      </c>
      <c r="F85" s="321"/>
      <c r="G85" s="319"/>
      <c r="H85" s="320">
        <f t="shared" si="7"/>
        <v>0</v>
      </c>
      <c r="I85" s="317"/>
    </row>
    <row r="86" spans="1:9" ht="15.95" customHeight="1">
      <c r="A86" s="966"/>
      <c r="B86" s="436"/>
      <c r="C86" s="318"/>
      <c r="D86" s="331"/>
      <c r="E86" s="315" t="s">
        <v>223</v>
      </c>
      <c r="F86" s="321"/>
      <c r="G86" s="319"/>
      <c r="H86" s="320">
        <f t="shared" si="7"/>
        <v>0</v>
      </c>
      <c r="I86" s="317"/>
    </row>
    <row r="87" spans="1:9" ht="15.95" customHeight="1">
      <c r="A87" s="966"/>
      <c r="B87" s="436"/>
      <c r="C87" s="318"/>
      <c r="D87" s="331"/>
      <c r="E87" s="315" t="s">
        <v>223</v>
      </c>
      <c r="F87" s="321"/>
      <c r="G87" s="319"/>
      <c r="H87" s="320">
        <f t="shared" si="7"/>
        <v>0</v>
      </c>
      <c r="I87" s="317"/>
    </row>
    <row r="88" spans="1:9" ht="15.95" customHeight="1">
      <c r="A88" s="966"/>
      <c r="B88" s="436"/>
      <c r="C88" s="318"/>
      <c r="D88" s="331"/>
      <c r="E88" s="315" t="s">
        <v>223</v>
      </c>
      <c r="F88" s="321"/>
      <c r="G88" s="319"/>
      <c r="H88" s="320">
        <f t="shared" si="7"/>
        <v>0</v>
      </c>
      <c r="I88" s="317"/>
    </row>
    <row r="89" spans="1:9" ht="15.95" customHeight="1">
      <c r="A89" s="966"/>
      <c r="B89" s="436"/>
      <c r="C89" s="318"/>
      <c r="D89" s="331"/>
      <c r="E89" s="315" t="s">
        <v>223</v>
      </c>
      <c r="F89" s="321"/>
      <c r="G89" s="319"/>
      <c r="H89" s="320">
        <f t="shared" si="7"/>
        <v>0</v>
      </c>
      <c r="I89" s="317"/>
    </row>
    <row r="90" spans="1:9" ht="15.95" customHeight="1">
      <c r="A90" s="966"/>
      <c r="B90" s="436"/>
      <c r="C90" s="318"/>
      <c r="D90" s="331"/>
      <c r="E90" s="315" t="s">
        <v>223</v>
      </c>
      <c r="F90" s="321"/>
      <c r="G90" s="319"/>
      <c r="H90" s="320">
        <f t="shared" si="7"/>
        <v>0</v>
      </c>
      <c r="I90" s="317"/>
    </row>
    <row r="91" spans="1:9" ht="15.95" customHeight="1">
      <c r="A91" s="966"/>
      <c r="B91" s="436"/>
      <c r="C91" s="318"/>
      <c r="D91" s="331"/>
      <c r="E91" s="315" t="s">
        <v>223</v>
      </c>
      <c r="F91" s="321"/>
      <c r="G91" s="319"/>
      <c r="H91" s="320">
        <f t="shared" si="7"/>
        <v>0</v>
      </c>
      <c r="I91" s="317"/>
    </row>
    <row r="92" spans="1:9" ht="15.95" customHeight="1">
      <c r="A92" s="966"/>
      <c r="B92" s="436"/>
      <c r="C92" s="318"/>
      <c r="D92" s="331"/>
      <c r="E92" s="315" t="s">
        <v>223</v>
      </c>
      <c r="F92" s="321"/>
      <c r="G92" s="319"/>
      <c r="H92" s="320">
        <f t="shared" ref="H92:H100" si="8">IF(F92=0,G92,G92*F92)</f>
        <v>0</v>
      </c>
      <c r="I92" s="317"/>
    </row>
    <row r="93" spans="1:9" ht="15.95" customHeight="1">
      <c r="A93" s="966"/>
      <c r="B93" s="436"/>
      <c r="C93" s="331"/>
      <c r="D93" s="331"/>
      <c r="E93" s="315" t="s">
        <v>223</v>
      </c>
      <c r="F93" s="321"/>
      <c r="G93" s="319"/>
      <c r="H93" s="320">
        <f t="shared" si="8"/>
        <v>0</v>
      </c>
      <c r="I93" s="317"/>
    </row>
    <row r="94" spans="1:9" ht="15.95" customHeight="1">
      <c r="A94" s="966"/>
      <c r="B94" s="436"/>
      <c r="C94" s="331"/>
      <c r="D94" s="331"/>
      <c r="E94" s="315" t="s">
        <v>223</v>
      </c>
      <c r="F94" s="321"/>
      <c r="G94" s="319"/>
      <c r="H94" s="320">
        <f t="shared" si="8"/>
        <v>0</v>
      </c>
      <c r="I94" s="317"/>
    </row>
    <row r="95" spans="1:9" ht="15.95" customHeight="1">
      <c r="A95" s="966"/>
      <c r="B95" s="436"/>
      <c r="C95" s="318"/>
      <c r="D95" s="331"/>
      <c r="E95" s="315" t="s">
        <v>223</v>
      </c>
      <c r="F95" s="321"/>
      <c r="G95" s="319"/>
      <c r="H95" s="320">
        <f t="shared" si="8"/>
        <v>0</v>
      </c>
      <c r="I95" s="317"/>
    </row>
    <row r="96" spans="1:9" ht="15.95" customHeight="1">
      <c r="A96" s="966"/>
      <c r="B96" s="436"/>
      <c r="C96" s="318"/>
      <c r="D96" s="331"/>
      <c r="E96" s="315" t="s">
        <v>223</v>
      </c>
      <c r="F96" s="321"/>
      <c r="G96" s="319"/>
      <c r="H96" s="320">
        <f t="shared" si="8"/>
        <v>0</v>
      </c>
      <c r="I96" s="317"/>
    </row>
    <row r="97" spans="1:9" ht="15.95" customHeight="1">
      <c r="A97" s="966"/>
      <c r="B97" s="436"/>
      <c r="C97" s="318"/>
      <c r="D97" s="331"/>
      <c r="E97" s="315" t="s">
        <v>223</v>
      </c>
      <c r="F97" s="321"/>
      <c r="G97" s="319"/>
      <c r="H97" s="320">
        <f t="shared" si="8"/>
        <v>0</v>
      </c>
      <c r="I97" s="317"/>
    </row>
    <row r="98" spans="1:9" ht="15.95" customHeight="1">
      <c r="A98" s="966"/>
      <c r="B98" s="436"/>
      <c r="C98" s="318"/>
      <c r="D98" s="331"/>
      <c r="E98" s="315" t="s">
        <v>223</v>
      </c>
      <c r="F98" s="321"/>
      <c r="G98" s="319"/>
      <c r="H98" s="320">
        <f t="shared" si="8"/>
        <v>0</v>
      </c>
      <c r="I98" s="317"/>
    </row>
    <row r="99" spans="1:9" ht="15.95" customHeight="1">
      <c r="A99" s="966"/>
      <c r="B99" s="436"/>
      <c r="C99" s="318"/>
      <c r="D99" s="331"/>
      <c r="E99" s="315" t="s">
        <v>223</v>
      </c>
      <c r="F99" s="321"/>
      <c r="G99" s="319"/>
      <c r="H99" s="320">
        <f t="shared" si="8"/>
        <v>0</v>
      </c>
      <c r="I99" s="317"/>
    </row>
    <row r="100" spans="1:9" ht="15.95" customHeight="1">
      <c r="A100" s="966"/>
      <c r="B100" s="436"/>
      <c r="C100" s="318"/>
      <c r="D100" s="331"/>
      <c r="E100" s="315" t="s">
        <v>223</v>
      </c>
      <c r="F100" s="321"/>
      <c r="G100" s="319"/>
      <c r="H100" s="320">
        <f t="shared" si="8"/>
        <v>0</v>
      </c>
      <c r="I100" s="317"/>
    </row>
    <row r="101" spans="1:9" ht="15.95" customHeight="1">
      <c r="A101" s="966"/>
      <c r="B101" s="436"/>
      <c r="C101" s="318"/>
      <c r="D101" s="331"/>
      <c r="E101" s="315" t="s">
        <v>223</v>
      </c>
      <c r="F101" s="321"/>
      <c r="G101" s="319"/>
      <c r="H101" s="320">
        <f t="shared" ref="H101:H106" si="9">IF(F101=0,G101,G101*F101)</f>
        <v>0</v>
      </c>
      <c r="I101" s="317"/>
    </row>
    <row r="102" spans="1:9" ht="15.95" customHeight="1">
      <c r="A102" s="966"/>
      <c r="B102" s="436"/>
      <c r="C102" s="318"/>
      <c r="D102" s="331"/>
      <c r="E102" s="315" t="s">
        <v>223</v>
      </c>
      <c r="F102" s="321"/>
      <c r="G102" s="319"/>
      <c r="H102" s="320">
        <f t="shared" si="9"/>
        <v>0</v>
      </c>
      <c r="I102" s="317"/>
    </row>
    <row r="103" spans="1:9" ht="15.95" customHeight="1">
      <c r="A103" s="966"/>
      <c r="B103" s="436"/>
      <c r="C103" s="318"/>
      <c r="D103" s="331"/>
      <c r="E103" s="315"/>
      <c r="F103" s="321"/>
      <c r="G103" s="319"/>
      <c r="H103" s="320">
        <f t="shared" si="9"/>
        <v>0</v>
      </c>
      <c r="I103" s="317"/>
    </row>
    <row r="104" spans="1:9" ht="15.95" customHeight="1">
      <c r="A104" s="966"/>
      <c r="B104" s="436"/>
      <c r="C104" s="318"/>
      <c r="D104" s="331"/>
      <c r="E104" s="315"/>
      <c r="F104" s="321"/>
      <c r="G104" s="319"/>
      <c r="H104" s="320">
        <f t="shared" si="9"/>
        <v>0</v>
      </c>
      <c r="I104" s="317"/>
    </row>
    <row r="105" spans="1:9" ht="15.95" customHeight="1">
      <c r="A105" s="966"/>
      <c r="B105" s="436"/>
      <c r="C105" s="318"/>
      <c r="D105" s="331"/>
      <c r="E105" s="315"/>
      <c r="F105" s="321"/>
      <c r="G105" s="319"/>
      <c r="H105" s="320">
        <f t="shared" si="9"/>
        <v>0</v>
      </c>
      <c r="I105" s="317"/>
    </row>
    <row r="106" spans="1:9" ht="15.95" customHeight="1">
      <c r="A106" s="966"/>
      <c r="B106" s="436"/>
      <c r="C106" s="332" t="s">
        <v>238</v>
      </c>
      <c r="D106" s="333"/>
      <c r="E106" s="334" t="s">
        <v>239</v>
      </c>
      <c r="F106" s="335">
        <v>1</v>
      </c>
      <c r="G106" s="336"/>
      <c r="H106" s="320">
        <f t="shared" si="9"/>
        <v>0</v>
      </c>
      <c r="I106" s="388"/>
    </row>
    <row r="107" spans="1:9" ht="15.95" customHeight="1">
      <c r="A107" s="966"/>
      <c r="B107" s="342"/>
      <c r="C107" s="389"/>
      <c r="D107" s="390"/>
      <c r="E107" s="430"/>
      <c r="F107" s="431"/>
      <c r="G107" s="378"/>
      <c r="H107" s="347">
        <f>SUM(H15:H106)</f>
        <v>9283438</v>
      </c>
      <c r="I107" s="392"/>
    </row>
    <row r="108" spans="1:9" ht="15.95" customHeight="1">
      <c r="A108" s="966"/>
      <c r="B108" s="349" t="s">
        <v>242</v>
      </c>
      <c r="C108" s="439"/>
      <c r="D108" s="440"/>
      <c r="E108" s="311" t="s">
        <v>219</v>
      </c>
      <c r="F108" s="441"/>
      <c r="G108" s="415"/>
      <c r="H108" s="337">
        <f>G108*F108</f>
        <v>0</v>
      </c>
      <c r="I108" s="418"/>
    </row>
    <row r="109" spans="1:9" ht="15.95" customHeight="1">
      <c r="A109" s="966"/>
      <c r="B109" s="773" t="s">
        <v>554</v>
      </c>
      <c r="C109" s="775" t="s">
        <v>674</v>
      </c>
      <c r="D109" s="775" t="s">
        <v>675</v>
      </c>
      <c r="E109" s="778" t="s">
        <v>557</v>
      </c>
      <c r="F109" s="790">
        <v>8</v>
      </c>
      <c r="G109" s="791">
        <v>68000</v>
      </c>
      <c r="H109" s="319">
        <f>G109*F109</f>
        <v>544000</v>
      </c>
      <c r="I109" s="788" t="s">
        <v>842</v>
      </c>
    </row>
    <row r="110" spans="1:9" ht="15.95" customHeight="1">
      <c r="A110" s="966"/>
      <c r="B110" s="341"/>
      <c r="C110" s="775" t="s">
        <v>677</v>
      </c>
      <c r="D110" s="775" t="s">
        <v>678</v>
      </c>
      <c r="E110" s="778" t="s">
        <v>557</v>
      </c>
      <c r="F110" s="778">
        <v>4</v>
      </c>
      <c r="G110" s="791">
        <v>94000</v>
      </c>
      <c r="H110" s="319">
        <f t="shared" ref="H110:H119" si="10">G110*F110</f>
        <v>376000</v>
      </c>
      <c r="I110" s="788" t="s">
        <v>842</v>
      </c>
    </row>
    <row r="111" spans="1:9" ht="15.95" customHeight="1">
      <c r="A111" s="966"/>
      <c r="B111" s="341"/>
      <c r="C111" s="775" t="s">
        <v>680</v>
      </c>
      <c r="D111" s="775" t="s">
        <v>681</v>
      </c>
      <c r="E111" s="778" t="s">
        <v>557</v>
      </c>
      <c r="F111" s="778">
        <v>1</v>
      </c>
      <c r="G111" s="791">
        <v>12000</v>
      </c>
      <c r="H111" s="319">
        <f t="shared" si="10"/>
        <v>12000</v>
      </c>
      <c r="I111" s="788" t="s">
        <v>842</v>
      </c>
    </row>
    <row r="112" spans="1:9" ht="15.95" customHeight="1">
      <c r="A112" s="966"/>
      <c r="B112" s="341"/>
      <c r="C112" s="775" t="s">
        <v>682</v>
      </c>
      <c r="D112" s="775" t="s">
        <v>683</v>
      </c>
      <c r="E112" s="778" t="s">
        <v>557</v>
      </c>
      <c r="F112" s="778">
        <v>4</v>
      </c>
      <c r="G112" s="791">
        <v>45000</v>
      </c>
      <c r="H112" s="319">
        <f t="shared" si="10"/>
        <v>180000</v>
      </c>
      <c r="I112" s="788" t="s">
        <v>842</v>
      </c>
    </row>
    <row r="113" spans="1:9" ht="15.95" customHeight="1">
      <c r="A113" s="966"/>
      <c r="B113" s="341"/>
      <c r="C113" s="775" t="s">
        <v>685</v>
      </c>
      <c r="D113" s="775" t="s">
        <v>686</v>
      </c>
      <c r="E113" s="778" t="s">
        <v>557</v>
      </c>
      <c r="F113" s="778">
        <v>4</v>
      </c>
      <c r="G113" s="791">
        <v>53000</v>
      </c>
      <c r="H113" s="319">
        <f t="shared" si="10"/>
        <v>212000</v>
      </c>
      <c r="I113" s="788" t="s">
        <v>842</v>
      </c>
    </row>
    <row r="114" spans="1:9" ht="15.95" customHeight="1">
      <c r="A114" s="966"/>
      <c r="B114" s="341"/>
      <c r="C114" s="775" t="s">
        <v>687</v>
      </c>
      <c r="D114" s="775" t="s">
        <v>688</v>
      </c>
      <c r="E114" s="778" t="s">
        <v>557</v>
      </c>
      <c r="F114" s="778">
        <v>2</v>
      </c>
      <c r="G114" s="791">
        <v>120000</v>
      </c>
      <c r="H114" s="319">
        <f t="shared" si="10"/>
        <v>240000</v>
      </c>
      <c r="I114" s="788" t="s">
        <v>842</v>
      </c>
    </row>
    <row r="115" spans="1:9" ht="15.95" customHeight="1">
      <c r="A115" s="966"/>
      <c r="B115" s="341"/>
      <c r="C115" s="775" t="s">
        <v>689</v>
      </c>
      <c r="D115" s="775" t="s">
        <v>690</v>
      </c>
      <c r="E115" s="778" t="s">
        <v>557</v>
      </c>
      <c r="F115" s="778">
        <v>4</v>
      </c>
      <c r="G115" s="791">
        <v>10000</v>
      </c>
      <c r="H115" s="319">
        <f t="shared" si="10"/>
        <v>40000</v>
      </c>
      <c r="I115" s="788" t="s">
        <v>842</v>
      </c>
    </row>
    <row r="116" spans="1:9" ht="15.95" customHeight="1">
      <c r="A116" s="966"/>
      <c r="B116" s="341"/>
      <c r="C116" s="775" t="s">
        <v>692</v>
      </c>
      <c r="D116" s="775" t="s">
        <v>693</v>
      </c>
      <c r="E116" s="778" t="s">
        <v>557</v>
      </c>
      <c r="F116" s="778">
        <v>1</v>
      </c>
      <c r="G116" s="791">
        <v>6000</v>
      </c>
      <c r="H116" s="319">
        <f t="shared" si="10"/>
        <v>6000</v>
      </c>
      <c r="I116" s="788" t="s">
        <v>842</v>
      </c>
    </row>
    <row r="117" spans="1:9" ht="15.95" customHeight="1">
      <c r="A117" s="966"/>
      <c r="B117" s="341"/>
      <c r="C117" s="775" t="s">
        <v>694</v>
      </c>
      <c r="D117" s="775" t="s">
        <v>695</v>
      </c>
      <c r="E117" s="778" t="s">
        <v>557</v>
      </c>
      <c r="F117" s="778">
        <v>1</v>
      </c>
      <c r="G117" s="791">
        <v>115000</v>
      </c>
      <c r="H117" s="319">
        <f t="shared" si="10"/>
        <v>115000</v>
      </c>
      <c r="I117" s="788" t="s">
        <v>842</v>
      </c>
    </row>
    <row r="118" spans="1:9" ht="15.95" customHeight="1">
      <c r="A118" s="966"/>
      <c r="B118" s="341"/>
      <c r="C118" s="775" t="s">
        <v>696</v>
      </c>
      <c r="D118" s="775" t="s">
        <v>697</v>
      </c>
      <c r="E118" s="778" t="s">
        <v>557</v>
      </c>
      <c r="F118" s="778">
        <v>8</v>
      </c>
      <c r="G118" s="791">
        <v>116000</v>
      </c>
      <c r="H118" s="319">
        <f t="shared" si="10"/>
        <v>928000</v>
      </c>
      <c r="I118" s="788" t="s">
        <v>842</v>
      </c>
    </row>
    <row r="119" spans="1:9" ht="15.95" customHeight="1">
      <c r="A119" s="966"/>
      <c r="B119" s="341"/>
      <c r="C119" s="775" t="s">
        <v>698</v>
      </c>
      <c r="D119" s="775" t="s">
        <v>699</v>
      </c>
      <c r="E119" s="778" t="s">
        <v>557</v>
      </c>
      <c r="F119" s="778">
        <v>4</v>
      </c>
      <c r="G119" s="791">
        <v>29000</v>
      </c>
      <c r="H119" s="319">
        <f t="shared" si="10"/>
        <v>116000</v>
      </c>
      <c r="I119" s="788" t="s">
        <v>842</v>
      </c>
    </row>
    <row r="120" spans="1:9" ht="15.95" customHeight="1">
      <c r="A120" s="966"/>
      <c r="B120" s="341"/>
      <c r="C120" s="775" t="s">
        <v>700</v>
      </c>
      <c r="D120" s="775" t="s">
        <v>701</v>
      </c>
      <c r="E120" s="778" t="s">
        <v>557</v>
      </c>
      <c r="F120" s="778">
        <v>1</v>
      </c>
      <c r="G120" s="791">
        <v>18000</v>
      </c>
      <c r="H120" s="319">
        <f t="shared" ref="H120:H131" si="11">IF(F120=0,G120,G120*F120)</f>
        <v>18000</v>
      </c>
      <c r="I120" s="788" t="s">
        <v>842</v>
      </c>
    </row>
    <row r="121" spans="1:9" ht="15.95" customHeight="1">
      <c r="A121" s="966"/>
      <c r="B121" s="436"/>
      <c r="C121" s="775" t="s">
        <v>702</v>
      </c>
      <c r="D121" s="775" t="s">
        <v>703</v>
      </c>
      <c r="E121" s="778" t="s">
        <v>557</v>
      </c>
      <c r="F121" s="778">
        <v>1</v>
      </c>
      <c r="G121" s="791">
        <v>30000</v>
      </c>
      <c r="H121" s="319">
        <f t="shared" si="11"/>
        <v>30000</v>
      </c>
      <c r="I121" s="788" t="s">
        <v>842</v>
      </c>
    </row>
    <row r="122" spans="1:9" ht="15.95" customHeight="1">
      <c r="A122" s="966"/>
      <c r="B122" s="436"/>
      <c r="C122" s="775" t="s">
        <v>704</v>
      </c>
      <c r="D122" s="775" t="s">
        <v>705</v>
      </c>
      <c r="E122" s="778" t="s">
        <v>557</v>
      </c>
      <c r="F122" s="778">
        <v>1</v>
      </c>
      <c r="G122" s="791">
        <v>115400</v>
      </c>
      <c r="H122" s="319">
        <f t="shared" si="11"/>
        <v>115400</v>
      </c>
      <c r="I122" s="788" t="s">
        <v>842</v>
      </c>
    </row>
    <row r="123" spans="1:9" ht="15.95" customHeight="1">
      <c r="A123" s="966"/>
      <c r="B123" s="436"/>
      <c r="C123" s="775" t="s">
        <v>706</v>
      </c>
      <c r="D123" s="775" t="s">
        <v>707</v>
      </c>
      <c r="E123" s="778" t="s">
        <v>557</v>
      </c>
      <c r="F123" s="778">
        <v>1</v>
      </c>
      <c r="G123" s="791">
        <v>125400</v>
      </c>
      <c r="H123" s="319">
        <f t="shared" si="11"/>
        <v>125400</v>
      </c>
      <c r="I123" s="788" t="s">
        <v>842</v>
      </c>
    </row>
    <row r="124" spans="1:9" ht="15.95" customHeight="1">
      <c r="A124" s="966"/>
      <c r="B124" s="436"/>
      <c r="C124" s="775" t="s">
        <v>708</v>
      </c>
      <c r="D124" s="775" t="s">
        <v>709</v>
      </c>
      <c r="E124" s="778" t="s">
        <v>557</v>
      </c>
      <c r="F124" s="778">
        <v>4</v>
      </c>
      <c r="G124" s="791">
        <v>10000</v>
      </c>
      <c r="H124" s="319">
        <f t="shared" si="11"/>
        <v>40000</v>
      </c>
      <c r="I124" s="788" t="s">
        <v>842</v>
      </c>
    </row>
    <row r="125" spans="1:9" ht="15.95" customHeight="1">
      <c r="A125" s="966"/>
      <c r="B125" s="436"/>
      <c r="C125" s="775" t="s">
        <v>710</v>
      </c>
      <c r="D125" s="775" t="s">
        <v>711</v>
      </c>
      <c r="E125" s="778" t="s">
        <v>557</v>
      </c>
      <c r="F125" s="778">
        <v>2</v>
      </c>
      <c r="G125" s="791">
        <v>15000</v>
      </c>
      <c r="H125" s="319">
        <f t="shared" si="11"/>
        <v>30000</v>
      </c>
      <c r="I125" s="788" t="s">
        <v>842</v>
      </c>
    </row>
    <row r="126" spans="1:9" ht="15.95" customHeight="1">
      <c r="A126" s="966"/>
      <c r="B126" s="436"/>
      <c r="C126" s="775" t="s">
        <v>712</v>
      </c>
      <c r="D126" s="775" t="s">
        <v>713</v>
      </c>
      <c r="E126" s="778" t="s">
        <v>557</v>
      </c>
      <c r="F126" s="778">
        <v>2</v>
      </c>
      <c r="G126" s="791">
        <v>10000</v>
      </c>
      <c r="H126" s="319">
        <f t="shared" si="11"/>
        <v>20000</v>
      </c>
      <c r="I126" s="788" t="s">
        <v>842</v>
      </c>
    </row>
    <row r="127" spans="1:9" ht="15.95" customHeight="1">
      <c r="A127" s="966"/>
      <c r="B127" s="436"/>
      <c r="C127" s="775" t="s">
        <v>715</v>
      </c>
      <c r="D127" s="775" t="s">
        <v>716</v>
      </c>
      <c r="E127" s="778" t="s">
        <v>557</v>
      </c>
      <c r="F127" s="778">
        <v>2</v>
      </c>
      <c r="G127" s="791">
        <v>8000</v>
      </c>
      <c r="H127" s="319">
        <f t="shared" si="11"/>
        <v>16000</v>
      </c>
      <c r="I127" s="788" t="s">
        <v>842</v>
      </c>
    </row>
    <row r="128" spans="1:9" ht="15.95" customHeight="1">
      <c r="A128" s="966"/>
      <c r="B128" s="436"/>
      <c r="C128" s="775" t="s">
        <v>715</v>
      </c>
      <c r="D128" s="775" t="s">
        <v>717</v>
      </c>
      <c r="E128" s="778" t="s">
        <v>557</v>
      </c>
      <c r="F128" s="778">
        <v>4</v>
      </c>
      <c r="G128" s="791">
        <v>8000</v>
      </c>
      <c r="H128" s="319">
        <f t="shared" si="11"/>
        <v>32000</v>
      </c>
      <c r="I128" s="788" t="s">
        <v>842</v>
      </c>
    </row>
    <row r="129" spans="1:9" ht="15.95" customHeight="1">
      <c r="A129" s="966"/>
      <c r="B129" s="436"/>
      <c r="C129" s="775" t="s">
        <v>718</v>
      </c>
      <c r="D129" s="775" t="s">
        <v>719</v>
      </c>
      <c r="E129" s="778" t="s">
        <v>557</v>
      </c>
      <c r="F129" s="778">
        <v>1</v>
      </c>
      <c r="G129" s="791">
        <v>500000</v>
      </c>
      <c r="H129" s="319">
        <f t="shared" si="11"/>
        <v>500000</v>
      </c>
      <c r="I129" s="788" t="s">
        <v>842</v>
      </c>
    </row>
    <row r="130" spans="1:9" ht="15.95" customHeight="1">
      <c r="A130" s="966"/>
      <c r="B130" s="436"/>
      <c r="C130" s="775" t="s">
        <v>720</v>
      </c>
      <c r="D130" s="775" t="s">
        <v>721</v>
      </c>
      <c r="E130" s="778" t="s">
        <v>557</v>
      </c>
      <c r="F130" s="778">
        <v>1</v>
      </c>
      <c r="G130" s="791">
        <v>500000</v>
      </c>
      <c r="H130" s="319">
        <f t="shared" si="11"/>
        <v>500000</v>
      </c>
      <c r="I130" s="788" t="s">
        <v>842</v>
      </c>
    </row>
    <row r="131" spans="1:9" ht="15.95" customHeight="1">
      <c r="A131" s="966"/>
      <c r="B131" s="436"/>
      <c r="C131" s="775" t="s">
        <v>722</v>
      </c>
      <c r="D131" s="775" t="s">
        <v>723</v>
      </c>
      <c r="E131" s="778" t="s">
        <v>557</v>
      </c>
      <c r="F131" s="778">
        <v>2</v>
      </c>
      <c r="G131" s="791">
        <v>20000</v>
      </c>
      <c r="H131" s="319">
        <f t="shared" si="11"/>
        <v>40000</v>
      </c>
      <c r="I131" s="788" t="s">
        <v>842</v>
      </c>
    </row>
    <row r="132" spans="1:9" ht="15.95" customHeight="1">
      <c r="A132" s="966"/>
      <c r="B132" s="341"/>
      <c r="C132" s="775" t="s">
        <v>725</v>
      </c>
      <c r="D132" s="775" t="s">
        <v>726</v>
      </c>
      <c r="E132" s="778" t="s">
        <v>557</v>
      </c>
      <c r="F132" s="778">
        <v>2</v>
      </c>
      <c r="G132" s="791">
        <v>15000</v>
      </c>
      <c r="H132" s="319">
        <v>750000</v>
      </c>
      <c r="I132" s="788" t="s">
        <v>842</v>
      </c>
    </row>
    <row r="133" spans="1:9" ht="15.95" customHeight="1">
      <c r="A133" s="966"/>
      <c r="B133" s="341"/>
      <c r="C133" s="775" t="s">
        <v>725</v>
      </c>
      <c r="D133" s="775" t="s">
        <v>727</v>
      </c>
      <c r="E133" s="778" t="s">
        <v>557</v>
      </c>
      <c r="F133" s="778">
        <v>1</v>
      </c>
      <c r="G133" s="791">
        <v>15000</v>
      </c>
      <c r="H133" s="319">
        <f>IF(F133=0,G133,G133*F133)</f>
        <v>15000</v>
      </c>
      <c r="I133" s="788" t="s">
        <v>842</v>
      </c>
    </row>
    <row r="134" spans="1:9" ht="15.95" customHeight="1">
      <c r="A134" s="966"/>
      <c r="B134" s="341"/>
      <c r="C134" s="775" t="s">
        <v>576</v>
      </c>
      <c r="D134" s="775" t="s">
        <v>728</v>
      </c>
      <c r="E134" s="778" t="s">
        <v>557</v>
      </c>
      <c r="F134" s="778">
        <v>1</v>
      </c>
      <c r="G134" s="791">
        <v>15000</v>
      </c>
      <c r="H134" s="319">
        <f>IF(F134=0,G134,G134*F134)</f>
        <v>15000</v>
      </c>
      <c r="I134" s="788" t="s">
        <v>842</v>
      </c>
    </row>
    <row r="135" spans="1:9" ht="15.95" customHeight="1">
      <c r="A135" s="966"/>
      <c r="B135" s="341"/>
      <c r="C135" s="775" t="s">
        <v>729</v>
      </c>
      <c r="D135" s="775" t="s">
        <v>730</v>
      </c>
      <c r="E135" s="778" t="s">
        <v>557</v>
      </c>
      <c r="F135" s="778">
        <v>1</v>
      </c>
      <c r="G135" s="791">
        <v>25000</v>
      </c>
      <c r="H135" s="319">
        <f t="shared" ref="H135:H172" si="12">IF(F135=0,G135,G135*F135)</f>
        <v>25000</v>
      </c>
      <c r="I135" s="788" t="s">
        <v>842</v>
      </c>
    </row>
    <row r="136" spans="1:9" ht="15.95" customHeight="1">
      <c r="A136" s="966"/>
      <c r="B136" s="341"/>
      <c r="C136" s="775" t="s">
        <v>729</v>
      </c>
      <c r="D136" s="775" t="s">
        <v>731</v>
      </c>
      <c r="E136" s="778" t="s">
        <v>557</v>
      </c>
      <c r="F136" s="778">
        <v>1</v>
      </c>
      <c r="G136" s="791">
        <v>25000</v>
      </c>
      <c r="H136" s="319">
        <f t="shared" si="12"/>
        <v>25000</v>
      </c>
      <c r="I136" s="788" t="s">
        <v>842</v>
      </c>
    </row>
    <row r="137" spans="1:9" ht="15.95" customHeight="1">
      <c r="A137" s="966"/>
      <c r="B137" s="341"/>
      <c r="C137" s="775" t="s">
        <v>732</v>
      </c>
      <c r="D137" s="775" t="s">
        <v>733</v>
      </c>
      <c r="E137" s="778" t="s">
        <v>557</v>
      </c>
      <c r="F137" s="778">
        <v>2</v>
      </c>
      <c r="G137" s="791">
        <v>99000</v>
      </c>
      <c r="H137" s="319">
        <f t="shared" si="12"/>
        <v>198000</v>
      </c>
      <c r="I137" s="788" t="s">
        <v>842</v>
      </c>
    </row>
    <row r="138" spans="1:9" ht="15.95" customHeight="1">
      <c r="A138" s="966"/>
      <c r="B138" s="341"/>
      <c r="C138" s="775" t="s">
        <v>734</v>
      </c>
      <c r="D138" s="775" t="s">
        <v>735</v>
      </c>
      <c r="E138" s="778" t="s">
        <v>557</v>
      </c>
      <c r="F138" s="778">
        <v>2</v>
      </c>
      <c r="G138" s="791">
        <v>99500</v>
      </c>
      <c r="H138" s="319">
        <f t="shared" si="12"/>
        <v>199000</v>
      </c>
      <c r="I138" s="788" t="s">
        <v>842</v>
      </c>
    </row>
    <row r="139" spans="1:9" ht="15.95" customHeight="1">
      <c r="A139" s="966"/>
      <c r="B139" s="341"/>
      <c r="C139" s="775" t="s">
        <v>736</v>
      </c>
      <c r="D139" s="775" t="s">
        <v>737</v>
      </c>
      <c r="E139" s="778" t="s">
        <v>557</v>
      </c>
      <c r="F139" s="778">
        <v>2</v>
      </c>
      <c r="G139" s="791">
        <v>55000</v>
      </c>
      <c r="H139" s="319">
        <f t="shared" si="12"/>
        <v>110000</v>
      </c>
      <c r="I139" s="788" t="s">
        <v>842</v>
      </c>
    </row>
    <row r="140" spans="1:9" ht="15.95" customHeight="1">
      <c r="A140" s="966"/>
      <c r="B140" s="341"/>
      <c r="C140" s="775" t="s">
        <v>738</v>
      </c>
      <c r="D140" s="775" t="s">
        <v>739</v>
      </c>
      <c r="E140" s="778" t="s">
        <v>557</v>
      </c>
      <c r="F140" s="778">
        <v>2</v>
      </c>
      <c r="G140" s="791">
        <v>33000</v>
      </c>
      <c r="H140" s="319">
        <f t="shared" si="12"/>
        <v>66000</v>
      </c>
      <c r="I140" s="788" t="s">
        <v>842</v>
      </c>
    </row>
    <row r="141" spans="1:9" ht="15.95" customHeight="1">
      <c r="A141" s="966"/>
      <c r="B141" s="341"/>
      <c r="C141" s="775" t="s">
        <v>740</v>
      </c>
      <c r="D141" s="775" t="s">
        <v>741</v>
      </c>
      <c r="E141" s="778" t="s">
        <v>557</v>
      </c>
      <c r="F141" s="778">
        <v>2</v>
      </c>
      <c r="G141" s="791">
        <v>64000</v>
      </c>
      <c r="H141" s="319">
        <f t="shared" si="12"/>
        <v>128000</v>
      </c>
      <c r="I141" s="788" t="s">
        <v>842</v>
      </c>
    </row>
    <row r="142" spans="1:9" ht="15.95" customHeight="1">
      <c r="A142" s="966"/>
      <c r="B142" s="341"/>
      <c r="C142" s="775" t="s">
        <v>742</v>
      </c>
      <c r="D142" s="775" t="s">
        <v>743</v>
      </c>
      <c r="E142" s="778" t="s">
        <v>557</v>
      </c>
      <c r="F142" s="778">
        <v>2</v>
      </c>
      <c r="G142" s="791">
        <v>113200</v>
      </c>
      <c r="H142" s="319">
        <f t="shared" si="12"/>
        <v>226400</v>
      </c>
      <c r="I142" s="788" t="s">
        <v>842</v>
      </c>
    </row>
    <row r="143" spans="1:9" ht="15.95" customHeight="1">
      <c r="A143" s="966"/>
      <c r="B143" s="341"/>
      <c r="C143" s="775" t="s">
        <v>744</v>
      </c>
      <c r="D143" s="775" t="s">
        <v>745</v>
      </c>
      <c r="E143" s="778" t="s">
        <v>557</v>
      </c>
      <c r="F143" s="778">
        <v>2</v>
      </c>
      <c r="G143" s="791">
        <v>35000</v>
      </c>
      <c r="H143" s="319">
        <f t="shared" si="12"/>
        <v>70000</v>
      </c>
      <c r="I143" s="788" t="s">
        <v>842</v>
      </c>
    </row>
    <row r="144" spans="1:9" ht="15.95" customHeight="1">
      <c r="A144" s="966"/>
      <c r="B144" s="341"/>
      <c r="C144" s="775" t="s">
        <v>570</v>
      </c>
      <c r="D144" s="775" t="s">
        <v>746</v>
      </c>
      <c r="E144" s="778" t="s">
        <v>557</v>
      </c>
      <c r="F144" s="778">
        <v>2</v>
      </c>
      <c r="G144" s="791">
        <v>20000</v>
      </c>
      <c r="H144" s="319">
        <f t="shared" si="12"/>
        <v>40000</v>
      </c>
      <c r="I144" s="788" t="s">
        <v>842</v>
      </c>
    </row>
    <row r="145" spans="1:9" ht="15.95" customHeight="1">
      <c r="A145" s="966"/>
      <c r="B145" s="341"/>
      <c r="C145" s="775" t="s">
        <v>570</v>
      </c>
      <c r="D145" s="775" t="s">
        <v>747</v>
      </c>
      <c r="E145" s="778" t="s">
        <v>557</v>
      </c>
      <c r="F145" s="778">
        <v>2</v>
      </c>
      <c r="G145" s="791">
        <v>20000</v>
      </c>
      <c r="H145" s="319">
        <f t="shared" si="12"/>
        <v>40000</v>
      </c>
      <c r="I145" s="788" t="s">
        <v>842</v>
      </c>
    </row>
    <row r="146" spans="1:9" ht="15.95" customHeight="1">
      <c r="A146" s="966"/>
      <c r="B146" s="341"/>
      <c r="C146" s="775" t="s">
        <v>749</v>
      </c>
      <c r="D146" s="775" t="s">
        <v>750</v>
      </c>
      <c r="E146" s="778" t="s">
        <v>557</v>
      </c>
      <c r="F146" s="778">
        <v>12</v>
      </c>
      <c r="G146" s="791">
        <v>22000</v>
      </c>
      <c r="H146" s="319">
        <f t="shared" si="12"/>
        <v>264000</v>
      </c>
      <c r="I146" s="788" t="s">
        <v>842</v>
      </c>
    </row>
    <row r="147" spans="1:9" ht="15.95" customHeight="1">
      <c r="A147" s="966"/>
      <c r="B147" s="341"/>
      <c r="C147" s="775" t="s">
        <v>752</v>
      </c>
      <c r="D147" s="775" t="s">
        <v>753</v>
      </c>
      <c r="E147" s="778" t="s">
        <v>557</v>
      </c>
      <c r="F147" s="778">
        <v>12</v>
      </c>
      <c r="G147" s="791">
        <v>2000</v>
      </c>
      <c r="H147" s="319">
        <f t="shared" si="12"/>
        <v>24000</v>
      </c>
      <c r="I147" s="788" t="s">
        <v>842</v>
      </c>
    </row>
    <row r="148" spans="1:9" ht="15.95" customHeight="1">
      <c r="A148" s="966"/>
      <c r="B148" s="341"/>
      <c r="C148" s="775" t="s">
        <v>755</v>
      </c>
      <c r="D148" s="775" t="s">
        <v>756</v>
      </c>
      <c r="E148" s="778" t="s">
        <v>557</v>
      </c>
      <c r="F148" s="778">
        <v>1</v>
      </c>
      <c r="G148" s="791">
        <v>45000</v>
      </c>
      <c r="H148" s="319">
        <f t="shared" si="12"/>
        <v>45000</v>
      </c>
      <c r="I148" s="788" t="s">
        <v>842</v>
      </c>
    </row>
    <row r="149" spans="1:9" ht="15.95" customHeight="1">
      <c r="A149" s="966"/>
      <c r="B149" s="341"/>
      <c r="C149" s="775" t="s">
        <v>758</v>
      </c>
      <c r="D149" s="775" t="s">
        <v>759</v>
      </c>
      <c r="E149" s="778" t="s">
        <v>557</v>
      </c>
      <c r="F149" s="778">
        <v>1</v>
      </c>
      <c r="G149" s="791">
        <v>12000</v>
      </c>
      <c r="H149" s="319">
        <f t="shared" si="12"/>
        <v>12000</v>
      </c>
      <c r="I149" s="788" t="s">
        <v>842</v>
      </c>
    </row>
    <row r="150" spans="1:9" ht="15.95" customHeight="1">
      <c r="A150" s="966"/>
      <c r="B150" s="341"/>
      <c r="C150" s="775" t="s">
        <v>749</v>
      </c>
      <c r="D150" s="775" t="s">
        <v>760</v>
      </c>
      <c r="E150" s="778" t="s">
        <v>557</v>
      </c>
      <c r="F150" s="778">
        <v>1</v>
      </c>
      <c r="G150" s="791">
        <v>16000</v>
      </c>
      <c r="H150" s="319">
        <f t="shared" si="12"/>
        <v>16000</v>
      </c>
      <c r="I150" s="788" t="s">
        <v>842</v>
      </c>
    </row>
    <row r="151" spans="1:9" ht="15.95" customHeight="1">
      <c r="A151" s="966"/>
      <c r="B151" s="341"/>
      <c r="C151" s="775" t="s">
        <v>677</v>
      </c>
      <c r="D151" s="775" t="s">
        <v>761</v>
      </c>
      <c r="E151" s="778" t="s">
        <v>557</v>
      </c>
      <c r="F151" s="778">
        <v>1</v>
      </c>
      <c r="G151" s="791">
        <v>15000</v>
      </c>
      <c r="H151" s="319">
        <f t="shared" si="12"/>
        <v>15000</v>
      </c>
      <c r="I151" s="788" t="s">
        <v>842</v>
      </c>
    </row>
    <row r="152" spans="1:9" ht="15.95" customHeight="1">
      <c r="A152" s="966"/>
      <c r="B152" s="341"/>
      <c r="C152" s="775"/>
      <c r="D152" s="775"/>
      <c r="E152" s="778"/>
      <c r="F152" s="790"/>
      <c r="G152" s="791"/>
      <c r="H152" s="319">
        <f t="shared" si="12"/>
        <v>0</v>
      </c>
      <c r="I152" s="788"/>
    </row>
    <row r="153" spans="1:9" ht="15.95" customHeight="1">
      <c r="A153" s="966"/>
      <c r="B153" s="796" t="s">
        <v>565</v>
      </c>
      <c r="C153" s="775" t="s">
        <v>762</v>
      </c>
      <c r="D153" s="775" t="s">
        <v>763</v>
      </c>
      <c r="E153" s="778" t="s">
        <v>557</v>
      </c>
      <c r="F153" s="790">
        <v>2</v>
      </c>
      <c r="G153" s="791">
        <v>65000</v>
      </c>
      <c r="H153" s="319">
        <f t="shared" si="12"/>
        <v>130000</v>
      </c>
      <c r="I153" s="788" t="s">
        <v>842</v>
      </c>
    </row>
    <row r="154" spans="1:9" ht="15.95" customHeight="1">
      <c r="A154" s="966"/>
      <c r="B154" s="341"/>
      <c r="C154" s="775" t="s">
        <v>674</v>
      </c>
      <c r="D154" s="775" t="s">
        <v>764</v>
      </c>
      <c r="E154" s="778" t="s">
        <v>557</v>
      </c>
      <c r="F154" s="778">
        <v>8</v>
      </c>
      <c r="G154" s="791">
        <v>52000</v>
      </c>
      <c r="H154" s="319">
        <f t="shared" si="12"/>
        <v>416000</v>
      </c>
      <c r="I154" s="788" t="s">
        <v>842</v>
      </c>
    </row>
    <row r="155" spans="1:9" ht="15.95" customHeight="1">
      <c r="A155" s="966"/>
      <c r="B155" s="341"/>
      <c r="C155" s="775" t="s">
        <v>677</v>
      </c>
      <c r="D155" s="775" t="s">
        <v>765</v>
      </c>
      <c r="E155" s="778" t="s">
        <v>557</v>
      </c>
      <c r="F155" s="778">
        <v>4</v>
      </c>
      <c r="G155" s="791">
        <v>89000</v>
      </c>
      <c r="H155" s="319">
        <f t="shared" si="12"/>
        <v>356000</v>
      </c>
      <c r="I155" s="788" t="s">
        <v>842</v>
      </c>
    </row>
    <row r="156" spans="1:9" ht="15.95" customHeight="1">
      <c r="A156" s="966"/>
      <c r="B156" s="341"/>
      <c r="C156" s="775" t="s">
        <v>766</v>
      </c>
      <c r="D156" s="775" t="s">
        <v>767</v>
      </c>
      <c r="E156" s="778" t="s">
        <v>557</v>
      </c>
      <c r="F156" s="778">
        <v>2</v>
      </c>
      <c r="G156" s="791">
        <v>27000</v>
      </c>
      <c r="H156" s="319">
        <f t="shared" si="12"/>
        <v>54000</v>
      </c>
      <c r="I156" s="788" t="s">
        <v>842</v>
      </c>
    </row>
    <row r="157" spans="1:9" ht="15.95" customHeight="1">
      <c r="A157" s="966"/>
      <c r="B157" s="341"/>
      <c r="C157" s="775" t="s">
        <v>768</v>
      </c>
      <c r="D157" s="775" t="s">
        <v>769</v>
      </c>
      <c r="E157" s="778" t="s">
        <v>557</v>
      </c>
      <c r="F157" s="778">
        <v>2</v>
      </c>
      <c r="G157" s="791">
        <v>62000</v>
      </c>
      <c r="H157" s="319">
        <f t="shared" si="12"/>
        <v>124000</v>
      </c>
      <c r="I157" s="788" t="s">
        <v>842</v>
      </c>
    </row>
    <row r="158" spans="1:9" ht="15.95" customHeight="1">
      <c r="A158" s="966"/>
      <c r="B158" s="341"/>
      <c r="C158" s="775" t="s">
        <v>768</v>
      </c>
      <c r="D158" s="775" t="s">
        <v>770</v>
      </c>
      <c r="E158" s="778" t="s">
        <v>557</v>
      </c>
      <c r="F158" s="778">
        <v>2</v>
      </c>
      <c r="G158" s="791">
        <v>43000</v>
      </c>
      <c r="H158" s="319">
        <f t="shared" si="12"/>
        <v>86000</v>
      </c>
      <c r="I158" s="788" t="s">
        <v>842</v>
      </c>
    </row>
    <row r="159" spans="1:9" ht="15.95" customHeight="1">
      <c r="A159" s="966"/>
      <c r="B159" s="341"/>
      <c r="C159" s="775" t="s">
        <v>628</v>
      </c>
      <c r="D159" s="775" t="s">
        <v>771</v>
      </c>
      <c r="E159" s="778" t="s">
        <v>557</v>
      </c>
      <c r="F159" s="778">
        <v>2</v>
      </c>
      <c r="G159" s="791">
        <v>17000</v>
      </c>
      <c r="H159" s="319">
        <f t="shared" si="12"/>
        <v>34000</v>
      </c>
      <c r="I159" s="788" t="s">
        <v>842</v>
      </c>
    </row>
    <row r="160" spans="1:9" ht="15.95" customHeight="1">
      <c r="A160" s="966"/>
      <c r="B160" s="341"/>
      <c r="C160" s="775" t="s">
        <v>680</v>
      </c>
      <c r="D160" s="775" t="s">
        <v>772</v>
      </c>
      <c r="E160" s="778" t="s">
        <v>557</v>
      </c>
      <c r="F160" s="778">
        <v>1</v>
      </c>
      <c r="G160" s="791">
        <v>9000</v>
      </c>
      <c r="H160" s="319">
        <f t="shared" si="12"/>
        <v>9000</v>
      </c>
      <c r="I160" s="788" t="s">
        <v>842</v>
      </c>
    </row>
    <row r="161" spans="1:9" ht="15.95" customHeight="1">
      <c r="A161" s="966"/>
      <c r="B161" s="341"/>
      <c r="C161" s="775" t="s">
        <v>682</v>
      </c>
      <c r="D161" s="775" t="s">
        <v>773</v>
      </c>
      <c r="E161" s="778" t="s">
        <v>557</v>
      </c>
      <c r="F161" s="778">
        <v>4</v>
      </c>
      <c r="G161" s="791">
        <v>83000</v>
      </c>
      <c r="H161" s="319">
        <f t="shared" si="12"/>
        <v>332000</v>
      </c>
      <c r="I161" s="788" t="s">
        <v>842</v>
      </c>
    </row>
    <row r="162" spans="1:9" ht="15.95" customHeight="1">
      <c r="A162" s="966"/>
      <c r="B162" s="341"/>
      <c r="C162" s="775" t="s">
        <v>685</v>
      </c>
      <c r="D162" s="775" t="s">
        <v>774</v>
      </c>
      <c r="E162" s="778" t="s">
        <v>557</v>
      </c>
      <c r="F162" s="778">
        <v>4</v>
      </c>
      <c r="G162" s="791">
        <v>69000</v>
      </c>
      <c r="H162" s="319">
        <f t="shared" si="12"/>
        <v>276000</v>
      </c>
      <c r="I162" s="788" t="s">
        <v>842</v>
      </c>
    </row>
    <row r="163" spans="1:9" ht="15.95" customHeight="1">
      <c r="A163" s="966"/>
      <c r="B163" s="341"/>
      <c r="C163" s="775" t="s">
        <v>687</v>
      </c>
      <c r="D163" s="775" t="s">
        <v>775</v>
      </c>
      <c r="E163" s="778" t="s">
        <v>557</v>
      </c>
      <c r="F163" s="778">
        <v>1</v>
      </c>
      <c r="G163" s="791">
        <v>99000</v>
      </c>
      <c r="H163" s="319">
        <f t="shared" si="12"/>
        <v>99000</v>
      </c>
      <c r="I163" s="788" t="s">
        <v>842</v>
      </c>
    </row>
    <row r="164" spans="1:9" ht="15.95" customHeight="1">
      <c r="A164" s="966"/>
      <c r="B164" s="341"/>
      <c r="C164" s="775" t="s">
        <v>687</v>
      </c>
      <c r="D164" s="775" t="s">
        <v>776</v>
      </c>
      <c r="E164" s="778" t="s">
        <v>557</v>
      </c>
      <c r="F164" s="778">
        <v>1</v>
      </c>
      <c r="G164" s="791">
        <v>99000</v>
      </c>
      <c r="H164" s="319">
        <f t="shared" si="12"/>
        <v>99000</v>
      </c>
      <c r="I164" s="788" t="s">
        <v>842</v>
      </c>
    </row>
    <row r="165" spans="1:9" ht="15.95" customHeight="1">
      <c r="A165" s="966"/>
      <c r="B165" s="341"/>
      <c r="C165" s="775" t="s">
        <v>689</v>
      </c>
      <c r="D165" s="775" t="s">
        <v>777</v>
      </c>
      <c r="E165" s="778" t="s">
        <v>557</v>
      </c>
      <c r="F165" s="778">
        <v>4</v>
      </c>
      <c r="G165" s="791">
        <v>25000</v>
      </c>
      <c r="H165" s="319">
        <f t="shared" si="12"/>
        <v>100000</v>
      </c>
      <c r="I165" s="788" t="s">
        <v>842</v>
      </c>
    </row>
    <row r="166" spans="1:9" ht="15.95" customHeight="1">
      <c r="A166" s="966"/>
      <c r="B166" s="341"/>
      <c r="C166" s="775" t="s">
        <v>692</v>
      </c>
      <c r="D166" s="775" t="s">
        <v>778</v>
      </c>
      <c r="E166" s="778" t="s">
        <v>557</v>
      </c>
      <c r="F166" s="778">
        <v>1</v>
      </c>
      <c r="G166" s="791">
        <v>5000</v>
      </c>
      <c r="H166" s="319">
        <f t="shared" si="12"/>
        <v>5000</v>
      </c>
      <c r="I166" s="788" t="s">
        <v>842</v>
      </c>
    </row>
    <row r="167" spans="1:9" ht="15.95" customHeight="1">
      <c r="A167" s="966"/>
      <c r="B167" s="341"/>
      <c r="C167" s="775" t="s">
        <v>779</v>
      </c>
      <c r="D167" s="775" t="s">
        <v>780</v>
      </c>
      <c r="E167" s="778" t="s">
        <v>557</v>
      </c>
      <c r="F167" s="778">
        <v>1</v>
      </c>
      <c r="G167" s="791">
        <v>29000</v>
      </c>
      <c r="H167" s="319">
        <f t="shared" si="12"/>
        <v>29000</v>
      </c>
      <c r="I167" s="788" t="s">
        <v>842</v>
      </c>
    </row>
    <row r="168" spans="1:9" ht="15.95" customHeight="1">
      <c r="A168" s="966"/>
      <c r="B168" s="341"/>
      <c r="C168" s="775" t="s">
        <v>782</v>
      </c>
      <c r="D168" s="775" t="s">
        <v>783</v>
      </c>
      <c r="E168" s="778" t="s">
        <v>557</v>
      </c>
      <c r="F168" s="778">
        <v>2</v>
      </c>
      <c r="G168" s="791">
        <v>106000</v>
      </c>
      <c r="H168" s="319">
        <f t="shared" si="12"/>
        <v>212000</v>
      </c>
      <c r="I168" s="788" t="s">
        <v>842</v>
      </c>
    </row>
    <row r="169" spans="1:9" ht="15.95" customHeight="1">
      <c r="A169" s="966"/>
      <c r="B169" s="341"/>
      <c r="C169" s="775" t="s">
        <v>782</v>
      </c>
      <c r="D169" s="775" t="s">
        <v>784</v>
      </c>
      <c r="E169" s="778" t="s">
        <v>557</v>
      </c>
      <c r="F169" s="778">
        <v>2</v>
      </c>
      <c r="G169" s="791">
        <v>155000</v>
      </c>
      <c r="H169" s="319">
        <f t="shared" si="12"/>
        <v>310000</v>
      </c>
      <c r="I169" s="788" t="s">
        <v>842</v>
      </c>
    </row>
    <row r="170" spans="1:9" ht="15.95" customHeight="1">
      <c r="A170" s="966"/>
      <c r="B170" s="341"/>
      <c r="C170" s="775" t="s">
        <v>742</v>
      </c>
      <c r="D170" s="775" t="s">
        <v>785</v>
      </c>
      <c r="E170" s="778" t="s">
        <v>557</v>
      </c>
      <c r="F170" s="778">
        <v>2</v>
      </c>
      <c r="G170" s="791">
        <v>200000</v>
      </c>
      <c r="H170" s="319">
        <f t="shared" si="12"/>
        <v>400000</v>
      </c>
      <c r="I170" s="788" t="s">
        <v>842</v>
      </c>
    </row>
    <row r="171" spans="1:9" ht="15.95" customHeight="1">
      <c r="A171" s="966"/>
      <c r="B171" s="341"/>
      <c r="C171" s="775" t="s">
        <v>786</v>
      </c>
      <c r="D171" s="775" t="s">
        <v>787</v>
      </c>
      <c r="E171" s="778" t="s">
        <v>557</v>
      </c>
      <c r="F171" s="778">
        <v>2</v>
      </c>
      <c r="G171" s="791">
        <v>135000</v>
      </c>
      <c r="H171" s="319">
        <f t="shared" si="12"/>
        <v>270000</v>
      </c>
      <c r="I171" s="788" t="s">
        <v>842</v>
      </c>
    </row>
    <row r="172" spans="1:9" ht="15.95" customHeight="1">
      <c r="A172" s="966"/>
      <c r="B172" s="341"/>
      <c r="C172" s="775" t="s">
        <v>786</v>
      </c>
      <c r="D172" s="775" t="s">
        <v>788</v>
      </c>
      <c r="E172" s="778" t="s">
        <v>557</v>
      </c>
      <c r="F172" s="778">
        <v>2</v>
      </c>
      <c r="G172" s="791">
        <v>135000</v>
      </c>
      <c r="H172" s="319">
        <f t="shared" si="12"/>
        <v>270000</v>
      </c>
      <c r="I172" s="788" t="s">
        <v>842</v>
      </c>
    </row>
    <row r="173" spans="1:9" ht="15.95" customHeight="1">
      <c r="A173" s="966"/>
      <c r="B173" s="341"/>
      <c r="C173" s="775" t="s">
        <v>687</v>
      </c>
      <c r="D173" s="775" t="s">
        <v>789</v>
      </c>
      <c r="E173" s="778" t="s">
        <v>557</v>
      </c>
      <c r="F173" s="778">
        <v>2</v>
      </c>
      <c r="G173" s="791">
        <v>60000</v>
      </c>
      <c r="H173" s="319">
        <f t="shared" ref="H173:H203" si="13">G173*F173</f>
        <v>120000</v>
      </c>
      <c r="I173" s="788" t="s">
        <v>842</v>
      </c>
    </row>
    <row r="174" spans="1:9" ht="15.95" customHeight="1">
      <c r="A174" s="966"/>
      <c r="B174" s="341"/>
      <c r="C174" s="775" t="s">
        <v>720</v>
      </c>
      <c r="D174" s="775" t="s">
        <v>790</v>
      </c>
      <c r="E174" s="778" t="s">
        <v>557</v>
      </c>
      <c r="F174" s="778">
        <v>1</v>
      </c>
      <c r="G174" s="791">
        <v>700000</v>
      </c>
      <c r="H174" s="319">
        <f t="shared" si="13"/>
        <v>700000</v>
      </c>
      <c r="I174" s="788" t="s">
        <v>842</v>
      </c>
    </row>
    <row r="175" spans="1:9" ht="15.95" customHeight="1">
      <c r="A175" s="966"/>
      <c r="B175" s="341"/>
      <c r="C175" s="775" t="s">
        <v>718</v>
      </c>
      <c r="D175" s="775" t="s">
        <v>791</v>
      </c>
      <c r="E175" s="778" t="s">
        <v>557</v>
      </c>
      <c r="F175" s="778">
        <v>1</v>
      </c>
      <c r="G175" s="791">
        <v>700000</v>
      </c>
      <c r="H175" s="319">
        <f t="shared" si="13"/>
        <v>700000</v>
      </c>
      <c r="I175" s="788" t="s">
        <v>842</v>
      </c>
    </row>
    <row r="176" spans="1:9" ht="15.95" customHeight="1">
      <c r="A176" s="966"/>
      <c r="B176" s="341"/>
      <c r="C176" s="775" t="s">
        <v>722</v>
      </c>
      <c r="D176" s="775" t="s">
        <v>792</v>
      </c>
      <c r="E176" s="778" t="s">
        <v>557</v>
      </c>
      <c r="F176" s="778">
        <v>1</v>
      </c>
      <c r="G176" s="791">
        <v>20000</v>
      </c>
      <c r="H176" s="319">
        <f t="shared" si="13"/>
        <v>20000</v>
      </c>
      <c r="I176" s="788" t="s">
        <v>842</v>
      </c>
    </row>
    <row r="177" spans="1:9" ht="15.95" customHeight="1">
      <c r="A177" s="966"/>
      <c r="B177" s="341"/>
      <c r="C177" s="775" t="s">
        <v>722</v>
      </c>
      <c r="D177" s="775" t="s">
        <v>793</v>
      </c>
      <c r="E177" s="778" t="s">
        <v>557</v>
      </c>
      <c r="F177" s="778">
        <v>1</v>
      </c>
      <c r="G177" s="791">
        <v>20000</v>
      </c>
      <c r="H177" s="319">
        <f t="shared" si="13"/>
        <v>20000</v>
      </c>
      <c r="I177" s="788" t="s">
        <v>842</v>
      </c>
    </row>
    <row r="178" spans="1:9" ht="15.95" customHeight="1">
      <c r="A178" s="966"/>
      <c r="B178" s="341"/>
      <c r="C178" s="775" t="s">
        <v>725</v>
      </c>
      <c r="D178" s="783" t="s">
        <v>794</v>
      </c>
      <c r="E178" s="778" t="s">
        <v>557</v>
      </c>
      <c r="F178" s="778">
        <v>1</v>
      </c>
      <c r="G178" s="791">
        <v>20000</v>
      </c>
      <c r="H178" s="319">
        <f t="shared" si="13"/>
        <v>20000</v>
      </c>
      <c r="I178" s="788" t="s">
        <v>842</v>
      </c>
    </row>
    <row r="179" spans="1:9" ht="15.95" customHeight="1">
      <c r="A179" s="966"/>
      <c r="B179" s="341"/>
      <c r="C179" s="775" t="s">
        <v>725</v>
      </c>
      <c r="D179" s="783" t="s">
        <v>795</v>
      </c>
      <c r="E179" s="778" t="s">
        <v>557</v>
      </c>
      <c r="F179" s="778">
        <v>1</v>
      </c>
      <c r="G179" s="791">
        <v>20000</v>
      </c>
      <c r="H179" s="319">
        <f t="shared" si="13"/>
        <v>20000</v>
      </c>
      <c r="I179" s="788" t="s">
        <v>842</v>
      </c>
    </row>
    <row r="180" spans="1:9" ht="15.95" customHeight="1">
      <c r="A180" s="966"/>
      <c r="B180" s="341"/>
      <c r="C180" s="775" t="s">
        <v>576</v>
      </c>
      <c r="D180" s="783" t="s">
        <v>796</v>
      </c>
      <c r="E180" s="778" t="s">
        <v>557</v>
      </c>
      <c r="F180" s="778">
        <v>1</v>
      </c>
      <c r="G180" s="791">
        <v>20000</v>
      </c>
      <c r="H180" s="319">
        <f t="shared" si="13"/>
        <v>20000</v>
      </c>
      <c r="I180" s="788" t="s">
        <v>842</v>
      </c>
    </row>
    <row r="181" spans="1:9" ht="15.95" customHeight="1">
      <c r="A181" s="966"/>
      <c r="B181" s="341"/>
      <c r="C181" s="775" t="s">
        <v>576</v>
      </c>
      <c r="D181" s="783" t="s">
        <v>797</v>
      </c>
      <c r="E181" s="778" t="s">
        <v>557</v>
      </c>
      <c r="F181" s="778">
        <v>1</v>
      </c>
      <c r="G181" s="791">
        <v>20000</v>
      </c>
      <c r="H181" s="319">
        <f t="shared" si="13"/>
        <v>20000</v>
      </c>
      <c r="I181" s="788" t="s">
        <v>842</v>
      </c>
    </row>
    <row r="182" spans="1:9" ht="15.95" customHeight="1">
      <c r="A182" s="966"/>
      <c r="B182" s="341"/>
      <c r="C182" s="775" t="s">
        <v>694</v>
      </c>
      <c r="D182" s="783" t="s">
        <v>798</v>
      </c>
      <c r="E182" s="778" t="s">
        <v>557</v>
      </c>
      <c r="F182" s="778">
        <v>1</v>
      </c>
      <c r="G182" s="791">
        <v>165000</v>
      </c>
      <c r="H182" s="319">
        <f t="shared" si="13"/>
        <v>165000</v>
      </c>
      <c r="I182" s="788" t="s">
        <v>842</v>
      </c>
    </row>
    <row r="183" spans="1:9" ht="15.95" customHeight="1">
      <c r="A183" s="966"/>
      <c r="B183" s="341"/>
      <c r="C183" s="775" t="s">
        <v>799</v>
      </c>
      <c r="D183" s="783" t="s">
        <v>800</v>
      </c>
      <c r="E183" s="778" t="s">
        <v>557</v>
      </c>
      <c r="F183" s="778">
        <v>1</v>
      </c>
      <c r="G183" s="791">
        <v>154000</v>
      </c>
      <c r="H183" s="319">
        <f t="shared" si="13"/>
        <v>154000</v>
      </c>
      <c r="I183" s="788" t="s">
        <v>842</v>
      </c>
    </row>
    <row r="184" spans="1:9" ht="15.95" customHeight="1">
      <c r="A184" s="966"/>
      <c r="B184" s="341"/>
      <c r="C184" s="775" t="s">
        <v>696</v>
      </c>
      <c r="D184" s="783" t="s">
        <v>801</v>
      </c>
      <c r="E184" s="778" t="s">
        <v>557</v>
      </c>
      <c r="F184" s="778">
        <v>8</v>
      </c>
      <c r="G184" s="791">
        <v>28000</v>
      </c>
      <c r="H184" s="319">
        <f t="shared" si="13"/>
        <v>224000</v>
      </c>
      <c r="I184" s="788" t="s">
        <v>842</v>
      </c>
    </row>
    <row r="185" spans="1:9" ht="15.95" customHeight="1">
      <c r="A185" s="966"/>
      <c r="B185" s="341"/>
      <c r="C185" s="775" t="s">
        <v>698</v>
      </c>
      <c r="D185" s="783" t="s">
        <v>802</v>
      </c>
      <c r="E185" s="778" t="s">
        <v>557</v>
      </c>
      <c r="F185" s="778">
        <v>4</v>
      </c>
      <c r="G185" s="791">
        <v>28000</v>
      </c>
      <c r="H185" s="319">
        <f t="shared" si="13"/>
        <v>112000</v>
      </c>
      <c r="I185" s="788" t="s">
        <v>842</v>
      </c>
    </row>
    <row r="186" spans="1:9" ht="15.95" customHeight="1">
      <c r="A186" s="966"/>
      <c r="B186" s="341"/>
      <c r="C186" s="775" t="s">
        <v>700</v>
      </c>
      <c r="D186" s="783" t="s">
        <v>803</v>
      </c>
      <c r="E186" s="778" t="s">
        <v>557</v>
      </c>
      <c r="F186" s="778">
        <v>1</v>
      </c>
      <c r="G186" s="791">
        <v>36000</v>
      </c>
      <c r="H186" s="319">
        <f t="shared" si="13"/>
        <v>36000</v>
      </c>
      <c r="I186" s="788" t="s">
        <v>842</v>
      </c>
    </row>
    <row r="187" spans="1:9" ht="15.95" customHeight="1">
      <c r="A187" s="966"/>
      <c r="B187" s="341"/>
      <c r="C187" s="775" t="s">
        <v>702</v>
      </c>
      <c r="D187" s="783" t="s">
        <v>804</v>
      </c>
      <c r="E187" s="778" t="s">
        <v>557</v>
      </c>
      <c r="F187" s="778">
        <v>1</v>
      </c>
      <c r="G187" s="791">
        <v>150000</v>
      </c>
      <c r="H187" s="319">
        <f t="shared" si="13"/>
        <v>150000</v>
      </c>
      <c r="I187" s="788" t="s">
        <v>842</v>
      </c>
    </row>
    <row r="188" spans="1:9" ht="15.95" customHeight="1">
      <c r="A188" s="966"/>
      <c r="B188" s="341"/>
      <c r="C188" s="775" t="s">
        <v>704</v>
      </c>
      <c r="D188" s="783" t="s">
        <v>805</v>
      </c>
      <c r="E188" s="778" t="s">
        <v>557</v>
      </c>
      <c r="F188" s="778">
        <v>1</v>
      </c>
      <c r="G188" s="791">
        <v>170000</v>
      </c>
      <c r="H188" s="319">
        <f t="shared" si="13"/>
        <v>170000</v>
      </c>
      <c r="I188" s="788" t="s">
        <v>842</v>
      </c>
    </row>
    <row r="189" spans="1:9" ht="15.95" customHeight="1">
      <c r="A189" s="966"/>
      <c r="B189" s="341"/>
      <c r="C189" s="775" t="s">
        <v>706</v>
      </c>
      <c r="D189" s="783" t="s">
        <v>806</v>
      </c>
      <c r="E189" s="778" t="s">
        <v>557</v>
      </c>
      <c r="F189" s="778">
        <v>1</v>
      </c>
      <c r="G189" s="791">
        <v>15000</v>
      </c>
      <c r="H189" s="319">
        <f t="shared" si="13"/>
        <v>15000</v>
      </c>
      <c r="I189" s="788" t="s">
        <v>842</v>
      </c>
    </row>
    <row r="190" spans="1:9" ht="15.95" customHeight="1">
      <c r="A190" s="966"/>
      <c r="B190" s="341"/>
      <c r="C190" s="775" t="s">
        <v>708</v>
      </c>
      <c r="D190" s="783" t="s">
        <v>807</v>
      </c>
      <c r="E190" s="778" t="s">
        <v>557</v>
      </c>
      <c r="F190" s="778">
        <v>4</v>
      </c>
      <c r="G190" s="791">
        <v>5000</v>
      </c>
      <c r="H190" s="319">
        <f t="shared" si="13"/>
        <v>20000</v>
      </c>
      <c r="I190" s="788" t="s">
        <v>842</v>
      </c>
    </row>
    <row r="191" spans="1:9" ht="15.95" customHeight="1">
      <c r="A191" s="966"/>
      <c r="B191" s="341"/>
      <c r="C191" s="775" t="s">
        <v>710</v>
      </c>
      <c r="D191" s="783" t="s">
        <v>808</v>
      </c>
      <c r="E191" s="778" t="s">
        <v>557</v>
      </c>
      <c r="F191" s="778">
        <v>2</v>
      </c>
      <c r="G191" s="791">
        <v>12000</v>
      </c>
      <c r="H191" s="319">
        <f t="shared" si="13"/>
        <v>24000</v>
      </c>
      <c r="I191" s="788" t="s">
        <v>842</v>
      </c>
    </row>
    <row r="192" spans="1:9" ht="15.95" customHeight="1">
      <c r="A192" s="966"/>
      <c r="B192" s="341"/>
      <c r="C192" s="775" t="s">
        <v>712</v>
      </c>
      <c r="D192" s="783" t="s">
        <v>809</v>
      </c>
      <c r="E192" s="778" t="s">
        <v>557</v>
      </c>
      <c r="F192" s="778">
        <v>1</v>
      </c>
      <c r="G192" s="791">
        <v>10000</v>
      </c>
      <c r="H192" s="319">
        <f t="shared" si="13"/>
        <v>10000</v>
      </c>
      <c r="I192" s="788" t="s">
        <v>842</v>
      </c>
    </row>
    <row r="193" spans="1:9" ht="15.95" customHeight="1">
      <c r="A193" s="966"/>
      <c r="B193" s="341"/>
      <c r="C193" s="775" t="s">
        <v>715</v>
      </c>
      <c r="D193" s="783" t="s">
        <v>810</v>
      </c>
      <c r="E193" s="778" t="s">
        <v>557</v>
      </c>
      <c r="F193" s="778">
        <v>2</v>
      </c>
      <c r="G193" s="791">
        <v>11000</v>
      </c>
      <c r="H193" s="319">
        <f t="shared" si="13"/>
        <v>22000</v>
      </c>
      <c r="I193" s="788" t="s">
        <v>842</v>
      </c>
    </row>
    <row r="194" spans="1:9" ht="15.95" customHeight="1">
      <c r="A194" s="966"/>
      <c r="B194" s="341"/>
      <c r="C194" s="775" t="s">
        <v>570</v>
      </c>
      <c r="D194" s="783" t="s">
        <v>811</v>
      </c>
      <c r="E194" s="778" t="s">
        <v>557</v>
      </c>
      <c r="F194" s="778">
        <v>2</v>
      </c>
      <c r="G194" s="791">
        <v>11000</v>
      </c>
      <c r="H194" s="319">
        <f t="shared" si="13"/>
        <v>22000</v>
      </c>
      <c r="I194" s="788" t="s">
        <v>842</v>
      </c>
    </row>
    <row r="195" spans="1:9" ht="15.95" customHeight="1">
      <c r="A195" s="966"/>
      <c r="B195" s="341"/>
      <c r="C195" s="775" t="s">
        <v>570</v>
      </c>
      <c r="D195" s="783" t="s">
        <v>812</v>
      </c>
      <c r="E195" s="778" t="s">
        <v>557</v>
      </c>
      <c r="F195" s="778">
        <v>2</v>
      </c>
      <c r="G195" s="791">
        <v>11000</v>
      </c>
      <c r="H195" s="319">
        <f t="shared" si="13"/>
        <v>22000</v>
      </c>
      <c r="I195" s="788" t="s">
        <v>842</v>
      </c>
    </row>
    <row r="196" spans="1:9" ht="15.95" customHeight="1">
      <c r="A196" s="966"/>
      <c r="B196" s="341"/>
      <c r="C196" s="775" t="s">
        <v>749</v>
      </c>
      <c r="D196" s="783" t="s">
        <v>813</v>
      </c>
      <c r="E196" s="778" t="s">
        <v>557</v>
      </c>
      <c r="F196" s="778">
        <v>12</v>
      </c>
      <c r="G196" s="791">
        <v>22000</v>
      </c>
      <c r="H196" s="319">
        <f t="shared" si="13"/>
        <v>264000</v>
      </c>
      <c r="I196" s="788" t="s">
        <v>842</v>
      </c>
    </row>
    <row r="197" spans="1:9" ht="15.95" customHeight="1">
      <c r="A197" s="966"/>
      <c r="B197" s="341"/>
      <c r="C197" s="775" t="s">
        <v>814</v>
      </c>
      <c r="D197" s="783" t="s">
        <v>815</v>
      </c>
      <c r="E197" s="778" t="s">
        <v>557</v>
      </c>
      <c r="F197" s="778">
        <v>1</v>
      </c>
      <c r="G197" s="791">
        <v>6500</v>
      </c>
      <c r="H197" s="319">
        <f t="shared" si="13"/>
        <v>6500</v>
      </c>
      <c r="I197" s="788" t="s">
        <v>842</v>
      </c>
    </row>
    <row r="198" spans="1:9" ht="15.95" customHeight="1">
      <c r="A198" s="966"/>
      <c r="B198" s="341"/>
      <c r="C198" s="775" t="s">
        <v>816</v>
      </c>
      <c r="D198" s="783" t="s">
        <v>817</v>
      </c>
      <c r="E198" s="778" t="s">
        <v>557</v>
      </c>
      <c r="F198" s="778">
        <v>1</v>
      </c>
      <c r="G198" s="791">
        <v>65000</v>
      </c>
      <c r="H198" s="319">
        <f t="shared" si="13"/>
        <v>65000</v>
      </c>
      <c r="I198" s="788" t="s">
        <v>842</v>
      </c>
    </row>
    <row r="199" spans="1:9" ht="15.95" customHeight="1">
      <c r="A199" s="966"/>
      <c r="B199" s="341"/>
      <c r="C199" s="775" t="s">
        <v>692</v>
      </c>
      <c r="D199" s="783" t="s">
        <v>818</v>
      </c>
      <c r="E199" s="778" t="s">
        <v>557</v>
      </c>
      <c r="F199" s="778">
        <v>8</v>
      </c>
      <c r="G199" s="791">
        <v>5000</v>
      </c>
      <c r="H199" s="319">
        <f t="shared" si="13"/>
        <v>40000</v>
      </c>
      <c r="I199" s="788" t="s">
        <v>842</v>
      </c>
    </row>
    <row r="200" spans="1:9" ht="15.95" customHeight="1">
      <c r="A200" s="966"/>
      <c r="B200" s="341"/>
      <c r="C200" s="775" t="s">
        <v>749</v>
      </c>
      <c r="D200" s="783" t="s">
        <v>819</v>
      </c>
      <c r="E200" s="778" t="s">
        <v>557</v>
      </c>
      <c r="F200" s="778">
        <v>4</v>
      </c>
      <c r="G200" s="791">
        <v>25000</v>
      </c>
      <c r="H200" s="319">
        <f t="shared" si="13"/>
        <v>100000</v>
      </c>
      <c r="I200" s="788" t="s">
        <v>842</v>
      </c>
    </row>
    <row r="201" spans="1:9" ht="15.95" customHeight="1">
      <c r="A201" s="966"/>
      <c r="B201" s="341"/>
      <c r="C201" s="782"/>
      <c r="D201" s="838"/>
      <c r="E201" s="784"/>
      <c r="F201" s="839"/>
      <c r="G201" s="840"/>
      <c r="H201" s="319">
        <f t="shared" si="13"/>
        <v>0</v>
      </c>
      <c r="I201" s="797"/>
    </row>
    <row r="202" spans="1:9" ht="15.95" customHeight="1">
      <c r="A202" s="966"/>
      <c r="B202" s="773" t="s">
        <v>672</v>
      </c>
      <c r="C202" s="782" t="s">
        <v>568</v>
      </c>
      <c r="D202" s="838" t="s">
        <v>820</v>
      </c>
      <c r="E202" s="784" t="s">
        <v>557</v>
      </c>
      <c r="F202" s="839">
        <v>1</v>
      </c>
      <c r="G202" s="840">
        <v>500000</v>
      </c>
      <c r="H202" s="319">
        <f t="shared" si="13"/>
        <v>500000</v>
      </c>
      <c r="I202" s="797" t="s">
        <v>842</v>
      </c>
    </row>
    <row r="203" spans="1:9" ht="15.95" customHeight="1">
      <c r="A203" s="966"/>
      <c r="B203" s="341"/>
      <c r="C203" s="782" t="s">
        <v>821</v>
      </c>
      <c r="D203" s="838" t="s">
        <v>822</v>
      </c>
      <c r="E203" s="784" t="s">
        <v>557</v>
      </c>
      <c r="F203" s="784">
        <v>3</v>
      </c>
      <c r="G203" s="840">
        <v>55000</v>
      </c>
      <c r="H203" s="319">
        <f t="shared" si="13"/>
        <v>165000</v>
      </c>
      <c r="I203" s="797" t="s">
        <v>842</v>
      </c>
    </row>
    <row r="204" spans="1:9" ht="15.95" customHeight="1">
      <c r="A204" s="966"/>
      <c r="B204" s="341"/>
      <c r="C204" s="782" t="s">
        <v>628</v>
      </c>
      <c r="D204" s="838" t="s">
        <v>823</v>
      </c>
      <c r="E204" s="784" t="s">
        <v>557</v>
      </c>
      <c r="F204" s="784">
        <v>3</v>
      </c>
      <c r="G204" s="840">
        <v>12000</v>
      </c>
      <c r="H204" s="319">
        <f>G204*F204</f>
        <v>36000</v>
      </c>
      <c r="I204" s="797" t="s">
        <v>842</v>
      </c>
    </row>
    <row r="205" spans="1:9" ht="15.95" customHeight="1">
      <c r="A205" s="966"/>
      <c r="B205" s="341"/>
      <c r="C205" s="782" t="s">
        <v>824</v>
      </c>
      <c r="D205" s="838" t="s">
        <v>825</v>
      </c>
      <c r="E205" s="784" t="s">
        <v>557</v>
      </c>
      <c r="F205" s="784">
        <v>3</v>
      </c>
      <c r="G205" s="840">
        <v>74000</v>
      </c>
      <c r="H205" s="319">
        <f>G205*F205</f>
        <v>222000</v>
      </c>
      <c r="I205" s="797" t="s">
        <v>842</v>
      </c>
    </row>
    <row r="206" spans="1:9" ht="15.95" customHeight="1">
      <c r="A206" s="966"/>
      <c r="B206" s="341"/>
      <c r="C206" s="782" t="s">
        <v>782</v>
      </c>
      <c r="D206" s="838" t="s">
        <v>826</v>
      </c>
      <c r="E206" s="784" t="s">
        <v>557</v>
      </c>
      <c r="F206" s="784">
        <v>5</v>
      </c>
      <c r="G206" s="840">
        <v>115000</v>
      </c>
      <c r="H206" s="319">
        <f t="shared" ref="H206:H226" si="14">G206*F206</f>
        <v>575000</v>
      </c>
      <c r="I206" s="797" t="s">
        <v>842</v>
      </c>
    </row>
    <row r="207" spans="1:9" ht="15.95" customHeight="1">
      <c r="A207" s="966"/>
      <c r="B207" s="341"/>
      <c r="C207" s="782" t="s">
        <v>827</v>
      </c>
      <c r="D207" s="838" t="s">
        <v>828</v>
      </c>
      <c r="E207" s="784" t="s">
        <v>557</v>
      </c>
      <c r="F207" s="784">
        <v>2</v>
      </c>
      <c r="G207" s="840">
        <v>159000</v>
      </c>
      <c r="H207" s="319">
        <f t="shared" si="14"/>
        <v>318000</v>
      </c>
      <c r="I207" s="797" t="s">
        <v>842</v>
      </c>
    </row>
    <row r="208" spans="1:9" ht="15.95" customHeight="1">
      <c r="A208" s="966"/>
      <c r="B208" s="341"/>
      <c r="C208" s="782" t="s">
        <v>829</v>
      </c>
      <c r="D208" s="838" t="s">
        <v>830</v>
      </c>
      <c r="E208" s="784" t="s">
        <v>557</v>
      </c>
      <c r="F208" s="784">
        <v>1</v>
      </c>
      <c r="G208" s="840">
        <v>17000</v>
      </c>
      <c r="H208" s="319">
        <f t="shared" si="14"/>
        <v>17000</v>
      </c>
      <c r="I208" s="797" t="s">
        <v>842</v>
      </c>
    </row>
    <row r="209" spans="1:9" ht="15.95" customHeight="1">
      <c r="A209" s="966"/>
      <c r="B209" s="341"/>
      <c r="C209" s="782" t="s">
        <v>831</v>
      </c>
      <c r="D209" s="838" t="s">
        <v>832</v>
      </c>
      <c r="E209" s="784" t="s">
        <v>557</v>
      </c>
      <c r="F209" s="784">
        <v>2</v>
      </c>
      <c r="G209" s="840">
        <v>13000</v>
      </c>
      <c r="H209" s="319">
        <f t="shared" si="14"/>
        <v>26000</v>
      </c>
      <c r="I209" s="797" t="s">
        <v>842</v>
      </c>
    </row>
    <row r="210" spans="1:9" ht="15.95" customHeight="1">
      <c r="A210" s="966"/>
      <c r="B210" s="341"/>
      <c r="C210" s="782" t="s">
        <v>692</v>
      </c>
      <c r="D210" s="838" t="s">
        <v>833</v>
      </c>
      <c r="E210" s="784" t="s">
        <v>557</v>
      </c>
      <c r="F210" s="784">
        <v>2</v>
      </c>
      <c r="G210" s="840">
        <v>5000</v>
      </c>
      <c r="H210" s="319">
        <f t="shared" si="14"/>
        <v>10000</v>
      </c>
      <c r="I210" s="797" t="s">
        <v>842</v>
      </c>
    </row>
    <row r="211" spans="1:9" ht="15.95" customHeight="1">
      <c r="A211" s="966"/>
      <c r="B211" s="341"/>
      <c r="C211" s="782" t="s">
        <v>834</v>
      </c>
      <c r="D211" s="838" t="s">
        <v>835</v>
      </c>
      <c r="E211" s="784" t="s">
        <v>557</v>
      </c>
      <c r="F211" s="784">
        <v>4</v>
      </c>
      <c r="G211" s="840">
        <v>28000</v>
      </c>
      <c r="H211" s="319">
        <f t="shared" si="14"/>
        <v>112000</v>
      </c>
      <c r="I211" s="797" t="s">
        <v>842</v>
      </c>
    </row>
    <row r="212" spans="1:9" ht="15.95" customHeight="1">
      <c r="A212" s="966"/>
      <c r="B212" s="341"/>
      <c r="C212" s="782" t="s">
        <v>570</v>
      </c>
      <c r="D212" s="838" t="s">
        <v>836</v>
      </c>
      <c r="E212" s="784" t="s">
        <v>557</v>
      </c>
      <c r="F212" s="784">
        <v>4</v>
      </c>
      <c r="G212" s="840">
        <v>35000</v>
      </c>
      <c r="H212" s="319">
        <f t="shared" si="14"/>
        <v>140000</v>
      </c>
      <c r="I212" s="797" t="s">
        <v>842</v>
      </c>
    </row>
    <row r="213" spans="1:9" ht="15.95" customHeight="1">
      <c r="A213" s="966"/>
      <c r="B213" s="341"/>
      <c r="C213" s="782" t="s">
        <v>722</v>
      </c>
      <c r="D213" s="838" t="s">
        <v>837</v>
      </c>
      <c r="E213" s="784" t="s">
        <v>557</v>
      </c>
      <c r="F213" s="784">
        <v>2</v>
      </c>
      <c r="G213" s="840">
        <v>30000</v>
      </c>
      <c r="H213" s="319">
        <f t="shared" si="14"/>
        <v>60000</v>
      </c>
      <c r="I213" s="797" t="s">
        <v>842</v>
      </c>
    </row>
    <row r="214" spans="1:9" ht="15.95" customHeight="1">
      <c r="A214" s="966"/>
      <c r="B214" s="341"/>
      <c r="C214" s="782" t="s">
        <v>838</v>
      </c>
      <c r="D214" s="838" t="s">
        <v>839</v>
      </c>
      <c r="E214" s="784" t="s">
        <v>557</v>
      </c>
      <c r="F214" s="784">
        <v>3</v>
      </c>
      <c r="G214" s="840">
        <v>20000</v>
      </c>
      <c r="H214" s="319">
        <f t="shared" si="14"/>
        <v>60000</v>
      </c>
      <c r="I214" s="797" t="s">
        <v>842</v>
      </c>
    </row>
    <row r="215" spans="1:9" ht="15.95" customHeight="1">
      <c r="A215" s="966"/>
      <c r="B215" s="341"/>
      <c r="C215" s="782" t="s">
        <v>840</v>
      </c>
      <c r="D215" s="838" t="s">
        <v>841</v>
      </c>
      <c r="E215" s="784" t="s">
        <v>557</v>
      </c>
      <c r="F215" s="784">
        <v>3</v>
      </c>
      <c r="G215" s="840">
        <v>20000</v>
      </c>
      <c r="H215" s="319">
        <f t="shared" si="14"/>
        <v>60000</v>
      </c>
      <c r="I215" s="797" t="s">
        <v>842</v>
      </c>
    </row>
    <row r="216" spans="1:9" ht="15.95" customHeight="1">
      <c r="A216" s="966"/>
      <c r="B216" s="341"/>
      <c r="C216" s="448"/>
      <c r="D216" s="448"/>
      <c r="E216" s="315" t="s">
        <v>223</v>
      </c>
      <c r="F216" s="449"/>
      <c r="G216" s="451"/>
      <c r="H216" s="319">
        <f t="shared" si="14"/>
        <v>0</v>
      </c>
      <c r="I216" s="317"/>
    </row>
    <row r="217" spans="1:9" ht="15.95" customHeight="1">
      <c r="A217" s="966"/>
      <c r="B217" s="341"/>
      <c r="C217" s="448"/>
      <c r="D217" s="448"/>
      <c r="E217" s="315" t="s">
        <v>223</v>
      </c>
      <c r="F217" s="452"/>
      <c r="G217" s="330"/>
      <c r="H217" s="319">
        <f t="shared" si="14"/>
        <v>0</v>
      </c>
      <c r="I217" s="317"/>
    </row>
    <row r="218" spans="1:9" ht="15.95" customHeight="1">
      <c r="A218" s="966"/>
      <c r="B218" s="341"/>
      <c r="C218" s="448"/>
      <c r="D218" s="448"/>
      <c r="E218" s="315" t="s">
        <v>223</v>
      </c>
      <c r="F218" s="452"/>
      <c r="G218" s="319"/>
      <c r="H218" s="319">
        <f t="shared" si="14"/>
        <v>0</v>
      </c>
      <c r="I218" s="317"/>
    </row>
    <row r="219" spans="1:9" ht="15.95" customHeight="1">
      <c r="A219" s="966"/>
      <c r="B219" s="341"/>
      <c r="C219" s="453"/>
      <c r="D219" s="454"/>
      <c r="E219" s="315" t="s">
        <v>223</v>
      </c>
      <c r="F219" s="455"/>
      <c r="G219" s="319"/>
      <c r="H219" s="319">
        <f t="shared" si="14"/>
        <v>0</v>
      </c>
      <c r="I219" s="317"/>
    </row>
    <row r="220" spans="1:9" ht="15.95" customHeight="1">
      <c r="A220" s="966"/>
      <c r="B220" s="341"/>
      <c r="C220" s="453"/>
      <c r="D220" s="454"/>
      <c r="E220" s="315" t="s">
        <v>223</v>
      </c>
      <c r="F220" s="455"/>
      <c r="G220" s="319"/>
      <c r="H220" s="319">
        <f t="shared" si="14"/>
        <v>0</v>
      </c>
      <c r="I220" s="317"/>
    </row>
    <row r="221" spans="1:9" ht="15.95" customHeight="1">
      <c r="A221" s="966"/>
      <c r="B221" s="341"/>
      <c r="C221" s="456"/>
      <c r="D221" s="454"/>
      <c r="E221" s="315" t="s">
        <v>223</v>
      </c>
      <c r="F221" s="455"/>
      <c r="G221" s="319"/>
      <c r="H221" s="319">
        <f t="shared" si="14"/>
        <v>0</v>
      </c>
      <c r="I221" s="317"/>
    </row>
    <row r="222" spans="1:9" ht="15.95" customHeight="1">
      <c r="A222" s="966"/>
      <c r="B222" s="341"/>
      <c r="C222" s="456"/>
      <c r="D222" s="454"/>
      <c r="E222" s="315" t="s">
        <v>223</v>
      </c>
      <c r="F222" s="455"/>
      <c r="G222" s="319"/>
      <c r="H222" s="319">
        <f t="shared" si="14"/>
        <v>0</v>
      </c>
      <c r="I222" s="317"/>
    </row>
    <row r="223" spans="1:9" ht="15.95" customHeight="1">
      <c r="A223" s="966"/>
      <c r="B223" s="341"/>
      <c r="C223" s="456"/>
      <c r="D223" s="454"/>
      <c r="E223" s="315" t="s">
        <v>223</v>
      </c>
      <c r="F223" s="455"/>
      <c r="G223" s="319"/>
      <c r="H223" s="319">
        <f t="shared" si="14"/>
        <v>0</v>
      </c>
      <c r="I223" s="317"/>
    </row>
    <row r="224" spans="1:9" ht="15.95" customHeight="1">
      <c r="A224" s="966"/>
      <c r="B224" s="341"/>
      <c r="C224" s="453"/>
      <c r="D224" s="454"/>
      <c r="E224" s="315" t="s">
        <v>223</v>
      </c>
      <c r="F224" s="455"/>
      <c r="G224" s="319"/>
      <c r="H224" s="319">
        <f t="shared" si="14"/>
        <v>0</v>
      </c>
      <c r="I224" s="317"/>
    </row>
    <row r="225" spans="1:9" ht="15.95" customHeight="1">
      <c r="A225" s="966"/>
      <c r="B225" s="341"/>
      <c r="C225" s="457"/>
      <c r="D225" s="454"/>
      <c r="E225" s="315" t="s">
        <v>223</v>
      </c>
      <c r="F225" s="455"/>
      <c r="G225" s="319"/>
      <c r="H225" s="319">
        <f t="shared" si="14"/>
        <v>0</v>
      </c>
      <c r="I225" s="317"/>
    </row>
    <row r="226" spans="1:9" ht="15.95" customHeight="1">
      <c r="A226" s="966"/>
      <c r="B226" s="341"/>
      <c r="C226" s="331"/>
      <c r="D226" s="459"/>
      <c r="E226" s="426" t="s">
        <v>239</v>
      </c>
      <c r="F226" s="460"/>
      <c r="G226" s="465"/>
      <c r="H226" s="319">
        <f t="shared" si="14"/>
        <v>0</v>
      </c>
      <c r="I226" s="317"/>
    </row>
    <row r="227" spans="1:9" ht="15.95" customHeight="1">
      <c r="A227" s="966"/>
      <c r="B227" s="341"/>
      <c r="C227" s="458"/>
      <c r="D227" s="459"/>
      <c r="E227" s="426"/>
      <c r="F227" s="460"/>
      <c r="G227" s="330"/>
      <c r="H227" s="319"/>
      <c r="I227" s="317"/>
    </row>
    <row r="228" spans="1:9" ht="15.95" customHeight="1">
      <c r="A228" s="966"/>
      <c r="B228" s="341"/>
      <c r="C228" s="332"/>
      <c r="D228" s="333"/>
      <c r="E228" s="334"/>
      <c r="F228" s="461"/>
      <c r="G228" s="414"/>
      <c r="H228" s="336"/>
      <c r="I228" s="388"/>
    </row>
    <row r="229" spans="1:9" ht="15.95" customHeight="1">
      <c r="A229" s="966"/>
      <c r="B229" s="342"/>
      <c r="C229" s="389"/>
      <c r="D229" s="390"/>
      <c r="E229" s="391"/>
      <c r="F229" s="378"/>
      <c r="G229" s="378"/>
      <c r="H229" s="347">
        <f>SUM(H108:H228)</f>
        <v>15692700</v>
      </c>
      <c r="I229" s="392"/>
    </row>
    <row r="230" spans="1:9" ht="15.95" customHeight="1">
      <c r="A230" s="350"/>
      <c r="B230" s="351" t="s">
        <v>81</v>
      </c>
      <c r="C230" s="352"/>
      <c r="D230" s="376"/>
      <c r="E230" s="377"/>
      <c r="F230" s="393"/>
      <c r="G230" s="393"/>
      <c r="H230" s="347">
        <f>SUM(H13,H107,H229)</f>
        <v>25100138</v>
      </c>
      <c r="I230" s="392"/>
    </row>
    <row r="231" spans="1:9" ht="15.95" customHeight="1">
      <c r="A231" s="962" t="s">
        <v>82</v>
      </c>
      <c r="B231" s="354" t="s">
        <v>83</v>
      </c>
      <c r="C231" s="355"/>
      <c r="D231" s="356"/>
      <c r="E231" s="357" t="s">
        <v>84</v>
      </c>
      <c r="F231" s="326"/>
      <c r="G231" s="415"/>
      <c r="H231" s="358">
        <f t="shared" ref="H231:H237" si="15">F231*G231</f>
        <v>0</v>
      </c>
      <c r="I231" s="386"/>
    </row>
    <row r="232" spans="1:9" ht="15.95" customHeight="1">
      <c r="A232" s="966"/>
      <c r="B232" s="360" t="s">
        <v>85</v>
      </c>
      <c r="C232" s="361"/>
      <c r="D232" s="362"/>
      <c r="E232" s="363" t="s">
        <v>11</v>
      </c>
      <c r="F232" s="399">
        <v>1</v>
      </c>
      <c r="G232" s="400">
        <v>350000</v>
      </c>
      <c r="H232" s="364">
        <f t="shared" si="15"/>
        <v>350000</v>
      </c>
      <c r="I232" s="394"/>
    </row>
    <row r="233" spans="1:9" ht="15.95" customHeight="1">
      <c r="A233" s="966"/>
      <c r="B233" s="365" t="s">
        <v>297</v>
      </c>
      <c r="C233" s="366"/>
      <c r="D233" s="367"/>
      <c r="E233" s="368" t="s">
        <v>11</v>
      </c>
      <c r="F233" s="321">
        <v>3</v>
      </c>
      <c r="G233" s="319">
        <v>350000</v>
      </c>
      <c r="H233" s="369">
        <f t="shared" si="15"/>
        <v>1050000</v>
      </c>
      <c r="I233" s="387"/>
    </row>
    <row r="234" spans="1:9" ht="15.95" customHeight="1">
      <c r="A234" s="966"/>
      <c r="B234" s="365" t="s">
        <v>86</v>
      </c>
      <c r="C234" s="366"/>
      <c r="D234" s="367"/>
      <c r="E234" s="368" t="s">
        <v>11</v>
      </c>
      <c r="F234" s="321">
        <v>1</v>
      </c>
      <c r="G234" s="319">
        <v>350000</v>
      </c>
      <c r="H234" s="369">
        <f t="shared" si="15"/>
        <v>350000</v>
      </c>
      <c r="I234" s="387"/>
    </row>
    <row r="235" spans="1:9" ht="15.95" customHeight="1">
      <c r="A235" s="966"/>
      <c r="B235" s="365" t="s">
        <v>87</v>
      </c>
      <c r="C235" s="366"/>
      <c r="D235" s="367"/>
      <c r="E235" s="368" t="s">
        <v>11</v>
      </c>
      <c r="F235" s="321">
        <v>1</v>
      </c>
      <c r="G235" s="319">
        <v>350000</v>
      </c>
      <c r="H235" s="369">
        <f t="shared" si="15"/>
        <v>350000</v>
      </c>
      <c r="I235" s="387"/>
    </row>
    <row r="236" spans="1:9" ht="15.95" customHeight="1">
      <c r="A236" s="966"/>
      <c r="B236" s="365" t="s">
        <v>88</v>
      </c>
      <c r="C236" s="366"/>
      <c r="D236" s="367"/>
      <c r="E236" s="368" t="s">
        <v>11</v>
      </c>
      <c r="F236" s="321">
        <v>1</v>
      </c>
      <c r="G236" s="319">
        <v>350000</v>
      </c>
      <c r="H236" s="369">
        <f t="shared" si="15"/>
        <v>350000</v>
      </c>
      <c r="I236" s="387"/>
    </row>
    <row r="237" spans="1:9" ht="15.95" customHeight="1">
      <c r="A237" s="966"/>
      <c r="B237" s="365" t="s">
        <v>89</v>
      </c>
      <c r="C237" s="366"/>
      <c r="D237" s="367"/>
      <c r="E237" s="368" t="s">
        <v>11</v>
      </c>
      <c r="F237" s="321"/>
      <c r="G237" s="319">
        <v>350000</v>
      </c>
      <c r="H237" s="369">
        <f t="shared" si="15"/>
        <v>0</v>
      </c>
      <c r="I237" s="387"/>
    </row>
    <row r="238" spans="1:9" ht="15.95" customHeight="1">
      <c r="A238" s="966"/>
      <c r="B238" s="370" t="s">
        <v>90</v>
      </c>
      <c r="C238" s="371"/>
      <c r="D238" s="372"/>
      <c r="E238" s="373" t="s">
        <v>11</v>
      </c>
      <c r="F238" s="335">
        <v>1</v>
      </c>
      <c r="G238" s="336">
        <v>350000</v>
      </c>
      <c r="H238" s="374">
        <f>G238*F238</f>
        <v>350000</v>
      </c>
      <c r="I238" s="388"/>
    </row>
    <row r="239" spans="1:9" ht="15.95" customHeight="1">
      <c r="A239" s="350"/>
      <c r="B239" s="375" t="s">
        <v>91</v>
      </c>
      <c r="C239" s="352"/>
      <c r="D239" s="376"/>
      <c r="E239" s="377"/>
      <c r="F239" s="462"/>
      <c r="G239" s="378"/>
      <c r="H239" s="346">
        <f>SUM(H231:H238)</f>
        <v>2800000</v>
      </c>
      <c r="I239" s="395"/>
    </row>
    <row r="240" spans="1:9" ht="15.95" customHeight="1">
      <c r="A240" s="379"/>
      <c r="B240" s="375" t="s">
        <v>92</v>
      </c>
      <c r="C240" s="352"/>
      <c r="D240" s="376"/>
      <c r="E240" s="377"/>
      <c r="F240" s="380"/>
      <c r="G240" s="380"/>
      <c r="H240" s="353">
        <f>'단위장비별(집계)2'!L8+'단위장비별(집계)2'!I8</f>
        <v>1434689.834371726</v>
      </c>
      <c r="I240" s="392"/>
    </row>
    <row r="241" spans="1:9" ht="15.95" customHeight="1">
      <c r="A241" s="379"/>
      <c r="B241" s="375" t="s">
        <v>93</v>
      </c>
      <c r="C241" s="352"/>
      <c r="D241" s="376"/>
      <c r="E241" s="348" t="s">
        <v>221</v>
      </c>
      <c r="F241" s="347">
        <v>5</v>
      </c>
      <c r="G241" s="381"/>
      <c r="H241" s="416">
        <f>(H230+H239)*0.05</f>
        <v>1395006.9000000001</v>
      </c>
      <c r="I241" s="396"/>
    </row>
    <row r="242" spans="1:9" ht="15.95" customHeight="1">
      <c r="A242" s="379"/>
      <c r="B242" s="375" t="s">
        <v>94</v>
      </c>
      <c r="C242" s="352"/>
      <c r="D242" s="376"/>
      <c r="E242" s="348" t="s">
        <v>221</v>
      </c>
      <c r="F242" s="347">
        <v>10</v>
      </c>
      <c r="G242" s="381"/>
      <c r="H242" s="416">
        <f>(H230+H239)*0.1</f>
        <v>2790013.8000000003</v>
      </c>
      <c r="I242" s="396"/>
    </row>
    <row r="243" spans="1:9" ht="15.95" customHeight="1">
      <c r="A243" s="379"/>
      <c r="B243" s="375" t="s">
        <v>95</v>
      </c>
      <c r="C243" s="352"/>
      <c r="D243" s="376"/>
      <c r="E243" s="377"/>
      <c r="F243" s="380"/>
      <c r="G243" s="380"/>
      <c r="H243" s="346">
        <f>H230+H239+H240+H241+H242</f>
        <v>33519848.534371726</v>
      </c>
      <c r="I243" s="392"/>
    </row>
    <row r="244" spans="1:9" ht="15.95" customHeight="1"/>
    <row r="245" spans="1:9" ht="15.95" customHeight="1"/>
    <row r="246" spans="1:9" ht="15.95" customHeight="1"/>
    <row r="247" spans="1:9" ht="15.95" customHeight="1"/>
    <row r="248" spans="1:9" ht="15.95" customHeight="1"/>
    <row r="249" spans="1:9" ht="15.95" customHeight="1"/>
    <row r="250" spans="1:9" ht="15.95" customHeight="1"/>
    <row r="251" spans="1:9" ht="15.95" customHeight="1"/>
    <row r="252" spans="1:9" ht="15.95" customHeight="1"/>
    <row r="253" spans="1:9" ht="15.95" customHeight="1"/>
    <row r="254" spans="1:9" ht="15.95" customHeight="1"/>
    <row r="255" spans="1:9" ht="15.95" customHeight="1"/>
    <row r="256" spans="1:9" ht="15.95" customHeight="1"/>
    <row r="257" ht="15.95" customHeight="1"/>
    <row r="258" ht="15.95" customHeight="1"/>
    <row r="259" ht="15.95" customHeight="1"/>
    <row r="260" ht="15.95" customHeight="1"/>
    <row r="261" ht="15.95" customHeight="1"/>
    <row r="262" ht="15.95" customHeight="1"/>
    <row r="263" ht="15.95" customHeight="1"/>
    <row r="264" ht="15.95" customHeight="1"/>
    <row r="265" ht="15.95" customHeight="1"/>
    <row r="266" ht="15.95" customHeight="1"/>
  </sheetData>
  <mergeCells count="3">
    <mergeCell ref="A2:B2"/>
    <mergeCell ref="A231:A238"/>
    <mergeCell ref="A3:A229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0" orientation="portrait" horizontalDpi="4294967292" r:id="rId1"/>
  <headerFooter alignWithMargins="0"/>
  <rowBreaks count="1" manualBreakCount="1">
    <brk id="157" max="8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DAAE-F1B1-4253-8F33-81D1B76925FB}">
  <sheetPr codeName="Sheet8"/>
  <dimension ref="A1:M370"/>
  <sheetViews>
    <sheetView view="pageBreakPreview" zoomScale="80" zoomScaleNormal="85" workbookViewId="0">
      <pane xSplit="2" ySplit="2" topLeftCell="C147" activePane="bottomRight" state="frozen"/>
      <selection activeCell="F67" sqref="F67"/>
      <selection pane="topRight" activeCell="F67" sqref="F67"/>
      <selection pane="bottomLeft" activeCell="F67" sqref="F67"/>
      <selection pane="bottomRight" activeCell="G170" sqref="G170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9" style="227"/>
    <col min="11" max="11" width="12.25" style="558" customWidth="1"/>
    <col min="12" max="12" width="11.875" style="227" customWidth="1"/>
    <col min="13" max="13" width="9" style="227"/>
    <col min="14" max="16384" width="9" style="53"/>
  </cols>
  <sheetData>
    <row r="1" spans="1:13" ht="22.5" customHeight="1">
      <c r="A1" s="45" t="s">
        <v>96</v>
      </c>
      <c r="B1" s="45"/>
      <c r="C1" s="419" t="s">
        <v>884</v>
      </c>
      <c r="D1" s="262"/>
      <c r="E1" s="238"/>
      <c r="F1" s="22"/>
      <c r="G1" s="114"/>
      <c r="I1" s="230" t="s">
        <v>53</v>
      </c>
      <c r="J1" s="229"/>
      <c r="K1" s="556"/>
      <c r="L1" s="229"/>
      <c r="M1" s="229"/>
    </row>
    <row r="2" spans="1:13" s="119" customFormat="1" ht="16.5" customHeight="1">
      <c r="A2" s="964" t="s">
        <v>57</v>
      </c>
      <c r="B2" s="965"/>
      <c r="C2" s="359" t="s">
        <v>7</v>
      </c>
      <c r="D2" s="383" t="s">
        <v>58</v>
      </c>
      <c r="E2" s="383" t="s">
        <v>59</v>
      </c>
      <c r="F2" s="384" t="s">
        <v>4</v>
      </c>
      <c r="G2" s="384" t="s">
        <v>60</v>
      </c>
      <c r="H2" s="384" t="s">
        <v>61</v>
      </c>
      <c r="I2" s="385" t="s">
        <v>9</v>
      </c>
      <c r="J2" s="228"/>
      <c r="K2" s="557"/>
      <c r="L2" s="228"/>
      <c r="M2" s="228"/>
    </row>
    <row r="3" spans="1:13" ht="15.95" customHeight="1">
      <c r="A3" s="962" t="s">
        <v>234</v>
      </c>
      <c r="B3" s="341" t="s">
        <v>235</v>
      </c>
      <c r="C3" s="420" t="s">
        <v>272</v>
      </c>
      <c r="D3" s="420"/>
      <c r="E3" s="311" t="s">
        <v>237</v>
      </c>
      <c r="F3" s="415">
        <v>20</v>
      </c>
      <c r="G3" s="415">
        <v>1200</v>
      </c>
      <c r="H3" s="337">
        <f>IF(F3=0,G3,G3*F3)</f>
        <v>24000</v>
      </c>
      <c r="I3" s="386"/>
    </row>
    <row r="4" spans="1:13" ht="15.95" customHeight="1">
      <c r="A4" s="966"/>
      <c r="B4" s="341"/>
      <c r="C4" s="468" t="s">
        <v>280</v>
      </c>
      <c r="D4" s="469"/>
      <c r="E4" s="470" t="s">
        <v>281</v>
      </c>
      <c r="F4" s="471"/>
      <c r="G4" s="406"/>
      <c r="H4" s="364">
        <f>IF(F4=0,G4,G4*F4)</f>
        <v>0</v>
      </c>
      <c r="I4" s="387"/>
    </row>
    <row r="5" spans="1:13" ht="15.95" customHeight="1">
      <c r="A5" s="966"/>
      <c r="B5" s="341"/>
      <c r="C5" s="402" t="s">
        <v>238</v>
      </c>
      <c r="D5" s="402"/>
      <c r="E5" s="403" t="s">
        <v>237</v>
      </c>
      <c r="F5" s="336">
        <v>10</v>
      </c>
      <c r="G5" s="336">
        <v>10000</v>
      </c>
      <c r="H5" s="339">
        <f>IF(F5=0,G5,G5*F5)</f>
        <v>100000</v>
      </c>
      <c r="I5" s="388"/>
    </row>
    <row r="6" spans="1:13" ht="15.95" customHeight="1">
      <c r="A6" s="966"/>
      <c r="B6" s="342"/>
      <c r="C6" s="389"/>
      <c r="D6" s="390"/>
      <c r="E6" s="430"/>
      <c r="F6" s="431">
        <f>SUM(F3:F5)</f>
        <v>30</v>
      </c>
      <c r="G6" s="346"/>
      <c r="H6" s="347">
        <f>SUM(H3:H5)</f>
        <v>124000</v>
      </c>
      <c r="I6" s="539"/>
    </row>
    <row r="7" spans="1:13" ht="15.95" customHeight="1">
      <c r="A7" s="966"/>
      <c r="B7" s="349" t="s">
        <v>240</v>
      </c>
      <c r="C7" s="412"/>
      <c r="D7" s="412"/>
      <c r="E7" s="311"/>
      <c r="F7" s="417"/>
      <c r="G7" s="327"/>
      <c r="H7" s="337">
        <f>G7*F7</f>
        <v>0</v>
      </c>
      <c r="I7" s="540"/>
    </row>
    <row r="8" spans="1:13" ht="15.95" customHeight="1">
      <c r="A8" s="966"/>
      <c r="B8" s="341" t="s">
        <v>241</v>
      </c>
      <c r="C8" s="305"/>
      <c r="D8" s="305"/>
      <c r="E8" s="315"/>
      <c r="F8" s="307"/>
      <c r="G8" s="330"/>
      <c r="H8" s="320">
        <f>G8*F8</f>
        <v>0</v>
      </c>
      <c r="I8" s="317"/>
    </row>
    <row r="9" spans="1:13" ht="15.95" customHeight="1">
      <c r="A9" s="966"/>
      <c r="B9" s="773" t="s">
        <v>554</v>
      </c>
      <c r="C9" s="753" t="s">
        <v>843</v>
      </c>
      <c r="D9" s="799" t="s">
        <v>844</v>
      </c>
      <c r="E9" s="800" t="s">
        <v>557</v>
      </c>
      <c r="F9" s="801">
        <v>1</v>
      </c>
      <c r="G9" s="802">
        <v>450000</v>
      </c>
      <c r="H9" s="320">
        <f t="shared" ref="H9:H72" si="0">G9*F9</f>
        <v>450000</v>
      </c>
      <c r="I9" s="798" t="s">
        <v>881</v>
      </c>
    </row>
    <row r="10" spans="1:13" ht="15.95" customHeight="1">
      <c r="A10" s="966"/>
      <c r="B10" s="341"/>
      <c r="C10" s="753" t="s">
        <v>845</v>
      </c>
      <c r="D10" s="799" t="s">
        <v>846</v>
      </c>
      <c r="E10" s="800" t="s">
        <v>557</v>
      </c>
      <c r="F10" s="800">
        <v>1</v>
      </c>
      <c r="G10" s="802">
        <v>250000</v>
      </c>
      <c r="H10" s="320">
        <f t="shared" si="0"/>
        <v>250000</v>
      </c>
      <c r="I10" s="798" t="s">
        <v>881</v>
      </c>
    </row>
    <row r="11" spans="1:13" ht="15.95" customHeight="1">
      <c r="A11" s="966"/>
      <c r="B11" s="341"/>
      <c r="C11" s="753" t="s">
        <v>848</v>
      </c>
      <c r="D11" s="799" t="s">
        <v>849</v>
      </c>
      <c r="E11" s="800" t="s">
        <v>557</v>
      </c>
      <c r="F11" s="800">
        <v>1</v>
      </c>
      <c r="G11" s="802">
        <v>145000</v>
      </c>
      <c r="H11" s="320">
        <f t="shared" si="0"/>
        <v>145000</v>
      </c>
      <c r="I11" s="798" t="s">
        <v>882</v>
      </c>
    </row>
    <row r="12" spans="1:13" ht="15.95" customHeight="1">
      <c r="A12" s="966"/>
      <c r="B12" s="341"/>
      <c r="C12" s="753" t="s">
        <v>620</v>
      </c>
      <c r="D12" s="799" t="s">
        <v>850</v>
      </c>
      <c r="E12" s="800" t="s">
        <v>557</v>
      </c>
      <c r="F12" s="800">
        <v>2</v>
      </c>
      <c r="G12" s="802">
        <v>553200</v>
      </c>
      <c r="H12" s="320">
        <f t="shared" si="0"/>
        <v>1106400</v>
      </c>
      <c r="I12" s="798" t="s">
        <v>667</v>
      </c>
    </row>
    <row r="13" spans="1:13" ht="15.95" customHeight="1">
      <c r="A13" s="966"/>
      <c r="B13" s="341"/>
      <c r="C13" s="753" t="s">
        <v>851</v>
      </c>
      <c r="D13" s="799" t="s">
        <v>852</v>
      </c>
      <c r="E13" s="800" t="s">
        <v>557</v>
      </c>
      <c r="F13" s="800">
        <v>6</v>
      </c>
      <c r="G13" s="802">
        <v>35000</v>
      </c>
      <c r="H13" s="320">
        <f t="shared" si="0"/>
        <v>210000</v>
      </c>
      <c r="I13" s="798" t="s">
        <v>668</v>
      </c>
    </row>
    <row r="14" spans="1:13" ht="15.95" customHeight="1">
      <c r="A14" s="966"/>
      <c r="B14" s="341"/>
      <c r="C14" s="753" t="s">
        <v>853</v>
      </c>
      <c r="D14" s="799" t="s">
        <v>854</v>
      </c>
      <c r="E14" s="800" t="s">
        <v>557</v>
      </c>
      <c r="F14" s="800">
        <v>1</v>
      </c>
      <c r="G14" s="802">
        <v>68900</v>
      </c>
      <c r="H14" s="320">
        <f t="shared" si="0"/>
        <v>68900</v>
      </c>
      <c r="I14" s="798" t="s">
        <v>668</v>
      </c>
    </row>
    <row r="15" spans="1:13" ht="15.95" customHeight="1">
      <c r="A15" s="966"/>
      <c r="B15" s="341"/>
      <c r="C15" s="753" t="s">
        <v>855</v>
      </c>
      <c r="D15" s="799" t="s">
        <v>856</v>
      </c>
      <c r="E15" s="800" t="s">
        <v>557</v>
      </c>
      <c r="F15" s="800">
        <v>2</v>
      </c>
      <c r="G15" s="802">
        <v>25350</v>
      </c>
      <c r="H15" s="320">
        <f t="shared" si="0"/>
        <v>50700</v>
      </c>
      <c r="I15" s="798" t="s">
        <v>668</v>
      </c>
    </row>
    <row r="16" spans="1:13" ht="15.95" customHeight="1">
      <c r="A16" s="966"/>
      <c r="B16" s="341"/>
      <c r="C16" s="753" t="s">
        <v>857</v>
      </c>
      <c r="D16" s="799" t="s">
        <v>858</v>
      </c>
      <c r="E16" s="800" t="s">
        <v>557</v>
      </c>
      <c r="F16" s="800">
        <v>2</v>
      </c>
      <c r="G16" s="802">
        <v>7000</v>
      </c>
      <c r="H16" s="320">
        <f t="shared" si="0"/>
        <v>14000</v>
      </c>
      <c r="I16" s="798" t="s">
        <v>883</v>
      </c>
    </row>
    <row r="17" spans="1:9" ht="15.95" customHeight="1">
      <c r="A17" s="966"/>
      <c r="B17" s="341"/>
      <c r="C17" s="753" t="s">
        <v>859</v>
      </c>
      <c r="D17" s="799" t="s">
        <v>860</v>
      </c>
      <c r="E17" s="800" t="s">
        <v>557</v>
      </c>
      <c r="F17" s="800">
        <v>1</v>
      </c>
      <c r="G17" s="802">
        <v>500</v>
      </c>
      <c r="H17" s="320">
        <f t="shared" si="0"/>
        <v>500</v>
      </c>
      <c r="I17" s="798" t="s">
        <v>883</v>
      </c>
    </row>
    <row r="18" spans="1:9" ht="15.95" customHeight="1">
      <c r="A18" s="966"/>
      <c r="B18" s="341"/>
      <c r="C18" s="753" t="s">
        <v>758</v>
      </c>
      <c r="D18" s="799" t="s">
        <v>861</v>
      </c>
      <c r="E18" s="800" t="s">
        <v>557</v>
      </c>
      <c r="F18" s="800">
        <v>2</v>
      </c>
      <c r="G18" s="802">
        <v>7543</v>
      </c>
      <c r="H18" s="320">
        <f t="shared" si="0"/>
        <v>15086</v>
      </c>
      <c r="I18" s="798" t="s">
        <v>668</v>
      </c>
    </row>
    <row r="19" spans="1:9" ht="15.95" customHeight="1">
      <c r="A19" s="966"/>
      <c r="B19" s="341"/>
      <c r="C19" s="753" t="s">
        <v>862</v>
      </c>
      <c r="D19" s="799" t="s">
        <v>863</v>
      </c>
      <c r="E19" s="800" t="s">
        <v>557</v>
      </c>
      <c r="F19" s="800">
        <v>2</v>
      </c>
      <c r="G19" s="802">
        <v>180000</v>
      </c>
      <c r="H19" s="320">
        <f t="shared" si="0"/>
        <v>360000</v>
      </c>
      <c r="I19" s="798" t="s">
        <v>881</v>
      </c>
    </row>
    <row r="20" spans="1:9" ht="15.95" customHeight="1">
      <c r="A20" s="966"/>
      <c r="B20" s="341"/>
      <c r="C20" s="753" t="s">
        <v>864</v>
      </c>
      <c r="D20" s="799" t="s">
        <v>865</v>
      </c>
      <c r="E20" s="800" t="s">
        <v>557</v>
      </c>
      <c r="F20" s="800">
        <v>1</v>
      </c>
      <c r="G20" s="802">
        <v>47000</v>
      </c>
      <c r="H20" s="320">
        <f t="shared" si="0"/>
        <v>47000</v>
      </c>
      <c r="I20" s="798" t="s">
        <v>669</v>
      </c>
    </row>
    <row r="21" spans="1:9" ht="15.95" customHeight="1">
      <c r="A21" s="966"/>
      <c r="B21" s="437"/>
      <c r="C21" s="753" t="s">
        <v>638</v>
      </c>
      <c r="D21" s="799" t="s">
        <v>866</v>
      </c>
      <c r="E21" s="800" t="s">
        <v>557</v>
      </c>
      <c r="F21" s="800">
        <v>1</v>
      </c>
      <c r="G21" s="802">
        <v>70400</v>
      </c>
      <c r="H21" s="320">
        <f t="shared" si="0"/>
        <v>70400</v>
      </c>
      <c r="I21" s="798" t="s">
        <v>669</v>
      </c>
    </row>
    <row r="22" spans="1:9" ht="15.95" customHeight="1">
      <c r="A22" s="966"/>
      <c r="B22" s="436"/>
      <c r="C22" s="753" t="s">
        <v>640</v>
      </c>
      <c r="D22" s="799" t="s">
        <v>641</v>
      </c>
      <c r="E22" s="800" t="s">
        <v>557</v>
      </c>
      <c r="F22" s="800">
        <v>1</v>
      </c>
      <c r="G22" s="802">
        <v>8400</v>
      </c>
      <c r="H22" s="320">
        <f t="shared" si="0"/>
        <v>8400</v>
      </c>
      <c r="I22" s="798" t="s">
        <v>669</v>
      </c>
    </row>
    <row r="23" spans="1:9" ht="15.95" customHeight="1">
      <c r="A23" s="966"/>
      <c r="B23" s="436"/>
      <c r="C23" s="753" t="s">
        <v>867</v>
      </c>
      <c r="D23" s="799" t="s">
        <v>868</v>
      </c>
      <c r="E23" s="800" t="s">
        <v>557</v>
      </c>
      <c r="F23" s="800">
        <v>1</v>
      </c>
      <c r="G23" s="802">
        <v>146446</v>
      </c>
      <c r="H23" s="320">
        <f t="shared" si="0"/>
        <v>146446</v>
      </c>
      <c r="I23" s="798" t="s">
        <v>668</v>
      </c>
    </row>
    <row r="24" spans="1:9" ht="15.95" customHeight="1">
      <c r="A24" s="966"/>
      <c r="B24" s="341"/>
      <c r="C24" s="753"/>
      <c r="D24" s="591"/>
      <c r="E24" s="594"/>
      <c r="F24" s="595"/>
      <c r="G24" s="802"/>
      <c r="H24" s="320">
        <f t="shared" si="0"/>
        <v>0</v>
      </c>
      <c r="I24" s="798"/>
    </row>
    <row r="25" spans="1:9" ht="15.95" customHeight="1">
      <c r="A25" s="966"/>
      <c r="B25" s="796" t="s">
        <v>566</v>
      </c>
      <c r="C25" s="753" t="s">
        <v>851</v>
      </c>
      <c r="D25" s="753" t="s">
        <v>869</v>
      </c>
      <c r="E25" s="800" t="s">
        <v>557</v>
      </c>
      <c r="F25" s="801">
        <v>3</v>
      </c>
      <c r="G25" s="802">
        <v>29145</v>
      </c>
      <c r="H25" s="320">
        <f t="shared" si="0"/>
        <v>87435</v>
      </c>
      <c r="I25" s="798" t="s">
        <v>668</v>
      </c>
    </row>
    <row r="26" spans="1:9" ht="15.95" customHeight="1">
      <c r="A26" s="966"/>
      <c r="B26" s="341"/>
      <c r="C26" s="753" t="s">
        <v>616</v>
      </c>
      <c r="D26" s="753" t="s">
        <v>870</v>
      </c>
      <c r="E26" s="800" t="s">
        <v>557</v>
      </c>
      <c r="F26" s="800">
        <v>3</v>
      </c>
      <c r="G26" s="802">
        <v>61580</v>
      </c>
      <c r="H26" s="320">
        <f t="shared" si="0"/>
        <v>184740</v>
      </c>
      <c r="I26" s="798" t="s">
        <v>666</v>
      </c>
    </row>
    <row r="27" spans="1:9" ht="15.95" customHeight="1">
      <c r="A27" s="966"/>
      <c r="B27" s="341"/>
      <c r="C27" s="753" t="s">
        <v>871</v>
      </c>
      <c r="D27" s="753" t="s">
        <v>872</v>
      </c>
      <c r="E27" s="800" t="s">
        <v>557</v>
      </c>
      <c r="F27" s="800">
        <v>6</v>
      </c>
      <c r="G27" s="802">
        <v>4290</v>
      </c>
      <c r="H27" s="320">
        <f t="shared" si="0"/>
        <v>25740</v>
      </c>
      <c r="I27" s="798" t="s">
        <v>666</v>
      </c>
    </row>
    <row r="28" spans="1:9" ht="15.95" customHeight="1">
      <c r="A28" s="966"/>
      <c r="B28" s="341"/>
      <c r="C28" s="753" t="s">
        <v>873</v>
      </c>
      <c r="D28" s="753" t="s">
        <v>874</v>
      </c>
      <c r="E28" s="800" t="s">
        <v>557</v>
      </c>
      <c r="F28" s="800">
        <v>6</v>
      </c>
      <c r="G28" s="802">
        <v>1558</v>
      </c>
      <c r="H28" s="320">
        <f t="shared" si="0"/>
        <v>9348</v>
      </c>
      <c r="I28" s="798" t="s">
        <v>668</v>
      </c>
    </row>
    <row r="29" spans="1:9" ht="15.95" customHeight="1">
      <c r="A29" s="966"/>
      <c r="B29" s="341"/>
      <c r="C29" s="753" t="s">
        <v>875</v>
      </c>
      <c r="D29" s="753" t="s">
        <v>876</v>
      </c>
      <c r="E29" s="800" t="s">
        <v>557</v>
      </c>
      <c r="F29" s="800">
        <v>6</v>
      </c>
      <c r="G29" s="802">
        <v>2987</v>
      </c>
      <c r="H29" s="320">
        <f t="shared" si="0"/>
        <v>17922</v>
      </c>
      <c r="I29" s="798" t="s">
        <v>668</v>
      </c>
    </row>
    <row r="30" spans="1:9" ht="15.95" customHeight="1">
      <c r="A30" s="966"/>
      <c r="B30" s="341"/>
      <c r="C30" s="753" t="s">
        <v>877</v>
      </c>
      <c r="D30" s="753" t="s">
        <v>878</v>
      </c>
      <c r="E30" s="800" t="s">
        <v>557</v>
      </c>
      <c r="F30" s="800">
        <v>50</v>
      </c>
      <c r="G30" s="802">
        <v>2947</v>
      </c>
      <c r="H30" s="320">
        <f t="shared" si="0"/>
        <v>147350</v>
      </c>
      <c r="I30" s="798" t="s">
        <v>668</v>
      </c>
    </row>
    <row r="31" spans="1:9" ht="15.95" customHeight="1">
      <c r="A31" s="966"/>
      <c r="B31" s="341"/>
      <c r="C31" s="753" t="s">
        <v>875</v>
      </c>
      <c r="D31" s="753" t="s">
        <v>879</v>
      </c>
      <c r="E31" s="800" t="s">
        <v>557</v>
      </c>
      <c r="F31" s="800">
        <v>4</v>
      </c>
      <c r="G31" s="802">
        <v>3205</v>
      </c>
      <c r="H31" s="320">
        <f t="shared" si="0"/>
        <v>12820</v>
      </c>
      <c r="I31" s="798" t="s">
        <v>668</v>
      </c>
    </row>
    <row r="32" spans="1:9" ht="15.95" customHeight="1">
      <c r="A32" s="966"/>
      <c r="B32" s="341"/>
      <c r="C32" s="753" t="s">
        <v>875</v>
      </c>
      <c r="D32" s="753" t="s">
        <v>876</v>
      </c>
      <c r="E32" s="800" t="s">
        <v>557</v>
      </c>
      <c r="F32" s="800">
        <v>4</v>
      </c>
      <c r="G32" s="802">
        <v>3987</v>
      </c>
      <c r="H32" s="320">
        <f t="shared" si="0"/>
        <v>15948</v>
      </c>
      <c r="I32" s="798" t="s">
        <v>668</v>
      </c>
    </row>
    <row r="33" spans="1:9" ht="15.95" customHeight="1">
      <c r="A33" s="966"/>
      <c r="B33" s="341"/>
      <c r="C33" s="753" t="s">
        <v>851</v>
      </c>
      <c r="D33" s="753" t="s">
        <v>869</v>
      </c>
      <c r="E33" s="800" t="s">
        <v>557</v>
      </c>
      <c r="F33" s="800">
        <v>2</v>
      </c>
      <c r="G33" s="802">
        <v>29145</v>
      </c>
      <c r="H33" s="320">
        <f t="shared" si="0"/>
        <v>58290</v>
      </c>
      <c r="I33" s="798" t="s">
        <v>668</v>
      </c>
    </row>
    <row r="34" spans="1:9" ht="15.95" customHeight="1">
      <c r="A34" s="966"/>
      <c r="B34" s="341"/>
      <c r="C34" s="753" t="s">
        <v>630</v>
      </c>
      <c r="D34" s="753" t="s">
        <v>880</v>
      </c>
      <c r="E34" s="800" t="s">
        <v>557</v>
      </c>
      <c r="F34" s="800">
        <v>1</v>
      </c>
      <c r="G34" s="802">
        <v>86000</v>
      </c>
      <c r="H34" s="320">
        <f t="shared" si="0"/>
        <v>86000</v>
      </c>
      <c r="I34" s="798" t="s">
        <v>669</v>
      </c>
    </row>
    <row r="35" spans="1:9" ht="15.95" customHeight="1">
      <c r="A35" s="966"/>
      <c r="B35" s="341"/>
      <c r="C35" s="305"/>
      <c r="D35" s="305"/>
      <c r="E35" s="315" t="s">
        <v>223</v>
      </c>
      <c r="F35" s="307"/>
      <c r="G35" s="319"/>
      <c r="H35" s="320">
        <f t="shared" si="0"/>
        <v>0</v>
      </c>
      <c r="I35" s="317"/>
    </row>
    <row r="36" spans="1:9" ht="15.95" customHeight="1">
      <c r="A36" s="966"/>
      <c r="B36" s="341"/>
      <c r="C36" s="305"/>
      <c r="D36" s="305"/>
      <c r="E36" s="315" t="s">
        <v>223</v>
      </c>
      <c r="F36" s="307"/>
      <c r="G36" s="330"/>
      <c r="H36" s="320">
        <f t="shared" si="0"/>
        <v>0</v>
      </c>
      <c r="I36" s="317"/>
    </row>
    <row r="37" spans="1:9" ht="15.95" customHeight="1">
      <c r="A37" s="966"/>
      <c r="B37" s="341"/>
      <c r="C37" s="305"/>
      <c r="D37" s="305"/>
      <c r="E37" s="315" t="s">
        <v>223</v>
      </c>
      <c r="F37" s="307"/>
      <c r="G37" s="330"/>
      <c r="H37" s="320">
        <f t="shared" si="0"/>
        <v>0</v>
      </c>
      <c r="I37" s="317"/>
    </row>
    <row r="38" spans="1:9" ht="15.95" customHeight="1">
      <c r="A38" s="966"/>
      <c r="B38" s="341"/>
      <c r="C38" s="305"/>
      <c r="D38" s="305"/>
      <c r="E38" s="315" t="s">
        <v>223</v>
      </c>
      <c r="F38" s="307"/>
      <c r="G38" s="330"/>
      <c r="H38" s="320">
        <f t="shared" si="0"/>
        <v>0</v>
      </c>
      <c r="I38" s="317"/>
    </row>
    <row r="39" spans="1:9" ht="15.95" customHeight="1">
      <c r="A39" s="966"/>
      <c r="B39" s="341"/>
      <c r="C39" s="305"/>
      <c r="D39" s="305"/>
      <c r="E39" s="315" t="s">
        <v>223</v>
      </c>
      <c r="F39" s="307"/>
      <c r="G39" s="547"/>
      <c r="H39" s="320">
        <f t="shared" si="0"/>
        <v>0</v>
      </c>
      <c r="I39" s="317"/>
    </row>
    <row r="40" spans="1:9" ht="15.95" customHeight="1">
      <c r="A40" s="966"/>
      <c r="B40" s="341"/>
      <c r="C40" s="305"/>
      <c r="D40" s="305"/>
      <c r="E40" s="315" t="s">
        <v>223</v>
      </c>
      <c r="F40" s="307"/>
      <c r="G40" s="547"/>
      <c r="H40" s="320">
        <f t="shared" si="0"/>
        <v>0</v>
      </c>
      <c r="I40" s="317"/>
    </row>
    <row r="41" spans="1:9" ht="15.95" customHeight="1">
      <c r="A41" s="966"/>
      <c r="B41" s="341"/>
      <c r="C41" s="305"/>
      <c r="D41" s="305"/>
      <c r="E41" s="315" t="s">
        <v>223</v>
      </c>
      <c r="F41" s="307"/>
      <c r="G41" s="547"/>
      <c r="H41" s="320">
        <f t="shared" si="0"/>
        <v>0</v>
      </c>
      <c r="I41" s="317"/>
    </row>
    <row r="42" spans="1:9" ht="15.95" customHeight="1">
      <c r="A42" s="966"/>
      <c r="B42" s="341"/>
      <c r="C42" s="305"/>
      <c r="D42" s="305"/>
      <c r="E42" s="315" t="s">
        <v>223</v>
      </c>
      <c r="F42" s="307"/>
      <c r="G42" s="330"/>
      <c r="H42" s="320">
        <f t="shared" si="0"/>
        <v>0</v>
      </c>
      <c r="I42" s="317"/>
    </row>
    <row r="43" spans="1:9" ht="15.95" customHeight="1">
      <c r="A43" s="966"/>
      <c r="B43" s="341"/>
      <c r="C43" s="305"/>
      <c r="D43" s="305"/>
      <c r="E43" s="315" t="s">
        <v>223</v>
      </c>
      <c r="F43" s="307"/>
      <c r="G43" s="330"/>
      <c r="H43" s="320">
        <f t="shared" si="0"/>
        <v>0</v>
      </c>
      <c r="I43" s="317"/>
    </row>
    <row r="44" spans="1:9" ht="15.95" customHeight="1">
      <c r="A44" s="966"/>
      <c r="B44" s="341"/>
      <c r="C44" s="305"/>
      <c r="D44" s="305"/>
      <c r="E44" s="315" t="s">
        <v>223</v>
      </c>
      <c r="F44" s="307"/>
      <c r="G44" s="330"/>
      <c r="H44" s="320">
        <f t="shared" si="0"/>
        <v>0</v>
      </c>
      <c r="I44" s="317"/>
    </row>
    <row r="45" spans="1:9" ht="15.95" customHeight="1">
      <c r="A45" s="966"/>
      <c r="B45" s="341"/>
      <c r="C45" s="305"/>
      <c r="D45" s="305"/>
      <c r="E45" s="315" t="s">
        <v>223</v>
      </c>
      <c r="F45" s="307"/>
      <c r="G45" s="330"/>
      <c r="H45" s="320">
        <f t="shared" si="0"/>
        <v>0</v>
      </c>
      <c r="I45" s="317"/>
    </row>
    <row r="46" spans="1:9" ht="15.95" customHeight="1">
      <c r="A46" s="966"/>
      <c r="B46" s="341"/>
      <c r="C46" s="305"/>
      <c r="D46" s="305"/>
      <c r="E46" s="315" t="s">
        <v>223</v>
      </c>
      <c r="F46" s="307"/>
      <c r="G46" s="330"/>
      <c r="H46" s="320">
        <f t="shared" si="0"/>
        <v>0</v>
      </c>
      <c r="I46" s="317"/>
    </row>
    <row r="47" spans="1:9" ht="15.95" customHeight="1">
      <c r="A47" s="966"/>
      <c r="B47" s="341"/>
      <c r="C47" s="305"/>
      <c r="D47" s="305"/>
      <c r="E47" s="315" t="s">
        <v>223</v>
      </c>
      <c r="F47" s="307"/>
      <c r="G47" s="330"/>
      <c r="H47" s="320">
        <f t="shared" si="0"/>
        <v>0</v>
      </c>
      <c r="I47" s="317"/>
    </row>
    <row r="48" spans="1:9" ht="15.95" customHeight="1">
      <c r="A48" s="966"/>
      <c r="B48" s="341"/>
      <c r="C48" s="305"/>
      <c r="D48" s="305"/>
      <c r="E48" s="315" t="s">
        <v>223</v>
      </c>
      <c r="F48" s="307"/>
      <c r="G48" s="330"/>
      <c r="H48" s="320">
        <f t="shared" si="0"/>
        <v>0</v>
      </c>
      <c r="I48" s="317"/>
    </row>
    <row r="49" spans="1:9" ht="15.95" customHeight="1">
      <c r="A49" s="966"/>
      <c r="B49" s="341"/>
      <c r="C49" s="305"/>
      <c r="D49" s="305"/>
      <c r="E49" s="315" t="s">
        <v>223</v>
      </c>
      <c r="F49" s="307"/>
      <c r="G49" s="330"/>
      <c r="H49" s="320">
        <f t="shared" si="0"/>
        <v>0</v>
      </c>
      <c r="I49" s="317"/>
    </row>
    <row r="50" spans="1:9" ht="15.95" customHeight="1">
      <c r="A50" s="966"/>
      <c r="B50" s="341"/>
      <c r="C50" s="305"/>
      <c r="D50" s="305"/>
      <c r="E50" s="315" t="s">
        <v>223</v>
      </c>
      <c r="F50" s="307"/>
      <c r="G50" s="330"/>
      <c r="H50" s="320">
        <f t="shared" si="0"/>
        <v>0</v>
      </c>
      <c r="I50" s="317"/>
    </row>
    <row r="51" spans="1:9" ht="15.95" customHeight="1">
      <c r="A51" s="966"/>
      <c r="B51" s="341"/>
      <c r="C51" s="305"/>
      <c r="D51" s="305"/>
      <c r="E51" s="315" t="s">
        <v>223</v>
      </c>
      <c r="F51" s="307"/>
      <c r="G51" s="330"/>
      <c r="H51" s="320">
        <f t="shared" si="0"/>
        <v>0</v>
      </c>
      <c r="I51" s="317"/>
    </row>
    <row r="52" spans="1:9" ht="15.95" customHeight="1">
      <c r="A52" s="966"/>
      <c r="B52" s="341"/>
      <c r="C52" s="305"/>
      <c r="D52" s="305"/>
      <c r="E52" s="315" t="s">
        <v>223</v>
      </c>
      <c r="F52" s="307"/>
      <c r="G52" s="330"/>
      <c r="H52" s="320">
        <f t="shared" si="0"/>
        <v>0</v>
      </c>
      <c r="I52" s="317"/>
    </row>
    <row r="53" spans="1:9" ht="15.95" customHeight="1">
      <c r="A53" s="966"/>
      <c r="B53" s="341"/>
      <c r="C53" s="305"/>
      <c r="D53" s="305"/>
      <c r="E53" s="315" t="s">
        <v>223</v>
      </c>
      <c r="F53" s="307"/>
      <c r="G53" s="330"/>
      <c r="H53" s="320">
        <f t="shared" si="0"/>
        <v>0</v>
      </c>
      <c r="I53" s="317"/>
    </row>
    <row r="54" spans="1:9" ht="15.95" customHeight="1">
      <c r="A54" s="966"/>
      <c r="B54" s="341"/>
      <c r="C54" s="305"/>
      <c r="D54" s="305"/>
      <c r="E54" s="315" t="s">
        <v>223</v>
      </c>
      <c r="F54" s="307"/>
      <c r="G54" s="330"/>
      <c r="H54" s="320">
        <f t="shared" si="0"/>
        <v>0</v>
      </c>
      <c r="I54" s="317"/>
    </row>
    <row r="55" spans="1:9" ht="15.95" customHeight="1">
      <c r="A55" s="966"/>
      <c r="B55" s="341"/>
      <c r="C55" s="305"/>
      <c r="D55" s="305"/>
      <c r="E55" s="315" t="s">
        <v>223</v>
      </c>
      <c r="F55" s="307"/>
      <c r="G55" s="330"/>
      <c r="H55" s="320">
        <f t="shared" si="0"/>
        <v>0</v>
      </c>
      <c r="I55" s="317"/>
    </row>
    <row r="56" spans="1:9" ht="15.95" customHeight="1">
      <c r="A56" s="966"/>
      <c r="B56" s="341"/>
      <c r="C56" s="305"/>
      <c r="D56" s="305"/>
      <c r="E56" s="315" t="s">
        <v>223</v>
      </c>
      <c r="F56" s="307"/>
      <c r="G56" s="330"/>
      <c r="H56" s="320">
        <f t="shared" si="0"/>
        <v>0</v>
      </c>
      <c r="I56" s="317"/>
    </row>
    <row r="57" spans="1:9" ht="15.95" customHeight="1">
      <c r="A57" s="966"/>
      <c r="B57" s="341"/>
      <c r="C57" s="305"/>
      <c r="D57" s="305"/>
      <c r="E57" s="315" t="s">
        <v>223</v>
      </c>
      <c r="F57" s="307"/>
      <c r="G57" s="330"/>
      <c r="H57" s="320">
        <f t="shared" si="0"/>
        <v>0</v>
      </c>
      <c r="I57" s="317"/>
    </row>
    <row r="58" spans="1:9" ht="15.95" customHeight="1">
      <c r="A58" s="966"/>
      <c r="B58" s="341"/>
      <c r="C58" s="305"/>
      <c r="D58" s="305"/>
      <c r="E58" s="315" t="s">
        <v>223</v>
      </c>
      <c r="F58" s="307"/>
      <c r="G58" s="330"/>
      <c r="H58" s="320">
        <f t="shared" si="0"/>
        <v>0</v>
      </c>
      <c r="I58" s="317"/>
    </row>
    <row r="59" spans="1:9" ht="15.95" customHeight="1">
      <c r="A59" s="966"/>
      <c r="B59" s="341"/>
      <c r="C59" s="305"/>
      <c r="D59" s="305"/>
      <c r="E59" s="315" t="s">
        <v>223</v>
      </c>
      <c r="F59" s="307"/>
      <c r="G59" s="330"/>
      <c r="H59" s="320">
        <f t="shared" si="0"/>
        <v>0</v>
      </c>
      <c r="I59" s="317"/>
    </row>
    <row r="60" spans="1:9" ht="15.95" customHeight="1">
      <c r="A60" s="966"/>
      <c r="B60" s="341"/>
      <c r="C60" s="305"/>
      <c r="D60" s="305"/>
      <c r="E60" s="315" t="s">
        <v>223</v>
      </c>
      <c r="F60" s="307"/>
      <c r="G60" s="330"/>
      <c r="H60" s="320">
        <f t="shared" si="0"/>
        <v>0</v>
      </c>
      <c r="I60" s="317"/>
    </row>
    <row r="61" spans="1:9" ht="15.95" customHeight="1">
      <c r="A61" s="966"/>
      <c r="B61" s="341"/>
      <c r="C61" s="305"/>
      <c r="D61" s="305"/>
      <c r="E61" s="315" t="s">
        <v>223</v>
      </c>
      <c r="F61" s="307"/>
      <c r="G61" s="330"/>
      <c r="H61" s="320">
        <f t="shared" si="0"/>
        <v>0</v>
      </c>
      <c r="I61" s="317"/>
    </row>
    <row r="62" spans="1:9" ht="15.95" customHeight="1">
      <c r="A62" s="966"/>
      <c r="B62" s="341"/>
      <c r="C62" s="305"/>
      <c r="D62" s="305"/>
      <c r="E62" s="315" t="s">
        <v>223</v>
      </c>
      <c r="F62" s="307"/>
      <c r="G62" s="330"/>
      <c r="H62" s="320">
        <f t="shared" si="0"/>
        <v>0</v>
      </c>
      <c r="I62" s="317"/>
    </row>
    <row r="63" spans="1:9" ht="15.95" customHeight="1">
      <c r="A63" s="966"/>
      <c r="B63" s="341"/>
      <c r="C63" s="305"/>
      <c r="D63" s="305"/>
      <c r="E63" s="315" t="s">
        <v>223</v>
      </c>
      <c r="F63" s="307"/>
      <c r="G63" s="330"/>
      <c r="H63" s="320">
        <f t="shared" si="0"/>
        <v>0</v>
      </c>
      <c r="I63" s="317"/>
    </row>
    <row r="64" spans="1:9" ht="15.95" customHeight="1">
      <c r="A64" s="966"/>
      <c r="B64" s="341"/>
      <c r="C64" s="305"/>
      <c r="D64" s="305"/>
      <c r="E64" s="315" t="s">
        <v>223</v>
      </c>
      <c r="F64" s="307"/>
      <c r="G64" s="330"/>
      <c r="H64" s="320">
        <f t="shared" si="0"/>
        <v>0</v>
      </c>
      <c r="I64" s="317"/>
    </row>
    <row r="65" spans="1:9" ht="15.95" customHeight="1">
      <c r="A65" s="966"/>
      <c r="B65" s="341"/>
      <c r="C65" s="305"/>
      <c r="D65" s="305"/>
      <c r="E65" s="315" t="s">
        <v>223</v>
      </c>
      <c r="F65" s="307"/>
      <c r="G65" s="330"/>
      <c r="H65" s="320">
        <f t="shared" si="0"/>
        <v>0</v>
      </c>
      <c r="I65" s="317"/>
    </row>
    <row r="66" spans="1:9" ht="15.95" customHeight="1">
      <c r="A66" s="966"/>
      <c r="B66" s="341"/>
      <c r="C66" s="305"/>
      <c r="D66" s="305"/>
      <c r="E66" s="315" t="s">
        <v>223</v>
      </c>
      <c r="F66" s="307"/>
      <c r="G66" s="330"/>
      <c r="H66" s="320">
        <f t="shared" si="0"/>
        <v>0</v>
      </c>
      <c r="I66" s="317"/>
    </row>
    <row r="67" spans="1:9" ht="15.95" customHeight="1">
      <c r="A67" s="966"/>
      <c r="B67" s="341"/>
      <c r="C67" s="305"/>
      <c r="D67" s="305"/>
      <c r="E67" s="315" t="s">
        <v>223</v>
      </c>
      <c r="F67" s="307"/>
      <c r="G67" s="330"/>
      <c r="H67" s="320">
        <f t="shared" si="0"/>
        <v>0</v>
      </c>
      <c r="I67" s="317"/>
    </row>
    <row r="68" spans="1:9" ht="15.95" customHeight="1">
      <c r="A68" s="966"/>
      <c r="B68" s="341"/>
      <c r="C68" s="305"/>
      <c r="D68" s="305"/>
      <c r="E68" s="315" t="s">
        <v>223</v>
      </c>
      <c r="F68" s="307"/>
      <c r="G68" s="330"/>
      <c r="H68" s="320">
        <f t="shared" si="0"/>
        <v>0</v>
      </c>
      <c r="I68" s="317"/>
    </row>
    <row r="69" spans="1:9" ht="15.95" customHeight="1">
      <c r="A69" s="966"/>
      <c r="B69" s="341"/>
      <c r="C69" s="305"/>
      <c r="D69" s="305"/>
      <c r="E69" s="315" t="s">
        <v>223</v>
      </c>
      <c r="F69" s="307"/>
      <c r="G69" s="330"/>
      <c r="H69" s="320">
        <f t="shared" si="0"/>
        <v>0</v>
      </c>
      <c r="I69" s="317"/>
    </row>
    <row r="70" spans="1:9" ht="15.95" customHeight="1">
      <c r="A70" s="966"/>
      <c r="B70" s="341"/>
      <c r="C70" s="305"/>
      <c r="D70" s="305"/>
      <c r="E70" s="315" t="s">
        <v>223</v>
      </c>
      <c r="F70" s="307"/>
      <c r="G70" s="319"/>
      <c r="H70" s="320">
        <f t="shared" si="0"/>
        <v>0</v>
      </c>
      <c r="I70" s="317"/>
    </row>
    <row r="71" spans="1:9" ht="15.95" customHeight="1">
      <c r="A71" s="966"/>
      <c r="B71" s="341"/>
      <c r="C71" s="305"/>
      <c r="D71" s="305"/>
      <c r="E71" s="315" t="s">
        <v>223</v>
      </c>
      <c r="F71" s="307"/>
      <c r="G71" s="319"/>
      <c r="H71" s="320">
        <f t="shared" si="0"/>
        <v>0</v>
      </c>
      <c r="I71" s="317"/>
    </row>
    <row r="72" spans="1:9" ht="15.95" customHeight="1">
      <c r="A72" s="966"/>
      <c r="B72" s="341"/>
      <c r="C72" s="305"/>
      <c r="D72" s="305"/>
      <c r="E72" s="315" t="s">
        <v>223</v>
      </c>
      <c r="F72" s="307"/>
      <c r="G72" s="319"/>
      <c r="H72" s="320">
        <f t="shared" si="0"/>
        <v>0</v>
      </c>
      <c r="I72" s="317"/>
    </row>
    <row r="73" spans="1:9" ht="15.95" customHeight="1">
      <c r="A73" s="966"/>
      <c r="B73" s="341"/>
      <c r="C73" s="305"/>
      <c r="D73" s="305"/>
      <c r="E73" s="315" t="s">
        <v>223</v>
      </c>
      <c r="F73" s="307"/>
      <c r="G73" s="319"/>
      <c r="H73" s="320">
        <f t="shared" ref="H73:H91" si="1">G73*F73</f>
        <v>0</v>
      </c>
      <c r="I73" s="317"/>
    </row>
    <row r="74" spans="1:9" ht="15.95" customHeight="1">
      <c r="A74" s="966"/>
      <c r="B74" s="341"/>
      <c r="C74" s="305"/>
      <c r="D74" s="305"/>
      <c r="E74" s="315" t="s">
        <v>223</v>
      </c>
      <c r="F74" s="307"/>
      <c r="G74" s="330"/>
      <c r="H74" s="320">
        <f t="shared" si="1"/>
        <v>0</v>
      </c>
      <c r="I74" s="317"/>
    </row>
    <row r="75" spans="1:9" ht="15.95" customHeight="1">
      <c r="A75" s="966"/>
      <c r="B75" s="437"/>
      <c r="C75" s="305"/>
      <c r="D75" s="305"/>
      <c r="E75" s="315" t="s">
        <v>223</v>
      </c>
      <c r="F75" s="307"/>
      <c r="G75" s="330"/>
      <c r="H75" s="320">
        <f t="shared" si="1"/>
        <v>0</v>
      </c>
      <c r="I75" s="317"/>
    </row>
    <row r="76" spans="1:9" ht="15.95" customHeight="1">
      <c r="A76" s="966"/>
      <c r="B76" s="437"/>
      <c r="C76" s="305"/>
      <c r="D76" s="305"/>
      <c r="E76" s="315" t="s">
        <v>223</v>
      </c>
      <c r="F76" s="307"/>
      <c r="G76" s="330"/>
      <c r="H76" s="320">
        <f t="shared" si="1"/>
        <v>0</v>
      </c>
      <c r="I76" s="317"/>
    </row>
    <row r="77" spans="1:9" ht="15.95" customHeight="1">
      <c r="A77" s="966"/>
      <c r="B77" s="437"/>
      <c r="C77" s="305"/>
      <c r="D77" s="305"/>
      <c r="E77" s="315" t="s">
        <v>223</v>
      </c>
      <c r="F77" s="307"/>
      <c r="G77" s="330"/>
      <c r="H77" s="320">
        <f t="shared" si="1"/>
        <v>0</v>
      </c>
      <c r="I77" s="317"/>
    </row>
    <row r="78" spans="1:9" ht="15.95" customHeight="1">
      <c r="A78" s="966"/>
      <c r="B78" s="437"/>
      <c r="C78" s="305"/>
      <c r="D78" s="305"/>
      <c r="E78" s="315" t="s">
        <v>223</v>
      </c>
      <c r="F78" s="307"/>
      <c r="G78" s="330"/>
      <c r="H78" s="320">
        <f t="shared" si="1"/>
        <v>0</v>
      </c>
      <c r="I78" s="317"/>
    </row>
    <row r="79" spans="1:9" ht="15.95" customHeight="1">
      <c r="A79" s="966"/>
      <c r="B79" s="437"/>
      <c r="C79" s="305"/>
      <c r="D79" s="305"/>
      <c r="E79" s="315" t="s">
        <v>223</v>
      </c>
      <c r="F79" s="307"/>
      <c r="G79" s="330"/>
      <c r="H79" s="320">
        <f t="shared" si="1"/>
        <v>0</v>
      </c>
      <c r="I79" s="317"/>
    </row>
    <row r="80" spans="1:9" ht="15.95" customHeight="1">
      <c r="A80" s="966"/>
      <c r="B80" s="437"/>
      <c r="C80" s="305"/>
      <c r="D80" s="305"/>
      <c r="E80" s="315" t="s">
        <v>223</v>
      </c>
      <c r="F80" s="307"/>
      <c r="G80" s="330"/>
      <c r="H80" s="320">
        <f t="shared" si="1"/>
        <v>0</v>
      </c>
      <c r="I80" s="317"/>
    </row>
    <row r="81" spans="1:9" ht="15.95" customHeight="1">
      <c r="A81" s="966"/>
      <c r="B81" s="437"/>
      <c r="C81" s="305"/>
      <c r="D81" s="305"/>
      <c r="E81" s="315" t="s">
        <v>223</v>
      </c>
      <c r="F81" s="307"/>
      <c r="G81" s="330"/>
      <c r="H81" s="320">
        <f t="shared" si="1"/>
        <v>0</v>
      </c>
      <c r="I81" s="317"/>
    </row>
    <row r="82" spans="1:9" ht="15.95" customHeight="1">
      <c r="A82" s="966"/>
      <c r="B82" s="437"/>
      <c r="C82" s="305"/>
      <c r="D82" s="305"/>
      <c r="E82" s="315" t="s">
        <v>223</v>
      </c>
      <c r="F82" s="307"/>
      <c r="G82" s="330"/>
      <c r="H82" s="320">
        <f t="shared" si="1"/>
        <v>0</v>
      </c>
      <c r="I82" s="317"/>
    </row>
    <row r="83" spans="1:9" ht="15.95" customHeight="1">
      <c r="A83" s="966"/>
      <c r="B83" s="437"/>
      <c r="C83" s="305"/>
      <c r="D83" s="305"/>
      <c r="E83" s="315" t="s">
        <v>223</v>
      </c>
      <c r="F83" s="307"/>
      <c r="G83" s="406"/>
      <c r="H83" s="320">
        <f t="shared" si="1"/>
        <v>0</v>
      </c>
      <c r="I83" s="317"/>
    </row>
    <row r="84" spans="1:9" ht="15.95" customHeight="1">
      <c r="A84" s="966"/>
      <c r="B84" s="436"/>
      <c r="C84" s="305"/>
      <c r="D84" s="305"/>
      <c r="E84" s="315" t="s">
        <v>223</v>
      </c>
      <c r="F84" s="307"/>
      <c r="G84" s="406"/>
      <c r="H84" s="320">
        <f t="shared" si="1"/>
        <v>0</v>
      </c>
      <c r="I84" s="317"/>
    </row>
    <row r="85" spans="1:9" ht="15.95" customHeight="1">
      <c r="A85" s="966"/>
      <c r="B85" s="436"/>
      <c r="C85" s="305"/>
      <c r="D85" s="305"/>
      <c r="E85" s="315" t="s">
        <v>223</v>
      </c>
      <c r="F85" s="307"/>
      <c r="G85" s="406"/>
      <c r="H85" s="320">
        <f t="shared" si="1"/>
        <v>0</v>
      </c>
      <c r="I85" s="317"/>
    </row>
    <row r="86" spans="1:9" ht="15.95" customHeight="1">
      <c r="A86" s="966"/>
      <c r="B86" s="436"/>
      <c r="C86" s="305"/>
      <c r="D86" s="305"/>
      <c r="E86" s="315" t="s">
        <v>223</v>
      </c>
      <c r="F86" s="307"/>
      <c r="G86" s="406"/>
      <c r="H86" s="320">
        <f t="shared" si="1"/>
        <v>0</v>
      </c>
      <c r="I86" s="317"/>
    </row>
    <row r="87" spans="1:9" ht="15.95" customHeight="1">
      <c r="A87" s="966"/>
      <c r="B87" s="436"/>
      <c r="C87" s="305"/>
      <c r="D87" s="305"/>
      <c r="E87" s="315" t="s">
        <v>223</v>
      </c>
      <c r="F87" s="307"/>
      <c r="G87" s="406"/>
      <c r="H87" s="320">
        <f t="shared" si="1"/>
        <v>0</v>
      </c>
      <c r="I87" s="317"/>
    </row>
    <row r="88" spans="1:9" ht="15.95" customHeight="1">
      <c r="A88" s="966"/>
      <c r="B88" s="436"/>
      <c r="C88" s="305"/>
      <c r="D88" s="305"/>
      <c r="E88" s="315" t="s">
        <v>223</v>
      </c>
      <c r="F88" s="434"/>
      <c r="G88" s="406"/>
      <c r="H88" s="320">
        <f t="shared" si="1"/>
        <v>0</v>
      </c>
      <c r="I88" s="317"/>
    </row>
    <row r="89" spans="1:9" ht="15.95" customHeight="1">
      <c r="A89" s="966"/>
      <c r="B89" s="436"/>
      <c r="C89" s="305"/>
      <c r="D89" s="305"/>
      <c r="E89" s="315" t="s">
        <v>223</v>
      </c>
      <c r="F89" s="307"/>
      <c r="G89" s="406"/>
      <c r="H89" s="320">
        <f t="shared" si="1"/>
        <v>0</v>
      </c>
      <c r="I89" s="317"/>
    </row>
    <row r="90" spans="1:9" ht="15.95" customHeight="1">
      <c r="A90" s="966"/>
      <c r="B90" s="436"/>
      <c r="C90" s="305"/>
      <c r="D90" s="305"/>
      <c r="E90" s="315" t="s">
        <v>223</v>
      </c>
      <c r="F90" s="307"/>
      <c r="G90" s="406"/>
      <c r="H90" s="320">
        <f t="shared" si="1"/>
        <v>0</v>
      </c>
      <c r="I90" s="317"/>
    </row>
    <row r="91" spans="1:9" ht="15.95" customHeight="1">
      <c r="A91" s="966"/>
      <c r="B91" s="436"/>
      <c r="C91" s="305"/>
      <c r="D91" s="305"/>
      <c r="E91" s="315"/>
      <c r="F91" s="307"/>
      <c r="G91" s="406"/>
      <c r="H91" s="320">
        <f t="shared" si="1"/>
        <v>0</v>
      </c>
      <c r="I91" s="317"/>
    </row>
    <row r="92" spans="1:9" ht="15.95" customHeight="1">
      <c r="A92" s="966"/>
      <c r="B92" s="436"/>
      <c r="C92" s="318"/>
      <c r="D92" s="305"/>
      <c r="E92" s="315"/>
      <c r="F92" s="434"/>
      <c r="G92" s="406"/>
      <c r="H92" s="320"/>
      <c r="I92" s="317"/>
    </row>
    <row r="93" spans="1:9" ht="15.95" customHeight="1">
      <c r="A93" s="966"/>
      <c r="B93" s="436"/>
      <c r="C93" s="318"/>
      <c r="D93" s="305"/>
      <c r="E93" s="315"/>
      <c r="F93" s="434"/>
      <c r="G93" s="406"/>
      <c r="H93" s="320"/>
      <c r="I93" s="317"/>
    </row>
    <row r="94" spans="1:9" ht="15.95" customHeight="1">
      <c r="A94" s="966"/>
      <c r="B94" s="436"/>
      <c r="C94" s="318"/>
      <c r="D94" s="305"/>
      <c r="E94" s="315"/>
      <c r="F94" s="434"/>
      <c r="G94" s="406"/>
      <c r="H94" s="320"/>
      <c r="I94" s="317"/>
    </row>
    <row r="95" spans="1:9" ht="15.95" customHeight="1">
      <c r="A95" s="966"/>
      <c r="B95" s="436"/>
      <c r="C95" s="318"/>
      <c r="D95" s="305"/>
      <c r="E95" s="315"/>
      <c r="F95" s="434"/>
      <c r="G95" s="406"/>
      <c r="H95" s="320"/>
      <c r="I95" s="317"/>
    </row>
    <row r="96" spans="1:9" ht="15.95" customHeight="1">
      <c r="A96" s="966"/>
      <c r="B96" s="436"/>
      <c r="C96" s="332" t="s">
        <v>238</v>
      </c>
      <c r="D96" s="333"/>
      <c r="E96" s="334" t="s">
        <v>239</v>
      </c>
      <c r="F96" s="335">
        <v>1</v>
      </c>
      <c r="G96" s="336"/>
      <c r="H96" s="339">
        <v>100000</v>
      </c>
      <c r="I96" s="388"/>
    </row>
    <row r="97" spans="1:9" ht="15.95" customHeight="1">
      <c r="A97" s="966"/>
      <c r="B97" s="342"/>
      <c r="C97" s="389"/>
      <c r="D97" s="390"/>
      <c r="E97" s="430"/>
      <c r="F97" s="491"/>
      <c r="G97" s="378"/>
      <c r="H97" s="347">
        <f>SUM(H7:H96)</f>
        <v>3688425</v>
      </c>
      <c r="I97" s="392"/>
    </row>
    <row r="98" spans="1:9" ht="15.95" customHeight="1">
      <c r="A98" s="966"/>
      <c r="B98" s="349" t="s">
        <v>242</v>
      </c>
      <c r="C98" s="412"/>
      <c r="D98" s="412"/>
      <c r="E98" s="477"/>
      <c r="F98" s="417"/>
      <c r="G98" s="327"/>
      <c r="H98" s="337">
        <f>G98*F98</f>
        <v>0</v>
      </c>
      <c r="I98" s="386"/>
    </row>
    <row r="99" spans="1:9" ht="15.95" customHeight="1">
      <c r="A99" s="966"/>
      <c r="B99" s="773" t="s">
        <v>554</v>
      </c>
      <c r="C99" s="753" t="s">
        <v>885</v>
      </c>
      <c r="D99" s="799" t="s">
        <v>886</v>
      </c>
      <c r="E99" s="800" t="s">
        <v>557</v>
      </c>
      <c r="F99" s="801">
        <v>2</v>
      </c>
      <c r="G99" s="802">
        <v>279000</v>
      </c>
      <c r="H99" s="320">
        <f>G99*F99</f>
        <v>558000</v>
      </c>
      <c r="I99" s="317" t="s">
        <v>842</v>
      </c>
    </row>
    <row r="100" spans="1:9" ht="15.95" customHeight="1">
      <c r="A100" s="966"/>
      <c r="B100" s="341"/>
      <c r="C100" s="753" t="s">
        <v>687</v>
      </c>
      <c r="D100" s="799" t="s">
        <v>887</v>
      </c>
      <c r="E100" s="800" t="s">
        <v>557</v>
      </c>
      <c r="F100" s="800">
        <v>1</v>
      </c>
      <c r="G100" s="802">
        <v>240000</v>
      </c>
      <c r="H100" s="320">
        <f t="shared" ref="H100:H138" si="2">G100*F100</f>
        <v>240000</v>
      </c>
      <c r="I100" s="317" t="s">
        <v>223</v>
      </c>
    </row>
    <row r="101" spans="1:9" ht="15.95" customHeight="1">
      <c r="A101" s="966"/>
      <c r="B101" s="341"/>
      <c r="C101" s="753" t="s">
        <v>888</v>
      </c>
      <c r="D101" s="799" t="s">
        <v>889</v>
      </c>
      <c r="E101" s="800" t="s">
        <v>557</v>
      </c>
      <c r="F101" s="800">
        <v>1</v>
      </c>
      <c r="G101" s="802">
        <v>40000</v>
      </c>
      <c r="H101" s="320">
        <f t="shared" si="2"/>
        <v>40000</v>
      </c>
      <c r="I101" s="317" t="s">
        <v>223</v>
      </c>
    </row>
    <row r="102" spans="1:9" ht="15.95" customHeight="1">
      <c r="A102" s="966"/>
      <c r="B102" s="341"/>
      <c r="C102" s="753" t="s">
        <v>890</v>
      </c>
      <c r="D102" s="799" t="s">
        <v>891</v>
      </c>
      <c r="E102" s="800" t="s">
        <v>557</v>
      </c>
      <c r="F102" s="800">
        <v>1</v>
      </c>
      <c r="G102" s="802">
        <v>14000</v>
      </c>
      <c r="H102" s="320">
        <f t="shared" si="2"/>
        <v>14000</v>
      </c>
      <c r="I102" s="317" t="s">
        <v>223</v>
      </c>
    </row>
    <row r="103" spans="1:9" ht="15.95" customHeight="1">
      <c r="A103" s="966"/>
      <c r="B103" s="341"/>
      <c r="C103" s="753" t="s">
        <v>893</v>
      </c>
      <c r="D103" s="799" t="s">
        <v>894</v>
      </c>
      <c r="E103" s="800" t="s">
        <v>557</v>
      </c>
      <c r="F103" s="800">
        <v>2</v>
      </c>
      <c r="G103" s="802">
        <v>35000</v>
      </c>
      <c r="H103" s="320">
        <f t="shared" si="2"/>
        <v>70000</v>
      </c>
      <c r="I103" s="317" t="s">
        <v>223</v>
      </c>
    </row>
    <row r="104" spans="1:9" ht="15.95" customHeight="1">
      <c r="A104" s="966"/>
      <c r="B104" s="341"/>
      <c r="C104" s="753" t="s">
        <v>758</v>
      </c>
      <c r="D104" s="799" t="s">
        <v>895</v>
      </c>
      <c r="E104" s="800" t="s">
        <v>557</v>
      </c>
      <c r="F104" s="800">
        <v>1</v>
      </c>
      <c r="G104" s="802">
        <v>10000</v>
      </c>
      <c r="H104" s="320">
        <f t="shared" si="2"/>
        <v>10000</v>
      </c>
      <c r="I104" s="317" t="s">
        <v>223</v>
      </c>
    </row>
    <row r="105" spans="1:9" ht="15.95" customHeight="1">
      <c r="A105" s="966"/>
      <c r="B105" s="341"/>
      <c r="C105" s="753" t="s">
        <v>824</v>
      </c>
      <c r="D105" s="799" t="s">
        <v>896</v>
      </c>
      <c r="E105" s="800" t="s">
        <v>557</v>
      </c>
      <c r="F105" s="800">
        <v>1</v>
      </c>
      <c r="G105" s="802">
        <v>86000</v>
      </c>
      <c r="H105" s="320">
        <f t="shared" si="2"/>
        <v>86000</v>
      </c>
      <c r="I105" s="317" t="s">
        <v>223</v>
      </c>
    </row>
    <row r="106" spans="1:9" ht="15.95" customHeight="1">
      <c r="A106" s="966"/>
      <c r="B106" s="341"/>
      <c r="C106" s="753" t="s">
        <v>897</v>
      </c>
      <c r="D106" s="799" t="s">
        <v>898</v>
      </c>
      <c r="E106" s="800" t="s">
        <v>557</v>
      </c>
      <c r="F106" s="800">
        <v>1</v>
      </c>
      <c r="G106" s="802">
        <v>52000</v>
      </c>
      <c r="H106" s="320">
        <f t="shared" si="2"/>
        <v>52000</v>
      </c>
      <c r="I106" s="317" t="s">
        <v>223</v>
      </c>
    </row>
    <row r="107" spans="1:9" ht="15.95" customHeight="1">
      <c r="A107" s="966"/>
      <c r="B107" s="341"/>
      <c r="C107" s="753" t="s">
        <v>899</v>
      </c>
      <c r="D107" s="799" t="s">
        <v>900</v>
      </c>
      <c r="E107" s="800" t="s">
        <v>557</v>
      </c>
      <c r="F107" s="800">
        <v>4</v>
      </c>
      <c r="G107" s="802">
        <v>42000</v>
      </c>
      <c r="H107" s="320">
        <f t="shared" si="2"/>
        <v>168000</v>
      </c>
      <c r="I107" s="317" t="s">
        <v>223</v>
      </c>
    </row>
    <row r="108" spans="1:9" ht="15.95" customHeight="1">
      <c r="A108" s="966"/>
      <c r="B108" s="341"/>
      <c r="C108" s="753" t="s">
        <v>570</v>
      </c>
      <c r="D108" s="799" t="s">
        <v>901</v>
      </c>
      <c r="E108" s="800" t="s">
        <v>557</v>
      </c>
      <c r="F108" s="800">
        <v>2</v>
      </c>
      <c r="G108" s="802">
        <v>57000</v>
      </c>
      <c r="H108" s="320">
        <f t="shared" si="2"/>
        <v>114000</v>
      </c>
      <c r="I108" s="317" t="s">
        <v>223</v>
      </c>
    </row>
    <row r="109" spans="1:9" ht="15.95" customHeight="1">
      <c r="A109" s="966"/>
      <c r="B109" s="341"/>
      <c r="C109" s="753" t="s">
        <v>677</v>
      </c>
      <c r="D109" s="799" t="s">
        <v>902</v>
      </c>
      <c r="E109" s="800" t="s">
        <v>557</v>
      </c>
      <c r="F109" s="800">
        <v>2</v>
      </c>
      <c r="G109" s="802">
        <v>36000</v>
      </c>
      <c r="H109" s="320">
        <f t="shared" si="2"/>
        <v>72000</v>
      </c>
      <c r="I109" s="317" t="s">
        <v>223</v>
      </c>
    </row>
    <row r="110" spans="1:9" ht="15.95" customHeight="1">
      <c r="A110" s="966"/>
      <c r="B110" s="436"/>
      <c r="C110" s="753" t="s">
        <v>570</v>
      </c>
      <c r="D110" s="799" t="s">
        <v>903</v>
      </c>
      <c r="E110" s="800" t="s">
        <v>557</v>
      </c>
      <c r="F110" s="800">
        <v>2</v>
      </c>
      <c r="G110" s="802">
        <v>34000</v>
      </c>
      <c r="H110" s="320">
        <f t="shared" si="2"/>
        <v>68000</v>
      </c>
      <c r="I110" s="317" t="s">
        <v>223</v>
      </c>
    </row>
    <row r="111" spans="1:9" ht="15.95" customHeight="1">
      <c r="A111" s="966"/>
      <c r="B111" s="436"/>
      <c r="C111" s="753" t="s">
        <v>897</v>
      </c>
      <c r="D111" s="799" t="s">
        <v>904</v>
      </c>
      <c r="E111" s="800" t="s">
        <v>557</v>
      </c>
      <c r="F111" s="800">
        <v>1</v>
      </c>
      <c r="G111" s="802">
        <v>75000</v>
      </c>
      <c r="H111" s="320">
        <f t="shared" si="2"/>
        <v>75000</v>
      </c>
      <c r="I111" s="317" t="s">
        <v>223</v>
      </c>
    </row>
    <row r="112" spans="1:9" ht="15.95" customHeight="1">
      <c r="A112" s="966"/>
      <c r="B112" s="436"/>
      <c r="C112" s="753" t="s">
        <v>905</v>
      </c>
      <c r="D112" s="799" t="s">
        <v>906</v>
      </c>
      <c r="E112" s="800" t="s">
        <v>557</v>
      </c>
      <c r="F112" s="800">
        <v>1</v>
      </c>
      <c r="G112" s="802">
        <v>7000</v>
      </c>
      <c r="H112" s="320">
        <f t="shared" si="2"/>
        <v>7000</v>
      </c>
      <c r="I112" s="317" t="s">
        <v>223</v>
      </c>
    </row>
    <row r="113" spans="1:9" ht="15.95" customHeight="1">
      <c r="A113" s="966"/>
      <c r="B113" s="436"/>
      <c r="C113" s="753" t="s">
        <v>907</v>
      </c>
      <c r="D113" s="799" t="s">
        <v>908</v>
      </c>
      <c r="E113" s="800" t="s">
        <v>557</v>
      </c>
      <c r="F113" s="800">
        <v>1</v>
      </c>
      <c r="G113" s="802">
        <v>57000</v>
      </c>
      <c r="H113" s="320">
        <f t="shared" si="2"/>
        <v>57000</v>
      </c>
      <c r="I113" s="317" t="s">
        <v>223</v>
      </c>
    </row>
    <row r="114" spans="1:9" ht="15.95" customHeight="1">
      <c r="A114" s="966"/>
      <c r="B114" s="436"/>
      <c r="C114" s="753" t="s">
        <v>909</v>
      </c>
      <c r="D114" s="799" t="s">
        <v>910</v>
      </c>
      <c r="E114" s="800" t="s">
        <v>557</v>
      </c>
      <c r="F114" s="800">
        <v>1</v>
      </c>
      <c r="G114" s="802">
        <v>55000</v>
      </c>
      <c r="H114" s="320">
        <f t="shared" si="2"/>
        <v>55000</v>
      </c>
      <c r="I114" s="317" t="s">
        <v>223</v>
      </c>
    </row>
    <row r="115" spans="1:9" ht="15.95" customHeight="1">
      <c r="A115" s="966"/>
      <c r="B115" s="341"/>
      <c r="C115" s="753" t="s">
        <v>911</v>
      </c>
      <c r="D115" s="799" t="s">
        <v>912</v>
      </c>
      <c r="E115" s="800" t="s">
        <v>557</v>
      </c>
      <c r="F115" s="800">
        <v>2</v>
      </c>
      <c r="G115" s="802">
        <v>32000</v>
      </c>
      <c r="H115" s="320">
        <f t="shared" si="2"/>
        <v>64000</v>
      </c>
      <c r="I115" s="317" t="s">
        <v>223</v>
      </c>
    </row>
    <row r="116" spans="1:9" ht="15.95" customHeight="1">
      <c r="A116" s="966"/>
      <c r="B116" s="341"/>
      <c r="C116" s="753" t="s">
        <v>570</v>
      </c>
      <c r="D116" s="799" t="s">
        <v>913</v>
      </c>
      <c r="E116" s="800" t="s">
        <v>557</v>
      </c>
      <c r="F116" s="800">
        <v>1</v>
      </c>
      <c r="G116" s="802">
        <v>22000</v>
      </c>
      <c r="H116" s="320">
        <f t="shared" si="2"/>
        <v>22000</v>
      </c>
      <c r="I116" s="317" t="s">
        <v>223</v>
      </c>
    </row>
    <row r="117" spans="1:9" ht="15.95" customHeight="1">
      <c r="A117" s="966"/>
      <c r="B117" s="341"/>
      <c r="C117" s="753" t="s">
        <v>914</v>
      </c>
      <c r="D117" s="799" t="s">
        <v>915</v>
      </c>
      <c r="E117" s="800" t="s">
        <v>557</v>
      </c>
      <c r="F117" s="800">
        <v>1</v>
      </c>
      <c r="G117" s="802">
        <v>62000</v>
      </c>
      <c r="H117" s="320">
        <f t="shared" si="2"/>
        <v>62000</v>
      </c>
      <c r="I117" s="317" t="s">
        <v>223</v>
      </c>
    </row>
    <row r="118" spans="1:9" ht="15.95" customHeight="1">
      <c r="A118" s="966"/>
      <c r="B118" s="341"/>
      <c r="C118" s="753" t="s">
        <v>897</v>
      </c>
      <c r="D118" s="799" t="s">
        <v>916</v>
      </c>
      <c r="E118" s="800" t="s">
        <v>557</v>
      </c>
      <c r="F118" s="800">
        <v>1</v>
      </c>
      <c r="G118" s="802">
        <v>48000</v>
      </c>
      <c r="H118" s="320">
        <f t="shared" si="2"/>
        <v>48000</v>
      </c>
      <c r="I118" s="317" t="s">
        <v>223</v>
      </c>
    </row>
    <row r="119" spans="1:9" ht="15.95" customHeight="1">
      <c r="A119" s="966"/>
      <c r="B119" s="341"/>
      <c r="C119" s="753" t="s">
        <v>722</v>
      </c>
      <c r="D119" s="799" t="s">
        <v>917</v>
      </c>
      <c r="E119" s="800" t="s">
        <v>557</v>
      </c>
      <c r="F119" s="800">
        <v>2</v>
      </c>
      <c r="G119" s="802">
        <v>10000</v>
      </c>
      <c r="H119" s="320">
        <f t="shared" si="2"/>
        <v>20000</v>
      </c>
      <c r="I119" s="317" t="s">
        <v>223</v>
      </c>
    </row>
    <row r="120" spans="1:9" ht="15.95" customHeight="1">
      <c r="A120" s="966"/>
      <c r="B120" s="341"/>
      <c r="C120" s="753" t="s">
        <v>918</v>
      </c>
      <c r="D120" s="799" t="s">
        <v>919</v>
      </c>
      <c r="E120" s="800" t="s">
        <v>557</v>
      </c>
      <c r="F120" s="800">
        <v>2</v>
      </c>
      <c r="G120" s="802">
        <v>5000</v>
      </c>
      <c r="H120" s="320">
        <f t="shared" si="2"/>
        <v>10000</v>
      </c>
      <c r="I120" s="317" t="s">
        <v>223</v>
      </c>
    </row>
    <row r="121" spans="1:9" ht="15.95" customHeight="1">
      <c r="A121" s="966"/>
      <c r="B121" s="341"/>
      <c r="C121" s="753" t="s">
        <v>918</v>
      </c>
      <c r="D121" s="799" t="s">
        <v>920</v>
      </c>
      <c r="E121" s="800" t="s">
        <v>557</v>
      </c>
      <c r="F121" s="800">
        <v>2</v>
      </c>
      <c r="G121" s="802">
        <v>5000</v>
      </c>
      <c r="H121" s="320">
        <f t="shared" si="2"/>
        <v>10000</v>
      </c>
      <c r="I121" s="317" t="s">
        <v>223</v>
      </c>
    </row>
    <row r="122" spans="1:9" ht="15.95" customHeight="1">
      <c r="A122" s="966"/>
      <c r="B122" s="341"/>
      <c r="C122" s="753"/>
      <c r="D122" s="799"/>
      <c r="E122" s="800"/>
      <c r="F122" s="801"/>
      <c r="G122" s="802"/>
      <c r="H122" s="320">
        <f t="shared" si="2"/>
        <v>0</v>
      </c>
      <c r="I122" s="317" t="s">
        <v>223</v>
      </c>
    </row>
    <row r="123" spans="1:9" ht="15.95" customHeight="1">
      <c r="A123" s="966"/>
      <c r="B123" s="773" t="s">
        <v>994</v>
      </c>
      <c r="C123" s="753" t="s">
        <v>921</v>
      </c>
      <c r="D123" s="799" t="s">
        <v>922</v>
      </c>
      <c r="E123" s="800" t="s">
        <v>557</v>
      </c>
      <c r="F123" s="801">
        <v>2</v>
      </c>
      <c r="G123" s="802">
        <v>110000</v>
      </c>
      <c r="H123" s="320">
        <f t="shared" si="2"/>
        <v>220000</v>
      </c>
      <c r="I123" s="317" t="s">
        <v>223</v>
      </c>
    </row>
    <row r="124" spans="1:9" ht="15.95" customHeight="1">
      <c r="A124" s="966"/>
      <c r="B124" s="341"/>
      <c r="C124" s="753" t="s">
        <v>923</v>
      </c>
      <c r="D124" s="799" t="s">
        <v>924</v>
      </c>
      <c r="E124" s="800" t="s">
        <v>557</v>
      </c>
      <c r="F124" s="800">
        <v>1</v>
      </c>
      <c r="G124" s="802">
        <v>110000</v>
      </c>
      <c r="H124" s="320">
        <f t="shared" si="2"/>
        <v>110000</v>
      </c>
      <c r="I124" s="317" t="s">
        <v>223</v>
      </c>
    </row>
    <row r="125" spans="1:9" ht="15.95" customHeight="1">
      <c r="A125" s="966"/>
      <c r="B125" s="341"/>
      <c r="C125" s="753" t="s">
        <v>925</v>
      </c>
      <c r="D125" s="799" t="s">
        <v>926</v>
      </c>
      <c r="E125" s="800" t="s">
        <v>557</v>
      </c>
      <c r="F125" s="800">
        <v>1</v>
      </c>
      <c r="G125" s="802">
        <v>110000</v>
      </c>
      <c r="H125" s="320">
        <f t="shared" si="2"/>
        <v>110000</v>
      </c>
      <c r="I125" s="317" t="s">
        <v>223</v>
      </c>
    </row>
    <row r="126" spans="1:9" ht="15.95" customHeight="1">
      <c r="A126" s="966"/>
      <c r="B126" s="341"/>
      <c r="C126" s="753" t="s">
        <v>927</v>
      </c>
      <c r="D126" s="799" t="s">
        <v>928</v>
      </c>
      <c r="E126" s="800" t="s">
        <v>557</v>
      </c>
      <c r="F126" s="800">
        <v>2</v>
      </c>
      <c r="G126" s="802">
        <v>110000</v>
      </c>
      <c r="H126" s="320">
        <f t="shared" si="2"/>
        <v>220000</v>
      </c>
      <c r="I126" s="317" t="s">
        <v>223</v>
      </c>
    </row>
    <row r="127" spans="1:9" ht="15.95" customHeight="1">
      <c r="A127" s="966"/>
      <c r="B127" s="341"/>
      <c r="C127" s="753" t="s">
        <v>929</v>
      </c>
      <c r="D127" s="799" t="s">
        <v>930</v>
      </c>
      <c r="E127" s="800" t="s">
        <v>557</v>
      </c>
      <c r="F127" s="800">
        <v>1</v>
      </c>
      <c r="G127" s="802">
        <v>110000</v>
      </c>
      <c r="H127" s="320">
        <f t="shared" si="2"/>
        <v>110000</v>
      </c>
      <c r="I127" s="317" t="s">
        <v>223</v>
      </c>
    </row>
    <row r="128" spans="1:9" ht="15.95" customHeight="1">
      <c r="A128" s="966"/>
      <c r="B128" s="341"/>
      <c r="C128" s="753" t="s">
        <v>931</v>
      </c>
      <c r="D128" s="799" t="s">
        <v>932</v>
      </c>
      <c r="E128" s="800" t="s">
        <v>557</v>
      </c>
      <c r="F128" s="800">
        <v>1</v>
      </c>
      <c r="G128" s="802">
        <v>110000</v>
      </c>
      <c r="H128" s="320">
        <f t="shared" si="2"/>
        <v>110000</v>
      </c>
      <c r="I128" s="317" t="s">
        <v>223</v>
      </c>
    </row>
    <row r="129" spans="1:9" ht="15.95" customHeight="1">
      <c r="A129" s="966"/>
      <c r="B129" s="341"/>
      <c r="C129" s="753" t="s">
        <v>933</v>
      </c>
      <c r="D129" s="799" t="s">
        <v>934</v>
      </c>
      <c r="E129" s="800" t="s">
        <v>557</v>
      </c>
      <c r="F129" s="800">
        <v>2</v>
      </c>
      <c r="G129" s="802">
        <v>110000</v>
      </c>
      <c r="H129" s="320">
        <f t="shared" si="2"/>
        <v>220000</v>
      </c>
      <c r="I129" s="317" t="s">
        <v>223</v>
      </c>
    </row>
    <row r="130" spans="1:9" ht="15.95" customHeight="1">
      <c r="A130" s="966"/>
      <c r="B130" s="341"/>
      <c r="C130" s="753" t="s">
        <v>935</v>
      </c>
      <c r="D130" s="799" t="s">
        <v>936</v>
      </c>
      <c r="E130" s="800" t="s">
        <v>557</v>
      </c>
      <c r="F130" s="800">
        <v>2</v>
      </c>
      <c r="G130" s="802">
        <v>110000</v>
      </c>
      <c r="H130" s="320">
        <f t="shared" si="2"/>
        <v>220000</v>
      </c>
      <c r="I130" s="317" t="s">
        <v>223</v>
      </c>
    </row>
    <row r="131" spans="1:9" ht="15.95" customHeight="1">
      <c r="A131" s="966"/>
      <c r="B131" s="341"/>
      <c r="C131" s="305"/>
      <c r="D131" s="305"/>
      <c r="E131" s="315" t="s">
        <v>223</v>
      </c>
      <c r="F131" s="307"/>
      <c r="G131" s="517"/>
      <c r="H131" s="320">
        <f t="shared" si="2"/>
        <v>0</v>
      </c>
      <c r="I131" s="317"/>
    </row>
    <row r="132" spans="1:9" ht="15.95" customHeight="1">
      <c r="A132" s="966"/>
      <c r="B132" s="796" t="s">
        <v>565</v>
      </c>
      <c r="C132" s="753" t="s">
        <v>685</v>
      </c>
      <c r="D132" s="799" t="s">
        <v>937</v>
      </c>
      <c r="E132" s="800" t="s">
        <v>557</v>
      </c>
      <c r="F132" s="801">
        <v>3</v>
      </c>
      <c r="G132" s="802">
        <v>79000</v>
      </c>
      <c r="H132" s="320">
        <f t="shared" si="2"/>
        <v>237000</v>
      </c>
      <c r="I132" s="317" t="s">
        <v>842</v>
      </c>
    </row>
    <row r="133" spans="1:9" ht="15.95" customHeight="1">
      <c r="A133" s="966"/>
      <c r="B133" s="341"/>
      <c r="C133" s="753" t="s">
        <v>644</v>
      </c>
      <c r="D133" s="799" t="s">
        <v>938</v>
      </c>
      <c r="E133" s="800" t="s">
        <v>557</v>
      </c>
      <c r="F133" s="800">
        <v>3</v>
      </c>
      <c r="G133" s="802">
        <v>15000</v>
      </c>
      <c r="H133" s="320">
        <f t="shared" si="2"/>
        <v>45000</v>
      </c>
      <c r="I133" s="317" t="s">
        <v>223</v>
      </c>
    </row>
    <row r="134" spans="1:9" ht="15.95" customHeight="1">
      <c r="A134" s="966"/>
      <c r="B134" s="341"/>
      <c r="C134" s="753" t="s">
        <v>939</v>
      </c>
      <c r="D134" s="799" t="s">
        <v>940</v>
      </c>
      <c r="E134" s="800" t="s">
        <v>557</v>
      </c>
      <c r="F134" s="800">
        <v>3</v>
      </c>
      <c r="G134" s="802">
        <v>35000</v>
      </c>
      <c r="H134" s="320">
        <f t="shared" si="2"/>
        <v>105000</v>
      </c>
      <c r="I134" s="317" t="s">
        <v>223</v>
      </c>
    </row>
    <row r="135" spans="1:9" ht="15.95" customHeight="1">
      <c r="A135" s="966"/>
      <c r="B135" s="341"/>
      <c r="C135" s="753" t="s">
        <v>941</v>
      </c>
      <c r="D135" s="799" t="s">
        <v>942</v>
      </c>
      <c r="E135" s="800" t="s">
        <v>557</v>
      </c>
      <c r="F135" s="800">
        <v>3</v>
      </c>
      <c r="G135" s="802">
        <v>69000</v>
      </c>
      <c r="H135" s="320">
        <f t="shared" si="2"/>
        <v>207000</v>
      </c>
      <c r="I135" s="317" t="s">
        <v>223</v>
      </c>
    </row>
    <row r="136" spans="1:9" ht="15.95" customHeight="1">
      <c r="A136" s="966"/>
      <c r="B136" s="341"/>
      <c r="C136" s="753" t="s">
        <v>687</v>
      </c>
      <c r="D136" s="799" t="s">
        <v>943</v>
      </c>
      <c r="E136" s="800" t="s">
        <v>557</v>
      </c>
      <c r="F136" s="800">
        <v>3</v>
      </c>
      <c r="G136" s="802">
        <v>20000</v>
      </c>
      <c r="H136" s="320">
        <f t="shared" si="2"/>
        <v>60000</v>
      </c>
      <c r="I136" s="317" t="s">
        <v>223</v>
      </c>
    </row>
    <row r="137" spans="1:9" ht="15.95" customHeight="1">
      <c r="A137" s="966"/>
      <c r="B137" s="341"/>
      <c r="C137" s="753" t="s">
        <v>570</v>
      </c>
      <c r="D137" s="799" t="s">
        <v>944</v>
      </c>
      <c r="E137" s="800" t="s">
        <v>557</v>
      </c>
      <c r="F137" s="800">
        <v>3</v>
      </c>
      <c r="G137" s="802">
        <v>15000</v>
      </c>
      <c r="H137" s="320">
        <f t="shared" si="2"/>
        <v>45000</v>
      </c>
      <c r="I137" s="317" t="s">
        <v>223</v>
      </c>
    </row>
    <row r="138" spans="1:9" ht="15.95" customHeight="1">
      <c r="A138" s="966"/>
      <c r="B138" s="341"/>
      <c r="C138" s="753" t="s">
        <v>945</v>
      </c>
      <c r="D138" s="799" t="s">
        <v>946</v>
      </c>
      <c r="E138" s="800" t="s">
        <v>557</v>
      </c>
      <c r="F138" s="800">
        <v>3</v>
      </c>
      <c r="G138" s="802">
        <v>31000</v>
      </c>
      <c r="H138" s="320">
        <f t="shared" si="2"/>
        <v>93000</v>
      </c>
      <c r="I138" s="317" t="s">
        <v>223</v>
      </c>
    </row>
    <row r="139" spans="1:9" ht="15.95" customHeight="1">
      <c r="A139" s="966"/>
      <c r="B139" s="341"/>
      <c r="C139" s="753" t="s">
        <v>628</v>
      </c>
      <c r="D139" s="799" t="s">
        <v>947</v>
      </c>
      <c r="E139" s="800" t="s">
        <v>557</v>
      </c>
      <c r="F139" s="800">
        <v>3</v>
      </c>
      <c r="G139" s="802">
        <v>15000</v>
      </c>
      <c r="H139" s="320">
        <f t="shared" ref="H139:H232" si="3">SUM(G139*F139)</f>
        <v>45000</v>
      </c>
      <c r="I139" s="317" t="s">
        <v>223</v>
      </c>
    </row>
    <row r="140" spans="1:9" ht="15.95" customHeight="1">
      <c r="A140" s="966"/>
      <c r="B140" s="341"/>
      <c r="C140" s="753" t="s">
        <v>949</v>
      </c>
      <c r="D140" s="799" t="s">
        <v>950</v>
      </c>
      <c r="E140" s="800" t="s">
        <v>557</v>
      </c>
      <c r="F140" s="800">
        <v>3</v>
      </c>
      <c r="G140" s="802">
        <v>10000</v>
      </c>
      <c r="H140" s="320">
        <f t="shared" si="3"/>
        <v>30000</v>
      </c>
      <c r="I140" s="317" t="s">
        <v>223</v>
      </c>
    </row>
    <row r="141" spans="1:9" ht="15.95" customHeight="1">
      <c r="A141" s="966"/>
      <c r="B141" s="341"/>
      <c r="C141" s="753" t="s">
        <v>952</v>
      </c>
      <c r="D141" s="799" t="s">
        <v>953</v>
      </c>
      <c r="E141" s="800" t="s">
        <v>557</v>
      </c>
      <c r="F141" s="800">
        <v>3</v>
      </c>
      <c r="G141" s="802">
        <v>22000</v>
      </c>
      <c r="H141" s="320">
        <f t="shared" si="3"/>
        <v>66000</v>
      </c>
      <c r="I141" s="317" t="s">
        <v>223</v>
      </c>
    </row>
    <row r="142" spans="1:9" ht="15.95" customHeight="1">
      <c r="A142" s="966"/>
      <c r="B142" s="341"/>
      <c r="C142" s="753" t="s">
        <v>954</v>
      </c>
      <c r="D142" s="799" t="s">
        <v>955</v>
      </c>
      <c r="E142" s="800" t="s">
        <v>557</v>
      </c>
      <c r="F142" s="800">
        <v>3</v>
      </c>
      <c r="G142" s="802">
        <v>26000</v>
      </c>
      <c r="H142" s="320">
        <f t="shared" si="3"/>
        <v>78000</v>
      </c>
      <c r="I142" s="317" t="s">
        <v>223</v>
      </c>
    </row>
    <row r="143" spans="1:9" ht="15.95" customHeight="1">
      <c r="A143" s="966"/>
      <c r="B143" s="341"/>
      <c r="C143" s="753" t="s">
        <v>827</v>
      </c>
      <c r="D143" s="799" t="s">
        <v>956</v>
      </c>
      <c r="E143" s="800" t="s">
        <v>557</v>
      </c>
      <c r="F143" s="800">
        <v>6</v>
      </c>
      <c r="G143" s="802">
        <v>14000</v>
      </c>
      <c r="H143" s="320">
        <f t="shared" si="3"/>
        <v>84000</v>
      </c>
      <c r="I143" s="317" t="s">
        <v>223</v>
      </c>
    </row>
    <row r="144" spans="1:9" ht="15.95" customHeight="1">
      <c r="A144" s="966"/>
      <c r="B144" s="341"/>
      <c r="C144" s="753" t="s">
        <v>752</v>
      </c>
      <c r="D144" s="799" t="s">
        <v>957</v>
      </c>
      <c r="E144" s="800" t="s">
        <v>557</v>
      </c>
      <c r="F144" s="800">
        <v>6</v>
      </c>
      <c r="G144" s="802">
        <v>2500</v>
      </c>
      <c r="H144" s="320">
        <f t="shared" si="3"/>
        <v>15000</v>
      </c>
      <c r="I144" s="317" t="s">
        <v>223</v>
      </c>
    </row>
    <row r="145" spans="1:9" ht="15.95" customHeight="1">
      <c r="A145" s="966"/>
      <c r="B145" s="341"/>
      <c r="C145" s="753" t="s">
        <v>782</v>
      </c>
      <c r="D145" s="799" t="s">
        <v>958</v>
      </c>
      <c r="E145" s="800" t="s">
        <v>557</v>
      </c>
      <c r="F145" s="800">
        <v>42</v>
      </c>
      <c r="G145" s="802">
        <v>16000</v>
      </c>
      <c r="H145" s="320">
        <f t="shared" si="3"/>
        <v>672000</v>
      </c>
      <c r="I145" s="317" t="s">
        <v>223</v>
      </c>
    </row>
    <row r="146" spans="1:9" ht="15.95" customHeight="1">
      <c r="A146" s="966"/>
      <c r="B146" s="341"/>
      <c r="C146" s="753" t="s">
        <v>959</v>
      </c>
      <c r="D146" s="799" t="s">
        <v>960</v>
      </c>
      <c r="E146" s="800" t="s">
        <v>557</v>
      </c>
      <c r="F146" s="800">
        <v>21</v>
      </c>
      <c r="G146" s="802">
        <v>31000</v>
      </c>
      <c r="H146" s="320">
        <f t="shared" si="3"/>
        <v>651000</v>
      </c>
      <c r="I146" s="317" t="s">
        <v>223</v>
      </c>
    </row>
    <row r="147" spans="1:9" ht="15.95" customHeight="1">
      <c r="A147" s="966"/>
      <c r="B147" s="341"/>
      <c r="C147" s="753"/>
      <c r="D147" s="799"/>
      <c r="E147" s="800"/>
      <c r="F147" s="801"/>
      <c r="G147" s="802"/>
      <c r="H147" s="320">
        <f t="shared" si="3"/>
        <v>0</v>
      </c>
      <c r="I147" s="317" t="s">
        <v>223</v>
      </c>
    </row>
    <row r="148" spans="1:9" ht="15.95" customHeight="1">
      <c r="A148" s="966"/>
      <c r="B148" s="773" t="s">
        <v>995</v>
      </c>
      <c r="C148" s="753" t="s">
        <v>961</v>
      </c>
      <c r="D148" s="799" t="s">
        <v>962</v>
      </c>
      <c r="E148" s="800" t="s">
        <v>557</v>
      </c>
      <c r="F148" s="801">
        <v>3</v>
      </c>
      <c r="G148" s="802">
        <v>110000</v>
      </c>
      <c r="H148" s="320">
        <f t="shared" si="3"/>
        <v>330000</v>
      </c>
      <c r="I148" s="317" t="s">
        <v>223</v>
      </c>
    </row>
    <row r="149" spans="1:9" ht="15.95" customHeight="1">
      <c r="A149" s="966"/>
      <c r="B149" s="341"/>
      <c r="C149" s="753" t="s">
        <v>963</v>
      </c>
      <c r="D149" s="799" t="s">
        <v>964</v>
      </c>
      <c r="E149" s="800" t="s">
        <v>557</v>
      </c>
      <c r="F149" s="800">
        <v>3</v>
      </c>
      <c r="G149" s="802">
        <v>110000</v>
      </c>
      <c r="H149" s="320">
        <f t="shared" si="3"/>
        <v>330000</v>
      </c>
      <c r="I149" s="317" t="s">
        <v>223</v>
      </c>
    </row>
    <row r="150" spans="1:9" ht="15.95" customHeight="1">
      <c r="A150" s="966"/>
      <c r="B150" s="341"/>
      <c r="C150" s="753" t="s">
        <v>965</v>
      </c>
      <c r="D150" s="799" t="s">
        <v>966</v>
      </c>
      <c r="E150" s="800" t="s">
        <v>557</v>
      </c>
      <c r="F150" s="800">
        <v>3</v>
      </c>
      <c r="G150" s="802">
        <v>110000</v>
      </c>
      <c r="H150" s="320">
        <f t="shared" si="3"/>
        <v>330000</v>
      </c>
      <c r="I150" s="317" t="s">
        <v>223</v>
      </c>
    </row>
    <row r="151" spans="1:9" ht="15.95" customHeight="1">
      <c r="A151" s="966"/>
      <c r="B151" s="341"/>
      <c r="C151" s="753" t="s">
        <v>967</v>
      </c>
      <c r="D151" s="799" t="s">
        <v>968</v>
      </c>
      <c r="E151" s="800" t="s">
        <v>557</v>
      </c>
      <c r="F151" s="800">
        <v>3</v>
      </c>
      <c r="G151" s="802">
        <v>110000</v>
      </c>
      <c r="H151" s="320">
        <f t="shared" si="3"/>
        <v>330000</v>
      </c>
      <c r="I151" s="317" t="s">
        <v>223</v>
      </c>
    </row>
    <row r="152" spans="1:9" ht="15.95" customHeight="1">
      <c r="A152" s="966"/>
      <c r="B152" s="341"/>
      <c r="C152" s="753" t="s">
        <v>969</v>
      </c>
      <c r="D152" s="799" t="s">
        <v>970</v>
      </c>
      <c r="E152" s="800" t="s">
        <v>557</v>
      </c>
      <c r="F152" s="800">
        <v>3</v>
      </c>
      <c r="G152" s="802">
        <v>110000</v>
      </c>
      <c r="H152" s="320">
        <f t="shared" si="3"/>
        <v>330000</v>
      </c>
      <c r="I152" s="317" t="s">
        <v>223</v>
      </c>
    </row>
    <row r="153" spans="1:9" ht="15.95" customHeight="1">
      <c r="A153" s="966"/>
      <c r="B153" s="341"/>
      <c r="C153" s="753" t="s">
        <v>971</v>
      </c>
      <c r="D153" s="799" t="s">
        <v>972</v>
      </c>
      <c r="E153" s="800" t="s">
        <v>557</v>
      </c>
      <c r="F153" s="800">
        <v>3</v>
      </c>
      <c r="G153" s="802">
        <v>110000</v>
      </c>
      <c r="H153" s="320">
        <f t="shared" si="3"/>
        <v>330000</v>
      </c>
      <c r="I153" s="317" t="s">
        <v>223</v>
      </c>
    </row>
    <row r="154" spans="1:9" ht="15.95" customHeight="1">
      <c r="A154" s="966"/>
      <c r="B154" s="341"/>
      <c r="C154" s="753" t="s">
        <v>973</v>
      </c>
      <c r="D154" s="799" t="s">
        <v>974</v>
      </c>
      <c r="E154" s="800" t="s">
        <v>557</v>
      </c>
      <c r="F154" s="800">
        <v>3</v>
      </c>
      <c r="G154" s="802">
        <v>110000</v>
      </c>
      <c r="H154" s="320">
        <f t="shared" si="3"/>
        <v>330000</v>
      </c>
      <c r="I154" s="317" t="s">
        <v>223</v>
      </c>
    </row>
    <row r="155" spans="1:9" ht="15.95" customHeight="1">
      <c r="A155" s="966"/>
      <c r="B155" s="341"/>
      <c r="C155" s="753" t="s">
        <v>897</v>
      </c>
      <c r="D155" s="799" t="s">
        <v>975</v>
      </c>
      <c r="E155" s="800" t="s">
        <v>557</v>
      </c>
      <c r="F155" s="800">
        <v>2</v>
      </c>
      <c r="G155" s="802">
        <v>30000</v>
      </c>
      <c r="H155" s="320">
        <f t="shared" si="3"/>
        <v>60000</v>
      </c>
      <c r="I155" s="317" t="s">
        <v>223</v>
      </c>
    </row>
    <row r="156" spans="1:9" ht="15.95" customHeight="1">
      <c r="A156" s="966"/>
      <c r="B156" s="341"/>
      <c r="C156" s="753" t="s">
        <v>949</v>
      </c>
      <c r="D156" s="799" t="s">
        <v>976</v>
      </c>
      <c r="E156" s="800" t="s">
        <v>557</v>
      </c>
      <c r="F156" s="800">
        <v>2</v>
      </c>
      <c r="G156" s="802">
        <v>12000</v>
      </c>
      <c r="H156" s="320">
        <f t="shared" si="3"/>
        <v>24000</v>
      </c>
      <c r="I156" s="317" t="s">
        <v>223</v>
      </c>
    </row>
    <row r="157" spans="1:9" ht="15.95" customHeight="1">
      <c r="A157" s="966"/>
      <c r="B157" s="341"/>
      <c r="C157" s="753" t="s">
        <v>628</v>
      </c>
      <c r="D157" s="799" t="s">
        <v>977</v>
      </c>
      <c r="E157" s="800" t="s">
        <v>557</v>
      </c>
      <c r="F157" s="800">
        <v>2</v>
      </c>
      <c r="G157" s="802">
        <v>17000</v>
      </c>
      <c r="H157" s="320">
        <f t="shared" si="3"/>
        <v>34000</v>
      </c>
      <c r="I157" s="317" t="s">
        <v>223</v>
      </c>
    </row>
    <row r="158" spans="1:9" ht="15.95" customHeight="1">
      <c r="A158" s="966"/>
      <c r="B158" s="341"/>
      <c r="C158" s="753" t="s">
        <v>692</v>
      </c>
      <c r="D158" s="799" t="s">
        <v>978</v>
      </c>
      <c r="E158" s="800" t="s">
        <v>557</v>
      </c>
      <c r="F158" s="800">
        <v>1</v>
      </c>
      <c r="G158" s="802">
        <v>18000</v>
      </c>
      <c r="H158" s="320">
        <f t="shared" si="3"/>
        <v>18000</v>
      </c>
      <c r="I158" s="317" t="s">
        <v>223</v>
      </c>
    </row>
    <row r="159" spans="1:9" ht="15.95" customHeight="1">
      <c r="A159" s="966"/>
      <c r="B159" s="341"/>
      <c r="C159" s="753" t="s">
        <v>980</v>
      </c>
      <c r="D159" s="799" t="s">
        <v>981</v>
      </c>
      <c r="E159" s="800" t="s">
        <v>557</v>
      </c>
      <c r="F159" s="800">
        <v>2</v>
      </c>
      <c r="G159" s="802">
        <v>71000</v>
      </c>
      <c r="H159" s="320">
        <f t="shared" si="3"/>
        <v>142000</v>
      </c>
      <c r="I159" s="317" t="s">
        <v>223</v>
      </c>
    </row>
    <row r="160" spans="1:9" ht="15.95" customHeight="1">
      <c r="A160" s="966"/>
      <c r="B160" s="341"/>
      <c r="C160" s="753" t="s">
        <v>752</v>
      </c>
      <c r="D160" s="799" t="s">
        <v>982</v>
      </c>
      <c r="E160" s="800" t="s">
        <v>557</v>
      </c>
      <c r="F160" s="800">
        <v>4</v>
      </c>
      <c r="G160" s="802">
        <v>34000</v>
      </c>
      <c r="H160" s="320">
        <f t="shared" si="3"/>
        <v>136000</v>
      </c>
      <c r="I160" s="317" t="s">
        <v>223</v>
      </c>
    </row>
    <row r="161" spans="1:9" ht="15.95" customHeight="1">
      <c r="A161" s="966"/>
      <c r="B161" s="341"/>
      <c r="C161" s="753"/>
      <c r="D161" s="799"/>
      <c r="E161" s="800"/>
      <c r="F161" s="801"/>
      <c r="G161" s="802"/>
      <c r="H161" s="320">
        <f t="shared" si="3"/>
        <v>0</v>
      </c>
      <c r="I161" s="317" t="s">
        <v>223</v>
      </c>
    </row>
    <row r="162" spans="1:9" ht="15.95" customHeight="1">
      <c r="A162" s="966"/>
      <c r="B162" s="773" t="s">
        <v>994</v>
      </c>
      <c r="C162" s="753" t="s">
        <v>983</v>
      </c>
      <c r="D162" s="799" t="s">
        <v>984</v>
      </c>
      <c r="E162" s="800" t="s">
        <v>557</v>
      </c>
      <c r="F162" s="801">
        <v>2</v>
      </c>
      <c r="G162" s="802">
        <v>110000</v>
      </c>
      <c r="H162" s="320">
        <f t="shared" si="3"/>
        <v>220000</v>
      </c>
      <c r="I162" s="317" t="s">
        <v>223</v>
      </c>
    </row>
    <row r="163" spans="1:9" ht="15.95" customHeight="1">
      <c r="A163" s="966"/>
      <c r="B163" s="341"/>
      <c r="C163" s="753" t="s">
        <v>923</v>
      </c>
      <c r="D163" s="799" t="s">
        <v>985</v>
      </c>
      <c r="E163" s="800" t="s">
        <v>557</v>
      </c>
      <c r="F163" s="800">
        <v>1</v>
      </c>
      <c r="G163" s="802">
        <v>110000</v>
      </c>
      <c r="H163" s="320">
        <f t="shared" si="3"/>
        <v>110000</v>
      </c>
      <c r="I163" s="317" t="s">
        <v>223</v>
      </c>
    </row>
    <row r="164" spans="1:9" ht="15.95" customHeight="1">
      <c r="A164" s="966"/>
      <c r="B164" s="341"/>
      <c r="C164" s="753" t="s">
        <v>925</v>
      </c>
      <c r="D164" s="799" t="s">
        <v>986</v>
      </c>
      <c r="E164" s="800" t="s">
        <v>557</v>
      </c>
      <c r="F164" s="800">
        <v>1</v>
      </c>
      <c r="G164" s="802">
        <v>110000</v>
      </c>
      <c r="H164" s="320">
        <f t="shared" si="3"/>
        <v>110000</v>
      </c>
      <c r="I164" s="317" t="s">
        <v>223</v>
      </c>
    </row>
    <row r="165" spans="1:9" ht="15.95" customHeight="1">
      <c r="A165" s="966"/>
      <c r="B165" s="341"/>
      <c r="C165" s="753" t="s">
        <v>927</v>
      </c>
      <c r="D165" s="799" t="s">
        <v>987</v>
      </c>
      <c r="E165" s="800" t="s">
        <v>557</v>
      </c>
      <c r="F165" s="800">
        <v>2</v>
      </c>
      <c r="G165" s="802">
        <v>110000</v>
      </c>
      <c r="H165" s="320">
        <f t="shared" si="3"/>
        <v>220000</v>
      </c>
      <c r="I165" s="317" t="s">
        <v>223</v>
      </c>
    </row>
    <row r="166" spans="1:9" ht="15.95" customHeight="1">
      <c r="A166" s="966"/>
      <c r="B166" s="341"/>
      <c r="C166" s="753" t="s">
        <v>929</v>
      </c>
      <c r="D166" s="799" t="s">
        <v>988</v>
      </c>
      <c r="E166" s="800" t="s">
        <v>557</v>
      </c>
      <c r="F166" s="800">
        <v>1</v>
      </c>
      <c r="G166" s="802">
        <v>110000</v>
      </c>
      <c r="H166" s="320">
        <f t="shared" si="3"/>
        <v>110000</v>
      </c>
      <c r="I166" s="317" t="s">
        <v>223</v>
      </c>
    </row>
    <row r="167" spans="1:9" ht="15.95" customHeight="1">
      <c r="A167" s="966"/>
      <c r="B167" s="341"/>
      <c r="C167" s="753" t="s">
        <v>989</v>
      </c>
      <c r="D167" s="799" t="s">
        <v>990</v>
      </c>
      <c r="E167" s="800" t="s">
        <v>557</v>
      </c>
      <c r="F167" s="800">
        <v>1</v>
      </c>
      <c r="G167" s="802">
        <v>110000</v>
      </c>
      <c r="H167" s="320">
        <f t="shared" si="3"/>
        <v>110000</v>
      </c>
      <c r="I167" s="317" t="s">
        <v>223</v>
      </c>
    </row>
    <row r="168" spans="1:9" ht="15.95" customHeight="1">
      <c r="A168" s="966"/>
      <c r="B168" s="341"/>
      <c r="C168" s="753" t="s">
        <v>933</v>
      </c>
      <c r="D168" s="799" t="s">
        <v>991</v>
      </c>
      <c r="E168" s="800" t="s">
        <v>557</v>
      </c>
      <c r="F168" s="800">
        <v>2</v>
      </c>
      <c r="G168" s="802">
        <v>110000</v>
      </c>
      <c r="H168" s="320">
        <f t="shared" si="3"/>
        <v>220000</v>
      </c>
      <c r="I168" s="317" t="s">
        <v>223</v>
      </c>
    </row>
    <row r="169" spans="1:9" ht="15.95" customHeight="1">
      <c r="A169" s="966"/>
      <c r="B169" s="341"/>
      <c r="C169" s="753" t="s">
        <v>992</v>
      </c>
      <c r="D169" s="799" t="s">
        <v>993</v>
      </c>
      <c r="E169" s="800" t="s">
        <v>557</v>
      </c>
      <c r="F169" s="800">
        <v>2</v>
      </c>
      <c r="G169" s="802">
        <v>110000</v>
      </c>
      <c r="H169" s="320">
        <f t="shared" si="3"/>
        <v>220000</v>
      </c>
      <c r="I169" s="317" t="s">
        <v>223</v>
      </c>
    </row>
    <row r="170" spans="1:9" ht="15.95" customHeight="1">
      <c r="A170" s="966"/>
      <c r="B170" s="341"/>
      <c r="C170" s="305"/>
      <c r="D170" s="305"/>
      <c r="E170" s="315" t="s">
        <v>223</v>
      </c>
      <c r="F170" s="307"/>
      <c r="G170" s="330"/>
      <c r="H170" s="320">
        <f t="shared" si="3"/>
        <v>0</v>
      </c>
      <c r="I170" s="317"/>
    </row>
    <row r="171" spans="1:9" ht="15.95" customHeight="1">
      <c r="A171" s="966"/>
      <c r="B171" s="341"/>
      <c r="C171" s="305"/>
      <c r="D171" s="305"/>
      <c r="E171" s="315" t="s">
        <v>223</v>
      </c>
      <c r="F171" s="307"/>
      <c r="G171" s="330"/>
      <c r="H171" s="320">
        <f t="shared" si="3"/>
        <v>0</v>
      </c>
      <c r="I171" s="317"/>
    </row>
    <row r="172" spans="1:9" ht="15.95" customHeight="1">
      <c r="A172" s="966"/>
      <c r="B172" s="341"/>
      <c r="C172" s="305"/>
      <c r="D172" s="305"/>
      <c r="E172" s="315" t="s">
        <v>223</v>
      </c>
      <c r="F172" s="307"/>
      <c r="G172" s="330"/>
      <c r="H172" s="320">
        <f t="shared" si="3"/>
        <v>0</v>
      </c>
      <c r="I172" s="317"/>
    </row>
    <row r="173" spans="1:9" ht="15.95" customHeight="1">
      <c r="A173" s="966"/>
      <c r="B173" s="341"/>
      <c r="C173" s="305"/>
      <c r="D173" s="305"/>
      <c r="E173" s="315" t="s">
        <v>216</v>
      </c>
      <c r="F173" s="307"/>
      <c r="G173" s="330"/>
      <c r="H173" s="320">
        <f t="shared" si="3"/>
        <v>0</v>
      </c>
      <c r="I173" s="317"/>
    </row>
    <row r="174" spans="1:9" ht="15.95" customHeight="1">
      <c r="A174" s="966"/>
      <c r="B174" s="341"/>
      <c r="C174" s="305"/>
      <c r="D174" s="305"/>
      <c r="E174" s="315" t="s">
        <v>216</v>
      </c>
      <c r="F174" s="307"/>
      <c r="G174" s="330"/>
      <c r="H174" s="320">
        <f t="shared" si="3"/>
        <v>0</v>
      </c>
      <c r="I174" s="317"/>
    </row>
    <row r="175" spans="1:9" ht="15.95" customHeight="1">
      <c r="A175" s="966"/>
      <c r="B175" s="341"/>
      <c r="C175" s="305"/>
      <c r="D175" s="305"/>
      <c r="E175" s="315" t="s">
        <v>216</v>
      </c>
      <c r="F175" s="307"/>
      <c r="G175" s="330"/>
      <c r="H175" s="320">
        <f t="shared" si="3"/>
        <v>0</v>
      </c>
      <c r="I175" s="317"/>
    </row>
    <row r="176" spans="1:9" ht="15.95" customHeight="1">
      <c r="A176" s="966"/>
      <c r="B176" s="341"/>
      <c r="C176" s="305"/>
      <c r="D176" s="305"/>
      <c r="E176" s="315" t="s">
        <v>216</v>
      </c>
      <c r="F176" s="307"/>
      <c r="G176" s="330"/>
      <c r="H176" s="320">
        <f t="shared" si="3"/>
        <v>0</v>
      </c>
      <c r="I176" s="317"/>
    </row>
    <row r="177" spans="1:9" ht="15.95" customHeight="1">
      <c r="A177" s="966"/>
      <c r="B177" s="341"/>
      <c r="C177" s="305"/>
      <c r="D177" s="305"/>
      <c r="E177" s="315" t="s">
        <v>216</v>
      </c>
      <c r="F177" s="307"/>
      <c r="G177" s="330"/>
      <c r="H177" s="320">
        <f t="shared" si="3"/>
        <v>0</v>
      </c>
      <c r="I177" s="317"/>
    </row>
    <row r="178" spans="1:9" ht="15.95" customHeight="1">
      <c r="A178" s="966"/>
      <c r="B178" s="341"/>
      <c r="C178" s="305"/>
      <c r="D178" s="305"/>
      <c r="E178" s="315" t="s">
        <v>216</v>
      </c>
      <c r="F178" s="307"/>
      <c r="G178" s="330"/>
      <c r="H178" s="320">
        <f t="shared" si="3"/>
        <v>0</v>
      </c>
      <c r="I178" s="317"/>
    </row>
    <row r="179" spans="1:9" ht="15.95" customHeight="1">
      <c r="A179" s="966"/>
      <c r="B179" s="341"/>
      <c r="C179" s="305"/>
      <c r="D179" s="305"/>
      <c r="E179" s="315" t="s">
        <v>216</v>
      </c>
      <c r="F179" s="307"/>
      <c r="G179" s="330"/>
      <c r="H179" s="320">
        <f t="shared" si="3"/>
        <v>0</v>
      </c>
      <c r="I179" s="317"/>
    </row>
    <row r="180" spans="1:9" ht="15.95" customHeight="1">
      <c r="A180" s="966"/>
      <c r="B180" s="341"/>
      <c r="C180" s="305"/>
      <c r="D180" s="305"/>
      <c r="E180" s="315" t="s">
        <v>216</v>
      </c>
      <c r="F180" s="307"/>
      <c r="G180" s="330"/>
      <c r="H180" s="320">
        <f t="shared" si="3"/>
        <v>0</v>
      </c>
      <c r="I180" s="317"/>
    </row>
    <row r="181" spans="1:9" ht="15.95" customHeight="1">
      <c r="A181" s="966"/>
      <c r="B181" s="341"/>
      <c r="C181" s="305"/>
      <c r="D181" s="305"/>
      <c r="E181" s="315" t="s">
        <v>216</v>
      </c>
      <c r="F181" s="307"/>
      <c r="G181" s="330"/>
      <c r="H181" s="320">
        <f t="shared" si="3"/>
        <v>0</v>
      </c>
      <c r="I181" s="317"/>
    </row>
    <row r="182" spans="1:9" ht="15.95" customHeight="1">
      <c r="A182" s="966"/>
      <c r="B182" s="341"/>
      <c r="C182" s="305"/>
      <c r="D182" s="305"/>
      <c r="E182" s="315" t="s">
        <v>216</v>
      </c>
      <c r="F182" s="307"/>
      <c r="G182" s="330"/>
      <c r="H182" s="320">
        <f t="shared" si="3"/>
        <v>0</v>
      </c>
      <c r="I182" s="317"/>
    </row>
    <row r="183" spans="1:9" ht="15.95" customHeight="1">
      <c r="A183" s="966"/>
      <c r="B183" s="341"/>
      <c r="C183" s="305"/>
      <c r="D183" s="305"/>
      <c r="E183" s="315" t="s">
        <v>216</v>
      </c>
      <c r="F183" s="307"/>
      <c r="G183" s="330"/>
      <c r="H183" s="320">
        <f t="shared" si="3"/>
        <v>0</v>
      </c>
      <c r="I183" s="317"/>
    </row>
    <row r="184" spans="1:9" ht="15.95" customHeight="1">
      <c r="A184" s="966"/>
      <c r="B184" s="341"/>
      <c r="C184" s="305"/>
      <c r="D184" s="305"/>
      <c r="E184" s="315" t="s">
        <v>216</v>
      </c>
      <c r="F184" s="307"/>
      <c r="G184" s="330"/>
      <c r="H184" s="320">
        <f t="shared" si="3"/>
        <v>0</v>
      </c>
      <c r="I184" s="317"/>
    </row>
    <row r="185" spans="1:9" ht="15.95" customHeight="1">
      <c r="A185" s="966"/>
      <c r="B185" s="341"/>
      <c r="C185" s="305"/>
      <c r="D185" s="305"/>
      <c r="E185" s="315" t="s">
        <v>216</v>
      </c>
      <c r="F185" s="307"/>
      <c r="G185" s="330"/>
      <c r="H185" s="320">
        <f t="shared" si="3"/>
        <v>0</v>
      </c>
      <c r="I185" s="317"/>
    </row>
    <row r="186" spans="1:9" ht="15.95" customHeight="1">
      <c r="A186" s="966"/>
      <c r="B186" s="341"/>
      <c r="C186" s="305"/>
      <c r="D186" s="305"/>
      <c r="E186" s="315" t="s">
        <v>216</v>
      </c>
      <c r="F186" s="307"/>
      <c r="G186" s="330"/>
      <c r="H186" s="320">
        <f t="shared" si="3"/>
        <v>0</v>
      </c>
      <c r="I186" s="317"/>
    </row>
    <row r="187" spans="1:9" ht="15.95" customHeight="1">
      <c r="A187" s="966"/>
      <c r="B187" s="341"/>
      <c r="C187" s="305"/>
      <c r="D187" s="305"/>
      <c r="E187" s="315" t="s">
        <v>216</v>
      </c>
      <c r="F187" s="307"/>
      <c r="G187" s="330"/>
      <c r="H187" s="320">
        <f t="shared" si="3"/>
        <v>0</v>
      </c>
      <c r="I187" s="317"/>
    </row>
    <row r="188" spans="1:9" ht="15.95" customHeight="1">
      <c r="A188" s="966"/>
      <c r="B188" s="341"/>
      <c r="C188" s="305"/>
      <c r="D188" s="305"/>
      <c r="E188" s="315" t="s">
        <v>216</v>
      </c>
      <c r="F188" s="307"/>
      <c r="G188" s="330"/>
      <c r="H188" s="320">
        <f t="shared" si="3"/>
        <v>0</v>
      </c>
      <c r="I188" s="317"/>
    </row>
    <row r="189" spans="1:9" ht="15.95" customHeight="1">
      <c r="A189" s="966"/>
      <c r="B189" s="341"/>
      <c r="C189" s="305"/>
      <c r="D189" s="305"/>
      <c r="E189" s="315" t="s">
        <v>216</v>
      </c>
      <c r="F189" s="307"/>
      <c r="G189" s="330"/>
      <c r="H189" s="320">
        <f t="shared" si="3"/>
        <v>0</v>
      </c>
      <c r="I189" s="317"/>
    </row>
    <row r="190" spans="1:9" ht="15.95" customHeight="1">
      <c r="A190" s="966"/>
      <c r="B190" s="341"/>
      <c r="C190" s="305"/>
      <c r="D190" s="305"/>
      <c r="E190" s="315" t="s">
        <v>216</v>
      </c>
      <c r="F190" s="307"/>
      <c r="G190" s="330"/>
      <c r="H190" s="320">
        <f t="shared" si="3"/>
        <v>0</v>
      </c>
      <c r="I190" s="317"/>
    </row>
    <row r="191" spans="1:9" ht="15.95" customHeight="1">
      <c r="A191" s="966"/>
      <c r="B191" s="341"/>
      <c r="C191" s="305"/>
      <c r="D191" s="305"/>
      <c r="E191" s="315" t="s">
        <v>216</v>
      </c>
      <c r="F191" s="307"/>
      <c r="G191" s="330"/>
      <c r="H191" s="320">
        <f t="shared" si="3"/>
        <v>0</v>
      </c>
      <c r="I191" s="317"/>
    </row>
    <row r="192" spans="1:9" ht="15.95" customHeight="1">
      <c r="A192" s="966"/>
      <c r="B192" s="341"/>
      <c r="C192" s="305"/>
      <c r="D192" s="305"/>
      <c r="E192" s="315" t="s">
        <v>216</v>
      </c>
      <c r="F192" s="307"/>
      <c r="G192" s="330"/>
      <c r="H192" s="320">
        <f t="shared" si="3"/>
        <v>0</v>
      </c>
      <c r="I192" s="317"/>
    </row>
    <row r="193" spans="1:9" ht="15.95" customHeight="1">
      <c r="A193" s="966"/>
      <c r="B193" s="341"/>
      <c r="C193" s="305"/>
      <c r="D193" s="305"/>
      <c r="E193" s="315" t="s">
        <v>216</v>
      </c>
      <c r="F193" s="307"/>
      <c r="G193" s="330"/>
      <c r="H193" s="320">
        <f t="shared" si="3"/>
        <v>0</v>
      </c>
      <c r="I193" s="317"/>
    </row>
    <row r="194" spans="1:9" ht="15.95" customHeight="1">
      <c r="A194" s="966"/>
      <c r="B194" s="341"/>
      <c r="C194" s="305"/>
      <c r="D194" s="305"/>
      <c r="E194" s="315" t="s">
        <v>216</v>
      </c>
      <c r="F194" s="307"/>
      <c r="G194" s="330"/>
      <c r="H194" s="320">
        <f t="shared" si="3"/>
        <v>0</v>
      </c>
      <c r="I194" s="317"/>
    </row>
    <row r="195" spans="1:9" ht="15.95" customHeight="1">
      <c r="A195" s="966"/>
      <c r="B195" s="341"/>
      <c r="C195" s="305"/>
      <c r="D195" s="305"/>
      <c r="E195" s="315" t="s">
        <v>216</v>
      </c>
      <c r="F195" s="307"/>
      <c r="G195" s="330"/>
      <c r="H195" s="320">
        <f t="shared" si="3"/>
        <v>0</v>
      </c>
      <c r="I195" s="317"/>
    </row>
    <row r="196" spans="1:9" ht="15.95" customHeight="1">
      <c r="A196" s="966"/>
      <c r="B196" s="341"/>
      <c r="C196" s="305"/>
      <c r="D196" s="305"/>
      <c r="E196" s="315" t="s">
        <v>216</v>
      </c>
      <c r="F196" s="307"/>
      <c r="G196" s="330"/>
      <c r="H196" s="320">
        <f t="shared" si="3"/>
        <v>0</v>
      </c>
      <c r="I196" s="317"/>
    </row>
    <row r="197" spans="1:9" ht="15.95" customHeight="1">
      <c r="A197" s="966"/>
      <c r="B197" s="341"/>
      <c r="C197" s="305"/>
      <c r="D197" s="305"/>
      <c r="E197" s="315" t="s">
        <v>216</v>
      </c>
      <c r="F197" s="307"/>
      <c r="G197" s="330"/>
      <c r="H197" s="320">
        <f t="shared" si="3"/>
        <v>0</v>
      </c>
      <c r="I197" s="317"/>
    </row>
    <row r="198" spans="1:9" ht="15.95" customHeight="1">
      <c r="A198" s="966"/>
      <c r="B198" s="341"/>
      <c r="C198" s="305"/>
      <c r="D198" s="305"/>
      <c r="E198" s="315" t="s">
        <v>216</v>
      </c>
      <c r="F198" s="307"/>
      <c r="G198" s="330"/>
      <c r="H198" s="320">
        <f t="shared" si="3"/>
        <v>0</v>
      </c>
      <c r="I198" s="317"/>
    </row>
    <row r="199" spans="1:9" ht="15.95" customHeight="1">
      <c r="A199" s="966"/>
      <c r="B199" s="341"/>
      <c r="C199" s="305"/>
      <c r="D199" s="305"/>
      <c r="E199" s="315" t="s">
        <v>216</v>
      </c>
      <c r="F199" s="307"/>
      <c r="G199" s="330"/>
      <c r="H199" s="320">
        <f t="shared" si="3"/>
        <v>0</v>
      </c>
      <c r="I199" s="317"/>
    </row>
    <row r="200" spans="1:9" ht="15.95" customHeight="1">
      <c r="A200" s="966"/>
      <c r="B200" s="341"/>
      <c r="C200" s="305"/>
      <c r="D200" s="305"/>
      <c r="E200" s="315" t="s">
        <v>216</v>
      </c>
      <c r="F200" s="307"/>
      <c r="G200" s="330"/>
      <c r="H200" s="320">
        <f t="shared" si="3"/>
        <v>0</v>
      </c>
      <c r="I200" s="317"/>
    </row>
    <row r="201" spans="1:9" ht="15.95" customHeight="1">
      <c r="A201" s="966"/>
      <c r="B201" s="341"/>
      <c r="C201" s="305"/>
      <c r="D201" s="305"/>
      <c r="E201" s="315" t="s">
        <v>216</v>
      </c>
      <c r="F201" s="307"/>
      <c r="G201" s="330"/>
      <c r="H201" s="320">
        <f t="shared" si="3"/>
        <v>0</v>
      </c>
      <c r="I201" s="317"/>
    </row>
    <row r="202" spans="1:9" ht="15.95" customHeight="1">
      <c r="A202" s="966"/>
      <c r="B202" s="341"/>
      <c r="C202" s="305"/>
      <c r="D202" s="305"/>
      <c r="E202" s="315" t="s">
        <v>216</v>
      </c>
      <c r="F202" s="307"/>
      <c r="G202" s="330"/>
      <c r="H202" s="320">
        <f t="shared" si="3"/>
        <v>0</v>
      </c>
      <c r="I202" s="317"/>
    </row>
    <row r="203" spans="1:9" ht="15.95" customHeight="1">
      <c r="A203" s="966"/>
      <c r="B203" s="341"/>
      <c r="C203" s="305"/>
      <c r="D203" s="305"/>
      <c r="E203" s="315" t="s">
        <v>216</v>
      </c>
      <c r="F203" s="307"/>
      <c r="G203" s="330"/>
      <c r="H203" s="320">
        <f t="shared" si="3"/>
        <v>0</v>
      </c>
      <c r="I203" s="317"/>
    </row>
    <row r="204" spans="1:9" ht="15.95" customHeight="1">
      <c r="A204" s="966"/>
      <c r="B204" s="341"/>
      <c r="C204" s="305"/>
      <c r="D204" s="305"/>
      <c r="E204" s="315" t="s">
        <v>216</v>
      </c>
      <c r="F204" s="307"/>
      <c r="G204" s="330"/>
      <c r="H204" s="320">
        <f t="shared" si="3"/>
        <v>0</v>
      </c>
      <c r="I204" s="317"/>
    </row>
    <row r="205" spans="1:9" ht="15.95" customHeight="1">
      <c r="A205" s="966"/>
      <c r="B205" s="341"/>
      <c r="C205" s="305"/>
      <c r="D205" s="305"/>
      <c r="E205" s="315" t="s">
        <v>216</v>
      </c>
      <c r="F205" s="307"/>
      <c r="G205" s="330"/>
      <c r="H205" s="320">
        <f t="shared" si="3"/>
        <v>0</v>
      </c>
      <c r="I205" s="317"/>
    </row>
    <row r="206" spans="1:9" ht="15.95" customHeight="1">
      <c r="A206" s="966"/>
      <c r="B206" s="341"/>
      <c r="C206" s="305"/>
      <c r="D206" s="305"/>
      <c r="E206" s="315" t="s">
        <v>216</v>
      </c>
      <c r="F206" s="307"/>
      <c r="G206" s="330"/>
      <c r="H206" s="320">
        <f t="shared" si="3"/>
        <v>0</v>
      </c>
      <c r="I206" s="317"/>
    </row>
    <row r="207" spans="1:9" ht="15.95" customHeight="1">
      <c r="A207" s="966"/>
      <c r="B207" s="341"/>
      <c r="C207" s="305"/>
      <c r="D207" s="305"/>
      <c r="E207" s="315" t="s">
        <v>216</v>
      </c>
      <c r="F207" s="307"/>
      <c r="G207" s="330"/>
      <c r="H207" s="320">
        <f t="shared" si="3"/>
        <v>0</v>
      </c>
      <c r="I207" s="317"/>
    </row>
    <row r="208" spans="1:9" ht="15.95" customHeight="1">
      <c r="A208" s="966"/>
      <c r="B208" s="341"/>
      <c r="C208" s="305"/>
      <c r="D208" s="305"/>
      <c r="E208" s="315" t="s">
        <v>216</v>
      </c>
      <c r="F208" s="307"/>
      <c r="G208" s="330"/>
      <c r="H208" s="320">
        <f t="shared" si="3"/>
        <v>0</v>
      </c>
      <c r="I208" s="317"/>
    </row>
    <row r="209" spans="1:9" ht="15.95" customHeight="1">
      <c r="A209" s="966"/>
      <c r="B209" s="341"/>
      <c r="C209" s="305"/>
      <c r="D209" s="305"/>
      <c r="E209" s="315" t="s">
        <v>216</v>
      </c>
      <c r="F209" s="307"/>
      <c r="G209" s="330"/>
      <c r="H209" s="320">
        <f t="shared" si="3"/>
        <v>0</v>
      </c>
      <c r="I209" s="317"/>
    </row>
    <row r="210" spans="1:9" ht="15.95" customHeight="1">
      <c r="A210" s="966"/>
      <c r="B210" s="341"/>
      <c r="C210" s="305"/>
      <c r="D210" s="305"/>
      <c r="E210" s="315" t="s">
        <v>216</v>
      </c>
      <c r="F210" s="307"/>
      <c r="G210" s="330"/>
      <c r="H210" s="320">
        <f t="shared" si="3"/>
        <v>0</v>
      </c>
      <c r="I210" s="317"/>
    </row>
    <row r="211" spans="1:9" ht="15.95" customHeight="1">
      <c r="A211" s="966"/>
      <c r="B211" s="341"/>
      <c r="C211" s="305"/>
      <c r="D211" s="305"/>
      <c r="E211" s="315" t="s">
        <v>216</v>
      </c>
      <c r="F211" s="307"/>
      <c r="G211" s="330"/>
      <c r="H211" s="320">
        <f t="shared" si="3"/>
        <v>0</v>
      </c>
      <c r="I211" s="317"/>
    </row>
    <row r="212" spans="1:9" ht="15.95" customHeight="1">
      <c r="A212" s="966"/>
      <c r="B212" s="341"/>
      <c r="C212" s="305"/>
      <c r="D212" s="305"/>
      <c r="E212" s="315" t="s">
        <v>216</v>
      </c>
      <c r="F212" s="307"/>
      <c r="G212" s="330"/>
      <c r="H212" s="320">
        <f t="shared" si="3"/>
        <v>0</v>
      </c>
      <c r="I212" s="317"/>
    </row>
    <row r="213" spans="1:9" ht="15.95" customHeight="1">
      <c r="A213" s="966"/>
      <c r="B213" s="341"/>
      <c r="C213" s="305"/>
      <c r="D213" s="305"/>
      <c r="E213" s="315" t="s">
        <v>216</v>
      </c>
      <c r="F213" s="307"/>
      <c r="G213" s="330"/>
      <c r="H213" s="320">
        <f t="shared" si="3"/>
        <v>0</v>
      </c>
      <c r="I213" s="317"/>
    </row>
    <row r="214" spans="1:9" ht="15.95" customHeight="1">
      <c r="A214" s="966"/>
      <c r="B214" s="341"/>
      <c r="C214" s="305"/>
      <c r="D214" s="305"/>
      <c r="E214" s="315" t="s">
        <v>216</v>
      </c>
      <c r="F214" s="307"/>
      <c r="G214" s="330"/>
      <c r="H214" s="320">
        <f t="shared" si="3"/>
        <v>0</v>
      </c>
      <c r="I214" s="317"/>
    </row>
    <row r="215" spans="1:9" ht="15.95" customHeight="1">
      <c r="A215" s="966"/>
      <c r="B215" s="341"/>
      <c r="C215" s="305"/>
      <c r="D215" s="305"/>
      <c r="E215" s="315" t="s">
        <v>216</v>
      </c>
      <c r="F215" s="307"/>
      <c r="G215" s="330"/>
      <c r="H215" s="320">
        <f t="shared" si="3"/>
        <v>0</v>
      </c>
      <c r="I215" s="317"/>
    </row>
    <row r="216" spans="1:9" ht="15.95" customHeight="1">
      <c r="A216" s="966"/>
      <c r="B216" s="341"/>
      <c r="C216" s="305"/>
      <c r="D216" s="305"/>
      <c r="E216" s="315" t="s">
        <v>216</v>
      </c>
      <c r="F216" s="307"/>
      <c r="G216" s="330"/>
      <c r="H216" s="320">
        <f t="shared" si="3"/>
        <v>0</v>
      </c>
      <c r="I216" s="317"/>
    </row>
    <row r="217" spans="1:9" ht="15.95" customHeight="1">
      <c r="A217" s="966"/>
      <c r="B217" s="341"/>
      <c r="C217" s="305"/>
      <c r="D217" s="305"/>
      <c r="E217" s="315" t="s">
        <v>216</v>
      </c>
      <c r="F217" s="307"/>
      <c r="G217" s="330"/>
      <c r="H217" s="320">
        <f t="shared" si="3"/>
        <v>0</v>
      </c>
      <c r="I217" s="317"/>
    </row>
    <row r="218" spans="1:9" ht="15.95" customHeight="1">
      <c r="A218" s="966"/>
      <c r="B218" s="341"/>
      <c r="C218" s="305"/>
      <c r="D218" s="305"/>
      <c r="E218" s="315" t="s">
        <v>216</v>
      </c>
      <c r="F218" s="307"/>
      <c r="G218" s="330"/>
      <c r="H218" s="320">
        <f t="shared" si="3"/>
        <v>0</v>
      </c>
      <c r="I218" s="317"/>
    </row>
    <row r="219" spans="1:9" ht="15.95" customHeight="1">
      <c r="A219" s="966"/>
      <c r="B219" s="341"/>
      <c r="C219" s="305"/>
      <c r="D219" s="305"/>
      <c r="E219" s="315" t="s">
        <v>216</v>
      </c>
      <c r="F219" s="307"/>
      <c r="G219" s="330"/>
      <c r="H219" s="320">
        <f t="shared" si="3"/>
        <v>0</v>
      </c>
      <c r="I219" s="317"/>
    </row>
    <row r="220" spans="1:9" ht="15.95" customHeight="1">
      <c r="A220" s="966"/>
      <c r="B220" s="341"/>
      <c r="C220" s="305"/>
      <c r="D220" s="305"/>
      <c r="E220" s="315" t="s">
        <v>216</v>
      </c>
      <c r="F220" s="307"/>
      <c r="G220" s="330"/>
      <c r="H220" s="320">
        <f t="shared" si="3"/>
        <v>0</v>
      </c>
      <c r="I220" s="317"/>
    </row>
    <row r="221" spans="1:9" ht="15.95" customHeight="1">
      <c r="A221" s="966"/>
      <c r="B221" s="341"/>
      <c r="C221" s="305"/>
      <c r="D221" s="305"/>
      <c r="E221" s="315" t="s">
        <v>216</v>
      </c>
      <c r="F221" s="307"/>
      <c r="G221" s="330"/>
      <c r="H221" s="320">
        <f t="shared" si="3"/>
        <v>0</v>
      </c>
      <c r="I221" s="317"/>
    </row>
    <row r="222" spans="1:9" ht="15.95" customHeight="1">
      <c r="A222" s="966"/>
      <c r="B222" s="341"/>
      <c r="C222" s="305"/>
      <c r="D222" s="305"/>
      <c r="E222" s="315" t="s">
        <v>216</v>
      </c>
      <c r="F222" s="307"/>
      <c r="G222" s="330"/>
      <c r="H222" s="320">
        <f t="shared" si="3"/>
        <v>0</v>
      </c>
      <c r="I222" s="317"/>
    </row>
    <row r="223" spans="1:9" ht="15.95" customHeight="1">
      <c r="A223" s="966"/>
      <c r="B223" s="341"/>
      <c r="C223" s="305"/>
      <c r="D223" s="305"/>
      <c r="E223" s="315" t="s">
        <v>216</v>
      </c>
      <c r="F223" s="307"/>
      <c r="G223" s="330"/>
      <c r="H223" s="320">
        <f t="shared" si="3"/>
        <v>0</v>
      </c>
      <c r="I223" s="317"/>
    </row>
    <row r="224" spans="1:9" ht="15.95" customHeight="1">
      <c r="A224" s="966"/>
      <c r="B224" s="341"/>
      <c r="C224" s="305"/>
      <c r="D224" s="305"/>
      <c r="E224" s="315" t="s">
        <v>216</v>
      </c>
      <c r="F224" s="307"/>
      <c r="G224" s="330"/>
      <c r="H224" s="320">
        <f t="shared" si="3"/>
        <v>0</v>
      </c>
      <c r="I224" s="317"/>
    </row>
    <row r="225" spans="1:9" ht="15.95" customHeight="1">
      <c r="A225" s="966"/>
      <c r="B225" s="341"/>
      <c r="C225" s="305"/>
      <c r="D225" s="305"/>
      <c r="E225" s="315" t="s">
        <v>216</v>
      </c>
      <c r="F225" s="307"/>
      <c r="G225" s="330"/>
      <c r="H225" s="320">
        <f t="shared" si="3"/>
        <v>0</v>
      </c>
      <c r="I225" s="317"/>
    </row>
    <row r="226" spans="1:9" ht="15.95" customHeight="1">
      <c r="A226" s="966"/>
      <c r="B226" s="341"/>
      <c r="C226" s="305"/>
      <c r="D226" s="305"/>
      <c r="E226" s="315" t="s">
        <v>216</v>
      </c>
      <c r="F226" s="307"/>
      <c r="G226" s="330"/>
      <c r="H226" s="320">
        <f t="shared" si="3"/>
        <v>0</v>
      </c>
      <c r="I226" s="317"/>
    </row>
    <row r="227" spans="1:9" ht="15.95" customHeight="1">
      <c r="A227" s="966"/>
      <c r="B227" s="341"/>
      <c r="C227" s="305"/>
      <c r="D227" s="305"/>
      <c r="E227" s="315" t="s">
        <v>216</v>
      </c>
      <c r="F227" s="307"/>
      <c r="G227" s="330"/>
      <c r="H227" s="320">
        <f t="shared" si="3"/>
        <v>0</v>
      </c>
      <c r="I227" s="317"/>
    </row>
    <row r="228" spans="1:9" ht="15.95" customHeight="1">
      <c r="A228" s="966"/>
      <c r="B228" s="341"/>
      <c r="C228" s="305"/>
      <c r="D228" s="305"/>
      <c r="E228" s="315" t="s">
        <v>216</v>
      </c>
      <c r="F228" s="307"/>
      <c r="G228" s="330"/>
      <c r="H228" s="320">
        <f t="shared" si="3"/>
        <v>0</v>
      </c>
      <c r="I228" s="317"/>
    </row>
    <row r="229" spans="1:9" ht="15.95" customHeight="1">
      <c r="A229" s="966"/>
      <c r="B229" s="341"/>
      <c r="C229" s="305"/>
      <c r="D229" s="305"/>
      <c r="E229" s="315" t="s">
        <v>216</v>
      </c>
      <c r="F229" s="307"/>
      <c r="G229" s="330"/>
      <c r="H229" s="320">
        <f t="shared" si="3"/>
        <v>0</v>
      </c>
      <c r="I229" s="317"/>
    </row>
    <row r="230" spans="1:9" ht="15.95" customHeight="1">
      <c r="A230" s="966"/>
      <c r="B230" s="341"/>
      <c r="C230" s="305"/>
      <c r="D230" s="305"/>
      <c r="E230" s="315" t="s">
        <v>216</v>
      </c>
      <c r="F230" s="307"/>
      <c r="G230" s="330"/>
      <c r="H230" s="320">
        <f t="shared" si="3"/>
        <v>0</v>
      </c>
      <c r="I230" s="317"/>
    </row>
    <row r="231" spans="1:9" ht="15.95" customHeight="1">
      <c r="A231" s="966"/>
      <c r="B231" s="341"/>
      <c r="C231" s="305"/>
      <c r="D231" s="305"/>
      <c r="E231" s="315" t="s">
        <v>216</v>
      </c>
      <c r="F231" s="307"/>
      <c r="G231" s="330"/>
      <c r="H231" s="320">
        <f t="shared" si="3"/>
        <v>0</v>
      </c>
      <c r="I231" s="317"/>
    </row>
    <row r="232" spans="1:9" ht="15.95" customHeight="1">
      <c r="A232" s="966"/>
      <c r="B232" s="341"/>
      <c r="C232" s="305"/>
      <c r="D232" s="305"/>
      <c r="E232" s="315" t="s">
        <v>216</v>
      </c>
      <c r="F232" s="307"/>
      <c r="G232" s="330"/>
      <c r="H232" s="320">
        <f t="shared" si="3"/>
        <v>0</v>
      </c>
      <c r="I232" s="317"/>
    </row>
    <row r="233" spans="1:9" ht="15.95" customHeight="1">
      <c r="A233" s="966"/>
      <c r="B233" s="341"/>
      <c r="C233" s="305"/>
      <c r="D233" s="305"/>
      <c r="E233" s="315" t="s">
        <v>216</v>
      </c>
      <c r="F233" s="307"/>
      <c r="G233" s="330"/>
      <c r="H233" s="320">
        <f t="shared" ref="H233:H251" si="4">SUM(G233*F233)</f>
        <v>0</v>
      </c>
      <c r="I233" s="317"/>
    </row>
    <row r="234" spans="1:9" ht="15.95" customHeight="1">
      <c r="A234" s="966"/>
      <c r="B234" s="341"/>
      <c r="C234" s="305"/>
      <c r="D234" s="305"/>
      <c r="E234" s="315" t="s">
        <v>223</v>
      </c>
      <c r="F234" s="307"/>
      <c r="G234" s="330"/>
      <c r="H234" s="320">
        <f t="shared" si="4"/>
        <v>0</v>
      </c>
      <c r="I234" s="317"/>
    </row>
    <row r="235" spans="1:9" ht="15.95" customHeight="1">
      <c r="A235" s="966"/>
      <c r="B235" s="341"/>
      <c r="C235" s="305"/>
      <c r="D235" s="305"/>
      <c r="E235" s="315" t="s">
        <v>223</v>
      </c>
      <c r="F235" s="307"/>
      <c r="G235" s="330"/>
      <c r="H235" s="320">
        <f t="shared" si="4"/>
        <v>0</v>
      </c>
      <c r="I235" s="317"/>
    </row>
    <row r="236" spans="1:9" ht="15.95" customHeight="1">
      <c r="A236" s="966"/>
      <c r="B236" s="341"/>
      <c r="C236" s="305"/>
      <c r="D236" s="305"/>
      <c r="E236" s="315" t="s">
        <v>223</v>
      </c>
      <c r="F236" s="307"/>
      <c r="G236" s="330"/>
      <c r="H236" s="320">
        <f t="shared" si="4"/>
        <v>0</v>
      </c>
      <c r="I236" s="317"/>
    </row>
    <row r="237" spans="1:9" ht="15.95" customHeight="1">
      <c r="A237" s="966"/>
      <c r="B237" s="341"/>
      <c r="C237" s="305"/>
      <c r="D237" s="305"/>
      <c r="E237" s="315" t="s">
        <v>223</v>
      </c>
      <c r="F237" s="307"/>
      <c r="G237" s="330"/>
      <c r="H237" s="320">
        <f t="shared" si="4"/>
        <v>0</v>
      </c>
      <c r="I237" s="317"/>
    </row>
    <row r="238" spans="1:9" ht="15.95" customHeight="1">
      <c r="A238" s="966"/>
      <c r="B238" s="341"/>
      <c r="C238" s="305"/>
      <c r="D238" s="305"/>
      <c r="E238" s="315" t="s">
        <v>223</v>
      </c>
      <c r="F238" s="542"/>
      <c r="G238" s="330"/>
      <c r="H238" s="320">
        <f t="shared" si="4"/>
        <v>0</v>
      </c>
      <c r="I238" s="317"/>
    </row>
    <row r="239" spans="1:9" ht="15.95" customHeight="1">
      <c r="A239" s="966"/>
      <c r="B239" s="341"/>
      <c r="C239" s="305"/>
      <c r="D239" s="305"/>
      <c r="E239" s="315" t="s">
        <v>223</v>
      </c>
      <c r="F239" s="542"/>
      <c r="G239" s="330"/>
      <c r="H239" s="320">
        <f t="shared" si="4"/>
        <v>0</v>
      </c>
      <c r="I239" s="317"/>
    </row>
    <row r="240" spans="1:9" ht="15.95" customHeight="1">
      <c r="A240" s="966"/>
      <c r="B240" s="341"/>
      <c r="C240" s="305"/>
      <c r="D240" s="305"/>
      <c r="E240" s="315" t="s">
        <v>223</v>
      </c>
      <c r="F240" s="307"/>
      <c r="G240" s="330"/>
      <c r="H240" s="320">
        <f t="shared" si="4"/>
        <v>0</v>
      </c>
      <c r="I240" s="317"/>
    </row>
    <row r="241" spans="1:9" ht="15.95" customHeight="1">
      <c r="A241" s="966"/>
      <c r="B241" s="341"/>
      <c r="C241" s="305"/>
      <c r="D241" s="305"/>
      <c r="E241" s="315" t="s">
        <v>223</v>
      </c>
      <c r="F241" s="307"/>
      <c r="G241" s="330"/>
      <c r="H241" s="320">
        <f t="shared" si="4"/>
        <v>0</v>
      </c>
      <c r="I241" s="317"/>
    </row>
    <row r="242" spans="1:9" ht="15.95" customHeight="1">
      <c r="A242" s="966"/>
      <c r="B242" s="341"/>
      <c r="C242" s="305"/>
      <c r="D242" s="305"/>
      <c r="E242" s="315" t="s">
        <v>223</v>
      </c>
      <c r="F242" s="307"/>
      <c r="G242" s="330"/>
      <c r="H242" s="320">
        <f t="shared" si="4"/>
        <v>0</v>
      </c>
      <c r="I242" s="317"/>
    </row>
    <row r="243" spans="1:9" ht="15.95" customHeight="1">
      <c r="A243" s="966"/>
      <c r="B243" s="341"/>
      <c r="C243" s="305"/>
      <c r="D243" s="305"/>
      <c r="E243" s="315" t="s">
        <v>223</v>
      </c>
      <c r="F243" s="307"/>
      <c r="G243" s="330"/>
      <c r="H243" s="320">
        <f t="shared" si="4"/>
        <v>0</v>
      </c>
      <c r="I243" s="317"/>
    </row>
    <row r="244" spans="1:9" ht="15.95" customHeight="1">
      <c r="A244" s="966"/>
      <c r="B244" s="341"/>
      <c r="C244" s="305"/>
      <c r="D244" s="305"/>
      <c r="E244" s="315" t="s">
        <v>223</v>
      </c>
      <c r="F244" s="307"/>
      <c r="G244" s="330"/>
      <c r="H244" s="320">
        <f t="shared" si="4"/>
        <v>0</v>
      </c>
      <c r="I244" s="317"/>
    </row>
    <row r="245" spans="1:9" ht="15.95" customHeight="1">
      <c r="A245" s="966"/>
      <c r="B245" s="341"/>
      <c r="C245" s="305"/>
      <c r="D245" s="305"/>
      <c r="E245" s="315" t="s">
        <v>223</v>
      </c>
      <c r="F245" s="307"/>
      <c r="G245" s="330"/>
      <c r="H245" s="320">
        <f t="shared" si="4"/>
        <v>0</v>
      </c>
      <c r="I245" s="317"/>
    </row>
    <row r="246" spans="1:9" ht="15.95" customHeight="1">
      <c r="A246" s="966"/>
      <c r="B246" s="341"/>
      <c r="C246" s="305"/>
      <c r="D246" s="305"/>
      <c r="E246" s="315" t="s">
        <v>223</v>
      </c>
      <c r="F246" s="307"/>
      <c r="G246" s="330"/>
      <c r="H246" s="320">
        <f t="shared" si="4"/>
        <v>0</v>
      </c>
      <c r="I246" s="317"/>
    </row>
    <row r="247" spans="1:9" ht="15.95" customHeight="1">
      <c r="A247" s="966"/>
      <c r="B247" s="341"/>
      <c r="C247" s="305"/>
      <c r="D247" s="305"/>
      <c r="E247" s="315" t="s">
        <v>223</v>
      </c>
      <c r="F247" s="307"/>
      <c r="G247" s="330"/>
      <c r="H247" s="320">
        <f t="shared" si="4"/>
        <v>0</v>
      </c>
      <c r="I247" s="317"/>
    </row>
    <row r="248" spans="1:9" ht="15.95" customHeight="1">
      <c r="A248" s="966"/>
      <c r="B248" s="341"/>
      <c r="C248" s="305"/>
      <c r="D248" s="305"/>
      <c r="E248" s="315" t="s">
        <v>223</v>
      </c>
      <c r="F248" s="307"/>
      <c r="G248" s="330"/>
      <c r="H248" s="320">
        <f t="shared" si="4"/>
        <v>0</v>
      </c>
      <c r="I248" s="317"/>
    </row>
    <row r="249" spans="1:9" ht="15.95" customHeight="1">
      <c r="A249" s="966"/>
      <c r="B249" s="341"/>
      <c r="C249" s="305"/>
      <c r="D249" s="305"/>
      <c r="E249" s="315" t="s">
        <v>223</v>
      </c>
      <c r="F249" s="307"/>
      <c r="G249" s="330"/>
      <c r="H249" s="320">
        <f t="shared" si="4"/>
        <v>0</v>
      </c>
      <c r="I249" s="317"/>
    </row>
    <row r="250" spans="1:9" ht="15.95" customHeight="1">
      <c r="A250" s="966"/>
      <c r="B250" s="341"/>
      <c r="C250" s="305"/>
      <c r="D250" s="305"/>
      <c r="E250" s="315" t="s">
        <v>223</v>
      </c>
      <c r="F250" s="307"/>
      <c r="G250" s="330"/>
      <c r="H250" s="320">
        <f t="shared" si="4"/>
        <v>0</v>
      </c>
      <c r="I250" s="317"/>
    </row>
    <row r="251" spans="1:9" ht="15.95" customHeight="1">
      <c r="A251" s="966"/>
      <c r="B251" s="341"/>
      <c r="C251" s="305"/>
      <c r="D251" s="305"/>
      <c r="E251" s="315" t="s">
        <v>223</v>
      </c>
      <c r="F251" s="307"/>
      <c r="G251" s="330"/>
      <c r="H251" s="320">
        <f t="shared" si="4"/>
        <v>0</v>
      </c>
      <c r="I251" s="317"/>
    </row>
    <row r="252" spans="1:9" ht="15.95" customHeight="1">
      <c r="A252" s="966"/>
      <c r="B252" s="341"/>
      <c r="C252" s="305"/>
      <c r="D252" s="305"/>
      <c r="E252" s="315" t="s">
        <v>223</v>
      </c>
      <c r="F252" s="307"/>
      <c r="G252" s="330"/>
      <c r="H252" s="320">
        <f>SUM(G252*F252)</f>
        <v>0</v>
      </c>
      <c r="I252" s="317"/>
    </row>
    <row r="253" spans="1:9" ht="15.95" customHeight="1">
      <c r="A253" s="966"/>
      <c r="B253" s="341"/>
      <c r="C253" s="305"/>
      <c r="D253" s="305"/>
      <c r="E253" s="315" t="s">
        <v>223</v>
      </c>
      <c r="F253" s="307"/>
      <c r="G253" s="330"/>
      <c r="H253" s="320">
        <f>SUM(G253*F253)</f>
        <v>0</v>
      </c>
      <c r="I253" s="317"/>
    </row>
    <row r="254" spans="1:9" ht="15.95" customHeight="1">
      <c r="A254" s="966"/>
      <c r="B254" s="341"/>
      <c r="C254" s="332"/>
      <c r="D254" s="551"/>
      <c r="E254" s="334"/>
      <c r="F254" s="552"/>
      <c r="G254" s="414"/>
      <c r="H254" s="339"/>
      <c r="I254" s="388"/>
    </row>
    <row r="255" spans="1:9" ht="15.95" customHeight="1">
      <c r="A255" s="966"/>
      <c r="B255" s="342"/>
      <c r="C255" s="553"/>
      <c r="D255" s="554"/>
      <c r="E255" s="391"/>
      <c r="F255" s="378"/>
      <c r="G255" s="378"/>
      <c r="H255" s="347">
        <f>SUM(H98:H254)</f>
        <v>9719000</v>
      </c>
      <c r="I255" s="392"/>
    </row>
    <row r="256" spans="1:9" ht="15.95" customHeight="1">
      <c r="A256" s="350"/>
      <c r="B256" s="351" t="s">
        <v>243</v>
      </c>
      <c r="C256" s="375"/>
      <c r="D256" s="555"/>
      <c r="E256" s="377"/>
      <c r="F256" s="393"/>
      <c r="G256" s="393"/>
      <c r="H256" s="347">
        <f>SUM(H255,H97,H6)</f>
        <v>13531425</v>
      </c>
      <c r="I256" s="392"/>
    </row>
    <row r="257" spans="1:9" ht="15.95" customHeight="1">
      <c r="A257" s="962" t="s">
        <v>13</v>
      </c>
      <c r="B257" s="354" t="s">
        <v>65</v>
      </c>
      <c r="C257" s="355"/>
      <c r="D257" s="356"/>
      <c r="E257" s="357" t="s">
        <v>12</v>
      </c>
      <c r="F257" s="326"/>
      <c r="G257" s="415"/>
      <c r="H257" s="358">
        <f>F257*G257</f>
        <v>0</v>
      </c>
      <c r="I257" s="386"/>
    </row>
    <row r="258" spans="1:9" ht="15.95" customHeight="1">
      <c r="A258" s="966"/>
      <c r="B258" s="360" t="s">
        <v>16</v>
      </c>
      <c r="C258" s="361"/>
      <c r="D258" s="362"/>
      <c r="E258" s="363" t="s">
        <v>11</v>
      </c>
      <c r="F258" s="399">
        <v>1</v>
      </c>
      <c r="G258" s="400">
        <v>350000</v>
      </c>
      <c r="H258" s="364">
        <f t="shared" ref="H258:H264" si="5">F258*G258</f>
        <v>350000</v>
      </c>
      <c r="I258" s="394"/>
    </row>
    <row r="259" spans="1:9" ht="15.95" customHeight="1">
      <c r="A259" s="966"/>
      <c r="B259" s="365" t="s">
        <v>297</v>
      </c>
      <c r="C259" s="366"/>
      <c r="D259" s="367"/>
      <c r="E259" s="368" t="s">
        <v>11</v>
      </c>
      <c r="F259" s="321">
        <v>3</v>
      </c>
      <c r="G259" s="319">
        <v>350000</v>
      </c>
      <c r="H259" s="369">
        <f t="shared" si="5"/>
        <v>1050000</v>
      </c>
      <c r="I259" s="387"/>
    </row>
    <row r="260" spans="1:9" ht="15.95" customHeight="1">
      <c r="A260" s="966"/>
      <c r="B260" s="365" t="s">
        <v>18</v>
      </c>
      <c r="C260" s="366"/>
      <c r="D260" s="367"/>
      <c r="E260" s="368" t="s">
        <v>11</v>
      </c>
      <c r="F260" s="321">
        <v>2</v>
      </c>
      <c r="G260" s="319">
        <v>350000</v>
      </c>
      <c r="H260" s="369">
        <f t="shared" si="5"/>
        <v>700000</v>
      </c>
      <c r="I260" s="387"/>
    </row>
    <row r="261" spans="1:9" ht="15.95" customHeight="1">
      <c r="A261" s="966"/>
      <c r="B261" s="365" t="s">
        <v>19</v>
      </c>
      <c r="C261" s="366"/>
      <c r="D261" s="367"/>
      <c r="E261" s="368" t="s">
        <v>11</v>
      </c>
      <c r="F261" s="321">
        <v>1</v>
      </c>
      <c r="G261" s="319">
        <v>350000</v>
      </c>
      <c r="H261" s="369">
        <f t="shared" si="5"/>
        <v>350000</v>
      </c>
      <c r="I261" s="387"/>
    </row>
    <row r="262" spans="1:9" ht="15.95" customHeight="1">
      <c r="A262" s="966"/>
      <c r="B262" s="365" t="s">
        <v>20</v>
      </c>
      <c r="C262" s="366"/>
      <c r="D262" s="367"/>
      <c r="E262" s="368" t="s">
        <v>11</v>
      </c>
      <c r="F262" s="321">
        <v>1</v>
      </c>
      <c r="G262" s="319">
        <v>350000</v>
      </c>
      <c r="H262" s="369">
        <f t="shared" si="5"/>
        <v>350000</v>
      </c>
      <c r="I262" s="387"/>
    </row>
    <row r="263" spans="1:9" ht="15.95" customHeight="1">
      <c r="A263" s="966"/>
      <c r="B263" s="365" t="s">
        <v>21</v>
      </c>
      <c r="C263" s="366"/>
      <c r="D263" s="367"/>
      <c r="E263" s="368" t="s">
        <v>11</v>
      </c>
      <c r="F263" s="321"/>
      <c r="G263" s="319">
        <v>350000</v>
      </c>
      <c r="H263" s="369">
        <f t="shared" si="5"/>
        <v>0</v>
      </c>
      <c r="I263" s="387"/>
    </row>
    <row r="264" spans="1:9" ht="15.95" customHeight="1">
      <c r="A264" s="966"/>
      <c r="B264" s="370" t="s">
        <v>22</v>
      </c>
      <c r="C264" s="371"/>
      <c r="D264" s="372"/>
      <c r="E264" s="373" t="s">
        <v>11</v>
      </c>
      <c r="F264" s="335">
        <v>1</v>
      </c>
      <c r="G264" s="336">
        <v>350000</v>
      </c>
      <c r="H264" s="532">
        <f t="shared" si="5"/>
        <v>350000</v>
      </c>
      <c r="I264" s="388"/>
    </row>
    <row r="265" spans="1:9" ht="15.95" customHeight="1">
      <c r="A265" s="350"/>
      <c r="B265" s="375" t="s">
        <v>66</v>
      </c>
      <c r="C265" s="352"/>
      <c r="D265" s="376"/>
      <c r="E265" s="377"/>
      <c r="F265" s="462"/>
      <c r="G265" s="378"/>
      <c r="H265" s="347">
        <f>SUM(H257:H264)</f>
        <v>3150000</v>
      </c>
      <c r="I265" s="395"/>
    </row>
    <row r="266" spans="1:9" ht="15.95" customHeight="1">
      <c r="A266" s="379"/>
      <c r="B266" s="375" t="s">
        <v>67</v>
      </c>
      <c r="C266" s="352"/>
      <c r="D266" s="376"/>
      <c r="E266" s="377"/>
      <c r="F266" s="380"/>
      <c r="G266" s="380"/>
      <c r="H266" s="353">
        <f>'단위장비별(집계)2'!L9+'단위장비별(집계)2'!I9</f>
        <v>857797.58043972286</v>
      </c>
      <c r="I266" s="392"/>
    </row>
    <row r="267" spans="1:9" ht="15.95" customHeight="1">
      <c r="A267" s="379"/>
      <c r="B267" s="375" t="s">
        <v>2</v>
      </c>
      <c r="C267" s="352"/>
      <c r="D267" s="376"/>
      <c r="E267" s="348" t="s">
        <v>221</v>
      </c>
      <c r="F267" s="347">
        <v>5</v>
      </c>
      <c r="G267" s="381"/>
      <c r="H267" s="416">
        <f>(H256+H265)*0.05</f>
        <v>834071.25</v>
      </c>
      <c r="I267" s="396"/>
    </row>
    <row r="268" spans="1:9" ht="15.95" customHeight="1">
      <c r="A268" s="379"/>
      <c r="B268" s="375" t="s">
        <v>68</v>
      </c>
      <c r="C268" s="352"/>
      <c r="D268" s="376"/>
      <c r="E268" s="348" t="s">
        <v>221</v>
      </c>
      <c r="F268" s="347">
        <v>10</v>
      </c>
      <c r="G268" s="381"/>
      <c r="H268" s="416">
        <f>(H256+H265)*0.1</f>
        <v>1668142.5</v>
      </c>
      <c r="I268" s="396"/>
    </row>
    <row r="269" spans="1:9" ht="15.95" customHeight="1">
      <c r="A269" s="379"/>
      <c r="B269" s="375" t="s">
        <v>69</v>
      </c>
      <c r="C269" s="352"/>
      <c r="D269" s="376"/>
      <c r="E269" s="377"/>
      <c r="F269" s="380"/>
      <c r="G269" s="380"/>
      <c r="H269" s="346">
        <f>H256+H265+H266+H267+H268</f>
        <v>20041436.330439724</v>
      </c>
      <c r="I269" s="392"/>
    </row>
    <row r="270" spans="1:9" ht="15.95" customHeight="1">
      <c r="H270" s="299"/>
    </row>
    <row r="271" spans="1:9" ht="15.95" customHeight="1">
      <c r="H271" s="299"/>
    </row>
    <row r="272" spans="1:9" ht="15.95" customHeight="1">
      <c r="H272" s="299"/>
    </row>
    <row r="273" spans="8:8" ht="15.95" customHeight="1">
      <c r="H273" s="299"/>
    </row>
    <row r="274" spans="8:8" ht="15.95" customHeight="1">
      <c r="H274" s="299"/>
    </row>
    <row r="275" spans="8:8" ht="15.95" customHeight="1">
      <c r="H275" s="299"/>
    </row>
    <row r="276" spans="8:8" ht="15.95" customHeight="1">
      <c r="H276" s="299"/>
    </row>
    <row r="277" spans="8:8" ht="15.95" customHeight="1">
      <c r="H277" s="299"/>
    </row>
    <row r="278" spans="8:8" ht="15.95" customHeight="1">
      <c r="H278" s="299"/>
    </row>
    <row r="279" spans="8:8" ht="15.95" customHeight="1">
      <c r="H279" s="299"/>
    </row>
    <row r="280" spans="8:8" ht="15.95" customHeight="1">
      <c r="H280" s="299"/>
    </row>
    <row r="281" spans="8:8" ht="15.95" customHeight="1">
      <c r="H281" s="299"/>
    </row>
    <row r="282" spans="8:8" ht="15.95" customHeight="1">
      <c r="H282" s="299"/>
    </row>
    <row r="283" spans="8:8" ht="15.95" customHeight="1">
      <c r="H283" s="299"/>
    </row>
    <row r="284" spans="8:8" ht="15.95" customHeight="1">
      <c r="H284" s="299"/>
    </row>
    <row r="285" spans="8:8" ht="15.95" customHeight="1">
      <c r="H285" s="299"/>
    </row>
    <row r="286" spans="8:8" ht="15.95" customHeight="1">
      <c r="H286" s="299"/>
    </row>
    <row r="287" spans="8:8" ht="15.95" customHeight="1">
      <c r="H287" s="299"/>
    </row>
    <row r="288" spans="8:8" ht="15.95" customHeight="1">
      <c r="H288" s="299"/>
    </row>
    <row r="289" spans="8:8" ht="15.95" customHeight="1">
      <c r="H289" s="299"/>
    </row>
    <row r="290" spans="8:8" ht="15.95" customHeight="1">
      <c r="H290" s="299"/>
    </row>
    <row r="291" spans="8:8" ht="15.95" customHeight="1">
      <c r="H291" s="299"/>
    </row>
    <row r="292" spans="8:8" ht="15.95" customHeight="1">
      <c r="H292" s="299"/>
    </row>
    <row r="293" spans="8:8" ht="15.95" customHeight="1">
      <c r="H293" s="299"/>
    </row>
    <row r="294" spans="8:8" ht="15.95" customHeight="1">
      <c r="H294" s="299"/>
    </row>
    <row r="295" spans="8:8" ht="15.95" customHeight="1">
      <c r="H295" s="299"/>
    </row>
    <row r="296" spans="8:8" ht="15.95" customHeight="1">
      <c r="H296" s="299"/>
    </row>
    <row r="297" spans="8:8" ht="15.95" customHeight="1">
      <c r="H297" s="299"/>
    </row>
    <row r="298" spans="8:8" ht="15.95" customHeight="1">
      <c r="H298" s="299"/>
    </row>
    <row r="299" spans="8:8" ht="15.95" customHeight="1">
      <c r="H299" s="299"/>
    </row>
    <row r="300" spans="8:8" ht="15.95" customHeight="1">
      <c r="H300" s="299"/>
    </row>
    <row r="301" spans="8:8" ht="15.95" customHeight="1">
      <c r="H301" s="299"/>
    </row>
    <row r="302" spans="8:8" ht="15.95" customHeight="1">
      <c r="H302" s="299"/>
    </row>
    <row r="303" spans="8:8" ht="15.95" customHeight="1">
      <c r="H303" s="299"/>
    </row>
    <row r="304" spans="8:8" ht="15.95" customHeight="1">
      <c r="H304" s="299"/>
    </row>
    <row r="305" spans="8:8" ht="15.95" customHeight="1">
      <c r="H305" s="299"/>
    </row>
    <row r="306" spans="8:8" ht="15.95" customHeight="1"/>
    <row r="307" spans="8:8" ht="15.95" customHeight="1"/>
    <row r="308" spans="8:8" ht="15.95" customHeight="1"/>
    <row r="309" spans="8:8" ht="15.95" customHeight="1"/>
    <row r="310" spans="8:8" ht="15.95" customHeight="1"/>
    <row r="311" spans="8:8" ht="15.95" customHeight="1"/>
    <row r="312" spans="8:8" ht="15.95" customHeight="1"/>
    <row r="313" spans="8:8" ht="15.95" customHeight="1"/>
    <row r="314" spans="8:8" ht="15.95" customHeight="1"/>
    <row r="315" spans="8:8" ht="15.95" customHeight="1"/>
    <row r="316" spans="8:8" ht="15.95" customHeight="1"/>
    <row r="317" spans="8:8" ht="15.95" customHeight="1"/>
    <row r="318" spans="8:8" ht="15.95" customHeight="1"/>
    <row r="319" spans="8:8" ht="15.95" customHeight="1"/>
    <row r="320" spans="8:8" ht="15.95" customHeight="1"/>
    <row r="321" ht="15.95" customHeight="1"/>
    <row r="322" ht="15.95" customHeight="1"/>
    <row r="323" ht="15.95" customHeight="1"/>
    <row r="324" ht="15.95" customHeight="1"/>
    <row r="325" ht="15.95" customHeight="1"/>
    <row r="326" ht="15.95" customHeight="1"/>
    <row r="327" ht="15.95" customHeight="1"/>
    <row r="328" ht="15.95" customHeight="1"/>
    <row r="329" ht="15.95" customHeight="1"/>
    <row r="330" ht="15.95" customHeight="1"/>
    <row r="331" ht="15.95" customHeight="1"/>
    <row r="332" ht="15.95" customHeight="1"/>
    <row r="333" ht="15.95" customHeight="1"/>
    <row r="334" ht="15.95" customHeight="1"/>
    <row r="335" ht="15.95" customHeight="1"/>
    <row r="336" ht="15.95" customHeight="1"/>
    <row r="337" ht="15.95" customHeight="1"/>
    <row r="338" ht="15.95" customHeight="1"/>
    <row r="339" ht="15.95" customHeight="1"/>
    <row r="340" ht="15.95" customHeight="1"/>
    <row r="341" ht="15.95" customHeight="1"/>
    <row r="342" ht="15.95" customHeight="1"/>
    <row r="343" ht="15.95" customHeight="1"/>
    <row r="344" ht="15.95" customHeight="1"/>
    <row r="345" ht="15.95" customHeight="1"/>
    <row r="346" ht="15.95" customHeight="1"/>
    <row r="347" ht="15.95" customHeight="1"/>
    <row r="348" ht="15.95" customHeight="1"/>
    <row r="349" ht="15.95" customHeight="1"/>
    <row r="350" ht="15.95" customHeight="1"/>
    <row r="351" ht="15.95" customHeight="1"/>
    <row r="352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</sheetData>
  <mergeCells count="3">
    <mergeCell ref="A2:B2"/>
    <mergeCell ref="A257:A264"/>
    <mergeCell ref="A3:A255"/>
  </mergeCells>
  <phoneticPr fontId="3" type="noConversion"/>
  <printOptions horizontalCentered="1"/>
  <pageMargins left="0.39370078740157483" right="0.39370078740157483" top="0.38" bottom="0.39370078740157483" header="0.28999999999999998" footer="0.19685039370078741"/>
  <pageSetup paperSize="9" scale="65" orientation="portrait" horizontalDpi="4294967292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02C38-F1AE-4E18-A940-9829C8DEE187}">
  <dimension ref="A1:M176"/>
  <sheetViews>
    <sheetView zoomScale="75" zoomScaleNormal="75" workbookViewId="0">
      <selection activeCell="Q9" sqref="Q9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9" style="227"/>
    <col min="11" max="11" width="15.25" style="558" customWidth="1"/>
    <col min="12" max="12" width="11.875" style="227" customWidth="1"/>
    <col min="13" max="13" width="9" style="227"/>
    <col min="14" max="16384" width="9" style="53"/>
  </cols>
  <sheetData>
    <row r="1" spans="1:13" ht="22.5" customHeight="1">
      <c r="A1" s="45" t="s">
        <v>97</v>
      </c>
      <c r="B1" s="45"/>
      <c r="C1" s="419"/>
      <c r="D1" s="262"/>
      <c r="E1" s="238"/>
      <c r="F1" s="22"/>
      <c r="G1" s="114"/>
      <c r="I1" s="230" t="s">
        <v>53</v>
      </c>
      <c r="J1" s="229"/>
      <c r="K1" s="556"/>
      <c r="L1" s="229"/>
      <c r="M1" s="229"/>
    </row>
    <row r="2" spans="1:13" s="119" customFormat="1" ht="16.5" customHeight="1">
      <c r="A2" s="964" t="s">
        <v>57</v>
      </c>
      <c r="B2" s="965"/>
      <c r="C2" s="359" t="s">
        <v>7</v>
      </c>
      <c r="D2" s="383" t="s">
        <v>58</v>
      </c>
      <c r="E2" s="383" t="s">
        <v>59</v>
      </c>
      <c r="F2" s="384" t="s">
        <v>4</v>
      </c>
      <c r="G2" s="384" t="s">
        <v>60</v>
      </c>
      <c r="H2" s="384" t="s">
        <v>61</v>
      </c>
      <c r="I2" s="385" t="s">
        <v>9</v>
      </c>
      <c r="J2" s="228"/>
      <c r="K2" s="557"/>
      <c r="L2" s="228"/>
      <c r="M2" s="228"/>
    </row>
    <row r="3" spans="1:13" ht="15.95" customHeight="1">
      <c r="A3" s="962" t="s">
        <v>62</v>
      </c>
      <c r="B3" s="341" t="s">
        <v>63</v>
      </c>
      <c r="C3" s="420"/>
      <c r="D3" s="420"/>
      <c r="E3" s="311"/>
      <c r="F3" s="415"/>
      <c r="G3" s="415"/>
      <c r="H3" s="337"/>
      <c r="I3" s="386"/>
    </row>
    <row r="4" spans="1:13" ht="15.95" customHeight="1">
      <c r="A4" s="963"/>
      <c r="B4" s="341"/>
      <c r="C4" s="589"/>
      <c r="D4" s="589"/>
      <c r="E4" s="470"/>
      <c r="F4" s="590"/>
      <c r="G4" s="400"/>
      <c r="H4" s="364"/>
      <c r="I4" s="394"/>
    </row>
    <row r="5" spans="1:13" ht="15.95" customHeight="1">
      <c r="A5" s="963"/>
      <c r="B5" s="341"/>
      <c r="C5" s="589"/>
      <c r="D5" s="589"/>
      <c r="E5" s="470"/>
      <c r="F5" s="590"/>
      <c r="G5" s="400"/>
      <c r="H5" s="364"/>
      <c r="I5" s="394"/>
    </row>
    <row r="6" spans="1:13" ht="15.95" customHeight="1">
      <c r="A6" s="966"/>
      <c r="B6" s="341"/>
      <c r="C6" s="468"/>
      <c r="D6" s="469"/>
      <c r="E6" s="470"/>
      <c r="F6" s="471"/>
      <c r="G6" s="406"/>
      <c r="H6" s="364"/>
      <c r="I6" s="387"/>
    </row>
    <row r="7" spans="1:13" ht="15.95" customHeight="1">
      <c r="A7" s="966"/>
      <c r="B7" s="341"/>
      <c r="C7" s="402"/>
      <c r="D7" s="402"/>
      <c r="E7" s="403"/>
      <c r="F7" s="336"/>
      <c r="G7" s="336"/>
      <c r="H7" s="339"/>
      <c r="I7" s="388"/>
    </row>
    <row r="8" spans="1:13" ht="15.95" customHeight="1">
      <c r="A8" s="966"/>
      <c r="B8" s="342"/>
      <c r="C8" s="389"/>
      <c r="D8" s="390"/>
      <c r="E8" s="430"/>
      <c r="F8" s="431">
        <f>SUM(F3:F7)</f>
        <v>0</v>
      </c>
      <c r="G8" s="346"/>
      <c r="H8" s="347">
        <f>SUM(H3:H7)</f>
        <v>0</v>
      </c>
      <c r="I8" s="539"/>
    </row>
    <row r="9" spans="1:13" ht="15.95" customHeight="1">
      <c r="A9" s="966"/>
      <c r="B9" s="349" t="s">
        <v>5</v>
      </c>
      <c r="C9" s="412"/>
      <c r="D9" s="412"/>
      <c r="E9" s="311"/>
      <c r="F9" s="417"/>
      <c r="G9" s="327"/>
      <c r="H9" s="337">
        <f t="shared" ref="H9:H16" si="0">G9*F9</f>
        <v>0</v>
      </c>
      <c r="I9" s="540"/>
    </row>
    <row r="10" spans="1:13" ht="15.95" customHeight="1">
      <c r="A10" s="966"/>
      <c r="B10" s="341" t="s">
        <v>8</v>
      </c>
      <c r="C10" s="305"/>
      <c r="D10" s="305"/>
      <c r="E10" s="315"/>
      <c r="F10" s="307"/>
      <c r="G10" s="330"/>
      <c r="H10" s="320">
        <f t="shared" si="0"/>
        <v>0</v>
      </c>
      <c r="I10" s="317"/>
    </row>
    <row r="11" spans="1:13" ht="15.95" customHeight="1">
      <c r="A11" s="966"/>
      <c r="B11" s="341"/>
      <c r="C11" s="305"/>
      <c r="D11" s="305"/>
      <c r="E11" s="315"/>
      <c r="F11" s="307"/>
      <c r="G11" s="319"/>
      <c r="H11" s="320">
        <f t="shared" si="0"/>
        <v>0</v>
      </c>
      <c r="I11" s="317"/>
    </row>
    <row r="12" spans="1:13" ht="15.95" customHeight="1">
      <c r="A12" s="966"/>
      <c r="B12" s="341"/>
      <c r="C12" s="305"/>
      <c r="D12" s="305"/>
      <c r="E12" s="315"/>
      <c r="F12" s="307"/>
      <c r="G12" s="330"/>
      <c r="H12" s="320">
        <f t="shared" si="0"/>
        <v>0</v>
      </c>
      <c r="I12" s="317"/>
    </row>
    <row r="13" spans="1:13" ht="15.95" customHeight="1">
      <c r="A13" s="966"/>
      <c r="B13" s="341"/>
      <c r="C13" s="305"/>
      <c r="D13" s="305"/>
      <c r="E13" s="315"/>
      <c r="F13" s="307"/>
      <c r="G13" s="330"/>
      <c r="H13" s="320">
        <f t="shared" si="0"/>
        <v>0</v>
      </c>
      <c r="I13" s="317"/>
    </row>
    <row r="14" spans="1:13" ht="15.95" customHeight="1">
      <c r="A14" s="966"/>
      <c r="B14" s="341"/>
      <c r="C14" s="305"/>
      <c r="D14" s="305"/>
      <c r="E14" s="315"/>
      <c r="F14" s="307"/>
      <c r="G14" s="330"/>
      <c r="H14" s="320">
        <f t="shared" si="0"/>
        <v>0</v>
      </c>
      <c r="I14" s="317"/>
    </row>
    <row r="15" spans="1:13" ht="15.95" customHeight="1">
      <c r="A15" s="966"/>
      <c r="B15" s="341"/>
      <c r="C15" s="305"/>
      <c r="D15" s="305"/>
      <c r="E15" s="315"/>
      <c r="F15" s="307"/>
      <c r="G15" s="330"/>
      <c r="H15" s="320">
        <f t="shared" si="0"/>
        <v>0</v>
      </c>
      <c r="I15" s="317"/>
    </row>
    <row r="16" spans="1:13" ht="15.95" customHeight="1">
      <c r="A16" s="966"/>
      <c r="B16" s="341"/>
      <c r="C16" s="305"/>
      <c r="D16" s="305"/>
      <c r="E16" s="315"/>
      <c r="F16" s="307"/>
      <c r="G16" s="330"/>
      <c r="H16" s="320">
        <f t="shared" si="0"/>
        <v>0</v>
      </c>
      <c r="I16" s="317"/>
    </row>
    <row r="17" spans="1:9" ht="15.95" customHeight="1">
      <c r="A17" s="966"/>
      <c r="B17" s="341"/>
      <c r="C17" s="971"/>
      <c r="D17" s="973"/>
      <c r="E17" s="315"/>
      <c r="F17" s="307"/>
      <c r="G17" s="319"/>
      <c r="H17" s="320"/>
      <c r="I17" s="317"/>
    </row>
    <row r="18" spans="1:9" ht="15.95" customHeight="1">
      <c r="A18" s="966"/>
      <c r="B18" s="341"/>
      <c r="C18" s="967"/>
      <c r="D18" s="968"/>
      <c r="E18" s="315"/>
      <c r="F18" s="307"/>
      <c r="G18" s="330"/>
      <c r="H18" s="320"/>
      <c r="I18" s="317"/>
    </row>
    <row r="19" spans="1:9" ht="15.95" customHeight="1">
      <c r="A19" s="966"/>
      <c r="B19" s="341"/>
      <c r="C19" s="969"/>
      <c r="D19" s="968"/>
      <c r="E19" s="315"/>
      <c r="F19" s="307"/>
      <c r="G19" s="330"/>
      <c r="H19" s="320"/>
      <c r="I19" s="317"/>
    </row>
    <row r="20" spans="1:9" ht="15.95" customHeight="1">
      <c r="A20" s="966"/>
      <c r="B20" s="341"/>
      <c r="C20" s="967"/>
      <c r="D20" s="968"/>
      <c r="E20" s="315"/>
      <c r="F20" s="307"/>
      <c r="G20" s="330"/>
      <c r="H20" s="320"/>
      <c r="I20" s="317"/>
    </row>
    <row r="21" spans="1:9" ht="15.95" customHeight="1">
      <c r="A21" s="966"/>
      <c r="B21" s="341"/>
      <c r="C21" s="967"/>
      <c r="D21" s="968"/>
      <c r="E21" s="315"/>
      <c r="F21" s="307"/>
      <c r="G21" s="406"/>
      <c r="H21" s="320"/>
      <c r="I21" s="317"/>
    </row>
    <row r="22" spans="1:9" ht="15.95" customHeight="1">
      <c r="A22" s="966"/>
      <c r="B22" s="341"/>
      <c r="C22" s="967"/>
      <c r="D22" s="968"/>
      <c r="E22" s="315"/>
      <c r="F22" s="307"/>
      <c r="G22" s="406"/>
      <c r="H22" s="320"/>
      <c r="I22" s="317"/>
    </row>
    <row r="23" spans="1:9" ht="15.95" customHeight="1">
      <c r="A23" s="966"/>
      <c r="B23" s="437"/>
      <c r="C23" s="967"/>
      <c r="D23" s="968"/>
      <c r="E23" s="315"/>
      <c r="F23" s="307"/>
      <c r="G23" s="406"/>
      <c r="H23" s="320"/>
      <c r="I23" s="317"/>
    </row>
    <row r="24" spans="1:9" ht="15.95" customHeight="1">
      <c r="A24" s="966"/>
      <c r="B24" s="436"/>
      <c r="C24" s="969"/>
      <c r="D24" s="970"/>
      <c r="E24" s="542"/>
      <c r="F24" s="307"/>
      <c r="G24" s="330"/>
      <c r="H24" s="320"/>
      <c r="I24" s="561"/>
    </row>
    <row r="25" spans="1:9" ht="15.95" customHeight="1">
      <c r="A25" s="966"/>
      <c r="B25" s="436"/>
      <c r="C25" s="442"/>
      <c r="D25" s="442"/>
      <c r="E25" s="315"/>
      <c r="F25" s="307"/>
      <c r="G25" s="330"/>
      <c r="H25" s="320">
        <f>G25*F25</f>
        <v>0</v>
      </c>
      <c r="I25" s="543"/>
    </row>
    <row r="26" spans="1:9" ht="15.95" customHeight="1">
      <c r="A26" s="966"/>
      <c r="B26" s="341"/>
      <c r="C26" s="442"/>
      <c r="D26" s="442"/>
      <c r="E26" s="315"/>
      <c r="F26" s="307"/>
      <c r="G26" s="330"/>
      <c r="H26" s="320">
        <f>G26*F26</f>
        <v>0</v>
      </c>
      <c r="I26" s="317"/>
    </row>
    <row r="27" spans="1:9" ht="15.95" customHeight="1">
      <c r="A27" s="966"/>
      <c r="B27" s="341"/>
      <c r="C27" s="969"/>
      <c r="D27" s="968"/>
      <c r="E27" s="315"/>
      <c r="F27" s="307"/>
      <c r="G27" s="330"/>
      <c r="H27" s="320">
        <f>G27*F27</f>
        <v>0</v>
      </c>
      <c r="I27" s="317"/>
    </row>
    <row r="28" spans="1:9" ht="15.95" customHeight="1">
      <c r="A28" s="966"/>
      <c r="B28" s="341"/>
      <c r="C28" s="442"/>
      <c r="D28" s="442"/>
      <c r="E28" s="315"/>
      <c r="F28" s="307"/>
      <c r="G28" s="330"/>
      <c r="H28" s="320"/>
      <c r="I28" s="317"/>
    </row>
    <row r="29" spans="1:9" ht="15.95" customHeight="1">
      <c r="A29" s="966"/>
      <c r="B29" s="341"/>
      <c r="C29" s="971"/>
      <c r="D29" s="972"/>
      <c r="E29" s="315"/>
      <c r="F29" s="307"/>
      <c r="G29" s="330"/>
      <c r="H29" s="320">
        <f>G29*F29</f>
        <v>0</v>
      </c>
      <c r="I29" s="543"/>
    </row>
    <row r="30" spans="1:9" ht="15.95" customHeight="1">
      <c r="A30" s="966"/>
      <c r="B30" s="341"/>
      <c r="C30" s="442"/>
      <c r="D30" s="442"/>
      <c r="E30" s="315"/>
      <c r="F30" s="307"/>
      <c r="G30" s="330"/>
      <c r="H30" s="320"/>
      <c r="I30" s="317"/>
    </row>
    <row r="31" spans="1:9" ht="15.95" customHeight="1">
      <c r="A31" s="966"/>
      <c r="B31" s="341"/>
      <c r="C31" s="442"/>
      <c r="D31" s="442"/>
      <c r="E31" s="315"/>
      <c r="F31" s="307"/>
      <c r="G31" s="330"/>
      <c r="H31" s="320">
        <f>G31*F31</f>
        <v>0</v>
      </c>
      <c r="I31" s="543"/>
    </row>
    <row r="32" spans="1:9" ht="15.95" customHeight="1">
      <c r="A32" s="966"/>
      <c r="B32" s="341"/>
      <c r="C32" s="442"/>
      <c r="D32" s="442"/>
      <c r="E32" s="315"/>
      <c r="F32" s="307"/>
      <c r="G32" s="330"/>
      <c r="H32" s="320">
        <f>G32*F32</f>
        <v>0</v>
      </c>
      <c r="I32" s="317"/>
    </row>
    <row r="33" spans="1:9" ht="15.95" customHeight="1">
      <c r="A33" s="966"/>
      <c r="B33" s="341"/>
      <c r="C33" s="442"/>
      <c r="D33" s="442"/>
      <c r="E33" s="315"/>
      <c r="F33" s="307"/>
      <c r="G33" s="330"/>
      <c r="H33" s="320">
        <f>G33*F33</f>
        <v>0</v>
      </c>
      <c r="I33" s="317"/>
    </row>
    <row r="34" spans="1:9" ht="15.95" customHeight="1">
      <c r="A34" s="966"/>
      <c r="B34" s="341"/>
      <c r="C34" s="305"/>
      <c r="D34" s="305"/>
      <c r="E34" s="315"/>
      <c r="F34" s="307"/>
      <c r="G34" s="330"/>
      <c r="H34" s="320"/>
      <c r="I34" s="317"/>
    </row>
    <row r="35" spans="1:9" ht="15.95" customHeight="1">
      <c r="A35" s="966"/>
      <c r="B35" s="341"/>
      <c r="C35" s="305"/>
      <c r="D35" s="305"/>
      <c r="E35" s="315"/>
      <c r="F35" s="307"/>
      <c r="G35" s="330"/>
      <c r="H35" s="320"/>
      <c r="I35" s="317"/>
    </row>
    <row r="36" spans="1:9" ht="15.95" customHeight="1">
      <c r="A36" s="966"/>
      <c r="B36" s="436"/>
      <c r="C36" s="332"/>
      <c r="D36" s="333"/>
      <c r="E36" s="334"/>
      <c r="F36" s="335"/>
      <c r="G36" s="336"/>
      <c r="H36" s="339"/>
      <c r="I36" s="388"/>
    </row>
    <row r="37" spans="1:9" ht="15.95" customHeight="1">
      <c r="A37" s="966"/>
      <c r="B37" s="342"/>
      <c r="C37" s="389"/>
      <c r="D37" s="390"/>
      <c r="E37" s="430"/>
      <c r="F37" s="491"/>
      <c r="G37" s="378"/>
      <c r="H37" s="347">
        <f>SUM(H9:H36)</f>
        <v>0</v>
      </c>
      <c r="I37" s="392"/>
    </row>
    <row r="38" spans="1:9" ht="15.95" customHeight="1">
      <c r="A38" s="966"/>
      <c r="B38" s="349" t="s">
        <v>6</v>
      </c>
      <c r="C38" s="412"/>
      <c r="D38" s="412"/>
      <c r="E38" s="477"/>
      <c r="F38" s="417"/>
      <c r="G38" s="327"/>
      <c r="H38" s="337"/>
      <c r="I38" s="386"/>
    </row>
    <row r="39" spans="1:9" ht="15.95" customHeight="1">
      <c r="A39" s="966"/>
      <c r="B39" s="341"/>
      <c r="C39" s="305"/>
      <c r="D39" s="305"/>
      <c r="E39" s="315"/>
      <c r="F39" s="307"/>
      <c r="G39" s="330"/>
      <c r="H39" s="320"/>
      <c r="I39" s="317"/>
    </row>
    <row r="40" spans="1:9" ht="15.95" customHeight="1">
      <c r="A40" s="966"/>
      <c r="B40" s="341"/>
      <c r="C40" s="305"/>
      <c r="D40" s="305"/>
      <c r="E40" s="315"/>
      <c r="F40" s="307"/>
      <c r="G40" s="330"/>
      <c r="H40" s="320"/>
      <c r="I40" s="317"/>
    </row>
    <row r="41" spans="1:9" ht="15.95" customHeight="1">
      <c r="A41" s="966"/>
      <c r="B41" s="341"/>
      <c r="C41" s="305"/>
      <c r="D41" s="305"/>
      <c r="E41" s="315"/>
      <c r="F41" s="307"/>
      <c r="G41" s="330"/>
      <c r="H41" s="320"/>
      <c r="I41" s="317"/>
    </row>
    <row r="42" spans="1:9" ht="15.95" customHeight="1">
      <c r="A42" s="966"/>
      <c r="B42" s="341"/>
      <c r="C42" s="305"/>
      <c r="D42" s="305"/>
      <c r="E42" s="315"/>
      <c r="F42" s="307"/>
      <c r="G42" s="330"/>
      <c r="H42" s="320"/>
      <c r="I42" s="317"/>
    </row>
    <row r="43" spans="1:9" ht="15.95" customHeight="1">
      <c r="A43" s="966"/>
      <c r="B43" s="341"/>
      <c r="C43" s="305"/>
      <c r="D43" s="305"/>
      <c r="E43" s="315"/>
      <c r="F43" s="307"/>
      <c r="G43" s="330"/>
      <c r="H43" s="320"/>
      <c r="I43" s="317"/>
    </row>
    <row r="44" spans="1:9" ht="15.95" customHeight="1">
      <c r="A44" s="966"/>
      <c r="B44" s="341"/>
      <c r="C44" s="305"/>
      <c r="D44" s="305"/>
      <c r="E44" s="315"/>
      <c r="F44" s="307"/>
      <c r="G44" s="330"/>
      <c r="H44" s="320"/>
      <c r="I44" s="317"/>
    </row>
    <row r="45" spans="1:9" ht="15.95" customHeight="1">
      <c r="A45" s="966"/>
      <c r="B45" s="341"/>
      <c r="C45" s="305"/>
      <c r="D45" s="305"/>
      <c r="E45" s="315"/>
      <c r="F45" s="307"/>
      <c r="G45" s="330"/>
      <c r="H45" s="320"/>
      <c r="I45" s="317"/>
    </row>
    <row r="46" spans="1:9" ht="15.95" customHeight="1">
      <c r="A46" s="966"/>
      <c r="B46" s="341"/>
      <c r="C46" s="305"/>
      <c r="D46" s="305"/>
      <c r="E46" s="315"/>
      <c r="F46" s="307"/>
      <c r="G46" s="330"/>
      <c r="H46" s="320"/>
      <c r="I46" s="317"/>
    </row>
    <row r="47" spans="1:9" ht="15.95" customHeight="1">
      <c r="A47" s="966"/>
      <c r="B47" s="341"/>
      <c r="C47" s="305"/>
      <c r="D47" s="305"/>
      <c r="E47" s="315"/>
      <c r="F47" s="307"/>
      <c r="G47" s="330"/>
      <c r="H47" s="320"/>
      <c r="I47" s="317"/>
    </row>
    <row r="48" spans="1:9" ht="15.95" customHeight="1">
      <c r="A48" s="966"/>
      <c r="B48" s="341"/>
      <c r="C48" s="305"/>
      <c r="D48" s="305"/>
      <c r="E48" s="315"/>
      <c r="F48" s="307"/>
      <c r="G48" s="330"/>
      <c r="H48" s="320"/>
      <c r="I48" s="317"/>
    </row>
    <row r="49" spans="1:9" ht="15.95" customHeight="1">
      <c r="A49" s="966"/>
      <c r="B49" s="341"/>
      <c r="C49" s="305"/>
      <c r="D49" s="305"/>
      <c r="E49" s="315"/>
      <c r="F49" s="307"/>
      <c r="G49" s="330"/>
      <c r="H49" s="320"/>
      <c r="I49" s="317"/>
    </row>
    <row r="50" spans="1:9" ht="15.95" customHeight="1">
      <c r="A50" s="966"/>
      <c r="B50" s="341"/>
      <c r="C50" s="305"/>
      <c r="D50" s="305"/>
      <c r="E50" s="315"/>
      <c r="F50" s="307"/>
      <c r="G50" s="330"/>
      <c r="H50" s="320"/>
      <c r="I50" s="317"/>
    </row>
    <row r="51" spans="1:9" ht="15.95" customHeight="1">
      <c r="A51" s="966"/>
      <c r="B51" s="341"/>
      <c r="C51" s="305"/>
      <c r="D51" s="305"/>
      <c r="E51" s="315"/>
      <c r="F51" s="307"/>
      <c r="G51" s="330"/>
      <c r="H51" s="320"/>
      <c r="I51" s="317"/>
    </row>
    <row r="52" spans="1:9" ht="15.95" customHeight="1">
      <c r="A52" s="966"/>
      <c r="B52" s="341"/>
      <c r="C52" s="305"/>
      <c r="D52" s="305"/>
      <c r="E52" s="315"/>
      <c r="F52" s="307"/>
      <c r="G52" s="330"/>
      <c r="H52" s="320"/>
      <c r="I52" s="317"/>
    </row>
    <row r="53" spans="1:9" ht="15.95" customHeight="1">
      <c r="A53" s="966"/>
      <c r="B53" s="341"/>
      <c r="C53" s="305"/>
      <c r="D53" s="305"/>
      <c r="E53" s="315"/>
      <c r="F53" s="307"/>
      <c r="G53" s="330"/>
      <c r="H53" s="320"/>
      <c r="I53" s="317"/>
    </row>
    <row r="54" spans="1:9" ht="15.95" customHeight="1">
      <c r="A54" s="966"/>
      <c r="B54" s="341"/>
      <c r="C54" s="305"/>
      <c r="D54" s="305"/>
      <c r="E54" s="315"/>
      <c r="F54" s="307"/>
      <c r="G54" s="330"/>
      <c r="H54" s="320"/>
      <c r="I54" s="317"/>
    </row>
    <row r="55" spans="1:9" ht="15.95" customHeight="1">
      <c r="A55" s="966"/>
      <c r="B55" s="341"/>
      <c r="C55" s="305"/>
      <c r="D55" s="305"/>
      <c r="E55" s="315"/>
      <c r="F55" s="307"/>
      <c r="G55" s="330"/>
      <c r="H55" s="320"/>
      <c r="I55" s="317"/>
    </row>
    <row r="56" spans="1:9" ht="15.95" customHeight="1">
      <c r="A56" s="966"/>
      <c r="B56" s="341"/>
      <c r="C56" s="305"/>
      <c r="D56" s="305"/>
      <c r="E56" s="315"/>
      <c r="F56" s="307"/>
      <c r="G56" s="319"/>
      <c r="H56" s="320"/>
      <c r="I56" s="317"/>
    </row>
    <row r="57" spans="1:9" ht="15.95" customHeight="1">
      <c r="A57" s="966"/>
      <c r="B57" s="436"/>
      <c r="C57" s="305"/>
      <c r="D57" s="305"/>
      <c r="E57" s="315"/>
      <c r="F57" s="307"/>
      <c r="G57" s="319"/>
      <c r="H57" s="320"/>
      <c r="I57" s="317"/>
    </row>
    <row r="58" spans="1:9" ht="15.95" customHeight="1">
      <c r="A58" s="966"/>
      <c r="B58" s="436"/>
      <c r="C58" s="305"/>
      <c r="D58" s="305"/>
      <c r="E58" s="315"/>
      <c r="F58" s="307"/>
      <c r="G58" s="319"/>
      <c r="H58" s="320"/>
      <c r="I58" s="317"/>
    </row>
    <row r="59" spans="1:9" ht="15.95" customHeight="1">
      <c r="A59" s="966"/>
      <c r="B59" s="436"/>
      <c r="C59" s="305"/>
      <c r="D59" s="305"/>
      <c r="E59" s="315"/>
      <c r="F59" s="307"/>
      <c r="G59" s="319"/>
      <c r="H59" s="320"/>
      <c r="I59" s="317"/>
    </row>
    <row r="60" spans="1:9" ht="15.95" customHeight="1">
      <c r="A60" s="966"/>
      <c r="B60" s="341"/>
      <c r="C60" s="332"/>
      <c r="D60" s="551"/>
      <c r="E60" s="334"/>
      <c r="F60" s="552"/>
      <c r="G60" s="414"/>
      <c r="H60" s="339"/>
      <c r="I60" s="388"/>
    </row>
    <row r="61" spans="1:9" ht="15.95" customHeight="1">
      <c r="A61" s="966"/>
      <c r="B61" s="342"/>
      <c r="C61" s="553"/>
      <c r="D61" s="554"/>
      <c r="E61" s="391"/>
      <c r="F61" s="378"/>
      <c r="G61" s="378"/>
      <c r="H61" s="347">
        <f>SUM(H38:H60)</f>
        <v>0</v>
      </c>
      <c r="I61" s="392"/>
    </row>
    <row r="62" spans="1:9" ht="15.95" customHeight="1">
      <c r="A62" s="350"/>
      <c r="B62" s="351" t="s">
        <v>64</v>
      </c>
      <c r="C62" s="375"/>
      <c r="D62" s="555"/>
      <c r="E62" s="377"/>
      <c r="F62" s="393"/>
      <c r="G62" s="393"/>
      <c r="H62" s="347">
        <f>SUM(H61,H37,H8)</f>
        <v>0</v>
      </c>
      <c r="I62" s="392"/>
    </row>
    <row r="63" spans="1:9" ht="15.95" customHeight="1">
      <c r="A63" s="962" t="s">
        <v>13</v>
      </c>
      <c r="B63" s="354" t="s">
        <v>65</v>
      </c>
      <c r="C63" s="355"/>
      <c r="D63" s="356"/>
      <c r="E63" s="357" t="s">
        <v>12</v>
      </c>
      <c r="F63" s="326"/>
      <c r="G63" s="415">
        <v>250000</v>
      </c>
      <c r="H63" s="358">
        <f>F63*G63</f>
        <v>0</v>
      </c>
      <c r="I63" s="386"/>
    </row>
    <row r="64" spans="1:9" ht="15.95" customHeight="1">
      <c r="A64" s="966"/>
      <c r="B64" s="360" t="s">
        <v>16</v>
      </c>
      <c r="C64" s="361"/>
      <c r="D64" s="362"/>
      <c r="E64" s="363" t="s">
        <v>11</v>
      </c>
      <c r="F64" s="399"/>
      <c r="G64" s="400">
        <v>200000</v>
      </c>
      <c r="H64" s="364">
        <f t="shared" ref="H64:H70" si="1">F64*G64</f>
        <v>0</v>
      </c>
      <c r="I64" s="394"/>
    </row>
    <row r="65" spans="1:9" ht="15.95" customHeight="1">
      <c r="A65" s="966"/>
      <c r="B65" s="365" t="s">
        <v>297</v>
      </c>
      <c r="C65" s="366"/>
      <c r="D65" s="367"/>
      <c r="E65" s="368" t="s">
        <v>11</v>
      </c>
      <c r="F65" s="321"/>
      <c r="G65" s="319">
        <v>250000</v>
      </c>
      <c r="H65" s="369">
        <f t="shared" si="1"/>
        <v>0</v>
      </c>
      <c r="I65" s="387"/>
    </row>
    <row r="66" spans="1:9" ht="15.95" customHeight="1">
      <c r="A66" s="966"/>
      <c r="B66" s="365" t="s">
        <v>18</v>
      </c>
      <c r="C66" s="366"/>
      <c r="D66" s="367"/>
      <c r="E66" s="368" t="s">
        <v>11</v>
      </c>
      <c r="F66" s="321"/>
      <c r="G66" s="319">
        <v>250000</v>
      </c>
      <c r="H66" s="369">
        <f t="shared" si="1"/>
        <v>0</v>
      </c>
      <c r="I66" s="387"/>
    </row>
    <row r="67" spans="1:9" ht="15.95" customHeight="1">
      <c r="A67" s="966"/>
      <c r="B67" s="365" t="s">
        <v>19</v>
      </c>
      <c r="C67" s="366"/>
      <c r="D67" s="367"/>
      <c r="E67" s="368" t="s">
        <v>11</v>
      </c>
      <c r="F67" s="321"/>
      <c r="G67" s="319">
        <v>300000</v>
      </c>
      <c r="H67" s="369">
        <f t="shared" si="1"/>
        <v>0</v>
      </c>
      <c r="I67" s="387"/>
    </row>
    <row r="68" spans="1:9" ht="15.95" customHeight="1">
      <c r="A68" s="966"/>
      <c r="B68" s="365" t="s">
        <v>20</v>
      </c>
      <c r="C68" s="366"/>
      <c r="D68" s="367"/>
      <c r="E68" s="368" t="s">
        <v>11</v>
      </c>
      <c r="F68" s="321"/>
      <c r="G68" s="319">
        <v>300000</v>
      </c>
      <c r="H68" s="369">
        <f t="shared" si="1"/>
        <v>0</v>
      </c>
      <c r="I68" s="387"/>
    </row>
    <row r="69" spans="1:9" ht="15.95" customHeight="1">
      <c r="A69" s="966"/>
      <c r="B69" s="365" t="s">
        <v>21</v>
      </c>
      <c r="C69" s="366"/>
      <c r="D69" s="367"/>
      <c r="E69" s="368" t="s">
        <v>11</v>
      </c>
      <c r="F69" s="321"/>
      <c r="G69" s="319">
        <v>300000</v>
      </c>
      <c r="H69" s="369">
        <f t="shared" si="1"/>
        <v>0</v>
      </c>
      <c r="I69" s="387"/>
    </row>
    <row r="70" spans="1:9" ht="15.95" customHeight="1">
      <c r="A70" s="966"/>
      <c r="B70" s="370" t="s">
        <v>22</v>
      </c>
      <c r="C70" s="371"/>
      <c r="D70" s="372"/>
      <c r="E70" s="373" t="s">
        <v>11</v>
      </c>
      <c r="F70" s="335"/>
      <c r="G70" s="336">
        <v>200000</v>
      </c>
      <c r="H70" s="532">
        <f t="shared" si="1"/>
        <v>0</v>
      </c>
      <c r="I70" s="388"/>
    </row>
    <row r="71" spans="1:9" ht="15.95" customHeight="1">
      <c r="A71" s="350"/>
      <c r="B71" s="375" t="s">
        <v>66</v>
      </c>
      <c r="C71" s="352"/>
      <c r="D71" s="376"/>
      <c r="E71" s="377"/>
      <c r="F71" s="462"/>
      <c r="G71" s="378"/>
      <c r="H71" s="347">
        <f>SUM(H63:H70)</f>
        <v>0</v>
      </c>
      <c r="I71" s="395"/>
    </row>
    <row r="72" spans="1:9" ht="15.95" customHeight="1">
      <c r="A72" s="379"/>
      <c r="B72" s="375" t="s">
        <v>10</v>
      </c>
      <c r="C72" s="352"/>
      <c r="D72" s="376"/>
      <c r="E72" s="377"/>
      <c r="F72" s="380"/>
      <c r="G72" s="380"/>
      <c r="H72" s="353">
        <f>'단위장비별(집계)2'!L9+'단위장비별(집계)2'!I9</f>
        <v>857797.58043972286</v>
      </c>
      <c r="I72" s="392"/>
    </row>
    <row r="73" spans="1:9" ht="15.95" customHeight="1">
      <c r="A73" s="379"/>
      <c r="B73" s="375" t="s">
        <v>2</v>
      </c>
      <c r="C73" s="352"/>
      <c r="D73" s="376"/>
      <c r="E73" s="348" t="s">
        <v>221</v>
      </c>
      <c r="F73" s="347">
        <v>5</v>
      </c>
      <c r="G73" s="381"/>
      <c r="H73" s="416">
        <f>(H62+H71)*0.05</f>
        <v>0</v>
      </c>
      <c r="I73" s="396"/>
    </row>
    <row r="74" spans="1:9" ht="15.95" customHeight="1">
      <c r="A74" s="379"/>
      <c r="B74" s="375" t="s">
        <v>49</v>
      </c>
      <c r="C74" s="352"/>
      <c r="D74" s="376"/>
      <c r="E74" s="348" t="s">
        <v>221</v>
      </c>
      <c r="F74" s="347">
        <v>10</v>
      </c>
      <c r="G74" s="381"/>
      <c r="H74" s="416">
        <f>(H62+H71)*0.1</f>
        <v>0</v>
      </c>
      <c r="I74" s="396"/>
    </row>
    <row r="75" spans="1:9" ht="15.95" customHeight="1">
      <c r="A75" s="379"/>
      <c r="B75" s="375" t="s">
        <v>50</v>
      </c>
      <c r="C75" s="352"/>
      <c r="D75" s="376"/>
      <c r="E75" s="377"/>
      <c r="F75" s="380"/>
      <c r="G75" s="380"/>
      <c r="H75" s="346">
        <f>H62+H71+H72+H73+H74</f>
        <v>857797.58043972286</v>
      </c>
      <c r="I75" s="392"/>
    </row>
    <row r="76" spans="1:9" ht="15.95" customHeight="1">
      <c r="H76" s="299"/>
    </row>
    <row r="77" spans="1:9" ht="15.95" customHeight="1">
      <c r="H77" s="299"/>
    </row>
    <row r="78" spans="1:9" ht="15.95" customHeight="1">
      <c r="H78" s="299"/>
    </row>
    <row r="79" spans="1:9" ht="15.95" customHeight="1">
      <c r="H79" s="299"/>
    </row>
    <row r="80" spans="1:9" ht="15.95" customHeight="1">
      <c r="H80" s="299"/>
    </row>
    <row r="81" spans="8:8" ht="15.95" customHeight="1">
      <c r="H81" s="299"/>
    </row>
    <row r="82" spans="8:8" ht="15.95" customHeight="1">
      <c r="H82" s="299"/>
    </row>
    <row r="83" spans="8:8" ht="15.95" customHeight="1">
      <c r="H83" s="299"/>
    </row>
    <row r="84" spans="8:8" ht="15.95" customHeight="1">
      <c r="H84" s="299"/>
    </row>
    <row r="85" spans="8:8" ht="15.95" customHeight="1">
      <c r="H85" s="299"/>
    </row>
    <row r="86" spans="8:8" ht="15.95" customHeight="1">
      <c r="H86" s="299"/>
    </row>
    <row r="87" spans="8:8" ht="15.95" customHeight="1">
      <c r="H87" s="299"/>
    </row>
    <row r="88" spans="8:8" ht="15.95" customHeight="1">
      <c r="H88" s="299"/>
    </row>
    <row r="89" spans="8:8" ht="15.95" customHeight="1">
      <c r="H89" s="299"/>
    </row>
    <row r="90" spans="8:8" ht="15.95" customHeight="1">
      <c r="H90" s="299"/>
    </row>
    <row r="91" spans="8:8" ht="15.95" customHeight="1">
      <c r="H91" s="299"/>
    </row>
    <row r="92" spans="8:8" ht="15.95" customHeight="1">
      <c r="H92" s="299"/>
    </row>
    <row r="93" spans="8:8" ht="15.95" customHeight="1">
      <c r="H93" s="299"/>
    </row>
    <row r="94" spans="8:8" ht="15.95" customHeight="1">
      <c r="H94" s="299"/>
    </row>
    <row r="95" spans="8:8" ht="15.95" customHeight="1">
      <c r="H95" s="299"/>
    </row>
    <row r="96" spans="8:8" ht="15.95" customHeight="1">
      <c r="H96" s="299"/>
    </row>
    <row r="97" spans="8:8" ht="15.95" customHeight="1">
      <c r="H97" s="299"/>
    </row>
    <row r="98" spans="8:8" ht="15.95" customHeight="1">
      <c r="H98" s="299"/>
    </row>
    <row r="99" spans="8:8" ht="15.95" customHeight="1">
      <c r="H99" s="299"/>
    </row>
    <row r="100" spans="8:8" ht="15.95" customHeight="1">
      <c r="H100" s="299"/>
    </row>
    <row r="101" spans="8:8" ht="15.95" customHeight="1">
      <c r="H101" s="299"/>
    </row>
    <row r="102" spans="8:8" ht="15.95" customHeight="1">
      <c r="H102" s="299"/>
    </row>
    <row r="103" spans="8:8" ht="15.95" customHeight="1">
      <c r="H103" s="299"/>
    </row>
    <row r="104" spans="8:8" ht="15.95" customHeight="1">
      <c r="H104" s="299"/>
    </row>
    <row r="105" spans="8:8" ht="15.95" customHeight="1">
      <c r="H105" s="299"/>
    </row>
    <row r="106" spans="8:8" ht="15.95" customHeight="1">
      <c r="H106" s="299"/>
    </row>
    <row r="107" spans="8:8" ht="15.95" customHeight="1">
      <c r="H107" s="299"/>
    </row>
    <row r="108" spans="8:8" ht="15.95" customHeight="1">
      <c r="H108" s="299"/>
    </row>
    <row r="109" spans="8:8" ht="15.95" customHeight="1">
      <c r="H109" s="299"/>
    </row>
    <row r="110" spans="8:8" ht="15.95" customHeight="1">
      <c r="H110" s="299"/>
    </row>
    <row r="111" spans="8:8" ht="15.95" customHeight="1">
      <c r="H111" s="299"/>
    </row>
    <row r="112" spans="8:8" ht="15.95" customHeight="1"/>
    <row r="113" ht="15.95" customHeight="1"/>
    <row r="114" ht="15.95" customHeight="1"/>
    <row r="115" ht="15.95" customHeight="1"/>
    <row r="116" ht="15.95" customHeight="1"/>
    <row r="117" ht="15.95" customHeight="1"/>
    <row r="118" ht="15.95" customHeight="1"/>
    <row r="119" ht="15.95" customHeight="1"/>
    <row r="120" ht="15.95" customHeight="1"/>
    <row r="121" ht="15.95" customHeight="1"/>
    <row r="122" ht="15.95" customHeight="1"/>
    <row r="123" ht="15.95" customHeight="1"/>
    <row r="124" ht="15.95" customHeight="1"/>
    <row r="125" ht="15.95" customHeight="1"/>
    <row r="126" ht="15.95" customHeight="1"/>
    <row r="127" ht="15.95" customHeight="1"/>
    <row r="128" ht="15.95" customHeight="1"/>
    <row r="129" ht="15.95" customHeight="1"/>
    <row r="130" ht="15.95" customHeight="1"/>
    <row r="131" ht="15.95" customHeight="1"/>
    <row r="132" ht="15.95" customHeight="1"/>
    <row r="133" ht="15.95" customHeight="1"/>
    <row r="134" ht="15.95" customHeight="1"/>
    <row r="135" ht="15.95" customHeight="1"/>
    <row r="136" ht="15.95" customHeight="1"/>
    <row r="137" ht="15.95" customHeight="1"/>
    <row r="138" ht="15.95" customHeight="1"/>
    <row r="139" ht="15.95" customHeight="1"/>
    <row r="140" ht="15.95" customHeight="1"/>
    <row r="141" ht="15.95" customHeight="1"/>
    <row r="142" ht="15.95" customHeight="1"/>
    <row r="143" ht="15.95" customHeight="1"/>
    <row r="144" ht="15.95" customHeight="1"/>
    <row r="145" ht="15.95" customHeight="1"/>
    <row r="146" ht="15.95" customHeight="1"/>
    <row r="147" ht="15.95" customHeight="1"/>
    <row r="148" ht="15.95" customHeight="1"/>
    <row r="149" ht="15.95" customHeight="1"/>
    <row r="150" ht="15.95" customHeight="1"/>
    <row r="151" ht="15.95" customHeight="1"/>
    <row r="152" ht="15.95" customHeight="1"/>
    <row r="153" ht="15.95" customHeight="1"/>
    <row r="154" ht="15.95" customHeight="1"/>
    <row r="155" ht="15.95" customHeight="1"/>
    <row r="156" ht="15.95" customHeight="1"/>
    <row r="157" ht="15.95" customHeight="1"/>
    <row r="158" ht="15.95" customHeight="1"/>
    <row r="159" ht="15.95" customHeight="1"/>
    <row r="160" ht="15.95" customHeight="1"/>
    <row r="161" ht="15.95" customHeight="1"/>
    <row r="162" ht="15.95" customHeight="1"/>
    <row r="163" ht="15.95" customHeight="1"/>
    <row r="164" ht="15.95" customHeight="1"/>
    <row r="165" ht="15.95" customHeight="1"/>
    <row r="166" ht="15.95" customHeight="1"/>
    <row r="167" ht="15.95" customHeight="1"/>
    <row r="168" ht="15.95" customHeight="1"/>
    <row r="169" ht="15.95" customHeight="1"/>
    <row r="170" ht="15.95" customHeight="1"/>
    <row r="171" ht="15.95" customHeight="1"/>
    <row r="172" ht="15.95" customHeight="1"/>
    <row r="173" ht="15.95" customHeight="1"/>
    <row r="174" ht="15.95" customHeight="1"/>
    <row r="175" ht="15.95" customHeight="1"/>
    <row r="176" ht="15.95" customHeight="1"/>
  </sheetData>
  <mergeCells count="13">
    <mergeCell ref="A2:B2"/>
    <mergeCell ref="A3:A61"/>
    <mergeCell ref="A63:A70"/>
    <mergeCell ref="C17:D17"/>
    <mergeCell ref="C18:D18"/>
    <mergeCell ref="C19:D19"/>
    <mergeCell ref="C20:D20"/>
    <mergeCell ref="C21:D21"/>
    <mergeCell ref="C22:D22"/>
    <mergeCell ref="C23:D23"/>
    <mergeCell ref="C24:D24"/>
    <mergeCell ref="C27:D27"/>
    <mergeCell ref="C29:D29"/>
  </mergeCells>
  <phoneticPr fontId="3" type="noConversion"/>
  <pageMargins left="0.47244094488188981" right="0.23622047244094491" top="0.39370078740157483" bottom="0.35433070866141736" header="0.31496062992125984" footer="0.31496062992125984"/>
  <pageSetup paperSize="9" scale="70" orientation="portrait" horizontalDpi="1200" verticalDpi="12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9596-96A6-43E0-A586-ED7D194CCE4A}">
  <sheetPr codeName="Sheet9"/>
  <dimension ref="A1:M453"/>
  <sheetViews>
    <sheetView view="pageBreakPreview" zoomScale="80" zoomScaleNormal="85" workbookViewId="0">
      <pane xSplit="2" ySplit="2" topLeftCell="C190" activePane="bottomRight" state="frozen"/>
      <selection activeCell="F67" sqref="F67"/>
      <selection pane="topRight" activeCell="F67" sqref="F67"/>
      <selection pane="bottomLeft" activeCell="F67" sqref="F67"/>
      <selection pane="bottomRight" activeCell="G196" sqref="G196"/>
    </sheetView>
  </sheetViews>
  <sheetFormatPr defaultRowHeight="13.5"/>
  <cols>
    <col min="1" max="1" width="5" style="53" customWidth="1"/>
    <col min="2" max="2" width="17.875" style="53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9" style="227"/>
    <col min="11" max="11" width="10" style="227" bestFit="1" customWidth="1"/>
    <col min="12" max="13" width="9" style="227"/>
    <col min="14" max="16384" width="9" style="53"/>
  </cols>
  <sheetData>
    <row r="1" spans="1:13" ht="22.5" customHeight="1">
      <c r="A1" s="45" t="s">
        <v>118</v>
      </c>
      <c r="B1" s="45"/>
      <c r="C1" s="419" t="s">
        <v>996</v>
      </c>
      <c r="D1" s="262"/>
      <c r="E1" s="238"/>
      <c r="F1" s="22"/>
      <c r="G1" s="114"/>
      <c r="I1" s="230" t="s">
        <v>98</v>
      </c>
      <c r="J1" s="229"/>
      <c r="K1" s="229"/>
      <c r="L1" s="229"/>
      <c r="M1" s="229"/>
    </row>
    <row r="2" spans="1:13" s="119" customFormat="1" ht="16.5" customHeight="1">
      <c r="A2" s="964" t="s">
        <v>99</v>
      </c>
      <c r="B2" s="965"/>
      <c r="C2" s="359" t="s">
        <v>100</v>
      </c>
      <c r="D2" s="383" t="s">
        <v>101</v>
      </c>
      <c r="E2" s="383" t="s">
        <v>102</v>
      </c>
      <c r="F2" s="384" t="s">
        <v>103</v>
      </c>
      <c r="G2" s="384" t="s">
        <v>104</v>
      </c>
      <c r="H2" s="384" t="s">
        <v>105</v>
      </c>
      <c r="I2" s="385" t="s">
        <v>106</v>
      </c>
      <c r="J2" s="228"/>
      <c r="K2" s="228"/>
      <c r="L2" s="228"/>
      <c r="M2" s="228"/>
    </row>
    <row r="3" spans="1:13" ht="15.95" customHeight="1">
      <c r="A3" s="962" t="s">
        <v>62</v>
      </c>
      <c r="B3" s="341" t="s">
        <v>63</v>
      </c>
      <c r="C3" s="420" t="s">
        <v>217</v>
      </c>
      <c r="D3" s="420"/>
      <c r="E3" s="311" t="s">
        <v>218</v>
      </c>
      <c r="F3" s="415">
        <v>300</v>
      </c>
      <c r="G3" s="415">
        <v>1200</v>
      </c>
      <c r="H3" s="337">
        <f>IF(F3=0,G3,G3*F3)</f>
        <v>360000</v>
      </c>
      <c r="I3" s="386"/>
    </row>
    <row r="4" spans="1:13" ht="15.95" customHeight="1">
      <c r="A4" s="966"/>
      <c r="B4" s="341"/>
      <c r="C4" s="468" t="s">
        <v>280</v>
      </c>
      <c r="D4" s="469"/>
      <c r="E4" s="470" t="s">
        <v>281</v>
      </c>
      <c r="F4" s="471">
        <v>3</v>
      </c>
      <c r="G4" s="406">
        <v>12000</v>
      </c>
      <c r="H4" s="364">
        <f>IF(F4=0,G4,G4*F4)</f>
        <v>36000</v>
      </c>
      <c r="I4" s="387"/>
    </row>
    <row r="5" spans="1:13" ht="15.95" customHeight="1">
      <c r="A5" s="966"/>
      <c r="B5" s="341"/>
      <c r="C5" s="331"/>
      <c r="D5" s="425"/>
      <c r="E5" s="426"/>
      <c r="F5" s="427"/>
      <c r="G5" s="406"/>
      <c r="H5" s="320"/>
      <c r="I5" s="387"/>
    </row>
    <row r="6" spans="1:13" ht="15.95" customHeight="1">
      <c r="A6" s="966"/>
      <c r="B6" s="341"/>
      <c r="C6" s="331"/>
      <c r="D6" s="305"/>
      <c r="E6" s="426"/>
      <c r="F6" s="427"/>
      <c r="G6" s="406"/>
      <c r="H6" s="320"/>
      <c r="I6" s="387"/>
    </row>
    <row r="7" spans="1:13" ht="15.95" customHeight="1">
      <c r="A7" s="966"/>
      <c r="B7" s="341"/>
      <c r="C7" s="331"/>
      <c r="D7" s="305"/>
      <c r="E7" s="426"/>
      <c r="F7" s="473"/>
      <c r="G7" s="406"/>
      <c r="H7" s="320"/>
      <c r="I7" s="387"/>
    </row>
    <row r="8" spans="1:13" ht="15.95" customHeight="1">
      <c r="A8" s="966"/>
      <c r="B8" s="341"/>
      <c r="C8" s="331"/>
      <c r="D8" s="305"/>
      <c r="E8" s="426"/>
      <c r="F8" s="473"/>
      <c r="G8" s="406"/>
      <c r="H8" s="320"/>
      <c r="I8" s="387"/>
    </row>
    <row r="9" spans="1:13" ht="15.95" customHeight="1">
      <c r="A9" s="966"/>
      <c r="B9" s="341"/>
      <c r="C9" s="402" t="s">
        <v>56</v>
      </c>
      <c r="D9" s="402"/>
      <c r="E9" s="403" t="s">
        <v>218</v>
      </c>
      <c r="F9" s="336">
        <v>15</v>
      </c>
      <c r="G9" s="336">
        <v>10000</v>
      </c>
      <c r="H9" s="339">
        <f>IF(F9=0,G9,G9*F9)</f>
        <v>150000</v>
      </c>
      <c r="I9" s="388"/>
    </row>
    <row r="10" spans="1:13" ht="15.95" customHeight="1">
      <c r="A10" s="966"/>
      <c r="B10" s="342"/>
      <c r="C10" s="389"/>
      <c r="D10" s="390"/>
      <c r="E10" s="430"/>
      <c r="F10" s="431">
        <f>SUM(F3:F9)</f>
        <v>318</v>
      </c>
      <c r="G10" s="346"/>
      <c r="H10" s="347">
        <f>SUM(H3:H9)</f>
        <v>546000</v>
      </c>
      <c r="I10" s="392"/>
    </row>
    <row r="11" spans="1:13" ht="15.95" customHeight="1">
      <c r="A11" s="966"/>
      <c r="B11" s="349" t="s">
        <v>5</v>
      </c>
      <c r="C11" s="563"/>
      <c r="D11" s="564"/>
      <c r="E11" s="565"/>
      <c r="F11" s="493"/>
      <c r="G11" s="415"/>
      <c r="H11" s="337">
        <f>G11*F11</f>
        <v>0</v>
      </c>
      <c r="I11" s="418"/>
    </row>
    <row r="12" spans="1:13" ht="15.95" customHeight="1">
      <c r="A12" s="966"/>
      <c r="B12" s="341" t="s">
        <v>8</v>
      </c>
      <c r="C12" s="566"/>
      <c r="D12" s="447"/>
      <c r="E12" s="315"/>
      <c r="F12" s="444"/>
      <c r="G12" s="319"/>
      <c r="H12" s="320">
        <f>IF(F12=0,G12,G12*F12)</f>
        <v>0</v>
      </c>
      <c r="I12" s="544"/>
    </row>
    <row r="13" spans="1:13" ht="15.95" customHeight="1">
      <c r="A13" s="966"/>
      <c r="B13" s="773" t="s">
        <v>554</v>
      </c>
      <c r="C13" s="753" t="s">
        <v>638</v>
      </c>
      <c r="D13" s="753" t="s">
        <v>639</v>
      </c>
      <c r="E13" s="800" t="s">
        <v>557</v>
      </c>
      <c r="F13" s="801">
        <v>2</v>
      </c>
      <c r="G13" s="802">
        <v>47800</v>
      </c>
      <c r="H13" s="320">
        <f t="shared" ref="H13:H135" si="0">IF(F13=0,G13,G13*F13)</f>
        <v>95600</v>
      </c>
      <c r="I13" s="544" t="s">
        <v>1542</v>
      </c>
    </row>
    <row r="14" spans="1:13" ht="15.95" customHeight="1">
      <c r="A14" s="966"/>
      <c r="B14" s="773" t="s">
        <v>1088</v>
      </c>
      <c r="C14" s="753" t="s">
        <v>640</v>
      </c>
      <c r="D14" s="753" t="s">
        <v>641</v>
      </c>
      <c r="E14" s="800" t="s">
        <v>557</v>
      </c>
      <c r="F14" s="800">
        <v>2</v>
      </c>
      <c r="G14" s="802">
        <v>16500</v>
      </c>
      <c r="H14" s="320">
        <f t="shared" si="0"/>
        <v>33000</v>
      </c>
      <c r="I14" s="544" t="s">
        <v>1542</v>
      </c>
    </row>
    <row r="15" spans="1:13" ht="15.95" customHeight="1">
      <c r="A15" s="966"/>
      <c r="B15" s="773"/>
      <c r="C15" s="753" t="s">
        <v>997</v>
      </c>
      <c r="D15" s="753" t="s">
        <v>998</v>
      </c>
      <c r="E15" s="800" t="s">
        <v>557</v>
      </c>
      <c r="F15" s="800">
        <v>2</v>
      </c>
      <c r="G15" s="802">
        <v>8900</v>
      </c>
      <c r="H15" s="320">
        <f t="shared" si="0"/>
        <v>17800</v>
      </c>
      <c r="I15" s="544" t="s">
        <v>1543</v>
      </c>
    </row>
    <row r="16" spans="1:13" ht="15.95" customHeight="1">
      <c r="A16" s="966"/>
      <c r="B16" s="773"/>
      <c r="C16" s="753" t="s">
        <v>616</v>
      </c>
      <c r="D16" s="753" t="s">
        <v>999</v>
      </c>
      <c r="E16" s="800" t="s">
        <v>557</v>
      </c>
      <c r="F16" s="800">
        <v>1</v>
      </c>
      <c r="G16" s="802">
        <v>125000</v>
      </c>
      <c r="H16" s="320">
        <f t="shared" si="0"/>
        <v>125000</v>
      </c>
      <c r="I16" s="544" t="s">
        <v>1543</v>
      </c>
    </row>
    <row r="17" spans="1:9" ht="15.95" customHeight="1">
      <c r="A17" s="966"/>
      <c r="B17" s="773"/>
      <c r="C17" s="753" t="s">
        <v>644</v>
      </c>
      <c r="D17" s="753" t="s">
        <v>1000</v>
      </c>
      <c r="E17" s="800" t="s">
        <v>557</v>
      </c>
      <c r="F17" s="800">
        <v>1</v>
      </c>
      <c r="G17" s="802">
        <v>94500</v>
      </c>
      <c r="H17" s="320">
        <f t="shared" si="0"/>
        <v>94500</v>
      </c>
      <c r="I17" s="544" t="s">
        <v>1544</v>
      </c>
    </row>
    <row r="18" spans="1:9" ht="15.95" customHeight="1">
      <c r="A18" s="966"/>
      <c r="B18" s="773"/>
      <c r="C18" s="753" t="s">
        <v>1001</v>
      </c>
      <c r="D18" s="753" t="s">
        <v>1002</v>
      </c>
      <c r="E18" s="800" t="s">
        <v>557</v>
      </c>
      <c r="F18" s="800">
        <v>2</v>
      </c>
      <c r="G18" s="802">
        <v>10800</v>
      </c>
      <c r="H18" s="320">
        <f t="shared" si="0"/>
        <v>21600</v>
      </c>
      <c r="I18" s="544" t="s">
        <v>1545</v>
      </c>
    </row>
    <row r="19" spans="1:9" ht="15.95" customHeight="1">
      <c r="A19" s="966"/>
      <c r="B19" s="773"/>
      <c r="C19" s="753" t="s">
        <v>1003</v>
      </c>
      <c r="D19" s="753" t="s">
        <v>1004</v>
      </c>
      <c r="E19" s="800" t="s">
        <v>557</v>
      </c>
      <c r="F19" s="800">
        <v>2</v>
      </c>
      <c r="G19" s="802">
        <v>400000</v>
      </c>
      <c r="H19" s="320">
        <f t="shared" si="0"/>
        <v>800000</v>
      </c>
      <c r="I19" s="544" t="s">
        <v>1546</v>
      </c>
    </row>
    <row r="20" spans="1:9" ht="15.95" customHeight="1">
      <c r="A20" s="966"/>
      <c r="B20" s="773"/>
      <c r="C20" s="753" t="s">
        <v>1005</v>
      </c>
      <c r="D20" s="753" t="s">
        <v>1006</v>
      </c>
      <c r="E20" s="800" t="s">
        <v>557</v>
      </c>
      <c r="F20" s="800">
        <v>1</v>
      </c>
      <c r="G20" s="802">
        <v>560</v>
      </c>
      <c r="H20" s="320">
        <f t="shared" si="0"/>
        <v>560</v>
      </c>
      <c r="I20" s="544" t="s">
        <v>1547</v>
      </c>
    </row>
    <row r="21" spans="1:9" ht="15.95" customHeight="1">
      <c r="A21" s="966"/>
      <c r="B21" s="773"/>
      <c r="C21" s="753"/>
      <c r="D21" s="753"/>
      <c r="E21" s="800"/>
      <c r="F21" s="801"/>
      <c r="G21" s="802"/>
      <c r="H21" s="320">
        <f t="shared" si="0"/>
        <v>0</v>
      </c>
      <c r="I21" s="544"/>
    </row>
    <row r="22" spans="1:9" ht="15.95" customHeight="1">
      <c r="A22" s="966"/>
      <c r="B22" s="773" t="s">
        <v>1089</v>
      </c>
      <c r="C22" s="753" t="s">
        <v>1007</v>
      </c>
      <c r="D22" s="753" t="s">
        <v>1008</v>
      </c>
      <c r="E22" s="800" t="s">
        <v>557</v>
      </c>
      <c r="F22" s="801">
        <v>1</v>
      </c>
      <c r="G22" s="802">
        <v>16000</v>
      </c>
      <c r="H22" s="320">
        <f t="shared" si="0"/>
        <v>16000</v>
      </c>
      <c r="I22" s="544" t="s">
        <v>1548</v>
      </c>
    </row>
    <row r="23" spans="1:9" ht="15.95" customHeight="1">
      <c r="A23" s="966"/>
      <c r="B23" s="773"/>
      <c r="C23" s="753" t="s">
        <v>1009</v>
      </c>
      <c r="D23" s="753" t="s">
        <v>1010</v>
      </c>
      <c r="E23" s="800" t="s">
        <v>557</v>
      </c>
      <c r="F23" s="800">
        <v>2</v>
      </c>
      <c r="G23" s="802">
        <v>17000</v>
      </c>
      <c r="H23" s="320">
        <f t="shared" si="0"/>
        <v>34000</v>
      </c>
      <c r="I23" s="544" t="s">
        <v>1549</v>
      </c>
    </row>
    <row r="24" spans="1:9" ht="15.95" customHeight="1">
      <c r="A24" s="966"/>
      <c r="B24" s="773"/>
      <c r="C24" s="753" t="s">
        <v>1007</v>
      </c>
      <c r="D24" s="753" t="s">
        <v>1011</v>
      </c>
      <c r="E24" s="800" t="s">
        <v>557</v>
      </c>
      <c r="F24" s="800">
        <v>1</v>
      </c>
      <c r="G24" s="802">
        <v>11900</v>
      </c>
      <c r="H24" s="320">
        <f t="shared" si="0"/>
        <v>11900</v>
      </c>
      <c r="I24" s="544" t="s">
        <v>1548</v>
      </c>
    </row>
    <row r="25" spans="1:9" ht="15.95" customHeight="1">
      <c r="A25" s="966"/>
      <c r="B25" s="773"/>
      <c r="C25" s="753" t="s">
        <v>1012</v>
      </c>
      <c r="D25" s="753" t="s">
        <v>1013</v>
      </c>
      <c r="E25" s="800" t="s">
        <v>557</v>
      </c>
      <c r="F25" s="800">
        <v>1</v>
      </c>
      <c r="G25" s="802">
        <v>14400</v>
      </c>
      <c r="H25" s="320">
        <f t="shared" si="0"/>
        <v>14400</v>
      </c>
      <c r="I25" s="544" t="s">
        <v>1550</v>
      </c>
    </row>
    <row r="26" spans="1:9" ht="15.95" customHeight="1">
      <c r="A26" s="966"/>
      <c r="B26" s="773"/>
      <c r="C26" s="753" t="s">
        <v>1014</v>
      </c>
      <c r="D26" s="753" t="s">
        <v>1015</v>
      </c>
      <c r="E26" s="800" t="s">
        <v>557</v>
      </c>
      <c r="F26" s="800">
        <v>1</v>
      </c>
      <c r="G26" s="802">
        <v>654000</v>
      </c>
      <c r="H26" s="320">
        <f t="shared" si="0"/>
        <v>654000</v>
      </c>
      <c r="I26" s="544" t="s">
        <v>1551</v>
      </c>
    </row>
    <row r="27" spans="1:9" ht="15.95" customHeight="1">
      <c r="A27" s="966"/>
      <c r="B27" s="773"/>
      <c r="C27" s="753" t="s">
        <v>1016</v>
      </c>
      <c r="D27" s="753" t="s">
        <v>1017</v>
      </c>
      <c r="E27" s="800" t="s">
        <v>557</v>
      </c>
      <c r="F27" s="800">
        <v>1</v>
      </c>
      <c r="G27" s="802">
        <v>34000</v>
      </c>
      <c r="H27" s="320">
        <f t="shared" si="0"/>
        <v>34000</v>
      </c>
      <c r="I27" s="544" t="s">
        <v>1553</v>
      </c>
    </row>
    <row r="28" spans="1:9" ht="15.95" customHeight="1">
      <c r="A28" s="966"/>
      <c r="B28" s="773"/>
      <c r="C28" s="753" t="s">
        <v>1018</v>
      </c>
      <c r="D28" s="753" t="s">
        <v>1019</v>
      </c>
      <c r="E28" s="800" t="s">
        <v>557</v>
      </c>
      <c r="F28" s="800">
        <v>1</v>
      </c>
      <c r="G28" s="802">
        <v>108000</v>
      </c>
      <c r="H28" s="320">
        <f t="shared" si="0"/>
        <v>108000</v>
      </c>
      <c r="I28" s="544" t="s">
        <v>1554</v>
      </c>
    </row>
    <row r="29" spans="1:9" ht="15.95" customHeight="1">
      <c r="A29" s="966"/>
      <c r="B29" s="773"/>
      <c r="C29" s="753" t="s">
        <v>644</v>
      </c>
      <c r="D29" s="753" t="s">
        <v>1020</v>
      </c>
      <c r="E29" s="800" t="s">
        <v>557</v>
      </c>
      <c r="F29" s="800">
        <v>1</v>
      </c>
      <c r="G29" s="802">
        <v>96000</v>
      </c>
      <c r="H29" s="320">
        <f t="shared" si="0"/>
        <v>96000</v>
      </c>
      <c r="I29" s="544" t="s">
        <v>1543</v>
      </c>
    </row>
    <row r="30" spans="1:9" ht="15.95" customHeight="1">
      <c r="A30" s="966"/>
      <c r="B30" s="773"/>
      <c r="C30" s="753" t="s">
        <v>616</v>
      </c>
      <c r="D30" s="753" t="s">
        <v>1021</v>
      </c>
      <c r="E30" s="800" t="s">
        <v>557</v>
      </c>
      <c r="F30" s="800">
        <v>1</v>
      </c>
      <c r="G30" s="802">
        <v>223200</v>
      </c>
      <c r="H30" s="320">
        <f t="shared" si="0"/>
        <v>223200</v>
      </c>
      <c r="I30" s="544" t="s">
        <v>1543</v>
      </c>
    </row>
    <row r="31" spans="1:9" ht="15.95" customHeight="1">
      <c r="A31" s="966"/>
      <c r="B31" s="773"/>
      <c r="C31" s="753" t="s">
        <v>1022</v>
      </c>
      <c r="D31" s="753" t="s">
        <v>1023</v>
      </c>
      <c r="E31" s="800" t="s">
        <v>557</v>
      </c>
      <c r="F31" s="800">
        <v>2</v>
      </c>
      <c r="G31" s="802">
        <v>12500</v>
      </c>
      <c r="H31" s="320">
        <f t="shared" si="0"/>
        <v>25000</v>
      </c>
      <c r="I31" s="544" t="s">
        <v>1543</v>
      </c>
    </row>
    <row r="32" spans="1:9" ht="15.95" customHeight="1">
      <c r="A32" s="966"/>
      <c r="B32" s="773"/>
      <c r="C32" s="753" t="s">
        <v>620</v>
      </c>
      <c r="D32" s="775" t="s">
        <v>1024</v>
      </c>
      <c r="E32" s="800" t="s">
        <v>557</v>
      </c>
      <c r="F32" s="800">
        <v>2</v>
      </c>
      <c r="G32" s="802">
        <v>206800</v>
      </c>
      <c r="H32" s="320">
        <f t="shared" si="0"/>
        <v>413600</v>
      </c>
      <c r="I32" s="544" t="s">
        <v>1552</v>
      </c>
    </row>
    <row r="33" spans="1:9" ht="15.95" customHeight="1">
      <c r="A33" s="966"/>
      <c r="B33" s="773"/>
      <c r="C33" s="753"/>
      <c r="D33" s="775"/>
      <c r="E33" s="800"/>
      <c r="F33" s="801"/>
      <c r="G33" s="802"/>
      <c r="H33" s="320">
        <f t="shared" si="0"/>
        <v>0</v>
      </c>
      <c r="I33" s="544"/>
    </row>
    <row r="34" spans="1:9" ht="15.95" customHeight="1">
      <c r="A34" s="966"/>
      <c r="B34" s="773" t="s">
        <v>1090</v>
      </c>
      <c r="C34" s="809" t="s">
        <v>853</v>
      </c>
      <c r="D34" s="782" t="s">
        <v>1025</v>
      </c>
      <c r="E34" s="800" t="s">
        <v>557</v>
      </c>
      <c r="F34" s="810">
        <v>1</v>
      </c>
      <c r="G34" s="811">
        <v>78900</v>
      </c>
      <c r="H34" s="320">
        <f t="shared" si="0"/>
        <v>78900</v>
      </c>
      <c r="I34" s="544" t="s">
        <v>1554</v>
      </c>
    </row>
    <row r="35" spans="1:9" ht="15.95" customHeight="1">
      <c r="A35" s="966"/>
      <c r="B35" s="773"/>
      <c r="C35" s="809" t="s">
        <v>867</v>
      </c>
      <c r="D35" s="782" t="s">
        <v>868</v>
      </c>
      <c r="E35" s="800" t="s">
        <v>557</v>
      </c>
      <c r="F35" s="800">
        <v>1</v>
      </c>
      <c r="G35" s="811">
        <v>288800</v>
      </c>
      <c r="H35" s="320">
        <f t="shared" si="0"/>
        <v>288800</v>
      </c>
      <c r="I35" s="544" t="s">
        <v>1554</v>
      </c>
    </row>
    <row r="36" spans="1:9" ht="15.95" customHeight="1">
      <c r="A36" s="966"/>
      <c r="B36" s="773"/>
      <c r="C36" s="809" t="s">
        <v>655</v>
      </c>
      <c r="D36" s="782" t="s">
        <v>1026</v>
      </c>
      <c r="E36" s="800" t="s">
        <v>557</v>
      </c>
      <c r="F36" s="800">
        <v>2</v>
      </c>
      <c r="G36" s="811">
        <v>2500</v>
      </c>
      <c r="H36" s="320">
        <f t="shared" si="0"/>
        <v>5000</v>
      </c>
      <c r="I36" s="544" t="s">
        <v>1555</v>
      </c>
    </row>
    <row r="37" spans="1:9" ht="15.95" customHeight="1">
      <c r="A37" s="966"/>
      <c r="B37" s="773"/>
      <c r="C37" s="809" t="s">
        <v>1027</v>
      </c>
      <c r="D37" s="782" t="s">
        <v>858</v>
      </c>
      <c r="E37" s="800" t="s">
        <v>557</v>
      </c>
      <c r="F37" s="800">
        <v>1</v>
      </c>
      <c r="G37" s="811">
        <v>14000</v>
      </c>
      <c r="H37" s="320">
        <f t="shared" si="0"/>
        <v>14000</v>
      </c>
      <c r="I37" s="544" t="s">
        <v>1550</v>
      </c>
    </row>
    <row r="38" spans="1:9" ht="15.95" customHeight="1">
      <c r="A38" s="966"/>
      <c r="B38" s="773"/>
      <c r="C38" s="809" t="s">
        <v>638</v>
      </c>
      <c r="D38" s="782" t="s">
        <v>639</v>
      </c>
      <c r="E38" s="800" t="s">
        <v>557</v>
      </c>
      <c r="F38" s="800">
        <v>2</v>
      </c>
      <c r="G38" s="811">
        <v>44800</v>
      </c>
      <c r="H38" s="320">
        <f t="shared" si="0"/>
        <v>89600</v>
      </c>
      <c r="I38" s="544" t="s">
        <v>1542</v>
      </c>
    </row>
    <row r="39" spans="1:9" ht="15.95" customHeight="1">
      <c r="A39" s="966"/>
      <c r="B39" s="773"/>
      <c r="C39" s="809" t="s">
        <v>640</v>
      </c>
      <c r="D39" s="782" t="s">
        <v>1028</v>
      </c>
      <c r="E39" s="800" t="s">
        <v>557</v>
      </c>
      <c r="F39" s="800">
        <v>5</v>
      </c>
      <c r="G39" s="811">
        <v>16800</v>
      </c>
      <c r="H39" s="320">
        <f t="shared" si="0"/>
        <v>84000</v>
      </c>
      <c r="I39" s="544" t="s">
        <v>1542</v>
      </c>
    </row>
    <row r="40" spans="1:9" ht="15.95" customHeight="1">
      <c r="A40" s="966"/>
      <c r="B40" s="773"/>
      <c r="C40" s="809" t="s">
        <v>623</v>
      </c>
      <c r="D40" s="782" t="s">
        <v>1029</v>
      </c>
      <c r="E40" s="800" t="s">
        <v>557</v>
      </c>
      <c r="F40" s="800">
        <v>2</v>
      </c>
      <c r="G40" s="811">
        <v>8990</v>
      </c>
      <c r="H40" s="320">
        <f t="shared" si="0"/>
        <v>17980</v>
      </c>
      <c r="I40" s="544" t="s">
        <v>1554</v>
      </c>
    </row>
    <row r="41" spans="1:9" ht="15.95" customHeight="1">
      <c r="A41" s="966"/>
      <c r="B41" s="773"/>
      <c r="C41" s="809" t="s">
        <v>620</v>
      </c>
      <c r="D41" s="782" t="s">
        <v>1030</v>
      </c>
      <c r="E41" s="800" t="s">
        <v>557</v>
      </c>
      <c r="F41" s="800">
        <v>2</v>
      </c>
      <c r="G41" s="811">
        <v>310000</v>
      </c>
      <c r="H41" s="320">
        <f t="shared" si="0"/>
        <v>620000</v>
      </c>
      <c r="I41" s="544" t="s">
        <v>1552</v>
      </c>
    </row>
    <row r="42" spans="1:9" ht="15.95" customHeight="1">
      <c r="A42" s="966"/>
      <c r="B42" s="773"/>
      <c r="C42" s="809" t="s">
        <v>620</v>
      </c>
      <c r="D42" s="782" t="s">
        <v>1031</v>
      </c>
      <c r="E42" s="800" t="s">
        <v>557</v>
      </c>
      <c r="F42" s="800">
        <v>2</v>
      </c>
      <c r="G42" s="811">
        <v>309000</v>
      </c>
      <c r="H42" s="320">
        <f t="shared" si="0"/>
        <v>618000</v>
      </c>
      <c r="I42" s="544" t="s">
        <v>1552</v>
      </c>
    </row>
    <row r="43" spans="1:9" ht="15.95" customHeight="1">
      <c r="A43" s="966"/>
      <c r="B43" s="773"/>
      <c r="C43" s="809" t="s">
        <v>616</v>
      </c>
      <c r="D43" s="782" t="s">
        <v>1032</v>
      </c>
      <c r="E43" s="800" t="s">
        <v>557</v>
      </c>
      <c r="F43" s="800">
        <v>1</v>
      </c>
      <c r="G43" s="811">
        <v>389000</v>
      </c>
      <c r="H43" s="320">
        <f t="shared" si="0"/>
        <v>389000</v>
      </c>
      <c r="I43" s="544" t="s">
        <v>1543</v>
      </c>
    </row>
    <row r="44" spans="1:9" ht="15.95" customHeight="1">
      <c r="A44" s="966"/>
      <c r="B44" s="773"/>
      <c r="C44" s="809" t="s">
        <v>1033</v>
      </c>
      <c r="D44" s="782" t="s">
        <v>647</v>
      </c>
      <c r="E44" s="800" t="s">
        <v>557</v>
      </c>
      <c r="F44" s="800">
        <v>2</v>
      </c>
      <c r="G44" s="811">
        <v>12450</v>
      </c>
      <c r="H44" s="320">
        <f t="shared" si="0"/>
        <v>24900</v>
      </c>
      <c r="I44" s="544" t="s">
        <v>1543</v>
      </c>
    </row>
    <row r="45" spans="1:9" ht="15.95" customHeight="1">
      <c r="A45" s="966"/>
      <c r="B45" s="773"/>
      <c r="C45" s="809" t="s">
        <v>644</v>
      </c>
      <c r="D45" s="782" t="s">
        <v>1034</v>
      </c>
      <c r="E45" s="800" t="s">
        <v>557</v>
      </c>
      <c r="F45" s="800">
        <v>1</v>
      </c>
      <c r="G45" s="811">
        <v>61400</v>
      </c>
      <c r="H45" s="320">
        <f t="shared" si="0"/>
        <v>61400</v>
      </c>
      <c r="I45" s="544" t="s">
        <v>1543</v>
      </c>
    </row>
    <row r="46" spans="1:9" ht="15.95" customHeight="1">
      <c r="A46" s="966"/>
      <c r="B46" s="773"/>
      <c r="C46" s="809" t="s">
        <v>1035</v>
      </c>
      <c r="D46" s="782" t="s">
        <v>1036</v>
      </c>
      <c r="E46" s="800" t="s">
        <v>557</v>
      </c>
      <c r="F46" s="800">
        <v>1</v>
      </c>
      <c r="G46" s="811">
        <v>478000</v>
      </c>
      <c r="H46" s="320">
        <f t="shared" si="0"/>
        <v>478000</v>
      </c>
      <c r="I46" s="544" t="s">
        <v>1556</v>
      </c>
    </row>
    <row r="47" spans="1:9" ht="15.95" customHeight="1">
      <c r="A47" s="966"/>
      <c r="B47" s="773"/>
      <c r="C47" s="809" t="s">
        <v>1007</v>
      </c>
      <c r="D47" s="782" t="s">
        <v>1037</v>
      </c>
      <c r="E47" s="800" t="s">
        <v>557</v>
      </c>
      <c r="F47" s="800">
        <v>1</v>
      </c>
      <c r="G47" s="811">
        <v>7800</v>
      </c>
      <c r="H47" s="320">
        <f t="shared" si="0"/>
        <v>7800</v>
      </c>
      <c r="I47" s="544" t="s">
        <v>1548</v>
      </c>
    </row>
    <row r="48" spans="1:9" ht="15.95" customHeight="1">
      <c r="A48" s="966"/>
      <c r="B48" s="773"/>
      <c r="C48" s="809" t="s">
        <v>1009</v>
      </c>
      <c r="D48" s="782" t="s">
        <v>1038</v>
      </c>
      <c r="E48" s="800" t="s">
        <v>557</v>
      </c>
      <c r="F48" s="800">
        <v>2</v>
      </c>
      <c r="G48" s="811">
        <v>45000</v>
      </c>
      <c r="H48" s="320">
        <f t="shared" si="0"/>
        <v>90000</v>
      </c>
      <c r="I48" s="544" t="s">
        <v>1555</v>
      </c>
    </row>
    <row r="49" spans="1:9" ht="15.95" customHeight="1">
      <c r="A49" s="966"/>
      <c r="B49" s="773"/>
      <c r="C49" s="809" t="s">
        <v>1039</v>
      </c>
      <c r="D49" s="782" t="s">
        <v>1040</v>
      </c>
      <c r="E49" s="800" t="s">
        <v>557</v>
      </c>
      <c r="F49" s="800">
        <v>1</v>
      </c>
      <c r="G49" s="811">
        <v>15000</v>
      </c>
      <c r="H49" s="320">
        <f t="shared" si="0"/>
        <v>15000</v>
      </c>
      <c r="I49" s="544" t="s">
        <v>1553</v>
      </c>
    </row>
    <row r="50" spans="1:9" ht="15.95" customHeight="1">
      <c r="A50" s="966"/>
      <c r="B50" s="773"/>
      <c r="C50" s="809" t="s">
        <v>859</v>
      </c>
      <c r="D50" s="782" t="s">
        <v>1041</v>
      </c>
      <c r="E50" s="800" t="s">
        <v>557</v>
      </c>
      <c r="F50" s="800">
        <v>2</v>
      </c>
      <c r="G50" s="811">
        <v>4399</v>
      </c>
      <c r="H50" s="320">
        <f t="shared" si="0"/>
        <v>8798</v>
      </c>
      <c r="I50" s="544" t="s">
        <v>1554</v>
      </c>
    </row>
    <row r="51" spans="1:9" ht="15.95" customHeight="1">
      <c r="A51" s="966"/>
      <c r="B51" s="773"/>
      <c r="C51" s="809" t="s">
        <v>1012</v>
      </c>
      <c r="D51" s="782" t="s">
        <v>1042</v>
      </c>
      <c r="E51" s="800" t="s">
        <v>557</v>
      </c>
      <c r="F51" s="800">
        <v>1</v>
      </c>
      <c r="G51" s="811">
        <v>6300</v>
      </c>
      <c r="H51" s="320">
        <f t="shared" si="0"/>
        <v>6300</v>
      </c>
      <c r="I51" s="544" t="s">
        <v>1550</v>
      </c>
    </row>
    <row r="52" spans="1:9" ht="15.95" customHeight="1">
      <c r="A52" s="966"/>
      <c r="B52" s="773"/>
      <c r="C52" s="809" t="s">
        <v>1043</v>
      </c>
      <c r="D52" s="782" t="s">
        <v>1044</v>
      </c>
      <c r="E52" s="800" t="s">
        <v>557</v>
      </c>
      <c r="F52" s="800">
        <v>1</v>
      </c>
      <c r="G52" s="811">
        <v>589000</v>
      </c>
      <c r="H52" s="320">
        <f t="shared" si="0"/>
        <v>589000</v>
      </c>
      <c r="I52" s="544" t="s">
        <v>1557</v>
      </c>
    </row>
    <row r="53" spans="1:9" ht="15.95" customHeight="1">
      <c r="A53" s="966"/>
      <c r="B53" s="773"/>
      <c r="C53" s="809" t="s">
        <v>620</v>
      </c>
      <c r="D53" s="782" t="s">
        <v>1045</v>
      </c>
      <c r="E53" s="800" t="s">
        <v>557</v>
      </c>
      <c r="F53" s="800">
        <v>1</v>
      </c>
      <c r="G53" s="811">
        <v>543000</v>
      </c>
      <c r="H53" s="320">
        <f t="shared" si="0"/>
        <v>543000</v>
      </c>
      <c r="I53" s="544" t="s">
        <v>1552</v>
      </c>
    </row>
    <row r="54" spans="1:9" ht="15.95" customHeight="1">
      <c r="A54" s="966"/>
      <c r="B54" s="773"/>
      <c r="C54" s="809" t="s">
        <v>1046</v>
      </c>
      <c r="D54" s="812" t="s">
        <v>1047</v>
      </c>
      <c r="E54" s="800" t="s">
        <v>557</v>
      </c>
      <c r="F54" s="800">
        <v>1</v>
      </c>
      <c r="G54" s="811">
        <v>72450</v>
      </c>
      <c r="H54" s="320">
        <f t="shared" si="0"/>
        <v>72450</v>
      </c>
      <c r="I54" s="544" t="s">
        <v>1558</v>
      </c>
    </row>
    <row r="55" spans="1:9" ht="15.95" customHeight="1">
      <c r="A55" s="966"/>
      <c r="B55" s="773"/>
      <c r="C55" s="809" t="s">
        <v>638</v>
      </c>
      <c r="D55" s="782" t="s">
        <v>1048</v>
      </c>
      <c r="E55" s="800" t="s">
        <v>557</v>
      </c>
      <c r="F55" s="800">
        <v>3</v>
      </c>
      <c r="G55" s="811">
        <v>27800</v>
      </c>
      <c r="H55" s="320">
        <f t="shared" si="0"/>
        <v>83400</v>
      </c>
      <c r="I55" s="544" t="s">
        <v>1542</v>
      </c>
    </row>
    <row r="56" spans="1:9" ht="15.95" customHeight="1">
      <c r="A56" s="966"/>
      <c r="B56" s="773"/>
      <c r="C56" s="809" t="s">
        <v>1049</v>
      </c>
      <c r="D56" s="782" t="s">
        <v>1050</v>
      </c>
      <c r="E56" s="800" t="s">
        <v>557</v>
      </c>
      <c r="F56" s="800">
        <v>2</v>
      </c>
      <c r="G56" s="811">
        <v>72000</v>
      </c>
      <c r="H56" s="320">
        <f t="shared" si="0"/>
        <v>144000</v>
      </c>
      <c r="I56" s="544" t="s">
        <v>1559</v>
      </c>
    </row>
    <row r="57" spans="1:9" ht="15.95" customHeight="1">
      <c r="A57" s="966"/>
      <c r="B57" s="773"/>
      <c r="C57" s="809" t="s">
        <v>1052</v>
      </c>
      <c r="D57" s="782" t="s">
        <v>1053</v>
      </c>
      <c r="E57" s="800" t="s">
        <v>557</v>
      </c>
      <c r="F57" s="800">
        <v>8</v>
      </c>
      <c r="G57" s="811">
        <v>13633</v>
      </c>
      <c r="H57" s="320">
        <f t="shared" si="0"/>
        <v>109064</v>
      </c>
      <c r="I57" s="544" t="s">
        <v>1554</v>
      </c>
    </row>
    <row r="58" spans="1:9" ht="15.95" customHeight="1">
      <c r="A58" s="966"/>
      <c r="B58" s="773"/>
      <c r="C58" s="809" t="s">
        <v>1054</v>
      </c>
      <c r="D58" s="782" t="s">
        <v>1055</v>
      </c>
      <c r="E58" s="800" t="s">
        <v>557</v>
      </c>
      <c r="F58" s="800">
        <v>8</v>
      </c>
      <c r="G58" s="811">
        <v>5200</v>
      </c>
      <c r="H58" s="320">
        <f t="shared" si="0"/>
        <v>41600</v>
      </c>
      <c r="I58" s="544" t="s">
        <v>1554</v>
      </c>
    </row>
    <row r="59" spans="1:9" ht="15.95" customHeight="1">
      <c r="A59" s="966"/>
      <c r="B59" s="773"/>
      <c r="C59" s="809" t="s">
        <v>859</v>
      </c>
      <c r="D59" s="782" t="s">
        <v>1056</v>
      </c>
      <c r="E59" s="800" t="s">
        <v>557</v>
      </c>
      <c r="F59" s="800">
        <v>1</v>
      </c>
      <c r="G59" s="811">
        <v>4399</v>
      </c>
      <c r="H59" s="320">
        <f t="shared" si="0"/>
        <v>4399</v>
      </c>
      <c r="I59" s="544" t="s">
        <v>1554</v>
      </c>
    </row>
    <row r="60" spans="1:9" ht="15.95" customHeight="1">
      <c r="A60" s="966"/>
      <c r="B60" s="773"/>
      <c r="C60" s="809" t="s">
        <v>1057</v>
      </c>
      <c r="D60" s="782" t="s">
        <v>1058</v>
      </c>
      <c r="E60" s="800" t="s">
        <v>1059</v>
      </c>
      <c r="F60" s="800">
        <v>1</v>
      </c>
      <c r="G60" s="811">
        <v>350000</v>
      </c>
      <c r="H60" s="320">
        <f t="shared" si="0"/>
        <v>350000</v>
      </c>
      <c r="I60" s="544" t="s">
        <v>1560</v>
      </c>
    </row>
    <row r="61" spans="1:9" ht="15.95" customHeight="1">
      <c r="A61" s="966"/>
      <c r="B61" s="773"/>
      <c r="C61" s="809" t="s">
        <v>1007</v>
      </c>
      <c r="D61" s="782" t="s">
        <v>1060</v>
      </c>
      <c r="E61" s="800" t="s">
        <v>557</v>
      </c>
      <c r="F61" s="800">
        <v>1</v>
      </c>
      <c r="G61" s="811">
        <v>8000</v>
      </c>
      <c r="H61" s="320">
        <f t="shared" si="0"/>
        <v>8000</v>
      </c>
      <c r="I61" s="544" t="s">
        <v>1548</v>
      </c>
    </row>
    <row r="62" spans="1:9" ht="15.95" customHeight="1">
      <c r="A62" s="966"/>
      <c r="B62" s="773"/>
      <c r="C62" s="809" t="s">
        <v>620</v>
      </c>
      <c r="D62" s="782" t="s">
        <v>1061</v>
      </c>
      <c r="E62" s="800" t="s">
        <v>557</v>
      </c>
      <c r="F62" s="800">
        <v>1</v>
      </c>
      <c r="G62" s="811">
        <v>355000</v>
      </c>
      <c r="H62" s="320">
        <f t="shared" si="0"/>
        <v>355000</v>
      </c>
      <c r="I62" s="544" t="s">
        <v>1552</v>
      </c>
    </row>
    <row r="63" spans="1:9" ht="15.95" customHeight="1">
      <c r="A63" s="966"/>
      <c r="B63" s="773"/>
      <c r="C63" s="809"/>
      <c r="D63" s="782"/>
      <c r="E63" s="800"/>
      <c r="F63" s="810"/>
      <c r="G63" s="811"/>
      <c r="H63" s="320">
        <f t="shared" si="0"/>
        <v>0</v>
      </c>
      <c r="I63" s="544"/>
    </row>
    <row r="64" spans="1:9" ht="15.95" customHeight="1">
      <c r="A64" s="966"/>
      <c r="B64" s="796" t="s">
        <v>565</v>
      </c>
      <c r="C64" s="809" t="s">
        <v>873</v>
      </c>
      <c r="D64" s="782" t="s">
        <v>1062</v>
      </c>
      <c r="E64" s="800" t="s">
        <v>557</v>
      </c>
      <c r="F64" s="810">
        <v>4</v>
      </c>
      <c r="G64" s="811">
        <v>1170</v>
      </c>
      <c r="H64" s="320">
        <f t="shared" si="0"/>
        <v>4680</v>
      </c>
      <c r="I64" s="544" t="s">
        <v>1554</v>
      </c>
    </row>
    <row r="65" spans="1:9" ht="15.95" customHeight="1">
      <c r="A65" s="966"/>
      <c r="B65" s="773" t="s">
        <v>1091</v>
      </c>
      <c r="C65" s="809" t="s">
        <v>1063</v>
      </c>
      <c r="D65" s="782" t="s">
        <v>1064</v>
      </c>
      <c r="E65" s="800" t="s">
        <v>557</v>
      </c>
      <c r="F65" s="800">
        <v>4</v>
      </c>
      <c r="G65" s="811">
        <v>1200000</v>
      </c>
      <c r="H65" s="320">
        <f t="shared" si="0"/>
        <v>4800000</v>
      </c>
      <c r="I65" s="544" t="s">
        <v>1561</v>
      </c>
    </row>
    <row r="66" spans="1:9" ht="15.95" customHeight="1">
      <c r="A66" s="966"/>
      <c r="B66" s="773"/>
      <c r="C66" s="809" t="s">
        <v>1065</v>
      </c>
      <c r="D66" s="782" t="s">
        <v>1066</v>
      </c>
      <c r="E66" s="800" t="s">
        <v>557</v>
      </c>
      <c r="F66" s="800">
        <v>8</v>
      </c>
      <c r="G66" s="811">
        <v>1500</v>
      </c>
      <c r="H66" s="320">
        <f t="shared" si="0"/>
        <v>12000</v>
      </c>
      <c r="I66" s="544" t="s">
        <v>1554</v>
      </c>
    </row>
    <row r="67" spans="1:9" ht="15.95" customHeight="1">
      <c r="A67" s="966"/>
      <c r="B67" s="773"/>
      <c r="C67" s="809" t="s">
        <v>1065</v>
      </c>
      <c r="D67" s="782" t="s">
        <v>1067</v>
      </c>
      <c r="E67" s="800" t="s">
        <v>557</v>
      </c>
      <c r="F67" s="800">
        <v>4</v>
      </c>
      <c r="G67" s="811">
        <v>1500</v>
      </c>
      <c r="H67" s="320">
        <f t="shared" si="0"/>
        <v>6000</v>
      </c>
      <c r="I67" s="544" t="s">
        <v>1554</v>
      </c>
    </row>
    <row r="68" spans="1:9" ht="15.95" customHeight="1">
      <c r="A68" s="966"/>
      <c r="B68" s="773"/>
      <c r="C68" s="809" t="s">
        <v>1068</v>
      </c>
      <c r="D68" s="782" t="s">
        <v>1069</v>
      </c>
      <c r="E68" s="800" t="s">
        <v>557</v>
      </c>
      <c r="F68" s="800">
        <v>8</v>
      </c>
      <c r="G68" s="811">
        <v>2390</v>
      </c>
      <c r="H68" s="320">
        <f t="shared" si="0"/>
        <v>19120</v>
      </c>
      <c r="I68" s="544" t="s">
        <v>1555</v>
      </c>
    </row>
    <row r="69" spans="1:9" ht="15.95" customHeight="1">
      <c r="A69" s="966"/>
      <c r="B69" s="773"/>
      <c r="C69" s="809" t="s">
        <v>851</v>
      </c>
      <c r="D69" s="782" t="s">
        <v>869</v>
      </c>
      <c r="E69" s="800" t="s">
        <v>557</v>
      </c>
      <c r="F69" s="800">
        <v>4</v>
      </c>
      <c r="G69" s="811">
        <v>29145</v>
      </c>
      <c r="H69" s="320">
        <f t="shared" si="0"/>
        <v>116580</v>
      </c>
      <c r="I69" s="544" t="s">
        <v>1554</v>
      </c>
    </row>
    <row r="70" spans="1:9" ht="15.95" customHeight="1">
      <c r="A70" s="966"/>
      <c r="B70" s="773"/>
      <c r="C70" s="809"/>
      <c r="D70" s="782"/>
      <c r="E70" s="800"/>
      <c r="F70" s="810"/>
      <c r="G70" s="811"/>
      <c r="H70" s="320">
        <f t="shared" si="0"/>
        <v>0</v>
      </c>
      <c r="I70" s="544"/>
    </row>
    <row r="71" spans="1:9" ht="15.95" customHeight="1">
      <c r="A71" s="966"/>
      <c r="B71" s="773" t="s">
        <v>1088</v>
      </c>
      <c r="C71" s="809" t="s">
        <v>1070</v>
      </c>
      <c r="D71" s="782" t="s">
        <v>1071</v>
      </c>
      <c r="E71" s="800" t="s">
        <v>557</v>
      </c>
      <c r="F71" s="810">
        <v>1</v>
      </c>
      <c r="G71" s="811">
        <v>289000</v>
      </c>
      <c r="H71" s="320">
        <f t="shared" si="0"/>
        <v>289000</v>
      </c>
      <c r="I71" s="544" t="s">
        <v>1562</v>
      </c>
    </row>
    <row r="72" spans="1:9" ht="15.95" customHeight="1">
      <c r="A72" s="966"/>
      <c r="B72" s="773"/>
      <c r="C72" s="809" t="s">
        <v>644</v>
      </c>
      <c r="D72" s="782" t="s">
        <v>1072</v>
      </c>
      <c r="E72" s="800" t="s">
        <v>557</v>
      </c>
      <c r="F72" s="800">
        <v>1</v>
      </c>
      <c r="G72" s="811">
        <v>15000</v>
      </c>
      <c r="H72" s="320">
        <f t="shared" si="0"/>
        <v>15000</v>
      </c>
      <c r="I72" s="544" t="s">
        <v>1563</v>
      </c>
    </row>
    <row r="73" spans="1:9" ht="15.95" customHeight="1">
      <c r="A73" s="966"/>
      <c r="B73" s="773"/>
      <c r="C73" s="809" t="s">
        <v>638</v>
      </c>
      <c r="D73" s="782" t="s">
        <v>639</v>
      </c>
      <c r="E73" s="800" t="s">
        <v>557</v>
      </c>
      <c r="F73" s="800">
        <v>4</v>
      </c>
      <c r="G73" s="811">
        <v>27800</v>
      </c>
      <c r="H73" s="320">
        <f t="shared" si="0"/>
        <v>111200</v>
      </c>
      <c r="I73" s="544" t="s">
        <v>1542</v>
      </c>
    </row>
    <row r="74" spans="1:9" ht="15.95" customHeight="1">
      <c r="A74" s="966"/>
      <c r="B74" s="773"/>
      <c r="C74" s="809" t="s">
        <v>1073</v>
      </c>
      <c r="D74" s="782" t="s">
        <v>641</v>
      </c>
      <c r="E74" s="800" t="s">
        <v>557</v>
      </c>
      <c r="F74" s="800">
        <v>4</v>
      </c>
      <c r="G74" s="811">
        <v>8400</v>
      </c>
      <c r="H74" s="320">
        <f t="shared" si="0"/>
        <v>33600</v>
      </c>
      <c r="I74" s="544" t="s">
        <v>1542</v>
      </c>
    </row>
    <row r="75" spans="1:9" ht="15.95" customHeight="1">
      <c r="A75" s="966"/>
      <c r="B75" s="773"/>
      <c r="C75" s="809" t="s">
        <v>616</v>
      </c>
      <c r="D75" s="782" t="s">
        <v>1074</v>
      </c>
      <c r="E75" s="800" t="s">
        <v>557</v>
      </c>
      <c r="F75" s="800">
        <v>1</v>
      </c>
      <c r="G75" s="811">
        <v>49640</v>
      </c>
      <c r="H75" s="320">
        <f t="shared" si="0"/>
        <v>49640</v>
      </c>
      <c r="I75" s="544" t="s">
        <v>1543</v>
      </c>
    </row>
    <row r="76" spans="1:9" ht="15.95" customHeight="1">
      <c r="A76" s="966"/>
      <c r="B76" s="773"/>
      <c r="C76" s="809" t="s">
        <v>997</v>
      </c>
      <c r="D76" s="782" t="s">
        <v>998</v>
      </c>
      <c r="E76" s="800" t="s">
        <v>557</v>
      </c>
      <c r="F76" s="800">
        <v>2</v>
      </c>
      <c r="G76" s="811">
        <v>4850</v>
      </c>
      <c r="H76" s="320">
        <f t="shared" si="0"/>
        <v>9700</v>
      </c>
      <c r="I76" s="544" t="s">
        <v>1543</v>
      </c>
    </row>
    <row r="77" spans="1:9" ht="15.95" customHeight="1">
      <c r="A77" s="966"/>
      <c r="B77" s="773"/>
      <c r="C77" s="809" t="s">
        <v>644</v>
      </c>
      <c r="D77" s="782" t="s">
        <v>1000</v>
      </c>
      <c r="E77" s="800" t="s">
        <v>557</v>
      </c>
      <c r="F77" s="800">
        <v>1</v>
      </c>
      <c r="G77" s="811">
        <v>18000</v>
      </c>
      <c r="H77" s="320">
        <f t="shared" si="0"/>
        <v>18000</v>
      </c>
      <c r="I77" s="544" t="s">
        <v>1563</v>
      </c>
    </row>
    <row r="78" spans="1:9" ht="15.95" customHeight="1">
      <c r="A78" s="966"/>
      <c r="B78" s="773"/>
      <c r="C78" s="809" t="s">
        <v>1001</v>
      </c>
      <c r="D78" s="782" t="s">
        <v>1002</v>
      </c>
      <c r="E78" s="800" t="s">
        <v>557</v>
      </c>
      <c r="F78" s="800">
        <v>4</v>
      </c>
      <c r="G78" s="811">
        <v>5300</v>
      </c>
      <c r="H78" s="320">
        <f t="shared" si="0"/>
        <v>21200</v>
      </c>
      <c r="I78" s="544" t="s">
        <v>1545</v>
      </c>
    </row>
    <row r="79" spans="1:9" ht="15.95" customHeight="1">
      <c r="A79" s="966"/>
      <c r="B79" s="773"/>
      <c r="C79" s="809" t="s">
        <v>1003</v>
      </c>
      <c r="D79" s="782" t="s">
        <v>1075</v>
      </c>
      <c r="E79" s="800" t="s">
        <v>557</v>
      </c>
      <c r="F79" s="800">
        <v>2</v>
      </c>
      <c r="G79" s="811">
        <v>600000</v>
      </c>
      <c r="H79" s="320">
        <f t="shared" si="0"/>
        <v>1200000</v>
      </c>
      <c r="I79" s="544" t="s">
        <v>1564</v>
      </c>
    </row>
    <row r="80" spans="1:9" ht="15.95" customHeight="1">
      <c r="A80" s="966"/>
      <c r="B80" s="773"/>
      <c r="C80" s="809" t="s">
        <v>1005</v>
      </c>
      <c r="D80" s="782" t="s">
        <v>1006</v>
      </c>
      <c r="E80" s="800" t="s">
        <v>557</v>
      </c>
      <c r="F80" s="800">
        <v>2</v>
      </c>
      <c r="G80" s="811">
        <v>230</v>
      </c>
      <c r="H80" s="320">
        <f t="shared" si="0"/>
        <v>460</v>
      </c>
      <c r="I80" s="544" t="s">
        <v>1547</v>
      </c>
    </row>
    <row r="81" spans="1:9" ht="15.95" customHeight="1">
      <c r="A81" s="966"/>
      <c r="B81" s="773"/>
      <c r="C81" s="809" t="s">
        <v>1076</v>
      </c>
      <c r="D81" s="782" t="s">
        <v>1077</v>
      </c>
      <c r="E81" s="800" t="s">
        <v>557</v>
      </c>
      <c r="F81" s="800">
        <v>4</v>
      </c>
      <c r="G81" s="811">
        <v>29145</v>
      </c>
      <c r="H81" s="320">
        <f t="shared" si="0"/>
        <v>116580</v>
      </c>
      <c r="I81" s="544" t="s">
        <v>1554</v>
      </c>
    </row>
    <row r="82" spans="1:9" ht="15.95" customHeight="1">
      <c r="A82" s="966"/>
      <c r="B82" s="773"/>
      <c r="C82" s="809" t="s">
        <v>1078</v>
      </c>
      <c r="D82" s="782" t="s">
        <v>1079</v>
      </c>
      <c r="E82" s="800" t="s">
        <v>557</v>
      </c>
      <c r="F82" s="800">
        <v>1</v>
      </c>
      <c r="G82" s="811">
        <v>380000</v>
      </c>
      <c r="H82" s="320">
        <f t="shared" si="0"/>
        <v>380000</v>
      </c>
      <c r="I82" s="544" t="s">
        <v>1565</v>
      </c>
    </row>
    <row r="83" spans="1:9" ht="15.95" customHeight="1">
      <c r="A83" s="966"/>
      <c r="B83" s="773"/>
      <c r="C83" s="809" t="s">
        <v>1080</v>
      </c>
      <c r="D83" s="782" t="s">
        <v>1081</v>
      </c>
      <c r="E83" s="800" t="s">
        <v>557</v>
      </c>
      <c r="F83" s="800">
        <v>1</v>
      </c>
      <c r="G83" s="811">
        <v>8200</v>
      </c>
      <c r="H83" s="320">
        <f t="shared" si="0"/>
        <v>8200</v>
      </c>
      <c r="I83" s="544" t="s">
        <v>1565</v>
      </c>
    </row>
    <row r="84" spans="1:9" ht="15.95" customHeight="1">
      <c r="A84" s="966"/>
      <c r="B84" s="773"/>
      <c r="C84" s="809" t="s">
        <v>857</v>
      </c>
      <c r="D84" s="782" t="s">
        <v>1082</v>
      </c>
      <c r="E84" s="800" t="s">
        <v>557</v>
      </c>
      <c r="F84" s="800">
        <v>1</v>
      </c>
      <c r="G84" s="811">
        <v>5900</v>
      </c>
      <c r="H84" s="320">
        <f t="shared" si="0"/>
        <v>5900</v>
      </c>
      <c r="I84" s="544" t="s">
        <v>1566</v>
      </c>
    </row>
    <row r="85" spans="1:9" ht="15.95" customHeight="1">
      <c r="A85" s="966"/>
      <c r="B85" s="773"/>
      <c r="C85" s="809" t="s">
        <v>655</v>
      </c>
      <c r="D85" s="782" t="s">
        <v>1083</v>
      </c>
      <c r="E85" s="800" t="s">
        <v>557</v>
      </c>
      <c r="F85" s="800">
        <v>2</v>
      </c>
      <c r="G85" s="811">
        <v>1290</v>
      </c>
      <c r="H85" s="320">
        <f t="shared" si="0"/>
        <v>2580</v>
      </c>
      <c r="I85" s="544" t="s">
        <v>1567</v>
      </c>
    </row>
    <row r="86" spans="1:9" ht="15.95" customHeight="1">
      <c r="A86" s="966"/>
      <c r="B86" s="341"/>
      <c r="C86" s="809" t="s">
        <v>616</v>
      </c>
      <c r="D86" s="782" t="s">
        <v>1084</v>
      </c>
      <c r="E86" s="800" t="s">
        <v>557</v>
      </c>
      <c r="F86" s="800">
        <v>1</v>
      </c>
      <c r="G86" s="811">
        <v>41660</v>
      </c>
      <c r="H86" s="320">
        <f t="shared" si="0"/>
        <v>41660</v>
      </c>
      <c r="I86" s="544" t="s">
        <v>1543</v>
      </c>
    </row>
    <row r="87" spans="1:9" ht="15.95" customHeight="1">
      <c r="A87" s="966"/>
      <c r="B87" s="341"/>
      <c r="C87" s="809" t="s">
        <v>997</v>
      </c>
      <c r="D87" s="782" t="s">
        <v>872</v>
      </c>
      <c r="E87" s="800" t="s">
        <v>557</v>
      </c>
      <c r="F87" s="800">
        <v>2</v>
      </c>
      <c r="G87" s="811">
        <v>4290</v>
      </c>
      <c r="H87" s="320">
        <f t="shared" si="0"/>
        <v>8580</v>
      </c>
      <c r="I87" s="544" t="s">
        <v>1543</v>
      </c>
    </row>
    <row r="88" spans="1:9" ht="15.95" customHeight="1">
      <c r="A88" s="966"/>
      <c r="B88" s="341"/>
      <c r="C88" s="809" t="s">
        <v>1085</v>
      </c>
      <c r="D88" s="812" t="s">
        <v>1086</v>
      </c>
      <c r="E88" s="800" t="s">
        <v>557</v>
      </c>
      <c r="F88" s="800">
        <v>1</v>
      </c>
      <c r="G88" s="811">
        <v>689000</v>
      </c>
      <c r="H88" s="320">
        <f t="shared" si="0"/>
        <v>689000</v>
      </c>
      <c r="I88" s="544" t="s">
        <v>1568</v>
      </c>
    </row>
    <row r="89" spans="1:9" ht="15.95" customHeight="1">
      <c r="A89" s="966"/>
      <c r="B89" s="341"/>
      <c r="C89" s="809" t="s">
        <v>1005</v>
      </c>
      <c r="D89" s="782" t="s">
        <v>1087</v>
      </c>
      <c r="E89" s="800" t="s">
        <v>557</v>
      </c>
      <c r="F89" s="800">
        <v>1</v>
      </c>
      <c r="G89" s="811">
        <v>180</v>
      </c>
      <c r="H89" s="320">
        <f t="shared" si="0"/>
        <v>180</v>
      </c>
      <c r="I89" s="544" t="s">
        <v>1547</v>
      </c>
    </row>
    <row r="90" spans="1:9" ht="15.95" customHeight="1">
      <c r="A90" s="966"/>
      <c r="B90" s="341"/>
      <c r="C90" s="566"/>
      <c r="D90" s="447"/>
      <c r="E90" s="315" t="s">
        <v>220</v>
      </c>
      <c r="F90" s="444"/>
      <c r="G90" s="319"/>
      <c r="H90" s="320">
        <f t="shared" si="0"/>
        <v>0</v>
      </c>
      <c r="I90" s="544"/>
    </row>
    <row r="91" spans="1:9" ht="15.95" customHeight="1">
      <c r="A91" s="966"/>
      <c r="B91" s="341"/>
      <c r="C91" s="566"/>
      <c r="D91" s="447"/>
      <c r="E91" s="315" t="s">
        <v>220</v>
      </c>
      <c r="F91" s="444"/>
      <c r="G91" s="319"/>
      <c r="H91" s="320">
        <f t="shared" si="0"/>
        <v>0</v>
      </c>
      <c r="I91" s="544"/>
    </row>
    <row r="92" spans="1:9" ht="15.95" customHeight="1">
      <c r="A92" s="966"/>
      <c r="B92" s="341"/>
      <c r="C92" s="566"/>
      <c r="D92" s="447"/>
      <c r="E92" s="315" t="s">
        <v>220</v>
      </c>
      <c r="F92" s="444"/>
      <c r="G92" s="319"/>
      <c r="H92" s="320">
        <f t="shared" si="0"/>
        <v>0</v>
      </c>
      <c r="I92" s="544"/>
    </row>
    <row r="93" spans="1:9" ht="15.95" customHeight="1">
      <c r="A93" s="966"/>
      <c r="B93" s="341"/>
      <c r="C93" s="566"/>
      <c r="D93" s="447"/>
      <c r="E93" s="315" t="s">
        <v>220</v>
      </c>
      <c r="F93" s="444"/>
      <c r="G93" s="319"/>
      <c r="H93" s="320">
        <f t="shared" si="0"/>
        <v>0</v>
      </c>
      <c r="I93" s="544"/>
    </row>
    <row r="94" spans="1:9" ht="15.95" customHeight="1">
      <c r="A94" s="966"/>
      <c r="B94" s="341"/>
      <c r="C94" s="566"/>
      <c r="D94" s="447"/>
      <c r="E94" s="315" t="s">
        <v>220</v>
      </c>
      <c r="F94" s="444"/>
      <c r="G94" s="319"/>
      <c r="H94" s="320">
        <f t="shared" si="0"/>
        <v>0</v>
      </c>
      <c r="I94" s="544"/>
    </row>
    <row r="95" spans="1:9" ht="15.95" customHeight="1">
      <c r="A95" s="966"/>
      <c r="B95" s="436"/>
      <c r="C95" s="567"/>
      <c r="D95" s="567"/>
      <c r="E95" s="315" t="s">
        <v>220</v>
      </c>
      <c r="F95" s="444"/>
      <c r="G95" s="330"/>
      <c r="H95" s="320">
        <f t="shared" si="0"/>
        <v>0</v>
      </c>
      <c r="I95" s="543"/>
    </row>
    <row r="96" spans="1:9" ht="15.95" customHeight="1">
      <c r="A96" s="966"/>
      <c r="B96" s="436"/>
      <c r="C96" s="567"/>
      <c r="D96" s="567"/>
      <c r="E96" s="315" t="s">
        <v>220</v>
      </c>
      <c r="F96" s="444"/>
      <c r="G96" s="330"/>
      <c r="H96" s="320">
        <f t="shared" si="0"/>
        <v>0</v>
      </c>
      <c r="I96" s="544"/>
    </row>
    <row r="97" spans="1:9" ht="15.95" customHeight="1">
      <c r="A97" s="966"/>
      <c r="B97" s="341"/>
      <c r="C97" s="567"/>
      <c r="D97" s="567"/>
      <c r="E97" s="315" t="s">
        <v>220</v>
      </c>
      <c r="F97" s="444"/>
      <c r="G97" s="330"/>
      <c r="H97" s="320">
        <f t="shared" si="0"/>
        <v>0</v>
      </c>
      <c r="I97" s="544"/>
    </row>
    <row r="98" spans="1:9" ht="15.95" customHeight="1">
      <c r="A98" s="966"/>
      <c r="B98" s="341"/>
      <c r="C98" s="567"/>
      <c r="D98" s="567"/>
      <c r="E98" s="315" t="s">
        <v>220</v>
      </c>
      <c r="F98" s="444"/>
      <c r="G98" s="330"/>
      <c r="H98" s="320">
        <f t="shared" si="0"/>
        <v>0</v>
      </c>
      <c r="I98" s="543"/>
    </row>
    <row r="99" spans="1:9" ht="15.95" customHeight="1">
      <c r="A99" s="966"/>
      <c r="B99" s="341"/>
      <c r="C99" s="567"/>
      <c r="D99" s="541"/>
      <c r="E99" s="315" t="s">
        <v>220</v>
      </c>
      <c r="F99" s="444"/>
      <c r="G99" s="330"/>
      <c r="H99" s="320">
        <f t="shared" si="0"/>
        <v>0</v>
      </c>
      <c r="I99" s="544"/>
    </row>
    <row r="100" spans="1:9" ht="15.95" customHeight="1">
      <c r="A100" s="966"/>
      <c r="B100" s="341"/>
      <c r="C100" s="567"/>
      <c r="D100" s="541"/>
      <c r="E100" s="315" t="s">
        <v>220</v>
      </c>
      <c r="F100" s="444"/>
      <c r="G100" s="330"/>
      <c r="H100" s="320">
        <f t="shared" si="0"/>
        <v>0</v>
      </c>
      <c r="I100" s="544"/>
    </row>
    <row r="101" spans="1:9" ht="15.95" customHeight="1">
      <c r="A101" s="966"/>
      <c r="B101" s="341"/>
      <c r="C101" s="567"/>
      <c r="D101" s="541"/>
      <c r="E101" s="315" t="s">
        <v>220</v>
      </c>
      <c r="F101" s="444"/>
      <c r="G101" s="330"/>
      <c r="H101" s="320">
        <f t="shared" si="0"/>
        <v>0</v>
      </c>
      <c r="I101" s="543"/>
    </row>
    <row r="102" spans="1:9" ht="15.95" customHeight="1">
      <c r="A102" s="966"/>
      <c r="B102" s="341"/>
      <c r="C102" s="567"/>
      <c r="D102" s="541"/>
      <c r="E102" s="315" t="s">
        <v>220</v>
      </c>
      <c r="F102" s="444"/>
      <c r="G102" s="330"/>
      <c r="H102" s="320">
        <f t="shared" si="0"/>
        <v>0</v>
      </c>
      <c r="I102" s="543"/>
    </row>
    <row r="103" spans="1:9" ht="15.95" customHeight="1">
      <c r="A103" s="966"/>
      <c r="B103" s="341"/>
      <c r="C103" s="567"/>
      <c r="D103" s="541"/>
      <c r="E103" s="315" t="s">
        <v>220</v>
      </c>
      <c r="F103" s="444"/>
      <c r="G103" s="330"/>
      <c r="H103" s="320">
        <f t="shared" si="0"/>
        <v>0</v>
      </c>
      <c r="I103" s="543"/>
    </row>
    <row r="104" spans="1:9" ht="15.95" customHeight="1">
      <c r="A104" s="966"/>
      <c r="B104" s="341"/>
      <c r="C104" s="567"/>
      <c r="D104" s="541"/>
      <c r="E104" s="315" t="s">
        <v>220</v>
      </c>
      <c r="F104" s="444"/>
      <c r="G104" s="330"/>
      <c r="H104" s="320">
        <f t="shared" si="0"/>
        <v>0</v>
      </c>
      <c r="I104" s="543"/>
    </row>
    <row r="105" spans="1:9" ht="15.95" customHeight="1">
      <c r="A105" s="966"/>
      <c r="B105" s="341"/>
      <c r="C105" s="567"/>
      <c r="D105" s="541"/>
      <c r="E105" s="315" t="s">
        <v>220</v>
      </c>
      <c r="F105" s="444"/>
      <c r="G105" s="330"/>
      <c r="H105" s="320">
        <f t="shared" si="0"/>
        <v>0</v>
      </c>
      <c r="I105" s="544"/>
    </row>
    <row r="106" spans="1:9" ht="15.95" customHeight="1">
      <c r="A106" s="966"/>
      <c r="B106" s="341"/>
      <c r="C106" s="567"/>
      <c r="D106" s="443"/>
      <c r="E106" s="315" t="s">
        <v>220</v>
      </c>
      <c r="F106" s="444"/>
      <c r="G106" s="330"/>
      <c r="H106" s="320">
        <f t="shared" si="0"/>
        <v>0</v>
      </c>
      <c r="I106" s="544"/>
    </row>
    <row r="107" spans="1:9" ht="15.95" customHeight="1">
      <c r="A107" s="966"/>
      <c r="B107" s="341"/>
      <c r="C107" s="566"/>
      <c r="D107" s="443"/>
      <c r="E107" s="315" t="s">
        <v>220</v>
      </c>
      <c r="F107" s="444"/>
      <c r="G107" s="330"/>
      <c r="H107" s="320">
        <f t="shared" si="0"/>
        <v>0</v>
      </c>
      <c r="I107" s="544"/>
    </row>
    <row r="108" spans="1:9" ht="15.95" customHeight="1">
      <c r="A108" s="966"/>
      <c r="B108" s="341"/>
      <c r="C108" s="567"/>
      <c r="D108" s="541"/>
      <c r="E108" s="315" t="s">
        <v>220</v>
      </c>
      <c r="F108" s="444"/>
      <c r="G108" s="568"/>
      <c r="H108" s="320">
        <f t="shared" si="0"/>
        <v>0</v>
      </c>
      <c r="I108" s="544"/>
    </row>
    <row r="109" spans="1:9" ht="15.95" customHeight="1">
      <c r="A109" s="966"/>
      <c r="B109" s="341"/>
      <c r="C109" s="567"/>
      <c r="D109" s="541"/>
      <c r="E109" s="315" t="s">
        <v>220</v>
      </c>
      <c r="F109" s="444"/>
      <c r="G109" s="319"/>
      <c r="H109" s="320">
        <f t="shared" si="0"/>
        <v>0</v>
      </c>
      <c r="I109" s="544"/>
    </row>
    <row r="110" spans="1:9" ht="15.95" customHeight="1">
      <c r="A110" s="966"/>
      <c r="B110" s="341"/>
      <c r="C110" s="566"/>
      <c r="D110" s="433"/>
      <c r="E110" s="315" t="s">
        <v>220</v>
      </c>
      <c r="F110" s="434"/>
      <c r="G110" s="330"/>
      <c r="H110" s="320">
        <f t="shared" si="0"/>
        <v>0</v>
      </c>
      <c r="I110" s="544"/>
    </row>
    <row r="111" spans="1:9" ht="15.95" customHeight="1">
      <c r="A111" s="966"/>
      <c r="B111" s="341"/>
      <c r="C111" s="567"/>
      <c r="D111" s="433"/>
      <c r="E111" s="315" t="s">
        <v>220</v>
      </c>
      <c r="F111" s="434"/>
      <c r="G111" s="319"/>
      <c r="H111" s="320">
        <f t="shared" si="0"/>
        <v>0</v>
      </c>
      <c r="I111" s="545"/>
    </row>
    <row r="112" spans="1:9" ht="15.95" customHeight="1">
      <c r="A112" s="966"/>
      <c r="B112" s="341"/>
      <c r="C112" s="318"/>
      <c r="D112" s="433"/>
      <c r="E112" s="315" t="s">
        <v>220</v>
      </c>
      <c r="F112" s="434"/>
      <c r="G112" s="319"/>
      <c r="H112" s="320">
        <f t="shared" si="0"/>
        <v>0</v>
      </c>
      <c r="I112" s="545"/>
    </row>
    <row r="113" spans="1:9" ht="15.95" customHeight="1">
      <c r="A113" s="966"/>
      <c r="B113" s="341"/>
      <c r="C113" s="331"/>
      <c r="D113" s="305"/>
      <c r="E113" s="315" t="s">
        <v>220</v>
      </c>
      <c r="F113" s="434"/>
      <c r="G113" s="406"/>
      <c r="H113" s="320">
        <f t="shared" si="0"/>
        <v>0</v>
      </c>
      <c r="I113" s="317"/>
    </row>
    <row r="114" spans="1:9" ht="15.95" customHeight="1">
      <c r="A114" s="966"/>
      <c r="B114" s="341"/>
      <c r="C114" s="443"/>
      <c r="D114" s="443"/>
      <c r="E114" s="315" t="s">
        <v>220</v>
      </c>
      <c r="F114" s="444"/>
      <c r="G114" s="330"/>
      <c r="H114" s="320">
        <f t="shared" si="0"/>
        <v>0</v>
      </c>
      <c r="I114" s="546"/>
    </row>
    <row r="115" spans="1:9" ht="15.95" customHeight="1">
      <c r="A115" s="966"/>
      <c r="B115" s="341"/>
      <c r="C115" s="433"/>
      <c r="D115" s="443"/>
      <c r="E115" s="315" t="s">
        <v>220</v>
      </c>
      <c r="F115" s="444"/>
      <c r="G115" s="330"/>
      <c r="H115" s="320">
        <f t="shared" si="0"/>
        <v>0</v>
      </c>
      <c r="I115" s="543"/>
    </row>
    <row r="116" spans="1:9" ht="15.95" customHeight="1">
      <c r="A116" s="966"/>
      <c r="B116" s="341"/>
      <c r="C116" s="566"/>
      <c r="D116" s="443"/>
      <c r="E116" s="315" t="s">
        <v>220</v>
      </c>
      <c r="F116" s="444"/>
      <c r="G116" s="330"/>
      <c r="H116" s="320">
        <f t="shared" si="0"/>
        <v>0</v>
      </c>
      <c r="I116" s="544"/>
    </row>
    <row r="117" spans="1:9" ht="15.95" customHeight="1">
      <c r="A117" s="966"/>
      <c r="B117" s="341"/>
      <c r="C117" s="433"/>
      <c r="D117" s="443"/>
      <c r="E117" s="315" t="s">
        <v>220</v>
      </c>
      <c r="F117" s="444"/>
      <c r="G117" s="330"/>
      <c r="H117" s="320">
        <f t="shared" si="0"/>
        <v>0</v>
      </c>
      <c r="I117" s="544"/>
    </row>
    <row r="118" spans="1:9" ht="15.95" customHeight="1">
      <c r="A118" s="966"/>
      <c r="B118" s="341"/>
      <c r="C118" s="446"/>
      <c r="D118" s="433"/>
      <c r="E118" s="315" t="s">
        <v>220</v>
      </c>
      <c r="F118" s="434"/>
      <c r="G118" s="547"/>
      <c r="H118" s="320">
        <f t="shared" si="0"/>
        <v>0</v>
      </c>
      <c r="I118" s="544"/>
    </row>
    <row r="119" spans="1:9" ht="15.95" customHeight="1">
      <c r="A119" s="966"/>
      <c r="B119" s="341"/>
      <c r="C119" s="433"/>
      <c r="D119" s="443"/>
      <c r="E119" s="315" t="s">
        <v>220</v>
      </c>
      <c r="F119" s="444"/>
      <c r="G119" s="330"/>
      <c r="H119" s="320">
        <f t="shared" si="0"/>
        <v>0</v>
      </c>
      <c r="I119" s="544"/>
    </row>
    <row r="120" spans="1:9" ht="15.95" customHeight="1">
      <c r="A120" s="966"/>
      <c r="B120" s="341"/>
      <c r="C120" s="433"/>
      <c r="D120" s="443"/>
      <c r="E120" s="315" t="s">
        <v>220</v>
      </c>
      <c r="F120" s="444"/>
      <c r="G120" s="330"/>
      <c r="H120" s="320">
        <f t="shared" si="0"/>
        <v>0</v>
      </c>
      <c r="I120" s="544"/>
    </row>
    <row r="121" spans="1:9" ht="15.95" customHeight="1">
      <c r="A121" s="966"/>
      <c r="B121" s="341"/>
      <c r="C121" s="433"/>
      <c r="D121" s="443"/>
      <c r="E121" s="315" t="s">
        <v>220</v>
      </c>
      <c r="F121" s="444"/>
      <c r="G121" s="330"/>
      <c r="H121" s="320">
        <f t="shared" si="0"/>
        <v>0</v>
      </c>
      <c r="I121" s="544"/>
    </row>
    <row r="122" spans="1:9" ht="15.95" customHeight="1">
      <c r="A122" s="966"/>
      <c r="B122" s="341"/>
      <c r="C122" s="433"/>
      <c r="D122" s="567"/>
      <c r="E122" s="315" t="s">
        <v>220</v>
      </c>
      <c r="F122" s="444"/>
      <c r="G122" s="330"/>
      <c r="H122" s="320">
        <f t="shared" si="0"/>
        <v>0</v>
      </c>
      <c r="I122" s="544"/>
    </row>
    <row r="123" spans="1:9" ht="15.95" customHeight="1">
      <c r="A123" s="966"/>
      <c r="B123" s="341"/>
      <c r="C123" s="566"/>
      <c r="D123" s="443"/>
      <c r="E123" s="315" t="s">
        <v>220</v>
      </c>
      <c r="F123" s="444"/>
      <c r="G123" s="330"/>
      <c r="H123" s="320">
        <f t="shared" si="0"/>
        <v>0</v>
      </c>
      <c r="I123" s="544"/>
    </row>
    <row r="124" spans="1:9" ht="15.95" customHeight="1">
      <c r="A124" s="966"/>
      <c r="B124" s="341"/>
      <c r="C124" s="566"/>
      <c r="D124" s="567"/>
      <c r="E124" s="315" t="s">
        <v>220</v>
      </c>
      <c r="F124" s="444"/>
      <c r="G124" s="330"/>
      <c r="H124" s="320">
        <f t="shared" si="0"/>
        <v>0</v>
      </c>
      <c r="I124" s="544"/>
    </row>
    <row r="125" spans="1:9" ht="15.95" customHeight="1">
      <c r="A125" s="966"/>
      <c r="B125" s="341"/>
      <c r="C125" s="433"/>
      <c r="D125" s="443"/>
      <c r="E125" s="315" t="s">
        <v>220</v>
      </c>
      <c r="F125" s="444"/>
      <c r="G125" s="330"/>
      <c r="H125" s="320">
        <f t="shared" si="0"/>
        <v>0</v>
      </c>
      <c r="I125" s="544"/>
    </row>
    <row r="126" spans="1:9" ht="15.95" customHeight="1">
      <c r="A126" s="966"/>
      <c r="B126" s="341"/>
      <c r="C126" s="566"/>
      <c r="D126" s="443"/>
      <c r="E126" s="315" t="s">
        <v>220</v>
      </c>
      <c r="F126" s="444"/>
      <c r="G126" s="330"/>
      <c r="H126" s="320">
        <f t="shared" si="0"/>
        <v>0</v>
      </c>
      <c r="I126" s="544"/>
    </row>
    <row r="127" spans="1:9" ht="15.95" customHeight="1">
      <c r="A127" s="966"/>
      <c r="B127" s="341"/>
      <c r="C127" s="443"/>
      <c r="D127" s="443"/>
      <c r="E127" s="315" t="s">
        <v>220</v>
      </c>
      <c r="F127" s="444"/>
      <c r="G127" s="330"/>
      <c r="H127" s="320">
        <f t="shared" si="0"/>
        <v>0</v>
      </c>
      <c r="I127" s="544"/>
    </row>
    <row r="128" spans="1:9" ht="15.95" customHeight="1">
      <c r="A128" s="966"/>
      <c r="B128" s="341"/>
      <c r="C128" s="433"/>
      <c r="D128" s="329"/>
      <c r="E128" s="315" t="s">
        <v>220</v>
      </c>
      <c r="F128" s="550"/>
      <c r="G128" s="330"/>
      <c r="H128" s="320">
        <f t="shared" si="0"/>
        <v>0</v>
      </c>
      <c r="I128" s="317"/>
    </row>
    <row r="129" spans="1:11" ht="15.95" customHeight="1">
      <c r="A129" s="966"/>
      <c r="B129" s="341"/>
      <c r="C129" s="433"/>
      <c r="D129" s="329"/>
      <c r="E129" s="315" t="s">
        <v>220</v>
      </c>
      <c r="F129" s="550"/>
      <c r="G129" s="330"/>
      <c r="H129" s="320">
        <f t="shared" si="0"/>
        <v>0</v>
      </c>
      <c r="I129" s="317"/>
    </row>
    <row r="130" spans="1:11" ht="15.95" customHeight="1">
      <c r="A130" s="966"/>
      <c r="B130" s="341"/>
      <c r="C130" s="433"/>
      <c r="D130" s="329"/>
      <c r="E130" s="315" t="s">
        <v>220</v>
      </c>
      <c r="F130" s="550"/>
      <c r="G130" s="330"/>
      <c r="H130" s="320">
        <f t="shared" si="0"/>
        <v>0</v>
      </c>
      <c r="I130" s="317"/>
    </row>
    <row r="131" spans="1:11" ht="15.95" customHeight="1">
      <c r="A131" s="966"/>
      <c r="B131" s="341"/>
      <c r="C131" s="433"/>
      <c r="D131" s="443"/>
      <c r="E131" s="315" t="s">
        <v>220</v>
      </c>
      <c r="F131" s="444"/>
      <c r="G131" s="330"/>
      <c r="H131" s="320">
        <f t="shared" si="0"/>
        <v>0</v>
      </c>
      <c r="I131" s="546"/>
    </row>
    <row r="132" spans="1:11" ht="15.95" customHeight="1">
      <c r="A132" s="966"/>
      <c r="B132" s="341"/>
      <c r="C132" s="443"/>
      <c r="D132" s="443"/>
      <c r="E132" s="315" t="s">
        <v>220</v>
      </c>
      <c r="F132" s="444"/>
      <c r="G132" s="330"/>
      <c r="H132" s="320">
        <f t="shared" si="0"/>
        <v>0</v>
      </c>
      <c r="I132" s="543"/>
      <c r="K132" s="261"/>
    </row>
    <row r="133" spans="1:11" ht="15.95" customHeight="1">
      <c r="A133" s="966"/>
      <c r="B133" s="341"/>
      <c r="C133" s="433"/>
      <c r="D133" s="443"/>
      <c r="E133" s="318"/>
      <c r="F133" s="444"/>
      <c r="G133" s="330"/>
      <c r="H133" s="320">
        <f t="shared" si="0"/>
        <v>0</v>
      </c>
      <c r="I133" s="543"/>
      <c r="K133" s="261"/>
    </row>
    <row r="134" spans="1:11" ht="15.95" customHeight="1">
      <c r="A134" s="966"/>
      <c r="B134" s="341"/>
      <c r="C134" s="433"/>
      <c r="D134" s="443"/>
      <c r="E134" s="318"/>
      <c r="F134" s="444"/>
      <c r="G134" s="330"/>
      <c r="H134" s="320">
        <f t="shared" si="0"/>
        <v>0</v>
      </c>
      <c r="I134" s="317"/>
    </row>
    <row r="135" spans="1:11" ht="15.95" customHeight="1">
      <c r="A135" s="966"/>
      <c r="B135" s="341"/>
      <c r="C135" s="433"/>
      <c r="D135" s="443"/>
      <c r="E135" s="318"/>
      <c r="F135" s="444"/>
      <c r="G135" s="330"/>
      <c r="H135" s="320">
        <f t="shared" si="0"/>
        <v>0</v>
      </c>
      <c r="I135" s="543"/>
    </row>
    <row r="136" spans="1:11" ht="15.95" customHeight="1">
      <c r="A136" s="966"/>
      <c r="B136" s="341"/>
      <c r="C136" s="332"/>
      <c r="D136" s="333"/>
      <c r="E136" s="334" t="s">
        <v>239</v>
      </c>
      <c r="F136" s="335"/>
      <c r="G136" s="336"/>
      <c r="H136" s="320">
        <f>IF(F136=0,G136,G136*F136)</f>
        <v>0</v>
      </c>
      <c r="I136" s="388"/>
    </row>
    <row r="137" spans="1:11" ht="15.95" customHeight="1">
      <c r="A137" s="966"/>
      <c r="B137" s="342"/>
      <c r="C137" s="569"/>
      <c r="D137" s="570"/>
      <c r="E137" s="571"/>
      <c r="F137" s="572"/>
      <c r="G137" s="573"/>
      <c r="H137" s="347">
        <f>SUM(H11:H136)</f>
        <v>15974411</v>
      </c>
      <c r="I137" s="392"/>
    </row>
    <row r="138" spans="1:11" ht="15.95" customHeight="1">
      <c r="A138" s="966"/>
      <c r="B138" s="349" t="s">
        <v>6</v>
      </c>
      <c r="C138" s="574"/>
      <c r="D138" s="575"/>
      <c r="E138" s="398"/>
      <c r="F138" s="576"/>
      <c r="G138" s="400"/>
      <c r="H138" s="560">
        <f>G138*F138</f>
        <v>0</v>
      </c>
      <c r="I138" s="394"/>
    </row>
    <row r="139" spans="1:11" ht="15.95" customHeight="1">
      <c r="A139" s="966"/>
      <c r="B139" s="773" t="s">
        <v>554</v>
      </c>
      <c r="C139" s="753" t="s">
        <v>1092</v>
      </c>
      <c r="D139" s="753" t="s">
        <v>1093</v>
      </c>
      <c r="E139" s="800" t="s">
        <v>215</v>
      </c>
      <c r="F139" s="801">
        <v>1</v>
      </c>
      <c r="G139" s="802">
        <v>400000</v>
      </c>
      <c r="H139" s="560">
        <f t="shared" ref="H139:H202" si="1">G139*F139</f>
        <v>400000</v>
      </c>
      <c r="I139" s="725" t="s">
        <v>1541</v>
      </c>
    </row>
    <row r="140" spans="1:11" ht="15.95" customHeight="1">
      <c r="A140" s="966"/>
      <c r="B140" s="773" t="s">
        <v>1115</v>
      </c>
      <c r="C140" s="753" t="s">
        <v>1094</v>
      </c>
      <c r="D140" s="753" t="s">
        <v>1095</v>
      </c>
      <c r="E140" s="800" t="s">
        <v>215</v>
      </c>
      <c r="F140" s="800">
        <v>1</v>
      </c>
      <c r="G140" s="802">
        <v>150000</v>
      </c>
      <c r="H140" s="560">
        <f t="shared" si="1"/>
        <v>150000</v>
      </c>
      <c r="I140" s="725" t="s">
        <v>1541</v>
      </c>
    </row>
    <row r="141" spans="1:11" ht="15.95" customHeight="1">
      <c r="A141" s="966"/>
      <c r="B141" s="341"/>
      <c r="C141" s="753" t="s">
        <v>781</v>
      </c>
      <c r="D141" s="753" t="s">
        <v>1096</v>
      </c>
      <c r="E141" s="800" t="s">
        <v>215</v>
      </c>
      <c r="F141" s="800">
        <v>1</v>
      </c>
      <c r="G141" s="802">
        <v>70000</v>
      </c>
      <c r="H141" s="560">
        <f t="shared" si="1"/>
        <v>70000</v>
      </c>
      <c r="I141" s="725" t="s">
        <v>1541</v>
      </c>
    </row>
    <row r="142" spans="1:11" ht="15.95" customHeight="1">
      <c r="A142" s="966"/>
      <c r="B142" s="341"/>
      <c r="C142" s="753" t="s">
        <v>892</v>
      </c>
      <c r="D142" s="753" t="s">
        <v>1097</v>
      </c>
      <c r="E142" s="800" t="s">
        <v>215</v>
      </c>
      <c r="F142" s="800">
        <v>1</v>
      </c>
      <c r="G142" s="802">
        <v>36000</v>
      </c>
      <c r="H142" s="560">
        <f t="shared" si="1"/>
        <v>36000</v>
      </c>
      <c r="I142" s="725" t="s">
        <v>1541</v>
      </c>
    </row>
    <row r="143" spans="1:11" ht="15.95" customHeight="1">
      <c r="A143" s="966"/>
      <c r="B143" s="341"/>
      <c r="C143" s="753" t="s">
        <v>679</v>
      </c>
      <c r="D143" s="753" t="s">
        <v>1098</v>
      </c>
      <c r="E143" s="800" t="s">
        <v>215</v>
      </c>
      <c r="F143" s="800">
        <v>2</v>
      </c>
      <c r="G143" s="802">
        <v>50000</v>
      </c>
      <c r="H143" s="560">
        <f t="shared" si="1"/>
        <v>100000</v>
      </c>
      <c r="I143" s="725" t="s">
        <v>1541</v>
      </c>
    </row>
    <row r="144" spans="1:11" ht="15.95" customHeight="1">
      <c r="A144" s="966"/>
      <c r="B144" s="341"/>
      <c r="C144" s="753" t="s">
        <v>1099</v>
      </c>
      <c r="D144" s="753" t="s">
        <v>1100</v>
      </c>
      <c r="E144" s="800" t="s">
        <v>215</v>
      </c>
      <c r="F144" s="800">
        <v>1</v>
      </c>
      <c r="G144" s="802">
        <v>6000</v>
      </c>
      <c r="H144" s="560">
        <f t="shared" si="1"/>
        <v>6000</v>
      </c>
      <c r="I144" s="725" t="s">
        <v>1541</v>
      </c>
    </row>
    <row r="145" spans="1:9" ht="15.95" customHeight="1">
      <c r="A145" s="966"/>
      <c r="B145" s="341"/>
      <c r="C145" s="753" t="s">
        <v>1101</v>
      </c>
      <c r="D145" s="753" t="s">
        <v>1102</v>
      </c>
      <c r="E145" s="800" t="s">
        <v>215</v>
      </c>
      <c r="F145" s="800">
        <v>1</v>
      </c>
      <c r="G145" s="802">
        <v>144000</v>
      </c>
      <c r="H145" s="560">
        <f t="shared" si="1"/>
        <v>144000</v>
      </c>
      <c r="I145" s="725" t="s">
        <v>1541</v>
      </c>
    </row>
    <row r="146" spans="1:9" ht="15.95" customHeight="1">
      <c r="A146" s="966"/>
      <c r="B146" s="341"/>
      <c r="C146" s="753" t="s">
        <v>1103</v>
      </c>
      <c r="D146" s="753" t="s">
        <v>1104</v>
      </c>
      <c r="E146" s="800" t="s">
        <v>215</v>
      </c>
      <c r="F146" s="800">
        <v>1</v>
      </c>
      <c r="G146" s="802">
        <v>16000</v>
      </c>
      <c r="H146" s="560">
        <f t="shared" si="1"/>
        <v>16000</v>
      </c>
      <c r="I146" s="725" t="s">
        <v>1541</v>
      </c>
    </row>
    <row r="147" spans="1:9" ht="15.95" customHeight="1">
      <c r="A147" s="966"/>
      <c r="B147" s="341"/>
      <c r="C147" s="753" t="s">
        <v>1105</v>
      </c>
      <c r="D147" s="753" t="s">
        <v>1106</v>
      </c>
      <c r="E147" s="800" t="s">
        <v>215</v>
      </c>
      <c r="F147" s="800">
        <v>2</v>
      </c>
      <c r="G147" s="802">
        <v>34000</v>
      </c>
      <c r="H147" s="560">
        <f t="shared" si="1"/>
        <v>68000</v>
      </c>
      <c r="I147" s="725" t="s">
        <v>1541</v>
      </c>
    </row>
    <row r="148" spans="1:9" ht="15.95" customHeight="1">
      <c r="A148" s="966"/>
      <c r="B148" s="341"/>
      <c r="C148" s="753" t="s">
        <v>1107</v>
      </c>
      <c r="D148" s="753" t="s">
        <v>1108</v>
      </c>
      <c r="E148" s="800" t="s">
        <v>215</v>
      </c>
      <c r="F148" s="800">
        <v>1</v>
      </c>
      <c r="G148" s="802">
        <v>24000</v>
      </c>
      <c r="H148" s="560">
        <f t="shared" si="1"/>
        <v>24000</v>
      </c>
      <c r="I148" s="725" t="s">
        <v>1541</v>
      </c>
    </row>
    <row r="149" spans="1:9" ht="15.95" customHeight="1">
      <c r="A149" s="966"/>
      <c r="B149" s="341"/>
      <c r="C149" s="753" t="s">
        <v>1109</v>
      </c>
      <c r="D149" s="753" t="s">
        <v>1110</v>
      </c>
      <c r="E149" s="800" t="s">
        <v>215</v>
      </c>
      <c r="F149" s="800">
        <v>1</v>
      </c>
      <c r="G149" s="802">
        <v>90000</v>
      </c>
      <c r="H149" s="560">
        <f t="shared" si="1"/>
        <v>90000</v>
      </c>
      <c r="I149" s="725" t="s">
        <v>1541</v>
      </c>
    </row>
    <row r="150" spans="1:9" ht="15.95" customHeight="1">
      <c r="A150" s="966"/>
      <c r="B150" s="341"/>
      <c r="C150" s="753"/>
      <c r="D150" s="753"/>
      <c r="E150" s="800"/>
      <c r="F150" s="801"/>
      <c r="G150" s="802"/>
      <c r="H150" s="560">
        <f t="shared" si="1"/>
        <v>0</v>
      </c>
      <c r="I150" s="394"/>
    </row>
    <row r="151" spans="1:9" ht="15.95" customHeight="1">
      <c r="A151" s="966"/>
      <c r="B151" s="773" t="s">
        <v>1113</v>
      </c>
      <c r="C151" s="753" t="s">
        <v>1111</v>
      </c>
      <c r="D151" s="753" t="s">
        <v>1112</v>
      </c>
      <c r="E151" s="800" t="s">
        <v>215</v>
      </c>
      <c r="F151" s="801">
        <v>1</v>
      </c>
      <c r="G151" s="802">
        <v>500000</v>
      </c>
      <c r="H151" s="560">
        <f t="shared" si="1"/>
        <v>500000</v>
      </c>
      <c r="I151" s="725" t="s">
        <v>1541</v>
      </c>
    </row>
    <row r="152" spans="1:9" ht="15.95" customHeight="1">
      <c r="A152" s="966"/>
      <c r="B152" s="341"/>
      <c r="C152" s="753" t="s">
        <v>1113</v>
      </c>
      <c r="D152" s="753" t="s">
        <v>1114</v>
      </c>
      <c r="E152" s="800" t="s">
        <v>215</v>
      </c>
      <c r="F152" s="800">
        <v>1</v>
      </c>
      <c r="G152" s="802">
        <v>250000</v>
      </c>
      <c r="H152" s="560">
        <f t="shared" si="1"/>
        <v>250000</v>
      </c>
      <c r="I152" s="725" t="s">
        <v>1541</v>
      </c>
    </row>
    <row r="153" spans="1:9" ht="15.95" customHeight="1">
      <c r="A153" s="966"/>
      <c r="B153" s="341"/>
      <c r="C153" s="753" t="s">
        <v>1115</v>
      </c>
      <c r="D153" s="753" t="s">
        <v>1116</v>
      </c>
      <c r="E153" s="800" t="s">
        <v>215</v>
      </c>
      <c r="F153" s="800">
        <v>1</v>
      </c>
      <c r="G153" s="802">
        <v>240000</v>
      </c>
      <c r="H153" s="560">
        <f t="shared" si="1"/>
        <v>240000</v>
      </c>
      <c r="I153" s="725" t="s">
        <v>1541</v>
      </c>
    </row>
    <row r="154" spans="1:9" ht="15.95" customHeight="1">
      <c r="A154" s="966"/>
      <c r="B154" s="341"/>
      <c r="C154" s="753" t="s">
        <v>575</v>
      </c>
      <c r="D154" s="753" t="s">
        <v>1117</v>
      </c>
      <c r="E154" s="800" t="s">
        <v>215</v>
      </c>
      <c r="F154" s="800">
        <v>1</v>
      </c>
      <c r="G154" s="802">
        <v>45000</v>
      </c>
      <c r="H154" s="560">
        <f t="shared" si="1"/>
        <v>45000</v>
      </c>
      <c r="I154" s="725" t="s">
        <v>1541</v>
      </c>
    </row>
    <row r="155" spans="1:9" ht="15.95" customHeight="1">
      <c r="A155" s="966"/>
      <c r="B155" s="341"/>
      <c r="C155" s="753" t="s">
        <v>724</v>
      </c>
      <c r="D155" s="753" t="s">
        <v>1118</v>
      </c>
      <c r="E155" s="800" t="s">
        <v>215</v>
      </c>
      <c r="F155" s="800">
        <v>1</v>
      </c>
      <c r="G155" s="802">
        <v>45000</v>
      </c>
      <c r="H155" s="560">
        <f t="shared" si="1"/>
        <v>45000</v>
      </c>
      <c r="I155" s="725" t="s">
        <v>1541</v>
      </c>
    </row>
    <row r="156" spans="1:9" ht="15.95" customHeight="1">
      <c r="A156" s="966"/>
      <c r="B156" s="341"/>
      <c r="C156" s="753" t="s">
        <v>757</v>
      </c>
      <c r="D156" s="753" t="s">
        <v>1119</v>
      </c>
      <c r="E156" s="800" t="s">
        <v>215</v>
      </c>
      <c r="F156" s="800">
        <v>2</v>
      </c>
      <c r="G156" s="802">
        <v>15000</v>
      </c>
      <c r="H156" s="560">
        <f t="shared" si="1"/>
        <v>30000</v>
      </c>
      <c r="I156" s="725" t="s">
        <v>1541</v>
      </c>
    </row>
    <row r="157" spans="1:9" ht="15.95" customHeight="1">
      <c r="A157" s="966"/>
      <c r="B157" s="341"/>
      <c r="C157" s="753" t="s">
        <v>757</v>
      </c>
      <c r="D157" s="753" t="s">
        <v>1120</v>
      </c>
      <c r="E157" s="800" t="s">
        <v>215</v>
      </c>
      <c r="F157" s="800">
        <v>1</v>
      </c>
      <c r="G157" s="802">
        <v>50000</v>
      </c>
      <c r="H157" s="560">
        <f t="shared" si="1"/>
        <v>50000</v>
      </c>
      <c r="I157" s="725" t="s">
        <v>1541</v>
      </c>
    </row>
    <row r="158" spans="1:9" ht="15.95" customHeight="1">
      <c r="A158" s="966"/>
      <c r="B158" s="341"/>
      <c r="C158" s="753" t="s">
        <v>1121</v>
      </c>
      <c r="D158" s="753" t="s">
        <v>1122</v>
      </c>
      <c r="E158" s="800" t="s">
        <v>215</v>
      </c>
      <c r="F158" s="800">
        <v>1</v>
      </c>
      <c r="G158" s="802">
        <v>58600</v>
      </c>
      <c r="H158" s="560">
        <f t="shared" si="1"/>
        <v>58600</v>
      </c>
      <c r="I158" s="725" t="s">
        <v>1541</v>
      </c>
    </row>
    <row r="159" spans="1:9" ht="15.95" customHeight="1">
      <c r="A159" s="966"/>
      <c r="B159" s="341"/>
      <c r="C159" s="753" t="s">
        <v>1123</v>
      </c>
      <c r="D159" s="753" t="s">
        <v>1124</v>
      </c>
      <c r="E159" s="800" t="s">
        <v>215</v>
      </c>
      <c r="F159" s="800">
        <v>1</v>
      </c>
      <c r="G159" s="802">
        <v>58600</v>
      </c>
      <c r="H159" s="560">
        <f t="shared" si="1"/>
        <v>58600</v>
      </c>
      <c r="I159" s="725" t="s">
        <v>1541</v>
      </c>
    </row>
    <row r="160" spans="1:9" ht="15.95" customHeight="1">
      <c r="A160" s="966"/>
      <c r="B160" s="341"/>
      <c r="C160" s="753" t="s">
        <v>1125</v>
      </c>
      <c r="D160" s="753" t="s">
        <v>1126</v>
      </c>
      <c r="E160" s="800" t="s">
        <v>215</v>
      </c>
      <c r="F160" s="800">
        <v>1</v>
      </c>
      <c r="G160" s="802">
        <v>8000</v>
      </c>
      <c r="H160" s="560">
        <f t="shared" si="1"/>
        <v>8000</v>
      </c>
      <c r="I160" s="725" t="s">
        <v>1541</v>
      </c>
    </row>
    <row r="161" spans="1:9" ht="15.95" customHeight="1">
      <c r="A161" s="966"/>
      <c r="B161" s="341"/>
      <c r="C161" s="753" t="s">
        <v>1127</v>
      </c>
      <c r="D161" s="753" t="s">
        <v>1129</v>
      </c>
      <c r="E161" s="800" t="s">
        <v>215</v>
      </c>
      <c r="F161" s="800">
        <v>4</v>
      </c>
      <c r="G161" s="802">
        <v>32000</v>
      </c>
      <c r="H161" s="560">
        <f t="shared" si="1"/>
        <v>128000</v>
      </c>
      <c r="I161" s="725" t="s">
        <v>1541</v>
      </c>
    </row>
    <row r="162" spans="1:9" ht="15.95" customHeight="1">
      <c r="A162" s="966"/>
      <c r="B162" s="341"/>
      <c r="C162" s="753" t="s">
        <v>1130</v>
      </c>
      <c r="D162" s="753" t="s">
        <v>1132</v>
      </c>
      <c r="E162" s="800" t="s">
        <v>215</v>
      </c>
      <c r="F162" s="800">
        <v>1</v>
      </c>
      <c r="G162" s="802">
        <v>62000</v>
      </c>
      <c r="H162" s="560">
        <f t="shared" si="1"/>
        <v>62000</v>
      </c>
      <c r="I162" s="725" t="s">
        <v>1541</v>
      </c>
    </row>
    <row r="163" spans="1:9" ht="15.95" customHeight="1">
      <c r="A163" s="966"/>
      <c r="B163" s="341"/>
      <c r="C163" s="753" t="s">
        <v>1133</v>
      </c>
      <c r="D163" s="753" t="s">
        <v>1134</v>
      </c>
      <c r="E163" s="800" t="s">
        <v>215</v>
      </c>
      <c r="F163" s="800">
        <v>1</v>
      </c>
      <c r="G163" s="802">
        <v>150000</v>
      </c>
      <c r="H163" s="560">
        <f t="shared" si="1"/>
        <v>150000</v>
      </c>
      <c r="I163" s="725" t="s">
        <v>1541</v>
      </c>
    </row>
    <row r="164" spans="1:9" ht="15.95" customHeight="1">
      <c r="A164" s="966"/>
      <c r="B164" s="341"/>
      <c r="C164" s="753" t="s">
        <v>575</v>
      </c>
      <c r="D164" s="753" t="s">
        <v>1135</v>
      </c>
      <c r="E164" s="800" t="s">
        <v>215</v>
      </c>
      <c r="F164" s="800">
        <v>1</v>
      </c>
      <c r="G164" s="802">
        <v>25000</v>
      </c>
      <c r="H164" s="560">
        <f t="shared" si="1"/>
        <v>25000</v>
      </c>
      <c r="I164" s="725" t="s">
        <v>1541</v>
      </c>
    </row>
    <row r="165" spans="1:9" ht="15.95" customHeight="1">
      <c r="A165" s="966"/>
      <c r="B165" s="341"/>
      <c r="C165" s="753" t="s">
        <v>1136</v>
      </c>
      <c r="D165" s="753" t="s">
        <v>1137</v>
      </c>
      <c r="E165" s="800" t="s">
        <v>215</v>
      </c>
      <c r="F165" s="800">
        <v>2</v>
      </c>
      <c r="G165" s="802">
        <v>5000</v>
      </c>
      <c r="H165" s="560">
        <f t="shared" si="1"/>
        <v>10000</v>
      </c>
      <c r="I165" s="725" t="s">
        <v>1541</v>
      </c>
    </row>
    <row r="166" spans="1:9" ht="15.95" customHeight="1">
      <c r="A166" s="966"/>
      <c r="B166" s="341"/>
      <c r="C166" s="753" t="s">
        <v>1138</v>
      </c>
      <c r="D166" s="753" t="s">
        <v>1139</v>
      </c>
      <c r="E166" s="800" t="s">
        <v>215</v>
      </c>
      <c r="F166" s="800">
        <v>1</v>
      </c>
      <c r="G166" s="802">
        <v>580000</v>
      </c>
      <c r="H166" s="560">
        <f t="shared" si="1"/>
        <v>580000</v>
      </c>
      <c r="I166" s="725" t="s">
        <v>1541</v>
      </c>
    </row>
    <row r="167" spans="1:9" ht="15.95" customHeight="1">
      <c r="A167" s="966"/>
      <c r="B167" s="341"/>
      <c r="C167" s="753" t="s">
        <v>1101</v>
      </c>
      <c r="D167" s="753" t="s">
        <v>1140</v>
      </c>
      <c r="E167" s="800" t="s">
        <v>215</v>
      </c>
      <c r="F167" s="800">
        <v>1</v>
      </c>
      <c r="G167" s="802">
        <v>70000</v>
      </c>
      <c r="H167" s="560">
        <f t="shared" si="1"/>
        <v>70000</v>
      </c>
      <c r="I167" s="725" t="s">
        <v>1541</v>
      </c>
    </row>
    <row r="168" spans="1:9" ht="15.95" customHeight="1">
      <c r="A168" s="966"/>
      <c r="B168" s="341"/>
      <c r="C168" s="753" t="s">
        <v>1141</v>
      </c>
      <c r="D168" s="753" t="s">
        <v>1142</v>
      </c>
      <c r="E168" s="800" t="s">
        <v>215</v>
      </c>
      <c r="F168" s="800">
        <v>1</v>
      </c>
      <c r="G168" s="802">
        <v>25000</v>
      </c>
      <c r="H168" s="560">
        <f t="shared" si="1"/>
        <v>25000</v>
      </c>
      <c r="I168" s="725" t="s">
        <v>1541</v>
      </c>
    </row>
    <row r="169" spans="1:9" ht="15.95" customHeight="1">
      <c r="A169" s="966"/>
      <c r="B169" s="341"/>
      <c r="C169" s="753" t="s">
        <v>1143</v>
      </c>
      <c r="D169" s="753" t="s">
        <v>1144</v>
      </c>
      <c r="E169" s="800" t="s">
        <v>215</v>
      </c>
      <c r="F169" s="800">
        <v>1</v>
      </c>
      <c r="G169" s="802">
        <v>40000</v>
      </c>
      <c r="H169" s="560">
        <f t="shared" si="1"/>
        <v>40000</v>
      </c>
      <c r="I169" s="725" t="s">
        <v>1541</v>
      </c>
    </row>
    <row r="170" spans="1:9" ht="15.95" customHeight="1">
      <c r="A170" s="966"/>
      <c r="B170" s="341"/>
      <c r="C170" s="753" t="s">
        <v>401</v>
      </c>
      <c r="D170" s="753" t="s">
        <v>1145</v>
      </c>
      <c r="E170" s="800" t="s">
        <v>215</v>
      </c>
      <c r="F170" s="800">
        <v>1</v>
      </c>
      <c r="G170" s="802">
        <v>10000</v>
      </c>
      <c r="H170" s="560">
        <f t="shared" si="1"/>
        <v>10000</v>
      </c>
      <c r="I170" s="725" t="s">
        <v>1541</v>
      </c>
    </row>
    <row r="171" spans="1:9" ht="15.95" customHeight="1">
      <c r="A171" s="966"/>
      <c r="B171" s="341"/>
      <c r="C171" s="753"/>
      <c r="D171" s="753"/>
      <c r="E171" s="800"/>
      <c r="F171" s="801"/>
      <c r="G171" s="802"/>
      <c r="H171" s="560">
        <f t="shared" si="1"/>
        <v>0</v>
      </c>
      <c r="I171" s="394"/>
    </row>
    <row r="172" spans="1:9" ht="15.95" customHeight="1">
      <c r="A172" s="966"/>
      <c r="B172" s="773" t="s">
        <v>1312</v>
      </c>
      <c r="C172" s="753" t="s">
        <v>567</v>
      </c>
      <c r="D172" s="753" t="s">
        <v>1146</v>
      </c>
      <c r="E172" s="800" t="s">
        <v>215</v>
      </c>
      <c r="F172" s="801">
        <v>1</v>
      </c>
      <c r="G172" s="802">
        <v>900000</v>
      </c>
      <c r="H172" s="560">
        <f t="shared" si="1"/>
        <v>900000</v>
      </c>
      <c r="I172" s="725" t="s">
        <v>1541</v>
      </c>
    </row>
    <row r="173" spans="1:9" ht="15.95" customHeight="1">
      <c r="A173" s="966"/>
      <c r="B173" s="341"/>
      <c r="C173" s="753" t="s">
        <v>1127</v>
      </c>
      <c r="D173" s="753" t="s">
        <v>1147</v>
      </c>
      <c r="E173" s="800" t="s">
        <v>215</v>
      </c>
      <c r="F173" s="800">
        <v>2</v>
      </c>
      <c r="G173" s="802">
        <v>250000</v>
      </c>
      <c r="H173" s="560">
        <f t="shared" si="1"/>
        <v>500000</v>
      </c>
      <c r="I173" s="725" t="s">
        <v>1541</v>
      </c>
    </row>
    <row r="174" spans="1:9" ht="15.95" customHeight="1">
      <c r="A174" s="966"/>
      <c r="B174" s="341"/>
      <c r="C174" s="753" t="s">
        <v>1148</v>
      </c>
      <c r="D174" s="753" t="s">
        <v>1149</v>
      </c>
      <c r="E174" s="800" t="s">
        <v>215</v>
      </c>
      <c r="F174" s="800">
        <v>1</v>
      </c>
      <c r="G174" s="802">
        <v>90000</v>
      </c>
      <c r="H174" s="560">
        <f t="shared" si="1"/>
        <v>90000</v>
      </c>
      <c r="I174" s="725" t="s">
        <v>1541</v>
      </c>
    </row>
    <row r="175" spans="1:9" ht="15.95" customHeight="1">
      <c r="A175" s="966"/>
      <c r="B175" s="341"/>
      <c r="C175" s="753" t="s">
        <v>676</v>
      </c>
      <c r="D175" s="753" t="s">
        <v>1150</v>
      </c>
      <c r="E175" s="800" t="s">
        <v>215</v>
      </c>
      <c r="F175" s="800">
        <v>3</v>
      </c>
      <c r="G175" s="802">
        <v>136000</v>
      </c>
      <c r="H175" s="560">
        <f t="shared" si="1"/>
        <v>408000</v>
      </c>
      <c r="I175" s="725" t="s">
        <v>1541</v>
      </c>
    </row>
    <row r="176" spans="1:9" ht="15.95" customHeight="1">
      <c r="A176" s="966"/>
      <c r="B176" s="341"/>
      <c r="C176" s="753" t="s">
        <v>217</v>
      </c>
      <c r="D176" s="753" t="s">
        <v>1151</v>
      </c>
      <c r="E176" s="800" t="s">
        <v>215</v>
      </c>
      <c r="F176" s="800">
        <v>1</v>
      </c>
      <c r="G176" s="802">
        <v>64000</v>
      </c>
      <c r="H176" s="560">
        <f t="shared" si="1"/>
        <v>64000</v>
      </c>
      <c r="I176" s="725" t="s">
        <v>1541</v>
      </c>
    </row>
    <row r="177" spans="1:9" ht="15.95" customHeight="1">
      <c r="A177" s="966"/>
      <c r="B177" s="341"/>
      <c r="C177" s="753" t="s">
        <v>676</v>
      </c>
      <c r="D177" s="753" t="s">
        <v>1152</v>
      </c>
      <c r="E177" s="800" t="s">
        <v>215</v>
      </c>
      <c r="F177" s="800">
        <v>1</v>
      </c>
      <c r="G177" s="802">
        <v>780000</v>
      </c>
      <c r="H177" s="560">
        <f t="shared" si="1"/>
        <v>780000</v>
      </c>
      <c r="I177" s="725" t="s">
        <v>1541</v>
      </c>
    </row>
    <row r="178" spans="1:9" ht="15.95" customHeight="1">
      <c r="A178" s="966"/>
      <c r="B178" s="341"/>
      <c r="C178" s="753" t="s">
        <v>1111</v>
      </c>
      <c r="D178" s="753" t="s">
        <v>1153</v>
      </c>
      <c r="E178" s="800" t="s">
        <v>215</v>
      </c>
      <c r="F178" s="800">
        <v>1</v>
      </c>
      <c r="G178" s="802">
        <v>500000</v>
      </c>
      <c r="H178" s="560">
        <f t="shared" si="1"/>
        <v>500000</v>
      </c>
      <c r="I178" s="725" t="s">
        <v>1541</v>
      </c>
    </row>
    <row r="179" spans="1:9" ht="15.95" customHeight="1">
      <c r="A179" s="966"/>
      <c r="B179" s="341"/>
      <c r="C179" s="753" t="s">
        <v>1113</v>
      </c>
      <c r="D179" s="753" t="s">
        <v>1154</v>
      </c>
      <c r="E179" s="800" t="s">
        <v>215</v>
      </c>
      <c r="F179" s="800">
        <v>1</v>
      </c>
      <c r="G179" s="802">
        <v>220000</v>
      </c>
      <c r="H179" s="560">
        <f t="shared" si="1"/>
        <v>220000</v>
      </c>
      <c r="I179" s="725" t="s">
        <v>1541</v>
      </c>
    </row>
    <row r="180" spans="1:9" ht="15.95" customHeight="1">
      <c r="A180" s="966"/>
      <c r="B180" s="341"/>
      <c r="C180" s="753" t="s">
        <v>1105</v>
      </c>
      <c r="D180" s="753" t="s">
        <v>1155</v>
      </c>
      <c r="E180" s="800" t="s">
        <v>215</v>
      </c>
      <c r="F180" s="800">
        <v>1</v>
      </c>
      <c r="G180" s="802">
        <v>36000</v>
      </c>
      <c r="H180" s="560">
        <f t="shared" si="1"/>
        <v>36000</v>
      </c>
      <c r="I180" s="725" t="s">
        <v>1541</v>
      </c>
    </row>
    <row r="181" spans="1:9" ht="15.95" customHeight="1">
      <c r="A181" s="966"/>
      <c r="B181" s="341"/>
      <c r="C181" s="753" t="s">
        <v>1105</v>
      </c>
      <c r="D181" s="753" t="s">
        <v>1156</v>
      </c>
      <c r="E181" s="800" t="s">
        <v>215</v>
      </c>
      <c r="F181" s="800">
        <v>1</v>
      </c>
      <c r="G181" s="802">
        <v>36000</v>
      </c>
      <c r="H181" s="560">
        <f t="shared" si="1"/>
        <v>36000</v>
      </c>
      <c r="I181" s="725" t="s">
        <v>1541</v>
      </c>
    </row>
    <row r="182" spans="1:9" ht="15.95" customHeight="1">
      <c r="A182" s="966"/>
      <c r="B182" s="341"/>
      <c r="C182" s="753" t="s">
        <v>757</v>
      </c>
      <c r="D182" s="753" t="s">
        <v>1157</v>
      </c>
      <c r="E182" s="800" t="s">
        <v>215</v>
      </c>
      <c r="F182" s="800">
        <v>1</v>
      </c>
      <c r="G182" s="802">
        <v>50000</v>
      </c>
      <c r="H182" s="560">
        <f t="shared" si="1"/>
        <v>50000</v>
      </c>
      <c r="I182" s="725" t="s">
        <v>1541</v>
      </c>
    </row>
    <row r="183" spans="1:9" ht="15.95" customHeight="1">
      <c r="A183" s="966"/>
      <c r="B183" s="341"/>
      <c r="C183" s="753" t="s">
        <v>1158</v>
      </c>
      <c r="D183" s="753" t="s">
        <v>1159</v>
      </c>
      <c r="E183" s="800" t="s">
        <v>215</v>
      </c>
      <c r="F183" s="800">
        <v>1</v>
      </c>
      <c r="G183" s="802">
        <v>50000</v>
      </c>
      <c r="H183" s="560">
        <f t="shared" si="1"/>
        <v>50000</v>
      </c>
      <c r="I183" s="725" t="s">
        <v>1541</v>
      </c>
    </row>
    <row r="184" spans="1:9" ht="15.95" customHeight="1">
      <c r="A184" s="966"/>
      <c r="B184" s="341"/>
      <c r="C184" s="753" t="s">
        <v>1160</v>
      </c>
      <c r="D184" s="753" t="s">
        <v>1161</v>
      </c>
      <c r="E184" s="800" t="s">
        <v>215</v>
      </c>
      <c r="F184" s="800">
        <v>1</v>
      </c>
      <c r="G184" s="802">
        <v>460000</v>
      </c>
      <c r="H184" s="560">
        <f t="shared" si="1"/>
        <v>460000</v>
      </c>
      <c r="I184" s="725" t="s">
        <v>1541</v>
      </c>
    </row>
    <row r="185" spans="1:9" ht="15.95" customHeight="1">
      <c r="A185" s="966"/>
      <c r="B185" s="341"/>
      <c r="C185" s="753" t="s">
        <v>1162</v>
      </c>
      <c r="D185" s="753" t="s">
        <v>1163</v>
      </c>
      <c r="E185" s="800" t="s">
        <v>215</v>
      </c>
      <c r="F185" s="800">
        <v>1</v>
      </c>
      <c r="G185" s="802">
        <v>430000</v>
      </c>
      <c r="H185" s="560">
        <f t="shared" si="1"/>
        <v>430000</v>
      </c>
      <c r="I185" s="725" t="s">
        <v>1541</v>
      </c>
    </row>
    <row r="186" spans="1:9" ht="15.95" customHeight="1">
      <c r="A186" s="966"/>
      <c r="B186" s="341"/>
      <c r="C186" s="753" t="s">
        <v>1101</v>
      </c>
      <c r="D186" s="753" t="s">
        <v>1164</v>
      </c>
      <c r="E186" s="800" t="s">
        <v>215</v>
      </c>
      <c r="F186" s="800">
        <v>1</v>
      </c>
      <c r="G186" s="802">
        <v>180000</v>
      </c>
      <c r="H186" s="560">
        <f t="shared" si="1"/>
        <v>180000</v>
      </c>
      <c r="I186" s="725" t="s">
        <v>1541</v>
      </c>
    </row>
    <row r="187" spans="1:9" ht="15.95" customHeight="1">
      <c r="A187" s="966"/>
      <c r="B187" s="341"/>
      <c r="C187" s="753" t="s">
        <v>401</v>
      </c>
      <c r="D187" s="753" t="s">
        <v>1165</v>
      </c>
      <c r="E187" s="800" t="s">
        <v>215</v>
      </c>
      <c r="F187" s="800">
        <v>1</v>
      </c>
      <c r="G187" s="802">
        <v>25000</v>
      </c>
      <c r="H187" s="560">
        <f t="shared" si="1"/>
        <v>25000</v>
      </c>
      <c r="I187" s="725" t="s">
        <v>1541</v>
      </c>
    </row>
    <row r="188" spans="1:9" ht="15.95" customHeight="1">
      <c r="A188" s="966"/>
      <c r="B188" s="341"/>
      <c r="C188" s="753" t="s">
        <v>1130</v>
      </c>
      <c r="D188" s="753" t="s">
        <v>1166</v>
      </c>
      <c r="E188" s="800" t="s">
        <v>215</v>
      </c>
      <c r="F188" s="800">
        <v>1</v>
      </c>
      <c r="G188" s="802">
        <v>46000</v>
      </c>
      <c r="H188" s="560">
        <f t="shared" si="1"/>
        <v>46000</v>
      </c>
      <c r="I188" s="725" t="s">
        <v>1541</v>
      </c>
    </row>
    <row r="189" spans="1:9" ht="15.95" customHeight="1">
      <c r="A189" s="966"/>
      <c r="B189" s="341"/>
      <c r="C189" s="753" t="s">
        <v>748</v>
      </c>
      <c r="D189" s="753" t="s">
        <v>1167</v>
      </c>
      <c r="E189" s="800" t="s">
        <v>215</v>
      </c>
      <c r="F189" s="800">
        <v>1</v>
      </c>
      <c r="G189" s="802">
        <v>24000</v>
      </c>
      <c r="H189" s="560">
        <f t="shared" si="1"/>
        <v>24000</v>
      </c>
      <c r="I189" s="725" t="s">
        <v>1541</v>
      </c>
    </row>
    <row r="190" spans="1:9" ht="15.95" customHeight="1">
      <c r="A190" s="966"/>
      <c r="B190" s="341"/>
      <c r="C190" s="753" t="s">
        <v>748</v>
      </c>
      <c r="D190" s="753" t="s">
        <v>1168</v>
      </c>
      <c r="E190" s="800" t="s">
        <v>215</v>
      </c>
      <c r="F190" s="800">
        <v>1</v>
      </c>
      <c r="G190" s="802">
        <v>24000</v>
      </c>
      <c r="H190" s="560">
        <f t="shared" si="1"/>
        <v>24000</v>
      </c>
      <c r="I190" s="725" t="s">
        <v>1541</v>
      </c>
    </row>
    <row r="191" spans="1:9" ht="15.95" customHeight="1">
      <c r="A191" s="966"/>
      <c r="B191" s="341"/>
      <c r="C191" s="753" t="s">
        <v>1051</v>
      </c>
      <c r="D191" s="753" t="s">
        <v>1169</v>
      </c>
      <c r="E191" s="800" t="s">
        <v>215</v>
      </c>
      <c r="F191" s="800">
        <v>1</v>
      </c>
      <c r="G191" s="802">
        <v>10000</v>
      </c>
      <c r="H191" s="560">
        <f t="shared" si="1"/>
        <v>10000</v>
      </c>
      <c r="I191" s="725" t="s">
        <v>1541</v>
      </c>
    </row>
    <row r="192" spans="1:9" ht="15.95" customHeight="1">
      <c r="A192" s="966"/>
      <c r="B192" s="341"/>
      <c r="C192" s="753" t="s">
        <v>684</v>
      </c>
      <c r="D192" s="753" t="s">
        <v>1170</v>
      </c>
      <c r="E192" s="800" t="s">
        <v>215</v>
      </c>
      <c r="F192" s="800">
        <v>1</v>
      </c>
      <c r="G192" s="802">
        <v>12000</v>
      </c>
      <c r="H192" s="560">
        <f t="shared" si="1"/>
        <v>12000</v>
      </c>
      <c r="I192" s="725" t="s">
        <v>1541</v>
      </c>
    </row>
    <row r="193" spans="1:9" ht="15.95" customHeight="1">
      <c r="A193" s="966"/>
      <c r="B193" s="341"/>
      <c r="C193" s="753" t="s">
        <v>1121</v>
      </c>
      <c r="D193" s="753" t="s">
        <v>1171</v>
      </c>
      <c r="E193" s="800" t="s">
        <v>215</v>
      </c>
      <c r="F193" s="800">
        <v>1</v>
      </c>
      <c r="G193" s="802">
        <v>50000</v>
      </c>
      <c r="H193" s="560">
        <f t="shared" si="1"/>
        <v>50000</v>
      </c>
      <c r="I193" s="725" t="s">
        <v>1541</v>
      </c>
    </row>
    <row r="194" spans="1:9" ht="15.95" customHeight="1">
      <c r="A194" s="966"/>
      <c r="B194" s="341"/>
      <c r="C194" s="753" t="s">
        <v>627</v>
      </c>
      <c r="D194" s="753" t="s">
        <v>1172</v>
      </c>
      <c r="E194" s="800" t="s">
        <v>215</v>
      </c>
      <c r="F194" s="800">
        <v>1</v>
      </c>
      <c r="G194" s="802">
        <v>15000</v>
      </c>
      <c r="H194" s="560">
        <f t="shared" si="1"/>
        <v>15000</v>
      </c>
      <c r="I194" s="725" t="s">
        <v>1541</v>
      </c>
    </row>
    <row r="195" spans="1:9" ht="15.95" customHeight="1">
      <c r="A195" s="966"/>
      <c r="B195" s="341"/>
      <c r="C195" s="753" t="s">
        <v>1173</v>
      </c>
      <c r="D195" s="753" t="s">
        <v>1174</v>
      </c>
      <c r="E195" s="800" t="s">
        <v>215</v>
      </c>
      <c r="F195" s="800">
        <v>1</v>
      </c>
      <c r="G195" s="802">
        <v>170000</v>
      </c>
      <c r="H195" s="560">
        <f t="shared" si="1"/>
        <v>170000</v>
      </c>
      <c r="I195" s="725" t="s">
        <v>1541</v>
      </c>
    </row>
    <row r="196" spans="1:9" ht="15.95" customHeight="1">
      <c r="A196" s="966"/>
      <c r="B196" s="341"/>
      <c r="C196" s="753" t="s">
        <v>1141</v>
      </c>
      <c r="D196" s="753" t="s">
        <v>1175</v>
      </c>
      <c r="E196" s="800" t="s">
        <v>215</v>
      </c>
      <c r="F196" s="800">
        <v>1</v>
      </c>
      <c r="G196" s="802">
        <v>285000</v>
      </c>
      <c r="H196" s="560">
        <f t="shared" si="1"/>
        <v>285000</v>
      </c>
      <c r="I196" s="725" t="s">
        <v>1541</v>
      </c>
    </row>
    <row r="197" spans="1:9" ht="15.95" customHeight="1">
      <c r="A197" s="966"/>
      <c r="B197" s="341"/>
      <c r="C197" s="753" t="s">
        <v>691</v>
      </c>
      <c r="D197" s="753" t="s">
        <v>1176</v>
      </c>
      <c r="E197" s="800" t="s">
        <v>215</v>
      </c>
      <c r="F197" s="800">
        <v>1</v>
      </c>
      <c r="G197" s="802">
        <v>16000</v>
      </c>
      <c r="H197" s="560">
        <f t="shared" si="1"/>
        <v>16000</v>
      </c>
      <c r="I197" s="725" t="s">
        <v>1541</v>
      </c>
    </row>
    <row r="198" spans="1:9" ht="15.95" customHeight="1">
      <c r="A198" s="966"/>
      <c r="B198" s="436"/>
      <c r="C198" s="753" t="s">
        <v>1130</v>
      </c>
      <c r="D198" s="753" t="s">
        <v>1177</v>
      </c>
      <c r="E198" s="800" t="s">
        <v>215</v>
      </c>
      <c r="F198" s="800">
        <v>1</v>
      </c>
      <c r="G198" s="802">
        <v>120000</v>
      </c>
      <c r="H198" s="560">
        <f t="shared" si="1"/>
        <v>120000</v>
      </c>
      <c r="I198" s="725" t="s">
        <v>1541</v>
      </c>
    </row>
    <row r="199" spans="1:9" ht="15.95" customHeight="1">
      <c r="A199" s="966"/>
      <c r="B199" s="436"/>
      <c r="C199" s="753" t="s">
        <v>1178</v>
      </c>
      <c r="D199" s="753" t="s">
        <v>1179</v>
      </c>
      <c r="E199" s="800" t="s">
        <v>215</v>
      </c>
      <c r="F199" s="800">
        <v>1</v>
      </c>
      <c r="G199" s="802">
        <v>114000</v>
      </c>
      <c r="H199" s="560">
        <f t="shared" si="1"/>
        <v>114000</v>
      </c>
      <c r="I199" s="725" t="s">
        <v>1541</v>
      </c>
    </row>
    <row r="200" spans="1:9" ht="15.95" customHeight="1">
      <c r="A200" s="966"/>
      <c r="B200" s="436"/>
      <c r="C200" s="753" t="s">
        <v>1180</v>
      </c>
      <c r="D200" s="753" t="s">
        <v>1181</v>
      </c>
      <c r="E200" s="800" t="s">
        <v>215</v>
      </c>
      <c r="F200" s="800">
        <v>1</v>
      </c>
      <c r="G200" s="802">
        <v>84000</v>
      </c>
      <c r="H200" s="560">
        <f t="shared" si="1"/>
        <v>84000</v>
      </c>
      <c r="I200" s="725" t="s">
        <v>1541</v>
      </c>
    </row>
    <row r="201" spans="1:9" ht="15.95" customHeight="1">
      <c r="A201" s="966"/>
      <c r="B201" s="436"/>
      <c r="C201" s="753" t="s">
        <v>684</v>
      </c>
      <c r="D201" s="753" t="s">
        <v>1182</v>
      </c>
      <c r="E201" s="800" t="s">
        <v>215</v>
      </c>
      <c r="F201" s="800">
        <v>1</v>
      </c>
      <c r="G201" s="802">
        <v>28000</v>
      </c>
      <c r="H201" s="560">
        <f t="shared" si="1"/>
        <v>28000</v>
      </c>
      <c r="I201" s="725" t="s">
        <v>1541</v>
      </c>
    </row>
    <row r="202" spans="1:9" ht="15.95" customHeight="1">
      <c r="A202" s="966"/>
      <c r="B202" s="341"/>
      <c r="C202" s="753" t="s">
        <v>1183</v>
      </c>
      <c r="D202" s="753" t="s">
        <v>1184</v>
      </c>
      <c r="E202" s="800" t="s">
        <v>215</v>
      </c>
      <c r="F202" s="800">
        <v>1</v>
      </c>
      <c r="G202" s="802">
        <v>98000</v>
      </c>
      <c r="H202" s="560">
        <f t="shared" si="1"/>
        <v>98000</v>
      </c>
      <c r="I202" s="725" t="s">
        <v>1541</v>
      </c>
    </row>
    <row r="203" spans="1:9" ht="15.95" customHeight="1">
      <c r="A203" s="966"/>
      <c r="B203" s="341"/>
      <c r="C203" s="753" t="s">
        <v>748</v>
      </c>
      <c r="D203" s="753" t="s">
        <v>1185</v>
      </c>
      <c r="E203" s="800" t="s">
        <v>215</v>
      </c>
      <c r="F203" s="800">
        <v>2</v>
      </c>
      <c r="G203" s="802">
        <v>20000</v>
      </c>
      <c r="H203" s="560">
        <f t="shared" ref="H203:H266" si="2">G203*F203</f>
        <v>40000</v>
      </c>
      <c r="I203" s="725" t="s">
        <v>1541</v>
      </c>
    </row>
    <row r="204" spans="1:9" ht="15.95" customHeight="1">
      <c r="A204" s="966"/>
      <c r="B204" s="341"/>
      <c r="C204" s="753" t="s">
        <v>1186</v>
      </c>
      <c r="D204" s="753" t="s">
        <v>1187</v>
      </c>
      <c r="E204" s="800" t="s">
        <v>215</v>
      </c>
      <c r="F204" s="800">
        <v>2</v>
      </c>
      <c r="G204" s="802">
        <v>70000</v>
      </c>
      <c r="H204" s="560">
        <f t="shared" si="2"/>
        <v>140000</v>
      </c>
      <c r="I204" s="725" t="s">
        <v>1541</v>
      </c>
    </row>
    <row r="205" spans="1:9" ht="15.95" customHeight="1">
      <c r="A205" s="966"/>
      <c r="B205" s="341"/>
      <c r="C205" s="753" t="s">
        <v>1188</v>
      </c>
      <c r="D205" s="753" t="s">
        <v>1189</v>
      </c>
      <c r="E205" s="800" t="s">
        <v>215</v>
      </c>
      <c r="F205" s="800">
        <v>1</v>
      </c>
      <c r="G205" s="802">
        <v>253000</v>
      </c>
      <c r="H205" s="560">
        <f t="shared" si="2"/>
        <v>253000</v>
      </c>
      <c r="I205" s="725" t="s">
        <v>1541</v>
      </c>
    </row>
    <row r="206" spans="1:9" ht="15.95" customHeight="1">
      <c r="A206" s="966"/>
      <c r="B206" s="341"/>
      <c r="C206" s="753" t="s">
        <v>1190</v>
      </c>
      <c r="D206" s="753" t="s">
        <v>1191</v>
      </c>
      <c r="E206" s="800" t="s">
        <v>215</v>
      </c>
      <c r="F206" s="800">
        <v>1</v>
      </c>
      <c r="G206" s="802">
        <v>20000</v>
      </c>
      <c r="H206" s="560">
        <f t="shared" si="2"/>
        <v>20000</v>
      </c>
      <c r="I206" s="725" t="s">
        <v>1541</v>
      </c>
    </row>
    <row r="207" spans="1:9" ht="15.95" customHeight="1">
      <c r="A207" s="966"/>
      <c r="B207" s="341"/>
      <c r="C207" s="753" t="s">
        <v>714</v>
      </c>
      <c r="D207" s="753" t="s">
        <v>1192</v>
      </c>
      <c r="E207" s="800" t="s">
        <v>215</v>
      </c>
      <c r="F207" s="800">
        <v>1</v>
      </c>
      <c r="G207" s="802">
        <v>16000</v>
      </c>
      <c r="H207" s="560">
        <f t="shared" si="2"/>
        <v>16000</v>
      </c>
      <c r="I207" s="725" t="s">
        <v>1541</v>
      </c>
    </row>
    <row r="208" spans="1:9" ht="15.95" customHeight="1">
      <c r="A208" s="966"/>
      <c r="B208" s="341"/>
      <c r="C208" s="753" t="s">
        <v>1193</v>
      </c>
      <c r="D208" s="753" t="s">
        <v>1194</v>
      </c>
      <c r="E208" s="800" t="s">
        <v>215</v>
      </c>
      <c r="F208" s="800">
        <v>1</v>
      </c>
      <c r="G208" s="802">
        <v>30000</v>
      </c>
      <c r="H208" s="560">
        <f t="shared" si="2"/>
        <v>30000</v>
      </c>
      <c r="I208" s="725" t="s">
        <v>1541</v>
      </c>
    </row>
    <row r="209" spans="1:9" ht="15.95" customHeight="1">
      <c r="A209" s="966"/>
      <c r="B209" s="341"/>
      <c r="C209" s="753" t="s">
        <v>751</v>
      </c>
      <c r="D209" s="753" t="s">
        <v>1195</v>
      </c>
      <c r="E209" s="800" t="s">
        <v>215</v>
      </c>
      <c r="F209" s="800">
        <v>1</v>
      </c>
      <c r="G209" s="802">
        <v>10000</v>
      </c>
      <c r="H209" s="560">
        <f t="shared" si="2"/>
        <v>10000</v>
      </c>
      <c r="I209" s="725" t="s">
        <v>1541</v>
      </c>
    </row>
    <row r="210" spans="1:9" ht="15.95" customHeight="1">
      <c r="A210" s="966"/>
      <c r="B210" s="341"/>
      <c r="C210" s="753" t="s">
        <v>754</v>
      </c>
      <c r="D210" s="753" t="s">
        <v>1196</v>
      </c>
      <c r="E210" s="800" t="s">
        <v>215</v>
      </c>
      <c r="F210" s="800">
        <v>1</v>
      </c>
      <c r="G210" s="802">
        <v>20000</v>
      </c>
      <c r="H210" s="560">
        <f t="shared" si="2"/>
        <v>20000</v>
      </c>
      <c r="I210" s="725" t="s">
        <v>1541</v>
      </c>
    </row>
    <row r="211" spans="1:9" ht="15.95" customHeight="1">
      <c r="A211" s="966"/>
      <c r="B211" s="341"/>
      <c r="C211" s="753" t="s">
        <v>1197</v>
      </c>
      <c r="D211" s="753" t="s">
        <v>1198</v>
      </c>
      <c r="E211" s="800" t="s">
        <v>215</v>
      </c>
      <c r="F211" s="800">
        <v>1</v>
      </c>
      <c r="G211" s="802">
        <v>145000</v>
      </c>
      <c r="H211" s="560">
        <f t="shared" si="2"/>
        <v>145000</v>
      </c>
      <c r="I211" s="725" t="s">
        <v>1541</v>
      </c>
    </row>
    <row r="212" spans="1:9" ht="15.95" customHeight="1">
      <c r="A212" s="966"/>
      <c r="B212" s="341"/>
      <c r="C212" s="753" t="s">
        <v>1199</v>
      </c>
      <c r="D212" s="753" t="s">
        <v>1200</v>
      </c>
      <c r="E212" s="800" t="s">
        <v>215</v>
      </c>
      <c r="F212" s="800">
        <v>1</v>
      </c>
      <c r="G212" s="802">
        <v>140000</v>
      </c>
      <c r="H212" s="560">
        <f t="shared" si="2"/>
        <v>140000</v>
      </c>
      <c r="I212" s="725" t="s">
        <v>1541</v>
      </c>
    </row>
    <row r="213" spans="1:9" ht="15.95" customHeight="1">
      <c r="A213" s="966"/>
      <c r="B213" s="341"/>
      <c r="C213" s="753" t="s">
        <v>217</v>
      </c>
      <c r="D213" s="753" t="s">
        <v>1201</v>
      </c>
      <c r="E213" s="800" t="s">
        <v>215</v>
      </c>
      <c r="F213" s="800">
        <v>1</v>
      </c>
      <c r="G213" s="802">
        <v>100000</v>
      </c>
      <c r="H213" s="560">
        <f t="shared" si="2"/>
        <v>100000</v>
      </c>
      <c r="I213" s="725" t="s">
        <v>1541</v>
      </c>
    </row>
    <row r="214" spans="1:9" ht="15.95" customHeight="1">
      <c r="A214" s="966"/>
      <c r="B214" s="341"/>
      <c r="C214" s="753" t="s">
        <v>1202</v>
      </c>
      <c r="D214" s="753" t="s">
        <v>1203</v>
      </c>
      <c r="E214" s="800" t="s">
        <v>215</v>
      </c>
      <c r="F214" s="800">
        <v>1</v>
      </c>
      <c r="G214" s="802">
        <v>48000</v>
      </c>
      <c r="H214" s="560">
        <f t="shared" si="2"/>
        <v>48000</v>
      </c>
      <c r="I214" s="725" t="s">
        <v>1541</v>
      </c>
    </row>
    <row r="215" spans="1:9" ht="15.95" customHeight="1">
      <c r="A215" s="966"/>
      <c r="B215" s="341"/>
      <c r="C215" s="753" t="s">
        <v>1143</v>
      </c>
      <c r="D215" s="753" t="s">
        <v>1204</v>
      </c>
      <c r="E215" s="800" t="s">
        <v>215</v>
      </c>
      <c r="F215" s="800">
        <v>1</v>
      </c>
      <c r="G215" s="802">
        <v>110000</v>
      </c>
      <c r="H215" s="560">
        <f t="shared" si="2"/>
        <v>110000</v>
      </c>
      <c r="I215" s="725" t="s">
        <v>1541</v>
      </c>
    </row>
    <row r="216" spans="1:9" ht="15.95" customHeight="1">
      <c r="A216" s="966"/>
      <c r="B216" s="341"/>
      <c r="C216" s="753" t="s">
        <v>401</v>
      </c>
      <c r="D216" s="753" t="s">
        <v>1205</v>
      </c>
      <c r="E216" s="800" t="s">
        <v>215</v>
      </c>
      <c r="F216" s="800">
        <v>1</v>
      </c>
      <c r="G216" s="802">
        <v>20000</v>
      </c>
      <c r="H216" s="560">
        <f t="shared" si="2"/>
        <v>20000</v>
      </c>
      <c r="I216" s="725" t="s">
        <v>1541</v>
      </c>
    </row>
    <row r="217" spans="1:9" ht="15.95" customHeight="1">
      <c r="A217" s="966"/>
      <c r="B217" s="341"/>
      <c r="C217" s="753" t="s">
        <v>401</v>
      </c>
      <c r="D217" s="753" t="s">
        <v>1206</v>
      </c>
      <c r="E217" s="800" t="s">
        <v>215</v>
      </c>
      <c r="F217" s="800">
        <v>1</v>
      </c>
      <c r="G217" s="802">
        <v>20000</v>
      </c>
      <c r="H217" s="560">
        <f t="shared" si="2"/>
        <v>20000</v>
      </c>
      <c r="I217" s="725" t="s">
        <v>1541</v>
      </c>
    </row>
    <row r="218" spans="1:9" ht="15.95" customHeight="1">
      <c r="A218" s="966"/>
      <c r="B218" s="341"/>
      <c r="C218" s="753" t="s">
        <v>1207</v>
      </c>
      <c r="D218" s="753" t="s">
        <v>1208</v>
      </c>
      <c r="E218" s="800" t="s">
        <v>215</v>
      </c>
      <c r="F218" s="800">
        <v>1</v>
      </c>
      <c r="G218" s="802">
        <v>60000</v>
      </c>
      <c r="H218" s="560">
        <f t="shared" si="2"/>
        <v>60000</v>
      </c>
      <c r="I218" s="725" t="s">
        <v>1541</v>
      </c>
    </row>
    <row r="219" spans="1:9" ht="15.95" customHeight="1">
      <c r="A219" s="966"/>
      <c r="B219" s="341"/>
      <c r="C219" s="753" t="s">
        <v>757</v>
      </c>
      <c r="D219" s="753" t="s">
        <v>1209</v>
      </c>
      <c r="E219" s="800" t="s">
        <v>215</v>
      </c>
      <c r="F219" s="800">
        <v>1</v>
      </c>
      <c r="G219" s="802">
        <v>20000</v>
      </c>
      <c r="H219" s="560">
        <f t="shared" si="2"/>
        <v>20000</v>
      </c>
      <c r="I219" s="725" t="s">
        <v>1541</v>
      </c>
    </row>
    <row r="220" spans="1:9" ht="15.95" customHeight="1">
      <c r="A220" s="966"/>
      <c r="B220" s="341"/>
      <c r="C220" s="753" t="s">
        <v>847</v>
      </c>
      <c r="D220" s="753" t="s">
        <v>1210</v>
      </c>
      <c r="E220" s="800" t="s">
        <v>215</v>
      </c>
      <c r="F220" s="800">
        <v>1</v>
      </c>
      <c r="G220" s="802">
        <v>70000</v>
      </c>
      <c r="H220" s="560">
        <f t="shared" si="2"/>
        <v>70000</v>
      </c>
      <c r="I220" s="725" t="s">
        <v>1541</v>
      </c>
    </row>
    <row r="221" spans="1:9" ht="15.95" customHeight="1">
      <c r="A221" s="966"/>
      <c r="B221" s="341"/>
      <c r="C221" s="753"/>
      <c r="D221" s="753"/>
      <c r="E221" s="800"/>
      <c r="F221" s="801"/>
      <c r="G221" s="802"/>
      <c r="H221" s="560">
        <f t="shared" si="2"/>
        <v>0</v>
      </c>
      <c r="I221" s="317"/>
    </row>
    <row r="222" spans="1:9" ht="15.95" customHeight="1">
      <c r="A222" s="966"/>
      <c r="B222" s="796" t="s">
        <v>566</v>
      </c>
      <c r="C222" s="753" t="s">
        <v>979</v>
      </c>
      <c r="D222" s="753" t="s">
        <v>1211</v>
      </c>
      <c r="E222" s="800" t="s">
        <v>215</v>
      </c>
      <c r="F222" s="801">
        <v>4</v>
      </c>
      <c r="G222" s="802">
        <v>99000</v>
      </c>
      <c r="H222" s="560">
        <f t="shared" si="2"/>
        <v>396000</v>
      </c>
      <c r="I222" s="317" t="s">
        <v>1541</v>
      </c>
    </row>
    <row r="223" spans="1:9" ht="15.95" customHeight="1">
      <c r="A223" s="966"/>
      <c r="B223" s="773" t="s">
        <v>1313</v>
      </c>
      <c r="C223" s="753" t="s">
        <v>673</v>
      </c>
      <c r="D223" s="753" t="s">
        <v>1212</v>
      </c>
      <c r="E223" s="800" t="s">
        <v>215</v>
      </c>
      <c r="F223" s="800">
        <v>4</v>
      </c>
      <c r="G223" s="802">
        <v>134000</v>
      </c>
      <c r="H223" s="560">
        <f t="shared" si="2"/>
        <v>536000</v>
      </c>
      <c r="I223" s="317" t="s">
        <v>1541</v>
      </c>
    </row>
    <row r="224" spans="1:9" ht="15.95" customHeight="1">
      <c r="A224" s="966"/>
      <c r="B224" s="341"/>
      <c r="C224" s="753" t="s">
        <v>1213</v>
      </c>
      <c r="D224" s="753" t="s">
        <v>1214</v>
      </c>
      <c r="E224" s="800" t="s">
        <v>215</v>
      </c>
      <c r="F224" s="800">
        <v>4</v>
      </c>
      <c r="G224" s="802">
        <v>170000</v>
      </c>
      <c r="H224" s="560">
        <f t="shared" si="2"/>
        <v>680000</v>
      </c>
      <c r="I224" s="317" t="s">
        <v>1541</v>
      </c>
    </row>
    <row r="225" spans="1:9" ht="15.95" customHeight="1">
      <c r="A225" s="966"/>
      <c r="B225" s="341"/>
      <c r="C225" s="753" t="s">
        <v>1215</v>
      </c>
      <c r="D225" s="753" t="s">
        <v>1216</v>
      </c>
      <c r="E225" s="800" t="s">
        <v>215</v>
      </c>
      <c r="F225" s="800">
        <v>4</v>
      </c>
      <c r="G225" s="802">
        <v>40000</v>
      </c>
      <c r="H225" s="560">
        <f t="shared" si="2"/>
        <v>160000</v>
      </c>
      <c r="I225" s="317" t="s">
        <v>1541</v>
      </c>
    </row>
    <row r="226" spans="1:9" ht="15.95" customHeight="1">
      <c r="A226" s="966"/>
      <c r="B226" s="341"/>
      <c r="C226" s="753" t="s">
        <v>1217</v>
      </c>
      <c r="D226" s="753" t="s">
        <v>1218</v>
      </c>
      <c r="E226" s="800" t="s">
        <v>215</v>
      </c>
      <c r="F226" s="800">
        <v>4</v>
      </c>
      <c r="G226" s="802">
        <v>62000</v>
      </c>
      <c r="H226" s="560">
        <f t="shared" si="2"/>
        <v>248000</v>
      </c>
      <c r="I226" s="317" t="s">
        <v>1541</v>
      </c>
    </row>
    <row r="227" spans="1:9" ht="15.95" customHeight="1">
      <c r="A227" s="966"/>
      <c r="B227" s="341"/>
      <c r="C227" s="753" t="s">
        <v>1219</v>
      </c>
      <c r="D227" s="753" t="s">
        <v>1220</v>
      </c>
      <c r="E227" s="800" t="s">
        <v>215</v>
      </c>
      <c r="F227" s="800">
        <v>4</v>
      </c>
      <c r="G227" s="802">
        <v>50000</v>
      </c>
      <c r="H227" s="560">
        <f t="shared" si="2"/>
        <v>200000</v>
      </c>
      <c r="I227" s="317" t="s">
        <v>1541</v>
      </c>
    </row>
    <row r="228" spans="1:9" ht="15.95" customHeight="1">
      <c r="A228" s="966"/>
      <c r="B228" s="341"/>
      <c r="C228" s="753" t="s">
        <v>1221</v>
      </c>
      <c r="D228" s="753" t="s">
        <v>1222</v>
      </c>
      <c r="E228" s="800" t="s">
        <v>215</v>
      </c>
      <c r="F228" s="800">
        <v>4</v>
      </c>
      <c r="G228" s="802">
        <v>52000</v>
      </c>
      <c r="H228" s="560">
        <f t="shared" si="2"/>
        <v>208000</v>
      </c>
      <c r="I228" s="317" t="s">
        <v>1541</v>
      </c>
    </row>
    <row r="229" spans="1:9" ht="15.95" customHeight="1">
      <c r="A229" s="966"/>
      <c r="B229" s="341"/>
      <c r="C229" s="753" t="s">
        <v>1223</v>
      </c>
      <c r="D229" s="753" t="s">
        <v>1224</v>
      </c>
      <c r="E229" s="800" t="s">
        <v>215</v>
      </c>
      <c r="F229" s="800">
        <v>8</v>
      </c>
      <c r="G229" s="802">
        <v>50000</v>
      </c>
      <c r="H229" s="560">
        <f t="shared" si="2"/>
        <v>400000</v>
      </c>
      <c r="I229" s="317" t="s">
        <v>1541</v>
      </c>
    </row>
    <row r="230" spans="1:9" ht="15.95" customHeight="1">
      <c r="A230" s="966"/>
      <c r="B230" s="341"/>
      <c r="C230" s="753" t="s">
        <v>1225</v>
      </c>
      <c r="D230" s="753" t="s">
        <v>1226</v>
      </c>
      <c r="E230" s="800" t="s">
        <v>215</v>
      </c>
      <c r="F230" s="800">
        <v>4</v>
      </c>
      <c r="G230" s="802">
        <v>20000</v>
      </c>
      <c r="H230" s="560">
        <f t="shared" si="2"/>
        <v>80000</v>
      </c>
      <c r="I230" s="317" t="s">
        <v>1541</v>
      </c>
    </row>
    <row r="231" spans="1:9" ht="15.95" customHeight="1">
      <c r="A231" s="966"/>
      <c r="B231" s="341"/>
      <c r="C231" s="753" t="s">
        <v>892</v>
      </c>
      <c r="D231" s="753" t="s">
        <v>1227</v>
      </c>
      <c r="E231" s="800" t="s">
        <v>215</v>
      </c>
      <c r="F231" s="800">
        <v>8</v>
      </c>
      <c r="G231" s="802">
        <v>38000</v>
      </c>
      <c r="H231" s="560">
        <f t="shared" si="2"/>
        <v>304000</v>
      </c>
      <c r="I231" s="317" t="s">
        <v>1541</v>
      </c>
    </row>
    <row r="232" spans="1:9" ht="15.95" customHeight="1">
      <c r="A232" s="966"/>
      <c r="B232" s="341"/>
      <c r="C232" s="753" t="s">
        <v>1228</v>
      </c>
      <c r="D232" s="753" t="s">
        <v>1229</v>
      </c>
      <c r="E232" s="800" t="s">
        <v>215</v>
      </c>
      <c r="F232" s="800">
        <v>4</v>
      </c>
      <c r="G232" s="802">
        <v>58000</v>
      </c>
      <c r="H232" s="560">
        <f t="shared" si="2"/>
        <v>232000</v>
      </c>
      <c r="I232" s="317" t="s">
        <v>1541</v>
      </c>
    </row>
    <row r="233" spans="1:9" ht="15.95" customHeight="1">
      <c r="A233" s="966"/>
      <c r="B233" s="341"/>
      <c r="C233" s="753" t="s">
        <v>1230</v>
      </c>
      <c r="D233" s="753" t="s">
        <v>1231</v>
      </c>
      <c r="E233" s="800" t="s">
        <v>215</v>
      </c>
      <c r="F233" s="800">
        <v>4</v>
      </c>
      <c r="G233" s="802">
        <v>56000</v>
      </c>
      <c r="H233" s="560">
        <f t="shared" si="2"/>
        <v>224000</v>
      </c>
      <c r="I233" s="317" t="s">
        <v>1541</v>
      </c>
    </row>
    <row r="234" spans="1:9" ht="15.95" customHeight="1">
      <c r="A234" s="966"/>
      <c r="B234" s="341"/>
      <c r="C234" s="753" t="s">
        <v>627</v>
      </c>
      <c r="D234" s="753" t="s">
        <v>1232</v>
      </c>
      <c r="E234" s="800" t="s">
        <v>215</v>
      </c>
      <c r="F234" s="800">
        <v>4</v>
      </c>
      <c r="G234" s="802">
        <v>30000</v>
      </c>
      <c r="H234" s="560">
        <f t="shared" si="2"/>
        <v>120000</v>
      </c>
      <c r="I234" s="317" t="s">
        <v>1541</v>
      </c>
    </row>
    <row r="235" spans="1:9" ht="15.95" customHeight="1">
      <c r="A235" s="966"/>
      <c r="B235" s="341"/>
      <c r="C235" s="753" t="s">
        <v>948</v>
      </c>
      <c r="D235" s="753" t="s">
        <v>1233</v>
      </c>
      <c r="E235" s="800" t="s">
        <v>215</v>
      </c>
      <c r="F235" s="800">
        <v>4</v>
      </c>
      <c r="G235" s="802">
        <v>22000</v>
      </c>
      <c r="H235" s="560">
        <f t="shared" si="2"/>
        <v>88000</v>
      </c>
      <c r="I235" s="317" t="s">
        <v>1541</v>
      </c>
    </row>
    <row r="236" spans="1:9" ht="15.95" customHeight="1">
      <c r="A236" s="966"/>
      <c r="B236" s="341"/>
      <c r="C236" s="753" t="s">
        <v>751</v>
      </c>
      <c r="D236" s="753" t="s">
        <v>1234</v>
      </c>
      <c r="E236" s="800" t="s">
        <v>215</v>
      </c>
      <c r="F236" s="800">
        <v>8</v>
      </c>
      <c r="G236" s="802">
        <v>9000</v>
      </c>
      <c r="H236" s="560">
        <f t="shared" si="2"/>
        <v>72000</v>
      </c>
      <c r="I236" s="317" t="s">
        <v>1541</v>
      </c>
    </row>
    <row r="237" spans="1:9" ht="15.95" customHeight="1">
      <c r="A237" s="966"/>
      <c r="B237" s="341"/>
      <c r="C237" s="753" t="s">
        <v>1235</v>
      </c>
      <c r="D237" s="753" t="s">
        <v>1236</v>
      </c>
      <c r="E237" s="800" t="s">
        <v>215</v>
      </c>
      <c r="F237" s="800">
        <v>24</v>
      </c>
      <c r="G237" s="802">
        <v>59000</v>
      </c>
      <c r="H237" s="560">
        <f t="shared" si="2"/>
        <v>1416000</v>
      </c>
      <c r="I237" s="317" t="s">
        <v>1541</v>
      </c>
    </row>
    <row r="238" spans="1:9" ht="15.95" customHeight="1">
      <c r="A238" s="966"/>
      <c r="B238" s="341"/>
      <c r="C238" s="753" t="s">
        <v>1237</v>
      </c>
      <c r="D238" s="753" t="s">
        <v>1238</v>
      </c>
      <c r="E238" s="800" t="s">
        <v>215</v>
      </c>
      <c r="F238" s="800">
        <v>2</v>
      </c>
      <c r="G238" s="802">
        <v>100000</v>
      </c>
      <c r="H238" s="560">
        <f t="shared" si="2"/>
        <v>200000</v>
      </c>
      <c r="I238" s="317" t="s">
        <v>1541</v>
      </c>
    </row>
    <row r="239" spans="1:9" ht="15.95" customHeight="1">
      <c r="A239" s="966"/>
      <c r="B239" s="341"/>
      <c r="C239" s="753" t="s">
        <v>1239</v>
      </c>
      <c r="D239" s="753" t="s">
        <v>1240</v>
      </c>
      <c r="E239" s="800" t="s">
        <v>215</v>
      </c>
      <c r="F239" s="800">
        <v>2</v>
      </c>
      <c r="G239" s="802">
        <v>100000</v>
      </c>
      <c r="H239" s="560">
        <f t="shared" si="2"/>
        <v>200000</v>
      </c>
      <c r="I239" s="317" t="s">
        <v>1541</v>
      </c>
    </row>
    <row r="240" spans="1:9" ht="15.95" customHeight="1">
      <c r="A240" s="966"/>
      <c r="B240" s="341"/>
      <c r="C240" s="753" t="s">
        <v>1241</v>
      </c>
      <c r="D240" s="753" t="s">
        <v>1242</v>
      </c>
      <c r="E240" s="800" t="s">
        <v>215</v>
      </c>
      <c r="F240" s="800">
        <v>1</v>
      </c>
      <c r="G240" s="802">
        <v>100000</v>
      </c>
      <c r="H240" s="560">
        <f t="shared" si="2"/>
        <v>100000</v>
      </c>
      <c r="I240" s="317" t="s">
        <v>1541</v>
      </c>
    </row>
    <row r="241" spans="1:9" ht="15.95" customHeight="1">
      <c r="A241" s="966"/>
      <c r="B241" s="341"/>
      <c r="C241" s="753" t="s">
        <v>1243</v>
      </c>
      <c r="D241" s="753" t="s">
        <v>1244</v>
      </c>
      <c r="E241" s="800" t="s">
        <v>215</v>
      </c>
      <c r="F241" s="800">
        <v>2</v>
      </c>
      <c r="G241" s="802">
        <v>100000</v>
      </c>
      <c r="H241" s="560">
        <f t="shared" si="2"/>
        <v>200000</v>
      </c>
      <c r="I241" s="317" t="s">
        <v>1541</v>
      </c>
    </row>
    <row r="242" spans="1:9" ht="15.95" customHeight="1">
      <c r="A242" s="966"/>
      <c r="B242" s="341"/>
      <c r="C242" s="753" t="s">
        <v>1245</v>
      </c>
      <c r="D242" s="753" t="s">
        <v>1246</v>
      </c>
      <c r="E242" s="800" t="s">
        <v>215</v>
      </c>
      <c r="F242" s="800">
        <v>2</v>
      </c>
      <c r="G242" s="802">
        <v>100000</v>
      </c>
      <c r="H242" s="560">
        <f t="shared" si="2"/>
        <v>200000</v>
      </c>
      <c r="I242" s="317" t="s">
        <v>1541</v>
      </c>
    </row>
    <row r="243" spans="1:9" ht="15.95" customHeight="1">
      <c r="A243" s="966"/>
      <c r="B243" s="341"/>
      <c r="C243" s="753" t="s">
        <v>1247</v>
      </c>
      <c r="D243" s="753" t="s">
        <v>1248</v>
      </c>
      <c r="E243" s="800" t="s">
        <v>215</v>
      </c>
      <c r="F243" s="800">
        <v>2</v>
      </c>
      <c r="G243" s="802">
        <v>100000</v>
      </c>
      <c r="H243" s="560">
        <f t="shared" si="2"/>
        <v>200000</v>
      </c>
      <c r="I243" s="317" t="s">
        <v>1541</v>
      </c>
    </row>
    <row r="244" spans="1:9" ht="15.95" customHeight="1">
      <c r="A244" s="966"/>
      <c r="B244" s="341"/>
      <c r="C244" s="753" t="s">
        <v>1249</v>
      </c>
      <c r="D244" s="753" t="s">
        <v>1250</v>
      </c>
      <c r="E244" s="800" t="s">
        <v>215</v>
      </c>
      <c r="F244" s="800">
        <v>1</v>
      </c>
      <c r="G244" s="802">
        <v>100000</v>
      </c>
      <c r="H244" s="560">
        <f t="shared" si="2"/>
        <v>100000</v>
      </c>
      <c r="I244" s="317" t="s">
        <v>1541</v>
      </c>
    </row>
    <row r="245" spans="1:9" ht="15.95" customHeight="1">
      <c r="A245" s="966"/>
      <c r="B245" s="341"/>
      <c r="C245" s="753" t="s">
        <v>1251</v>
      </c>
      <c r="D245" s="753" t="s">
        <v>1252</v>
      </c>
      <c r="E245" s="800" t="s">
        <v>215</v>
      </c>
      <c r="F245" s="800">
        <v>2</v>
      </c>
      <c r="G245" s="802">
        <v>100000</v>
      </c>
      <c r="H245" s="560">
        <f t="shared" si="2"/>
        <v>200000</v>
      </c>
      <c r="I245" s="317" t="s">
        <v>1541</v>
      </c>
    </row>
    <row r="246" spans="1:9" ht="15.95" customHeight="1">
      <c r="A246" s="966"/>
      <c r="B246" s="341"/>
      <c r="C246" s="753" t="s">
        <v>1253</v>
      </c>
      <c r="D246" s="753" t="s">
        <v>1254</v>
      </c>
      <c r="E246" s="800" t="s">
        <v>215</v>
      </c>
      <c r="F246" s="800">
        <v>2</v>
      </c>
      <c r="G246" s="802">
        <v>100000</v>
      </c>
      <c r="H246" s="560">
        <f t="shared" si="2"/>
        <v>200000</v>
      </c>
      <c r="I246" s="317" t="s">
        <v>1541</v>
      </c>
    </row>
    <row r="247" spans="1:9" ht="15.95" customHeight="1">
      <c r="A247" s="966"/>
      <c r="B247" s="341"/>
      <c r="C247" s="753" t="s">
        <v>1255</v>
      </c>
      <c r="D247" s="753" t="s">
        <v>1256</v>
      </c>
      <c r="E247" s="800" t="s">
        <v>215</v>
      </c>
      <c r="F247" s="800">
        <v>2</v>
      </c>
      <c r="G247" s="802">
        <v>100000</v>
      </c>
      <c r="H247" s="560">
        <f t="shared" si="2"/>
        <v>200000</v>
      </c>
      <c r="I247" s="317" t="s">
        <v>1541</v>
      </c>
    </row>
    <row r="248" spans="1:9" ht="15.95" customHeight="1">
      <c r="A248" s="966"/>
      <c r="B248" s="341"/>
      <c r="C248" s="753" t="s">
        <v>1257</v>
      </c>
      <c r="D248" s="753" t="s">
        <v>1258</v>
      </c>
      <c r="E248" s="800" t="s">
        <v>215</v>
      </c>
      <c r="F248" s="800">
        <v>2</v>
      </c>
      <c r="G248" s="802">
        <v>100000</v>
      </c>
      <c r="H248" s="560">
        <f t="shared" si="2"/>
        <v>200000</v>
      </c>
      <c r="I248" s="317" t="s">
        <v>1541</v>
      </c>
    </row>
    <row r="249" spans="1:9" ht="15.95" customHeight="1">
      <c r="A249" s="966"/>
      <c r="B249" s="341"/>
      <c r="C249" s="753" t="s">
        <v>1259</v>
      </c>
      <c r="D249" s="753" t="s">
        <v>1260</v>
      </c>
      <c r="E249" s="800" t="s">
        <v>215</v>
      </c>
      <c r="F249" s="800">
        <v>4</v>
      </c>
      <c r="G249" s="802">
        <v>100000</v>
      </c>
      <c r="H249" s="560">
        <f t="shared" si="2"/>
        <v>400000</v>
      </c>
      <c r="I249" s="317" t="s">
        <v>1541</v>
      </c>
    </row>
    <row r="250" spans="1:9" ht="15.95" customHeight="1">
      <c r="A250" s="966"/>
      <c r="B250" s="341"/>
      <c r="C250" s="753"/>
      <c r="D250" s="753"/>
      <c r="E250" s="800"/>
      <c r="F250" s="801"/>
      <c r="G250" s="802"/>
      <c r="H250" s="560">
        <f t="shared" si="2"/>
        <v>0</v>
      </c>
      <c r="I250" s="317"/>
    </row>
    <row r="251" spans="1:9" ht="15.95" customHeight="1">
      <c r="A251" s="966"/>
      <c r="B251" s="773" t="s">
        <v>1115</v>
      </c>
      <c r="C251" s="753" t="s">
        <v>1261</v>
      </c>
      <c r="D251" s="753" t="s">
        <v>1262</v>
      </c>
      <c r="E251" s="800" t="s">
        <v>215</v>
      </c>
      <c r="F251" s="801">
        <v>1</v>
      </c>
      <c r="G251" s="802">
        <v>380000</v>
      </c>
      <c r="H251" s="560">
        <f t="shared" si="2"/>
        <v>380000</v>
      </c>
      <c r="I251" s="317" t="s">
        <v>1541</v>
      </c>
    </row>
    <row r="252" spans="1:9" ht="15.95" customHeight="1">
      <c r="A252" s="966"/>
      <c r="B252" s="341"/>
      <c r="C252" s="753" t="s">
        <v>1263</v>
      </c>
      <c r="D252" s="753" t="s">
        <v>1264</v>
      </c>
      <c r="E252" s="800" t="s">
        <v>215</v>
      </c>
      <c r="F252" s="800">
        <v>1</v>
      </c>
      <c r="G252" s="802">
        <v>380000</v>
      </c>
      <c r="H252" s="560">
        <f t="shared" si="2"/>
        <v>380000</v>
      </c>
      <c r="I252" s="317" t="s">
        <v>1541</v>
      </c>
    </row>
    <row r="253" spans="1:9" ht="15.95" customHeight="1">
      <c r="A253" s="966"/>
      <c r="B253" s="341"/>
      <c r="C253" s="753" t="s">
        <v>1265</v>
      </c>
      <c r="D253" s="753" t="s">
        <v>1266</v>
      </c>
      <c r="E253" s="800" t="s">
        <v>215</v>
      </c>
      <c r="F253" s="800">
        <v>1</v>
      </c>
      <c r="G253" s="802">
        <v>118000</v>
      </c>
      <c r="H253" s="560">
        <f t="shared" si="2"/>
        <v>118000</v>
      </c>
      <c r="I253" s="317" t="s">
        <v>1541</v>
      </c>
    </row>
    <row r="254" spans="1:9" ht="15.95" customHeight="1">
      <c r="A254" s="966"/>
      <c r="B254" s="341"/>
      <c r="C254" s="753" t="s">
        <v>1267</v>
      </c>
      <c r="D254" s="753" t="s">
        <v>1268</v>
      </c>
      <c r="E254" s="800" t="s">
        <v>215</v>
      </c>
      <c r="F254" s="800">
        <v>2</v>
      </c>
      <c r="G254" s="802">
        <v>220000</v>
      </c>
      <c r="H254" s="560">
        <f t="shared" si="2"/>
        <v>440000</v>
      </c>
      <c r="I254" s="317" t="s">
        <v>1541</v>
      </c>
    </row>
    <row r="255" spans="1:9" ht="15.95" customHeight="1">
      <c r="A255" s="966"/>
      <c r="B255" s="341"/>
      <c r="C255" s="753" t="s">
        <v>1269</v>
      </c>
      <c r="D255" s="753" t="s">
        <v>1270</v>
      </c>
      <c r="E255" s="800" t="s">
        <v>215</v>
      </c>
      <c r="F255" s="800">
        <v>1</v>
      </c>
      <c r="G255" s="802">
        <v>140000</v>
      </c>
      <c r="H255" s="560">
        <f t="shared" si="2"/>
        <v>140000</v>
      </c>
      <c r="I255" s="317" t="s">
        <v>1541</v>
      </c>
    </row>
    <row r="256" spans="1:9" ht="15.95" customHeight="1">
      <c r="A256" s="966"/>
      <c r="B256" s="341"/>
      <c r="C256" s="753" t="s">
        <v>1271</v>
      </c>
      <c r="D256" s="753" t="s">
        <v>1272</v>
      </c>
      <c r="E256" s="800" t="s">
        <v>215</v>
      </c>
      <c r="F256" s="800">
        <v>1</v>
      </c>
      <c r="G256" s="802">
        <v>200000</v>
      </c>
      <c r="H256" s="560">
        <f t="shared" si="2"/>
        <v>200000</v>
      </c>
      <c r="I256" s="317" t="s">
        <v>1541</v>
      </c>
    </row>
    <row r="257" spans="1:9" ht="15.95" customHeight="1">
      <c r="A257" s="966"/>
      <c r="B257" s="341"/>
      <c r="C257" s="753" t="s">
        <v>1273</v>
      </c>
      <c r="D257" s="753" t="s">
        <v>1274</v>
      </c>
      <c r="E257" s="800" t="s">
        <v>215</v>
      </c>
      <c r="F257" s="800">
        <v>1</v>
      </c>
      <c r="G257" s="802">
        <v>200000</v>
      </c>
      <c r="H257" s="560">
        <f t="shared" si="2"/>
        <v>200000</v>
      </c>
      <c r="I257" s="317" t="s">
        <v>1541</v>
      </c>
    </row>
    <row r="258" spans="1:9" ht="15.95" customHeight="1">
      <c r="A258" s="966"/>
      <c r="B258" s="341"/>
      <c r="C258" s="753" t="s">
        <v>951</v>
      </c>
      <c r="D258" s="753" t="s">
        <v>1275</v>
      </c>
      <c r="E258" s="800" t="s">
        <v>215</v>
      </c>
      <c r="F258" s="800">
        <v>2</v>
      </c>
      <c r="G258" s="802">
        <v>98000</v>
      </c>
      <c r="H258" s="560">
        <f t="shared" si="2"/>
        <v>196000</v>
      </c>
      <c r="I258" s="317" t="s">
        <v>1541</v>
      </c>
    </row>
    <row r="259" spans="1:9" ht="15.95" customHeight="1">
      <c r="A259" s="966"/>
      <c r="B259" s="341"/>
      <c r="C259" s="753" t="s">
        <v>892</v>
      </c>
      <c r="D259" s="753" t="s">
        <v>1276</v>
      </c>
      <c r="E259" s="800" t="s">
        <v>215</v>
      </c>
      <c r="F259" s="800">
        <v>2</v>
      </c>
      <c r="G259" s="802">
        <v>44000</v>
      </c>
      <c r="H259" s="560">
        <f t="shared" si="2"/>
        <v>88000</v>
      </c>
      <c r="I259" s="317" t="s">
        <v>1541</v>
      </c>
    </row>
    <row r="260" spans="1:9" ht="15.95" customHeight="1">
      <c r="A260" s="966"/>
      <c r="B260" s="341"/>
      <c r="C260" s="753" t="s">
        <v>1105</v>
      </c>
      <c r="D260" s="753" t="s">
        <v>1277</v>
      </c>
      <c r="E260" s="800" t="s">
        <v>215</v>
      </c>
      <c r="F260" s="800">
        <v>4</v>
      </c>
      <c r="G260" s="802">
        <v>24000</v>
      </c>
      <c r="H260" s="560">
        <f t="shared" si="2"/>
        <v>96000</v>
      </c>
      <c r="I260" s="317" t="s">
        <v>1541</v>
      </c>
    </row>
    <row r="261" spans="1:9" ht="15.95" customHeight="1">
      <c r="A261" s="966"/>
      <c r="B261" s="341"/>
      <c r="C261" s="753" t="s">
        <v>1278</v>
      </c>
      <c r="D261" s="753" t="s">
        <v>1279</v>
      </c>
      <c r="E261" s="800" t="s">
        <v>215</v>
      </c>
      <c r="F261" s="800">
        <v>2</v>
      </c>
      <c r="G261" s="802">
        <v>6000</v>
      </c>
      <c r="H261" s="560">
        <f t="shared" si="2"/>
        <v>12000</v>
      </c>
      <c r="I261" s="317" t="s">
        <v>1541</v>
      </c>
    </row>
    <row r="262" spans="1:9" ht="15.95" customHeight="1">
      <c r="A262" s="966"/>
      <c r="B262" s="341"/>
      <c r="C262" s="753" t="s">
        <v>1280</v>
      </c>
      <c r="D262" s="753" t="s">
        <v>1281</v>
      </c>
      <c r="E262" s="800" t="s">
        <v>215</v>
      </c>
      <c r="F262" s="800">
        <v>1</v>
      </c>
      <c r="G262" s="802">
        <v>92000</v>
      </c>
      <c r="H262" s="560">
        <f t="shared" si="2"/>
        <v>92000</v>
      </c>
      <c r="I262" s="317" t="s">
        <v>1541</v>
      </c>
    </row>
    <row r="263" spans="1:9" ht="15.95" customHeight="1">
      <c r="A263" s="966"/>
      <c r="B263" s="341"/>
      <c r="C263" s="753" t="s">
        <v>1103</v>
      </c>
      <c r="D263" s="753" t="s">
        <v>1282</v>
      </c>
      <c r="E263" s="800" t="s">
        <v>215</v>
      </c>
      <c r="F263" s="800">
        <v>2</v>
      </c>
      <c r="G263" s="802">
        <v>16000</v>
      </c>
      <c r="H263" s="560">
        <f t="shared" si="2"/>
        <v>32000</v>
      </c>
      <c r="I263" s="317" t="s">
        <v>1541</v>
      </c>
    </row>
    <row r="264" spans="1:9" ht="15.95" customHeight="1">
      <c r="A264" s="966"/>
      <c r="B264" s="341"/>
      <c r="C264" s="753" t="s">
        <v>679</v>
      </c>
      <c r="D264" s="753" t="s">
        <v>1283</v>
      </c>
      <c r="E264" s="800" t="s">
        <v>215</v>
      </c>
      <c r="F264" s="800">
        <v>4</v>
      </c>
      <c r="G264" s="802">
        <v>40000</v>
      </c>
      <c r="H264" s="560">
        <f t="shared" si="2"/>
        <v>160000</v>
      </c>
      <c r="I264" s="317" t="s">
        <v>1541</v>
      </c>
    </row>
    <row r="265" spans="1:9" ht="15.95" customHeight="1">
      <c r="A265" s="966"/>
      <c r="B265" s="341"/>
      <c r="C265" s="753" t="s">
        <v>691</v>
      </c>
      <c r="D265" s="753" t="s">
        <v>1284</v>
      </c>
      <c r="E265" s="800" t="s">
        <v>215</v>
      </c>
      <c r="F265" s="800">
        <v>2</v>
      </c>
      <c r="G265" s="802">
        <v>16000</v>
      </c>
      <c r="H265" s="560">
        <f t="shared" si="2"/>
        <v>32000</v>
      </c>
      <c r="I265" s="317" t="s">
        <v>1541</v>
      </c>
    </row>
    <row r="266" spans="1:9" ht="15.95" customHeight="1">
      <c r="A266" s="966"/>
      <c r="B266" s="341"/>
      <c r="C266" s="753" t="s">
        <v>948</v>
      </c>
      <c r="D266" s="753" t="s">
        <v>1285</v>
      </c>
      <c r="E266" s="800" t="s">
        <v>215</v>
      </c>
      <c r="F266" s="800">
        <v>2</v>
      </c>
      <c r="G266" s="802">
        <v>38000</v>
      </c>
      <c r="H266" s="560">
        <f t="shared" si="2"/>
        <v>76000</v>
      </c>
      <c r="I266" s="317" t="s">
        <v>1541</v>
      </c>
    </row>
    <row r="267" spans="1:9" ht="15.95" customHeight="1">
      <c r="A267" s="966"/>
      <c r="B267" s="341"/>
      <c r="C267" s="753" t="s">
        <v>1286</v>
      </c>
      <c r="D267" s="753" t="s">
        <v>1287</v>
      </c>
      <c r="E267" s="800" t="s">
        <v>215</v>
      </c>
      <c r="F267" s="800">
        <v>1</v>
      </c>
      <c r="G267" s="802">
        <v>56000</v>
      </c>
      <c r="H267" s="560">
        <f t="shared" ref="H267:H284" si="3">G267*F267</f>
        <v>56000</v>
      </c>
      <c r="I267" s="317" t="s">
        <v>1541</v>
      </c>
    </row>
    <row r="268" spans="1:9" ht="15.95" customHeight="1">
      <c r="A268" s="966"/>
      <c r="B268" s="341"/>
      <c r="C268" s="753" t="s">
        <v>1288</v>
      </c>
      <c r="D268" s="753" t="s">
        <v>1289</v>
      </c>
      <c r="E268" s="800" t="s">
        <v>215</v>
      </c>
      <c r="F268" s="800">
        <v>1</v>
      </c>
      <c r="G268" s="802">
        <v>176000</v>
      </c>
      <c r="H268" s="560">
        <f t="shared" si="3"/>
        <v>176000</v>
      </c>
      <c r="I268" s="317" t="s">
        <v>1541</v>
      </c>
    </row>
    <row r="269" spans="1:9" ht="15.95" customHeight="1">
      <c r="A269" s="966"/>
      <c r="B269" s="341"/>
      <c r="C269" s="753" t="s">
        <v>1290</v>
      </c>
      <c r="D269" s="753" t="s">
        <v>1291</v>
      </c>
      <c r="E269" s="800" t="s">
        <v>215</v>
      </c>
      <c r="F269" s="800">
        <v>1</v>
      </c>
      <c r="G269" s="802">
        <v>52000</v>
      </c>
      <c r="H269" s="560">
        <f t="shared" si="3"/>
        <v>52000</v>
      </c>
      <c r="I269" s="317" t="s">
        <v>1541</v>
      </c>
    </row>
    <row r="270" spans="1:9" ht="15.95" customHeight="1">
      <c r="A270" s="966"/>
      <c r="B270" s="341"/>
      <c r="C270" s="753" t="s">
        <v>217</v>
      </c>
      <c r="D270" s="753" t="s">
        <v>1292</v>
      </c>
      <c r="E270" s="800" t="s">
        <v>215</v>
      </c>
      <c r="F270" s="800">
        <v>1</v>
      </c>
      <c r="G270" s="802">
        <v>52000</v>
      </c>
      <c r="H270" s="560">
        <f t="shared" si="3"/>
        <v>52000</v>
      </c>
      <c r="I270" s="317" t="s">
        <v>1541</v>
      </c>
    </row>
    <row r="271" spans="1:9" ht="15.95" customHeight="1">
      <c r="A271" s="966"/>
      <c r="B271" s="341"/>
      <c r="C271" s="753" t="s">
        <v>1293</v>
      </c>
      <c r="D271" s="753" t="s">
        <v>1294</v>
      </c>
      <c r="E271" s="800" t="s">
        <v>215</v>
      </c>
      <c r="F271" s="800">
        <v>1</v>
      </c>
      <c r="G271" s="802">
        <v>30000</v>
      </c>
      <c r="H271" s="560">
        <f t="shared" si="3"/>
        <v>30000</v>
      </c>
      <c r="I271" s="317" t="s">
        <v>1541</v>
      </c>
    </row>
    <row r="272" spans="1:9" ht="15.95" customHeight="1">
      <c r="A272" s="966"/>
      <c r="B272" s="341"/>
      <c r="C272" s="753" t="s">
        <v>627</v>
      </c>
      <c r="D272" s="753" t="s">
        <v>1295</v>
      </c>
      <c r="E272" s="800" t="s">
        <v>215</v>
      </c>
      <c r="F272" s="800">
        <v>1</v>
      </c>
      <c r="G272" s="802">
        <v>36000</v>
      </c>
      <c r="H272" s="560">
        <f t="shared" si="3"/>
        <v>36000</v>
      </c>
      <c r="I272" s="317" t="s">
        <v>1541</v>
      </c>
    </row>
    <row r="273" spans="1:9" ht="15.95" customHeight="1">
      <c r="A273" s="966"/>
      <c r="B273" s="341"/>
      <c r="C273" s="753" t="s">
        <v>1296</v>
      </c>
      <c r="D273" s="753" t="s">
        <v>1297</v>
      </c>
      <c r="E273" s="800" t="s">
        <v>215</v>
      </c>
      <c r="F273" s="800">
        <v>1</v>
      </c>
      <c r="G273" s="802">
        <v>20000</v>
      </c>
      <c r="H273" s="560">
        <f t="shared" si="3"/>
        <v>20000</v>
      </c>
      <c r="I273" s="317" t="s">
        <v>1541</v>
      </c>
    </row>
    <row r="274" spans="1:9" ht="15.95" customHeight="1">
      <c r="A274" s="966"/>
      <c r="B274" s="341"/>
      <c r="C274" s="753" t="s">
        <v>1298</v>
      </c>
      <c r="D274" s="753" t="s">
        <v>1299</v>
      </c>
      <c r="E274" s="800" t="s">
        <v>215</v>
      </c>
      <c r="F274" s="800">
        <v>1</v>
      </c>
      <c r="G274" s="802">
        <v>50000</v>
      </c>
      <c r="H274" s="560">
        <f t="shared" si="3"/>
        <v>50000</v>
      </c>
      <c r="I274" s="317" t="s">
        <v>1541</v>
      </c>
    </row>
    <row r="275" spans="1:9" ht="15.95" customHeight="1">
      <c r="A275" s="966"/>
      <c r="B275" s="341"/>
      <c r="C275" s="753" t="s">
        <v>217</v>
      </c>
      <c r="D275" s="753" t="s">
        <v>1300</v>
      </c>
      <c r="E275" s="800" t="s">
        <v>215</v>
      </c>
      <c r="F275" s="800">
        <v>1</v>
      </c>
      <c r="G275" s="802">
        <v>30000</v>
      </c>
      <c r="H275" s="560">
        <f t="shared" si="3"/>
        <v>30000</v>
      </c>
      <c r="I275" s="317" t="s">
        <v>1541</v>
      </c>
    </row>
    <row r="276" spans="1:9" ht="15.95" customHeight="1">
      <c r="A276" s="966"/>
      <c r="B276" s="341"/>
      <c r="C276" s="753" t="s">
        <v>1301</v>
      </c>
      <c r="D276" s="753" t="s">
        <v>1302</v>
      </c>
      <c r="E276" s="800" t="s">
        <v>215</v>
      </c>
      <c r="F276" s="800">
        <v>1</v>
      </c>
      <c r="G276" s="802">
        <v>18000</v>
      </c>
      <c r="H276" s="560">
        <f t="shared" si="3"/>
        <v>18000</v>
      </c>
      <c r="I276" s="317" t="s">
        <v>1541</v>
      </c>
    </row>
    <row r="277" spans="1:9" ht="15.95" customHeight="1">
      <c r="A277" s="966"/>
      <c r="B277" s="341"/>
      <c r="C277" s="753" t="s">
        <v>1303</v>
      </c>
      <c r="D277" s="753" t="s">
        <v>1304</v>
      </c>
      <c r="E277" s="800" t="s">
        <v>215</v>
      </c>
      <c r="F277" s="800">
        <v>1</v>
      </c>
      <c r="G277" s="802">
        <v>10000</v>
      </c>
      <c r="H277" s="560">
        <f t="shared" si="3"/>
        <v>10000</v>
      </c>
      <c r="I277" s="317" t="s">
        <v>1541</v>
      </c>
    </row>
    <row r="278" spans="1:9" ht="15.95" customHeight="1">
      <c r="A278" s="966"/>
      <c r="B278" s="341"/>
      <c r="C278" s="753" t="s">
        <v>401</v>
      </c>
      <c r="D278" s="753" t="s">
        <v>1305</v>
      </c>
      <c r="E278" s="800" t="s">
        <v>215</v>
      </c>
      <c r="F278" s="800">
        <v>1</v>
      </c>
      <c r="G278" s="802">
        <v>40000</v>
      </c>
      <c r="H278" s="560">
        <f t="shared" si="3"/>
        <v>40000</v>
      </c>
      <c r="I278" s="317" t="s">
        <v>1541</v>
      </c>
    </row>
    <row r="279" spans="1:9" ht="15.95" customHeight="1">
      <c r="A279" s="966"/>
      <c r="B279" s="341"/>
      <c r="C279" s="753" t="s">
        <v>401</v>
      </c>
      <c r="D279" s="753" t="s">
        <v>1306</v>
      </c>
      <c r="E279" s="800" t="s">
        <v>215</v>
      </c>
      <c r="F279" s="800">
        <v>1</v>
      </c>
      <c r="G279" s="802">
        <v>30000</v>
      </c>
      <c r="H279" s="560">
        <f t="shared" si="3"/>
        <v>30000</v>
      </c>
      <c r="I279" s="317" t="s">
        <v>1541</v>
      </c>
    </row>
    <row r="280" spans="1:9" ht="15.95" customHeight="1">
      <c r="A280" s="966"/>
      <c r="B280" s="341"/>
      <c r="C280" s="753" t="s">
        <v>1190</v>
      </c>
      <c r="D280" s="753" t="s">
        <v>1307</v>
      </c>
      <c r="E280" s="800" t="s">
        <v>215</v>
      </c>
      <c r="F280" s="800">
        <v>2</v>
      </c>
      <c r="G280" s="802">
        <v>10000</v>
      </c>
      <c r="H280" s="560">
        <f t="shared" si="3"/>
        <v>20000</v>
      </c>
      <c r="I280" s="317" t="s">
        <v>1541</v>
      </c>
    </row>
    <row r="281" spans="1:9" ht="15.95" customHeight="1">
      <c r="A281" s="966"/>
      <c r="B281" s="341"/>
      <c r="C281" s="753" t="s">
        <v>1267</v>
      </c>
      <c r="D281" s="753" t="s">
        <v>1308</v>
      </c>
      <c r="E281" s="800" t="s">
        <v>215</v>
      </c>
      <c r="F281" s="800">
        <v>2</v>
      </c>
      <c r="G281" s="802">
        <v>85000</v>
      </c>
      <c r="H281" s="560">
        <f t="shared" si="3"/>
        <v>170000</v>
      </c>
      <c r="I281" s="317" t="s">
        <v>1541</v>
      </c>
    </row>
    <row r="282" spans="1:9" ht="15.95" customHeight="1">
      <c r="A282" s="966"/>
      <c r="B282" s="341"/>
      <c r="C282" s="753" t="s">
        <v>948</v>
      </c>
      <c r="D282" s="753" t="s">
        <v>1309</v>
      </c>
      <c r="E282" s="800" t="s">
        <v>215</v>
      </c>
      <c r="F282" s="800">
        <v>2</v>
      </c>
      <c r="G282" s="802">
        <v>15000</v>
      </c>
      <c r="H282" s="560">
        <f t="shared" si="3"/>
        <v>30000</v>
      </c>
      <c r="I282" s="317" t="s">
        <v>1541</v>
      </c>
    </row>
    <row r="283" spans="1:9" ht="15.95" customHeight="1">
      <c r="A283" s="966"/>
      <c r="B283" s="341"/>
      <c r="C283" s="753" t="s">
        <v>1109</v>
      </c>
      <c r="D283" s="753" t="s">
        <v>1310</v>
      </c>
      <c r="E283" s="800" t="s">
        <v>215</v>
      </c>
      <c r="F283" s="800">
        <v>2</v>
      </c>
      <c r="G283" s="802">
        <v>64000</v>
      </c>
      <c r="H283" s="560">
        <f t="shared" si="3"/>
        <v>128000</v>
      </c>
      <c r="I283" s="317" t="s">
        <v>1541</v>
      </c>
    </row>
    <row r="284" spans="1:9" ht="15.95" customHeight="1">
      <c r="A284" s="966"/>
      <c r="B284" s="341"/>
      <c r="C284" s="753" t="s">
        <v>751</v>
      </c>
      <c r="D284" s="753" t="s">
        <v>1311</v>
      </c>
      <c r="E284" s="800" t="s">
        <v>215</v>
      </c>
      <c r="F284" s="800">
        <v>4</v>
      </c>
      <c r="G284" s="802">
        <v>40000</v>
      </c>
      <c r="H284" s="560">
        <f t="shared" si="3"/>
        <v>160000</v>
      </c>
      <c r="I284" s="317" t="s">
        <v>1541</v>
      </c>
    </row>
    <row r="285" spans="1:9" ht="15.95" customHeight="1">
      <c r="A285" s="966"/>
      <c r="B285" s="341"/>
      <c r="C285" s="433"/>
      <c r="D285" s="577"/>
      <c r="E285" s="315" t="s">
        <v>220</v>
      </c>
      <c r="F285" s="444"/>
      <c r="G285" s="319"/>
      <c r="H285" s="450">
        <f t="shared" ref="H285:H293" si="4">IF(F285=0,G285,G285*F285)</f>
        <v>0</v>
      </c>
      <c r="I285" s="317"/>
    </row>
    <row r="286" spans="1:9" ht="15.95" customHeight="1">
      <c r="A286" s="966"/>
      <c r="B286" s="341"/>
      <c r="C286" s="433"/>
      <c r="D286" s="577"/>
      <c r="E286" s="315" t="s">
        <v>220</v>
      </c>
      <c r="F286" s="444"/>
      <c r="G286" s="330"/>
      <c r="H286" s="450">
        <f t="shared" si="4"/>
        <v>0</v>
      </c>
      <c r="I286" s="317"/>
    </row>
    <row r="287" spans="1:9" ht="15.95" customHeight="1">
      <c r="A287" s="966"/>
      <c r="B287" s="341"/>
      <c r="C287" s="433"/>
      <c r="D287" s="577"/>
      <c r="E287" s="315" t="s">
        <v>220</v>
      </c>
      <c r="F287" s="444"/>
      <c r="G287" s="330"/>
      <c r="H287" s="450">
        <f t="shared" si="4"/>
        <v>0</v>
      </c>
      <c r="I287" s="317"/>
    </row>
    <row r="288" spans="1:9" ht="15.95" customHeight="1">
      <c r="A288" s="966"/>
      <c r="B288" s="341"/>
      <c r="C288" s="433"/>
      <c r="D288" s="577"/>
      <c r="E288" s="315" t="s">
        <v>220</v>
      </c>
      <c r="F288" s="444"/>
      <c r="G288" s="330"/>
      <c r="H288" s="450">
        <f t="shared" si="4"/>
        <v>0</v>
      </c>
      <c r="I288" s="317"/>
    </row>
    <row r="289" spans="1:9" ht="15.95" customHeight="1">
      <c r="A289" s="966"/>
      <c r="B289" s="341"/>
      <c r="C289" s="443"/>
      <c r="D289" s="577"/>
      <c r="E289" s="315" t="s">
        <v>220</v>
      </c>
      <c r="F289" s="444"/>
      <c r="G289" s="319"/>
      <c r="H289" s="450">
        <f t="shared" si="4"/>
        <v>0</v>
      </c>
      <c r="I289" s="317"/>
    </row>
    <row r="290" spans="1:9" ht="15.95" customHeight="1">
      <c r="A290" s="966"/>
      <c r="B290" s="341"/>
      <c r="C290" s="433"/>
      <c r="D290" s="577"/>
      <c r="E290" s="315" t="s">
        <v>220</v>
      </c>
      <c r="F290" s="444"/>
      <c r="G290" s="319"/>
      <c r="H290" s="450">
        <f t="shared" si="4"/>
        <v>0</v>
      </c>
      <c r="I290" s="317"/>
    </row>
    <row r="291" spans="1:9" ht="15.95" customHeight="1">
      <c r="A291" s="966"/>
      <c r="B291" s="341"/>
      <c r="C291" s="443"/>
      <c r="D291" s="577"/>
      <c r="E291" s="315" t="s">
        <v>220</v>
      </c>
      <c r="F291" s="444"/>
      <c r="G291" s="330"/>
      <c r="H291" s="450">
        <f t="shared" si="4"/>
        <v>0</v>
      </c>
      <c r="I291" s="317"/>
    </row>
    <row r="292" spans="1:9" ht="15.95" customHeight="1">
      <c r="A292" s="966"/>
      <c r="B292" s="341"/>
      <c r="C292" s="443"/>
      <c r="D292" s="577"/>
      <c r="E292" s="315" t="s">
        <v>220</v>
      </c>
      <c r="F292" s="444"/>
      <c r="G292" s="319"/>
      <c r="H292" s="450">
        <f t="shared" si="4"/>
        <v>0</v>
      </c>
      <c r="I292" s="317"/>
    </row>
    <row r="293" spans="1:9" ht="15.95" customHeight="1">
      <c r="A293" s="966"/>
      <c r="B293" s="341"/>
      <c r="C293" s="433"/>
      <c r="D293" s="577"/>
      <c r="E293" s="315" t="s">
        <v>220</v>
      </c>
      <c r="F293" s="444"/>
      <c r="G293" s="319"/>
      <c r="H293" s="450">
        <f t="shared" si="4"/>
        <v>0</v>
      </c>
      <c r="I293" s="317"/>
    </row>
    <row r="294" spans="1:9" ht="15.95" customHeight="1">
      <c r="A294" s="966"/>
      <c r="B294" s="341"/>
      <c r="C294" s="433"/>
      <c r="D294" s="577"/>
      <c r="E294" s="315" t="s">
        <v>220</v>
      </c>
      <c r="F294" s="444"/>
      <c r="G294" s="330"/>
      <c r="H294" s="450">
        <f t="shared" ref="H294:H302" si="5">IF(F294=0,G294,G294*F294)</f>
        <v>0</v>
      </c>
      <c r="I294" s="317"/>
    </row>
    <row r="295" spans="1:9" ht="15.95" customHeight="1">
      <c r="A295" s="966"/>
      <c r="B295" s="341"/>
      <c r="C295" s="433"/>
      <c r="D295" s="577"/>
      <c r="E295" s="315" t="s">
        <v>220</v>
      </c>
      <c r="F295" s="444"/>
      <c r="G295" s="319"/>
      <c r="H295" s="450">
        <f t="shared" si="5"/>
        <v>0</v>
      </c>
      <c r="I295" s="317"/>
    </row>
    <row r="296" spans="1:9" ht="15.95" customHeight="1">
      <c r="A296" s="966"/>
      <c r="B296" s="341"/>
      <c r="C296" s="433"/>
      <c r="D296" s="577"/>
      <c r="E296" s="315" t="s">
        <v>220</v>
      </c>
      <c r="F296" s="444"/>
      <c r="G296" s="319"/>
      <c r="H296" s="450">
        <f t="shared" si="5"/>
        <v>0</v>
      </c>
      <c r="I296" s="317"/>
    </row>
    <row r="297" spans="1:9" ht="15.95" customHeight="1">
      <c r="A297" s="966"/>
      <c r="B297" s="341"/>
      <c r="C297" s="433"/>
      <c r="D297" s="577"/>
      <c r="E297" s="315" t="s">
        <v>220</v>
      </c>
      <c r="F297" s="444"/>
      <c r="G297" s="330"/>
      <c r="H297" s="450">
        <f t="shared" si="5"/>
        <v>0</v>
      </c>
      <c r="I297" s="317"/>
    </row>
    <row r="298" spans="1:9" ht="15.95" customHeight="1">
      <c r="A298" s="966"/>
      <c r="B298" s="341"/>
      <c r="C298" s="433"/>
      <c r="D298" s="577"/>
      <c r="E298" s="315" t="s">
        <v>220</v>
      </c>
      <c r="F298" s="444"/>
      <c r="G298" s="319"/>
      <c r="H298" s="450">
        <f t="shared" si="5"/>
        <v>0</v>
      </c>
      <c r="I298" s="317"/>
    </row>
    <row r="299" spans="1:9" ht="15.95" customHeight="1">
      <c r="A299" s="966"/>
      <c r="B299" s="341"/>
      <c r="C299" s="541"/>
      <c r="D299" s="577"/>
      <c r="E299" s="315" t="s">
        <v>220</v>
      </c>
      <c r="F299" s="444"/>
      <c r="G299" s="319"/>
      <c r="H299" s="450">
        <f t="shared" si="5"/>
        <v>0</v>
      </c>
      <c r="I299" s="317"/>
    </row>
    <row r="300" spans="1:9" ht="15.95" customHeight="1">
      <c r="A300" s="966"/>
      <c r="B300" s="341"/>
      <c r="C300" s="433"/>
      <c r="D300" s="577"/>
      <c r="E300" s="315" t="s">
        <v>220</v>
      </c>
      <c r="F300" s="444"/>
      <c r="G300" s="330"/>
      <c r="H300" s="450">
        <f t="shared" si="5"/>
        <v>0</v>
      </c>
      <c r="I300" s="317"/>
    </row>
    <row r="301" spans="1:9" ht="15.95" customHeight="1">
      <c r="A301" s="966"/>
      <c r="B301" s="341"/>
      <c r="C301" s="433"/>
      <c r="D301" s="577"/>
      <c r="E301" s="315" t="s">
        <v>220</v>
      </c>
      <c r="F301" s="444"/>
      <c r="G301" s="330"/>
      <c r="H301" s="450">
        <f t="shared" si="5"/>
        <v>0</v>
      </c>
      <c r="I301" s="317"/>
    </row>
    <row r="302" spans="1:9" ht="15.95" customHeight="1">
      <c r="A302" s="966"/>
      <c r="B302" s="341"/>
      <c r="C302" s="443"/>
      <c r="D302" s="577"/>
      <c r="E302" s="315" t="s">
        <v>220</v>
      </c>
      <c r="F302" s="444"/>
      <c r="G302" s="330"/>
      <c r="H302" s="450">
        <f t="shared" si="5"/>
        <v>0</v>
      </c>
      <c r="I302" s="317"/>
    </row>
    <row r="303" spans="1:9" ht="15.95" customHeight="1">
      <c r="A303" s="966"/>
      <c r="B303" s="341"/>
      <c r="C303" s="433"/>
      <c r="D303" s="577"/>
      <c r="E303" s="315" t="s">
        <v>220</v>
      </c>
      <c r="F303" s="444"/>
      <c r="G303" s="330"/>
      <c r="H303" s="450">
        <f t="shared" ref="H303:H325" si="6">IF(F303=0,G303,G303*F303)</f>
        <v>0</v>
      </c>
      <c r="I303" s="317"/>
    </row>
    <row r="304" spans="1:9" ht="15.95" customHeight="1">
      <c r="A304" s="966"/>
      <c r="B304" s="341"/>
      <c r="C304" s="433"/>
      <c r="D304" s="577"/>
      <c r="E304" s="315" t="s">
        <v>220</v>
      </c>
      <c r="F304" s="444"/>
      <c r="G304" s="319"/>
      <c r="H304" s="450">
        <f t="shared" si="6"/>
        <v>0</v>
      </c>
      <c r="I304" s="317"/>
    </row>
    <row r="305" spans="1:9" ht="15.95" customHeight="1">
      <c r="A305" s="966"/>
      <c r="B305" s="341"/>
      <c r="C305" s="433"/>
      <c r="D305" s="577"/>
      <c r="E305" s="315" t="s">
        <v>220</v>
      </c>
      <c r="F305" s="444"/>
      <c r="G305" s="330"/>
      <c r="H305" s="450">
        <f t="shared" si="6"/>
        <v>0</v>
      </c>
      <c r="I305" s="317"/>
    </row>
    <row r="306" spans="1:9" ht="15.95" customHeight="1">
      <c r="A306" s="966"/>
      <c r="B306" s="341"/>
      <c r="C306" s="541"/>
      <c r="D306" s="577"/>
      <c r="E306" s="315" t="s">
        <v>220</v>
      </c>
      <c r="F306" s="444"/>
      <c r="G306" s="319"/>
      <c r="H306" s="450">
        <f t="shared" si="6"/>
        <v>0</v>
      </c>
      <c r="I306" s="317"/>
    </row>
    <row r="307" spans="1:9" ht="15.95" customHeight="1">
      <c r="A307" s="966"/>
      <c r="B307" s="341"/>
      <c r="C307" s="433"/>
      <c r="D307" s="577"/>
      <c r="E307" s="315" t="s">
        <v>220</v>
      </c>
      <c r="F307" s="444"/>
      <c r="G307" s="330"/>
      <c r="H307" s="450">
        <f t="shared" si="6"/>
        <v>0</v>
      </c>
      <c r="I307" s="317"/>
    </row>
    <row r="308" spans="1:9" ht="15.95" customHeight="1">
      <c r="A308" s="966"/>
      <c r="B308" s="341"/>
      <c r="C308" s="433"/>
      <c r="D308" s="577"/>
      <c r="E308" s="315" t="s">
        <v>220</v>
      </c>
      <c r="F308" s="444"/>
      <c r="G308" s="330"/>
      <c r="H308" s="450">
        <f t="shared" si="6"/>
        <v>0</v>
      </c>
      <c r="I308" s="317"/>
    </row>
    <row r="309" spans="1:9" ht="15.95" customHeight="1">
      <c r="A309" s="966"/>
      <c r="B309" s="341"/>
      <c r="C309" s="443"/>
      <c r="D309" s="577"/>
      <c r="E309" s="315" t="s">
        <v>220</v>
      </c>
      <c r="F309" s="444"/>
      <c r="G309" s="319"/>
      <c r="H309" s="450">
        <f t="shared" si="6"/>
        <v>0</v>
      </c>
      <c r="I309" s="317"/>
    </row>
    <row r="310" spans="1:9" ht="15.95" customHeight="1">
      <c r="A310" s="966"/>
      <c r="B310" s="341"/>
      <c r="C310" s="433"/>
      <c r="D310" s="577"/>
      <c r="E310" s="315" t="s">
        <v>220</v>
      </c>
      <c r="F310" s="444"/>
      <c r="G310" s="330"/>
      <c r="H310" s="450">
        <f t="shared" si="6"/>
        <v>0</v>
      </c>
      <c r="I310" s="317"/>
    </row>
    <row r="311" spans="1:9" ht="15.95" customHeight="1">
      <c r="A311" s="966"/>
      <c r="B311" s="341"/>
      <c r="C311" s="541"/>
      <c r="D311" s="577"/>
      <c r="E311" s="315" t="s">
        <v>220</v>
      </c>
      <c r="F311" s="444"/>
      <c r="G311" s="330"/>
      <c r="H311" s="450">
        <f t="shared" si="6"/>
        <v>0</v>
      </c>
      <c r="I311" s="317"/>
    </row>
    <row r="312" spans="1:9" ht="15.95" customHeight="1">
      <c r="A312" s="966"/>
      <c r="B312" s="341"/>
      <c r="C312" s="433"/>
      <c r="D312" s="577"/>
      <c r="E312" s="315" t="s">
        <v>220</v>
      </c>
      <c r="F312" s="444"/>
      <c r="G312" s="319"/>
      <c r="H312" s="450">
        <f t="shared" si="6"/>
        <v>0</v>
      </c>
      <c r="I312" s="317"/>
    </row>
    <row r="313" spans="1:9" ht="15.6" customHeight="1">
      <c r="A313" s="966"/>
      <c r="B313" s="341"/>
      <c r="C313" s="433"/>
      <c r="D313" s="577"/>
      <c r="E313" s="315" t="s">
        <v>220</v>
      </c>
      <c r="F313" s="444"/>
      <c r="G313" s="319"/>
      <c r="H313" s="450">
        <f t="shared" si="6"/>
        <v>0</v>
      </c>
      <c r="I313" s="317"/>
    </row>
    <row r="314" spans="1:9" ht="15.6" customHeight="1">
      <c r="A314" s="966"/>
      <c r="B314" s="341"/>
      <c r="C314" s="433"/>
      <c r="D314" s="577"/>
      <c r="E314" s="315" t="s">
        <v>220</v>
      </c>
      <c r="F314" s="444"/>
      <c r="G314" s="319"/>
      <c r="H314" s="450">
        <f t="shared" si="6"/>
        <v>0</v>
      </c>
      <c r="I314" s="317"/>
    </row>
    <row r="315" spans="1:9" ht="15.6" customHeight="1">
      <c r="A315" s="966"/>
      <c r="B315" s="341"/>
      <c r="C315" s="433"/>
      <c r="D315" s="577"/>
      <c r="E315" s="315" t="s">
        <v>220</v>
      </c>
      <c r="F315" s="444"/>
      <c r="G315" s="319"/>
      <c r="H315" s="450">
        <f t="shared" si="6"/>
        <v>0</v>
      </c>
      <c r="I315" s="317"/>
    </row>
    <row r="316" spans="1:9" ht="15.6" customHeight="1">
      <c r="A316" s="966"/>
      <c r="B316" s="341"/>
      <c r="C316" s="541"/>
      <c r="D316" s="577"/>
      <c r="E316" s="315" t="s">
        <v>220</v>
      </c>
      <c r="F316" s="444"/>
      <c r="G316" s="319"/>
      <c r="H316" s="450">
        <f t="shared" si="6"/>
        <v>0</v>
      </c>
      <c r="I316" s="317"/>
    </row>
    <row r="317" spans="1:9" ht="15.6" customHeight="1">
      <c r="A317" s="966"/>
      <c r="B317" s="341"/>
      <c r="C317" s="433"/>
      <c r="D317" s="577"/>
      <c r="E317" s="315" t="s">
        <v>220</v>
      </c>
      <c r="F317" s="444"/>
      <c r="G317" s="330"/>
      <c r="H317" s="450">
        <f t="shared" si="6"/>
        <v>0</v>
      </c>
      <c r="I317" s="317"/>
    </row>
    <row r="318" spans="1:9" ht="15.6" customHeight="1">
      <c r="A318" s="966"/>
      <c r="B318" s="341"/>
      <c r="C318" s="433"/>
      <c r="D318" s="577"/>
      <c r="E318" s="315" t="s">
        <v>220</v>
      </c>
      <c r="F318" s="444"/>
      <c r="G318" s="330"/>
      <c r="H318" s="450">
        <f t="shared" si="6"/>
        <v>0</v>
      </c>
      <c r="I318" s="317"/>
    </row>
    <row r="319" spans="1:9" ht="15.6" customHeight="1">
      <c r="A319" s="966"/>
      <c r="B319" s="341"/>
      <c r="C319" s="433"/>
      <c r="D319" s="577"/>
      <c r="E319" s="315" t="s">
        <v>220</v>
      </c>
      <c r="F319" s="444"/>
      <c r="G319" s="319"/>
      <c r="H319" s="450">
        <f t="shared" si="6"/>
        <v>0</v>
      </c>
      <c r="I319" s="317"/>
    </row>
    <row r="320" spans="1:9" ht="15.95" customHeight="1">
      <c r="A320" s="966"/>
      <c r="B320" s="341"/>
      <c r="C320" s="443"/>
      <c r="D320" s="577"/>
      <c r="E320" s="315" t="s">
        <v>220</v>
      </c>
      <c r="F320" s="444"/>
      <c r="G320" s="319"/>
      <c r="H320" s="450">
        <f t="shared" si="6"/>
        <v>0</v>
      </c>
      <c r="I320" s="317"/>
    </row>
    <row r="321" spans="1:9" ht="15.95" customHeight="1">
      <c r="A321" s="966"/>
      <c r="B321" s="341"/>
      <c r="C321" s="443"/>
      <c r="D321" s="577"/>
      <c r="E321" s="315" t="s">
        <v>220</v>
      </c>
      <c r="F321" s="444"/>
      <c r="G321" s="330"/>
      <c r="H321" s="450">
        <f t="shared" si="6"/>
        <v>0</v>
      </c>
      <c r="I321" s="317"/>
    </row>
    <row r="322" spans="1:9" ht="15.95" customHeight="1">
      <c r="A322" s="966"/>
      <c r="B322" s="341"/>
      <c r="C322" s="433"/>
      <c r="D322" s="577"/>
      <c r="E322" s="315" t="s">
        <v>220</v>
      </c>
      <c r="F322" s="444"/>
      <c r="G322" s="330"/>
      <c r="H322" s="450">
        <f t="shared" si="6"/>
        <v>0</v>
      </c>
      <c r="I322" s="317"/>
    </row>
    <row r="323" spans="1:9" ht="15.95" customHeight="1">
      <c r="A323" s="966"/>
      <c r="B323" s="341"/>
      <c r="C323" s="433"/>
      <c r="D323" s="577"/>
      <c r="E323" s="315" t="s">
        <v>220</v>
      </c>
      <c r="F323" s="434"/>
      <c r="G323" s="330"/>
      <c r="H323" s="450">
        <f t="shared" si="6"/>
        <v>0</v>
      </c>
      <c r="I323" s="317"/>
    </row>
    <row r="324" spans="1:9" ht="15.95" customHeight="1">
      <c r="A324" s="966"/>
      <c r="B324" s="341"/>
      <c r="C324" s="578"/>
      <c r="D324" s="579"/>
      <c r="E324" s="580" t="s">
        <v>220</v>
      </c>
      <c r="F324" s="581"/>
      <c r="G324" s="582"/>
      <c r="H324" s="450">
        <f t="shared" si="6"/>
        <v>0</v>
      </c>
      <c r="I324" s="561"/>
    </row>
    <row r="325" spans="1:9" ht="15.95" customHeight="1">
      <c r="A325" s="966"/>
      <c r="B325" s="341"/>
      <c r="C325" s="583"/>
      <c r="D325" s="584"/>
      <c r="E325" s="580" t="s">
        <v>216</v>
      </c>
      <c r="F325" s="585"/>
      <c r="G325" s="586"/>
      <c r="H325" s="450">
        <f t="shared" si="6"/>
        <v>0</v>
      </c>
      <c r="I325" s="562"/>
    </row>
    <row r="326" spans="1:9" ht="15.95" customHeight="1">
      <c r="A326" s="966"/>
      <c r="B326" s="342"/>
      <c r="C326" s="396"/>
      <c r="D326" s="559"/>
      <c r="E326" s="377"/>
      <c r="F326" s="380"/>
      <c r="G326" s="380"/>
      <c r="H326" s="347">
        <f>SUM(H138:H325)</f>
        <v>22090200</v>
      </c>
      <c r="I326" s="392"/>
    </row>
    <row r="327" spans="1:9" ht="15.95" customHeight="1">
      <c r="A327" s="350"/>
      <c r="B327" s="351" t="s">
        <v>64</v>
      </c>
      <c r="C327" s="352"/>
      <c r="D327" s="376"/>
      <c r="E327" s="377"/>
      <c r="F327" s="393"/>
      <c r="G327" s="393"/>
      <c r="H327" s="347">
        <f>SUM(H326,H137,H10)</f>
        <v>38610611</v>
      </c>
      <c r="I327" s="392"/>
    </row>
    <row r="328" spans="1:9" ht="15.95" customHeight="1">
      <c r="A328" s="962" t="s">
        <v>107</v>
      </c>
      <c r="B328" s="354" t="s">
        <v>108</v>
      </c>
      <c r="C328" s="355"/>
      <c r="D328" s="356"/>
      <c r="E328" s="357" t="s">
        <v>109</v>
      </c>
      <c r="F328" s="326"/>
      <c r="G328" s="415"/>
      <c r="H328" s="358">
        <f>F328*G328</f>
        <v>0</v>
      </c>
      <c r="I328" s="386"/>
    </row>
    <row r="329" spans="1:9" ht="15.95" customHeight="1">
      <c r="A329" s="966"/>
      <c r="B329" s="360" t="s">
        <v>110</v>
      </c>
      <c r="C329" s="361"/>
      <c r="D329" s="362"/>
      <c r="E329" s="363" t="s">
        <v>11</v>
      </c>
      <c r="F329" s="321">
        <v>2</v>
      </c>
      <c r="G329" s="400">
        <v>350000</v>
      </c>
      <c r="H329" s="364">
        <f t="shared" ref="H329:H335" si="7">F329*G329</f>
        <v>700000</v>
      </c>
      <c r="I329" s="394"/>
    </row>
    <row r="330" spans="1:9" ht="15.95" customHeight="1">
      <c r="A330" s="966"/>
      <c r="B330" s="365" t="s">
        <v>297</v>
      </c>
      <c r="C330" s="366"/>
      <c r="D330" s="367"/>
      <c r="E330" s="368" t="s">
        <v>11</v>
      </c>
      <c r="F330" s="321">
        <v>6</v>
      </c>
      <c r="G330" s="319">
        <v>350000</v>
      </c>
      <c r="H330" s="369">
        <f t="shared" si="7"/>
        <v>2100000</v>
      </c>
      <c r="I330" s="387"/>
    </row>
    <row r="331" spans="1:9" ht="15.95" customHeight="1">
      <c r="A331" s="966"/>
      <c r="B331" s="365" t="s">
        <v>111</v>
      </c>
      <c r="C331" s="366"/>
      <c r="D331" s="367"/>
      <c r="E331" s="368" t="s">
        <v>11</v>
      </c>
      <c r="F331" s="321">
        <v>2</v>
      </c>
      <c r="G331" s="319">
        <v>350000</v>
      </c>
      <c r="H331" s="369">
        <f t="shared" si="7"/>
        <v>700000</v>
      </c>
      <c r="I331" s="387"/>
    </row>
    <row r="332" spans="1:9" ht="15.95" customHeight="1">
      <c r="A332" s="966"/>
      <c r="B332" s="365" t="s">
        <v>112</v>
      </c>
      <c r="C332" s="366"/>
      <c r="D332" s="367"/>
      <c r="E332" s="368" t="s">
        <v>11</v>
      </c>
      <c r="F332" s="321">
        <v>2</v>
      </c>
      <c r="G332" s="319">
        <v>350000</v>
      </c>
      <c r="H332" s="369">
        <f t="shared" si="7"/>
        <v>700000</v>
      </c>
      <c r="I332" s="387"/>
    </row>
    <row r="333" spans="1:9" ht="15.95" customHeight="1">
      <c r="A333" s="966"/>
      <c r="B333" s="365" t="s">
        <v>113</v>
      </c>
      <c r="C333" s="366"/>
      <c r="D333" s="367"/>
      <c r="E333" s="368" t="s">
        <v>11</v>
      </c>
      <c r="F333" s="321">
        <v>1</v>
      </c>
      <c r="G333" s="319">
        <v>350000</v>
      </c>
      <c r="H333" s="369">
        <f t="shared" si="7"/>
        <v>350000</v>
      </c>
      <c r="I333" s="387"/>
    </row>
    <row r="334" spans="1:9" ht="15.95" customHeight="1">
      <c r="A334" s="966"/>
      <c r="B334" s="365" t="s">
        <v>114</v>
      </c>
      <c r="C334" s="366"/>
      <c r="D334" s="367"/>
      <c r="E334" s="368" t="s">
        <v>11</v>
      </c>
      <c r="F334" s="587"/>
      <c r="G334" s="319">
        <v>350000</v>
      </c>
      <c r="H334" s="369">
        <f t="shared" si="7"/>
        <v>0</v>
      </c>
      <c r="I334" s="387"/>
    </row>
    <row r="335" spans="1:9" ht="15.95" customHeight="1">
      <c r="A335" s="966"/>
      <c r="B335" s="370" t="s">
        <v>115</v>
      </c>
      <c r="C335" s="371"/>
      <c r="D335" s="372"/>
      <c r="E335" s="373" t="s">
        <v>11</v>
      </c>
      <c r="F335" s="335">
        <v>2</v>
      </c>
      <c r="G335" s="336">
        <v>350000</v>
      </c>
      <c r="H335" s="374">
        <f t="shared" si="7"/>
        <v>700000</v>
      </c>
      <c r="I335" s="388"/>
    </row>
    <row r="336" spans="1:9" ht="15.95" customHeight="1">
      <c r="A336" s="350"/>
      <c r="B336" s="375" t="s">
        <v>116</v>
      </c>
      <c r="C336" s="352"/>
      <c r="D336" s="376"/>
      <c r="E336" s="377"/>
      <c r="F336" s="378"/>
      <c r="G336" s="378"/>
      <c r="H336" s="346">
        <f>SUM(H328:H335)</f>
        <v>5250000</v>
      </c>
      <c r="I336" s="395"/>
    </row>
    <row r="337" spans="1:9" ht="15.95" customHeight="1">
      <c r="A337" s="379"/>
      <c r="B337" s="375" t="s">
        <v>10</v>
      </c>
      <c r="C337" s="352"/>
      <c r="D337" s="376"/>
      <c r="E337" s="377"/>
      <c r="F337" s="380"/>
      <c r="G337" s="380"/>
      <c r="H337" s="353">
        <f>'단위장비별(집계)2'!L11+'단위장비별(집계)2'!I11</f>
        <v>2255414.3901020386</v>
      </c>
      <c r="I337" s="392"/>
    </row>
    <row r="338" spans="1:9" ht="15.95" customHeight="1">
      <c r="A338" s="379"/>
      <c r="B338" s="375" t="s">
        <v>117</v>
      </c>
      <c r="C338" s="352"/>
      <c r="D338" s="376"/>
      <c r="E338" s="348" t="s">
        <v>221</v>
      </c>
      <c r="F338" s="347">
        <v>5</v>
      </c>
      <c r="G338" s="381"/>
      <c r="H338" s="416">
        <f>(H327+H336)*0.05</f>
        <v>2193030.5500000003</v>
      </c>
      <c r="I338" s="396"/>
    </row>
    <row r="339" spans="1:9" ht="15.95" customHeight="1">
      <c r="A339" s="379"/>
      <c r="B339" s="375" t="s">
        <v>49</v>
      </c>
      <c r="C339" s="352"/>
      <c r="D339" s="376"/>
      <c r="E339" s="348" t="s">
        <v>221</v>
      </c>
      <c r="F339" s="347">
        <v>10</v>
      </c>
      <c r="G339" s="381"/>
      <c r="H339" s="416">
        <f>(H327+H336)*0.1</f>
        <v>4386061.1000000006</v>
      </c>
      <c r="I339" s="396"/>
    </row>
    <row r="340" spans="1:9" ht="15.95" customHeight="1">
      <c r="A340" s="379"/>
      <c r="B340" s="375" t="s">
        <v>50</v>
      </c>
      <c r="C340" s="352"/>
      <c r="D340" s="376"/>
      <c r="E340" s="377"/>
      <c r="F340" s="380"/>
      <c r="G340" s="380"/>
      <c r="H340" s="346">
        <f>H327+H336+H337+H338+H339</f>
        <v>52695117.040102035</v>
      </c>
      <c r="I340" s="392"/>
    </row>
    <row r="341" spans="1:9" ht="15.95" customHeight="1"/>
    <row r="342" spans="1:9" ht="15.95" customHeight="1"/>
    <row r="343" spans="1:9" ht="15.95" customHeight="1"/>
    <row r="344" spans="1:9" ht="15.95" customHeight="1"/>
    <row r="345" spans="1:9" ht="15.95" customHeight="1"/>
    <row r="346" spans="1:9" ht="15.95" customHeight="1"/>
    <row r="347" spans="1:9" ht="15.95" customHeight="1"/>
    <row r="348" spans="1:9" ht="15.95" customHeight="1"/>
    <row r="349" spans="1:9" ht="15.95" customHeight="1"/>
    <row r="350" spans="1:9" ht="15.95" customHeight="1"/>
    <row r="351" spans="1:9" ht="15.95" customHeight="1"/>
    <row r="352" spans="1:9" ht="15.95" customHeight="1"/>
    <row r="353" ht="15.95" customHeight="1"/>
    <row r="354" ht="15.95" customHeight="1"/>
    <row r="355" ht="15.95" customHeight="1"/>
    <row r="356" ht="15.95" customHeight="1"/>
    <row r="357" ht="15.95" customHeight="1"/>
    <row r="358" ht="15.95" customHeight="1"/>
    <row r="359" ht="15.95" customHeight="1"/>
    <row r="360" ht="15.95" customHeight="1"/>
    <row r="361" ht="15.95" customHeight="1"/>
    <row r="362" ht="15.95" customHeight="1"/>
    <row r="363" ht="15.95" customHeight="1"/>
    <row r="364" ht="15.95" customHeight="1"/>
    <row r="365" ht="15.95" customHeight="1"/>
    <row r="366" ht="15.95" customHeight="1"/>
    <row r="367" ht="15.95" customHeight="1"/>
    <row r="368" ht="15.95" customHeight="1"/>
    <row r="369" ht="15.95" customHeight="1"/>
    <row r="370" ht="15.95" customHeight="1"/>
    <row r="371" ht="15.95" customHeight="1"/>
    <row r="372" ht="15.95" customHeight="1"/>
    <row r="373" ht="15.95" customHeight="1"/>
    <row r="374" ht="15.95" customHeight="1"/>
    <row r="375" ht="15.95" customHeight="1"/>
    <row r="376" ht="15.95" customHeight="1"/>
    <row r="377" ht="15.95" customHeight="1"/>
    <row r="378" ht="15.95" customHeight="1"/>
    <row r="379" ht="15.95" customHeight="1"/>
    <row r="380" ht="15.95" customHeight="1"/>
    <row r="381" ht="15.95" customHeight="1"/>
    <row r="382" ht="15.95" customHeight="1"/>
    <row r="383" ht="15.95" customHeight="1"/>
    <row r="384" ht="15.95" customHeight="1"/>
    <row r="385" ht="15.95" customHeight="1"/>
    <row r="386" ht="15.95" customHeight="1"/>
    <row r="387" ht="15.95" customHeight="1"/>
    <row r="388" ht="15.95" customHeight="1"/>
    <row r="389" ht="15.95" customHeight="1"/>
    <row r="390" ht="15.95" customHeight="1"/>
    <row r="391" ht="15.95" customHeight="1"/>
    <row r="392" ht="15.95" customHeight="1"/>
    <row r="393" ht="15.95" customHeight="1"/>
    <row r="394" ht="15.95" customHeight="1"/>
    <row r="395" ht="15.95" customHeight="1"/>
    <row r="396" ht="15.95" customHeight="1"/>
    <row r="397" ht="15.95" customHeight="1"/>
    <row r="398" ht="15.95" customHeight="1"/>
    <row r="399" ht="15.95" customHeight="1"/>
    <row r="400" ht="15.95" customHeight="1"/>
    <row r="401" ht="15.95" customHeight="1"/>
    <row r="402" ht="15.95" customHeight="1"/>
    <row r="403" ht="15.95" customHeight="1"/>
    <row r="404" ht="15.95" customHeight="1"/>
    <row r="405" ht="15.95" customHeight="1"/>
    <row r="406" ht="15.95" customHeight="1"/>
    <row r="407" ht="15.95" customHeight="1"/>
    <row r="408" ht="15.95" customHeight="1"/>
    <row r="409" ht="15.95" customHeight="1"/>
    <row r="410" ht="15.95" customHeight="1"/>
    <row r="411" ht="15.95" customHeight="1"/>
    <row r="412" ht="15.95" customHeight="1"/>
    <row r="413" ht="15.95" customHeight="1"/>
    <row r="414" ht="15.95" customHeight="1"/>
    <row r="415" ht="15.95" customHeight="1"/>
    <row r="416" ht="15.95" customHeight="1"/>
    <row r="417" ht="15.95" customHeight="1"/>
    <row r="418" ht="15.95" customHeight="1"/>
    <row r="419" ht="15.95" customHeight="1"/>
    <row r="420" ht="15.95" customHeight="1"/>
    <row r="421" ht="15.95" customHeight="1"/>
    <row r="422" ht="15.95" customHeight="1"/>
    <row r="423" ht="15.95" customHeight="1"/>
    <row r="424" ht="15.95" customHeight="1"/>
    <row r="425" ht="15.95" customHeight="1"/>
    <row r="426" ht="15.95" customHeight="1"/>
    <row r="427" ht="15.95" customHeight="1"/>
    <row r="428" ht="15.95" customHeight="1"/>
    <row r="429" ht="15.95" customHeight="1"/>
    <row r="430" ht="15.95" customHeight="1"/>
    <row r="431" ht="15.95" customHeight="1"/>
    <row r="432" ht="15.95" customHeight="1"/>
    <row r="433" ht="15.95" customHeight="1"/>
    <row r="434" ht="15.95" customHeight="1"/>
    <row r="435" ht="15.95" customHeight="1"/>
    <row r="436" ht="15.95" customHeight="1"/>
    <row r="437" ht="15.95" customHeight="1"/>
    <row r="438" ht="15.95" customHeight="1"/>
    <row r="439" ht="15.95" customHeight="1"/>
    <row r="440" ht="15.95" customHeight="1"/>
    <row r="441" ht="15.95" customHeight="1"/>
    <row r="442" ht="15.95" customHeight="1"/>
    <row r="443" ht="15.95" customHeight="1"/>
    <row r="444" ht="15.95" customHeight="1"/>
    <row r="445" ht="15.95" customHeight="1"/>
    <row r="446" ht="15.95" customHeight="1"/>
    <row r="447" ht="15.95" customHeight="1"/>
    <row r="448" ht="15.95" customHeight="1"/>
    <row r="449" ht="15.95" customHeight="1"/>
    <row r="450" ht="15.95" customHeight="1"/>
    <row r="451" ht="15.95" customHeight="1"/>
    <row r="452" ht="15.95" customHeight="1"/>
    <row r="453" ht="15.95" customHeight="1"/>
  </sheetData>
  <mergeCells count="3">
    <mergeCell ref="A2:B2"/>
    <mergeCell ref="A328:A335"/>
    <mergeCell ref="A3:A326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1" orientation="portrait" horizontalDpi="4294967292" r:id="rId1"/>
  <headerFooter alignWithMargins="0"/>
  <rowBreaks count="1" manualBreakCount="1">
    <brk id="205" max="8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FCE41-9481-4277-AF94-914BF2C0D159}">
  <sheetPr codeName="Sheet10">
    <pageSetUpPr fitToPage="1"/>
  </sheetPr>
  <dimension ref="A1:M86"/>
  <sheetViews>
    <sheetView view="pageBreakPreview" zoomScale="80" zoomScaleNormal="85" workbookViewId="0">
      <pane xSplit="2" ySplit="2" topLeftCell="C9" activePane="bottomRight" state="frozen"/>
      <selection activeCell="F67" sqref="F67"/>
      <selection pane="topRight" activeCell="F67" sqref="F67"/>
      <selection pane="bottomLeft" activeCell="F67" sqref="F67"/>
      <selection pane="bottomRight" activeCell="K23" sqref="K23"/>
    </sheetView>
  </sheetViews>
  <sheetFormatPr defaultRowHeight="13.5"/>
  <cols>
    <col min="1" max="1" width="5" style="53" customWidth="1"/>
    <col min="2" max="2" width="20" style="53" customWidth="1"/>
    <col min="3" max="3" width="23.625" style="53" customWidth="1"/>
    <col min="4" max="4" width="19.75" style="268" customWidth="1"/>
    <col min="5" max="5" width="5.25" style="119" bestFit="1" customWidth="1"/>
    <col min="6" max="6" width="11.25" style="115" customWidth="1"/>
    <col min="7" max="8" width="15.625" style="115" customWidth="1"/>
    <col min="9" max="9" width="12.75" style="230" customWidth="1"/>
    <col min="10" max="10" width="9" style="227"/>
    <col min="11" max="11" width="19.5" style="227" customWidth="1"/>
    <col min="12" max="12" width="12.875" style="227" customWidth="1"/>
    <col min="13" max="13" width="9" style="227"/>
    <col min="14" max="16384" width="9" style="53"/>
  </cols>
  <sheetData>
    <row r="1" spans="1:13" ht="22.5" customHeight="1">
      <c r="A1" s="45" t="s">
        <v>300</v>
      </c>
      <c r="B1" s="45"/>
      <c r="C1" s="59" t="s">
        <v>1315</v>
      </c>
      <c r="D1" s="262"/>
      <c r="E1" s="140"/>
      <c r="F1" s="22"/>
      <c r="G1" s="114"/>
      <c r="I1" s="230" t="s">
        <v>53</v>
      </c>
      <c r="J1" s="229"/>
      <c r="K1" s="229"/>
      <c r="L1" s="229"/>
      <c r="M1" s="229"/>
    </row>
    <row r="2" spans="1:13" s="119" customFormat="1" ht="16.5" customHeight="1">
      <c r="A2" s="974" t="s">
        <v>57</v>
      </c>
      <c r="B2" s="975"/>
      <c r="C2" s="141" t="s">
        <v>7</v>
      </c>
      <c r="D2" s="142" t="s">
        <v>58</v>
      </c>
      <c r="E2" s="142" t="s">
        <v>59</v>
      </c>
      <c r="F2" s="143" t="s">
        <v>4</v>
      </c>
      <c r="G2" s="143" t="s">
        <v>60</v>
      </c>
      <c r="H2" s="143" t="s">
        <v>61</v>
      </c>
      <c r="I2" s="237" t="s">
        <v>9</v>
      </c>
      <c r="J2" s="228"/>
      <c r="K2" s="228"/>
      <c r="L2" s="228"/>
      <c r="M2" s="228"/>
    </row>
    <row r="3" spans="1:13" ht="15.95" customHeight="1">
      <c r="A3" s="976" t="s">
        <v>234</v>
      </c>
      <c r="B3" s="341" t="s">
        <v>235</v>
      </c>
      <c r="C3" s="420" t="s">
        <v>236</v>
      </c>
      <c r="D3" s="420"/>
      <c r="E3" s="420" t="s">
        <v>237</v>
      </c>
      <c r="F3" s="415">
        <v>50</v>
      </c>
      <c r="G3" s="415">
        <v>1500</v>
      </c>
      <c r="H3" s="337">
        <f t="shared" ref="H3:H10" si="0">IF(F3=0,G3,G3*F3)</f>
        <v>75000</v>
      </c>
      <c r="I3" s="314"/>
    </row>
    <row r="4" spans="1:13" ht="15.95" customHeight="1">
      <c r="A4" s="977"/>
      <c r="B4" s="341"/>
      <c r="C4" s="318"/>
      <c r="D4" s="318"/>
      <c r="E4" s="318"/>
      <c r="F4" s="319"/>
      <c r="G4" s="319"/>
      <c r="H4" s="320">
        <f t="shared" si="0"/>
        <v>0</v>
      </c>
      <c r="I4" s="338"/>
    </row>
    <row r="5" spans="1:13" ht="15.95" customHeight="1">
      <c r="A5" s="977"/>
      <c r="B5" s="341"/>
      <c r="C5" s="318"/>
      <c r="D5" s="318"/>
      <c r="E5" s="318"/>
      <c r="F5" s="319"/>
      <c r="G5" s="319"/>
      <c r="H5" s="320">
        <f t="shared" si="0"/>
        <v>0</v>
      </c>
      <c r="I5" s="338"/>
    </row>
    <row r="6" spans="1:13" ht="15.95" customHeight="1">
      <c r="A6" s="977"/>
      <c r="B6" s="341"/>
      <c r="C6" s="318"/>
      <c r="D6" s="318"/>
      <c r="E6" s="318"/>
      <c r="F6" s="319"/>
      <c r="G6" s="319"/>
      <c r="H6" s="320">
        <f t="shared" si="0"/>
        <v>0</v>
      </c>
      <c r="I6" s="338"/>
    </row>
    <row r="7" spans="1:13" ht="15.95" customHeight="1">
      <c r="A7" s="977"/>
      <c r="B7" s="341"/>
      <c r="C7" s="318"/>
      <c r="D7" s="318"/>
      <c r="E7" s="318"/>
      <c r="F7" s="319"/>
      <c r="G7" s="319"/>
      <c r="H7" s="320">
        <f t="shared" si="0"/>
        <v>0</v>
      </c>
      <c r="I7" s="338"/>
    </row>
    <row r="8" spans="1:13" ht="15.95" customHeight="1">
      <c r="A8" s="977"/>
      <c r="B8" s="341"/>
      <c r="C8" s="318"/>
      <c r="D8" s="318"/>
      <c r="E8" s="318"/>
      <c r="F8" s="319"/>
      <c r="G8" s="319"/>
      <c r="H8" s="320">
        <f t="shared" si="0"/>
        <v>0</v>
      </c>
      <c r="I8" s="338"/>
    </row>
    <row r="9" spans="1:13" ht="15.95" customHeight="1">
      <c r="A9" s="977"/>
      <c r="B9" s="341"/>
      <c r="C9" s="318"/>
      <c r="D9" s="318"/>
      <c r="E9" s="318"/>
      <c r="F9" s="319"/>
      <c r="G9" s="319"/>
      <c r="H9" s="320">
        <f t="shared" si="0"/>
        <v>0</v>
      </c>
      <c r="I9" s="338"/>
    </row>
    <row r="10" spans="1:13" ht="15.95" customHeight="1">
      <c r="A10" s="977"/>
      <c r="B10" s="341"/>
      <c r="C10" s="402" t="s">
        <v>238</v>
      </c>
      <c r="D10" s="402"/>
      <c r="E10" s="402" t="s">
        <v>239</v>
      </c>
      <c r="F10" s="336">
        <v>20</v>
      </c>
      <c r="G10" s="336">
        <v>8000</v>
      </c>
      <c r="H10" s="339">
        <f t="shared" si="0"/>
        <v>160000</v>
      </c>
      <c r="I10" s="340"/>
    </row>
    <row r="11" spans="1:13" ht="15.95" customHeight="1">
      <c r="A11" s="977"/>
      <c r="B11" s="342"/>
      <c r="C11" s="343"/>
      <c r="D11" s="344"/>
      <c r="E11" s="344"/>
      <c r="F11" s="345">
        <f>SUM(F3:F10)</f>
        <v>70</v>
      </c>
      <c r="G11" s="346"/>
      <c r="H11" s="347">
        <f>SUM(H3:H10)</f>
        <v>235000</v>
      </c>
      <c r="I11" s="348"/>
    </row>
    <row r="12" spans="1:13" ht="15.95" customHeight="1">
      <c r="A12" s="977"/>
      <c r="B12" s="349" t="s">
        <v>240</v>
      </c>
      <c r="C12" s="324"/>
      <c r="D12" s="325"/>
      <c r="E12" s="311" t="s">
        <v>219</v>
      </c>
      <c r="F12" s="326"/>
      <c r="G12" s="327"/>
      <c r="H12" s="337">
        <f>IF(F12=0,G12,G12*F12)</f>
        <v>0</v>
      </c>
      <c r="I12" s="314"/>
    </row>
    <row r="13" spans="1:13" ht="15.95" customHeight="1">
      <c r="A13" s="977"/>
      <c r="B13" s="341" t="s">
        <v>241</v>
      </c>
      <c r="C13" s="328"/>
      <c r="D13" s="329"/>
      <c r="E13" s="315" t="s">
        <v>283</v>
      </c>
      <c r="F13" s="321"/>
      <c r="G13" s="330"/>
      <c r="H13" s="320">
        <f t="shared" ref="H13:H29" si="1">IF(F13=0,G13,G13*F13)</f>
        <v>0</v>
      </c>
      <c r="I13" s="338"/>
    </row>
    <row r="14" spans="1:13" ht="15.95" customHeight="1">
      <c r="A14" s="977"/>
      <c r="B14" s="814" t="s">
        <v>565</v>
      </c>
      <c r="C14" s="753" t="s">
        <v>1316</v>
      </c>
      <c r="D14" s="816" t="s">
        <v>1317</v>
      </c>
      <c r="E14" s="800" t="s">
        <v>557</v>
      </c>
      <c r="F14" s="800">
        <v>1</v>
      </c>
      <c r="G14" s="802">
        <v>1014000</v>
      </c>
      <c r="H14" s="320">
        <f t="shared" si="1"/>
        <v>1014000</v>
      </c>
      <c r="I14" s="815" t="s">
        <v>1335</v>
      </c>
    </row>
    <row r="15" spans="1:13" ht="15.95" customHeight="1">
      <c r="A15" s="977"/>
      <c r="B15" s="279"/>
      <c r="C15" s="753" t="s">
        <v>620</v>
      </c>
      <c r="D15" s="753" t="s">
        <v>1318</v>
      </c>
      <c r="E15" s="594" t="s">
        <v>557</v>
      </c>
      <c r="F15" s="801">
        <v>2</v>
      </c>
      <c r="G15" s="802">
        <v>721300</v>
      </c>
      <c r="H15" s="320">
        <f t="shared" si="1"/>
        <v>1442600</v>
      </c>
      <c r="I15" s="798" t="s">
        <v>667</v>
      </c>
    </row>
    <row r="16" spans="1:13" ht="15.95" customHeight="1">
      <c r="A16" s="977"/>
      <c r="B16" s="279"/>
      <c r="C16" s="753" t="s">
        <v>1319</v>
      </c>
      <c r="D16" s="753" t="s">
        <v>1320</v>
      </c>
      <c r="E16" s="594" t="s">
        <v>557</v>
      </c>
      <c r="F16" s="801">
        <v>1</v>
      </c>
      <c r="G16" s="802">
        <v>618450</v>
      </c>
      <c r="H16" s="320">
        <f t="shared" si="1"/>
        <v>618450</v>
      </c>
      <c r="I16" s="798" t="s">
        <v>667</v>
      </c>
    </row>
    <row r="17" spans="1:9" ht="15.95" customHeight="1">
      <c r="A17" s="977"/>
      <c r="B17" s="279"/>
      <c r="C17" s="753" t="s">
        <v>1070</v>
      </c>
      <c r="D17" s="753" t="s">
        <v>1321</v>
      </c>
      <c r="E17" s="594" t="s">
        <v>557</v>
      </c>
      <c r="F17" s="801">
        <v>1</v>
      </c>
      <c r="G17" s="802">
        <v>275000</v>
      </c>
      <c r="H17" s="320">
        <f t="shared" si="1"/>
        <v>275000</v>
      </c>
      <c r="I17" s="798" t="s">
        <v>1336</v>
      </c>
    </row>
    <row r="18" spans="1:9" ht="15.95" customHeight="1">
      <c r="A18" s="977"/>
      <c r="B18" s="279"/>
      <c r="C18" s="753" t="s">
        <v>625</v>
      </c>
      <c r="D18" s="753" t="s">
        <v>1322</v>
      </c>
      <c r="E18" s="594" t="s">
        <v>557</v>
      </c>
      <c r="F18" s="801">
        <v>1</v>
      </c>
      <c r="G18" s="802">
        <v>14380</v>
      </c>
      <c r="H18" s="320">
        <f t="shared" si="1"/>
        <v>14380</v>
      </c>
      <c r="I18" s="798" t="s">
        <v>667</v>
      </c>
    </row>
    <row r="19" spans="1:9" ht="15.95" customHeight="1">
      <c r="A19" s="977"/>
      <c r="B19" s="279"/>
      <c r="C19" s="753" t="s">
        <v>1323</v>
      </c>
      <c r="D19" s="753" t="s">
        <v>1324</v>
      </c>
      <c r="E19" s="594" t="s">
        <v>557</v>
      </c>
      <c r="F19" s="801">
        <v>3</v>
      </c>
      <c r="G19" s="802">
        <v>15500</v>
      </c>
      <c r="H19" s="320">
        <f t="shared" si="1"/>
        <v>46500</v>
      </c>
      <c r="I19" s="798" t="s">
        <v>669</v>
      </c>
    </row>
    <row r="20" spans="1:9" ht="15.95" customHeight="1">
      <c r="A20" s="977"/>
      <c r="B20" s="279"/>
      <c r="C20" s="753" t="s">
        <v>638</v>
      </c>
      <c r="D20" s="753" t="s">
        <v>639</v>
      </c>
      <c r="E20" s="594" t="s">
        <v>557</v>
      </c>
      <c r="F20" s="801">
        <v>3</v>
      </c>
      <c r="G20" s="802">
        <v>25800</v>
      </c>
      <c r="H20" s="320">
        <f t="shared" si="1"/>
        <v>77400</v>
      </c>
      <c r="I20" s="798" t="s">
        <v>669</v>
      </c>
    </row>
    <row r="21" spans="1:9" ht="15.95" customHeight="1">
      <c r="A21" s="977"/>
      <c r="B21" s="279"/>
      <c r="C21" s="753" t="s">
        <v>1073</v>
      </c>
      <c r="D21" s="753" t="s">
        <v>641</v>
      </c>
      <c r="E21" s="594" t="s">
        <v>557</v>
      </c>
      <c r="F21" s="801">
        <v>3</v>
      </c>
      <c r="G21" s="802">
        <v>8000</v>
      </c>
      <c r="H21" s="320">
        <f t="shared" si="1"/>
        <v>24000</v>
      </c>
      <c r="I21" s="798" t="s">
        <v>669</v>
      </c>
    </row>
    <row r="22" spans="1:9" ht="15.95" customHeight="1">
      <c r="A22" s="977"/>
      <c r="B22" s="279"/>
      <c r="C22" s="753" t="s">
        <v>1325</v>
      </c>
      <c r="D22" s="753" t="s">
        <v>1326</v>
      </c>
      <c r="E22" s="594" t="s">
        <v>557</v>
      </c>
      <c r="F22" s="801">
        <v>1</v>
      </c>
      <c r="G22" s="802">
        <v>59250</v>
      </c>
      <c r="H22" s="320">
        <f t="shared" si="1"/>
        <v>59250</v>
      </c>
      <c r="I22" s="798" t="s">
        <v>667</v>
      </c>
    </row>
    <row r="23" spans="1:9" ht="15.95" customHeight="1">
      <c r="A23" s="977"/>
      <c r="B23" s="279"/>
      <c r="C23" s="753" t="s">
        <v>1325</v>
      </c>
      <c r="D23" s="753" t="s">
        <v>1327</v>
      </c>
      <c r="E23" s="594" t="s">
        <v>557</v>
      </c>
      <c r="F23" s="801">
        <v>1</v>
      </c>
      <c r="G23" s="802">
        <v>18290</v>
      </c>
      <c r="H23" s="320">
        <f t="shared" si="1"/>
        <v>18290</v>
      </c>
      <c r="I23" s="798" t="s">
        <v>667</v>
      </c>
    </row>
    <row r="24" spans="1:9" ht="15.95" customHeight="1">
      <c r="A24" s="977"/>
      <c r="B24" s="279"/>
      <c r="C24" s="753" t="s">
        <v>1039</v>
      </c>
      <c r="D24" s="753" t="s">
        <v>1328</v>
      </c>
      <c r="E24" s="594" t="s">
        <v>557</v>
      </c>
      <c r="F24" s="801">
        <v>1</v>
      </c>
      <c r="G24" s="802">
        <v>12000</v>
      </c>
      <c r="H24" s="320">
        <f t="shared" si="1"/>
        <v>12000</v>
      </c>
      <c r="I24" s="798" t="s">
        <v>1337</v>
      </c>
    </row>
    <row r="25" spans="1:9" ht="15.95" customHeight="1">
      <c r="A25" s="977"/>
      <c r="B25" s="279"/>
      <c r="C25" s="753" t="s">
        <v>1329</v>
      </c>
      <c r="D25" s="753" t="s">
        <v>1330</v>
      </c>
      <c r="E25" s="594" t="s">
        <v>557</v>
      </c>
      <c r="F25" s="801">
        <v>2</v>
      </c>
      <c r="G25" s="802">
        <v>60000</v>
      </c>
      <c r="H25" s="320">
        <f t="shared" si="1"/>
        <v>120000</v>
      </c>
      <c r="I25" s="798" t="s">
        <v>1338</v>
      </c>
    </row>
    <row r="26" spans="1:9" ht="15.95" customHeight="1">
      <c r="A26" s="977"/>
      <c r="B26" s="279"/>
      <c r="C26" s="753" t="s">
        <v>1085</v>
      </c>
      <c r="D26" s="753" t="s">
        <v>1331</v>
      </c>
      <c r="E26" s="594" t="s">
        <v>557</v>
      </c>
      <c r="F26" s="801">
        <v>1</v>
      </c>
      <c r="G26" s="802">
        <v>183000</v>
      </c>
      <c r="H26" s="320">
        <f t="shared" si="1"/>
        <v>183000</v>
      </c>
      <c r="I26" s="798" t="s">
        <v>1339</v>
      </c>
    </row>
    <row r="27" spans="1:9" ht="15.95" customHeight="1">
      <c r="A27" s="977"/>
      <c r="B27" s="279"/>
      <c r="C27" s="753" t="s">
        <v>834</v>
      </c>
      <c r="D27" s="753" t="s">
        <v>1332</v>
      </c>
      <c r="E27" s="594" t="s">
        <v>557</v>
      </c>
      <c r="F27" s="801">
        <v>2</v>
      </c>
      <c r="G27" s="802">
        <v>7780</v>
      </c>
      <c r="H27" s="320">
        <f t="shared" si="1"/>
        <v>15560</v>
      </c>
      <c r="I27" s="798" t="s">
        <v>668</v>
      </c>
    </row>
    <row r="28" spans="1:9" ht="15.95" customHeight="1">
      <c r="A28" s="977"/>
      <c r="B28" s="279"/>
      <c r="C28" s="753" t="s">
        <v>1333</v>
      </c>
      <c r="D28" s="753" t="s">
        <v>1334</v>
      </c>
      <c r="E28" s="800" t="s">
        <v>1059</v>
      </c>
      <c r="F28" s="801">
        <v>1</v>
      </c>
      <c r="G28" s="802">
        <v>28000000</v>
      </c>
      <c r="H28" s="320">
        <f t="shared" si="1"/>
        <v>28000000</v>
      </c>
      <c r="I28" s="798" t="s">
        <v>1340</v>
      </c>
    </row>
    <row r="29" spans="1:9" ht="15.95" customHeight="1">
      <c r="A29" s="977"/>
      <c r="B29" s="279"/>
      <c r="C29" s="305"/>
      <c r="D29" s="305"/>
      <c r="E29" s="315" t="s">
        <v>283</v>
      </c>
      <c r="F29" s="307"/>
      <c r="G29" s="319"/>
      <c r="H29" s="320">
        <f t="shared" si="1"/>
        <v>0</v>
      </c>
      <c r="I29" s="338"/>
    </row>
    <row r="30" spans="1:9" ht="15.95" customHeight="1">
      <c r="A30" s="977"/>
      <c r="B30" s="279"/>
      <c r="C30" s="318"/>
      <c r="D30" s="318"/>
      <c r="E30" s="315"/>
      <c r="F30" s="321"/>
      <c r="G30" s="319"/>
      <c r="H30" s="320"/>
      <c r="I30" s="338"/>
    </row>
    <row r="31" spans="1:9" ht="15.95" customHeight="1">
      <c r="A31" s="977"/>
      <c r="B31" s="279"/>
      <c r="C31" s="318"/>
      <c r="D31" s="318"/>
      <c r="E31" s="315" t="s">
        <v>283</v>
      </c>
      <c r="F31" s="319"/>
      <c r="G31" s="319"/>
      <c r="H31" s="320"/>
      <c r="I31" s="338"/>
    </row>
    <row r="32" spans="1:9" ht="15.95" customHeight="1">
      <c r="A32" s="977"/>
      <c r="B32" s="279"/>
      <c r="C32" s="332" t="s">
        <v>284</v>
      </c>
      <c r="D32" s="333"/>
      <c r="E32" s="334" t="s">
        <v>239</v>
      </c>
      <c r="F32" s="335">
        <v>1</v>
      </c>
      <c r="G32" s="336"/>
      <c r="H32" s="339">
        <v>420000</v>
      </c>
      <c r="I32" s="340"/>
    </row>
    <row r="33" spans="1:9" ht="15.95" customHeight="1">
      <c r="A33" s="977"/>
      <c r="B33" s="280"/>
      <c r="C33" s="284"/>
      <c r="D33" s="285"/>
      <c r="E33" s="285"/>
      <c r="F33" s="286"/>
      <c r="G33" s="286"/>
      <c r="H33" s="272">
        <f>SUM(H12:H32)</f>
        <v>32340430</v>
      </c>
      <c r="I33" s="271"/>
    </row>
    <row r="34" spans="1:9" ht="15.95" customHeight="1">
      <c r="A34" s="977"/>
      <c r="B34" s="283" t="s">
        <v>242</v>
      </c>
      <c r="C34" s="305"/>
      <c r="D34" s="305"/>
      <c r="E34" s="311"/>
      <c r="F34" s="307"/>
      <c r="G34" s="312"/>
      <c r="H34" s="313">
        <f t="shared" ref="H34:H63" si="2">G34*F34</f>
        <v>0</v>
      </c>
      <c r="I34" s="314"/>
    </row>
    <row r="35" spans="1:9" ht="15.95" customHeight="1">
      <c r="A35" s="977"/>
      <c r="B35" s="814" t="s">
        <v>565</v>
      </c>
      <c r="C35" s="817" t="s">
        <v>1341</v>
      </c>
      <c r="D35" s="753" t="s">
        <v>1342</v>
      </c>
      <c r="E35" s="800" t="s">
        <v>557</v>
      </c>
      <c r="F35" s="800">
        <v>1</v>
      </c>
      <c r="G35" s="802">
        <v>180000</v>
      </c>
      <c r="H35" s="316">
        <f t="shared" si="2"/>
        <v>180000</v>
      </c>
      <c r="I35" s="317" t="s">
        <v>842</v>
      </c>
    </row>
    <row r="36" spans="1:9" ht="15.95" customHeight="1">
      <c r="A36" s="977"/>
      <c r="B36" s="279"/>
      <c r="C36" s="817" t="s">
        <v>766</v>
      </c>
      <c r="D36" s="753" t="s">
        <v>1343</v>
      </c>
      <c r="E36" s="800" t="s">
        <v>557</v>
      </c>
      <c r="F36" s="800">
        <v>1</v>
      </c>
      <c r="G36" s="802">
        <v>120000</v>
      </c>
      <c r="H36" s="316">
        <f t="shared" si="2"/>
        <v>120000</v>
      </c>
      <c r="I36" s="317" t="s">
        <v>842</v>
      </c>
    </row>
    <row r="37" spans="1:9" ht="15.95" customHeight="1">
      <c r="A37" s="977"/>
      <c r="B37" s="279"/>
      <c r="C37" s="817" t="s">
        <v>1344</v>
      </c>
      <c r="D37" s="753" t="s">
        <v>1345</v>
      </c>
      <c r="E37" s="800" t="s">
        <v>557</v>
      </c>
      <c r="F37" s="800">
        <v>1</v>
      </c>
      <c r="G37" s="802">
        <v>15000</v>
      </c>
      <c r="H37" s="316">
        <f t="shared" si="2"/>
        <v>15000</v>
      </c>
      <c r="I37" s="317" t="s">
        <v>842</v>
      </c>
    </row>
    <row r="38" spans="1:9" ht="15.95" customHeight="1">
      <c r="A38" s="977"/>
      <c r="B38" s="279"/>
      <c r="C38" s="817" t="s">
        <v>1346</v>
      </c>
      <c r="D38" s="753" t="s">
        <v>1347</v>
      </c>
      <c r="E38" s="800" t="s">
        <v>557</v>
      </c>
      <c r="F38" s="800">
        <v>1</v>
      </c>
      <c r="G38" s="802">
        <v>32000</v>
      </c>
      <c r="H38" s="316">
        <f t="shared" si="2"/>
        <v>32000</v>
      </c>
      <c r="I38" s="317" t="s">
        <v>842</v>
      </c>
    </row>
    <row r="39" spans="1:9" ht="15.95" customHeight="1">
      <c r="A39" s="977"/>
      <c r="B39" s="279"/>
      <c r="C39" s="817" t="s">
        <v>1348</v>
      </c>
      <c r="D39" s="753" t="s">
        <v>1349</v>
      </c>
      <c r="E39" s="800" t="s">
        <v>557</v>
      </c>
      <c r="F39" s="800">
        <v>1</v>
      </c>
      <c r="G39" s="802">
        <v>32000</v>
      </c>
      <c r="H39" s="316">
        <f t="shared" si="2"/>
        <v>32000</v>
      </c>
      <c r="I39" s="317" t="s">
        <v>842</v>
      </c>
    </row>
    <row r="40" spans="1:9" ht="15.95" customHeight="1">
      <c r="A40" s="977"/>
      <c r="B40" s="279"/>
      <c r="C40" s="817" t="s">
        <v>1344</v>
      </c>
      <c r="D40" s="753" t="s">
        <v>1350</v>
      </c>
      <c r="E40" s="800" t="s">
        <v>557</v>
      </c>
      <c r="F40" s="800">
        <v>1</v>
      </c>
      <c r="G40" s="802">
        <v>20000</v>
      </c>
      <c r="H40" s="316">
        <f t="shared" si="2"/>
        <v>20000</v>
      </c>
      <c r="I40" s="317" t="s">
        <v>842</v>
      </c>
    </row>
    <row r="41" spans="1:9" ht="15.95" customHeight="1">
      <c r="A41" s="977"/>
      <c r="B41" s="279"/>
      <c r="C41" s="753" t="s">
        <v>1351</v>
      </c>
      <c r="D41" s="753" t="s">
        <v>1352</v>
      </c>
      <c r="E41" s="800" t="s">
        <v>557</v>
      </c>
      <c r="F41" s="594">
        <v>1</v>
      </c>
      <c r="G41" s="802">
        <v>33000</v>
      </c>
      <c r="H41" s="316">
        <f t="shared" si="2"/>
        <v>33000</v>
      </c>
      <c r="I41" s="317" t="s">
        <v>842</v>
      </c>
    </row>
    <row r="42" spans="1:9" ht="15.95" customHeight="1">
      <c r="A42" s="977"/>
      <c r="B42" s="279"/>
      <c r="C42" s="753" t="s">
        <v>692</v>
      </c>
      <c r="D42" s="753" t="s">
        <v>1353</v>
      </c>
      <c r="E42" s="800" t="s">
        <v>557</v>
      </c>
      <c r="F42" s="594">
        <v>1</v>
      </c>
      <c r="G42" s="802">
        <v>40000</v>
      </c>
      <c r="H42" s="316">
        <f t="shared" si="2"/>
        <v>40000</v>
      </c>
      <c r="I42" s="317" t="s">
        <v>842</v>
      </c>
    </row>
    <row r="43" spans="1:9" ht="15.95" customHeight="1">
      <c r="A43" s="977"/>
      <c r="B43" s="279"/>
      <c r="C43" s="753" t="s">
        <v>1354</v>
      </c>
      <c r="D43" s="753" t="s">
        <v>1355</v>
      </c>
      <c r="E43" s="800" t="s">
        <v>557</v>
      </c>
      <c r="F43" s="594">
        <v>1</v>
      </c>
      <c r="G43" s="802">
        <v>12000</v>
      </c>
      <c r="H43" s="316">
        <f t="shared" si="2"/>
        <v>12000</v>
      </c>
      <c r="I43" s="317" t="s">
        <v>842</v>
      </c>
    </row>
    <row r="44" spans="1:9" ht="15.95" customHeight="1">
      <c r="A44" s="977"/>
      <c r="B44" s="279"/>
      <c r="C44" s="753" t="s">
        <v>1356</v>
      </c>
      <c r="D44" s="753" t="s">
        <v>1357</v>
      </c>
      <c r="E44" s="800" t="s">
        <v>557</v>
      </c>
      <c r="F44" s="594">
        <v>2</v>
      </c>
      <c r="G44" s="802">
        <v>22000</v>
      </c>
      <c r="H44" s="316">
        <f t="shared" si="2"/>
        <v>44000</v>
      </c>
      <c r="I44" s="317" t="s">
        <v>842</v>
      </c>
    </row>
    <row r="45" spans="1:9" ht="15.95" customHeight="1">
      <c r="A45" s="977"/>
      <c r="B45" s="279"/>
      <c r="C45" s="753" t="s">
        <v>1358</v>
      </c>
      <c r="D45" s="753" t="s">
        <v>1359</v>
      </c>
      <c r="E45" s="800" t="s">
        <v>557</v>
      </c>
      <c r="F45" s="594">
        <v>1</v>
      </c>
      <c r="G45" s="802">
        <v>24000</v>
      </c>
      <c r="H45" s="316">
        <f t="shared" si="2"/>
        <v>24000</v>
      </c>
      <c r="I45" s="317" t="s">
        <v>842</v>
      </c>
    </row>
    <row r="46" spans="1:9" ht="15.95" customHeight="1">
      <c r="A46" s="977"/>
      <c r="B46" s="279"/>
      <c r="C46" s="753" t="s">
        <v>1360</v>
      </c>
      <c r="D46" s="753" t="s">
        <v>1361</v>
      </c>
      <c r="E46" s="800" t="s">
        <v>557</v>
      </c>
      <c r="F46" s="594">
        <v>3</v>
      </c>
      <c r="G46" s="802">
        <v>6000</v>
      </c>
      <c r="H46" s="316">
        <f t="shared" si="2"/>
        <v>18000</v>
      </c>
      <c r="I46" s="317" t="s">
        <v>842</v>
      </c>
    </row>
    <row r="47" spans="1:9" ht="15.95" customHeight="1">
      <c r="A47" s="977"/>
      <c r="B47" s="279"/>
      <c r="C47" s="753" t="s">
        <v>1362</v>
      </c>
      <c r="D47" s="753" t="s">
        <v>1363</v>
      </c>
      <c r="E47" s="800" t="s">
        <v>557</v>
      </c>
      <c r="F47" s="594">
        <v>2</v>
      </c>
      <c r="G47" s="802">
        <v>24500</v>
      </c>
      <c r="H47" s="316">
        <f t="shared" si="2"/>
        <v>49000</v>
      </c>
      <c r="I47" s="317" t="s">
        <v>842</v>
      </c>
    </row>
    <row r="48" spans="1:9" ht="15.95" customHeight="1">
      <c r="A48" s="977"/>
      <c r="B48" s="279"/>
      <c r="C48" s="753" t="s">
        <v>1364</v>
      </c>
      <c r="D48" s="753" t="s">
        <v>1365</v>
      </c>
      <c r="E48" s="800" t="s">
        <v>557</v>
      </c>
      <c r="F48" s="594">
        <v>1</v>
      </c>
      <c r="G48" s="802">
        <v>20000</v>
      </c>
      <c r="H48" s="316">
        <f t="shared" si="2"/>
        <v>20000</v>
      </c>
      <c r="I48" s="317" t="s">
        <v>842</v>
      </c>
    </row>
    <row r="49" spans="1:9" ht="15.95" customHeight="1">
      <c r="A49" s="977"/>
      <c r="B49" s="279"/>
      <c r="C49" s="753" t="s">
        <v>1366</v>
      </c>
      <c r="D49" s="753" t="s">
        <v>1367</v>
      </c>
      <c r="E49" s="800" t="s">
        <v>557</v>
      </c>
      <c r="F49" s="594">
        <v>1</v>
      </c>
      <c r="G49" s="802">
        <v>23000</v>
      </c>
      <c r="H49" s="316">
        <f t="shared" si="2"/>
        <v>23000</v>
      </c>
      <c r="I49" s="317" t="s">
        <v>842</v>
      </c>
    </row>
    <row r="50" spans="1:9" ht="15.95" customHeight="1">
      <c r="A50" s="977"/>
      <c r="B50" s="279"/>
      <c r="C50" s="753" t="s">
        <v>1368</v>
      </c>
      <c r="D50" s="753" t="s">
        <v>1369</v>
      </c>
      <c r="E50" s="800" t="s">
        <v>557</v>
      </c>
      <c r="F50" s="594">
        <v>1</v>
      </c>
      <c r="G50" s="802">
        <v>45000</v>
      </c>
      <c r="H50" s="316">
        <f t="shared" si="2"/>
        <v>45000</v>
      </c>
      <c r="I50" s="317" t="s">
        <v>842</v>
      </c>
    </row>
    <row r="51" spans="1:9" ht="15.95" customHeight="1">
      <c r="A51" s="977"/>
      <c r="B51" s="279"/>
      <c r="C51" s="753" t="s">
        <v>782</v>
      </c>
      <c r="D51" s="753" t="s">
        <v>1370</v>
      </c>
      <c r="E51" s="800" t="s">
        <v>557</v>
      </c>
      <c r="F51" s="594">
        <v>1</v>
      </c>
      <c r="G51" s="802">
        <v>38000</v>
      </c>
      <c r="H51" s="316">
        <f t="shared" si="2"/>
        <v>38000</v>
      </c>
      <c r="I51" s="317" t="s">
        <v>842</v>
      </c>
    </row>
    <row r="52" spans="1:9" ht="15.95" customHeight="1">
      <c r="A52" s="977"/>
      <c r="B52" s="279"/>
      <c r="C52" s="753" t="s">
        <v>1371</v>
      </c>
      <c r="D52" s="753" t="s">
        <v>1372</v>
      </c>
      <c r="E52" s="800" t="s">
        <v>557</v>
      </c>
      <c r="F52" s="594">
        <v>1</v>
      </c>
      <c r="G52" s="802">
        <v>52000</v>
      </c>
      <c r="H52" s="316">
        <f t="shared" si="2"/>
        <v>52000</v>
      </c>
      <c r="I52" s="317" t="s">
        <v>842</v>
      </c>
    </row>
    <row r="53" spans="1:9" ht="15.95" customHeight="1">
      <c r="A53" s="977"/>
      <c r="B53" s="279"/>
      <c r="C53" s="753" t="s">
        <v>1373</v>
      </c>
      <c r="D53" s="753" t="s">
        <v>1374</v>
      </c>
      <c r="E53" s="800" t="s">
        <v>557</v>
      </c>
      <c r="F53" s="594">
        <v>2</v>
      </c>
      <c r="G53" s="802">
        <v>10000</v>
      </c>
      <c r="H53" s="316">
        <f t="shared" si="2"/>
        <v>20000</v>
      </c>
      <c r="I53" s="317" t="s">
        <v>842</v>
      </c>
    </row>
    <row r="54" spans="1:9" ht="15.95" customHeight="1">
      <c r="A54" s="977"/>
      <c r="B54" s="279"/>
      <c r="C54" s="753" t="s">
        <v>1131</v>
      </c>
      <c r="D54" s="753" t="s">
        <v>1375</v>
      </c>
      <c r="E54" s="800" t="s">
        <v>557</v>
      </c>
      <c r="F54" s="594">
        <v>1</v>
      </c>
      <c r="G54" s="802">
        <v>62000</v>
      </c>
      <c r="H54" s="316">
        <f t="shared" si="2"/>
        <v>62000</v>
      </c>
      <c r="I54" s="317" t="s">
        <v>842</v>
      </c>
    </row>
    <row r="55" spans="1:9" ht="15.95" customHeight="1">
      <c r="A55" s="977"/>
      <c r="B55" s="279"/>
      <c r="C55" s="753" t="s">
        <v>677</v>
      </c>
      <c r="D55" s="753" t="s">
        <v>1376</v>
      </c>
      <c r="E55" s="800" t="s">
        <v>557</v>
      </c>
      <c r="F55" s="594">
        <v>2</v>
      </c>
      <c r="G55" s="802">
        <v>28000</v>
      </c>
      <c r="H55" s="316">
        <f t="shared" si="2"/>
        <v>56000</v>
      </c>
      <c r="I55" s="317" t="s">
        <v>842</v>
      </c>
    </row>
    <row r="56" spans="1:9" ht="15.95" customHeight="1">
      <c r="A56" s="977"/>
      <c r="B56" s="279"/>
      <c r="C56" s="753" t="s">
        <v>1377</v>
      </c>
      <c r="D56" s="753" t="s">
        <v>1378</v>
      </c>
      <c r="E56" s="800" t="s">
        <v>557</v>
      </c>
      <c r="F56" s="594">
        <v>1</v>
      </c>
      <c r="G56" s="802">
        <v>50800</v>
      </c>
      <c r="H56" s="316">
        <f t="shared" si="2"/>
        <v>50800</v>
      </c>
      <c r="I56" s="317" t="s">
        <v>842</v>
      </c>
    </row>
    <row r="57" spans="1:9" ht="15.95" customHeight="1">
      <c r="A57" s="977"/>
      <c r="B57" s="279"/>
      <c r="C57" s="753" t="s">
        <v>1379</v>
      </c>
      <c r="D57" s="753" t="s">
        <v>1380</v>
      </c>
      <c r="E57" s="800" t="s">
        <v>557</v>
      </c>
      <c r="F57" s="594">
        <v>1</v>
      </c>
      <c r="G57" s="802">
        <v>50000</v>
      </c>
      <c r="H57" s="316">
        <f t="shared" si="2"/>
        <v>50000</v>
      </c>
      <c r="I57" s="317" t="s">
        <v>842</v>
      </c>
    </row>
    <row r="58" spans="1:9" ht="15.95" customHeight="1">
      <c r="A58" s="977"/>
      <c r="B58" s="279"/>
      <c r="C58" s="753" t="s">
        <v>1381</v>
      </c>
      <c r="D58" s="753" t="s">
        <v>1382</v>
      </c>
      <c r="E58" s="800" t="s">
        <v>557</v>
      </c>
      <c r="F58" s="594">
        <v>1</v>
      </c>
      <c r="G58" s="802">
        <v>35000</v>
      </c>
      <c r="H58" s="316">
        <f t="shared" si="2"/>
        <v>35000</v>
      </c>
      <c r="I58" s="317" t="s">
        <v>842</v>
      </c>
    </row>
    <row r="59" spans="1:9" ht="15.95" customHeight="1">
      <c r="A59" s="977"/>
      <c r="B59" s="279"/>
      <c r="C59" s="753" t="s">
        <v>1383</v>
      </c>
      <c r="D59" s="753" t="s">
        <v>1384</v>
      </c>
      <c r="E59" s="800" t="s">
        <v>557</v>
      </c>
      <c r="F59" s="594">
        <v>4</v>
      </c>
      <c r="G59" s="802">
        <v>8000</v>
      </c>
      <c r="H59" s="316">
        <f t="shared" si="2"/>
        <v>32000</v>
      </c>
      <c r="I59" s="317" t="s">
        <v>842</v>
      </c>
    </row>
    <row r="60" spans="1:9" ht="15.95" customHeight="1">
      <c r="A60" s="977"/>
      <c r="B60" s="279"/>
      <c r="C60" s="753" t="s">
        <v>1385</v>
      </c>
      <c r="D60" s="753" t="s">
        <v>1386</v>
      </c>
      <c r="E60" s="800" t="s">
        <v>557</v>
      </c>
      <c r="F60" s="594">
        <v>1</v>
      </c>
      <c r="G60" s="802">
        <v>45000</v>
      </c>
      <c r="H60" s="316">
        <f t="shared" si="2"/>
        <v>45000</v>
      </c>
      <c r="I60" s="317" t="s">
        <v>842</v>
      </c>
    </row>
    <row r="61" spans="1:9" ht="15.95" customHeight="1">
      <c r="A61" s="977"/>
      <c r="B61" s="279"/>
      <c r="C61" s="753" t="s">
        <v>1387</v>
      </c>
      <c r="D61" s="753" t="s">
        <v>1388</v>
      </c>
      <c r="E61" s="800" t="s">
        <v>557</v>
      </c>
      <c r="F61" s="594">
        <v>1</v>
      </c>
      <c r="G61" s="802">
        <v>25000</v>
      </c>
      <c r="H61" s="316">
        <f t="shared" si="2"/>
        <v>25000</v>
      </c>
      <c r="I61" s="317" t="s">
        <v>842</v>
      </c>
    </row>
    <row r="62" spans="1:9" ht="15.95" customHeight="1">
      <c r="A62" s="977"/>
      <c r="B62" s="279"/>
      <c r="C62" s="753" t="s">
        <v>1389</v>
      </c>
      <c r="D62" s="753" t="s">
        <v>1390</v>
      </c>
      <c r="E62" s="800" t="s">
        <v>557</v>
      </c>
      <c r="F62" s="594">
        <v>1</v>
      </c>
      <c r="G62" s="802">
        <v>18900</v>
      </c>
      <c r="H62" s="316">
        <f t="shared" si="2"/>
        <v>18900</v>
      </c>
      <c r="I62" s="317" t="s">
        <v>842</v>
      </c>
    </row>
    <row r="63" spans="1:9" ht="15.95" customHeight="1">
      <c r="A63" s="977"/>
      <c r="B63" s="279"/>
      <c r="C63" s="753" t="s">
        <v>1391</v>
      </c>
      <c r="D63" s="753" t="s">
        <v>1392</v>
      </c>
      <c r="E63" s="800" t="s">
        <v>557</v>
      </c>
      <c r="F63" s="594">
        <v>1</v>
      </c>
      <c r="G63" s="802">
        <v>12200</v>
      </c>
      <c r="H63" s="316">
        <f t="shared" si="2"/>
        <v>12200</v>
      </c>
      <c r="I63" s="317" t="s">
        <v>842</v>
      </c>
    </row>
    <row r="64" spans="1:9" ht="15.95" customHeight="1">
      <c r="A64" s="977"/>
      <c r="B64" s="279"/>
      <c r="C64" s="318"/>
      <c r="D64" s="318"/>
      <c r="E64" s="318"/>
      <c r="F64" s="321"/>
      <c r="G64" s="319"/>
      <c r="H64" s="320"/>
      <c r="I64" s="317"/>
    </row>
    <row r="65" spans="1:11" ht="15.95" customHeight="1">
      <c r="A65" s="977"/>
      <c r="B65" s="279"/>
      <c r="C65" s="322"/>
      <c r="D65" s="318"/>
      <c r="E65" s="315"/>
      <c r="F65" s="323"/>
      <c r="G65" s="319"/>
      <c r="H65" s="320"/>
      <c r="I65" s="317"/>
    </row>
    <row r="66" spans="1:11" ht="15.95" customHeight="1">
      <c r="A66" s="977"/>
      <c r="B66" s="279"/>
      <c r="C66" s="322"/>
      <c r="D66" s="318"/>
      <c r="E66" s="315"/>
      <c r="F66" s="323"/>
      <c r="G66" s="319"/>
      <c r="H66" s="320"/>
      <c r="I66" s="317"/>
    </row>
    <row r="67" spans="1:11" ht="15.95" customHeight="1">
      <c r="A67" s="977"/>
      <c r="B67" s="279"/>
      <c r="C67" s="322"/>
      <c r="D67" s="318"/>
      <c r="E67" s="315"/>
      <c r="F67" s="323"/>
      <c r="G67" s="319"/>
      <c r="H67" s="320"/>
      <c r="I67" s="317"/>
    </row>
    <row r="68" spans="1:11" ht="15.95" customHeight="1">
      <c r="A68" s="977"/>
      <c r="B68" s="279"/>
      <c r="C68" s="322"/>
      <c r="D68" s="318"/>
      <c r="E68" s="315"/>
      <c r="F68" s="323"/>
      <c r="G68" s="319"/>
      <c r="H68" s="320"/>
      <c r="I68" s="317"/>
    </row>
    <row r="69" spans="1:11" ht="15.95" customHeight="1">
      <c r="A69" s="977"/>
      <c r="B69" s="279"/>
      <c r="C69" s="322"/>
      <c r="D69" s="318"/>
      <c r="E69" s="315"/>
      <c r="F69" s="323"/>
      <c r="G69" s="319"/>
      <c r="H69" s="320"/>
      <c r="I69" s="317"/>
    </row>
    <row r="70" spans="1:11" ht="15.95" customHeight="1">
      <c r="A70" s="977"/>
      <c r="B70" s="279"/>
      <c r="C70" s="309"/>
      <c r="D70" s="309"/>
      <c r="E70" s="309"/>
      <c r="F70" s="310"/>
      <c r="G70" s="310"/>
      <c r="H70" s="300"/>
      <c r="I70" s="301"/>
    </row>
    <row r="71" spans="1:11" ht="15.95" customHeight="1">
      <c r="A71" s="977"/>
      <c r="B71" s="280"/>
      <c r="C71" s="281"/>
      <c r="D71" s="282"/>
      <c r="E71" s="282"/>
      <c r="F71" s="273"/>
      <c r="G71" s="273"/>
      <c r="H71" s="272">
        <f>SUM(H34:H70)</f>
        <v>1203900</v>
      </c>
      <c r="I71" s="271"/>
    </row>
    <row r="72" spans="1:11" ht="15.95" customHeight="1">
      <c r="A72" s="350"/>
      <c r="B72" s="351" t="s">
        <v>243</v>
      </c>
      <c r="C72" s="352"/>
      <c r="D72" s="348"/>
      <c r="E72" s="348"/>
      <c r="F72" s="353"/>
      <c r="G72" s="353"/>
      <c r="H72" s="347">
        <f>SUM(H71,H33,H11)</f>
        <v>33779330</v>
      </c>
      <c r="I72" s="271"/>
    </row>
    <row r="73" spans="1:11" ht="15.95" customHeight="1">
      <c r="A73" s="962" t="s">
        <v>13</v>
      </c>
      <c r="B73" s="354" t="s">
        <v>65</v>
      </c>
      <c r="C73" s="355"/>
      <c r="D73" s="356"/>
      <c r="E73" s="357" t="s">
        <v>12</v>
      </c>
      <c r="F73" s="326"/>
      <c r="G73" s="415"/>
      <c r="H73" s="358">
        <f>F73*G73</f>
        <v>0</v>
      </c>
      <c r="I73" s="231"/>
    </row>
    <row r="74" spans="1:11" ht="15.95" customHeight="1">
      <c r="A74" s="966"/>
      <c r="B74" s="360" t="s">
        <v>16</v>
      </c>
      <c r="C74" s="361"/>
      <c r="D74" s="362"/>
      <c r="E74" s="363" t="s">
        <v>11</v>
      </c>
      <c r="F74" s="399">
        <v>2</v>
      </c>
      <c r="G74" s="400">
        <v>350000</v>
      </c>
      <c r="H74" s="364">
        <f t="shared" ref="H74:H80" si="3">F74*G74</f>
        <v>700000</v>
      </c>
      <c r="I74" s="232"/>
    </row>
    <row r="75" spans="1:11" ht="15.95" customHeight="1">
      <c r="A75" s="966"/>
      <c r="B75" s="365" t="s">
        <v>297</v>
      </c>
      <c r="C75" s="366"/>
      <c r="D75" s="367"/>
      <c r="E75" s="368" t="s">
        <v>11</v>
      </c>
      <c r="F75" s="321">
        <v>4</v>
      </c>
      <c r="G75" s="319">
        <v>350000</v>
      </c>
      <c r="H75" s="369">
        <f t="shared" si="3"/>
        <v>1400000</v>
      </c>
      <c r="I75" s="233"/>
      <c r="K75" s="261"/>
    </row>
    <row r="76" spans="1:11" ht="15.95" customHeight="1">
      <c r="A76" s="966"/>
      <c r="B76" s="365" t="s">
        <v>18</v>
      </c>
      <c r="C76" s="366"/>
      <c r="D76" s="367"/>
      <c r="E76" s="368" t="s">
        <v>11</v>
      </c>
      <c r="F76" s="321">
        <v>2</v>
      </c>
      <c r="G76" s="319">
        <v>350000</v>
      </c>
      <c r="H76" s="369">
        <f t="shared" si="3"/>
        <v>700000</v>
      </c>
      <c r="I76" s="233"/>
      <c r="K76" s="261"/>
    </row>
    <row r="77" spans="1:11" ht="15.95" customHeight="1">
      <c r="A77" s="966"/>
      <c r="B77" s="365" t="s">
        <v>19</v>
      </c>
      <c r="C77" s="366"/>
      <c r="D77" s="367"/>
      <c r="E77" s="368" t="s">
        <v>11</v>
      </c>
      <c r="F77" s="321">
        <v>1</v>
      </c>
      <c r="G77" s="319">
        <v>350000</v>
      </c>
      <c r="H77" s="369">
        <f t="shared" si="3"/>
        <v>350000</v>
      </c>
      <c r="I77" s="233"/>
    </row>
    <row r="78" spans="1:11" ht="15.95" customHeight="1">
      <c r="A78" s="966"/>
      <c r="B78" s="365" t="s">
        <v>20</v>
      </c>
      <c r="C78" s="366"/>
      <c r="D78" s="367"/>
      <c r="E78" s="368" t="s">
        <v>11</v>
      </c>
      <c r="F78" s="321">
        <v>1</v>
      </c>
      <c r="G78" s="319">
        <v>350000</v>
      </c>
      <c r="H78" s="369">
        <f t="shared" si="3"/>
        <v>350000</v>
      </c>
      <c r="I78" s="233"/>
    </row>
    <row r="79" spans="1:11" ht="15.95" customHeight="1">
      <c r="A79" s="966"/>
      <c r="B79" s="365" t="s">
        <v>21</v>
      </c>
      <c r="C79" s="366"/>
      <c r="D79" s="367"/>
      <c r="E79" s="368" t="s">
        <v>11</v>
      </c>
      <c r="F79" s="321"/>
      <c r="G79" s="319">
        <v>350000</v>
      </c>
      <c r="H79" s="369">
        <f t="shared" si="3"/>
        <v>0</v>
      </c>
      <c r="I79" s="233"/>
    </row>
    <row r="80" spans="1:11" ht="15.95" customHeight="1">
      <c r="A80" s="966"/>
      <c r="B80" s="370" t="s">
        <v>22</v>
      </c>
      <c r="C80" s="371"/>
      <c r="D80" s="372"/>
      <c r="E80" s="373" t="s">
        <v>11</v>
      </c>
      <c r="F80" s="335">
        <v>2</v>
      </c>
      <c r="G80" s="336">
        <v>350000</v>
      </c>
      <c r="H80" s="374">
        <f t="shared" si="3"/>
        <v>700000</v>
      </c>
      <c r="I80" s="234"/>
    </row>
    <row r="81" spans="1:9" ht="15.95" customHeight="1">
      <c r="A81" s="350"/>
      <c r="B81" s="375" t="s">
        <v>66</v>
      </c>
      <c r="C81" s="352"/>
      <c r="D81" s="376"/>
      <c r="E81" s="377"/>
      <c r="F81" s="378"/>
      <c r="G81" s="378"/>
      <c r="H81" s="346">
        <f>SUM(H73:H80)</f>
        <v>4200000</v>
      </c>
      <c r="I81" s="224"/>
    </row>
    <row r="82" spans="1:9" ht="15.95" customHeight="1">
      <c r="A82" s="379"/>
      <c r="B82" s="375" t="s">
        <v>67</v>
      </c>
      <c r="C82" s="352"/>
      <c r="D82" s="376"/>
      <c r="E82" s="377"/>
      <c r="F82" s="380"/>
      <c r="G82" s="380"/>
      <c r="H82" s="353">
        <f>'단위장비별(집계)2'!I12+'단위장비별(집계)2'!L12</f>
        <v>1952985.2743828408</v>
      </c>
      <c r="I82" s="235"/>
    </row>
    <row r="83" spans="1:9" ht="15.95" customHeight="1">
      <c r="A83" s="379"/>
      <c r="B83" s="375" t="s">
        <v>2</v>
      </c>
      <c r="C83" s="352"/>
      <c r="D83" s="376"/>
      <c r="E83" s="348" t="s">
        <v>224</v>
      </c>
      <c r="F83" s="347">
        <v>5</v>
      </c>
      <c r="G83" s="381"/>
      <c r="H83" s="416">
        <f>(H72+H81)*0.05</f>
        <v>1898966.5</v>
      </c>
      <c r="I83" s="236"/>
    </row>
    <row r="84" spans="1:9" ht="15.95" customHeight="1">
      <c r="A84" s="379"/>
      <c r="B84" s="375" t="s">
        <v>68</v>
      </c>
      <c r="C84" s="352"/>
      <c r="D84" s="376"/>
      <c r="E84" s="348" t="s">
        <v>224</v>
      </c>
      <c r="F84" s="347">
        <v>10</v>
      </c>
      <c r="G84" s="381"/>
      <c r="H84" s="416">
        <f>(H72+H81)*0.1</f>
        <v>3797933</v>
      </c>
      <c r="I84" s="236"/>
    </row>
    <row r="85" spans="1:9" ht="15.95" customHeight="1">
      <c r="A85" s="379"/>
      <c r="B85" s="375" t="s">
        <v>69</v>
      </c>
      <c r="C85" s="352"/>
      <c r="D85" s="376"/>
      <c r="E85" s="377"/>
      <c r="F85" s="380"/>
      <c r="G85" s="380"/>
      <c r="H85" s="346">
        <f>H72+H81+H82+H83+H84</f>
        <v>45629214.774382845</v>
      </c>
      <c r="I85" s="235"/>
    </row>
    <row r="86" spans="1:9">
      <c r="A86" s="119"/>
    </row>
  </sheetData>
  <mergeCells count="3">
    <mergeCell ref="A2:B2"/>
    <mergeCell ref="A73:A80"/>
    <mergeCell ref="A3:A71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6" orientation="portrait" horizontalDpi="4294967292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3570E-618B-41FB-8726-EB5F1C1CD466}">
  <sheetPr codeName="Sheet11">
    <pageSetUpPr fitToPage="1"/>
  </sheetPr>
  <dimension ref="A1:K93"/>
  <sheetViews>
    <sheetView view="pageBreakPreview" zoomScale="80" zoomScaleNormal="85" workbookViewId="0">
      <pane xSplit="2" ySplit="2" topLeftCell="C69" activePane="bottomRight" state="frozen"/>
      <selection activeCell="F67" sqref="F67"/>
      <selection pane="topRight" activeCell="F67" sqref="F67"/>
      <selection pane="bottomLeft" activeCell="F67" sqref="F67"/>
      <selection pane="bottomRight" activeCell="G65" sqref="G65"/>
    </sheetView>
  </sheetViews>
  <sheetFormatPr defaultRowHeight="13.5"/>
  <cols>
    <col min="1" max="1" width="5" style="274" customWidth="1"/>
    <col min="2" max="2" width="20.5" style="274" customWidth="1"/>
    <col min="3" max="3" width="25.375" style="274" customWidth="1"/>
    <col min="4" max="4" width="19.625" style="274" customWidth="1"/>
    <col min="5" max="5" width="5.25" style="278" bestFit="1" customWidth="1"/>
    <col min="6" max="6" width="9" style="277"/>
    <col min="7" max="7" width="11.875" style="277" customWidth="1"/>
    <col min="8" max="8" width="13.625" style="277" customWidth="1"/>
    <col min="9" max="9" width="15.5" style="274" customWidth="1"/>
    <col min="10" max="16384" width="9" style="274"/>
  </cols>
  <sheetData>
    <row r="1" spans="1:9" ht="22.5" customHeight="1">
      <c r="A1" s="588" t="s">
        <v>301</v>
      </c>
      <c r="C1" s="419" t="s">
        <v>1393</v>
      </c>
      <c r="D1" s="275"/>
      <c r="E1" s="619"/>
      <c r="F1" s="22"/>
      <c r="G1" s="276"/>
      <c r="I1" s="274" t="s">
        <v>225</v>
      </c>
    </row>
    <row r="2" spans="1:9" s="278" customFormat="1" ht="16.5" customHeight="1">
      <c r="A2" s="964" t="s">
        <v>226</v>
      </c>
      <c r="B2" s="965"/>
      <c r="C2" s="359" t="s">
        <v>227</v>
      </c>
      <c r="D2" s="383" t="s">
        <v>228</v>
      </c>
      <c r="E2" s="383" t="s">
        <v>229</v>
      </c>
      <c r="F2" s="384" t="s">
        <v>230</v>
      </c>
      <c r="G2" s="384" t="s">
        <v>231</v>
      </c>
      <c r="H2" s="384" t="s">
        <v>232</v>
      </c>
      <c r="I2" s="383" t="s">
        <v>233</v>
      </c>
    </row>
    <row r="3" spans="1:9" ht="15.95" customHeight="1">
      <c r="A3" s="962" t="s">
        <v>234</v>
      </c>
      <c r="B3" s="341" t="s">
        <v>235</v>
      </c>
      <c r="C3" s="420" t="s">
        <v>236</v>
      </c>
      <c r="D3" s="420"/>
      <c r="E3" s="311" t="s">
        <v>237</v>
      </c>
      <c r="F3" s="415">
        <v>50</v>
      </c>
      <c r="G3" s="415">
        <v>1500</v>
      </c>
      <c r="H3" s="337">
        <f>IF(F3=0,G3,G3*F3)</f>
        <v>75000</v>
      </c>
      <c r="I3" s="314"/>
    </row>
    <row r="4" spans="1:9" ht="15.95" customHeight="1">
      <c r="A4" s="966"/>
      <c r="B4" s="341"/>
      <c r="C4" s="318"/>
      <c r="D4" s="318"/>
      <c r="E4" s="315"/>
      <c r="F4" s="319"/>
      <c r="G4" s="319"/>
      <c r="H4" s="320">
        <f>IF(F4=0,G4,G4*F4)</f>
        <v>0</v>
      </c>
      <c r="I4" s="338"/>
    </row>
    <row r="5" spans="1:9" ht="15.95" customHeight="1">
      <c r="A5" s="966"/>
      <c r="B5" s="341"/>
      <c r="C5" s="318"/>
      <c r="D5" s="318"/>
      <c r="E5" s="315"/>
      <c r="F5" s="319"/>
      <c r="G5" s="319"/>
      <c r="H5" s="320">
        <f t="shared" ref="H5:H14" si="0">IF(F5=0,G5,G5*F5)</f>
        <v>0</v>
      </c>
      <c r="I5" s="338"/>
    </row>
    <row r="6" spans="1:9" ht="15.95" customHeight="1">
      <c r="A6" s="966"/>
      <c r="B6" s="341"/>
      <c r="C6" s="318"/>
      <c r="D6" s="318"/>
      <c r="E6" s="315"/>
      <c r="F6" s="319"/>
      <c r="G6" s="319"/>
      <c r="H6" s="320">
        <f t="shared" si="0"/>
        <v>0</v>
      </c>
      <c r="I6" s="338"/>
    </row>
    <row r="7" spans="1:9" ht="15.95" customHeight="1">
      <c r="A7" s="966"/>
      <c r="B7" s="341"/>
      <c r="C7" s="318"/>
      <c r="D7" s="318"/>
      <c r="E7" s="315"/>
      <c r="F7" s="319"/>
      <c r="G7" s="319"/>
      <c r="H7" s="320">
        <f t="shared" si="0"/>
        <v>0</v>
      </c>
      <c r="I7" s="338"/>
    </row>
    <row r="8" spans="1:9" ht="15.95" customHeight="1">
      <c r="A8" s="966"/>
      <c r="B8" s="341"/>
      <c r="C8" s="318"/>
      <c r="D8" s="318"/>
      <c r="E8" s="315"/>
      <c r="F8" s="319"/>
      <c r="G8" s="319"/>
      <c r="H8" s="320">
        <f t="shared" si="0"/>
        <v>0</v>
      </c>
      <c r="I8" s="338"/>
    </row>
    <row r="9" spans="1:9" ht="15.95" customHeight="1">
      <c r="A9" s="966"/>
      <c r="B9" s="341"/>
      <c r="C9" s="318"/>
      <c r="D9" s="318"/>
      <c r="E9" s="315"/>
      <c r="F9" s="319"/>
      <c r="G9" s="319"/>
      <c r="H9" s="320">
        <f t="shared" si="0"/>
        <v>0</v>
      </c>
      <c r="I9" s="338"/>
    </row>
    <row r="10" spans="1:9" ht="15.95" customHeight="1">
      <c r="A10" s="966"/>
      <c r="B10" s="341"/>
      <c r="C10" s="318"/>
      <c r="D10" s="318"/>
      <c r="E10" s="315"/>
      <c r="F10" s="319"/>
      <c r="G10" s="319"/>
      <c r="H10" s="320">
        <f t="shared" si="0"/>
        <v>0</v>
      </c>
      <c r="I10" s="338"/>
    </row>
    <row r="11" spans="1:9" ht="15.95" customHeight="1">
      <c r="A11" s="966"/>
      <c r="B11" s="341"/>
      <c r="C11" s="318"/>
      <c r="D11" s="318"/>
      <c r="E11" s="315"/>
      <c r="F11" s="319"/>
      <c r="G11" s="319"/>
      <c r="H11" s="320">
        <f t="shared" si="0"/>
        <v>0</v>
      </c>
      <c r="I11" s="338"/>
    </row>
    <row r="12" spans="1:9" ht="15.95" customHeight="1">
      <c r="A12" s="966"/>
      <c r="B12" s="341"/>
      <c r="C12" s="318"/>
      <c r="D12" s="318"/>
      <c r="E12" s="315"/>
      <c r="F12" s="319"/>
      <c r="G12" s="319"/>
      <c r="H12" s="320">
        <f t="shared" si="0"/>
        <v>0</v>
      </c>
      <c r="I12" s="338"/>
    </row>
    <row r="13" spans="1:9" ht="15.95" customHeight="1">
      <c r="A13" s="966"/>
      <c r="B13" s="341"/>
      <c r="C13" s="318"/>
      <c r="D13" s="318"/>
      <c r="E13" s="315"/>
      <c r="F13" s="319"/>
      <c r="G13" s="319"/>
      <c r="H13" s="320">
        <f t="shared" si="0"/>
        <v>0</v>
      </c>
      <c r="I13" s="338"/>
    </row>
    <row r="14" spans="1:9" ht="15.95" customHeight="1">
      <c r="A14" s="966"/>
      <c r="B14" s="341"/>
      <c r="C14" s="402" t="s">
        <v>238</v>
      </c>
      <c r="D14" s="402"/>
      <c r="E14" s="403" t="s">
        <v>239</v>
      </c>
      <c r="F14" s="336"/>
      <c r="G14" s="336"/>
      <c r="H14" s="320">
        <f t="shared" si="0"/>
        <v>0</v>
      </c>
      <c r="I14" s="340"/>
    </row>
    <row r="15" spans="1:9" ht="15.95" customHeight="1">
      <c r="A15" s="966"/>
      <c r="B15" s="342"/>
      <c r="C15" s="343"/>
      <c r="D15" s="344"/>
      <c r="E15" s="391"/>
      <c r="F15" s="345"/>
      <c r="G15" s="346"/>
      <c r="H15" s="347">
        <f>SUM(H3:H14)</f>
        <v>75000</v>
      </c>
      <c r="I15" s="348"/>
    </row>
    <row r="16" spans="1:9" ht="15.95" customHeight="1">
      <c r="A16" s="966"/>
      <c r="B16" s="349" t="s">
        <v>240</v>
      </c>
      <c r="C16" s="318"/>
      <c r="D16" s="331"/>
      <c r="E16" s="315"/>
      <c r="F16" s="321"/>
      <c r="G16" s="319"/>
      <c r="H16" s="320">
        <f>G16*F16</f>
        <v>0</v>
      </c>
      <c r="I16" s="601"/>
    </row>
    <row r="17" spans="1:9" ht="15.95" customHeight="1">
      <c r="A17" s="966"/>
      <c r="B17" s="341" t="s">
        <v>241</v>
      </c>
      <c r="C17" s="318"/>
      <c r="D17" s="331"/>
      <c r="E17" s="315"/>
      <c r="F17" s="321"/>
      <c r="G17" s="319"/>
      <c r="H17" s="836">
        <f>G17*F17</f>
        <v>0</v>
      </c>
      <c r="I17" s="549"/>
    </row>
    <row r="18" spans="1:9" ht="15.95" customHeight="1">
      <c r="A18" s="966"/>
      <c r="B18" s="796" t="s">
        <v>566</v>
      </c>
      <c r="C18" s="819" t="s">
        <v>620</v>
      </c>
      <c r="D18" s="819" t="s">
        <v>1394</v>
      </c>
      <c r="E18" s="820" t="s">
        <v>557</v>
      </c>
      <c r="F18" s="821">
        <v>2</v>
      </c>
      <c r="G18" s="822">
        <v>100000</v>
      </c>
      <c r="H18" s="337">
        <f t="shared" ref="H18:H32" si="1">G18*F18</f>
        <v>200000</v>
      </c>
      <c r="I18" s="818" t="s">
        <v>265</v>
      </c>
    </row>
    <row r="19" spans="1:9" ht="15.95" customHeight="1">
      <c r="A19" s="966"/>
      <c r="B19" s="773" t="s">
        <v>1409</v>
      </c>
      <c r="C19" s="753" t="s">
        <v>638</v>
      </c>
      <c r="D19" s="753" t="s">
        <v>866</v>
      </c>
      <c r="E19" s="800" t="s">
        <v>557</v>
      </c>
      <c r="F19" s="801">
        <v>2</v>
      </c>
      <c r="G19" s="802">
        <v>60000</v>
      </c>
      <c r="H19" s="320">
        <f t="shared" si="1"/>
        <v>120000</v>
      </c>
      <c r="I19" s="798" t="s">
        <v>299</v>
      </c>
    </row>
    <row r="20" spans="1:9" ht="15.95" customHeight="1">
      <c r="A20" s="966"/>
      <c r="B20" s="341"/>
      <c r="C20" s="753" t="s">
        <v>638</v>
      </c>
      <c r="D20" s="753" t="s">
        <v>639</v>
      </c>
      <c r="E20" s="800" t="s">
        <v>557</v>
      </c>
      <c r="F20" s="801">
        <v>2</v>
      </c>
      <c r="G20" s="802">
        <v>21500</v>
      </c>
      <c r="H20" s="320">
        <f t="shared" si="1"/>
        <v>43000</v>
      </c>
      <c r="I20" s="798" t="s">
        <v>299</v>
      </c>
    </row>
    <row r="21" spans="1:9" ht="15.95" customHeight="1">
      <c r="A21" s="966"/>
      <c r="B21" s="341"/>
      <c r="C21" s="753" t="s">
        <v>640</v>
      </c>
      <c r="D21" s="753" t="s">
        <v>641</v>
      </c>
      <c r="E21" s="800" t="s">
        <v>557</v>
      </c>
      <c r="F21" s="801">
        <v>2</v>
      </c>
      <c r="G21" s="802">
        <v>6500</v>
      </c>
      <c r="H21" s="320">
        <f t="shared" si="1"/>
        <v>13000</v>
      </c>
      <c r="I21" s="798" t="s">
        <v>299</v>
      </c>
    </row>
    <row r="22" spans="1:9" ht="15.95" customHeight="1">
      <c r="A22" s="966"/>
      <c r="B22" s="341"/>
      <c r="C22" s="753" t="s">
        <v>873</v>
      </c>
      <c r="D22" s="753" t="s">
        <v>1395</v>
      </c>
      <c r="E22" s="800" t="s">
        <v>557</v>
      </c>
      <c r="F22" s="801">
        <v>2</v>
      </c>
      <c r="G22" s="802">
        <v>1180</v>
      </c>
      <c r="H22" s="320">
        <f t="shared" si="1"/>
        <v>2360</v>
      </c>
      <c r="I22" s="798" t="s">
        <v>292</v>
      </c>
    </row>
    <row r="23" spans="1:9" ht="15.95" customHeight="1">
      <c r="A23" s="966"/>
      <c r="B23" s="341"/>
      <c r="C23" s="753" t="s">
        <v>1128</v>
      </c>
      <c r="D23" s="753" t="s">
        <v>1396</v>
      </c>
      <c r="E23" s="800" t="s">
        <v>557</v>
      </c>
      <c r="F23" s="801">
        <v>4</v>
      </c>
      <c r="G23" s="802">
        <v>1500</v>
      </c>
      <c r="H23" s="320">
        <f t="shared" si="1"/>
        <v>6000</v>
      </c>
      <c r="I23" s="798" t="s">
        <v>292</v>
      </c>
    </row>
    <row r="24" spans="1:9" ht="15.95" customHeight="1">
      <c r="A24" s="966"/>
      <c r="B24" s="341"/>
      <c r="C24" s="753" t="s">
        <v>644</v>
      </c>
      <c r="D24" s="753" t="s">
        <v>1397</v>
      </c>
      <c r="E24" s="800" t="s">
        <v>557</v>
      </c>
      <c r="F24" s="801">
        <v>1</v>
      </c>
      <c r="G24" s="802">
        <v>26000</v>
      </c>
      <c r="H24" s="320">
        <f t="shared" si="1"/>
        <v>26000</v>
      </c>
      <c r="I24" s="798" t="s">
        <v>260</v>
      </c>
    </row>
    <row r="25" spans="1:9" ht="15.95" customHeight="1">
      <c r="A25" s="966"/>
      <c r="B25" s="341"/>
      <c r="C25" s="753" t="s">
        <v>616</v>
      </c>
      <c r="D25" s="753" t="s">
        <v>1398</v>
      </c>
      <c r="E25" s="800" t="s">
        <v>557</v>
      </c>
      <c r="F25" s="801">
        <v>1</v>
      </c>
      <c r="G25" s="802">
        <v>72100</v>
      </c>
      <c r="H25" s="320">
        <f t="shared" si="1"/>
        <v>72100</v>
      </c>
      <c r="I25" s="798" t="s">
        <v>260</v>
      </c>
    </row>
    <row r="26" spans="1:9" ht="15.95" customHeight="1">
      <c r="A26" s="966"/>
      <c r="B26" s="341"/>
      <c r="C26" s="753" t="s">
        <v>618</v>
      </c>
      <c r="D26" s="753" t="s">
        <v>1399</v>
      </c>
      <c r="E26" s="800" t="s">
        <v>557</v>
      </c>
      <c r="F26" s="801">
        <v>2</v>
      </c>
      <c r="G26" s="802">
        <v>4290</v>
      </c>
      <c r="H26" s="320">
        <f t="shared" si="1"/>
        <v>8580</v>
      </c>
      <c r="I26" s="798" t="s">
        <v>260</v>
      </c>
    </row>
    <row r="27" spans="1:9" ht="15.95" customHeight="1">
      <c r="A27" s="966"/>
      <c r="B27" s="341"/>
      <c r="C27" s="753" t="s">
        <v>620</v>
      </c>
      <c r="D27" s="753" t="s">
        <v>1400</v>
      </c>
      <c r="E27" s="800" t="s">
        <v>557</v>
      </c>
      <c r="F27" s="801">
        <v>1</v>
      </c>
      <c r="G27" s="802">
        <v>275000</v>
      </c>
      <c r="H27" s="320">
        <f t="shared" si="1"/>
        <v>275000</v>
      </c>
      <c r="I27" s="798" t="s">
        <v>265</v>
      </c>
    </row>
    <row r="28" spans="1:9" ht="15.95" customHeight="1">
      <c r="A28" s="966"/>
      <c r="B28" s="341"/>
      <c r="C28" s="753" t="s">
        <v>1401</v>
      </c>
      <c r="D28" s="753" t="s">
        <v>1402</v>
      </c>
      <c r="E28" s="800" t="s">
        <v>557</v>
      </c>
      <c r="F28" s="801">
        <v>2</v>
      </c>
      <c r="G28" s="802">
        <v>2968</v>
      </c>
      <c r="H28" s="320">
        <f t="shared" si="1"/>
        <v>5936</v>
      </c>
      <c r="I28" s="798" t="s">
        <v>292</v>
      </c>
    </row>
    <row r="29" spans="1:9" ht="15.95" customHeight="1">
      <c r="A29" s="966"/>
      <c r="B29" s="341"/>
      <c r="C29" s="753" t="s">
        <v>1403</v>
      </c>
      <c r="D29" s="753" t="s">
        <v>1404</v>
      </c>
      <c r="E29" s="800" t="s">
        <v>557</v>
      </c>
      <c r="F29" s="801">
        <v>2</v>
      </c>
      <c r="G29" s="802">
        <v>10550</v>
      </c>
      <c r="H29" s="320">
        <f t="shared" si="1"/>
        <v>21100</v>
      </c>
      <c r="I29" s="798" t="s">
        <v>292</v>
      </c>
    </row>
    <row r="30" spans="1:9" ht="15.95" customHeight="1">
      <c r="A30" s="966"/>
      <c r="B30" s="341"/>
      <c r="C30" s="753" t="s">
        <v>623</v>
      </c>
      <c r="D30" s="753" t="s">
        <v>1405</v>
      </c>
      <c r="E30" s="800" t="s">
        <v>557</v>
      </c>
      <c r="F30" s="801">
        <v>2</v>
      </c>
      <c r="G30" s="802">
        <v>5500</v>
      </c>
      <c r="H30" s="320">
        <f t="shared" si="1"/>
        <v>11000</v>
      </c>
      <c r="I30" s="798" t="s">
        <v>292</v>
      </c>
    </row>
    <row r="31" spans="1:9" ht="15.95" customHeight="1">
      <c r="A31" s="966"/>
      <c r="B31" s="341"/>
      <c r="C31" s="753"/>
      <c r="D31" s="753"/>
      <c r="E31" s="800"/>
      <c r="F31" s="801"/>
      <c r="G31" s="802"/>
      <c r="H31" s="320">
        <f t="shared" si="1"/>
        <v>0</v>
      </c>
      <c r="I31" s="798"/>
    </row>
    <row r="32" spans="1:9" ht="15.95" customHeight="1">
      <c r="A32" s="966"/>
      <c r="B32" s="773" t="s">
        <v>1410</v>
      </c>
      <c r="C32" s="753" t="s">
        <v>1406</v>
      </c>
      <c r="D32" s="753" t="s">
        <v>1407</v>
      </c>
      <c r="E32" s="800" t="s">
        <v>557</v>
      </c>
      <c r="F32" s="595">
        <v>1</v>
      </c>
      <c r="G32" s="802">
        <v>650000</v>
      </c>
      <c r="H32" s="320">
        <f t="shared" si="1"/>
        <v>650000</v>
      </c>
      <c r="I32" s="798" t="s">
        <v>1408</v>
      </c>
    </row>
    <row r="33" spans="1:9" ht="15.95" customHeight="1">
      <c r="A33" s="966"/>
      <c r="B33" s="341"/>
      <c r="C33" s="318"/>
      <c r="D33" s="331"/>
      <c r="E33" s="315"/>
      <c r="F33" s="321"/>
      <c r="G33" s="319"/>
      <c r="H33" s="320">
        <f>G33*F33</f>
        <v>0</v>
      </c>
      <c r="I33" s="485"/>
    </row>
    <row r="34" spans="1:9" ht="15.95" customHeight="1">
      <c r="A34" s="966"/>
      <c r="B34" s="341"/>
      <c r="C34" s="318"/>
      <c r="D34" s="331"/>
      <c r="E34" s="315"/>
      <c r="F34" s="321"/>
      <c r="G34" s="319"/>
      <c r="H34" s="320">
        <f>G34*F34</f>
        <v>0</v>
      </c>
      <c r="I34" s="485"/>
    </row>
    <row r="35" spans="1:9" ht="15.95" customHeight="1">
      <c r="A35" s="966"/>
      <c r="B35" s="341"/>
      <c r="C35" s="318"/>
      <c r="D35" s="331"/>
      <c r="E35" s="315"/>
      <c r="F35" s="321"/>
      <c r="G35" s="319"/>
      <c r="H35" s="320">
        <f>G35*F35</f>
        <v>0</v>
      </c>
      <c r="I35" s="488"/>
    </row>
    <row r="36" spans="1:9" ht="15.95" customHeight="1">
      <c r="A36" s="966"/>
      <c r="B36" s="341"/>
      <c r="C36" s="318"/>
      <c r="D36" s="331"/>
      <c r="E36" s="315"/>
      <c r="F36" s="321"/>
      <c r="G36" s="319"/>
      <c r="H36" s="320">
        <f>G36*F36</f>
        <v>0</v>
      </c>
      <c r="I36" s="488"/>
    </row>
    <row r="37" spans="1:9" ht="15.95" customHeight="1">
      <c r="A37" s="966"/>
      <c r="B37" s="341"/>
      <c r="C37" s="318"/>
      <c r="D37" s="318"/>
      <c r="E37" s="315"/>
      <c r="F37" s="321"/>
      <c r="G37" s="319"/>
      <c r="H37" s="320">
        <f>G37*F37</f>
        <v>0</v>
      </c>
      <c r="I37" s="317"/>
    </row>
    <row r="38" spans="1:9" ht="15.95" customHeight="1">
      <c r="A38" s="966"/>
      <c r="B38" s="341"/>
      <c r="C38" s="479"/>
      <c r="D38" s="480"/>
      <c r="E38" s="481"/>
      <c r="F38" s="481"/>
      <c r="G38" s="319"/>
      <c r="H38" s="320"/>
      <c r="I38" s="485"/>
    </row>
    <row r="39" spans="1:9" ht="15.95" customHeight="1">
      <c r="A39" s="966"/>
      <c r="B39" s="341"/>
      <c r="C39" s="479"/>
      <c r="D39" s="480"/>
      <c r="E39" s="481"/>
      <c r="F39" s="481"/>
      <c r="G39" s="319"/>
      <c r="H39" s="320"/>
      <c r="I39" s="485"/>
    </row>
    <row r="40" spans="1:9" ht="15.95" customHeight="1">
      <c r="A40" s="966"/>
      <c r="B40" s="341"/>
      <c r="C40" s="332" t="s">
        <v>56</v>
      </c>
      <c r="D40" s="333"/>
      <c r="E40" s="334" t="s">
        <v>303</v>
      </c>
      <c r="F40" s="335"/>
      <c r="G40" s="336"/>
      <c r="H40" s="339">
        <f>G40*F40</f>
        <v>0</v>
      </c>
      <c r="I40" s="340"/>
    </row>
    <row r="41" spans="1:9" ht="15.95" customHeight="1">
      <c r="A41" s="966"/>
      <c r="B41" s="342"/>
      <c r="C41" s="602"/>
      <c r="D41" s="603"/>
      <c r="E41" s="620"/>
      <c r="F41" s="604"/>
      <c r="G41" s="604"/>
      <c r="H41" s="346">
        <f>SUM(H16:H40)</f>
        <v>1454076</v>
      </c>
      <c r="I41" s="348"/>
    </row>
    <row r="42" spans="1:9" ht="15.95" customHeight="1">
      <c r="A42" s="966"/>
      <c r="B42" s="349" t="s">
        <v>242</v>
      </c>
      <c r="C42" s="458"/>
      <c r="D42" s="459"/>
      <c r="E42" s="426"/>
      <c r="F42" s="460"/>
      <c r="G42" s="465"/>
      <c r="H42" s="605">
        <f>G42*F42</f>
        <v>0</v>
      </c>
      <c r="I42" s="715"/>
    </row>
    <row r="43" spans="1:9" ht="15.95" customHeight="1">
      <c r="A43" s="966"/>
      <c r="B43" s="796" t="s">
        <v>566</v>
      </c>
      <c r="C43" s="753" t="s">
        <v>677</v>
      </c>
      <c r="D43" s="753" t="s">
        <v>1411</v>
      </c>
      <c r="E43" s="800" t="s">
        <v>557</v>
      </c>
      <c r="F43" s="801">
        <v>1</v>
      </c>
      <c r="G43" s="802">
        <v>189000</v>
      </c>
      <c r="H43" s="605">
        <f t="shared" ref="H43:H61" si="2">G43*F43</f>
        <v>189000</v>
      </c>
      <c r="I43" s="788" t="s">
        <v>842</v>
      </c>
    </row>
    <row r="44" spans="1:9" ht="15.95" customHeight="1">
      <c r="A44" s="966"/>
      <c r="B44" s="773" t="s">
        <v>1409</v>
      </c>
      <c r="C44" s="753" t="s">
        <v>628</v>
      </c>
      <c r="D44" s="753" t="s">
        <v>1412</v>
      </c>
      <c r="E44" s="800" t="s">
        <v>557</v>
      </c>
      <c r="F44" s="801">
        <v>1</v>
      </c>
      <c r="G44" s="802">
        <v>18000</v>
      </c>
      <c r="H44" s="605">
        <f t="shared" si="2"/>
        <v>18000</v>
      </c>
      <c r="I44" s="788" t="s">
        <v>842</v>
      </c>
    </row>
    <row r="45" spans="1:9" ht="15.95" customHeight="1">
      <c r="A45" s="966"/>
      <c r="B45" s="341"/>
      <c r="C45" s="753" t="s">
        <v>1413</v>
      </c>
      <c r="D45" s="753" t="s">
        <v>1414</v>
      </c>
      <c r="E45" s="800" t="s">
        <v>557</v>
      </c>
      <c r="F45" s="801">
        <v>1</v>
      </c>
      <c r="G45" s="802">
        <v>98000</v>
      </c>
      <c r="H45" s="605">
        <f t="shared" si="2"/>
        <v>98000</v>
      </c>
      <c r="I45" s="788" t="s">
        <v>842</v>
      </c>
    </row>
    <row r="46" spans="1:9" ht="15.95" customHeight="1">
      <c r="A46" s="966"/>
      <c r="B46" s="341"/>
      <c r="C46" s="753" t="s">
        <v>715</v>
      </c>
      <c r="D46" s="753" t="s">
        <v>1415</v>
      </c>
      <c r="E46" s="800" t="s">
        <v>557</v>
      </c>
      <c r="F46" s="801">
        <v>1</v>
      </c>
      <c r="G46" s="802">
        <v>22000</v>
      </c>
      <c r="H46" s="605">
        <f t="shared" si="2"/>
        <v>22000</v>
      </c>
      <c r="I46" s="788" t="s">
        <v>842</v>
      </c>
    </row>
    <row r="47" spans="1:9" ht="15.95" customHeight="1">
      <c r="A47" s="966"/>
      <c r="B47" s="341"/>
      <c r="C47" s="753" t="s">
        <v>692</v>
      </c>
      <c r="D47" s="753" t="s">
        <v>1416</v>
      </c>
      <c r="E47" s="800" t="s">
        <v>557</v>
      </c>
      <c r="F47" s="801">
        <v>1</v>
      </c>
      <c r="G47" s="802">
        <v>10000</v>
      </c>
      <c r="H47" s="605">
        <f t="shared" si="2"/>
        <v>10000</v>
      </c>
      <c r="I47" s="788" t="s">
        <v>842</v>
      </c>
    </row>
    <row r="48" spans="1:9" ht="15.95" customHeight="1">
      <c r="A48" s="966"/>
      <c r="B48" s="341"/>
      <c r="C48" s="753" t="s">
        <v>1417</v>
      </c>
      <c r="D48" s="753" t="s">
        <v>1418</v>
      </c>
      <c r="E48" s="800" t="s">
        <v>557</v>
      </c>
      <c r="F48" s="801">
        <v>2</v>
      </c>
      <c r="G48" s="802">
        <v>42000</v>
      </c>
      <c r="H48" s="605">
        <f t="shared" si="2"/>
        <v>84000</v>
      </c>
      <c r="I48" s="788" t="s">
        <v>842</v>
      </c>
    </row>
    <row r="49" spans="1:9" ht="15.95" customHeight="1">
      <c r="A49" s="966"/>
      <c r="B49" s="341"/>
      <c r="C49" s="753" t="s">
        <v>1419</v>
      </c>
      <c r="D49" s="753" t="s">
        <v>1420</v>
      </c>
      <c r="E49" s="800" t="s">
        <v>557</v>
      </c>
      <c r="F49" s="801">
        <v>1</v>
      </c>
      <c r="G49" s="802">
        <v>38000</v>
      </c>
      <c r="H49" s="605">
        <f t="shared" si="2"/>
        <v>38000</v>
      </c>
      <c r="I49" s="788" t="s">
        <v>842</v>
      </c>
    </row>
    <row r="50" spans="1:9" ht="15.95" customHeight="1">
      <c r="A50" s="966"/>
      <c r="B50" s="341"/>
      <c r="C50" s="753" t="s">
        <v>749</v>
      </c>
      <c r="D50" s="753" t="s">
        <v>1421</v>
      </c>
      <c r="E50" s="800" t="s">
        <v>557</v>
      </c>
      <c r="F50" s="801">
        <v>2</v>
      </c>
      <c r="G50" s="802">
        <v>12000</v>
      </c>
      <c r="H50" s="605">
        <f t="shared" si="2"/>
        <v>24000</v>
      </c>
      <c r="I50" s="788" t="s">
        <v>842</v>
      </c>
    </row>
    <row r="51" spans="1:9" ht="15.95" customHeight="1">
      <c r="A51" s="966"/>
      <c r="B51" s="341"/>
      <c r="C51" s="753" t="s">
        <v>752</v>
      </c>
      <c r="D51" s="753" t="s">
        <v>1422</v>
      </c>
      <c r="E51" s="800" t="s">
        <v>557</v>
      </c>
      <c r="F51" s="801">
        <v>2</v>
      </c>
      <c r="G51" s="802">
        <v>2000</v>
      </c>
      <c r="H51" s="605">
        <f t="shared" si="2"/>
        <v>4000</v>
      </c>
      <c r="I51" s="788" t="s">
        <v>842</v>
      </c>
    </row>
    <row r="52" spans="1:9" ht="15.95" customHeight="1">
      <c r="A52" s="966"/>
      <c r="B52" s="341"/>
      <c r="C52" s="753" t="s">
        <v>1423</v>
      </c>
      <c r="D52" s="753" t="s">
        <v>1424</v>
      </c>
      <c r="E52" s="800" t="s">
        <v>557</v>
      </c>
      <c r="F52" s="801">
        <v>2</v>
      </c>
      <c r="G52" s="802">
        <v>26000</v>
      </c>
      <c r="H52" s="605">
        <f t="shared" si="2"/>
        <v>52000</v>
      </c>
      <c r="I52" s="788" t="s">
        <v>842</v>
      </c>
    </row>
    <row r="53" spans="1:9" ht="15.95" customHeight="1">
      <c r="A53" s="966"/>
      <c r="B53" s="341"/>
      <c r="C53" s="753" t="s">
        <v>1425</v>
      </c>
      <c r="D53" s="753" t="s">
        <v>1426</v>
      </c>
      <c r="E53" s="800" t="s">
        <v>557</v>
      </c>
      <c r="F53" s="801">
        <v>2</v>
      </c>
      <c r="G53" s="802">
        <v>68000</v>
      </c>
      <c r="H53" s="605">
        <f t="shared" si="2"/>
        <v>136000</v>
      </c>
      <c r="I53" s="788" t="s">
        <v>842</v>
      </c>
    </row>
    <row r="54" spans="1:9" ht="15.95" customHeight="1">
      <c r="A54" s="966"/>
      <c r="B54" s="341"/>
      <c r="C54" s="753" t="s">
        <v>899</v>
      </c>
      <c r="D54" s="753" t="s">
        <v>1427</v>
      </c>
      <c r="E54" s="800" t="s">
        <v>557</v>
      </c>
      <c r="F54" s="801">
        <v>2</v>
      </c>
      <c r="G54" s="802">
        <v>45000</v>
      </c>
      <c r="H54" s="605">
        <f t="shared" si="2"/>
        <v>90000</v>
      </c>
      <c r="I54" s="788" t="s">
        <v>842</v>
      </c>
    </row>
    <row r="55" spans="1:9" ht="15.95" customHeight="1">
      <c r="A55" s="966"/>
      <c r="B55" s="341"/>
      <c r="C55" s="753" t="s">
        <v>1428</v>
      </c>
      <c r="D55" s="753" t="s">
        <v>1429</v>
      </c>
      <c r="E55" s="800" t="s">
        <v>557</v>
      </c>
      <c r="F55" s="801">
        <v>2</v>
      </c>
      <c r="G55" s="802">
        <v>12000</v>
      </c>
      <c r="H55" s="605">
        <f t="shared" si="2"/>
        <v>24000</v>
      </c>
      <c r="I55" s="788" t="s">
        <v>842</v>
      </c>
    </row>
    <row r="56" spans="1:9" ht="15.95" customHeight="1">
      <c r="A56" s="966"/>
      <c r="B56" s="341"/>
      <c r="C56" s="753" t="s">
        <v>1430</v>
      </c>
      <c r="D56" s="753" t="s">
        <v>1431</v>
      </c>
      <c r="E56" s="800" t="s">
        <v>557</v>
      </c>
      <c r="F56" s="801">
        <v>2</v>
      </c>
      <c r="G56" s="802">
        <v>62000</v>
      </c>
      <c r="H56" s="605">
        <f t="shared" si="2"/>
        <v>124000</v>
      </c>
      <c r="I56" s="788" t="s">
        <v>842</v>
      </c>
    </row>
    <row r="57" spans="1:9" ht="15.95" customHeight="1">
      <c r="A57" s="966"/>
      <c r="B57" s="341"/>
      <c r="C57" s="753" t="s">
        <v>1432</v>
      </c>
      <c r="D57" s="753" t="s">
        <v>1433</v>
      </c>
      <c r="E57" s="800" t="s">
        <v>557</v>
      </c>
      <c r="F57" s="801">
        <v>2</v>
      </c>
      <c r="G57" s="802">
        <v>110000</v>
      </c>
      <c r="H57" s="605">
        <f t="shared" si="2"/>
        <v>220000</v>
      </c>
      <c r="I57" s="788" t="s">
        <v>842</v>
      </c>
    </row>
    <row r="58" spans="1:9" ht="15.95" customHeight="1">
      <c r="A58" s="966"/>
      <c r="B58" s="341"/>
      <c r="C58" s="753" t="s">
        <v>749</v>
      </c>
      <c r="D58" s="753" t="s">
        <v>1434</v>
      </c>
      <c r="E58" s="800" t="s">
        <v>557</v>
      </c>
      <c r="F58" s="801">
        <v>1</v>
      </c>
      <c r="G58" s="802">
        <v>94000</v>
      </c>
      <c r="H58" s="605">
        <f t="shared" si="2"/>
        <v>94000</v>
      </c>
      <c r="I58" s="788" t="s">
        <v>842</v>
      </c>
    </row>
    <row r="59" spans="1:9" ht="15.95" customHeight="1">
      <c r="A59" s="966"/>
      <c r="B59" s="341"/>
      <c r="C59" s="753" t="s">
        <v>1425</v>
      </c>
      <c r="D59" s="753" t="s">
        <v>1435</v>
      </c>
      <c r="E59" s="800" t="s">
        <v>557</v>
      </c>
      <c r="F59" s="801">
        <v>5</v>
      </c>
      <c r="G59" s="802">
        <v>56000</v>
      </c>
      <c r="H59" s="605">
        <f t="shared" si="2"/>
        <v>280000</v>
      </c>
      <c r="I59" s="788" t="s">
        <v>842</v>
      </c>
    </row>
    <row r="60" spans="1:9" ht="15.95" customHeight="1">
      <c r="A60" s="966"/>
      <c r="B60" s="341"/>
      <c r="C60" s="753" t="s">
        <v>687</v>
      </c>
      <c r="D60" s="753" t="s">
        <v>1436</v>
      </c>
      <c r="E60" s="800" t="s">
        <v>557</v>
      </c>
      <c r="F60" s="801">
        <v>1</v>
      </c>
      <c r="G60" s="802">
        <v>290000</v>
      </c>
      <c r="H60" s="605">
        <f t="shared" si="2"/>
        <v>290000</v>
      </c>
      <c r="I60" s="788" t="s">
        <v>842</v>
      </c>
    </row>
    <row r="61" spans="1:9" ht="15.95" customHeight="1">
      <c r="A61" s="966"/>
      <c r="B61" s="341"/>
      <c r="C61" s="753" t="s">
        <v>1437</v>
      </c>
      <c r="D61" s="753" t="s">
        <v>1438</v>
      </c>
      <c r="E61" s="800" t="s">
        <v>557</v>
      </c>
      <c r="F61" s="801">
        <v>1</v>
      </c>
      <c r="G61" s="802">
        <v>150000</v>
      </c>
      <c r="H61" s="605">
        <f t="shared" si="2"/>
        <v>150000</v>
      </c>
      <c r="I61" s="788" t="s">
        <v>842</v>
      </c>
    </row>
    <row r="62" spans="1:9" ht="15.95" customHeight="1">
      <c r="A62" s="966"/>
      <c r="B62" s="341"/>
      <c r="C62" s="458"/>
      <c r="D62" s="459"/>
      <c r="E62" s="426" t="s">
        <v>223</v>
      </c>
      <c r="F62" s="460"/>
      <c r="G62" s="465"/>
      <c r="H62" s="605">
        <f t="shared" ref="H62:H76" si="3">G62*F62</f>
        <v>0</v>
      </c>
      <c r="I62" s="338"/>
    </row>
    <row r="63" spans="1:9" ht="15.95" customHeight="1">
      <c r="A63" s="966"/>
      <c r="B63" s="773" t="s">
        <v>1410</v>
      </c>
      <c r="C63" s="819" t="s">
        <v>1439</v>
      </c>
      <c r="D63" s="819" t="s">
        <v>1440</v>
      </c>
      <c r="E63" s="820" t="s">
        <v>557</v>
      </c>
      <c r="F63" s="821">
        <v>1</v>
      </c>
      <c r="G63" s="822">
        <v>400000</v>
      </c>
      <c r="H63" s="605">
        <f t="shared" si="3"/>
        <v>400000</v>
      </c>
      <c r="I63" s="338" t="s">
        <v>842</v>
      </c>
    </row>
    <row r="64" spans="1:9" ht="15.95" customHeight="1">
      <c r="A64" s="966"/>
      <c r="B64" s="341"/>
      <c r="C64" s="817" t="s">
        <v>1441</v>
      </c>
      <c r="D64" s="817" t="s">
        <v>1442</v>
      </c>
      <c r="E64" s="823" t="s">
        <v>557</v>
      </c>
      <c r="F64" s="824">
        <v>2</v>
      </c>
      <c r="G64" s="825">
        <v>173000</v>
      </c>
      <c r="H64" s="605">
        <f t="shared" si="3"/>
        <v>346000</v>
      </c>
      <c r="I64" s="338" t="s">
        <v>842</v>
      </c>
    </row>
    <row r="65" spans="1:11" ht="15.95" customHeight="1">
      <c r="A65" s="966"/>
      <c r="B65" s="341"/>
      <c r="C65" s="817" t="s">
        <v>1443</v>
      </c>
      <c r="D65" s="817" t="s">
        <v>1444</v>
      </c>
      <c r="E65" s="823" t="s">
        <v>557</v>
      </c>
      <c r="F65" s="824">
        <v>4</v>
      </c>
      <c r="G65" s="825">
        <v>37000</v>
      </c>
      <c r="H65" s="605">
        <f t="shared" si="3"/>
        <v>148000</v>
      </c>
      <c r="I65" s="338" t="s">
        <v>842</v>
      </c>
    </row>
    <row r="66" spans="1:11" ht="15.95" customHeight="1">
      <c r="A66" s="966"/>
      <c r="B66" s="341"/>
      <c r="C66" s="817" t="s">
        <v>1445</v>
      </c>
      <c r="D66" s="817" t="s">
        <v>1446</v>
      </c>
      <c r="E66" s="823" t="s">
        <v>557</v>
      </c>
      <c r="F66" s="824">
        <v>10</v>
      </c>
      <c r="G66" s="825">
        <v>27000</v>
      </c>
      <c r="H66" s="605">
        <f t="shared" si="3"/>
        <v>270000</v>
      </c>
      <c r="I66" s="338" t="s">
        <v>842</v>
      </c>
    </row>
    <row r="67" spans="1:11" ht="15.95" customHeight="1">
      <c r="A67" s="966"/>
      <c r="B67" s="341"/>
      <c r="C67" s="817" t="s">
        <v>1447</v>
      </c>
      <c r="D67" s="817" t="s">
        <v>1448</v>
      </c>
      <c r="E67" s="823" t="s">
        <v>557</v>
      </c>
      <c r="F67" s="824">
        <v>4</v>
      </c>
      <c r="G67" s="825">
        <v>16000</v>
      </c>
      <c r="H67" s="605">
        <f t="shared" si="3"/>
        <v>64000</v>
      </c>
      <c r="I67" s="338" t="s">
        <v>842</v>
      </c>
    </row>
    <row r="68" spans="1:11" ht="15.95" customHeight="1">
      <c r="A68" s="966"/>
      <c r="B68" s="341"/>
      <c r="C68" s="817" t="s">
        <v>1449</v>
      </c>
      <c r="D68" s="817" t="s">
        <v>1450</v>
      </c>
      <c r="E68" s="823" t="s">
        <v>557</v>
      </c>
      <c r="F68" s="824">
        <v>1</v>
      </c>
      <c r="G68" s="825">
        <v>190000</v>
      </c>
      <c r="H68" s="605">
        <f t="shared" si="3"/>
        <v>190000</v>
      </c>
      <c r="I68" s="338" t="s">
        <v>842</v>
      </c>
    </row>
    <row r="69" spans="1:11" ht="15.95" customHeight="1">
      <c r="A69" s="966"/>
      <c r="B69" s="341"/>
      <c r="C69" s="817" t="s">
        <v>1451</v>
      </c>
      <c r="D69" s="817" t="s">
        <v>1452</v>
      </c>
      <c r="E69" s="823" t="s">
        <v>557</v>
      </c>
      <c r="F69" s="824">
        <v>5</v>
      </c>
      <c r="G69" s="825">
        <v>37000</v>
      </c>
      <c r="H69" s="605">
        <f t="shared" si="3"/>
        <v>185000</v>
      </c>
      <c r="I69" s="338" t="s">
        <v>842</v>
      </c>
    </row>
    <row r="70" spans="1:11" ht="15.95" customHeight="1">
      <c r="A70" s="966"/>
      <c r="B70" s="341"/>
      <c r="C70" s="817" t="s">
        <v>1453</v>
      </c>
      <c r="D70" s="817" t="s">
        <v>1454</v>
      </c>
      <c r="E70" s="823" t="s">
        <v>557</v>
      </c>
      <c r="F70" s="824">
        <v>2</v>
      </c>
      <c r="G70" s="825">
        <v>23000</v>
      </c>
      <c r="H70" s="605">
        <f t="shared" si="3"/>
        <v>46000</v>
      </c>
      <c r="I70" s="338" t="s">
        <v>842</v>
      </c>
    </row>
    <row r="71" spans="1:11" ht="15.95" customHeight="1">
      <c r="A71" s="966"/>
      <c r="B71" s="341"/>
      <c r="C71" s="817" t="s">
        <v>1455</v>
      </c>
      <c r="D71" s="817" t="s">
        <v>1456</v>
      </c>
      <c r="E71" s="823" t="s">
        <v>557</v>
      </c>
      <c r="F71" s="824">
        <v>2</v>
      </c>
      <c r="G71" s="825">
        <v>29000</v>
      </c>
      <c r="H71" s="605">
        <f t="shared" si="3"/>
        <v>58000</v>
      </c>
      <c r="I71" s="338" t="s">
        <v>842</v>
      </c>
    </row>
    <row r="72" spans="1:11" ht="15.95" customHeight="1">
      <c r="A72" s="966"/>
      <c r="B72" s="341"/>
      <c r="C72" s="753" t="s">
        <v>1457</v>
      </c>
      <c r="D72" s="753" t="s">
        <v>1458</v>
      </c>
      <c r="E72" s="800" t="s">
        <v>557</v>
      </c>
      <c r="F72" s="801">
        <v>2</v>
      </c>
      <c r="G72" s="802">
        <v>28000</v>
      </c>
      <c r="H72" s="605">
        <f t="shared" si="3"/>
        <v>56000</v>
      </c>
      <c r="I72" s="338" t="s">
        <v>842</v>
      </c>
    </row>
    <row r="73" spans="1:11" ht="15.95" customHeight="1">
      <c r="A73" s="966"/>
      <c r="B73" s="341"/>
      <c r="C73" s="458"/>
      <c r="D73" s="459"/>
      <c r="E73" s="426" t="s">
        <v>223</v>
      </c>
      <c r="F73" s="460"/>
      <c r="G73" s="330"/>
      <c r="H73" s="605">
        <f t="shared" si="3"/>
        <v>0</v>
      </c>
      <c r="I73" s="338"/>
    </row>
    <row r="74" spans="1:11" ht="15.95" customHeight="1">
      <c r="A74" s="966"/>
      <c r="B74" s="341"/>
      <c r="C74" s="458"/>
      <c r="D74" s="459"/>
      <c r="E74" s="426" t="s">
        <v>223</v>
      </c>
      <c r="F74" s="460"/>
      <c r="G74" s="330"/>
      <c r="H74" s="605">
        <f t="shared" si="3"/>
        <v>0</v>
      </c>
      <c r="I74" s="338"/>
    </row>
    <row r="75" spans="1:11" ht="15.95" customHeight="1">
      <c r="A75" s="966"/>
      <c r="B75" s="341"/>
      <c r="C75" s="607"/>
      <c r="D75" s="459"/>
      <c r="E75" s="426" t="s">
        <v>223</v>
      </c>
      <c r="F75" s="608"/>
      <c r="G75" s="465"/>
      <c r="H75" s="605">
        <f t="shared" si="3"/>
        <v>0</v>
      </c>
      <c r="I75" s="338"/>
    </row>
    <row r="76" spans="1:11" ht="15.95" customHeight="1">
      <c r="A76" s="966"/>
      <c r="B76" s="341"/>
      <c r="C76" s="459"/>
      <c r="D76" s="459"/>
      <c r="E76" s="426" t="s">
        <v>223</v>
      </c>
      <c r="F76" s="460"/>
      <c r="G76" s="330"/>
      <c r="H76" s="605">
        <f t="shared" si="3"/>
        <v>0</v>
      </c>
      <c r="I76" s="338"/>
    </row>
    <row r="77" spans="1:11" ht="15.95" customHeight="1">
      <c r="A77" s="966"/>
      <c r="B77" s="341"/>
      <c r="C77" s="402"/>
      <c r="D77" s="610"/>
      <c r="E77" s="403"/>
      <c r="F77" s="336"/>
      <c r="G77" s="336"/>
      <c r="H77" s="369"/>
      <c r="I77" s="344"/>
    </row>
    <row r="78" spans="1:11" ht="15.95" customHeight="1">
      <c r="A78" s="966"/>
      <c r="B78" s="342"/>
      <c r="C78" s="343"/>
      <c r="D78" s="344"/>
      <c r="E78" s="391"/>
      <c r="F78" s="346"/>
      <c r="G78" s="346"/>
      <c r="H78" s="347">
        <f>SUM(H42:H77)</f>
        <v>3710000</v>
      </c>
      <c r="I78" s="348"/>
    </row>
    <row r="79" spans="1:11" ht="15.95" customHeight="1">
      <c r="A79" s="350"/>
      <c r="B79" s="351" t="s">
        <v>243</v>
      </c>
      <c r="C79" s="352"/>
      <c r="D79" s="348"/>
      <c r="E79" s="377"/>
      <c r="F79" s="353"/>
      <c r="G79" s="353"/>
      <c r="H79" s="347">
        <f>SUM(H78,H41,H15)</f>
        <v>5239076</v>
      </c>
      <c r="I79" s="348"/>
    </row>
    <row r="80" spans="1:11" ht="15.95" customHeight="1">
      <c r="A80" s="962" t="s">
        <v>244</v>
      </c>
      <c r="B80" s="354" t="s">
        <v>245</v>
      </c>
      <c r="C80" s="355"/>
      <c r="D80" s="611"/>
      <c r="E80" s="357" t="s">
        <v>246</v>
      </c>
      <c r="F80" s="326"/>
      <c r="G80" s="415"/>
      <c r="H80" s="358">
        <f>F80*G80</f>
        <v>0</v>
      </c>
      <c r="I80" s="314"/>
      <c r="K80" s="303"/>
    </row>
    <row r="81" spans="1:11" ht="15.95" customHeight="1">
      <c r="A81" s="966"/>
      <c r="B81" s="360" t="s">
        <v>247</v>
      </c>
      <c r="C81" s="361"/>
      <c r="D81" s="612"/>
      <c r="E81" s="363" t="s">
        <v>11</v>
      </c>
      <c r="F81" s="399">
        <v>1</v>
      </c>
      <c r="G81" s="400">
        <v>350000</v>
      </c>
      <c r="H81" s="364">
        <f t="shared" ref="H81:H86" si="4">F81*G81</f>
        <v>350000</v>
      </c>
      <c r="I81" s="613"/>
      <c r="K81" s="303"/>
    </row>
    <row r="82" spans="1:11" ht="15.95" customHeight="1">
      <c r="A82" s="966"/>
      <c r="B82" s="365" t="s">
        <v>297</v>
      </c>
      <c r="C82" s="366"/>
      <c r="D82" s="614"/>
      <c r="E82" s="368" t="s">
        <v>11</v>
      </c>
      <c r="F82" s="321">
        <v>2</v>
      </c>
      <c r="G82" s="319">
        <v>350000</v>
      </c>
      <c r="H82" s="369">
        <f t="shared" si="4"/>
        <v>700000</v>
      </c>
      <c r="I82" s="338"/>
      <c r="K82" s="303"/>
    </row>
    <row r="83" spans="1:11" ht="15.95" customHeight="1">
      <c r="A83" s="966"/>
      <c r="B83" s="365" t="s">
        <v>248</v>
      </c>
      <c r="C83" s="366"/>
      <c r="D83" s="614"/>
      <c r="E83" s="368" t="s">
        <v>11</v>
      </c>
      <c r="F83" s="321">
        <v>2</v>
      </c>
      <c r="G83" s="319">
        <v>350000</v>
      </c>
      <c r="H83" s="369">
        <f t="shared" si="4"/>
        <v>700000</v>
      </c>
      <c r="I83" s="338"/>
      <c r="K83" s="303"/>
    </row>
    <row r="84" spans="1:11" ht="15.95" customHeight="1">
      <c r="A84" s="966"/>
      <c r="B84" s="365" t="s">
        <v>249</v>
      </c>
      <c r="C84" s="366"/>
      <c r="D84" s="614"/>
      <c r="E84" s="368" t="s">
        <v>11</v>
      </c>
      <c r="F84" s="321"/>
      <c r="G84" s="319">
        <v>350000</v>
      </c>
      <c r="H84" s="369">
        <f t="shared" si="4"/>
        <v>0</v>
      </c>
      <c r="I84" s="338"/>
      <c r="K84" s="303"/>
    </row>
    <row r="85" spans="1:11" ht="15.95" customHeight="1">
      <c r="A85" s="966"/>
      <c r="B85" s="365" t="s">
        <v>250</v>
      </c>
      <c r="C85" s="366"/>
      <c r="D85" s="614"/>
      <c r="E85" s="368" t="s">
        <v>11</v>
      </c>
      <c r="F85" s="321"/>
      <c r="G85" s="319">
        <v>350000</v>
      </c>
      <c r="H85" s="369">
        <f t="shared" si="4"/>
        <v>0</v>
      </c>
      <c r="I85" s="338"/>
      <c r="K85" s="303"/>
    </row>
    <row r="86" spans="1:11" ht="15.95" customHeight="1">
      <c r="A86" s="966"/>
      <c r="B86" s="365" t="s">
        <v>251</v>
      </c>
      <c r="C86" s="366"/>
      <c r="D86" s="614"/>
      <c r="E86" s="368" t="s">
        <v>11</v>
      </c>
      <c r="F86" s="321"/>
      <c r="G86" s="319">
        <v>350000</v>
      </c>
      <c r="H86" s="369">
        <f t="shared" si="4"/>
        <v>0</v>
      </c>
      <c r="I86" s="338"/>
      <c r="K86" s="303"/>
    </row>
    <row r="87" spans="1:11" ht="15.95" customHeight="1">
      <c r="A87" s="966"/>
      <c r="B87" s="370" t="s">
        <v>252</v>
      </c>
      <c r="C87" s="371"/>
      <c r="D87" s="615"/>
      <c r="E87" s="373" t="s">
        <v>11</v>
      </c>
      <c r="F87" s="335">
        <v>1</v>
      </c>
      <c r="G87" s="336">
        <v>350000</v>
      </c>
      <c r="H87" s="374">
        <f>G87*F87</f>
        <v>350000</v>
      </c>
      <c r="I87" s="340"/>
      <c r="K87" s="303"/>
    </row>
    <row r="88" spans="1:11" ht="15.95" customHeight="1">
      <c r="A88" s="350"/>
      <c r="B88" s="375" t="s">
        <v>253</v>
      </c>
      <c r="C88" s="352"/>
      <c r="D88" s="348"/>
      <c r="E88" s="377"/>
      <c r="F88" s="616"/>
      <c r="G88" s="346"/>
      <c r="H88" s="346">
        <f>SUM(H80:H87)</f>
        <v>2100000</v>
      </c>
      <c r="I88" s="344"/>
    </row>
    <row r="89" spans="1:11" ht="15.95" customHeight="1">
      <c r="A89" s="379"/>
      <c r="B89" s="375" t="s">
        <v>254</v>
      </c>
      <c r="C89" s="352"/>
      <c r="D89" s="348"/>
      <c r="E89" s="377"/>
      <c r="F89" s="347"/>
      <c r="G89" s="347"/>
      <c r="H89" s="353">
        <f>'단위장비별(집계)2'!I13+'단위장비별(집계)2'!L13</f>
        <v>377392.31723088643</v>
      </c>
      <c r="I89" s="348"/>
    </row>
    <row r="90" spans="1:11" ht="15.95" customHeight="1">
      <c r="A90" s="379"/>
      <c r="B90" s="375" t="s">
        <v>2</v>
      </c>
      <c r="C90" s="352"/>
      <c r="D90" s="348"/>
      <c r="E90" s="377" t="s">
        <v>221</v>
      </c>
      <c r="F90" s="347">
        <v>5</v>
      </c>
      <c r="G90" s="495"/>
      <c r="H90" s="416">
        <f>+(H79+H88)*F90%</f>
        <v>366953.80000000005</v>
      </c>
      <c r="I90" s="352"/>
    </row>
    <row r="91" spans="1:11" ht="15.95" customHeight="1">
      <c r="A91" s="379"/>
      <c r="B91" s="375" t="s">
        <v>68</v>
      </c>
      <c r="C91" s="352"/>
      <c r="D91" s="348"/>
      <c r="E91" s="377" t="s">
        <v>221</v>
      </c>
      <c r="F91" s="347">
        <v>10</v>
      </c>
      <c r="G91" s="495"/>
      <c r="H91" s="416">
        <f>+(H79+H88)*F91%</f>
        <v>733907.60000000009</v>
      </c>
      <c r="I91" s="352"/>
    </row>
    <row r="92" spans="1:11" ht="15.95" customHeight="1">
      <c r="A92" s="379"/>
      <c r="B92" s="375" t="s">
        <v>69</v>
      </c>
      <c r="C92" s="352"/>
      <c r="D92" s="348"/>
      <c r="E92" s="377"/>
      <c r="F92" s="347"/>
      <c r="G92" s="347"/>
      <c r="H92" s="346">
        <f>H79+H88+H89+H90+H91</f>
        <v>8817329.7172308862</v>
      </c>
      <c r="I92" s="348"/>
    </row>
    <row r="93" spans="1:11">
      <c r="A93" s="617"/>
      <c r="B93" s="436"/>
      <c r="C93" s="436"/>
      <c r="D93" s="436"/>
      <c r="E93" s="617"/>
      <c r="F93" s="618"/>
      <c r="G93" s="618"/>
      <c r="H93" s="618"/>
      <c r="I93" s="436"/>
    </row>
  </sheetData>
  <mergeCells count="3">
    <mergeCell ref="A2:B2"/>
    <mergeCell ref="A3:A78"/>
    <mergeCell ref="A80:A87"/>
  </mergeCells>
  <phoneticPr fontId="3" type="noConversion"/>
  <printOptions horizontalCentered="1"/>
  <pageMargins left="0.45" right="0.39370078740157483" top="0.59055118110236227" bottom="0.39370078740157483" header="0.51181102362204722" footer="0.19685039370078741"/>
  <pageSetup paperSize="9" scale="52" orientation="portrait" horizontalDpi="4294967292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56296-A6A7-4342-917D-7AF82102EF53}">
  <sheetPr codeName="Sheet12">
    <pageSetUpPr fitToPage="1"/>
  </sheetPr>
  <dimension ref="A1:M119"/>
  <sheetViews>
    <sheetView view="pageBreakPreview" zoomScale="80" zoomScaleNormal="85" workbookViewId="0">
      <pane xSplit="2" ySplit="2" topLeftCell="C51" activePane="bottomRight" state="frozen"/>
      <selection activeCell="F67" sqref="F67"/>
      <selection pane="topRight" activeCell="F67" sqref="F67"/>
      <selection pane="bottomLeft" activeCell="F67" sqref="F67"/>
      <selection pane="bottomRight" activeCell="G62" sqref="G62"/>
    </sheetView>
  </sheetViews>
  <sheetFormatPr defaultRowHeight="13.5"/>
  <cols>
    <col min="1" max="1" width="5" style="53" customWidth="1"/>
    <col min="2" max="2" width="20.75" style="53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5.5" style="230" customWidth="1"/>
    <col min="10" max="10" width="9" style="227"/>
    <col min="11" max="11" width="10" style="227" bestFit="1" customWidth="1"/>
    <col min="12" max="13" width="9" style="227"/>
    <col min="14" max="16384" width="9" style="53"/>
  </cols>
  <sheetData>
    <row r="1" spans="1:13" ht="22.5" customHeight="1">
      <c r="A1" s="45" t="s">
        <v>119</v>
      </c>
      <c r="B1" s="45"/>
      <c r="C1" s="419" t="s">
        <v>1459</v>
      </c>
      <c r="D1" s="262"/>
      <c r="E1" s="238"/>
      <c r="F1" s="22"/>
      <c r="G1" s="114"/>
      <c r="I1" s="230" t="s">
        <v>53</v>
      </c>
      <c r="J1" s="229"/>
      <c r="K1" s="229"/>
      <c r="L1" s="229"/>
      <c r="M1" s="229"/>
    </row>
    <row r="2" spans="1:13" s="119" customFormat="1" ht="16.5" customHeight="1">
      <c r="A2" s="974" t="s">
        <v>57</v>
      </c>
      <c r="B2" s="975"/>
      <c r="C2" s="621" t="s">
        <v>7</v>
      </c>
      <c r="D2" s="622" t="s">
        <v>58</v>
      </c>
      <c r="E2" s="622" t="s">
        <v>59</v>
      </c>
      <c r="F2" s="623" t="s">
        <v>4</v>
      </c>
      <c r="G2" s="623" t="s">
        <v>60</v>
      </c>
      <c r="H2" s="143" t="s">
        <v>61</v>
      </c>
      <c r="I2" s="237" t="s">
        <v>9</v>
      </c>
      <c r="J2" s="228"/>
      <c r="K2" s="228"/>
      <c r="L2" s="228"/>
      <c r="M2" s="228"/>
    </row>
    <row r="3" spans="1:13" ht="15.95" customHeight="1">
      <c r="A3" s="978" t="s">
        <v>62</v>
      </c>
      <c r="B3" s="120" t="s">
        <v>63</v>
      </c>
      <c r="C3" s="624"/>
      <c r="D3" s="625"/>
      <c r="E3" s="626"/>
      <c r="F3" s="627"/>
      <c r="G3" s="628"/>
      <c r="H3" s="123">
        <f t="shared" ref="H3:H25" si="0">IF(F3=0,G3,G3*F3)</f>
        <v>0</v>
      </c>
      <c r="I3" s="231"/>
    </row>
    <row r="4" spans="1:13" ht="15.95" customHeight="1">
      <c r="A4" s="979"/>
      <c r="B4" s="120"/>
      <c r="C4" s="624"/>
      <c r="D4" s="625"/>
      <c r="E4" s="626"/>
      <c r="F4" s="627"/>
      <c r="G4" s="628"/>
      <c r="H4" s="123">
        <f t="shared" si="0"/>
        <v>0</v>
      </c>
      <c r="I4" s="233"/>
    </row>
    <row r="5" spans="1:13" ht="15.95" customHeight="1">
      <c r="A5" s="979"/>
      <c r="B5" s="120"/>
      <c r="C5" s="624"/>
      <c r="D5" s="625"/>
      <c r="E5" s="626"/>
      <c r="F5" s="627"/>
      <c r="G5" s="628"/>
      <c r="H5" s="123">
        <f t="shared" si="0"/>
        <v>0</v>
      </c>
      <c r="I5" s="233"/>
    </row>
    <row r="6" spans="1:13" ht="15.95" customHeight="1">
      <c r="A6" s="979"/>
      <c r="B6" s="120"/>
      <c r="C6" s="624"/>
      <c r="D6" s="625"/>
      <c r="E6" s="626"/>
      <c r="F6" s="627"/>
      <c r="G6" s="628"/>
      <c r="H6" s="123">
        <f t="shared" si="0"/>
        <v>0</v>
      </c>
      <c r="I6" s="233"/>
    </row>
    <row r="7" spans="1:13" ht="15.95" customHeight="1">
      <c r="A7" s="979"/>
      <c r="B7" s="120"/>
      <c r="C7" s="624"/>
      <c r="D7" s="625"/>
      <c r="E7" s="626"/>
      <c r="F7" s="627"/>
      <c r="G7" s="628"/>
      <c r="H7" s="123">
        <f t="shared" si="0"/>
        <v>0</v>
      </c>
      <c r="I7" s="233"/>
    </row>
    <row r="8" spans="1:13" ht="15.95" customHeight="1">
      <c r="A8" s="979"/>
      <c r="B8" s="120"/>
      <c r="C8" s="624"/>
      <c r="D8" s="625"/>
      <c r="E8" s="626"/>
      <c r="F8" s="627"/>
      <c r="G8" s="628"/>
      <c r="H8" s="123">
        <f t="shared" si="0"/>
        <v>0</v>
      </c>
      <c r="I8" s="233"/>
    </row>
    <row r="9" spans="1:13" ht="15.95" customHeight="1">
      <c r="A9" s="979"/>
      <c r="B9" s="120"/>
      <c r="C9" s="624"/>
      <c r="D9" s="625"/>
      <c r="E9" s="626"/>
      <c r="F9" s="627"/>
      <c r="G9" s="628"/>
      <c r="H9" s="123">
        <f t="shared" si="0"/>
        <v>0</v>
      </c>
      <c r="I9" s="233"/>
    </row>
    <row r="10" spans="1:13" ht="15.95" customHeight="1">
      <c r="A10" s="979"/>
      <c r="B10" s="120"/>
      <c r="C10" s="624"/>
      <c r="D10" s="629"/>
      <c r="E10" s="626"/>
      <c r="F10" s="627"/>
      <c r="G10" s="628"/>
      <c r="H10" s="123">
        <f t="shared" si="0"/>
        <v>0</v>
      </c>
      <c r="I10" s="233"/>
    </row>
    <row r="11" spans="1:13" ht="15.95" customHeight="1">
      <c r="A11" s="979"/>
      <c r="B11" s="120"/>
      <c r="C11" s="625"/>
      <c r="D11" s="625"/>
      <c r="E11" s="626"/>
      <c r="F11" s="627"/>
      <c r="G11" s="628"/>
      <c r="H11" s="123">
        <f t="shared" si="0"/>
        <v>0</v>
      </c>
      <c r="I11" s="233"/>
    </row>
    <row r="12" spans="1:13" ht="15.95" customHeight="1">
      <c r="A12" s="979"/>
      <c r="B12" s="120"/>
      <c r="C12" s="624"/>
      <c r="D12" s="625"/>
      <c r="E12" s="626"/>
      <c r="F12" s="630"/>
      <c r="G12" s="628"/>
      <c r="H12" s="123">
        <f t="shared" si="0"/>
        <v>0</v>
      </c>
      <c r="I12" s="233"/>
    </row>
    <row r="13" spans="1:13" ht="15.95" customHeight="1">
      <c r="A13" s="979"/>
      <c r="B13" s="120"/>
      <c r="C13" s="631"/>
      <c r="D13" s="632"/>
      <c r="E13" s="633"/>
      <c r="F13" s="634"/>
      <c r="G13" s="628"/>
      <c r="H13" s="123">
        <f t="shared" si="0"/>
        <v>0</v>
      </c>
      <c r="I13" s="233"/>
    </row>
    <row r="14" spans="1:13" ht="15.95" customHeight="1">
      <c r="A14" s="979"/>
      <c r="B14" s="120"/>
      <c r="C14" s="624"/>
      <c r="D14" s="625"/>
      <c r="E14" s="626"/>
      <c r="F14" s="628"/>
      <c r="G14" s="628"/>
      <c r="H14" s="123">
        <f t="shared" si="0"/>
        <v>0</v>
      </c>
      <c r="I14" s="233"/>
    </row>
    <row r="15" spans="1:13" ht="15.95" customHeight="1">
      <c r="A15" s="979"/>
      <c r="B15" s="120"/>
      <c r="C15" s="624"/>
      <c r="D15" s="625"/>
      <c r="E15" s="626"/>
      <c r="F15" s="628"/>
      <c r="G15" s="628"/>
      <c r="H15" s="123">
        <f t="shared" si="0"/>
        <v>0</v>
      </c>
      <c r="I15" s="233"/>
    </row>
    <row r="16" spans="1:13" ht="15.95" customHeight="1">
      <c r="A16" s="979"/>
      <c r="B16" s="120"/>
      <c r="C16" s="624"/>
      <c r="D16" s="625"/>
      <c r="E16" s="626"/>
      <c r="F16" s="628"/>
      <c r="G16" s="628"/>
      <c r="H16" s="123">
        <f t="shared" si="0"/>
        <v>0</v>
      </c>
      <c r="I16" s="233"/>
    </row>
    <row r="17" spans="1:9" ht="15.95" customHeight="1">
      <c r="A17" s="979"/>
      <c r="B17" s="120"/>
      <c r="C17" s="624"/>
      <c r="D17" s="625"/>
      <c r="E17" s="626"/>
      <c r="F17" s="628"/>
      <c r="G17" s="628"/>
      <c r="H17" s="123">
        <f t="shared" si="0"/>
        <v>0</v>
      </c>
      <c r="I17" s="233"/>
    </row>
    <row r="18" spans="1:9" ht="15.95" customHeight="1">
      <c r="A18" s="979"/>
      <c r="B18" s="120"/>
      <c r="C18" s="624"/>
      <c r="D18" s="625"/>
      <c r="E18" s="626"/>
      <c r="F18" s="628"/>
      <c r="G18" s="628"/>
      <c r="H18" s="123">
        <f t="shared" si="0"/>
        <v>0</v>
      </c>
      <c r="I18" s="233"/>
    </row>
    <row r="19" spans="1:9" ht="15.95" customHeight="1">
      <c r="A19" s="979"/>
      <c r="B19" s="120"/>
      <c r="C19" s="624"/>
      <c r="D19" s="625"/>
      <c r="E19" s="626"/>
      <c r="F19" s="628"/>
      <c r="G19" s="628"/>
      <c r="H19" s="123">
        <f t="shared" si="0"/>
        <v>0</v>
      </c>
      <c r="I19" s="233"/>
    </row>
    <row r="20" spans="1:9" ht="15.95" customHeight="1">
      <c r="A20" s="979"/>
      <c r="B20" s="120"/>
      <c r="C20" s="624"/>
      <c r="D20" s="625"/>
      <c r="E20" s="626"/>
      <c r="F20" s="628"/>
      <c r="G20" s="628"/>
      <c r="H20" s="123">
        <f t="shared" si="0"/>
        <v>0</v>
      </c>
      <c r="I20" s="233"/>
    </row>
    <row r="21" spans="1:9" ht="15.95" customHeight="1">
      <c r="A21" s="979"/>
      <c r="B21" s="120"/>
      <c r="C21" s="624"/>
      <c r="D21" s="625"/>
      <c r="E21" s="626"/>
      <c r="F21" s="628"/>
      <c r="G21" s="628"/>
      <c r="H21" s="123">
        <f t="shared" si="0"/>
        <v>0</v>
      </c>
      <c r="I21" s="233"/>
    </row>
    <row r="22" spans="1:9" ht="15.95" customHeight="1">
      <c r="A22" s="979"/>
      <c r="B22" s="120"/>
      <c r="C22" s="624"/>
      <c r="D22" s="625"/>
      <c r="E22" s="626"/>
      <c r="F22" s="628"/>
      <c r="G22" s="628"/>
      <c r="H22" s="123">
        <f t="shared" si="0"/>
        <v>0</v>
      </c>
      <c r="I22" s="233"/>
    </row>
    <row r="23" spans="1:9" ht="15.95" customHeight="1">
      <c r="A23" s="979"/>
      <c r="B23" s="120"/>
      <c r="C23" s="624"/>
      <c r="D23" s="625"/>
      <c r="E23" s="626"/>
      <c r="F23" s="628"/>
      <c r="G23" s="628"/>
      <c r="H23" s="123">
        <f t="shared" si="0"/>
        <v>0</v>
      </c>
      <c r="I23" s="233"/>
    </row>
    <row r="24" spans="1:9" ht="15.95" customHeight="1">
      <c r="A24" s="979"/>
      <c r="B24" s="120"/>
      <c r="C24" s="624"/>
      <c r="D24" s="625"/>
      <c r="E24" s="626"/>
      <c r="F24" s="628"/>
      <c r="G24" s="628"/>
      <c r="H24" s="123">
        <f t="shared" si="0"/>
        <v>0</v>
      </c>
      <c r="I24" s="233"/>
    </row>
    <row r="25" spans="1:9" ht="15.95" customHeight="1">
      <c r="A25" s="979"/>
      <c r="B25" s="120"/>
      <c r="C25" s="624"/>
      <c r="D25" s="625"/>
      <c r="E25" s="626"/>
      <c r="F25" s="628"/>
      <c r="G25" s="628"/>
      <c r="H25" s="123">
        <f t="shared" si="0"/>
        <v>0</v>
      </c>
      <c r="I25" s="233"/>
    </row>
    <row r="26" spans="1:9" ht="15.95" customHeight="1">
      <c r="A26" s="979"/>
      <c r="B26" s="120"/>
      <c r="C26" s="624"/>
      <c r="D26" s="625"/>
      <c r="E26" s="626"/>
      <c r="F26" s="628"/>
      <c r="G26" s="628"/>
      <c r="H26" s="123">
        <f>IF(F26=0,G26,G26*F26)</f>
        <v>0</v>
      </c>
      <c r="I26" s="233"/>
    </row>
    <row r="27" spans="1:9" ht="15.95" customHeight="1">
      <c r="A27" s="979"/>
      <c r="B27" s="120"/>
      <c r="C27" s="635"/>
      <c r="D27" s="636"/>
      <c r="E27" s="637"/>
      <c r="F27" s="638"/>
      <c r="G27" s="638"/>
      <c r="H27" s="123">
        <v>0</v>
      </c>
      <c r="I27" s="234"/>
    </row>
    <row r="28" spans="1:9" ht="15.95" customHeight="1">
      <c r="A28" s="979"/>
      <c r="B28" s="125"/>
      <c r="C28" s="226"/>
      <c r="D28" s="260"/>
      <c r="E28" s="117"/>
      <c r="F28" s="147">
        <f>SUM(F3:F27)</f>
        <v>0</v>
      </c>
      <c r="G28" s="126"/>
      <c r="H28" s="128">
        <f>SUM(H3:H27)</f>
        <v>0</v>
      </c>
      <c r="I28" s="235"/>
    </row>
    <row r="29" spans="1:9" ht="15.95" customHeight="1">
      <c r="A29" s="979"/>
      <c r="B29" s="127" t="s">
        <v>5</v>
      </c>
      <c r="C29" s="592"/>
      <c r="D29" s="592"/>
      <c r="E29" s="596" t="s">
        <v>222</v>
      </c>
      <c r="F29" s="600"/>
      <c r="G29" s="639"/>
      <c r="H29" s="287">
        <f>SUM(F29*G29)</f>
        <v>0</v>
      </c>
      <c r="I29" s="231"/>
    </row>
    <row r="30" spans="1:9" ht="15.95" customHeight="1">
      <c r="A30" s="979"/>
      <c r="B30" s="120" t="s">
        <v>8</v>
      </c>
      <c r="C30" s="831"/>
      <c r="D30" s="832"/>
      <c r="E30" s="833"/>
      <c r="F30" s="834"/>
      <c r="G30" s="834"/>
      <c r="H30" s="123">
        <f t="shared" ref="H30:H41" si="1">IF(F30=0,G30,G30*F30)</f>
        <v>0</v>
      </c>
      <c r="I30" s="835"/>
    </row>
    <row r="31" spans="1:9" ht="15.95" customHeight="1">
      <c r="A31" s="979"/>
      <c r="B31" s="814" t="s">
        <v>553</v>
      </c>
      <c r="C31" s="753" t="s">
        <v>1461</v>
      </c>
      <c r="D31" s="753" t="s">
        <v>1462</v>
      </c>
      <c r="E31" s="800" t="s">
        <v>557</v>
      </c>
      <c r="F31" s="801">
        <v>12</v>
      </c>
      <c r="G31" s="802">
        <v>8880</v>
      </c>
      <c r="H31" s="123">
        <f t="shared" si="1"/>
        <v>106560</v>
      </c>
      <c r="I31" s="798" t="s">
        <v>668</v>
      </c>
    </row>
    <row r="32" spans="1:9" ht="15.95" customHeight="1">
      <c r="A32" s="979"/>
      <c r="B32" s="813" t="s">
        <v>1478</v>
      </c>
      <c r="C32" s="753" t="s">
        <v>1463</v>
      </c>
      <c r="D32" s="753" t="s">
        <v>1464</v>
      </c>
      <c r="E32" s="800" t="s">
        <v>557</v>
      </c>
      <c r="F32" s="801">
        <v>4</v>
      </c>
      <c r="G32" s="802">
        <v>8151</v>
      </c>
      <c r="H32" s="123">
        <f t="shared" si="1"/>
        <v>32604</v>
      </c>
      <c r="I32" s="798" t="s">
        <v>668</v>
      </c>
    </row>
    <row r="33" spans="1:9" ht="15.95" customHeight="1">
      <c r="A33" s="979"/>
      <c r="B33" s="120"/>
      <c r="C33" s="753" t="s">
        <v>1465</v>
      </c>
      <c r="D33" s="753" t="s">
        <v>1466</v>
      </c>
      <c r="E33" s="800" t="s">
        <v>557</v>
      </c>
      <c r="F33" s="801">
        <v>4</v>
      </c>
      <c r="G33" s="802">
        <v>12000</v>
      </c>
      <c r="H33" s="123">
        <f t="shared" si="1"/>
        <v>48000</v>
      </c>
      <c r="I33" s="798" t="s">
        <v>1477</v>
      </c>
    </row>
    <row r="34" spans="1:9" ht="15.95" customHeight="1">
      <c r="A34" s="979"/>
      <c r="B34" s="120"/>
      <c r="C34" s="753" t="s">
        <v>1467</v>
      </c>
      <c r="D34" s="753" t="s">
        <v>1468</v>
      </c>
      <c r="E34" s="800" t="s">
        <v>557</v>
      </c>
      <c r="F34" s="801">
        <v>8</v>
      </c>
      <c r="G34" s="802">
        <v>2498</v>
      </c>
      <c r="H34" s="123">
        <f t="shared" si="1"/>
        <v>19984</v>
      </c>
      <c r="I34" s="798" t="s">
        <v>668</v>
      </c>
    </row>
    <row r="35" spans="1:9" ht="15.95" customHeight="1">
      <c r="A35" s="979"/>
      <c r="B35" s="120"/>
      <c r="C35" s="753"/>
      <c r="D35" s="753"/>
      <c r="E35" s="800"/>
      <c r="F35" s="801"/>
      <c r="G35" s="802"/>
      <c r="H35" s="123">
        <f t="shared" si="1"/>
        <v>0</v>
      </c>
      <c r="I35" s="798"/>
    </row>
    <row r="36" spans="1:9" ht="15.95" customHeight="1">
      <c r="A36" s="979"/>
      <c r="B36" s="120"/>
      <c r="C36" s="753"/>
      <c r="D36" s="753"/>
      <c r="E36" s="800"/>
      <c r="F36" s="801"/>
      <c r="G36" s="802"/>
      <c r="H36" s="123">
        <f t="shared" si="1"/>
        <v>0</v>
      </c>
      <c r="I36" s="798"/>
    </row>
    <row r="37" spans="1:9" ht="15.95" customHeight="1">
      <c r="A37" s="979"/>
      <c r="B37" s="120"/>
      <c r="C37" s="753"/>
      <c r="D37" s="753"/>
      <c r="E37" s="800"/>
      <c r="F37" s="801"/>
      <c r="G37" s="802"/>
      <c r="H37" s="123">
        <f t="shared" si="1"/>
        <v>0</v>
      </c>
      <c r="I37" s="798"/>
    </row>
    <row r="38" spans="1:9" ht="15.95" customHeight="1">
      <c r="A38" s="979"/>
      <c r="B38" s="814" t="s">
        <v>565</v>
      </c>
      <c r="C38" s="753" t="s">
        <v>1469</v>
      </c>
      <c r="D38" s="753" t="s">
        <v>1470</v>
      </c>
      <c r="E38" s="800" t="s">
        <v>557</v>
      </c>
      <c r="F38" s="801">
        <v>2</v>
      </c>
      <c r="G38" s="802">
        <v>7952</v>
      </c>
      <c r="H38" s="123">
        <f t="shared" si="1"/>
        <v>15904</v>
      </c>
      <c r="I38" s="798" t="s">
        <v>668</v>
      </c>
    </row>
    <row r="39" spans="1:9" ht="15.95" customHeight="1">
      <c r="A39" s="979"/>
      <c r="B39" s="813" t="s">
        <v>1479</v>
      </c>
      <c r="C39" s="753" t="s">
        <v>1471</v>
      </c>
      <c r="D39" s="753" t="s">
        <v>1472</v>
      </c>
      <c r="E39" s="800" t="s">
        <v>557</v>
      </c>
      <c r="F39" s="801">
        <v>8</v>
      </c>
      <c r="G39" s="802">
        <v>3908</v>
      </c>
      <c r="H39" s="123">
        <f t="shared" si="1"/>
        <v>31264</v>
      </c>
      <c r="I39" s="798" t="s">
        <v>668</v>
      </c>
    </row>
    <row r="40" spans="1:9" ht="15.95" customHeight="1">
      <c r="A40" s="979"/>
      <c r="B40" s="120"/>
      <c r="C40" s="753" t="s">
        <v>1473</v>
      </c>
      <c r="D40" s="753" t="s">
        <v>1474</v>
      </c>
      <c r="E40" s="800" t="s">
        <v>557</v>
      </c>
      <c r="F40" s="801">
        <v>4</v>
      </c>
      <c r="G40" s="802">
        <v>3752</v>
      </c>
      <c r="H40" s="123">
        <f t="shared" si="1"/>
        <v>15008</v>
      </c>
      <c r="I40" s="798" t="s">
        <v>668</v>
      </c>
    </row>
    <row r="41" spans="1:9" ht="15.95" customHeight="1">
      <c r="A41" s="979"/>
      <c r="B41" s="120"/>
      <c r="C41" s="753" t="s">
        <v>1475</v>
      </c>
      <c r="D41" s="753" t="s">
        <v>1476</v>
      </c>
      <c r="E41" s="800" t="s">
        <v>557</v>
      </c>
      <c r="F41" s="801">
        <v>2</v>
      </c>
      <c r="G41" s="802">
        <v>4025</v>
      </c>
      <c r="H41" s="123">
        <f t="shared" si="1"/>
        <v>8050</v>
      </c>
      <c r="I41" s="798" t="s">
        <v>668</v>
      </c>
    </row>
    <row r="42" spans="1:9" ht="15.95" customHeight="1">
      <c r="A42" s="979"/>
      <c r="B42" s="120"/>
      <c r="C42" s="624"/>
      <c r="D42" s="625"/>
      <c r="E42" s="626"/>
      <c r="F42" s="628"/>
      <c r="G42" s="628"/>
      <c r="H42" s="123"/>
      <c r="I42" s="233"/>
    </row>
    <row r="43" spans="1:9" ht="15.95" customHeight="1">
      <c r="A43" s="979"/>
      <c r="B43" s="120"/>
      <c r="C43" s="624"/>
      <c r="D43" s="625"/>
      <c r="E43" s="626"/>
      <c r="F43" s="628"/>
      <c r="G43" s="628"/>
      <c r="H43" s="123"/>
      <c r="I43" s="233"/>
    </row>
    <row r="44" spans="1:9" ht="15.95" customHeight="1">
      <c r="A44" s="979"/>
      <c r="B44" s="120"/>
      <c r="C44" s="624"/>
      <c r="D44" s="625"/>
      <c r="E44" s="626"/>
      <c r="F44" s="628"/>
      <c r="G44" s="628"/>
      <c r="H44" s="123"/>
      <c r="I44" s="233"/>
    </row>
    <row r="45" spans="1:9" ht="15.95" customHeight="1">
      <c r="A45" s="979"/>
      <c r="B45" s="120"/>
      <c r="C45" s="624"/>
      <c r="D45" s="625"/>
      <c r="E45" s="626"/>
      <c r="F45" s="628"/>
      <c r="G45" s="628"/>
      <c r="H45" s="123">
        <f t="shared" ref="H45:H50" si="2">IF(F45=0,G45,G45*F45)</f>
        <v>0</v>
      </c>
      <c r="I45" s="233"/>
    </row>
    <row r="46" spans="1:9" ht="15.95" customHeight="1">
      <c r="A46" s="979"/>
      <c r="B46" s="120"/>
      <c r="C46" s="624"/>
      <c r="D46" s="625"/>
      <c r="E46" s="626"/>
      <c r="F46" s="628"/>
      <c r="G46" s="628"/>
      <c r="H46" s="123">
        <f t="shared" si="2"/>
        <v>0</v>
      </c>
      <c r="I46" s="233"/>
    </row>
    <row r="47" spans="1:9" ht="15.95" customHeight="1">
      <c r="A47" s="979"/>
      <c r="B47" s="120"/>
      <c r="C47" s="624"/>
      <c r="D47" s="625"/>
      <c r="E47" s="626"/>
      <c r="F47" s="628"/>
      <c r="G47" s="628"/>
      <c r="H47" s="123">
        <f t="shared" si="2"/>
        <v>0</v>
      </c>
      <c r="I47" s="233"/>
    </row>
    <row r="48" spans="1:9" ht="15.95" customHeight="1">
      <c r="A48" s="979"/>
      <c r="B48" s="120"/>
      <c r="C48" s="624"/>
      <c r="D48" s="625"/>
      <c r="E48" s="626"/>
      <c r="F48" s="628"/>
      <c r="G48" s="628"/>
      <c r="H48" s="123">
        <f t="shared" si="2"/>
        <v>0</v>
      </c>
      <c r="I48" s="233"/>
    </row>
    <row r="49" spans="1:9" ht="15.95" customHeight="1">
      <c r="A49" s="979"/>
      <c r="B49" s="120"/>
      <c r="C49" s="624"/>
      <c r="D49" s="625"/>
      <c r="E49" s="626"/>
      <c r="F49" s="628"/>
      <c r="G49" s="628"/>
      <c r="H49" s="123">
        <f t="shared" si="2"/>
        <v>0</v>
      </c>
      <c r="I49" s="233"/>
    </row>
    <row r="50" spans="1:9" ht="15.95" customHeight="1">
      <c r="A50" s="979"/>
      <c r="B50" s="120"/>
      <c r="C50" s="624"/>
      <c r="D50" s="625"/>
      <c r="E50" s="626"/>
      <c r="F50" s="628"/>
      <c r="G50" s="628"/>
      <c r="H50" s="123">
        <f t="shared" si="2"/>
        <v>0</v>
      </c>
      <c r="I50" s="233"/>
    </row>
    <row r="51" spans="1:9" ht="15.95" customHeight="1">
      <c r="A51" s="979"/>
      <c r="B51" s="120"/>
      <c r="C51" s="826" t="s">
        <v>1460</v>
      </c>
      <c r="D51" s="640"/>
      <c r="E51" s="641" t="s">
        <v>291</v>
      </c>
      <c r="F51" s="642"/>
      <c r="G51" s="643"/>
      <c r="H51" s="288"/>
      <c r="I51" s="234"/>
    </row>
    <row r="52" spans="1:9" ht="15.95" customHeight="1">
      <c r="A52" s="979"/>
      <c r="B52" s="125"/>
      <c r="C52" s="226"/>
      <c r="D52" s="260"/>
      <c r="E52" s="117"/>
      <c r="F52" s="216"/>
      <c r="G52" s="216"/>
      <c r="H52" s="128">
        <f>SUM(H29:H51)</f>
        <v>277374</v>
      </c>
      <c r="I52" s="235"/>
    </row>
    <row r="53" spans="1:9" ht="15.95" customHeight="1">
      <c r="A53" s="979"/>
      <c r="B53" s="127" t="s">
        <v>6</v>
      </c>
      <c r="C53" s="644"/>
      <c r="D53" s="644"/>
      <c r="E53" s="645"/>
      <c r="F53" s="646"/>
      <c r="G53" s="647"/>
      <c r="H53" s="827">
        <f>G53*F53</f>
        <v>0</v>
      </c>
      <c r="I53" s="231"/>
    </row>
    <row r="54" spans="1:9" ht="15.95" customHeight="1">
      <c r="A54" s="979"/>
      <c r="B54" s="813" t="s">
        <v>554</v>
      </c>
      <c r="C54" s="819" t="s">
        <v>568</v>
      </c>
      <c r="D54" s="819" t="s">
        <v>1480</v>
      </c>
      <c r="E54" s="820" t="s">
        <v>557</v>
      </c>
      <c r="F54" s="821">
        <v>1</v>
      </c>
      <c r="G54" s="822">
        <v>350000</v>
      </c>
      <c r="H54" s="829">
        <f t="shared" ref="H54:H88" si="3">G54*F54</f>
        <v>350000</v>
      </c>
      <c r="I54" s="818" t="s">
        <v>842</v>
      </c>
    </row>
    <row r="55" spans="1:9" ht="15.95" customHeight="1">
      <c r="A55" s="979"/>
      <c r="B55" s="813" t="s">
        <v>1478</v>
      </c>
      <c r="C55" s="817" t="s">
        <v>1481</v>
      </c>
      <c r="D55" s="817" t="s">
        <v>1482</v>
      </c>
      <c r="E55" s="823" t="s">
        <v>557</v>
      </c>
      <c r="F55" s="824">
        <v>2</v>
      </c>
      <c r="G55" s="825">
        <v>75000</v>
      </c>
      <c r="H55" s="829">
        <f t="shared" si="3"/>
        <v>150000</v>
      </c>
      <c r="I55" s="828" t="s">
        <v>842</v>
      </c>
    </row>
    <row r="56" spans="1:9" ht="15.95" customHeight="1">
      <c r="A56" s="979"/>
      <c r="B56" s="813"/>
      <c r="C56" s="817" t="s">
        <v>1483</v>
      </c>
      <c r="D56" s="817" t="s">
        <v>1484</v>
      </c>
      <c r="E56" s="823" t="s">
        <v>557</v>
      </c>
      <c r="F56" s="824">
        <v>2</v>
      </c>
      <c r="G56" s="825">
        <v>40900</v>
      </c>
      <c r="H56" s="829">
        <f t="shared" si="3"/>
        <v>81800</v>
      </c>
      <c r="I56" s="828" t="s">
        <v>842</v>
      </c>
    </row>
    <row r="57" spans="1:9" ht="15.95" customHeight="1">
      <c r="A57" s="979"/>
      <c r="B57" s="813"/>
      <c r="C57" s="817" t="s">
        <v>1481</v>
      </c>
      <c r="D57" s="817" t="s">
        <v>1485</v>
      </c>
      <c r="E57" s="823" t="s">
        <v>557</v>
      </c>
      <c r="F57" s="824">
        <v>2</v>
      </c>
      <c r="G57" s="825">
        <v>74000</v>
      </c>
      <c r="H57" s="829">
        <f t="shared" si="3"/>
        <v>148000</v>
      </c>
      <c r="I57" s="828" t="s">
        <v>842</v>
      </c>
    </row>
    <row r="58" spans="1:9" ht="15.95" customHeight="1">
      <c r="A58" s="979"/>
      <c r="B58" s="813"/>
      <c r="C58" s="817" t="s">
        <v>1483</v>
      </c>
      <c r="D58" s="817" t="s">
        <v>1486</v>
      </c>
      <c r="E58" s="823" t="s">
        <v>557</v>
      </c>
      <c r="F58" s="824">
        <v>1</v>
      </c>
      <c r="G58" s="825">
        <v>40000</v>
      </c>
      <c r="H58" s="829">
        <f t="shared" si="3"/>
        <v>40000</v>
      </c>
      <c r="I58" s="828" t="s">
        <v>842</v>
      </c>
    </row>
    <row r="59" spans="1:9" ht="15.95" customHeight="1">
      <c r="A59" s="979"/>
      <c r="B59" s="813"/>
      <c r="C59" s="817" t="s">
        <v>1483</v>
      </c>
      <c r="D59" s="817" t="s">
        <v>1487</v>
      </c>
      <c r="E59" s="823" t="s">
        <v>557</v>
      </c>
      <c r="F59" s="824">
        <v>1</v>
      </c>
      <c r="G59" s="825">
        <v>40000</v>
      </c>
      <c r="H59" s="829">
        <f t="shared" si="3"/>
        <v>40000</v>
      </c>
      <c r="I59" s="828" t="s">
        <v>842</v>
      </c>
    </row>
    <row r="60" spans="1:9" ht="15.95" customHeight="1">
      <c r="A60" s="979"/>
      <c r="B60" s="813"/>
      <c r="C60" s="817" t="s">
        <v>1488</v>
      </c>
      <c r="D60" s="817" t="s">
        <v>1489</v>
      </c>
      <c r="E60" s="823" t="s">
        <v>557</v>
      </c>
      <c r="F60" s="824">
        <v>6</v>
      </c>
      <c r="G60" s="825">
        <v>35000</v>
      </c>
      <c r="H60" s="829">
        <f t="shared" si="3"/>
        <v>210000</v>
      </c>
      <c r="I60" s="828" t="s">
        <v>842</v>
      </c>
    </row>
    <row r="61" spans="1:9" ht="15.95" customHeight="1">
      <c r="A61" s="979"/>
      <c r="B61" s="813"/>
      <c r="C61" s="817" t="s">
        <v>1488</v>
      </c>
      <c r="D61" s="817" t="s">
        <v>1490</v>
      </c>
      <c r="E61" s="823" t="s">
        <v>557</v>
      </c>
      <c r="F61" s="824">
        <v>2</v>
      </c>
      <c r="G61" s="825">
        <v>11500</v>
      </c>
      <c r="H61" s="829">
        <f t="shared" si="3"/>
        <v>23000</v>
      </c>
      <c r="I61" s="828" t="s">
        <v>842</v>
      </c>
    </row>
    <row r="62" spans="1:9" ht="15.95" customHeight="1">
      <c r="A62" s="979"/>
      <c r="B62" s="813"/>
      <c r="C62" s="817" t="s">
        <v>1491</v>
      </c>
      <c r="D62" s="817" t="s">
        <v>1492</v>
      </c>
      <c r="E62" s="823" t="s">
        <v>557</v>
      </c>
      <c r="F62" s="824">
        <v>1</v>
      </c>
      <c r="G62" s="825">
        <v>55000</v>
      </c>
      <c r="H62" s="829">
        <f t="shared" si="3"/>
        <v>55000</v>
      </c>
      <c r="I62" s="828" t="s">
        <v>842</v>
      </c>
    </row>
    <row r="63" spans="1:9" ht="15.95" customHeight="1">
      <c r="A63" s="979"/>
      <c r="B63" s="813"/>
      <c r="C63" s="817" t="s">
        <v>1491</v>
      </c>
      <c r="D63" s="817" t="s">
        <v>1493</v>
      </c>
      <c r="E63" s="823" t="s">
        <v>557</v>
      </c>
      <c r="F63" s="824">
        <v>1</v>
      </c>
      <c r="G63" s="825">
        <v>55000</v>
      </c>
      <c r="H63" s="829">
        <f t="shared" si="3"/>
        <v>55000</v>
      </c>
      <c r="I63" s="828" t="s">
        <v>842</v>
      </c>
    </row>
    <row r="64" spans="1:9" ht="15.95" customHeight="1">
      <c r="A64" s="979"/>
      <c r="B64" s="813"/>
      <c r="C64" s="817" t="s">
        <v>677</v>
      </c>
      <c r="D64" s="817" t="s">
        <v>1494</v>
      </c>
      <c r="E64" s="823" t="s">
        <v>557</v>
      </c>
      <c r="F64" s="824">
        <v>4</v>
      </c>
      <c r="G64" s="825">
        <v>12000</v>
      </c>
      <c r="H64" s="829">
        <f t="shared" si="3"/>
        <v>48000</v>
      </c>
      <c r="I64" s="828" t="s">
        <v>842</v>
      </c>
    </row>
    <row r="65" spans="1:9" ht="15.95" customHeight="1">
      <c r="A65" s="979"/>
      <c r="B65" s="813"/>
      <c r="C65" s="817" t="s">
        <v>570</v>
      </c>
      <c r="D65" s="817" t="s">
        <v>1495</v>
      </c>
      <c r="E65" s="823" t="s">
        <v>557</v>
      </c>
      <c r="F65" s="824">
        <v>1</v>
      </c>
      <c r="G65" s="825">
        <v>15000</v>
      </c>
      <c r="H65" s="829">
        <f t="shared" si="3"/>
        <v>15000</v>
      </c>
      <c r="I65" s="828" t="s">
        <v>842</v>
      </c>
    </row>
    <row r="66" spans="1:9" ht="15.95" customHeight="1">
      <c r="A66" s="979"/>
      <c r="B66" s="813"/>
      <c r="C66" s="817" t="s">
        <v>1491</v>
      </c>
      <c r="D66" s="817" t="s">
        <v>1496</v>
      </c>
      <c r="E66" s="823" t="s">
        <v>557</v>
      </c>
      <c r="F66" s="824">
        <v>1</v>
      </c>
      <c r="G66" s="825">
        <v>11000</v>
      </c>
      <c r="H66" s="829">
        <f t="shared" si="3"/>
        <v>11000</v>
      </c>
      <c r="I66" s="828" t="s">
        <v>842</v>
      </c>
    </row>
    <row r="67" spans="1:9" ht="15.95" customHeight="1">
      <c r="A67" s="979"/>
      <c r="B67" s="813"/>
      <c r="C67" s="817" t="s">
        <v>570</v>
      </c>
      <c r="D67" s="817" t="s">
        <v>1497</v>
      </c>
      <c r="E67" s="823" t="s">
        <v>557</v>
      </c>
      <c r="F67" s="824">
        <v>1</v>
      </c>
      <c r="G67" s="825">
        <v>30000</v>
      </c>
      <c r="H67" s="829">
        <f t="shared" si="3"/>
        <v>30000</v>
      </c>
      <c r="I67" s="828" t="s">
        <v>842</v>
      </c>
    </row>
    <row r="68" spans="1:9" ht="15.95" customHeight="1">
      <c r="A68" s="979"/>
      <c r="B68" s="813"/>
      <c r="C68" s="817" t="s">
        <v>570</v>
      </c>
      <c r="D68" s="817" t="s">
        <v>1498</v>
      </c>
      <c r="E68" s="823" t="s">
        <v>557</v>
      </c>
      <c r="F68" s="824">
        <v>1</v>
      </c>
      <c r="G68" s="825">
        <v>28000</v>
      </c>
      <c r="H68" s="829">
        <f t="shared" si="3"/>
        <v>28000</v>
      </c>
      <c r="I68" s="828" t="s">
        <v>842</v>
      </c>
    </row>
    <row r="69" spans="1:9" ht="15.95" customHeight="1">
      <c r="A69" s="979"/>
      <c r="B69" s="813"/>
      <c r="C69" s="817" t="s">
        <v>570</v>
      </c>
      <c r="D69" s="817" t="s">
        <v>1499</v>
      </c>
      <c r="E69" s="823" t="s">
        <v>557</v>
      </c>
      <c r="F69" s="824">
        <v>1</v>
      </c>
      <c r="G69" s="825">
        <v>28000</v>
      </c>
      <c r="H69" s="829">
        <f t="shared" si="3"/>
        <v>28000</v>
      </c>
      <c r="I69" s="828" t="s">
        <v>842</v>
      </c>
    </row>
    <row r="70" spans="1:9" ht="15.95" customHeight="1">
      <c r="A70" s="979"/>
      <c r="B70" s="813"/>
      <c r="C70" s="817" t="s">
        <v>570</v>
      </c>
      <c r="D70" s="817" t="s">
        <v>1500</v>
      </c>
      <c r="E70" s="823" t="s">
        <v>557</v>
      </c>
      <c r="F70" s="824">
        <v>1</v>
      </c>
      <c r="G70" s="825">
        <v>30000</v>
      </c>
      <c r="H70" s="829">
        <f t="shared" si="3"/>
        <v>30000</v>
      </c>
      <c r="I70" s="828" t="s">
        <v>842</v>
      </c>
    </row>
    <row r="71" spans="1:9" ht="15.95" customHeight="1">
      <c r="A71" s="979"/>
      <c r="B71" s="813"/>
      <c r="C71" s="817" t="s">
        <v>570</v>
      </c>
      <c r="D71" s="817" t="s">
        <v>1501</v>
      </c>
      <c r="E71" s="823" t="s">
        <v>557</v>
      </c>
      <c r="F71" s="824">
        <v>2</v>
      </c>
      <c r="G71" s="825">
        <v>10000</v>
      </c>
      <c r="H71" s="829">
        <f t="shared" si="3"/>
        <v>20000</v>
      </c>
      <c r="I71" s="828" t="s">
        <v>842</v>
      </c>
    </row>
    <row r="72" spans="1:9" ht="15.95" customHeight="1">
      <c r="A72" s="979"/>
      <c r="B72" s="813"/>
      <c r="C72" s="817" t="s">
        <v>1502</v>
      </c>
      <c r="D72" s="817" t="s">
        <v>1503</v>
      </c>
      <c r="E72" s="823" t="s">
        <v>557</v>
      </c>
      <c r="F72" s="824">
        <v>1</v>
      </c>
      <c r="G72" s="825">
        <v>10000</v>
      </c>
      <c r="H72" s="829">
        <f t="shared" si="3"/>
        <v>10000</v>
      </c>
      <c r="I72" s="828" t="s">
        <v>842</v>
      </c>
    </row>
    <row r="73" spans="1:9" ht="15.95" customHeight="1">
      <c r="A73" s="979"/>
      <c r="B73" s="813"/>
      <c r="C73" s="817" t="s">
        <v>1502</v>
      </c>
      <c r="D73" s="817" t="s">
        <v>1504</v>
      </c>
      <c r="E73" s="823" t="s">
        <v>557</v>
      </c>
      <c r="F73" s="824">
        <v>1</v>
      </c>
      <c r="G73" s="825">
        <v>20000</v>
      </c>
      <c r="H73" s="829">
        <f t="shared" si="3"/>
        <v>20000</v>
      </c>
      <c r="I73" s="828" t="s">
        <v>842</v>
      </c>
    </row>
    <row r="74" spans="1:9" ht="15.95" customHeight="1">
      <c r="A74" s="979"/>
      <c r="B74" s="813"/>
      <c r="C74" s="817"/>
      <c r="D74" s="817"/>
      <c r="E74" s="823"/>
      <c r="F74" s="824"/>
      <c r="G74" s="825"/>
      <c r="H74" s="829">
        <f t="shared" si="3"/>
        <v>0</v>
      </c>
      <c r="I74" s="828"/>
    </row>
    <row r="75" spans="1:9" ht="15.95" customHeight="1">
      <c r="A75" s="979"/>
      <c r="B75" s="813" t="s">
        <v>609</v>
      </c>
      <c r="C75" s="817" t="s">
        <v>609</v>
      </c>
      <c r="D75" s="817" t="s">
        <v>1505</v>
      </c>
      <c r="E75" s="823" t="s">
        <v>557</v>
      </c>
      <c r="F75" s="824">
        <v>1</v>
      </c>
      <c r="G75" s="825">
        <v>110000</v>
      </c>
      <c r="H75" s="829">
        <f t="shared" si="3"/>
        <v>110000</v>
      </c>
      <c r="I75" s="828" t="s">
        <v>842</v>
      </c>
    </row>
    <row r="76" spans="1:9" ht="15.95" customHeight="1">
      <c r="A76" s="979"/>
      <c r="B76" s="813"/>
      <c r="C76" s="817" t="s">
        <v>609</v>
      </c>
      <c r="D76" s="817" t="s">
        <v>1506</v>
      </c>
      <c r="E76" s="823" t="s">
        <v>557</v>
      </c>
      <c r="F76" s="824">
        <v>1</v>
      </c>
      <c r="G76" s="825">
        <v>110000</v>
      </c>
      <c r="H76" s="829">
        <f t="shared" si="3"/>
        <v>110000</v>
      </c>
      <c r="I76" s="828" t="s">
        <v>842</v>
      </c>
    </row>
    <row r="77" spans="1:9" ht="15.95" customHeight="1">
      <c r="A77" s="979"/>
      <c r="B77" s="813"/>
      <c r="C77" s="644"/>
      <c r="D77" s="644"/>
      <c r="E77" s="645"/>
      <c r="F77" s="646"/>
      <c r="G77" s="647"/>
      <c r="H77" s="829">
        <f t="shared" si="3"/>
        <v>0</v>
      </c>
      <c r="I77" s="828"/>
    </row>
    <row r="78" spans="1:9" ht="15.95" customHeight="1">
      <c r="A78" s="979"/>
      <c r="B78" s="814" t="s">
        <v>565</v>
      </c>
      <c r="C78" s="817" t="s">
        <v>1508</v>
      </c>
      <c r="D78" s="817" t="s">
        <v>1509</v>
      </c>
      <c r="E78" s="823" t="s">
        <v>557</v>
      </c>
      <c r="F78" s="824">
        <v>2</v>
      </c>
      <c r="G78" s="825">
        <v>45000</v>
      </c>
      <c r="H78" s="829">
        <f t="shared" si="3"/>
        <v>90000</v>
      </c>
      <c r="I78" s="828" t="s">
        <v>842</v>
      </c>
    </row>
    <row r="79" spans="1:9" ht="15.95" customHeight="1">
      <c r="A79" s="979"/>
      <c r="B79" s="813" t="s">
        <v>1507</v>
      </c>
      <c r="C79" s="817" t="s">
        <v>1510</v>
      </c>
      <c r="D79" s="817" t="s">
        <v>1511</v>
      </c>
      <c r="E79" s="823" t="s">
        <v>557</v>
      </c>
      <c r="F79" s="824">
        <v>2</v>
      </c>
      <c r="G79" s="825">
        <v>55000</v>
      </c>
      <c r="H79" s="829">
        <f t="shared" si="3"/>
        <v>110000</v>
      </c>
      <c r="I79" s="828" t="s">
        <v>842</v>
      </c>
    </row>
    <row r="80" spans="1:9" ht="15.95" customHeight="1">
      <c r="A80" s="979"/>
      <c r="B80" s="813"/>
      <c r="C80" s="817" t="s">
        <v>687</v>
      </c>
      <c r="D80" s="817" t="s">
        <v>1512</v>
      </c>
      <c r="E80" s="823" t="s">
        <v>557</v>
      </c>
      <c r="F80" s="824">
        <v>2</v>
      </c>
      <c r="G80" s="825">
        <v>15000</v>
      </c>
      <c r="H80" s="829">
        <f t="shared" si="3"/>
        <v>30000</v>
      </c>
      <c r="I80" s="828" t="s">
        <v>842</v>
      </c>
    </row>
    <row r="81" spans="1:9" ht="15.95" customHeight="1">
      <c r="A81" s="979"/>
      <c r="B81" s="813"/>
      <c r="C81" s="817" t="s">
        <v>687</v>
      </c>
      <c r="D81" s="817" t="s">
        <v>1513</v>
      </c>
      <c r="E81" s="823" t="s">
        <v>557</v>
      </c>
      <c r="F81" s="824">
        <v>3</v>
      </c>
      <c r="G81" s="825">
        <v>10000</v>
      </c>
      <c r="H81" s="829">
        <f t="shared" si="3"/>
        <v>30000</v>
      </c>
      <c r="I81" s="828" t="s">
        <v>842</v>
      </c>
    </row>
    <row r="82" spans="1:9" ht="15.95" customHeight="1">
      <c r="A82" s="979"/>
      <c r="B82" s="813"/>
      <c r="C82" s="817" t="s">
        <v>687</v>
      </c>
      <c r="D82" s="817" t="s">
        <v>1514</v>
      </c>
      <c r="E82" s="823" t="s">
        <v>557</v>
      </c>
      <c r="F82" s="824">
        <v>1</v>
      </c>
      <c r="G82" s="825">
        <v>10000</v>
      </c>
      <c r="H82" s="829">
        <f t="shared" si="3"/>
        <v>10000</v>
      </c>
      <c r="I82" s="828" t="s">
        <v>842</v>
      </c>
    </row>
    <row r="83" spans="1:9" ht="15.95" customHeight="1">
      <c r="A83" s="979"/>
      <c r="B83" s="813"/>
      <c r="C83" s="817" t="s">
        <v>1515</v>
      </c>
      <c r="D83" s="817" t="s">
        <v>1516</v>
      </c>
      <c r="E83" s="823" t="s">
        <v>557</v>
      </c>
      <c r="F83" s="824">
        <v>1</v>
      </c>
      <c r="G83" s="825">
        <v>10000</v>
      </c>
      <c r="H83" s="829">
        <f t="shared" si="3"/>
        <v>10000</v>
      </c>
      <c r="I83" s="828" t="s">
        <v>842</v>
      </c>
    </row>
    <row r="84" spans="1:9" ht="15.95" customHeight="1">
      <c r="A84" s="979"/>
      <c r="B84" s="813"/>
      <c r="C84" s="817"/>
      <c r="D84" s="817"/>
      <c r="E84" s="823"/>
      <c r="F84" s="824"/>
      <c r="G84" s="830"/>
      <c r="H84" s="829">
        <f t="shared" si="3"/>
        <v>0</v>
      </c>
      <c r="I84" s="828" t="s">
        <v>842</v>
      </c>
    </row>
    <row r="85" spans="1:9" ht="15.95" customHeight="1">
      <c r="A85" s="979"/>
      <c r="B85" s="813" t="s">
        <v>608</v>
      </c>
      <c r="C85" s="817" t="s">
        <v>1325</v>
      </c>
      <c r="D85" s="817" t="s">
        <v>1517</v>
      </c>
      <c r="E85" s="823" t="s">
        <v>557</v>
      </c>
      <c r="F85" s="824">
        <v>2</v>
      </c>
      <c r="G85" s="825">
        <v>140000</v>
      </c>
      <c r="H85" s="829">
        <f t="shared" si="3"/>
        <v>280000</v>
      </c>
      <c r="I85" s="828" t="s">
        <v>842</v>
      </c>
    </row>
    <row r="86" spans="1:9" ht="15.95" customHeight="1">
      <c r="A86" s="979"/>
      <c r="B86" s="120"/>
      <c r="C86" s="817" t="s">
        <v>1518</v>
      </c>
      <c r="D86" s="817" t="s">
        <v>1519</v>
      </c>
      <c r="E86" s="823" t="s">
        <v>557</v>
      </c>
      <c r="F86" s="824">
        <v>2</v>
      </c>
      <c r="G86" s="825">
        <v>95000</v>
      </c>
      <c r="H86" s="829">
        <f t="shared" si="3"/>
        <v>190000</v>
      </c>
      <c r="I86" s="828" t="s">
        <v>842</v>
      </c>
    </row>
    <row r="87" spans="1:9" ht="15.95" customHeight="1">
      <c r="A87" s="979"/>
      <c r="B87" s="120"/>
      <c r="C87" s="753" t="s">
        <v>570</v>
      </c>
      <c r="D87" s="753" t="s">
        <v>1520</v>
      </c>
      <c r="E87" s="800" t="s">
        <v>557</v>
      </c>
      <c r="F87" s="801">
        <v>2</v>
      </c>
      <c r="G87" s="802">
        <v>4000</v>
      </c>
      <c r="H87" s="829">
        <f t="shared" si="3"/>
        <v>8000</v>
      </c>
      <c r="I87" s="828" t="s">
        <v>842</v>
      </c>
    </row>
    <row r="88" spans="1:9" ht="15.95" customHeight="1">
      <c r="A88" s="979"/>
      <c r="B88" s="120"/>
      <c r="C88" s="753" t="s">
        <v>1128</v>
      </c>
      <c r="D88" s="753" t="s">
        <v>1521</v>
      </c>
      <c r="E88" s="800" t="s">
        <v>557</v>
      </c>
      <c r="F88" s="801">
        <v>1</v>
      </c>
      <c r="G88" s="802">
        <v>100000</v>
      </c>
      <c r="H88" s="829">
        <f t="shared" si="3"/>
        <v>100000</v>
      </c>
      <c r="I88" s="828" t="s">
        <v>842</v>
      </c>
    </row>
    <row r="89" spans="1:9" ht="15.95" customHeight="1">
      <c r="A89" s="979"/>
      <c r="B89" s="120"/>
      <c r="C89" s="644"/>
      <c r="D89" s="644"/>
      <c r="E89" s="645"/>
      <c r="F89" s="646"/>
      <c r="G89" s="647"/>
      <c r="I89" s="232"/>
    </row>
    <row r="90" spans="1:9" ht="15.95" customHeight="1">
      <c r="A90" s="979"/>
      <c r="B90" s="120"/>
      <c r="C90" s="644"/>
      <c r="D90" s="644"/>
      <c r="E90" s="645"/>
      <c r="F90" s="646"/>
      <c r="G90" s="647"/>
      <c r="I90" s="232"/>
    </row>
    <row r="91" spans="1:9" ht="15.95" customHeight="1">
      <c r="A91" s="979"/>
      <c r="B91" s="120"/>
      <c r="C91" s="644"/>
      <c r="D91" s="644"/>
      <c r="E91" s="645"/>
      <c r="F91" s="646"/>
      <c r="G91" s="647"/>
      <c r="I91" s="232"/>
    </row>
    <row r="92" spans="1:9" ht="15.95" customHeight="1">
      <c r="A92" s="979"/>
      <c r="B92" s="120"/>
      <c r="C92" s="644"/>
      <c r="D92" s="644"/>
      <c r="E92" s="645"/>
      <c r="F92" s="646"/>
      <c r="G92" s="647"/>
      <c r="I92" s="232"/>
    </row>
    <row r="93" spans="1:9" ht="15.95" customHeight="1">
      <c r="A93" s="979"/>
      <c r="B93" s="120"/>
      <c r="C93" s="644"/>
      <c r="D93" s="644"/>
      <c r="E93" s="645"/>
      <c r="F93" s="646"/>
      <c r="G93" s="647"/>
      <c r="I93" s="232"/>
    </row>
    <row r="94" spans="1:9" ht="15.95" customHeight="1">
      <c r="A94" s="979"/>
      <c r="B94" s="120"/>
      <c r="C94" s="644"/>
      <c r="D94" s="644"/>
      <c r="E94" s="645"/>
      <c r="F94" s="646"/>
      <c r="G94" s="647"/>
      <c r="I94" s="232"/>
    </row>
    <row r="95" spans="1:9" ht="15.95" customHeight="1">
      <c r="A95" s="979"/>
      <c r="B95" s="120"/>
      <c r="C95" s="644"/>
      <c r="D95" s="644"/>
      <c r="E95" s="645"/>
      <c r="F95" s="646"/>
      <c r="G95" s="647"/>
      <c r="I95" s="232"/>
    </row>
    <row r="96" spans="1:9" ht="15.95" customHeight="1">
      <c r="A96" s="979"/>
      <c r="B96" s="120"/>
      <c r="C96" s="644"/>
      <c r="D96" s="644"/>
      <c r="E96" s="645"/>
      <c r="F96" s="646"/>
      <c r="G96" s="647"/>
      <c r="I96" s="232"/>
    </row>
    <row r="97" spans="1:11" ht="15.95" customHeight="1">
      <c r="A97" s="979"/>
      <c r="B97" s="120"/>
      <c r="C97" s="644"/>
      <c r="D97" s="644"/>
      <c r="E97" s="645"/>
      <c r="F97" s="646"/>
      <c r="G97" s="647"/>
      <c r="I97" s="232"/>
    </row>
    <row r="98" spans="1:11" ht="15.95" customHeight="1">
      <c r="A98" s="979"/>
      <c r="B98" s="120"/>
      <c r="C98" s="591"/>
      <c r="D98" s="591"/>
      <c r="E98" s="594"/>
      <c r="F98" s="593"/>
      <c r="G98" s="593"/>
      <c r="H98" s="123"/>
      <c r="I98" s="233"/>
    </row>
    <row r="99" spans="1:11" ht="15.95" customHeight="1">
      <c r="A99" s="979"/>
      <c r="B99" s="120"/>
      <c r="C99" s="624"/>
      <c r="D99" s="625"/>
      <c r="E99" s="626"/>
      <c r="F99" s="628"/>
      <c r="G99" s="628"/>
      <c r="H99" s="123">
        <f>IF(F99=0,G99,G99*F99)</f>
        <v>0</v>
      </c>
      <c r="I99" s="233"/>
    </row>
    <row r="100" spans="1:11" ht="15.95" customHeight="1">
      <c r="A100" s="979"/>
      <c r="B100" s="120"/>
      <c r="C100" s="624"/>
      <c r="D100" s="625"/>
      <c r="E100" s="626"/>
      <c r="F100" s="628"/>
      <c r="G100" s="628"/>
      <c r="H100" s="123">
        <f>IF(F100=0,G100,G100*F100)</f>
        <v>0</v>
      </c>
      <c r="I100" s="233"/>
    </row>
    <row r="101" spans="1:11" ht="15.95" customHeight="1">
      <c r="A101" s="979"/>
      <c r="B101" s="120"/>
      <c r="C101" s="624"/>
      <c r="D101" s="625"/>
      <c r="E101" s="626"/>
      <c r="F101" s="628"/>
      <c r="G101" s="628"/>
      <c r="H101" s="123">
        <f>IF(F101=0,G101,G101*F101)</f>
        <v>0</v>
      </c>
      <c r="I101" s="233"/>
    </row>
    <row r="102" spans="1:11" ht="15.95" customHeight="1">
      <c r="A102" s="979"/>
      <c r="B102" s="120"/>
      <c r="C102" s="624"/>
      <c r="D102" s="625"/>
      <c r="E102" s="626"/>
      <c r="F102" s="628"/>
      <c r="G102" s="628"/>
      <c r="H102" s="123">
        <f>IF(F102=0,G102,G102*F102)</f>
        <v>0</v>
      </c>
      <c r="I102" s="233"/>
    </row>
    <row r="103" spans="1:11" ht="15.95" customHeight="1">
      <c r="A103" s="979"/>
      <c r="B103" s="120"/>
      <c r="C103" s="635"/>
      <c r="D103" s="636"/>
      <c r="E103" s="637"/>
      <c r="F103" s="638"/>
      <c r="G103" s="638"/>
      <c r="H103" s="124">
        <f>IF(F103=0,G103,G103*F103)</f>
        <v>0</v>
      </c>
      <c r="I103" s="234"/>
    </row>
    <row r="104" spans="1:11" ht="15.95" customHeight="1">
      <c r="A104" s="979"/>
      <c r="B104" s="125"/>
      <c r="C104" s="226"/>
      <c r="D104" s="260"/>
      <c r="E104" s="117"/>
      <c r="F104" s="216"/>
      <c r="G104" s="216"/>
      <c r="H104" s="128">
        <f>SUM(H53:H103)</f>
        <v>2470800</v>
      </c>
      <c r="I104" s="235"/>
    </row>
    <row r="105" spans="1:11" ht="15.95" customHeight="1">
      <c r="A105" s="129"/>
      <c r="B105" s="130" t="s">
        <v>64</v>
      </c>
      <c r="C105" s="131"/>
      <c r="D105" s="263"/>
      <c r="E105" s="118"/>
      <c r="F105" s="217"/>
      <c r="G105" s="217"/>
      <c r="H105" s="128">
        <f>SUM(H104,H52,H28)</f>
        <v>2748174</v>
      </c>
      <c r="I105" s="235"/>
    </row>
    <row r="106" spans="1:11" ht="15.95" customHeight="1">
      <c r="A106" s="978" t="s">
        <v>13</v>
      </c>
      <c r="B106" s="133" t="s">
        <v>65</v>
      </c>
      <c r="C106" s="134"/>
      <c r="D106" s="264"/>
      <c r="E106" s="218" t="s">
        <v>12</v>
      </c>
      <c r="F106" s="597"/>
      <c r="G106" s="415"/>
      <c r="H106" s="121">
        <f>F106*G106</f>
        <v>0</v>
      </c>
      <c r="I106" s="231"/>
      <c r="K106" s="303"/>
    </row>
    <row r="107" spans="1:11" ht="15.95" customHeight="1">
      <c r="A107" s="979"/>
      <c r="B107" s="837" t="s">
        <v>1573</v>
      </c>
      <c r="C107" s="222"/>
      <c r="D107" s="265"/>
      <c r="E107" s="223" t="s">
        <v>11</v>
      </c>
      <c r="F107" s="598">
        <v>1</v>
      </c>
      <c r="G107" s="400">
        <v>350000</v>
      </c>
      <c r="H107" s="122">
        <f t="shared" ref="H107:H113" si="4">F107*G107</f>
        <v>350000</v>
      </c>
      <c r="I107" s="232"/>
      <c r="K107" s="303"/>
    </row>
    <row r="108" spans="1:11" ht="15.95" customHeight="1">
      <c r="A108" s="979"/>
      <c r="B108" s="135" t="s">
        <v>17</v>
      </c>
      <c r="C108" s="136"/>
      <c r="D108" s="266"/>
      <c r="E108" s="219" t="s">
        <v>11</v>
      </c>
      <c r="F108" s="595">
        <v>2</v>
      </c>
      <c r="G108" s="319">
        <v>350000</v>
      </c>
      <c r="H108" s="123">
        <f t="shared" si="4"/>
        <v>700000</v>
      </c>
      <c r="I108" s="233"/>
      <c r="K108" s="303"/>
    </row>
    <row r="109" spans="1:11" ht="15.95" customHeight="1">
      <c r="A109" s="979"/>
      <c r="B109" s="135" t="s">
        <v>18</v>
      </c>
      <c r="C109" s="136"/>
      <c r="D109" s="266"/>
      <c r="E109" s="219" t="s">
        <v>11</v>
      </c>
      <c r="F109" s="595">
        <v>1</v>
      </c>
      <c r="G109" s="319">
        <v>350000</v>
      </c>
      <c r="H109" s="123">
        <f t="shared" si="4"/>
        <v>350000</v>
      </c>
      <c r="I109" s="233"/>
      <c r="K109" s="303"/>
    </row>
    <row r="110" spans="1:11" ht="15.95" customHeight="1">
      <c r="A110" s="979"/>
      <c r="B110" s="135" t="s">
        <v>19</v>
      </c>
      <c r="C110" s="136"/>
      <c r="D110" s="266"/>
      <c r="E110" s="219" t="s">
        <v>11</v>
      </c>
      <c r="F110" s="595">
        <v>1</v>
      </c>
      <c r="G110" s="319">
        <v>350000</v>
      </c>
      <c r="H110" s="123">
        <f t="shared" si="4"/>
        <v>350000</v>
      </c>
      <c r="I110" s="233"/>
      <c r="K110" s="303"/>
    </row>
    <row r="111" spans="1:11" ht="15.95" customHeight="1">
      <c r="A111" s="979"/>
      <c r="B111" s="135" t="s">
        <v>20</v>
      </c>
      <c r="C111" s="136"/>
      <c r="D111" s="266"/>
      <c r="E111" s="219" t="s">
        <v>11</v>
      </c>
      <c r="F111" s="595"/>
      <c r="G111" s="319">
        <v>350000</v>
      </c>
      <c r="H111" s="123">
        <f t="shared" si="4"/>
        <v>0</v>
      </c>
      <c r="I111" s="233"/>
      <c r="K111" s="303"/>
    </row>
    <row r="112" spans="1:11" ht="15.95" customHeight="1">
      <c r="A112" s="979"/>
      <c r="B112" s="135" t="s">
        <v>21</v>
      </c>
      <c r="C112" s="136"/>
      <c r="D112" s="266"/>
      <c r="E112" s="219" t="s">
        <v>11</v>
      </c>
      <c r="F112" s="595"/>
      <c r="G112" s="319">
        <v>350000</v>
      </c>
      <c r="H112" s="123">
        <f t="shared" si="4"/>
        <v>0</v>
      </c>
      <c r="I112" s="233"/>
      <c r="K112" s="303"/>
    </row>
    <row r="113" spans="1:11" ht="15.95" customHeight="1">
      <c r="A113" s="979"/>
      <c r="B113" s="137" t="s">
        <v>22</v>
      </c>
      <c r="C113" s="138"/>
      <c r="D113" s="267"/>
      <c r="E113" s="220" t="s">
        <v>11</v>
      </c>
      <c r="F113" s="599"/>
      <c r="G113" s="336">
        <v>350000</v>
      </c>
      <c r="H113" s="124">
        <f t="shared" si="4"/>
        <v>0</v>
      </c>
      <c r="I113" s="234"/>
      <c r="K113" s="303"/>
    </row>
    <row r="114" spans="1:11" ht="15.95" customHeight="1">
      <c r="A114" s="129"/>
      <c r="B114" s="139" t="s">
        <v>66</v>
      </c>
      <c r="C114" s="131"/>
      <c r="D114" s="263"/>
      <c r="E114" s="118"/>
      <c r="F114" s="297"/>
      <c r="G114" s="216"/>
      <c r="H114" s="126">
        <f>SUM(H106:H113)</f>
        <v>1750000</v>
      </c>
      <c r="I114" s="224"/>
    </row>
    <row r="115" spans="1:11" ht="15.95" customHeight="1">
      <c r="A115" s="116"/>
      <c r="B115" s="139" t="s">
        <v>67</v>
      </c>
      <c r="C115" s="131"/>
      <c r="D115" s="263"/>
      <c r="E115" s="118"/>
      <c r="F115" s="215"/>
      <c r="G115" s="215"/>
      <c r="H115" s="132">
        <f>'단위장비별(집계)2'!L14+'단위장비별(집계)2'!I14</f>
        <v>231306.54447068344</v>
      </c>
      <c r="I115" s="235"/>
    </row>
    <row r="116" spans="1:11" ht="15.95" customHeight="1">
      <c r="A116" s="116"/>
      <c r="B116" s="139" t="s">
        <v>2</v>
      </c>
      <c r="C116" s="131"/>
      <c r="D116" s="263"/>
      <c r="E116" s="118"/>
      <c r="F116" s="215"/>
      <c r="G116" s="221"/>
      <c r="H116" s="648">
        <f>(H105+H114)*0.05</f>
        <v>224908.7</v>
      </c>
      <c r="I116" s="236"/>
    </row>
    <row r="117" spans="1:11" ht="15.95" customHeight="1">
      <c r="A117" s="116"/>
      <c r="B117" s="139" t="s">
        <v>68</v>
      </c>
      <c r="C117" s="131"/>
      <c r="D117" s="263"/>
      <c r="E117" s="118"/>
      <c r="F117" s="215"/>
      <c r="G117" s="221"/>
      <c r="H117" s="648">
        <f>(H105+H114)*0.1</f>
        <v>449817.4</v>
      </c>
      <c r="I117" s="236"/>
    </row>
    <row r="118" spans="1:11" ht="15.95" customHeight="1">
      <c r="A118" s="116"/>
      <c r="B118" s="139" t="s">
        <v>69</v>
      </c>
      <c r="C118" s="131"/>
      <c r="D118" s="263"/>
      <c r="E118" s="118"/>
      <c r="F118" s="215"/>
      <c r="G118" s="215"/>
      <c r="H118" s="126">
        <f>H105+H114+H115+H116+H117</f>
        <v>5404206.6444706842</v>
      </c>
      <c r="I118" s="235"/>
    </row>
    <row r="119" spans="1:11">
      <c r="A119" s="119"/>
    </row>
  </sheetData>
  <mergeCells count="3">
    <mergeCell ref="A2:B2"/>
    <mergeCell ref="A106:A113"/>
    <mergeCell ref="A3:A104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41" orientation="portrait" horizontalDpi="4294967292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01B43-5334-4CD8-A1F1-9A8F365EF58C}">
  <sheetPr codeName="Sheet13">
    <pageSetUpPr fitToPage="1"/>
  </sheetPr>
  <dimension ref="A1:M82"/>
  <sheetViews>
    <sheetView view="pageBreakPreview" zoomScale="80" zoomScaleNormal="85" workbookViewId="0">
      <pane xSplit="2" ySplit="2" topLeftCell="C15" activePane="bottomRight" state="frozen"/>
      <selection activeCell="F67" sqref="F67"/>
      <selection pane="topRight" activeCell="F67" sqref="F67"/>
      <selection pane="bottomLeft" activeCell="F67" sqref="F67"/>
      <selection pane="bottomRight" activeCell="M31" sqref="M31"/>
    </sheetView>
  </sheetViews>
  <sheetFormatPr defaultRowHeight="13.5"/>
  <cols>
    <col min="1" max="1" width="5" style="53" customWidth="1"/>
    <col min="2" max="2" width="19" style="53" customWidth="1"/>
    <col min="3" max="3" width="23.625" style="53" customWidth="1"/>
    <col min="4" max="4" width="18.25" style="268" customWidth="1"/>
    <col min="5" max="5" width="5.25" style="119" bestFit="1" customWidth="1"/>
    <col min="6" max="6" width="8.25" style="115" customWidth="1"/>
    <col min="7" max="8" width="15.625" style="115" customWidth="1"/>
    <col min="9" max="9" width="12.75" style="230" customWidth="1"/>
    <col min="10" max="10" width="9" style="227"/>
    <col min="11" max="11" width="10" style="227" bestFit="1" customWidth="1"/>
    <col min="12" max="13" width="9" style="227"/>
    <col min="14" max="16384" width="9" style="53"/>
  </cols>
  <sheetData>
    <row r="1" spans="1:13" ht="22.5" customHeight="1">
      <c r="A1" s="45" t="s">
        <v>120</v>
      </c>
      <c r="B1" s="45"/>
      <c r="C1" s="419" t="s">
        <v>1522</v>
      </c>
      <c r="D1" s="262"/>
      <c r="E1" s="238"/>
      <c r="F1" s="22"/>
      <c r="G1" s="114"/>
      <c r="I1" s="230" t="s">
        <v>53</v>
      </c>
      <c r="J1" s="229"/>
      <c r="K1" s="229"/>
      <c r="L1" s="229"/>
      <c r="M1" s="229"/>
    </row>
    <row r="2" spans="1:13" s="119" customFormat="1" ht="16.5" customHeight="1">
      <c r="A2" s="964" t="s">
        <v>57</v>
      </c>
      <c r="B2" s="965"/>
      <c r="C2" s="359" t="s">
        <v>7</v>
      </c>
      <c r="D2" s="383" t="s">
        <v>58</v>
      </c>
      <c r="E2" s="383" t="s">
        <v>59</v>
      </c>
      <c r="F2" s="384" t="s">
        <v>4</v>
      </c>
      <c r="G2" s="384" t="s">
        <v>60</v>
      </c>
      <c r="H2" s="384" t="s">
        <v>61</v>
      </c>
      <c r="I2" s="385" t="s">
        <v>9</v>
      </c>
      <c r="J2" s="228"/>
      <c r="K2" s="228"/>
      <c r="L2" s="228"/>
      <c r="M2" s="228"/>
    </row>
    <row r="3" spans="1:13" ht="15.95" customHeight="1">
      <c r="A3" s="962" t="s">
        <v>62</v>
      </c>
      <c r="B3" s="341" t="s">
        <v>63</v>
      </c>
      <c r="C3" s="420" t="s">
        <v>236</v>
      </c>
      <c r="D3" s="420"/>
      <c r="E3" s="311" t="s">
        <v>237</v>
      </c>
      <c r="F3" s="415">
        <v>50</v>
      </c>
      <c r="G3" s="415">
        <v>1200</v>
      </c>
      <c r="H3" s="358">
        <f t="shared" ref="H3:H19" si="0">IF(F3=0,G3,G3*F3)</f>
        <v>60000</v>
      </c>
      <c r="I3" s="386"/>
    </row>
    <row r="4" spans="1:13" ht="15.95" customHeight="1">
      <c r="A4" s="966"/>
      <c r="B4" s="341"/>
      <c r="C4" s="468"/>
      <c r="D4" s="469"/>
      <c r="E4" s="470"/>
      <c r="F4" s="471"/>
      <c r="G4" s="649"/>
      <c r="H4" s="364">
        <f t="shared" si="0"/>
        <v>0</v>
      </c>
      <c r="I4" s="387"/>
    </row>
    <row r="5" spans="1:13" ht="15.95" customHeight="1">
      <c r="A5" s="966"/>
      <c r="B5" s="341"/>
      <c r="C5" s="331"/>
      <c r="D5" s="425"/>
      <c r="E5" s="315"/>
      <c r="F5" s="424"/>
      <c r="G5" s="406"/>
      <c r="H5" s="369">
        <f t="shared" si="0"/>
        <v>0</v>
      </c>
      <c r="I5" s="387"/>
    </row>
    <row r="6" spans="1:13" ht="15.95" customHeight="1">
      <c r="A6" s="966"/>
      <c r="B6" s="341"/>
      <c r="C6" s="472"/>
      <c r="D6" s="305"/>
      <c r="E6" s="315"/>
      <c r="F6" s="424"/>
      <c r="G6" s="406"/>
      <c r="H6" s="369">
        <f t="shared" si="0"/>
        <v>0</v>
      </c>
      <c r="I6" s="387"/>
    </row>
    <row r="7" spans="1:13" ht="15.95" customHeight="1">
      <c r="A7" s="966"/>
      <c r="B7" s="341"/>
      <c r="C7" s="331"/>
      <c r="D7" s="305"/>
      <c r="E7" s="315"/>
      <c r="F7" s="424"/>
      <c r="G7" s="406"/>
      <c r="H7" s="369">
        <f t="shared" si="0"/>
        <v>0</v>
      </c>
      <c r="I7" s="387"/>
    </row>
    <row r="8" spans="1:13" ht="15.95" customHeight="1">
      <c r="A8" s="966"/>
      <c r="B8" s="341"/>
      <c r="C8" s="331"/>
      <c r="D8" s="305"/>
      <c r="E8" s="315"/>
      <c r="F8" s="424"/>
      <c r="G8" s="406"/>
      <c r="H8" s="369">
        <f t="shared" si="0"/>
        <v>0</v>
      </c>
      <c r="I8" s="387"/>
    </row>
    <row r="9" spans="1:13" ht="15.95" customHeight="1">
      <c r="A9" s="966"/>
      <c r="B9" s="341"/>
      <c r="C9" s="331"/>
      <c r="D9" s="305"/>
      <c r="E9" s="315"/>
      <c r="F9" s="424"/>
      <c r="G9" s="406"/>
      <c r="H9" s="369">
        <f t="shared" si="0"/>
        <v>0</v>
      </c>
      <c r="I9" s="387"/>
    </row>
    <row r="10" spans="1:13" ht="15.95" customHeight="1">
      <c r="A10" s="966"/>
      <c r="B10" s="341"/>
      <c r="C10" s="331"/>
      <c r="D10" s="425"/>
      <c r="E10" s="315"/>
      <c r="F10" s="424"/>
      <c r="G10" s="406"/>
      <c r="H10" s="369">
        <f t="shared" si="0"/>
        <v>0</v>
      </c>
      <c r="I10" s="387"/>
    </row>
    <row r="11" spans="1:13" ht="15.95" customHeight="1">
      <c r="A11" s="966"/>
      <c r="B11" s="341"/>
      <c r="C11" s="305"/>
      <c r="D11" s="305"/>
      <c r="E11" s="315"/>
      <c r="F11" s="424"/>
      <c r="G11" s="406"/>
      <c r="H11" s="369">
        <f t="shared" si="0"/>
        <v>0</v>
      </c>
      <c r="I11" s="387"/>
    </row>
    <row r="12" spans="1:13" ht="15.95" customHeight="1">
      <c r="A12" s="966"/>
      <c r="B12" s="341"/>
      <c r="C12" s="331"/>
      <c r="D12" s="305"/>
      <c r="E12" s="315"/>
      <c r="F12" s="406"/>
      <c r="G12" s="406"/>
      <c r="H12" s="369">
        <f t="shared" si="0"/>
        <v>0</v>
      </c>
      <c r="I12" s="387"/>
    </row>
    <row r="13" spans="1:13" ht="15.95" customHeight="1">
      <c r="A13" s="966"/>
      <c r="B13" s="341"/>
      <c r="C13" s="331"/>
      <c r="D13" s="305"/>
      <c r="E13" s="315"/>
      <c r="F13" s="406"/>
      <c r="G13" s="406"/>
      <c r="H13" s="369">
        <f t="shared" si="0"/>
        <v>0</v>
      </c>
      <c r="I13" s="387"/>
    </row>
    <row r="14" spans="1:13" ht="15.95" customHeight="1">
      <c r="A14" s="966"/>
      <c r="B14" s="341"/>
      <c r="C14" s="331"/>
      <c r="D14" s="305"/>
      <c r="E14" s="315"/>
      <c r="F14" s="406"/>
      <c r="G14" s="406"/>
      <c r="H14" s="369">
        <f t="shared" si="0"/>
        <v>0</v>
      </c>
      <c r="I14" s="387"/>
    </row>
    <row r="15" spans="1:13" ht="15.95" customHeight="1">
      <c r="A15" s="966"/>
      <c r="B15" s="341"/>
      <c r="C15" s="331"/>
      <c r="D15" s="305"/>
      <c r="E15" s="315"/>
      <c r="F15" s="406"/>
      <c r="G15" s="406"/>
      <c r="H15" s="369">
        <f t="shared" si="0"/>
        <v>0</v>
      </c>
      <c r="I15" s="387"/>
    </row>
    <row r="16" spans="1:13" ht="15.95" customHeight="1">
      <c r="A16" s="966"/>
      <c r="B16" s="341"/>
      <c r="C16" s="331"/>
      <c r="D16" s="305"/>
      <c r="E16" s="315"/>
      <c r="F16" s="406"/>
      <c r="G16" s="406"/>
      <c r="H16" s="369">
        <f t="shared" si="0"/>
        <v>0</v>
      </c>
      <c r="I16" s="387"/>
    </row>
    <row r="17" spans="1:9" ht="15.95" customHeight="1">
      <c r="A17" s="966"/>
      <c r="B17" s="341"/>
      <c r="C17" s="331"/>
      <c r="D17" s="305"/>
      <c r="E17" s="315"/>
      <c r="F17" s="406"/>
      <c r="G17" s="406"/>
      <c r="H17" s="369">
        <f t="shared" si="0"/>
        <v>0</v>
      </c>
      <c r="I17" s="387"/>
    </row>
    <row r="18" spans="1:9" ht="15.95" customHeight="1">
      <c r="A18" s="966"/>
      <c r="B18" s="341"/>
      <c r="C18" s="331"/>
      <c r="D18" s="305"/>
      <c r="E18" s="315"/>
      <c r="F18" s="406"/>
      <c r="G18" s="406"/>
      <c r="H18" s="369">
        <f t="shared" si="0"/>
        <v>0</v>
      </c>
      <c r="I18" s="387"/>
    </row>
    <row r="19" spans="1:9" ht="15.95" customHeight="1">
      <c r="A19" s="966"/>
      <c r="B19" s="341"/>
      <c r="C19" s="402" t="s">
        <v>238</v>
      </c>
      <c r="D19" s="402"/>
      <c r="E19" s="402" t="s">
        <v>237</v>
      </c>
      <c r="F19" s="336">
        <v>10</v>
      </c>
      <c r="G19" s="336">
        <v>6000</v>
      </c>
      <c r="H19" s="369">
        <f t="shared" si="0"/>
        <v>60000</v>
      </c>
      <c r="I19" s="388"/>
    </row>
    <row r="20" spans="1:9" ht="15.95" customHeight="1">
      <c r="A20" s="966"/>
      <c r="B20" s="342"/>
      <c r="C20" s="389"/>
      <c r="D20" s="390"/>
      <c r="E20" s="391"/>
      <c r="F20" s="345">
        <f>SUM(F3:F19)</f>
        <v>60</v>
      </c>
      <c r="G20" s="346"/>
      <c r="H20" s="347">
        <f>SUM(H3:H19)</f>
        <v>120000</v>
      </c>
      <c r="I20" s="392"/>
    </row>
    <row r="21" spans="1:9" ht="15.95" customHeight="1">
      <c r="A21" s="966"/>
      <c r="B21" s="349" t="s">
        <v>5</v>
      </c>
      <c r="C21" s="324"/>
      <c r="D21" s="325"/>
      <c r="E21" s="311"/>
      <c r="F21" s="493"/>
      <c r="G21" s="327"/>
      <c r="H21" s="337">
        <f t="shared" ref="H21:H50" si="1">IF(F21=0,G21,G21*F21)</f>
        <v>0</v>
      </c>
      <c r="I21" s="650"/>
    </row>
    <row r="22" spans="1:9" ht="15.95" customHeight="1">
      <c r="A22" s="966"/>
      <c r="B22" s="341" t="s">
        <v>8</v>
      </c>
      <c r="C22" s="433"/>
      <c r="D22" s="329"/>
      <c r="E22" s="426"/>
      <c r="F22" s="444"/>
      <c r="G22" s="330"/>
      <c r="H22" s="320">
        <f t="shared" si="1"/>
        <v>0</v>
      </c>
      <c r="I22" s="317"/>
    </row>
    <row r="23" spans="1:9" ht="15.95" customHeight="1">
      <c r="A23" s="966"/>
      <c r="B23" s="773" t="s">
        <v>554</v>
      </c>
      <c r="C23" s="753" t="s">
        <v>1523</v>
      </c>
      <c r="D23" s="753" t="s">
        <v>1524</v>
      </c>
      <c r="E23" s="800" t="s">
        <v>557</v>
      </c>
      <c r="F23" s="801">
        <v>1</v>
      </c>
      <c r="G23" s="802">
        <v>167400</v>
      </c>
      <c r="H23" s="320">
        <f t="shared" si="1"/>
        <v>167400</v>
      </c>
      <c r="I23" s="798" t="s">
        <v>666</v>
      </c>
    </row>
    <row r="24" spans="1:9" ht="15.95" customHeight="1">
      <c r="A24" s="966"/>
      <c r="B24" s="341"/>
      <c r="C24" s="753" t="s">
        <v>1525</v>
      </c>
      <c r="D24" s="753" t="s">
        <v>1526</v>
      </c>
      <c r="E24" s="800" t="s">
        <v>557</v>
      </c>
      <c r="F24" s="801">
        <v>2</v>
      </c>
      <c r="G24" s="802">
        <v>35400</v>
      </c>
      <c r="H24" s="320">
        <f t="shared" si="1"/>
        <v>70800</v>
      </c>
      <c r="I24" s="798" t="s">
        <v>666</v>
      </c>
    </row>
    <row r="25" spans="1:9" ht="15.95" customHeight="1">
      <c r="A25" s="966"/>
      <c r="B25" s="341"/>
      <c r="C25" s="753" t="s">
        <v>1527</v>
      </c>
      <c r="D25" s="753" t="s">
        <v>1528</v>
      </c>
      <c r="E25" s="800" t="s">
        <v>557</v>
      </c>
      <c r="F25" s="801">
        <v>2</v>
      </c>
      <c r="G25" s="802">
        <v>31000</v>
      </c>
      <c r="H25" s="320">
        <f t="shared" si="1"/>
        <v>62000</v>
      </c>
      <c r="I25" s="798" t="s">
        <v>666</v>
      </c>
    </row>
    <row r="26" spans="1:9" ht="15.95" customHeight="1">
      <c r="A26" s="966"/>
      <c r="B26" s="341"/>
      <c r="C26" s="753" t="s">
        <v>1529</v>
      </c>
      <c r="D26" s="753" t="s">
        <v>1530</v>
      </c>
      <c r="E26" s="800" t="s">
        <v>557</v>
      </c>
      <c r="F26" s="801">
        <v>1</v>
      </c>
      <c r="G26" s="802">
        <v>108000</v>
      </c>
      <c r="H26" s="320">
        <f t="shared" si="1"/>
        <v>108000</v>
      </c>
      <c r="I26" s="798" t="s">
        <v>666</v>
      </c>
    </row>
    <row r="27" spans="1:9" ht="15.95" customHeight="1">
      <c r="A27" s="966"/>
      <c r="B27" s="341"/>
      <c r="C27" s="753" t="s">
        <v>1529</v>
      </c>
      <c r="D27" s="753" t="s">
        <v>1531</v>
      </c>
      <c r="E27" s="800" t="s">
        <v>557</v>
      </c>
      <c r="F27" s="801">
        <v>4</v>
      </c>
      <c r="G27" s="802">
        <v>108900</v>
      </c>
      <c r="H27" s="320">
        <f t="shared" si="1"/>
        <v>435600</v>
      </c>
      <c r="I27" s="798" t="s">
        <v>666</v>
      </c>
    </row>
    <row r="28" spans="1:9" ht="15.95" customHeight="1">
      <c r="A28" s="966"/>
      <c r="B28" s="341"/>
      <c r="C28" s="753" t="s">
        <v>1532</v>
      </c>
      <c r="D28" s="753" t="s">
        <v>1533</v>
      </c>
      <c r="E28" s="800" t="s">
        <v>557</v>
      </c>
      <c r="F28" s="801">
        <v>1</v>
      </c>
      <c r="G28" s="802">
        <v>254000</v>
      </c>
      <c r="H28" s="320">
        <f t="shared" si="1"/>
        <v>254000</v>
      </c>
      <c r="I28" s="798" t="s">
        <v>666</v>
      </c>
    </row>
    <row r="29" spans="1:9" ht="15.95" customHeight="1">
      <c r="A29" s="966"/>
      <c r="B29" s="341"/>
      <c r="C29" s="753" t="s">
        <v>1525</v>
      </c>
      <c r="D29" s="753" t="s">
        <v>1534</v>
      </c>
      <c r="E29" s="800" t="s">
        <v>557</v>
      </c>
      <c r="F29" s="801">
        <v>2</v>
      </c>
      <c r="G29" s="802">
        <v>4400</v>
      </c>
      <c r="H29" s="320">
        <f t="shared" si="1"/>
        <v>8800</v>
      </c>
      <c r="I29" s="798" t="s">
        <v>666</v>
      </c>
    </row>
    <row r="30" spans="1:9" ht="15.95" customHeight="1">
      <c r="A30" s="966"/>
      <c r="B30" s="341"/>
      <c r="C30" s="753" t="s">
        <v>1525</v>
      </c>
      <c r="D30" s="753" t="s">
        <v>1535</v>
      </c>
      <c r="E30" s="800" t="s">
        <v>557</v>
      </c>
      <c r="F30" s="801">
        <v>1</v>
      </c>
      <c r="G30" s="802">
        <v>23700</v>
      </c>
      <c r="H30" s="320">
        <f t="shared" si="1"/>
        <v>23700</v>
      </c>
      <c r="I30" s="798" t="s">
        <v>666</v>
      </c>
    </row>
    <row r="31" spans="1:9" ht="15.95" customHeight="1">
      <c r="A31" s="966"/>
      <c r="B31" s="341"/>
      <c r="C31" s="753" t="s">
        <v>1536</v>
      </c>
      <c r="D31" s="753" t="s">
        <v>1537</v>
      </c>
      <c r="E31" s="800" t="s">
        <v>557</v>
      </c>
      <c r="F31" s="801">
        <v>2</v>
      </c>
      <c r="G31" s="802">
        <v>7890</v>
      </c>
      <c r="H31" s="320">
        <f t="shared" si="1"/>
        <v>15780</v>
      </c>
      <c r="I31" s="798" t="s">
        <v>666</v>
      </c>
    </row>
    <row r="32" spans="1:9" ht="15.95" customHeight="1">
      <c r="A32" s="966"/>
      <c r="B32" s="341"/>
      <c r="C32" s="753" t="s">
        <v>1529</v>
      </c>
      <c r="D32" s="753" t="s">
        <v>1538</v>
      </c>
      <c r="E32" s="800" t="s">
        <v>557</v>
      </c>
      <c r="F32" s="801">
        <v>1</v>
      </c>
      <c r="G32" s="802">
        <v>69150</v>
      </c>
      <c r="H32" s="320">
        <f t="shared" si="1"/>
        <v>69150</v>
      </c>
      <c r="I32" s="798" t="s">
        <v>666</v>
      </c>
    </row>
    <row r="33" spans="1:9" ht="15.95" customHeight="1">
      <c r="A33" s="966"/>
      <c r="B33" s="341"/>
      <c r="C33" s="433"/>
      <c r="D33" s="329"/>
      <c r="E33" s="426"/>
      <c r="F33" s="444"/>
      <c r="G33" s="688"/>
      <c r="H33" s="320">
        <f t="shared" si="1"/>
        <v>0</v>
      </c>
      <c r="I33" s="317"/>
    </row>
    <row r="34" spans="1:9" ht="15.95" customHeight="1">
      <c r="A34" s="966"/>
      <c r="B34" s="796" t="s">
        <v>565</v>
      </c>
      <c r="C34" s="753" t="s">
        <v>1523</v>
      </c>
      <c r="D34" s="753" t="s">
        <v>1539</v>
      </c>
      <c r="E34" s="800" t="s">
        <v>557</v>
      </c>
      <c r="F34" s="801">
        <v>1</v>
      </c>
      <c r="G34" s="802">
        <v>167800</v>
      </c>
      <c r="H34" s="320">
        <f t="shared" si="1"/>
        <v>167800</v>
      </c>
      <c r="I34" s="798" t="s">
        <v>666</v>
      </c>
    </row>
    <row r="35" spans="1:9" ht="15.95" customHeight="1">
      <c r="A35" s="966"/>
      <c r="B35" s="341"/>
      <c r="C35" s="753" t="s">
        <v>1529</v>
      </c>
      <c r="D35" s="753" t="s">
        <v>1531</v>
      </c>
      <c r="E35" s="800" t="s">
        <v>557</v>
      </c>
      <c r="F35" s="801">
        <v>8</v>
      </c>
      <c r="G35" s="802">
        <v>89500</v>
      </c>
      <c r="H35" s="320">
        <f t="shared" si="1"/>
        <v>716000</v>
      </c>
      <c r="I35" s="798" t="s">
        <v>666</v>
      </c>
    </row>
    <row r="36" spans="1:9" ht="15.95" customHeight="1">
      <c r="A36" s="966"/>
      <c r="B36" s="341"/>
      <c r="C36" s="753" t="s">
        <v>1536</v>
      </c>
      <c r="D36" s="753" t="s">
        <v>1537</v>
      </c>
      <c r="E36" s="800" t="s">
        <v>557</v>
      </c>
      <c r="F36" s="801">
        <v>2</v>
      </c>
      <c r="G36" s="802">
        <v>4990</v>
      </c>
      <c r="H36" s="320">
        <f t="shared" si="1"/>
        <v>9980</v>
      </c>
      <c r="I36" s="798" t="s">
        <v>666</v>
      </c>
    </row>
    <row r="37" spans="1:9" ht="15.95" customHeight="1">
      <c r="A37" s="966"/>
      <c r="B37" s="341"/>
      <c r="C37" s="753" t="s">
        <v>1532</v>
      </c>
      <c r="D37" s="753" t="s">
        <v>1540</v>
      </c>
      <c r="E37" s="800" t="s">
        <v>557</v>
      </c>
      <c r="F37" s="801">
        <v>1</v>
      </c>
      <c r="G37" s="802">
        <v>288000</v>
      </c>
      <c r="H37" s="320">
        <f t="shared" si="1"/>
        <v>288000</v>
      </c>
      <c r="I37" s="798" t="s">
        <v>666</v>
      </c>
    </row>
    <row r="38" spans="1:9" ht="15.95" customHeight="1">
      <c r="A38" s="966"/>
      <c r="B38" s="341"/>
      <c r="C38" s="753" t="s">
        <v>1525</v>
      </c>
      <c r="D38" s="753" t="s">
        <v>1526</v>
      </c>
      <c r="E38" s="800" t="s">
        <v>557</v>
      </c>
      <c r="F38" s="801">
        <v>3</v>
      </c>
      <c r="G38" s="802">
        <v>22000</v>
      </c>
      <c r="H38" s="320">
        <f t="shared" si="1"/>
        <v>66000</v>
      </c>
      <c r="I38" s="798" t="s">
        <v>666</v>
      </c>
    </row>
    <row r="39" spans="1:9" ht="15.95" customHeight="1">
      <c r="A39" s="966"/>
      <c r="B39" s="341"/>
      <c r="C39" s="753" t="s">
        <v>1525</v>
      </c>
      <c r="D39" s="753" t="s">
        <v>1534</v>
      </c>
      <c r="E39" s="800" t="s">
        <v>557</v>
      </c>
      <c r="F39" s="801">
        <v>1</v>
      </c>
      <c r="G39" s="802">
        <v>4790</v>
      </c>
      <c r="H39" s="320">
        <f t="shared" si="1"/>
        <v>4790</v>
      </c>
      <c r="I39" s="798" t="s">
        <v>666</v>
      </c>
    </row>
    <row r="40" spans="1:9" ht="15.95" customHeight="1">
      <c r="A40" s="966"/>
      <c r="B40" s="341"/>
      <c r="C40" s="753" t="s">
        <v>1527</v>
      </c>
      <c r="D40" s="753" t="s">
        <v>1528</v>
      </c>
      <c r="E40" s="800" t="s">
        <v>557</v>
      </c>
      <c r="F40" s="801">
        <v>2</v>
      </c>
      <c r="G40" s="802">
        <v>55000</v>
      </c>
      <c r="H40" s="320">
        <f t="shared" si="1"/>
        <v>110000</v>
      </c>
      <c r="I40" s="798" t="s">
        <v>666</v>
      </c>
    </row>
    <row r="41" spans="1:9" ht="15.95" customHeight="1">
      <c r="A41" s="966"/>
      <c r="B41" s="341"/>
      <c r="C41" s="445"/>
      <c r="D41" s="329"/>
      <c r="E41" s="426" t="s">
        <v>220</v>
      </c>
      <c r="F41" s="444"/>
      <c r="G41" s="330"/>
      <c r="H41" s="320">
        <f t="shared" si="1"/>
        <v>0</v>
      </c>
      <c r="I41" s="317"/>
    </row>
    <row r="42" spans="1:9" ht="15.95" customHeight="1">
      <c r="A42" s="966"/>
      <c r="B42" s="341"/>
      <c r="C42" s="445"/>
      <c r="D42" s="329"/>
      <c r="E42" s="426" t="s">
        <v>220</v>
      </c>
      <c r="F42" s="444"/>
      <c r="G42" s="330"/>
      <c r="H42" s="320">
        <f t="shared" si="1"/>
        <v>0</v>
      </c>
      <c r="I42" s="548"/>
    </row>
    <row r="43" spans="1:9" ht="15.95" customHeight="1">
      <c r="A43" s="966"/>
      <c r="B43" s="341"/>
      <c r="C43" s="445"/>
      <c r="D43" s="329"/>
      <c r="E43" s="426" t="s">
        <v>220</v>
      </c>
      <c r="F43" s="444"/>
      <c r="G43" s="330"/>
      <c r="H43" s="320">
        <f t="shared" si="1"/>
        <v>0</v>
      </c>
      <c r="I43" s="317"/>
    </row>
    <row r="44" spans="1:9" ht="15.95" customHeight="1">
      <c r="A44" s="966"/>
      <c r="B44" s="341"/>
      <c r="C44" s="445"/>
      <c r="D44" s="329"/>
      <c r="E44" s="426" t="s">
        <v>220</v>
      </c>
      <c r="F44" s="444"/>
      <c r="G44" s="330"/>
      <c r="H44" s="320">
        <f t="shared" si="1"/>
        <v>0</v>
      </c>
      <c r="I44" s="317"/>
    </row>
    <row r="45" spans="1:9" ht="15.95" customHeight="1">
      <c r="A45" s="966"/>
      <c r="B45" s="341"/>
      <c r="C45" s="445"/>
      <c r="D45" s="329"/>
      <c r="E45" s="426" t="s">
        <v>220</v>
      </c>
      <c r="F45" s="444"/>
      <c r="G45" s="330"/>
      <c r="H45" s="320">
        <f t="shared" si="1"/>
        <v>0</v>
      </c>
      <c r="I45" s="548"/>
    </row>
    <row r="46" spans="1:9" ht="15.95" customHeight="1">
      <c r="A46" s="966"/>
      <c r="B46" s="341"/>
      <c r="C46" s="331"/>
      <c r="D46" s="305"/>
      <c r="E46" s="315"/>
      <c r="F46" s="406"/>
      <c r="G46" s="406"/>
      <c r="H46" s="320">
        <f t="shared" si="1"/>
        <v>0</v>
      </c>
      <c r="I46" s="387"/>
    </row>
    <row r="47" spans="1:9" ht="15.95" customHeight="1">
      <c r="A47" s="966"/>
      <c r="B47" s="341"/>
      <c r="C47" s="331"/>
      <c r="D47" s="305"/>
      <c r="E47" s="315"/>
      <c r="F47" s="406"/>
      <c r="G47" s="406"/>
      <c r="H47" s="320">
        <f t="shared" si="1"/>
        <v>0</v>
      </c>
      <c r="I47" s="387"/>
    </row>
    <row r="48" spans="1:9" ht="15.95" customHeight="1">
      <c r="A48" s="966"/>
      <c r="B48" s="341"/>
      <c r="C48" s="331"/>
      <c r="D48" s="305"/>
      <c r="E48" s="315"/>
      <c r="F48" s="406"/>
      <c r="G48" s="406"/>
      <c r="H48" s="320">
        <f t="shared" si="1"/>
        <v>0</v>
      </c>
      <c r="I48" s="387"/>
    </row>
    <row r="49" spans="1:9" ht="15.95" customHeight="1">
      <c r="A49" s="966"/>
      <c r="B49" s="341"/>
      <c r="C49" s="331"/>
      <c r="D49" s="305"/>
      <c r="E49" s="315"/>
      <c r="F49" s="406"/>
      <c r="G49" s="406"/>
      <c r="H49" s="320">
        <f t="shared" si="1"/>
        <v>0</v>
      </c>
      <c r="I49" s="387"/>
    </row>
    <row r="50" spans="1:9" ht="15.95" customHeight="1">
      <c r="A50" s="966"/>
      <c r="B50" s="341"/>
      <c r="C50" s="332" t="s">
        <v>56</v>
      </c>
      <c r="D50" s="333"/>
      <c r="E50" s="334" t="s">
        <v>239</v>
      </c>
      <c r="F50" s="335">
        <v>1</v>
      </c>
      <c r="G50" s="336">
        <v>100000</v>
      </c>
      <c r="H50" s="320">
        <f t="shared" si="1"/>
        <v>100000</v>
      </c>
      <c r="I50" s="388"/>
    </row>
    <row r="51" spans="1:9" ht="15.95" customHeight="1">
      <c r="A51" s="966"/>
      <c r="B51" s="342"/>
      <c r="C51" s="389"/>
      <c r="D51" s="390"/>
      <c r="E51" s="391"/>
      <c r="F51" s="378"/>
      <c r="G51" s="378"/>
      <c r="H51" s="347">
        <f>SUM(H21:H50)</f>
        <v>2677800</v>
      </c>
      <c r="I51" s="392"/>
    </row>
    <row r="52" spans="1:9" ht="15.95" customHeight="1">
      <c r="A52" s="966"/>
      <c r="B52" s="349" t="s">
        <v>6</v>
      </c>
      <c r="C52" s="476"/>
      <c r="D52" s="325"/>
      <c r="E52" s="651"/>
      <c r="F52" s="478"/>
      <c r="G52" s="327"/>
      <c r="H52" s="652">
        <f t="shared" ref="H52:H59" si="2">IF(F52=0,G52,G52*F52)</f>
        <v>0</v>
      </c>
      <c r="I52" s="386"/>
    </row>
    <row r="53" spans="1:9" ht="15.95" customHeight="1">
      <c r="A53" s="966"/>
      <c r="B53" s="773"/>
      <c r="C53" s="433"/>
      <c r="D53" s="329"/>
      <c r="E53" s="653" t="s">
        <v>220</v>
      </c>
      <c r="F53" s="501"/>
      <c r="G53" s="330"/>
      <c r="H53" s="609">
        <f t="shared" si="2"/>
        <v>0</v>
      </c>
      <c r="I53" s="317"/>
    </row>
    <row r="54" spans="1:9" ht="15.95" customHeight="1">
      <c r="A54" s="966"/>
      <c r="B54" s="341"/>
      <c r="C54" s="433"/>
      <c r="D54" s="329"/>
      <c r="E54" s="653" t="s">
        <v>220</v>
      </c>
      <c r="F54" s="501"/>
      <c r="G54" s="330"/>
      <c r="H54" s="609">
        <f t="shared" si="2"/>
        <v>0</v>
      </c>
      <c r="I54" s="317"/>
    </row>
    <row r="55" spans="1:9" ht="15.95" customHeight="1">
      <c r="A55" s="966"/>
      <c r="B55" s="341"/>
      <c r="C55" s="443"/>
      <c r="D55" s="329"/>
      <c r="E55" s="653" t="s">
        <v>220</v>
      </c>
      <c r="F55" s="542"/>
      <c r="G55" s="330"/>
      <c r="H55" s="609">
        <f t="shared" si="2"/>
        <v>0</v>
      </c>
      <c r="I55" s="317"/>
    </row>
    <row r="56" spans="1:9" ht="15.95" customHeight="1">
      <c r="A56" s="966"/>
      <c r="B56" s="341"/>
      <c r="C56" s="443"/>
      <c r="D56" s="329"/>
      <c r="E56" s="653" t="s">
        <v>220</v>
      </c>
      <c r="F56" s="542"/>
      <c r="G56" s="330"/>
      <c r="H56" s="609">
        <f t="shared" si="2"/>
        <v>0</v>
      </c>
      <c r="I56" s="317"/>
    </row>
    <row r="57" spans="1:9" ht="15.95" customHeight="1">
      <c r="A57" s="966"/>
      <c r="B57" s="341"/>
      <c r="C57" s="443"/>
      <c r="D57" s="329"/>
      <c r="E57" s="653" t="s">
        <v>220</v>
      </c>
      <c r="F57" s="542"/>
      <c r="G57" s="330"/>
      <c r="H57" s="609">
        <f t="shared" si="2"/>
        <v>0</v>
      </c>
      <c r="I57" s="317"/>
    </row>
    <row r="58" spans="1:9" ht="15.95" customHeight="1">
      <c r="A58" s="966"/>
      <c r="B58" s="341"/>
      <c r="C58" s="443"/>
      <c r="D58" s="329"/>
      <c r="E58" s="653" t="s">
        <v>220</v>
      </c>
      <c r="F58" s="542"/>
      <c r="G58" s="330"/>
      <c r="H58" s="609">
        <f t="shared" si="2"/>
        <v>0</v>
      </c>
      <c r="I58" s="317"/>
    </row>
    <row r="59" spans="1:9" ht="15.95" customHeight="1">
      <c r="A59" s="966"/>
      <c r="B59" s="341"/>
      <c r="C59" s="443"/>
      <c r="D59" s="329"/>
      <c r="E59" s="653" t="s">
        <v>220</v>
      </c>
      <c r="F59" s="501"/>
      <c r="G59" s="330"/>
      <c r="H59" s="609">
        <f t="shared" si="2"/>
        <v>0</v>
      </c>
      <c r="I59" s="317"/>
    </row>
    <row r="60" spans="1:9" ht="15.95" customHeight="1">
      <c r="A60" s="966"/>
      <c r="B60" s="341"/>
      <c r="C60" s="445"/>
      <c r="D60" s="329"/>
      <c r="E60" s="398"/>
      <c r="F60" s="444"/>
      <c r="G60" s="330"/>
      <c r="H60" s="320"/>
      <c r="I60" s="317"/>
    </row>
    <row r="61" spans="1:9" ht="15.95" customHeight="1">
      <c r="A61" s="966"/>
      <c r="B61" s="341"/>
      <c r="C61" s="445"/>
      <c r="D61" s="329"/>
      <c r="E61" s="398"/>
      <c r="F61" s="444"/>
      <c r="G61" s="330"/>
      <c r="H61" s="320"/>
      <c r="I61" s="317"/>
    </row>
    <row r="62" spans="1:9" ht="15.95" customHeight="1">
      <c r="A62" s="966"/>
      <c r="B62" s="341"/>
      <c r="C62" s="445"/>
      <c r="D62" s="329"/>
      <c r="E62" s="398"/>
      <c r="F62" s="444"/>
      <c r="G62" s="330"/>
      <c r="H62" s="320"/>
      <c r="I62" s="317"/>
    </row>
    <row r="63" spans="1:9" ht="15.95" customHeight="1">
      <c r="A63" s="966"/>
      <c r="B63" s="341"/>
      <c r="C63" s="654"/>
      <c r="D63" s="655"/>
      <c r="E63" s="398"/>
      <c r="F63" s="649"/>
      <c r="G63" s="649"/>
      <c r="H63" s="364"/>
      <c r="I63" s="394"/>
    </row>
    <row r="64" spans="1:9" ht="15.95" customHeight="1">
      <c r="A64" s="966"/>
      <c r="B64" s="341"/>
      <c r="C64" s="331"/>
      <c r="D64" s="305"/>
      <c r="E64" s="315"/>
      <c r="F64" s="406"/>
      <c r="G64" s="406"/>
      <c r="H64" s="369"/>
      <c r="I64" s="387"/>
    </row>
    <row r="65" spans="1:11" ht="15.95" customHeight="1">
      <c r="A65" s="966"/>
      <c r="B65" s="341"/>
      <c r="C65" s="331"/>
      <c r="D65" s="305"/>
      <c r="E65" s="315"/>
      <c r="F65" s="406"/>
      <c r="G65" s="406"/>
      <c r="H65" s="369"/>
      <c r="I65" s="387"/>
    </row>
    <row r="66" spans="1:11" ht="15.95" customHeight="1">
      <c r="A66" s="966"/>
      <c r="B66" s="341"/>
      <c r="C66" s="407"/>
      <c r="D66" s="408"/>
      <c r="E66" s="656"/>
      <c r="F66" s="657"/>
      <c r="G66" s="414"/>
      <c r="H66" s="369"/>
      <c r="I66" s="388"/>
    </row>
    <row r="67" spans="1:11" ht="15.95" customHeight="1">
      <c r="A67" s="966"/>
      <c r="B67" s="342"/>
      <c r="C67" s="389"/>
      <c r="D67" s="390"/>
      <c r="E67" s="391"/>
      <c r="F67" s="378"/>
      <c r="G67" s="378"/>
      <c r="H67" s="347">
        <f>SUM(H52:H66)</f>
        <v>0</v>
      </c>
      <c r="I67" s="392"/>
    </row>
    <row r="68" spans="1:11" ht="15.95" customHeight="1">
      <c r="A68" s="350"/>
      <c r="B68" s="351" t="s">
        <v>64</v>
      </c>
      <c r="C68" s="352"/>
      <c r="D68" s="376"/>
      <c r="E68" s="377"/>
      <c r="F68" s="393"/>
      <c r="G68" s="393"/>
      <c r="H68" s="347">
        <f>SUM(H67,H51,H20)</f>
        <v>2797800</v>
      </c>
      <c r="I68" s="392"/>
    </row>
    <row r="69" spans="1:11" ht="15.95" customHeight="1">
      <c r="A69" s="962" t="s">
        <v>13</v>
      </c>
      <c r="B69" s="354" t="s">
        <v>65</v>
      </c>
      <c r="C69" s="355"/>
      <c r="D69" s="356"/>
      <c r="E69" s="363" t="s">
        <v>11</v>
      </c>
      <c r="F69" s="326"/>
      <c r="G69" s="415"/>
      <c r="H69" s="358">
        <f t="shared" ref="H69:H74" si="3">F69*G69</f>
        <v>0</v>
      </c>
      <c r="I69" s="386"/>
      <c r="K69" s="303"/>
    </row>
    <row r="70" spans="1:11" ht="15.95" customHeight="1">
      <c r="A70" s="966"/>
      <c r="B70" s="360" t="s">
        <v>16</v>
      </c>
      <c r="C70" s="361"/>
      <c r="D70" s="362"/>
      <c r="E70" s="363" t="s">
        <v>11</v>
      </c>
      <c r="F70" s="399">
        <v>1</v>
      </c>
      <c r="G70" s="400">
        <v>350000</v>
      </c>
      <c r="H70" s="364">
        <f t="shared" si="3"/>
        <v>350000</v>
      </c>
      <c r="I70" s="394"/>
      <c r="K70" s="303"/>
    </row>
    <row r="71" spans="1:11" ht="15.95" customHeight="1">
      <c r="A71" s="966"/>
      <c r="B71" s="365" t="s">
        <v>297</v>
      </c>
      <c r="C71" s="366"/>
      <c r="D71" s="367"/>
      <c r="E71" s="368" t="s">
        <v>11</v>
      </c>
      <c r="F71" s="321">
        <v>3</v>
      </c>
      <c r="G71" s="319">
        <v>350000</v>
      </c>
      <c r="H71" s="369">
        <f t="shared" si="3"/>
        <v>1050000</v>
      </c>
      <c r="I71" s="387"/>
      <c r="K71" s="303"/>
    </row>
    <row r="72" spans="1:11" ht="15.95" customHeight="1">
      <c r="A72" s="966"/>
      <c r="B72" s="365" t="s">
        <v>18</v>
      </c>
      <c r="C72" s="366"/>
      <c r="D72" s="367"/>
      <c r="E72" s="368" t="s">
        <v>11</v>
      </c>
      <c r="F72" s="321">
        <v>1</v>
      </c>
      <c r="G72" s="319">
        <v>350000</v>
      </c>
      <c r="H72" s="369">
        <f t="shared" si="3"/>
        <v>350000</v>
      </c>
      <c r="I72" s="387"/>
      <c r="K72" s="303"/>
    </row>
    <row r="73" spans="1:11" ht="15.95" customHeight="1">
      <c r="A73" s="966"/>
      <c r="B73" s="365" t="s">
        <v>19</v>
      </c>
      <c r="C73" s="366"/>
      <c r="D73" s="367"/>
      <c r="E73" s="368" t="s">
        <v>11</v>
      </c>
      <c r="F73" s="321">
        <v>1</v>
      </c>
      <c r="G73" s="319">
        <v>350000</v>
      </c>
      <c r="H73" s="369">
        <f t="shared" si="3"/>
        <v>350000</v>
      </c>
      <c r="I73" s="387"/>
      <c r="K73" s="303"/>
    </row>
    <row r="74" spans="1:11" ht="15.95" customHeight="1">
      <c r="A74" s="966"/>
      <c r="B74" s="365" t="s">
        <v>20</v>
      </c>
      <c r="C74" s="366"/>
      <c r="D74" s="367"/>
      <c r="E74" s="368" t="s">
        <v>11</v>
      </c>
      <c r="F74" s="321"/>
      <c r="G74" s="319">
        <v>350000</v>
      </c>
      <c r="H74" s="369">
        <f t="shared" si="3"/>
        <v>0</v>
      </c>
      <c r="I74" s="387"/>
      <c r="K74" s="303"/>
    </row>
    <row r="75" spans="1:11" ht="15.95" customHeight="1">
      <c r="A75" s="966"/>
      <c r="B75" s="365" t="s">
        <v>21</v>
      </c>
      <c r="C75" s="366"/>
      <c r="D75" s="367"/>
      <c r="E75" s="368" t="s">
        <v>11</v>
      </c>
      <c r="F75" s="321"/>
      <c r="G75" s="319">
        <v>350000</v>
      </c>
      <c r="H75" s="369">
        <f>SUM(F75*G75)</f>
        <v>0</v>
      </c>
      <c r="I75" s="387"/>
      <c r="K75" s="303"/>
    </row>
    <row r="76" spans="1:11" ht="15.95" customHeight="1">
      <c r="A76" s="966"/>
      <c r="B76" s="370" t="s">
        <v>22</v>
      </c>
      <c r="C76" s="371"/>
      <c r="D76" s="372"/>
      <c r="E76" s="373" t="s">
        <v>11</v>
      </c>
      <c r="F76" s="335"/>
      <c r="G76" s="336">
        <v>350000</v>
      </c>
      <c r="H76" s="374">
        <f>G76*F76</f>
        <v>0</v>
      </c>
      <c r="I76" s="388"/>
      <c r="K76" s="303"/>
    </row>
    <row r="77" spans="1:11" ht="15.95" customHeight="1">
      <c r="A77" s="350"/>
      <c r="B77" s="375" t="s">
        <v>66</v>
      </c>
      <c r="C77" s="352"/>
      <c r="D77" s="376"/>
      <c r="E77" s="377"/>
      <c r="F77" s="462"/>
      <c r="G77" s="378"/>
      <c r="H77" s="346">
        <f>SUM(H69:H76)</f>
        <v>2100000</v>
      </c>
      <c r="I77" s="395"/>
    </row>
    <row r="78" spans="1:11" ht="15.95" customHeight="1">
      <c r="A78" s="379"/>
      <c r="B78" s="375" t="s">
        <v>67</v>
      </c>
      <c r="C78" s="352"/>
      <c r="D78" s="376"/>
      <c r="E78" s="377"/>
      <c r="F78" s="380"/>
      <c r="G78" s="380"/>
      <c r="H78" s="353">
        <f>'단위장비별(집계)2'!L15+'단위장비별(집계)2'!I15</f>
        <v>251856.2406675494</v>
      </c>
      <c r="I78" s="392"/>
    </row>
    <row r="79" spans="1:11" ht="15.95" customHeight="1">
      <c r="A79" s="379"/>
      <c r="B79" s="375" t="s">
        <v>2</v>
      </c>
      <c r="C79" s="352"/>
      <c r="D79" s="376"/>
      <c r="E79" s="377"/>
      <c r="F79" s="380"/>
      <c r="G79" s="381"/>
      <c r="H79" s="416">
        <f>(H68+H77)*0.05</f>
        <v>244890</v>
      </c>
      <c r="I79" s="396"/>
    </row>
    <row r="80" spans="1:11" ht="15.95" customHeight="1">
      <c r="A80" s="379"/>
      <c r="B80" s="375" t="s">
        <v>68</v>
      </c>
      <c r="C80" s="352"/>
      <c r="D80" s="376"/>
      <c r="E80" s="377"/>
      <c r="F80" s="380"/>
      <c r="G80" s="381"/>
      <c r="H80" s="416">
        <f>(H68+H77)*0.1</f>
        <v>489780</v>
      </c>
      <c r="I80" s="396"/>
    </row>
    <row r="81" spans="1:9" ht="15.95" customHeight="1">
      <c r="A81" s="379"/>
      <c r="B81" s="375" t="s">
        <v>69</v>
      </c>
      <c r="C81" s="352"/>
      <c r="D81" s="376"/>
      <c r="E81" s="377"/>
      <c r="F81" s="380"/>
      <c r="G81" s="380"/>
      <c r="H81" s="346">
        <f>H68+H77+H78+H79+H80</f>
        <v>5884326.240667549</v>
      </c>
      <c r="I81" s="392"/>
    </row>
    <row r="82" spans="1:9">
      <c r="A82" s="119"/>
    </row>
  </sheetData>
  <mergeCells count="3">
    <mergeCell ref="A2:B2"/>
    <mergeCell ref="A69:A76"/>
    <mergeCell ref="A3:A67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59" orientation="portrait" horizontalDpi="4294967292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ACF82-5FDC-465D-9B17-E7A5A981822B}">
  <sheetPr>
    <pageSetUpPr fitToPage="1"/>
  </sheetPr>
  <dimension ref="A1:M154"/>
  <sheetViews>
    <sheetView view="pageBreakPreview" zoomScale="80" zoomScaleNormal="85" workbookViewId="0">
      <pane xSplit="2" ySplit="2" topLeftCell="C126" activePane="bottomRight" state="frozen"/>
      <selection activeCell="F67" sqref="F67"/>
      <selection pane="topRight" activeCell="F67" sqref="F67"/>
      <selection pane="bottomLeft" activeCell="F67" sqref="F67"/>
      <selection pane="bottomRight" activeCell="K17" sqref="K17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9" style="115" customWidth="1"/>
    <col min="7" max="8" width="15.625" style="115" customWidth="1"/>
    <col min="9" max="9" width="12.75" style="230" customWidth="1"/>
    <col min="10" max="10" width="9" style="227"/>
    <col min="11" max="11" width="21.625" style="227" customWidth="1"/>
    <col min="12" max="12" width="12" style="227" customWidth="1"/>
    <col min="13" max="13" width="9" style="227"/>
    <col min="14" max="16384" width="9" style="53"/>
  </cols>
  <sheetData>
    <row r="1" spans="1:13" ht="22.5" customHeight="1">
      <c r="A1" s="45" t="s">
        <v>150</v>
      </c>
      <c r="B1" s="45"/>
      <c r="C1" s="419"/>
      <c r="D1" s="262"/>
      <c r="E1" s="238"/>
      <c r="F1" s="22"/>
      <c r="G1" s="114"/>
      <c r="I1" s="230" t="s">
        <v>121</v>
      </c>
      <c r="J1" s="229"/>
      <c r="K1" s="229"/>
      <c r="L1" s="229"/>
      <c r="M1" s="229"/>
    </row>
    <row r="2" spans="1:13" s="119" customFormat="1" ht="16.5" customHeight="1">
      <c r="A2" s="964" t="s">
        <v>122</v>
      </c>
      <c r="B2" s="965"/>
      <c r="C2" s="359" t="s">
        <v>123</v>
      </c>
      <c r="D2" s="383" t="s">
        <v>124</v>
      </c>
      <c r="E2" s="383" t="s">
        <v>125</v>
      </c>
      <c r="F2" s="384" t="s">
        <v>126</v>
      </c>
      <c r="G2" s="384" t="s">
        <v>127</v>
      </c>
      <c r="H2" s="384" t="s">
        <v>128</v>
      </c>
      <c r="I2" s="385" t="s">
        <v>129</v>
      </c>
      <c r="J2" s="228"/>
      <c r="K2" s="228"/>
      <c r="L2" s="228"/>
      <c r="M2" s="228"/>
    </row>
    <row r="3" spans="1:13" ht="15.95" customHeight="1">
      <c r="A3" s="962" t="s">
        <v>130</v>
      </c>
      <c r="B3" s="341" t="s">
        <v>131</v>
      </c>
      <c r="C3" s="420" t="s">
        <v>217</v>
      </c>
      <c r="D3" s="420"/>
      <c r="E3" s="420" t="s">
        <v>218</v>
      </c>
      <c r="F3" s="415"/>
      <c r="G3" s="415"/>
      <c r="H3" s="337">
        <f>IF(F3=0,G3,G3*F3)</f>
        <v>0</v>
      </c>
      <c r="I3" s="386"/>
    </row>
    <row r="4" spans="1:13" ht="15.95" customHeight="1">
      <c r="A4" s="966"/>
      <c r="B4" s="341"/>
      <c r="C4" s="318"/>
      <c r="D4" s="397"/>
      <c r="E4" s="401"/>
      <c r="F4" s="321"/>
      <c r="G4" s="319"/>
      <c r="H4" s="369"/>
      <c r="I4" s="387"/>
    </row>
    <row r="5" spans="1:13" ht="15.95" customHeight="1">
      <c r="A5" s="966"/>
      <c r="B5" s="341"/>
      <c r="C5" s="318"/>
      <c r="D5" s="397"/>
      <c r="E5" s="401"/>
      <c r="F5" s="399"/>
      <c r="G5" s="400"/>
      <c r="H5" s="369"/>
      <c r="I5" s="387"/>
    </row>
    <row r="6" spans="1:13" ht="15.95" customHeight="1">
      <c r="A6" s="966"/>
      <c r="B6" s="341"/>
      <c r="C6" s="318"/>
      <c r="D6" s="318"/>
      <c r="E6" s="401"/>
      <c r="F6" s="321"/>
      <c r="G6" s="319"/>
      <c r="H6" s="369"/>
      <c r="I6" s="387"/>
    </row>
    <row r="7" spans="1:13" ht="15.95" customHeight="1">
      <c r="A7" s="966"/>
      <c r="B7" s="341"/>
      <c r="C7" s="318"/>
      <c r="D7" s="318"/>
      <c r="E7" s="401"/>
      <c r="F7" s="321"/>
      <c r="G7" s="319"/>
      <c r="H7" s="369"/>
      <c r="I7" s="387"/>
    </row>
    <row r="8" spans="1:13" ht="15.95" customHeight="1">
      <c r="A8" s="966"/>
      <c r="B8" s="341"/>
      <c r="C8" s="318"/>
      <c r="D8" s="318"/>
      <c r="E8" s="401"/>
      <c r="F8" s="321"/>
      <c r="G8" s="319"/>
      <c r="H8" s="369"/>
      <c r="I8" s="387"/>
    </row>
    <row r="9" spans="1:13" ht="15.95" customHeight="1">
      <c r="A9" s="966"/>
      <c r="B9" s="341"/>
      <c r="C9" s="318"/>
      <c r="D9" s="318"/>
      <c r="E9" s="401"/>
      <c r="F9" s="321"/>
      <c r="G9" s="319"/>
      <c r="H9" s="369"/>
      <c r="I9" s="387"/>
    </row>
    <row r="10" spans="1:13" ht="15.95" customHeight="1">
      <c r="A10" s="966"/>
      <c r="B10" s="341"/>
      <c r="C10" s="318"/>
      <c r="D10" s="318"/>
      <c r="E10" s="401"/>
      <c r="F10" s="321"/>
      <c r="G10" s="319"/>
      <c r="H10" s="369"/>
      <c r="I10" s="387"/>
    </row>
    <row r="11" spans="1:13" ht="15.95" customHeight="1">
      <c r="A11" s="966"/>
      <c r="B11" s="341"/>
      <c r="C11" s="318"/>
      <c r="D11" s="318"/>
      <c r="E11" s="401"/>
      <c r="F11" s="321"/>
      <c r="G11" s="319"/>
      <c r="H11" s="369"/>
      <c r="I11" s="387"/>
    </row>
    <row r="12" spans="1:13" ht="15.95" customHeight="1">
      <c r="A12" s="966"/>
      <c r="B12" s="341"/>
      <c r="C12" s="318"/>
      <c r="D12" s="318"/>
      <c r="E12" s="401"/>
      <c r="F12" s="321"/>
      <c r="G12" s="319"/>
      <c r="H12" s="369"/>
      <c r="I12" s="387"/>
    </row>
    <row r="13" spans="1:13" ht="15.95" customHeight="1">
      <c r="A13" s="966"/>
      <c r="B13" s="341"/>
      <c r="C13" s="318"/>
      <c r="D13" s="318"/>
      <c r="E13" s="401"/>
      <c r="F13" s="321"/>
      <c r="G13" s="319"/>
      <c r="H13" s="369"/>
      <c r="I13" s="387"/>
    </row>
    <row r="14" spans="1:13" ht="15.95" customHeight="1">
      <c r="A14" s="966"/>
      <c r="B14" s="341"/>
      <c r="C14" s="402" t="s">
        <v>56</v>
      </c>
      <c r="D14" s="402"/>
      <c r="E14" s="402" t="s">
        <v>239</v>
      </c>
      <c r="F14" s="336"/>
      <c r="G14" s="336"/>
      <c r="H14" s="339">
        <f>IF(F14=0,G14,G14*F14)</f>
        <v>0</v>
      </c>
      <c r="I14" s="388"/>
    </row>
    <row r="15" spans="1:13" ht="15.95" customHeight="1">
      <c r="A15" s="966"/>
      <c r="B15" s="342"/>
      <c r="C15" s="389"/>
      <c r="D15" s="390"/>
      <c r="E15" s="391"/>
      <c r="F15" s="345">
        <f>SUM(F3:F14)</f>
        <v>0</v>
      </c>
      <c r="G15" s="346"/>
      <c r="H15" s="347">
        <f>SUM(H3:H14)</f>
        <v>0</v>
      </c>
      <c r="I15" s="392"/>
    </row>
    <row r="16" spans="1:13" ht="15.95" customHeight="1">
      <c r="A16" s="966"/>
      <c r="B16" s="349" t="s">
        <v>132</v>
      </c>
      <c r="C16" s="731"/>
      <c r="D16" s="740"/>
      <c r="E16" s="405" t="s">
        <v>348</v>
      </c>
      <c r="F16" s="746"/>
      <c r="G16" s="404"/>
      <c r="H16" s="369">
        <f>SUM(F16*G16)</f>
        <v>0</v>
      </c>
      <c r="I16" s="386" t="s">
        <v>338</v>
      </c>
    </row>
    <row r="17" spans="1:9" ht="15.95" customHeight="1">
      <c r="A17" s="966"/>
      <c r="B17" s="341" t="s">
        <v>133</v>
      </c>
      <c r="C17" s="726"/>
      <c r="D17" s="741"/>
      <c r="E17" s="315" t="s">
        <v>348</v>
      </c>
      <c r="F17" s="747"/>
      <c r="G17" s="319"/>
      <c r="H17" s="369">
        <f t="shared" ref="H17:H51" si="0">SUM(F17*G17)</f>
        <v>0</v>
      </c>
      <c r="I17" s="387" t="s">
        <v>338</v>
      </c>
    </row>
    <row r="18" spans="1:9" ht="15.95" customHeight="1">
      <c r="A18" s="966"/>
      <c r="B18" s="341"/>
      <c r="C18" s="726"/>
      <c r="D18" s="741"/>
      <c r="E18" s="315" t="s">
        <v>348</v>
      </c>
      <c r="F18" s="747"/>
      <c r="G18" s="319"/>
      <c r="H18" s="369">
        <f t="shared" si="0"/>
        <v>0</v>
      </c>
      <c r="I18" s="387" t="s">
        <v>338</v>
      </c>
    </row>
    <row r="19" spans="1:9" ht="15.95" customHeight="1">
      <c r="A19" s="966"/>
      <c r="B19" s="341"/>
      <c r="C19" s="726"/>
      <c r="D19" s="742"/>
      <c r="E19" s="315" t="s">
        <v>348</v>
      </c>
      <c r="F19" s="747"/>
      <c r="G19" s="319"/>
      <c r="H19" s="369">
        <f t="shared" si="0"/>
        <v>0</v>
      </c>
      <c r="I19" s="387" t="s">
        <v>341</v>
      </c>
    </row>
    <row r="20" spans="1:9" ht="15.95" customHeight="1">
      <c r="A20" s="966"/>
      <c r="B20" s="341"/>
      <c r="C20" s="726"/>
      <c r="D20" s="742"/>
      <c r="E20" s="315" t="s">
        <v>348</v>
      </c>
      <c r="F20" s="747"/>
      <c r="G20" s="319"/>
      <c r="H20" s="369">
        <f t="shared" si="0"/>
        <v>0</v>
      </c>
      <c r="I20" s="387" t="s">
        <v>340</v>
      </c>
    </row>
    <row r="21" spans="1:9" ht="15.95" customHeight="1">
      <c r="A21" s="966"/>
      <c r="B21" s="341"/>
      <c r="C21" s="726"/>
      <c r="D21" s="742"/>
      <c r="E21" s="315" t="s">
        <v>348</v>
      </c>
      <c r="F21" s="747"/>
      <c r="G21" s="319"/>
      <c r="H21" s="369">
        <f t="shared" si="0"/>
        <v>0</v>
      </c>
      <c r="I21" s="387" t="s">
        <v>340</v>
      </c>
    </row>
    <row r="22" spans="1:9" ht="15.95" customHeight="1">
      <c r="A22" s="966"/>
      <c r="B22" s="341"/>
      <c r="C22" s="726"/>
      <c r="D22" s="742"/>
      <c r="E22" s="315" t="s">
        <v>348</v>
      </c>
      <c r="F22" s="747"/>
      <c r="G22" s="319"/>
      <c r="H22" s="369">
        <f t="shared" si="0"/>
        <v>0</v>
      </c>
      <c r="I22" s="387" t="s">
        <v>342</v>
      </c>
    </row>
    <row r="23" spans="1:9" ht="15.95" customHeight="1">
      <c r="A23" s="966"/>
      <c r="B23" s="341"/>
      <c r="C23" s="726"/>
      <c r="D23" s="742"/>
      <c r="E23" s="315" t="s">
        <v>348</v>
      </c>
      <c r="F23" s="747"/>
      <c r="G23" s="319"/>
      <c r="H23" s="369">
        <f t="shared" si="0"/>
        <v>0</v>
      </c>
      <c r="I23" s="387" t="s">
        <v>339</v>
      </c>
    </row>
    <row r="24" spans="1:9" ht="15.95" customHeight="1">
      <c r="A24" s="966"/>
      <c r="B24" s="341"/>
      <c r="C24" s="726"/>
      <c r="D24" s="742"/>
      <c r="E24" s="315" t="s">
        <v>348</v>
      </c>
      <c r="F24" s="747"/>
      <c r="G24" s="319"/>
      <c r="H24" s="369">
        <f t="shared" si="0"/>
        <v>0</v>
      </c>
      <c r="I24" s="387" t="s">
        <v>343</v>
      </c>
    </row>
    <row r="25" spans="1:9" ht="15.95" customHeight="1">
      <c r="A25" s="966"/>
      <c r="B25" s="341"/>
      <c r="C25" s="726"/>
      <c r="D25" s="742"/>
      <c r="E25" s="315" t="s">
        <v>348</v>
      </c>
      <c r="F25" s="747"/>
      <c r="G25" s="319"/>
      <c r="H25" s="369">
        <f t="shared" si="0"/>
        <v>0</v>
      </c>
      <c r="I25" s="387" t="s">
        <v>344</v>
      </c>
    </row>
    <row r="26" spans="1:9" ht="15.95" customHeight="1">
      <c r="A26" s="966"/>
      <c r="B26" s="341"/>
      <c r="C26" s="726"/>
      <c r="D26" s="742"/>
      <c r="E26" s="315" t="s">
        <v>348</v>
      </c>
      <c r="F26" s="747"/>
      <c r="G26" s="319"/>
      <c r="H26" s="369">
        <f t="shared" si="0"/>
        <v>0</v>
      </c>
      <c r="I26" s="387" t="s">
        <v>345</v>
      </c>
    </row>
    <row r="27" spans="1:9" ht="15.95" customHeight="1">
      <c r="A27" s="966"/>
      <c r="B27" s="341"/>
      <c r="C27" s="726"/>
      <c r="D27" s="742"/>
      <c r="E27" s="315" t="s">
        <v>348</v>
      </c>
      <c r="F27" s="747"/>
      <c r="G27" s="319"/>
      <c r="H27" s="369">
        <f t="shared" si="0"/>
        <v>0</v>
      </c>
      <c r="I27" s="387" t="s">
        <v>345</v>
      </c>
    </row>
    <row r="28" spans="1:9" ht="15.95" customHeight="1">
      <c r="A28" s="966"/>
      <c r="B28" s="341"/>
      <c r="C28" s="726"/>
      <c r="D28" s="742"/>
      <c r="E28" s="315" t="s">
        <v>348</v>
      </c>
      <c r="F28" s="747"/>
      <c r="G28" s="319"/>
      <c r="H28" s="369">
        <f t="shared" si="0"/>
        <v>0</v>
      </c>
      <c r="I28" s="387" t="s">
        <v>346</v>
      </c>
    </row>
    <row r="29" spans="1:9" ht="15.95" customHeight="1">
      <c r="A29" s="966"/>
      <c r="B29" s="341"/>
      <c r="C29" s="726"/>
      <c r="D29" s="742"/>
      <c r="E29" s="315" t="s">
        <v>348</v>
      </c>
      <c r="F29" s="747"/>
      <c r="G29" s="319"/>
      <c r="H29" s="369">
        <f t="shared" si="0"/>
        <v>0</v>
      </c>
      <c r="I29" s="387" t="s">
        <v>339</v>
      </c>
    </row>
    <row r="30" spans="1:9" ht="15.95" customHeight="1">
      <c r="A30" s="966"/>
      <c r="B30" s="341"/>
      <c r="C30" s="726"/>
      <c r="D30" s="742"/>
      <c r="E30" s="315" t="s">
        <v>348</v>
      </c>
      <c r="F30" s="747"/>
      <c r="G30" s="319"/>
      <c r="H30" s="369">
        <f t="shared" si="0"/>
        <v>0</v>
      </c>
      <c r="I30" s="387" t="s">
        <v>339</v>
      </c>
    </row>
    <row r="31" spans="1:9" ht="15.95" customHeight="1">
      <c r="A31" s="966"/>
      <c r="B31" s="341"/>
      <c r="C31" s="726"/>
      <c r="D31" s="742"/>
      <c r="E31" s="315" t="s">
        <v>348</v>
      </c>
      <c r="F31" s="747"/>
      <c r="G31" s="319"/>
      <c r="H31" s="369">
        <f t="shared" si="0"/>
        <v>0</v>
      </c>
      <c r="I31" s="387" t="s">
        <v>339</v>
      </c>
    </row>
    <row r="32" spans="1:9" ht="15.95" customHeight="1">
      <c r="A32" s="966"/>
      <c r="B32" s="341"/>
      <c r="C32" s="726"/>
      <c r="D32" s="742"/>
      <c r="E32" s="315" t="s">
        <v>348</v>
      </c>
      <c r="F32" s="747"/>
      <c r="G32" s="319"/>
      <c r="H32" s="369">
        <f t="shared" si="0"/>
        <v>0</v>
      </c>
      <c r="I32" s="387" t="s">
        <v>339</v>
      </c>
    </row>
    <row r="33" spans="1:9" ht="15.95" customHeight="1">
      <c r="A33" s="966"/>
      <c r="B33" s="341"/>
      <c r="C33" s="726"/>
      <c r="D33" s="742"/>
      <c r="E33" s="315" t="s">
        <v>348</v>
      </c>
      <c r="F33" s="747"/>
      <c r="G33" s="319"/>
      <c r="H33" s="369">
        <f t="shared" si="0"/>
        <v>0</v>
      </c>
      <c r="I33" s="387" t="s">
        <v>339</v>
      </c>
    </row>
    <row r="34" spans="1:9" ht="15.95" customHeight="1">
      <c r="A34" s="966"/>
      <c r="B34" s="341"/>
      <c r="C34" s="726"/>
      <c r="D34" s="742"/>
      <c r="E34" s="315" t="s">
        <v>348</v>
      </c>
      <c r="F34" s="747"/>
      <c r="G34" s="319"/>
      <c r="H34" s="369">
        <f t="shared" si="0"/>
        <v>0</v>
      </c>
      <c r="I34" s="387" t="s">
        <v>338</v>
      </c>
    </row>
    <row r="35" spans="1:9" ht="15.95" customHeight="1">
      <c r="A35" s="966"/>
      <c r="B35" s="341"/>
      <c r="C35" s="726"/>
      <c r="D35" s="742"/>
      <c r="E35" s="315" t="s">
        <v>348</v>
      </c>
      <c r="F35" s="747"/>
      <c r="G35" s="319"/>
      <c r="H35" s="369">
        <f t="shared" si="0"/>
        <v>0</v>
      </c>
      <c r="I35" s="387" t="s">
        <v>338</v>
      </c>
    </row>
    <row r="36" spans="1:9" ht="15.95" customHeight="1">
      <c r="A36" s="966"/>
      <c r="B36" s="341"/>
      <c r="C36" s="726"/>
      <c r="D36" s="742"/>
      <c r="E36" s="315" t="s">
        <v>348</v>
      </c>
      <c r="F36" s="747"/>
      <c r="G36" s="319"/>
      <c r="H36" s="369">
        <f t="shared" si="0"/>
        <v>0</v>
      </c>
      <c r="I36" s="387" t="s">
        <v>339</v>
      </c>
    </row>
    <row r="37" spans="1:9" ht="15.95" customHeight="1">
      <c r="A37" s="966"/>
      <c r="B37" s="341"/>
      <c r="C37" s="726"/>
      <c r="D37" s="742"/>
      <c r="E37" s="315" t="s">
        <v>348</v>
      </c>
      <c r="F37" s="747"/>
      <c r="G37" s="319"/>
      <c r="H37" s="369">
        <f t="shared" si="0"/>
        <v>0</v>
      </c>
      <c r="I37" s="387" t="s">
        <v>339</v>
      </c>
    </row>
    <row r="38" spans="1:9" ht="15.95" customHeight="1">
      <c r="A38" s="966"/>
      <c r="B38" s="341"/>
      <c r="C38" s="726"/>
      <c r="D38" s="742"/>
      <c r="E38" s="315" t="s">
        <v>348</v>
      </c>
      <c r="F38" s="748"/>
      <c r="G38" s="406"/>
      <c r="H38" s="369">
        <f t="shared" si="0"/>
        <v>0</v>
      </c>
      <c r="I38" s="387" t="s">
        <v>339</v>
      </c>
    </row>
    <row r="39" spans="1:9" ht="15.95" customHeight="1">
      <c r="A39" s="966"/>
      <c r="B39" s="341"/>
      <c r="C39" s="734"/>
      <c r="D39" s="743"/>
      <c r="E39" s="315" t="s">
        <v>348</v>
      </c>
      <c r="F39" s="748"/>
      <c r="G39" s="406"/>
      <c r="H39" s="369">
        <f t="shared" si="0"/>
        <v>0</v>
      </c>
      <c r="I39" s="387" t="s">
        <v>344</v>
      </c>
    </row>
    <row r="40" spans="1:9" ht="15.95" customHeight="1">
      <c r="A40" s="966"/>
      <c r="B40" s="341"/>
      <c r="C40" s="734"/>
      <c r="D40" s="744"/>
      <c r="E40" s="315" t="s">
        <v>348</v>
      </c>
      <c r="F40" s="748"/>
      <c r="G40" s="406"/>
      <c r="H40" s="369">
        <f t="shared" si="0"/>
        <v>0</v>
      </c>
      <c r="I40" s="387" t="s">
        <v>347</v>
      </c>
    </row>
    <row r="41" spans="1:9" ht="15.95" customHeight="1">
      <c r="A41" s="966"/>
      <c r="B41" s="341"/>
      <c r="C41" s="734"/>
      <c r="D41" s="743"/>
      <c r="E41" s="315" t="s">
        <v>348</v>
      </c>
      <c r="F41" s="748"/>
      <c r="G41" s="406"/>
      <c r="H41" s="369">
        <f t="shared" si="0"/>
        <v>0</v>
      </c>
      <c r="I41" s="387" t="s">
        <v>346</v>
      </c>
    </row>
    <row r="42" spans="1:9" ht="15.95" customHeight="1">
      <c r="A42" s="966"/>
      <c r="B42" s="341"/>
      <c r="C42" s="734"/>
      <c r="D42" s="743"/>
      <c r="E42" s="315" t="s">
        <v>348</v>
      </c>
      <c r="F42" s="748"/>
      <c r="G42" s="406"/>
      <c r="H42" s="369">
        <f t="shared" si="0"/>
        <v>0</v>
      </c>
      <c r="I42" s="387" t="s">
        <v>346</v>
      </c>
    </row>
    <row r="43" spans="1:9" ht="15.95" customHeight="1">
      <c r="A43" s="966"/>
      <c r="B43" s="341"/>
      <c r="C43" s="734"/>
      <c r="D43" s="745"/>
      <c r="E43" s="315" t="s">
        <v>348</v>
      </c>
      <c r="F43" s="748"/>
      <c r="G43" s="406"/>
      <c r="H43" s="369">
        <f t="shared" si="0"/>
        <v>0</v>
      </c>
      <c r="I43" s="387" t="s">
        <v>338</v>
      </c>
    </row>
    <row r="44" spans="1:9" ht="15.95" customHeight="1">
      <c r="A44" s="966"/>
      <c r="B44" s="341"/>
      <c r="C44" s="734"/>
      <c r="D44" s="743"/>
      <c r="E44" s="315" t="s">
        <v>348</v>
      </c>
      <c r="F44" s="748"/>
      <c r="G44" s="406"/>
      <c r="H44" s="369">
        <f t="shared" si="0"/>
        <v>0</v>
      </c>
      <c r="I44" s="387" t="s">
        <v>338</v>
      </c>
    </row>
    <row r="45" spans="1:9" ht="15.95" customHeight="1">
      <c r="A45" s="966"/>
      <c r="B45" s="341"/>
      <c r="C45" s="734"/>
      <c r="D45" s="743"/>
      <c r="E45" s="315" t="s">
        <v>348</v>
      </c>
      <c r="F45" s="748"/>
      <c r="G45" s="406"/>
      <c r="H45" s="369">
        <f t="shared" si="0"/>
        <v>0</v>
      </c>
      <c r="I45" s="387" t="s">
        <v>338</v>
      </c>
    </row>
    <row r="46" spans="1:9" ht="15.95" customHeight="1">
      <c r="A46" s="966"/>
      <c r="B46" s="341"/>
      <c r="C46" s="734"/>
      <c r="D46" s="743"/>
      <c r="E46" s="315" t="s">
        <v>348</v>
      </c>
      <c r="F46" s="748"/>
      <c r="G46" s="406"/>
      <c r="H46" s="369">
        <f t="shared" si="0"/>
        <v>0</v>
      </c>
      <c r="I46" s="387" t="s">
        <v>342</v>
      </c>
    </row>
    <row r="47" spans="1:9" ht="15.95" customHeight="1">
      <c r="A47" s="966"/>
      <c r="B47" s="341"/>
      <c r="C47" s="734"/>
      <c r="D47" s="743"/>
      <c r="E47" s="315" t="s">
        <v>348</v>
      </c>
      <c r="F47" s="748"/>
      <c r="G47" s="406"/>
      <c r="H47" s="369">
        <f t="shared" si="0"/>
        <v>0</v>
      </c>
      <c r="I47" s="387" t="s">
        <v>345</v>
      </c>
    </row>
    <row r="48" spans="1:9" ht="15.95" customHeight="1">
      <c r="A48" s="966"/>
      <c r="B48" s="341"/>
      <c r="C48" s="734"/>
      <c r="D48" s="743"/>
      <c r="E48" s="315" t="s">
        <v>348</v>
      </c>
      <c r="F48" s="748"/>
      <c r="G48" s="406"/>
      <c r="H48" s="369">
        <f t="shared" si="0"/>
        <v>0</v>
      </c>
      <c r="I48" s="387" t="s">
        <v>339</v>
      </c>
    </row>
    <row r="49" spans="1:9" ht="15.95" customHeight="1">
      <c r="A49" s="966"/>
      <c r="B49" s="341"/>
      <c r="C49" s="734"/>
      <c r="D49" s="743"/>
      <c r="E49" s="315" t="s">
        <v>348</v>
      </c>
      <c r="F49" s="748"/>
      <c r="G49" s="406"/>
      <c r="H49" s="369">
        <f t="shared" si="0"/>
        <v>0</v>
      </c>
      <c r="I49" s="387" t="s">
        <v>347</v>
      </c>
    </row>
    <row r="50" spans="1:9" ht="15.95" customHeight="1">
      <c r="A50" s="966"/>
      <c r="B50" s="341"/>
      <c r="C50" s="734"/>
      <c r="D50" s="743"/>
      <c r="E50" s="315" t="s">
        <v>348</v>
      </c>
      <c r="F50" s="748"/>
      <c r="G50" s="406"/>
      <c r="H50" s="369">
        <f t="shared" si="0"/>
        <v>0</v>
      </c>
      <c r="I50" s="387" t="s">
        <v>345</v>
      </c>
    </row>
    <row r="51" spans="1:9" ht="15.95" customHeight="1">
      <c r="A51" s="966"/>
      <c r="B51" s="341"/>
      <c r="C51" s="739"/>
      <c r="D51" s="408"/>
      <c r="E51" s="409"/>
      <c r="F51" s="749"/>
      <c r="G51" s="411"/>
      <c r="H51" s="369">
        <f t="shared" si="0"/>
        <v>0</v>
      </c>
      <c r="I51" s="388"/>
    </row>
    <row r="52" spans="1:9" ht="15.95" customHeight="1">
      <c r="A52" s="966"/>
      <c r="B52" s="342"/>
      <c r="C52" s="738"/>
      <c r="D52" s="390"/>
      <c r="E52" s="391"/>
      <c r="F52" s="378"/>
      <c r="G52" s="378"/>
      <c r="H52" s="347">
        <f>SUM(H16:H51)</f>
        <v>0</v>
      </c>
      <c r="I52" s="392"/>
    </row>
    <row r="53" spans="1:9" ht="15.95" customHeight="1">
      <c r="A53" s="966"/>
      <c r="B53" s="349" t="s">
        <v>134</v>
      </c>
      <c r="C53" s="731"/>
      <c r="D53" s="729"/>
      <c r="E53" s="728" t="s">
        <v>348</v>
      </c>
      <c r="F53" s="750"/>
      <c r="G53" s="413"/>
      <c r="H53" s="369">
        <f>SUM(F53*G53)</f>
        <v>0</v>
      </c>
      <c r="I53" s="385" t="s">
        <v>337</v>
      </c>
    </row>
    <row r="54" spans="1:9" ht="15.95" customHeight="1">
      <c r="A54" s="966"/>
      <c r="B54" s="341"/>
      <c r="C54" s="726"/>
      <c r="D54" s="730"/>
      <c r="E54" s="723" t="s">
        <v>348</v>
      </c>
      <c r="F54" s="751"/>
      <c r="G54" s="649"/>
      <c r="H54" s="369">
        <f t="shared" ref="H54:H117" si="1">SUM(F54*G54)</f>
        <v>0</v>
      </c>
      <c r="I54" s="317" t="s">
        <v>337</v>
      </c>
    </row>
    <row r="55" spans="1:9" ht="15.95" customHeight="1">
      <c r="A55" s="966"/>
      <c r="B55" s="341"/>
      <c r="C55" s="726"/>
      <c r="D55" s="730"/>
      <c r="E55" s="723" t="s">
        <v>348</v>
      </c>
      <c r="F55" s="751"/>
      <c r="G55" s="649"/>
      <c r="H55" s="369">
        <f t="shared" si="1"/>
        <v>0</v>
      </c>
      <c r="I55" s="317" t="s">
        <v>337</v>
      </c>
    </row>
    <row r="56" spans="1:9" ht="15.95" customHeight="1">
      <c r="A56" s="966"/>
      <c r="B56" s="341"/>
      <c r="C56" s="726"/>
      <c r="D56" s="730"/>
      <c r="E56" s="723" t="s">
        <v>348</v>
      </c>
      <c r="F56" s="751"/>
      <c r="G56" s="649"/>
      <c r="H56" s="369">
        <f t="shared" si="1"/>
        <v>0</v>
      </c>
      <c r="I56" s="317" t="s">
        <v>337</v>
      </c>
    </row>
    <row r="57" spans="1:9" ht="15.95" customHeight="1">
      <c r="A57" s="966"/>
      <c r="B57" s="341"/>
      <c r="C57" s="726"/>
      <c r="D57" s="730"/>
      <c r="E57" s="723" t="s">
        <v>348</v>
      </c>
      <c r="F57" s="751"/>
      <c r="G57" s="649"/>
      <c r="H57" s="369">
        <f t="shared" si="1"/>
        <v>0</v>
      </c>
      <c r="I57" s="317" t="s">
        <v>337</v>
      </c>
    </row>
    <row r="58" spans="1:9" ht="15.95" customHeight="1">
      <c r="A58" s="966"/>
      <c r="B58" s="341"/>
      <c r="C58" s="727"/>
      <c r="D58" s="730"/>
      <c r="E58" s="723" t="s">
        <v>348</v>
      </c>
      <c r="F58" s="751"/>
      <c r="G58" s="649"/>
      <c r="H58" s="369">
        <f t="shared" si="1"/>
        <v>0</v>
      </c>
      <c r="I58" s="317" t="s">
        <v>337</v>
      </c>
    </row>
    <row r="59" spans="1:9" ht="15.95" customHeight="1">
      <c r="A59" s="966"/>
      <c r="B59" s="341"/>
      <c r="C59" s="727"/>
      <c r="D59" s="730"/>
      <c r="E59" s="723" t="s">
        <v>348</v>
      </c>
      <c r="F59" s="751"/>
      <c r="G59" s="649"/>
      <c r="H59" s="369">
        <f t="shared" si="1"/>
        <v>0</v>
      </c>
      <c r="I59" s="317" t="s">
        <v>337</v>
      </c>
    </row>
    <row r="60" spans="1:9" ht="15.95" customHeight="1">
      <c r="A60" s="966"/>
      <c r="B60" s="341"/>
      <c r="C60" s="726"/>
      <c r="D60" s="730"/>
      <c r="E60" s="723" t="s">
        <v>348</v>
      </c>
      <c r="F60" s="751"/>
      <c r="G60" s="649"/>
      <c r="H60" s="369">
        <f t="shared" si="1"/>
        <v>0</v>
      </c>
      <c r="I60" s="317" t="s">
        <v>337</v>
      </c>
    </row>
    <row r="61" spans="1:9" ht="15.95" customHeight="1">
      <c r="A61" s="966"/>
      <c r="B61" s="341"/>
      <c r="C61" s="726"/>
      <c r="D61" s="730"/>
      <c r="E61" s="723" t="s">
        <v>348</v>
      </c>
      <c r="F61" s="751"/>
      <c r="G61" s="649"/>
      <c r="H61" s="369">
        <f t="shared" si="1"/>
        <v>0</v>
      </c>
      <c r="I61" s="317" t="s">
        <v>337</v>
      </c>
    </row>
    <row r="62" spans="1:9" ht="15.95" customHeight="1">
      <c r="A62" s="966"/>
      <c r="B62" s="341"/>
      <c r="C62" s="726"/>
      <c r="D62" s="730"/>
      <c r="E62" s="723" t="s">
        <v>348</v>
      </c>
      <c r="F62" s="751"/>
      <c r="G62" s="649"/>
      <c r="H62" s="369">
        <f t="shared" si="1"/>
        <v>0</v>
      </c>
      <c r="I62" s="317" t="s">
        <v>337</v>
      </c>
    </row>
    <row r="63" spans="1:9" ht="15.95" customHeight="1">
      <c r="A63" s="966"/>
      <c r="B63" s="341"/>
      <c r="C63" s="726"/>
      <c r="D63" s="730"/>
      <c r="E63" s="723" t="s">
        <v>348</v>
      </c>
      <c r="F63" s="751"/>
      <c r="G63" s="649"/>
      <c r="H63" s="369">
        <f t="shared" si="1"/>
        <v>0</v>
      </c>
      <c r="I63" s="317" t="s">
        <v>337</v>
      </c>
    </row>
    <row r="64" spans="1:9" ht="15.95" customHeight="1">
      <c r="A64" s="966"/>
      <c r="B64" s="341"/>
      <c r="C64" s="726"/>
      <c r="D64" s="730"/>
      <c r="E64" s="723" t="s">
        <v>348</v>
      </c>
      <c r="F64" s="751"/>
      <c r="G64" s="649"/>
      <c r="H64" s="369">
        <f t="shared" si="1"/>
        <v>0</v>
      </c>
      <c r="I64" s="317" t="s">
        <v>337</v>
      </c>
    </row>
    <row r="65" spans="1:9" ht="15.95" customHeight="1">
      <c r="A65" s="966"/>
      <c r="B65" s="341"/>
      <c r="C65" s="726"/>
      <c r="D65" s="730"/>
      <c r="E65" s="723" t="s">
        <v>348</v>
      </c>
      <c r="F65" s="751"/>
      <c r="G65" s="649"/>
      <c r="H65" s="369">
        <f t="shared" si="1"/>
        <v>0</v>
      </c>
      <c r="I65" s="317" t="s">
        <v>337</v>
      </c>
    </row>
    <row r="66" spans="1:9" ht="15.95" customHeight="1">
      <c r="A66" s="966"/>
      <c r="B66" s="341"/>
      <c r="C66" s="726"/>
      <c r="D66" s="730"/>
      <c r="E66" s="723" t="s">
        <v>348</v>
      </c>
      <c r="F66" s="751"/>
      <c r="G66" s="649"/>
      <c r="H66" s="369">
        <f t="shared" si="1"/>
        <v>0</v>
      </c>
      <c r="I66" s="317" t="s">
        <v>337</v>
      </c>
    </row>
    <row r="67" spans="1:9" ht="15.95" customHeight="1">
      <c r="A67" s="966"/>
      <c r="B67" s="341"/>
      <c r="C67" s="726"/>
      <c r="D67" s="730"/>
      <c r="E67" s="723" t="s">
        <v>348</v>
      </c>
      <c r="F67" s="751"/>
      <c r="G67" s="649"/>
      <c r="H67" s="369">
        <f t="shared" si="1"/>
        <v>0</v>
      </c>
      <c r="I67" s="317" t="s">
        <v>337</v>
      </c>
    </row>
    <row r="68" spans="1:9" ht="15.95" customHeight="1">
      <c r="A68" s="966"/>
      <c r="B68" s="341"/>
      <c r="C68" s="726"/>
      <c r="D68" s="730"/>
      <c r="E68" s="723" t="s">
        <v>348</v>
      </c>
      <c r="F68" s="751"/>
      <c r="G68" s="649"/>
      <c r="H68" s="369">
        <f t="shared" si="1"/>
        <v>0</v>
      </c>
      <c r="I68" s="317" t="s">
        <v>337</v>
      </c>
    </row>
    <row r="69" spans="1:9" ht="15.95" customHeight="1">
      <c r="A69" s="966"/>
      <c r="B69" s="341"/>
      <c r="C69" s="726"/>
      <c r="D69" s="730"/>
      <c r="E69" s="723" t="s">
        <v>348</v>
      </c>
      <c r="F69" s="751"/>
      <c r="G69" s="649"/>
      <c r="H69" s="369">
        <f t="shared" si="1"/>
        <v>0</v>
      </c>
      <c r="I69" s="317" t="s">
        <v>337</v>
      </c>
    </row>
    <row r="70" spans="1:9" ht="15.95" customHeight="1">
      <c r="A70" s="966"/>
      <c r="B70" s="341"/>
      <c r="C70" s="726"/>
      <c r="D70" s="730"/>
      <c r="E70" s="723" t="s">
        <v>348</v>
      </c>
      <c r="F70" s="751"/>
      <c r="G70" s="649"/>
      <c r="H70" s="369">
        <f t="shared" si="1"/>
        <v>0</v>
      </c>
      <c r="I70" s="317" t="s">
        <v>337</v>
      </c>
    </row>
    <row r="71" spans="1:9" ht="15.95" customHeight="1">
      <c r="A71" s="966"/>
      <c r="B71" s="341"/>
      <c r="C71" s="726"/>
      <c r="D71" s="730"/>
      <c r="E71" s="723" t="s">
        <v>348</v>
      </c>
      <c r="F71" s="751"/>
      <c r="G71" s="649"/>
      <c r="H71" s="369">
        <f t="shared" si="1"/>
        <v>0</v>
      </c>
      <c r="I71" s="317" t="s">
        <v>337</v>
      </c>
    </row>
    <row r="72" spans="1:9" ht="15.95" customHeight="1">
      <c r="A72" s="966"/>
      <c r="B72" s="341"/>
      <c r="C72" s="726"/>
      <c r="D72" s="730"/>
      <c r="E72" s="723" t="s">
        <v>348</v>
      </c>
      <c r="F72" s="751"/>
      <c r="G72" s="649"/>
      <c r="H72" s="369">
        <f t="shared" si="1"/>
        <v>0</v>
      </c>
      <c r="I72" s="317" t="s">
        <v>337</v>
      </c>
    </row>
    <row r="73" spans="1:9" ht="15.95" customHeight="1">
      <c r="A73" s="966"/>
      <c r="B73" s="341"/>
      <c r="C73" s="726"/>
      <c r="D73" s="730"/>
      <c r="E73" s="723" t="s">
        <v>348</v>
      </c>
      <c r="F73" s="751"/>
      <c r="G73" s="649"/>
      <c r="H73" s="369">
        <f t="shared" si="1"/>
        <v>0</v>
      </c>
      <c r="I73" s="317" t="s">
        <v>337</v>
      </c>
    </row>
    <row r="74" spans="1:9" ht="15.95" customHeight="1">
      <c r="A74" s="966"/>
      <c r="B74" s="341"/>
      <c r="C74" s="726"/>
      <c r="D74" s="730"/>
      <c r="E74" s="723" t="s">
        <v>348</v>
      </c>
      <c r="F74" s="751"/>
      <c r="G74" s="649"/>
      <c r="H74" s="369">
        <f t="shared" si="1"/>
        <v>0</v>
      </c>
      <c r="I74" s="317" t="s">
        <v>337</v>
      </c>
    </row>
    <row r="75" spans="1:9" ht="15.95" customHeight="1">
      <c r="A75" s="966"/>
      <c r="B75" s="341"/>
      <c r="C75" s="726"/>
      <c r="D75" s="730"/>
      <c r="E75" s="723" t="s">
        <v>348</v>
      </c>
      <c r="F75" s="751"/>
      <c r="G75" s="649"/>
      <c r="H75" s="369">
        <f t="shared" si="1"/>
        <v>0</v>
      </c>
      <c r="I75" s="317" t="s">
        <v>337</v>
      </c>
    </row>
    <row r="76" spans="1:9" ht="15.95" customHeight="1">
      <c r="A76" s="966"/>
      <c r="B76" s="341"/>
      <c r="C76" s="726"/>
      <c r="D76" s="730"/>
      <c r="E76" s="723" t="s">
        <v>348</v>
      </c>
      <c r="F76" s="751"/>
      <c r="G76" s="649"/>
      <c r="H76" s="369">
        <f t="shared" si="1"/>
        <v>0</v>
      </c>
      <c r="I76" s="317" t="s">
        <v>337</v>
      </c>
    </row>
    <row r="77" spans="1:9" ht="15.95" customHeight="1">
      <c r="A77" s="966"/>
      <c r="B77" s="341"/>
      <c r="C77" s="732"/>
      <c r="D77" s="659"/>
      <c r="E77" s="723" t="s">
        <v>348</v>
      </c>
      <c r="F77" s="751"/>
      <c r="G77" s="649"/>
      <c r="H77" s="369">
        <f t="shared" si="1"/>
        <v>0</v>
      </c>
      <c r="I77" s="317" t="s">
        <v>337</v>
      </c>
    </row>
    <row r="78" spans="1:9" ht="15.95" customHeight="1">
      <c r="A78" s="966"/>
      <c r="B78" s="341"/>
      <c r="C78" s="733"/>
      <c r="D78" s="577"/>
      <c r="E78" s="723" t="s">
        <v>348</v>
      </c>
      <c r="F78" s="751"/>
      <c r="G78" s="649"/>
      <c r="H78" s="369">
        <f t="shared" si="1"/>
        <v>0</v>
      </c>
      <c r="I78" s="317" t="s">
        <v>337</v>
      </c>
    </row>
    <row r="79" spans="1:9" ht="15.95" customHeight="1">
      <c r="A79" s="966"/>
      <c r="B79" s="341"/>
      <c r="C79" s="733"/>
      <c r="D79" s="577"/>
      <c r="E79" s="723" t="s">
        <v>348</v>
      </c>
      <c r="F79" s="751"/>
      <c r="G79" s="649"/>
      <c r="H79" s="369">
        <f t="shared" si="1"/>
        <v>0</v>
      </c>
      <c r="I79" s="317" t="s">
        <v>337</v>
      </c>
    </row>
    <row r="80" spans="1:9" ht="15.95" customHeight="1">
      <c r="A80" s="966"/>
      <c r="B80" s="341"/>
      <c r="C80" s="733"/>
      <c r="D80" s="577"/>
      <c r="E80" s="723" t="s">
        <v>348</v>
      </c>
      <c r="F80" s="751"/>
      <c r="G80" s="649"/>
      <c r="H80" s="369">
        <f t="shared" si="1"/>
        <v>0</v>
      </c>
      <c r="I80" s="317" t="s">
        <v>337</v>
      </c>
    </row>
    <row r="81" spans="1:9" ht="15.95" customHeight="1">
      <c r="A81" s="966"/>
      <c r="B81" s="341"/>
      <c r="C81" s="727"/>
      <c r="D81" s="577"/>
      <c r="E81" s="723" t="s">
        <v>348</v>
      </c>
      <c r="F81" s="751"/>
      <c r="G81" s="649"/>
      <c r="H81" s="369">
        <f t="shared" si="1"/>
        <v>0</v>
      </c>
      <c r="I81" s="317" t="s">
        <v>337</v>
      </c>
    </row>
    <row r="82" spans="1:9" ht="15.95" customHeight="1">
      <c r="A82" s="966"/>
      <c r="B82" s="341"/>
      <c r="C82" s="727"/>
      <c r="D82" s="577"/>
      <c r="E82" s="723" t="s">
        <v>348</v>
      </c>
      <c r="F82" s="751"/>
      <c r="G82" s="649"/>
      <c r="H82" s="369">
        <f t="shared" si="1"/>
        <v>0</v>
      </c>
      <c r="I82" s="317" t="s">
        <v>337</v>
      </c>
    </row>
    <row r="83" spans="1:9" ht="15.95" customHeight="1">
      <c r="A83" s="966"/>
      <c r="B83" s="341"/>
      <c r="C83" s="733"/>
      <c r="D83" s="577"/>
      <c r="E83" s="723" t="s">
        <v>348</v>
      </c>
      <c r="F83" s="751"/>
      <c r="G83" s="649"/>
      <c r="H83" s="369">
        <f t="shared" si="1"/>
        <v>0</v>
      </c>
      <c r="I83" s="317" t="s">
        <v>337</v>
      </c>
    </row>
    <row r="84" spans="1:9" ht="15.95" customHeight="1">
      <c r="A84" s="966"/>
      <c r="B84" s="341"/>
      <c r="C84" s="733"/>
      <c r="D84" s="577"/>
      <c r="E84" s="723" t="s">
        <v>348</v>
      </c>
      <c r="F84" s="751"/>
      <c r="G84" s="649"/>
      <c r="H84" s="369">
        <f t="shared" si="1"/>
        <v>0</v>
      </c>
      <c r="I84" s="317" t="s">
        <v>337</v>
      </c>
    </row>
    <row r="85" spans="1:9" ht="15.95" customHeight="1">
      <c r="A85" s="966"/>
      <c r="B85" s="341"/>
      <c r="C85" s="733"/>
      <c r="D85" s="577"/>
      <c r="E85" s="723" t="s">
        <v>348</v>
      </c>
      <c r="F85" s="751"/>
      <c r="G85" s="649"/>
      <c r="H85" s="369">
        <f t="shared" si="1"/>
        <v>0</v>
      </c>
      <c r="I85" s="317" t="s">
        <v>337</v>
      </c>
    </row>
    <row r="86" spans="1:9" ht="15.95" customHeight="1">
      <c r="A86" s="966"/>
      <c r="B86" s="341"/>
      <c r="C86" s="733"/>
      <c r="D86" s="577"/>
      <c r="E86" s="723" t="s">
        <v>348</v>
      </c>
      <c r="F86" s="751"/>
      <c r="G86" s="649"/>
      <c r="H86" s="369">
        <f t="shared" si="1"/>
        <v>0</v>
      </c>
      <c r="I86" s="317" t="s">
        <v>337</v>
      </c>
    </row>
    <row r="87" spans="1:9" ht="15.95" customHeight="1">
      <c r="A87" s="966"/>
      <c r="B87" s="341"/>
      <c r="C87" s="733"/>
      <c r="D87" s="577"/>
      <c r="E87" s="723" t="s">
        <v>348</v>
      </c>
      <c r="F87" s="751"/>
      <c r="G87" s="649"/>
      <c r="H87" s="369">
        <f t="shared" si="1"/>
        <v>0</v>
      </c>
      <c r="I87" s="317" t="s">
        <v>337</v>
      </c>
    </row>
    <row r="88" spans="1:9" ht="15.95" customHeight="1">
      <c r="A88" s="966"/>
      <c r="B88" s="341"/>
      <c r="C88" s="734"/>
      <c r="D88" s="577"/>
      <c r="E88" s="723" t="s">
        <v>348</v>
      </c>
      <c r="F88" s="751"/>
      <c r="G88" s="649"/>
      <c r="H88" s="369">
        <f t="shared" si="1"/>
        <v>0</v>
      </c>
      <c r="I88" s="317" t="s">
        <v>337</v>
      </c>
    </row>
    <row r="89" spans="1:9" ht="15.95" customHeight="1">
      <c r="A89" s="966"/>
      <c r="B89" s="341"/>
      <c r="C89" s="734"/>
      <c r="D89" s="577"/>
      <c r="E89" s="723" t="s">
        <v>348</v>
      </c>
      <c r="F89" s="751"/>
      <c r="G89" s="649"/>
      <c r="H89" s="369">
        <f t="shared" si="1"/>
        <v>0</v>
      </c>
      <c r="I89" s="317" t="s">
        <v>337</v>
      </c>
    </row>
    <row r="90" spans="1:9" ht="15.95" customHeight="1">
      <c r="A90" s="966"/>
      <c r="B90" s="341"/>
      <c r="C90" s="734"/>
      <c r="D90" s="577"/>
      <c r="E90" s="723" t="s">
        <v>348</v>
      </c>
      <c r="F90" s="751"/>
      <c r="G90" s="649"/>
      <c r="H90" s="369">
        <f t="shared" si="1"/>
        <v>0</v>
      </c>
      <c r="I90" s="317" t="s">
        <v>337</v>
      </c>
    </row>
    <row r="91" spans="1:9" ht="15.95" customHeight="1">
      <c r="A91" s="966"/>
      <c r="B91" s="341"/>
      <c r="C91" s="734"/>
      <c r="D91" s="577"/>
      <c r="E91" s="723" t="s">
        <v>348</v>
      </c>
      <c r="F91" s="751"/>
      <c r="G91" s="649"/>
      <c r="H91" s="369">
        <f t="shared" si="1"/>
        <v>0</v>
      </c>
      <c r="I91" s="317" t="s">
        <v>337</v>
      </c>
    </row>
    <row r="92" spans="1:9" ht="15.95" customHeight="1">
      <c r="A92" s="966"/>
      <c r="B92" s="341"/>
      <c r="C92" s="734"/>
      <c r="D92" s="577"/>
      <c r="E92" s="723" t="s">
        <v>348</v>
      </c>
      <c r="F92" s="751"/>
      <c r="G92" s="649"/>
      <c r="H92" s="369">
        <f t="shared" si="1"/>
        <v>0</v>
      </c>
      <c r="I92" s="317" t="s">
        <v>337</v>
      </c>
    </row>
    <row r="93" spans="1:9" ht="15.95" customHeight="1">
      <c r="A93" s="966"/>
      <c r="B93" s="341"/>
      <c r="C93" s="733"/>
      <c r="D93" s="577"/>
      <c r="E93" s="723" t="s">
        <v>348</v>
      </c>
      <c r="F93" s="751"/>
      <c r="G93" s="649"/>
      <c r="H93" s="369">
        <f t="shared" si="1"/>
        <v>0</v>
      </c>
      <c r="I93" s="317" t="s">
        <v>337</v>
      </c>
    </row>
    <row r="94" spans="1:9" ht="15.95" customHeight="1">
      <c r="A94" s="966"/>
      <c r="B94" s="341"/>
      <c r="C94" s="733"/>
      <c r="D94" s="577"/>
      <c r="E94" s="723" t="s">
        <v>348</v>
      </c>
      <c r="F94" s="751"/>
      <c r="G94" s="649"/>
      <c r="H94" s="369">
        <f t="shared" si="1"/>
        <v>0</v>
      </c>
      <c r="I94" s="317" t="s">
        <v>337</v>
      </c>
    </row>
    <row r="95" spans="1:9" ht="15.95" customHeight="1">
      <c r="A95" s="966"/>
      <c r="B95" s="341"/>
      <c r="C95" s="727"/>
      <c r="D95" s="577"/>
      <c r="E95" s="723" t="s">
        <v>348</v>
      </c>
      <c r="F95" s="751"/>
      <c r="G95" s="649"/>
      <c r="H95" s="369">
        <f t="shared" si="1"/>
        <v>0</v>
      </c>
      <c r="I95" s="317" t="s">
        <v>337</v>
      </c>
    </row>
    <row r="96" spans="1:9" ht="15.95" customHeight="1">
      <c r="A96" s="966"/>
      <c r="B96" s="341"/>
      <c r="C96" s="735"/>
      <c r="D96" s="577"/>
      <c r="E96" s="723" t="s">
        <v>348</v>
      </c>
      <c r="F96" s="751"/>
      <c r="G96" s="649"/>
      <c r="H96" s="369">
        <f t="shared" si="1"/>
        <v>0</v>
      </c>
      <c r="I96" s="317" t="s">
        <v>337</v>
      </c>
    </row>
    <row r="97" spans="1:9" ht="15.95" customHeight="1">
      <c r="A97" s="966"/>
      <c r="B97" s="341"/>
      <c r="C97" s="734"/>
      <c r="D97" s="577"/>
      <c r="E97" s="723" t="s">
        <v>348</v>
      </c>
      <c r="F97" s="751"/>
      <c r="G97" s="649"/>
      <c r="H97" s="369">
        <f t="shared" si="1"/>
        <v>0</v>
      </c>
      <c r="I97" s="317" t="s">
        <v>337</v>
      </c>
    </row>
    <row r="98" spans="1:9" ht="15.95" customHeight="1">
      <c r="A98" s="966"/>
      <c r="B98" s="341"/>
      <c r="C98" s="734"/>
      <c r="D98" s="577"/>
      <c r="E98" s="723" t="s">
        <v>348</v>
      </c>
      <c r="F98" s="751"/>
      <c r="G98" s="649"/>
      <c r="H98" s="369">
        <f t="shared" si="1"/>
        <v>0</v>
      </c>
      <c r="I98" s="317" t="s">
        <v>337</v>
      </c>
    </row>
    <row r="99" spans="1:9" ht="15.95" customHeight="1">
      <c r="A99" s="966"/>
      <c r="B99" s="341"/>
      <c r="C99" s="734"/>
      <c r="D99" s="577"/>
      <c r="E99" s="723" t="s">
        <v>348</v>
      </c>
      <c r="F99" s="751"/>
      <c r="G99" s="649"/>
      <c r="H99" s="369">
        <f t="shared" si="1"/>
        <v>0</v>
      </c>
      <c r="I99" s="317" t="s">
        <v>337</v>
      </c>
    </row>
    <row r="100" spans="1:9" ht="15.95" customHeight="1">
      <c r="A100" s="966"/>
      <c r="B100" s="341"/>
      <c r="C100" s="734"/>
      <c r="D100" s="577"/>
      <c r="E100" s="723" t="s">
        <v>348</v>
      </c>
      <c r="F100" s="751"/>
      <c r="G100" s="649"/>
      <c r="H100" s="369">
        <f t="shared" si="1"/>
        <v>0</v>
      </c>
      <c r="I100" s="317" t="s">
        <v>337</v>
      </c>
    </row>
    <row r="101" spans="1:9" ht="15.95" customHeight="1">
      <c r="A101" s="966"/>
      <c r="B101" s="341"/>
      <c r="C101" s="734"/>
      <c r="D101" s="577"/>
      <c r="E101" s="723" t="s">
        <v>348</v>
      </c>
      <c r="F101" s="751"/>
      <c r="G101" s="649"/>
      <c r="H101" s="369">
        <f t="shared" si="1"/>
        <v>0</v>
      </c>
      <c r="I101" s="317" t="s">
        <v>337</v>
      </c>
    </row>
    <row r="102" spans="1:9" ht="15.95" customHeight="1">
      <c r="A102" s="966"/>
      <c r="B102" s="341"/>
      <c r="C102" s="734"/>
      <c r="D102" s="577"/>
      <c r="E102" s="723" t="s">
        <v>348</v>
      </c>
      <c r="F102" s="751"/>
      <c r="G102" s="649"/>
      <c r="H102" s="369">
        <f t="shared" si="1"/>
        <v>0</v>
      </c>
      <c r="I102" s="317" t="s">
        <v>337</v>
      </c>
    </row>
    <row r="103" spans="1:9" ht="15.95" customHeight="1">
      <c r="A103" s="966"/>
      <c r="B103" s="341"/>
      <c r="C103" s="734"/>
      <c r="D103" s="577"/>
      <c r="E103" s="723" t="s">
        <v>348</v>
      </c>
      <c r="F103" s="751"/>
      <c r="G103" s="649"/>
      <c r="H103" s="369">
        <f t="shared" si="1"/>
        <v>0</v>
      </c>
      <c r="I103" s="317" t="s">
        <v>337</v>
      </c>
    </row>
    <row r="104" spans="1:9" ht="15.95" customHeight="1">
      <c r="A104" s="966"/>
      <c r="B104" s="341"/>
      <c r="C104" s="734"/>
      <c r="D104" s="577"/>
      <c r="E104" s="723" t="s">
        <v>348</v>
      </c>
      <c r="F104" s="751"/>
      <c r="G104" s="649"/>
      <c r="H104" s="369">
        <f t="shared" si="1"/>
        <v>0</v>
      </c>
      <c r="I104" s="317" t="s">
        <v>337</v>
      </c>
    </row>
    <row r="105" spans="1:9" ht="15.95" customHeight="1">
      <c r="A105" s="966"/>
      <c r="B105" s="341"/>
      <c r="C105" s="736"/>
      <c r="D105" s="577"/>
      <c r="E105" s="723" t="s">
        <v>348</v>
      </c>
      <c r="F105" s="751"/>
      <c r="G105" s="649"/>
      <c r="H105" s="369">
        <f t="shared" si="1"/>
        <v>0</v>
      </c>
      <c r="I105" s="317" t="s">
        <v>337</v>
      </c>
    </row>
    <row r="106" spans="1:9" ht="15.95" customHeight="1">
      <c r="A106" s="966"/>
      <c r="B106" s="341"/>
      <c r="C106" s="727"/>
      <c r="D106" s="577"/>
      <c r="E106" s="723" t="s">
        <v>348</v>
      </c>
      <c r="F106" s="751"/>
      <c r="G106" s="649"/>
      <c r="H106" s="369">
        <f t="shared" si="1"/>
        <v>0</v>
      </c>
      <c r="I106" s="317" t="s">
        <v>337</v>
      </c>
    </row>
    <row r="107" spans="1:9" ht="15.95" customHeight="1">
      <c r="A107" s="966"/>
      <c r="B107" s="341"/>
      <c r="C107" s="732"/>
      <c r="D107" s="737"/>
      <c r="E107" s="723" t="s">
        <v>348</v>
      </c>
      <c r="F107" s="751"/>
      <c r="G107" s="649"/>
      <c r="H107" s="369">
        <f t="shared" si="1"/>
        <v>0</v>
      </c>
      <c r="I107" s="317" t="s">
        <v>337</v>
      </c>
    </row>
    <row r="108" spans="1:9" ht="15.95" customHeight="1">
      <c r="A108" s="966"/>
      <c r="B108" s="341"/>
      <c r="C108" s="733"/>
      <c r="D108" s="577"/>
      <c r="E108" s="723" t="s">
        <v>348</v>
      </c>
      <c r="F108" s="751"/>
      <c r="G108" s="649"/>
      <c r="H108" s="369">
        <f t="shared" si="1"/>
        <v>0</v>
      </c>
      <c r="I108" s="317" t="s">
        <v>337</v>
      </c>
    </row>
    <row r="109" spans="1:9" ht="15.95" customHeight="1">
      <c r="A109" s="966"/>
      <c r="B109" s="341"/>
      <c r="C109" s="733"/>
      <c r="D109" s="577"/>
      <c r="E109" s="723" t="s">
        <v>348</v>
      </c>
      <c r="F109" s="751"/>
      <c r="G109" s="649"/>
      <c r="H109" s="369">
        <f t="shared" si="1"/>
        <v>0</v>
      </c>
      <c r="I109" s="317" t="s">
        <v>337</v>
      </c>
    </row>
    <row r="110" spans="1:9" ht="15.95" customHeight="1">
      <c r="A110" s="966"/>
      <c r="B110" s="341"/>
      <c r="C110" s="733"/>
      <c r="D110" s="577"/>
      <c r="E110" s="723" t="s">
        <v>348</v>
      </c>
      <c r="F110" s="751"/>
      <c r="G110" s="649"/>
      <c r="H110" s="369">
        <f t="shared" si="1"/>
        <v>0</v>
      </c>
      <c r="I110" s="317" t="s">
        <v>337</v>
      </c>
    </row>
    <row r="111" spans="1:9" ht="15.95" customHeight="1">
      <c r="A111" s="966"/>
      <c r="B111" s="341"/>
      <c r="C111" s="727"/>
      <c r="D111" s="577"/>
      <c r="E111" s="723" t="s">
        <v>348</v>
      </c>
      <c r="F111" s="751"/>
      <c r="G111" s="649"/>
      <c r="H111" s="369">
        <f t="shared" si="1"/>
        <v>0</v>
      </c>
      <c r="I111" s="317" t="s">
        <v>337</v>
      </c>
    </row>
    <row r="112" spans="1:9" ht="15.95" customHeight="1">
      <c r="A112" s="966"/>
      <c r="B112" s="341"/>
      <c r="C112" s="727"/>
      <c r="D112" s="577"/>
      <c r="E112" s="723" t="s">
        <v>348</v>
      </c>
      <c r="F112" s="751"/>
      <c r="G112" s="649"/>
      <c r="H112" s="369">
        <f t="shared" si="1"/>
        <v>0</v>
      </c>
      <c r="I112" s="317" t="s">
        <v>337</v>
      </c>
    </row>
    <row r="113" spans="1:9" ht="15.95" customHeight="1">
      <c r="A113" s="966"/>
      <c r="B113" s="341"/>
      <c r="C113" s="733"/>
      <c r="D113" s="577"/>
      <c r="E113" s="723" t="s">
        <v>348</v>
      </c>
      <c r="F113" s="751"/>
      <c r="G113" s="649"/>
      <c r="H113" s="369">
        <f t="shared" si="1"/>
        <v>0</v>
      </c>
      <c r="I113" s="317" t="s">
        <v>337</v>
      </c>
    </row>
    <row r="114" spans="1:9" ht="15.95" customHeight="1">
      <c r="A114" s="966"/>
      <c r="B114" s="341"/>
      <c r="C114" s="733"/>
      <c r="D114" s="577"/>
      <c r="E114" s="723" t="s">
        <v>348</v>
      </c>
      <c r="F114" s="751"/>
      <c r="G114" s="649"/>
      <c r="H114" s="369">
        <f t="shared" si="1"/>
        <v>0</v>
      </c>
      <c r="I114" s="317" t="s">
        <v>337</v>
      </c>
    </row>
    <row r="115" spans="1:9" ht="15.95" customHeight="1">
      <c r="A115" s="966"/>
      <c r="B115" s="341"/>
      <c r="C115" s="733"/>
      <c r="D115" s="577"/>
      <c r="E115" s="723" t="s">
        <v>348</v>
      </c>
      <c r="F115" s="751"/>
      <c r="G115" s="649"/>
      <c r="H115" s="369">
        <f t="shared" si="1"/>
        <v>0</v>
      </c>
      <c r="I115" s="317" t="s">
        <v>337</v>
      </c>
    </row>
    <row r="116" spans="1:9" ht="15.95" customHeight="1">
      <c r="A116" s="966"/>
      <c r="B116" s="341"/>
      <c r="C116" s="733"/>
      <c r="D116" s="577"/>
      <c r="E116" s="723" t="s">
        <v>348</v>
      </c>
      <c r="F116" s="751"/>
      <c r="G116" s="649"/>
      <c r="H116" s="369">
        <f t="shared" si="1"/>
        <v>0</v>
      </c>
      <c r="I116" s="317" t="s">
        <v>337</v>
      </c>
    </row>
    <row r="117" spans="1:9" ht="15.95" customHeight="1">
      <c r="A117" s="966"/>
      <c r="B117" s="341"/>
      <c r="C117" s="733"/>
      <c r="D117" s="577"/>
      <c r="E117" s="723" t="s">
        <v>348</v>
      </c>
      <c r="F117" s="751"/>
      <c r="G117" s="649"/>
      <c r="H117" s="369">
        <f t="shared" si="1"/>
        <v>0</v>
      </c>
      <c r="I117" s="317" t="s">
        <v>337</v>
      </c>
    </row>
    <row r="118" spans="1:9" ht="15.95" customHeight="1">
      <c r="A118" s="966"/>
      <c r="B118" s="341"/>
      <c r="C118" s="734"/>
      <c r="D118" s="577"/>
      <c r="E118" s="723" t="s">
        <v>348</v>
      </c>
      <c r="F118" s="751"/>
      <c r="G118" s="649"/>
      <c r="H118" s="369">
        <f t="shared" ref="H118:H129" si="2">SUM(F118*G118)</f>
        <v>0</v>
      </c>
      <c r="I118" s="317" t="s">
        <v>337</v>
      </c>
    </row>
    <row r="119" spans="1:9" ht="15.95" customHeight="1">
      <c r="A119" s="966"/>
      <c r="B119" s="341"/>
      <c r="C119" s="734"/>
      <c r="D119" s="577"/>
      <c r="E119" s="723" t="s">
        <v>348</v>
      </c>
      <c r="F119" s="751"/>
      <c r="G119" s="649"/>
      <c r="H119" s="369">
        <f t="shared" si="2"/>
        <v>0</v>
      </c>
      <c r="I119" s="317" t="s">
        <v>337</v>
      </c>
    </row>
    <row r="120" spans="1:9" ht="15.95" customHeight="1">
      <c r="A120" s="966"/>
      <c r="B120" s="341"/>
      <c r="C120" s="734"/>
      <c r="D120" s="577"/>
      <c r="E120" s="723" t="s">
        <v>348</v>
      </c>
      <c r="F120" s="751"/>
      <c r="G120" s="649"/>
      <c r="H120" s="369">
        <f t="shared" si="2"/>
        <v>0</v>
      </c>
      <c r="I120" s="317" t="s">
        <v>337</v>
      </c>
    </row>
    <row r="121" spans="1:9" ht="15.95" customHeight="1">
      <c r="A121" s="966"/>
      <c r="B121" s="341"/>
      <c r="C121" s="734"/>
      <c r="D121" s="577"/>
      <c r="E121" s="723" t="s">
        <v>348</v>
      </c>
      <c r="F121" s="751"/>
      <c r="G121" s="649"/>
      <c r="H121" s="369">
        <f t="shared" si="2"/>
        <v>0</v>
      </c>
      <c r="I121" s="317" t="s">
        <v>337</v>
      </c>
    </row>
    <row r="122" spans="1:9" ht="15.95" customHeight="1">
      <c r="A122" s="966"/>
      <c r="B122" s="341"/>
      <c r="C122" s="734"/>
      <c r="D122" s="577"/>
      <c r="E122" s="723" t="s">
        <v>348</v>
      </c>
      <c r="F122" s="751"/>
      <c r="G122" s="649"/>
      <c r="H122" s="369">
        <f t="shared" si="2"/>
        <v>0</v>
      </c>
      <c r="I122" s="317" t="s">
        <v>337</v>
      </c>
    </row>
    <row r="123" spans="1:9" ht="15.95" customHeight="1">
      <c r="A123" s="966"/>
      <c r="B123" s="341"/>
      <c r="C123" s="733"/>
      <c r="D123" s="577"/>
      <c r="E123" s="723" t="s">
        <v>348</v>
      </c>
      <c r="F123" s="751"/>
      <c r="G123" s="649"/>
      <c r="H123" s="369">
        <f t="shared" si="2"/>
        <v>0</v>
      </c>
      <c r="I123" s="317" t="s">
        <v>337</v>
      </c>
    </row>
    <row r="124" spans="1:9" ht="15.95" customHeight="1">
      <c r="A124" s="966"/>
      <c r="B124" s="341"/>
      <c r="C124" s="733"/>
      <c r="D124" s="577"/>
      <c r="E124" s="723" t="s">
        <v>348</v>
      </c>
      <c r="F124" s="751"/>
      <c r="G124" s="649"/>
      <c r="H124" s="369">
        <f t="shared" si="2"/>
        <v>0</v>
      </c>
      <c r="I124" s="317" t="s">
        <v>337</v>
      </c>
    </row>
    <row r="125" spans="1:9" ht="15.95" customHeight="1">
      <c r="A125" s="966"/>
      <c r="B125" s="341"/>
      <c r="C125" s="727"/>
      <c r="D125" s="577"/>
      <c r="E125" s="723" t="s">
        <v>348</v>
      </c>
      <c r="F125" s="751"/>
      <c r="G125" s="649"/>
      <c r="H125" s="369">
        <f t="shared" si="2"/>
        <v>0</v>
      </c>
      <c r="I125" s="317" t="s">
        <v>337</v>
      </c>
    </row>
    <row r="126" spans="1:9" ht="15.95" customHeight="1">
      <c r="A126" s="966"/>
      <c r="B126" s="341"/>
      <c r="C126" s="727"/>
      <c r="D126" s="577"/>
      <c r="E126" s="723" t="s">
        <v>348</v>
      </c>
      <c r="F126" s="751"/>
      <c r="G126" s="649"/>
      <c r="H126" s="369">
        <f t="shared" si="2"/>
        <v>0</v>
      </c>
      <c r="I126" s="317" t="s">
        <v>337</v>
      </c>
    </row>
    <row r="127" spans="1:9" ht="15.95" customHeight="1">
      <c r="A127" s="966"/>
      <c r="B127" s="341"/>
      <c r="C127" s="734"/>
      <c r="D127" s="577"/>
      <c r="E127" s="723" t="s">
        <v>348</v>
      </c>
      <c r="F127" s="751"/>
      <c r="G127" s="649"/>
      <c r="H127" s="369">
        <f t="shared" si="2"/>
        <v>0</v>
      </c>
      <c r="I127" s="317" t="s">
        <v>337</v>
      </c>
    </row>
    <row r="128" spans="1:9" ht="15.95" customHeight="1">
      <c r="A128" s="966"/>
      <c r="B128" s="341"/>
      <c r="C128" s="734"/>
      <c r="D128" s="577"/>
      <c r="E128" s="723" t="s">
        <v>348</v>
      </c>
      <c r="F128" s="751"/>
      <c r="G128" s="649"/>
      <c r="H128" s="369">
        <f t="shared" si="2"/>
        <v>0</v>
      </c>
      <c r="I128" s="317" t="s">
        <v>337</v>
      </c>
    </row>
    <row r="129" spans="1:11" ht="15.95" customHeight="1">
      <c r="A129" s="966"/>
      <c r="B129" s="341"/>
      <c r="C129" s="734"/>
      <c r="D129" s="577"/>
      <c r="E129" s="723" t="s">
        <v>348</v>
      </c>
      <c r="F129" s="751"/>
      <c r="G129" s="649"/>
      <c r="H129" s="369">
        <f t="shared" si="2"/>
        <v>0</v>
      </c>
      <c r="I129" s="725" t="s">
        <v>337</v>
      </c>
    </row>
    <row r="130" spans="1:11" ht="15.95" customHeight="1">
      <c r="A130" s="966"/>
      <c r="B130" s="341"/>
      <c r="C130" s="655"/>
      <c r="D130" s="655"/>
      <c r="E130" s="723"/>
      <c r="F130" s="724"/>
      <c r="G130" s="649"/>
      <c r="H130" s="369"/>
      <c r="I130" s="725"/>
    </row>
    <row r="131" spans="1:11" ht="15.95" customHeight="1">
      <c r="A131" s="966"/>
      <c r="B131" s="341"/>
      <c r="C131" s="655"/>
      <c r="D131" s="655"/>
      <c r="E131" s="723"/>
      <c r="F131" s="724"/>
      <c r="G131" s="649"/>
      <c r="H131" s="369"/>
      <c r="I131" s="725"/>
    </row>
    <row r="132" spans="1:11" ht="15.95" customHeight="1">
      <c r="A132" s="966"/>
      <c r="B132" s="341"/>
      <c r="C132" s="655"/>
      <c r="D132" s="655"/>
      <c r="E132" s="723"/>
      <c r="F132" s="724"/>
      <c r="G132" s="649"/>
      <c r="H132" s="369"/>
      <c r="I132" s="725"/>
    </row>
    <row r="133" spans="1:11" ht="15.95" customHeight="1">
      <c r="A133" s="966"/>
      <c r="B133" s="341"/>
      <c r="C133" s="305"/>
      <c r="D133" s="305"/>
      <c r="E133" s="401"/>
      <c r="F133" s="307"/>
      <c r="G133" s="406"/>
      <c r="H133" s="369"/>
      <c r="I133" s="317"/>
    </row>
    <row r="134" spans="1:11" ht="15.95" customHeight="1">
      <c r="A134" s="966"/>
      <c r="B134" s="341"/>
      <c r="C134" s="305"/>
      <c r="D134" s="305"/>
      <c r="E134" s="401"/>
      <c r="F134" s="307"/>
      <c r="G134" s="406"/>
      <c r="H134" s="369"/>
      <c r="I134" s="317"/>
    </row>
    <row r="135" spans="1:11" ht="15.95" customHeight="1">
      <c r="A135" s="966"/>
      <c r="B135" s="341"/>
      <c r="C135" s="305"/>
      <c r="D135" s="305"/>
      <c r="E135" s="401"/>
      <c r="F135" s="307"/>
      <c r="G135" s="406"/>
      <c r="H135" s="369"/>
      <c r="I135" s="317"/>
    </row>
    <row r="136" spans="1:11" ht="15.95" customHeight="1">
      <c r="A136" s="966"/>
      <c r="B136" s="341"/>
      <c r="C136" s="331"/>
      <c r="D136" s="305"/>
      <c r="E136" s="315"/>
      <c r="F136" s="406"/>
      <c r="G136" s="406"/>
      <c r="H136" s="369"/>
      <c r="I136" s="387"/>
    </row>
    <row r="137" spans="1:11" ht="15.95" customHeight="1">
      <c r="A137" s="966"/>
      <c r="B137" s="341"/>
      <c r="C137" s="331"/>
      <c r="D137" s="305"/>
      <c r="E137" s="315"/>
      <c r="F137" s="406"/>
      <c r="G137" s="406"/>
      <c r="H137" s="369"/>
      <c r="I137" s="387"/>
    </row>
    <row r="138" spans="1:11" ht="15.95" customHeight="1">
      <c r="A138" s="966"/>
      <c r="B138" s="341"/>
      <c r="C138" s="332"/>
      <c r="D138" s="333"/>
      <c r="E138" s="403"/>
      <c r="F138" s="414"/>
      <c r="G138" s="414"/>
      <c r="H138" s="374"/>
      <c r="I138" s="388"/>
    </row>
    <row r="139" spans="1:11" ht="15.95" customHeight="1">
      <c r="A139" s="966"/>
      <c r="B139" s="342"/>
      <c r="C139" s="389"/>
      <c r="D139" s="390"/>
      <c r="E139" s="391"/>
      <c r="F139" s="378"/>
      <c r="G139" s="378"/>
      <c r="H139" s="347">
        <f>SUM(H53:H138)</f>
        <v>0</v>
      </c>
      <c r="I139" s="392"/>
    </row>
    <row r="140" spans="1:11" ht="15.95" customHeight="1">
      <c r="A140" s="350"/>
      <c r="B140" s="351" t="s">
        <v>135</v>
      </c>
      <c r="C140" s="352"/>
      <c r="D140" s="376"/>
      <c r="E140" s="377"/>
      <c r="F140" s="393"/>
      <c r="G140" s="393"/>
      <c r="H140" s="347"/>
      <c r="I140" s="392"/>
    </row>
    <row r="141" spans="1:11" ht="15.95" customHeight="1">
      <c r="A141" s="962" t="s">
        <v>136</v>
      </c>
      <c r="B141" s="354" t="s">
        <v>137</v>
      </c>
      <c r="C141" s="355"/>
      <c r="D141" s="356"/>
      <c r="E141" s="357" t="s">
        <v>138</v>
      </c>
      <c r="F141" s="415"/>
      <c r="G141" s="415"/>
      <c r="H141" s="358">
        <f>F141*G141</f>
        <v>0</v>
      </c>
      <c r="I141" s="386"/>
      <c r="K141" s="303"/>
    </row>
    <row r="142" spans="1:11" ht="15.95" customHeight="1">
      <c r="A142" s="966"/>
      <c r="B142" s="360" t="s">
        <v>16</v>
      </c>
      <c r="C142" s="361"/>
      <c r="D142" s="362"/>
      <c r="E142" s="363" t="s">
        <v>11</v>
      </c>
      <c r="F142" s="400"/>
      <c r="G142" s="400">
        <v>350000</v>
      </c>
      <c r="H142" s="364">
        <f t="shared" ref="H142:H148" si="3">F142*G142</f>
        <v>0</v>
      </c>
      <c r="I142" s="394"/>
      <c r="K142" s="303"/>
    </row>
    <row r="143" spans="1:11" ht="15.95" customHeight="1">
      <c r="A143" s="966"/>
      <c r="B143" s="365" t="s">
        <v>298</v>
      </c>
      <c r="C143" s="366"/>
      <c r="D143" s="367"/>
      <c r="E143" s="368" t="s">
        <v>11</v>
      </c>
      <c r="F143" s="319"/>
      <c r="G143" s="319">
        <v>350000</v>
      </c>
      <c r="H143" s="369">
        <f t="shared" si="3"/>
        <v>0</v>
      </c>
      <c r="I143" s="387"/>
      <c r="K143" s="303"/>
    </row>
    <row r="144" spans="1:11" ht="15.95" customHeight="1">
      <c r="A144" s="966"/>
      <c r="B144" s="365" t="s">
        <v>286</v>
      </c>
      <c r="C144" s="366"/>
      <c r="D144" s="367"/>
      <c r="E144" s="368" t="s">
        <v>11</v>
      </c>
      <c r="F144" s="319"/>
      <c r="G144" s="319">
        <v>350000</v>
      </c>
      <c r="H144" s="369">
        <f>F144*G144</f>
        <v>0</v>
      </c>
      <c r="I144" s="387"/>
      <c r="K144" s="303"/>
    </row>
    <row r="145" spans="1:11" ht="15.95" customHeight="1">
      <c r="A145" s="966"/>
      <c r="B145" s="365" t="s">
        <v>141</v>
      </c>
      <c r="C145" s="366"/>
      <c r="D145" s="367"/>
      <c r="E145" s="368" t="s">
        <v>11</v>
      </c>
      <c r="F145" s="319"/>
      <c r="G145" s="319">
        <v>450000</v>
      </c>
      <c r="H145" s="369">
        <f>F145*G145</f>
        <v>0</v>
      </c>
      <c r="I145" s="387"/>
      <c r="K145" s="303"/>
    </row>
    <row r="146" spans="1:11" ht="15.95" customHeight="1">
      <c r="A146" s="966"/>
      <c r="B146" s="365" t="s">
        <v>294</v>
      </c>
      <c r="C146" s="366"/>
      <c r="D146" s="367"/>
      <c r="E146" s="368" t="s">
        <v>11</v>
      </c>
      <c r="F146" s="319"/>
      <c r="G146" s="319">
        <v>450000</v>
      </c>
      <c r="H146" s="369">
        <f t="shared" si="3"/>
        <v>0</v>
      </c>
      <c r="I146" s="387"/>
      <c r="K146" s="303"/>
    </row>
    <row r="147" spans="1:11" ht="15.95" customHeight="1">
      <c r="A147" s="966"/>
      <c r="B147" s="365" t="s">
        <v>275</v>
      </c>
      <c r="C147" s="366"/>
      <c r="D147" s="367"/>
      <c r="E147" s="368" t="s">
        <v>11</v>
      </c>
      <c r="F147" s="319"/>
      <c r="G147" s="319">
        <v>450000</v>
      </c>
      <c r="H147" s="369">
        <f t="shared" si="3"/>
        <v>0</v>
      </c>
      <c r="I147" s="387"/>
      <c r="K147" s="303"/>
    </row>
    <row r="148" spans="1:11" ht="15.95" customHeight="1">
      <c r="A148" s="966"/>
      <c r="B148" s="370" t="s">
        <v>144</v>
      </c>
      <c r="C148" s="371"/>
      <c r="D148" s="372"/>
      <c r="E148" s="373" t="s">
        <v>11</v>
      </c>
      <c r="F148" s="336"/>
      <c r="G148" s="336">
        <v>300000</v>
      </c>
      <c r="H148" s="374">
        <f t="shared" si="3"/>
        <v>0</v>
      </c>
      <c r="I148" s="388"/>
      <c r="K148" s="303"/>
    </row>
    <row r="149" spans="1:11" ht="15.95" customHeight="1">
      <c r="A149" s="350"/>
      <c r="B149" s="375" t="s">
        <v>145</v>
      </c>
      <c r="C149" s="352"/>
      <c r="D149" s="376"/>
      <c r="E149" s="377"/>
      <c r="F149" s="378"/>
      <c r="G149" s="378"/>
      <c r="H149" s="346">
        <f>SUM(H141:H148)</f>
        <v>0</v>
      </c>
      <c r="I149" s="395"/>
    </row>
    <row r="150" spans="1:11" ht="15.95" customHeight="1">
      <c r="A150" s="379"/>
      <c r="B150" s="375" t="s">
        <v>146</v>
      </c>
      <c r="C150" s="352"/>
      <c r="D150" s="376"/>
      <c r="E150" s="377"/>
      <c r="F150" s="380"/>
      <c r="G150" s="380"/>
      <c r="H150" s="353">
        <f>'단위장비별(집계)2'!L16+'단위장비별(집계)2'!I16</f>
        <v>0</v>
      </c>
      <c r="I150" s="392"/>
    </row>
    <row r="151" spans="1:11" ht="15.95" customHeight="1">
      <c r="A151" s="379"/>
      <c r="B151" s="375" t="s">
        <v>147</v>
      </c>
      <c r="C151" s="352"/>
      <c r="D151" s="376"/>
      <c r="E151" s="377"/>
      <c r="F151" s="380"/>
      <c r="G151" s="381"/>
      <c r="H151" s="416">
        <f>(H140+H149)*0.05</f>
        <v>0</v>
      </c>
      <c r="I151" s="396"/>
    </row>
    <row r="152" spans="1:11" ht="15.95" customHeight="1">
      <c r="A152" s="379"/>
      <c r="B152" s="375" t="s">
        <v>148</v>
      </c>
      <c r="C152" s="352"/>
      <c r="D152" s="376"/>
      <c r="E152" s="377"/>
      <c r="F152" s="380"/>
      <c r="G152" s="381"/>
      <c r="H152" s="416">
        <f>(H140+H149)*0.1</f>
        <v>0</v>
      </c>
      <c r="I152" s="396"/>
    </row>
    <row r="153" spans="1:11" ht="15.95" customHeight="1">
      <c r="A153" s="379"/>
      <c r="B153" s="375" t="s">
        <v>149</v>
      </c>
      <c r="C153" s="352"/>
      <c r="D153" s="376"/>
      <c r="E153" s="377"/>
      <c r="F153" s="380"/>
      <c r="G153" s="380"/>
      <c r="H153" s="346">
        <f>H140+H149+H150+H151+H152</f>
        <v>0</v>
      </c>
      <c r="I153" s="392"/>
    </row>
    <row r="154" spans="1:11">
      <c r="A154" s="119"/>
    </row>
  </sheetData>
  <mergeCells count="3">
    <mergeCell ref="A2:B2"/>
    <mergeCell ref="A3:A139"/>
    <mergeCell ref="A141:A148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31" orientation="portrait" horizontalDpi="4294967292" r:id="rId1"/>
  <headerFooter alignWithMargins="0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6131B-6BB6-489D-A284-79A88DA105E8}">
  <sheetPr>
    <pageSetUpPr fitToPage="1"/>
  </sheetPr>
  <dimension ref="A1:M76"/>
  <sheetViews>
    <sheetView view="pageBreakPreview" zoomScale="80" zoomScaleNormal="85" workbookViewId="0">
      <pane xSplit="2" ySplit="2" topLeftCell="C54" activePane="bottomRight" state="frozen"/>
      <selection activeCell="F67" sqref="F67"/>
      <selection pane="topRight" activeCell="F67" sqref="F67"/>
      <selection pane="bottomLeft" activeCell="F67" sqref="F67"/>
      <selection pane="bottomRight" activeCell="K72" sqref="K72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9" style="227"/>
    <col min="11" max="11" width="10" style="227" bestFit="1" customWidth="1"/>
    <col min="12" max="13" width="9" style="227"/>
    <col min="14" max="16384" width="9" style="53"/>
  </cols>
  <sheetData>
    <row r="1" spans="1:13" ht="22.5" customHeight="1">
      <c r="A1" s="45" t="s">
        <v>151</v>
      </c>
      <c r="B1" s="45"/>
      <c r="C1" s="419"/>
      <c r="D1" s="262"/>
      <c r="E1" s="238"/>
      <c r="F1" s="22"/>
      <c r="G1" s="114"/>
      <c r="I1" s="230" t="s">
        <v>121</v>
      </c>
      <c r="J1" s="229"/>
      <c r="K1" s="229"/>
      <c r="L1" s="229"/>
      <c r="M1" s="229"/>
    </row>
    <row r="2" spans="1:13" s="119" customFormat="1" ht="16.5" customHeight="1">
      <c r="A2" s="964" t="s">
        <v>122</v>
      </c>
      <c r="B2" s="965"/>
      <c r="C2" s="359" t="s">
        <v>123</v>
      </c>
      <c r="D2" s="383" t="s">
        <v>124</v>
      </c>
      <c r="E2" s="383" t="s">
        <v>125</v>
      </c>
      <c r="F2" s="384" t="s">
        <v>126</v>
      </c>
      <c r="G2" s="384" t="s">
        <v>127</v>
      </c>
      <c r="H2" s="384" t="s">
        <v>128</v>
      </c>
      <c r="I2" s="385" t="s">
        <v>129</v>
      </c>
      <c r="J2" s="228"/>
      <c r="K2" s="228"/>
      <c r="L2" s="228"/>
      <c r="M2" s="228"/>
    </row>
    <row r="3" spans="1:13" ht="15.95" customHeight="1">
      <c r="A3" s="962" t="s">
        <v>130</v>
      </c>
      <c r="B3" s="341" t="s">
        <v>131</v>
      </c>
      <c r="C3" s="660"/>
      <c r="D3" s="661"/>
      <c r="E3" s="662"/>
      <c r="F3" s="663"/>
      <c r="G3" s="413"/>
      <c r="H3" s="369">
        <f t="shared" ref="H3:H25" si="0">IF(F3=0,G3,G3*F3)</f>
        <v>0</v>
      </c>
      <c r="I3" s="386"/>
    </row>
    <row r="4" spans="1:13" ht="15.95" customHeight="1">
      <c r="A4" s="966"/>
      <c r="B4" s="341"/>
      <c r="C4" s="331"/>
      <c r="D4" s="425"/>
      <c r="E4" s="315"/>
      <c r="F4" s="424"/>
      <c r="G4" s="406"/>
      <c r="H4" s="369">
        <f t="shared" si="0"/>
        <v>0</v>
      </c>
      <c r="I4" s="387"/>
    </row>
    <row r="5" spans="1:13" ht="15.95" customHeight="1">
      <c r="A5" s="966"/>
      <c r="B5" s="341"/>
      <c r="C5" s="331"/>
      <c r="D5" s="425"/>
      <c r="E5" s="315"/>
      <c r="F5" s="424"/>
      <c r="G5" s="406"/>
      <c r="H5" s="369">
        <f t="shared" si="0"/>
        <v>0</v>
      </c>
      <c r="I5" s="387"/>
    </row>
    <row r="6" spans="1:13" ht="15.95" customHeight="1">
      <c r="A6" s="966"/>
      <c r="B6" s="341"/>
      <c r="C6" s="331"/>
      <c r="D6" s="305"/>
      <c r="E6" s="315"/>
      <c r="F6" s="424"/>
      <c r="G6" s="406"/>
      <c r="H6" s="369">
        <f t="shared" si="0"/>
        <v>0</v>
      </c>
      <c r="I6" s="387"/>
    </row>
    <row r="7" spans="1:13" ht="15.95" customHeight="1">
      <c r="A7" s="966"/>
      <c r="B7" s="341"/>
      <c r="C7" s="331"/>
      <c r="D7" s="305"/>
      <c r="E7" s="315"/>
      <c r="F7" s="424"/>
      <c r="G7" s="406"/>
      <c r="H7" s="369">
        <f t="shared" si="0"/>
        <v>0</v>
      </c>
      <c r="I7" s="387"/>
    </row>
    <row r="8" spans="1:13" ht="15.95" customHeight="1">
      <c r="A8" s="966"/>
      <c r="B8" s="341"/>
      <c r="C8" s="331"/>
      <c r="D8" s="305"/>
      <c r="E8" s="315"/>
      <c r="F8" s="424"/>
      <c r="G8" s="406"/>
      <c r="H8" s="369">
        <f t="shared" si="0"/>
        <v>0</v>
      </c>
      <c r="I8" s="387"/>
    </row>
    <row r="9" spans="1:13" ht="15.95" customHeight="1">
      <c r="A9" s="966"/>
      <c r="B9" s="341"/>
      <c r="C9" s="331"/>
      <c r="D9" s="305"/>
      <c r="E9" s="315"/>
      <c r="F9" s="424"/>
      <c r="G9" s="406"/>
      <c r="H9" s="369">
        <f t="shared" si="0"/>
        <v>0</v>
      </c>
      <c r="I9" s="387"/>
    </row>
    <row r="10" spans="1:13" ht="15.95" customHeight="1">
      <c r="A10" s="966"/>
      <c r="B10" s="341"/>
      <c r="C10" s="331"/>
      <c r="D10" s="425"/>
      <c r="E10" s="315"/>
      <c r="F10" s="424"/>
      <c r="G10" s="406"/>
      <c r="H10" s="369">
        <f t="shared" si="0"/>
        <v>0</v>
      </c>
      <c r="I10" s="387"/>
    </row>
    <row r="11" spans="1:13" ht="15.95" customHeight="1">
      <c r="A11" s="966"/>
      <c r="B11" s="341"/>
      <c r="C11" s="305"/>
      <c r="D11" s="305"/>
      <c r="E11" s="315"/>
      <c r="F11" s="424"/>
      <c r="G11" s="406"/>
      <c r="H11" s="369">
        <f t="shared" si="0"/>
        <v>0</v>
      </c>
      <c r="I11" s="387"/>
    </row>
    <row r="12" spans="1:13" ht="15.95" customHeight="1">
      <c r="A12" s="966"/>
      <c r="B12" s="341"/>
      <c r="C12" s="331"/>
      <c r="D12" s="305"/>
      <c r="E12" s="315"/>
      <c r="F12" s="664"/>
      <c r="G12" s="406"/>
      <c r="H12" s="369">
        <f t="shared" si="0"/>
        <v>0</v>
      </c>
      <c r="I12" s="387"/>
    </row>
    <row r="13" spans="1:13" ht="15.95" customHeight="1">
      <c r="A13" s="966"/>
      <c r="B13" s="341"/>
      <c r="C13" s="654"/>
      <c r="D13" s="655"/>
      <c r="E13" s="398"/>
      <c r="F13" s="649"/>
      <c r="G13" s="406"/>
      <c r="H13" s="369">
        <f t="shared" si="0"/>
        <v>0</v>
      </c>
      <c r="I13" s="387"/>
    </row>
    <row r="14" spans="1:13" ht="15.95" customHeight="1">
      <c r="A14" s="966"/>
      <c r="B14" s="341"/>
      <c r="C14" s="654"/>
      <c r="D14" s="655"/>
      <c r="E14" s="398"/>
      <c r="F14" s="649"/>
      <c r="G14" s="406"/>
      <c r="H14" s="369">
        <f t="shared" si="0"/>
        <v>0</v>
      </c>
      <c r="I14" s="387"/>
    </row>
    <row r="15" spans="1:13" ht="15.95" customHeight="1">
      <c r="A15" s="966"/>
      <c r="B15" s="341"/>
      <c r="C15" s="331"/>
      <c r="D15" s="305"/>
      <c r="E15" s="315"/>
      <c r="F15" s="406"/>
      <c r="G15" s="406"/>
      <c r="H15" s="369">
        <f t="shared" si="0"/>
        <v>0</v>
      </c>
      <c r="I15" s="387"/>
    </row>
    <row r="16" spans="1:13" ht="15.95" customHeight="1">
      <c r="A16" s="966"/>
      <c r="B16" s="341"/>
      <c r="C16" s="331"/>
      <c r="D16" s="305"/>
      <c r="E16" s="315"/>
      <c r="F16" s="406"/>
      <c r="G16" s="406"/>
      <c r="H16" s="369">
        <f t="shared" si="0"/>
        <v>0</v>
      </c>
      <c r="I16" s="387"/>
    </row>
    <row r="17" spans="1:9" ht="15.95" customHeight="1">
      <c r="A17" s="966"/>
      <c r="B17" s="341"/>
      <c r="C17" s="331"/>
      <c r="D17" s="305"/>
      <c r="E17" s="315"/>
      <c r="F17" s="406"/>
      <c r="G17" s="406"/>
      <c r="H17" s="369">
        <f t="shared" si="0"/>
        <v>0</v>
      </c>
      <c r="I17" s="387"/>
    </row>
    <row r="18" spans="1:9" ht="15.95" customHeight="1">
      <c r="A18" s="966"/>
      <c r="B18" s="341"/>
      <c r="C18" s="331"/>
      <c r="D18" s="305"/>
      <c r="E18" s="315"/>
      <c r="F18" s="406"/>
      <c r="G18" s="406"/>
      <c r="H18" s="369">
        <f t="shared" si="0"/>
        <v>0</v>
      </c>
      <c r="I18" s="387"/>
    </row>
    <row r="19" spans="1:9" ht="15.95" customHeight="1">
      <c r="A19" s="966"/>
      <c r="B19" s="341"/>
      <c r="C19" s="331"/>
      <c r="D19" s="305"/>
      <c r="E19" s="315"/>
      <c r="F19" s="406"/>
      <c r="G19" s="406"/>
      <c r="H19" s="369">
        <f t="shared" si="0"/>
        <v>0</v>
      </c>
      <c r="I19" s="387"/>
    </row>
    <row r="20" spans="1:9" ht="15.95" customHeight="1">
      <c r="A20" s="966"/>
      <c r="B20" s="341"/>
      <c r="C20" s="331"/>
      <c r="D20" s="305"/>
      <c r="E20" s="315"/>
      <c r="F20" s="406"/>
      <c r="G20" s="406"/>
      <c r="H20" s="369">
        <f t="shared" si="0"/>
        <v>0</v>
      </c>
      <c r="I20" s="387"/>
    </row>
    <row r="21" spans="1:9" ht="15.95" customHeight="1">
      <c r="A21" s="966"/>
      <c r="B21" s="341"/>
      <c r="C21" s="331"/>
      <c r="D21" s="305"/>
      <c r="E21" s="315"/>
      <c r="F21" s="406"/>
      <c r="G21" s="406"/>
      <c r="H21" s="369">
        <f t="shared" si="0"/>
        <v>0</v>
      </c>
      <c r="I21" s="387"/>
    </row>
    <row r="22" spans="1:9" ht="15.95" customHeight="1">
      <c r="A22" s="966"/>
      <c r="B22" s="341"/>
      <c r="C22" s="331"/>
      <c r="D22" s="305"/>
      <c r="E22" s="315"/>
      <c r="F22" s="406"/>
      <c r="G22" s="406"/>
      <c r="H22" s="369">
        <f t="shared" si="0"/>
        <v>0</v>
      </c>
      <c r="I22" s="387"/>
    </row>
    <row r="23" spans="1:9" ht="15.95" customHeight="1">
      <c r="A23" s="966"/>
      <c r="B23" s="341"/>
      <c r="C23" s="331"/>
      <c r="D23" s="305"/>
      <c r="E23" s="315"/>
      <c r="F23" s="406"/>
      <c r="G23" s="406"/>
      <c r="H23" s="369">
        <f t="shared" si="0"/>
        <v>0</v>
      </c>
      <c r="I23" s="387"/>
    </row>
    <row r="24" spans="1:9" ht="15.95" customHeight="1">
      <c r="A24" s="966"/>
      <c r="B24" s="341"/>
      <c r="C24" s="331"/>
      <c r="D24" s="305"/>
      <c r="E24" s="315"/>
      <c r="F24" s="406"/>
      <c r="G24" s="406"/>
      <c r="H24" s="369">
        <f t="shared" si="0"/>
        <v>0</v>
      </c>
      <c r="I24" s="387"/>
    </row>
    <row r="25" spans="1:9" ht="15.95" customHeight="1">
      <c r="A25" s="966"/>
      <c r="B25" s="341"/>
      <c r="C25" s="331"/>
      <c r="D25" s="305"/>
      <c r="E25" s="315"/>
      <c r="F25" s="406"/>
      <c r="G25" s="406"/>
      <c r="H25" s="369">
        <f t="shared" si="0"/>
        <v>0</v>
      </c>
      <c r="I25" s="387"/>
    </row>
    <row r="26" spans="1:9" ht="15.95" customHeight="1">
      <c r="A26" s="966"/>
      <c r="B26" s="341"/>
      <c r="C26" s="331"/>
      <c r="D26" s="305"/>
      <c r="E26" s="315"/>
      <c r="F26" s="406"/>
      <c r="G26" s="406"/>
      <c r="H26" s="369">
        <f>IF(F26=0,G26,G26*F26)</f>
        <v>0</v>
      </c>
      <c r="I26" s="387"/>
    </row>
    <row r="27" spans="1:9" ht="15.95" customHeight="1">
      <c r="A27" s="966"/>
      <c r="B27" s="341"/>
      <c r="C27" s="332"/>
      <c r="D27" s="333"/>
      <c r="E27" s="403"/>
      <c r="F27" s="414"/>
      <c r="G27" s="414"/>
      <c r="H27" s="369">
        <f>IF(F27=0,G27,G27*F27)</f>
        <v>0</v>
      </c>
      <c r="I27" s="388"/>
    </row>
    <row r="28" spans="1:9" ht="15.95" customHeight="1">
      <c r="A28" s="966"/>
      <c r="B28" s="342"/>
      <c r="C28" s="389"/>
      <c r="D28" s="390"/>
      <c r="E28" s="391"/>
      <c r="F28" s="345">
        <f>SUM(F3:F27)</f>
        <v>0</v>
      </c>
      <c r="G28" s="346"/>
      <c r="H28" s="347">
        <f>SUM(H3:H27)</f>
        <v>0</v>
      </c>
      <c r="I28" s="392"/>
    </row>
    <row r="29" spans="1:9" ht="15.95" customHeight="1">
      <c r="A29" s="966"/>
      <c r="B29" s="349" t="s">
        <v>132</v>
      </c>
      <c r="C29" s="324"/>
      <c r="D29" s="659"/>
      <c r="E29" s="311" t="s">
        <v>215</v>
      </c>
      <c r="F29" s="493"/>
      <c r="G29" s="415"/>
      <c r="H29" s="337">
        <f>G29*F29</f>
        <v>0</v>
      </c>
      <c r="I29" s="540" t="s">
        <v>288</v>
      </c>
    </row>
    <row r="30" spans="1:9" ht="15.95" customHeight="1">
      <c r="A30" s="966"/>
      <c r="B30" s="341" t="s">
        <v>133</v>
      </c>
      <c r="C30" s="443"/>
      <c r="D30" s="577"/>
      <c r="E30" s="315" t="s">
        <v>216</v>
      </c>
      <c r="F30" s="444"/>
      <c r="G30" s="319"/>
      <c r="H30" s="320">
        <f>G30*F30</f>
        <v>0</v>
      </c>
      <c r="I30" s="485" t="s">
        <v>261</v>
      </c>
    </row>
    <row r="31" spans="1:9" ht="15.95" customHeight="1">
      <c r="A31" s="966"/>
      <c r="B31" s="341"/>
      <c r="C31" s="443"/>
      <c r="D31" s="577"/>
      <c r="E31" s="315" t="s">
        <v>216</v>
      </c>
      <c r="F31" s="444"/>
      <c r="G31" s="319"/>
      <c r="H31" s="320">
        <f>G31*F31</f>
        <v>0</v>
      </c>
      <c r="I31" s="485" t="s">
        <v>261</v>
      </c>
    </row>
    <row r="32" spans="1:9" ht="15.95" customHeight="1">
      <c r="A32" s="966"/>
      <c r="B32" s="341"/>
      <c r="C32" s="443"/>
      <c r="D32" s="577"/>
      <c r="E32" s="315" t="s">
        <v>216</v>
      </c>
      <c r="F32" s="444"/>
      <c r="G32" s="319"/>
      <c r="H32" s="320">
        <f>G32*F32</f>
        <v>0</v>
      </c>
      <c r="I32" s="485" t="s">
        <v>261</v>
      </c>
    </row>
    <row r="33" spans="1:9" ht="15.95" customHeight="1">
      <c r="A33" s="966"/>
      <c r="B33" s="341"/>
      <c r="C33" s="443"/>
      <c r="D33" s="577"/>
      <c r="E33" s="315" t="s">
        <v>216</v>
      </c>
      <c r="F33" s="444"/>
      <c r="G33" s="658"/>
      <c r="H33" s="320">
        <f t="shared" ref="H33:H50" si="1">IF(F33=0,G33,G33*F33)</f>
        <v>0</v>
      </c>
      <c r="I33" s="485" t="s">
        <v>261</v>
      </c>
    </row>
    <row r="34" spans="1:9" ht="15.95" customHeight="1">
      <c r="A34" s="966"/>
      <c r="B34" s="341"/>
      <c r="C34" s="443"/>
      <c r="D34" s="577"/>
      <c r="E34" s="315" t="s">
        <v>216</v>
      </c>
      <c r="F34" s="444"/>
      <c r="G34" s="658"/>
      <c r="H34" s="320">
        <f t="shared" si="1"/>
        <v>0</v>
      </c>
      <c r="I34" s="485" t="s">
        <v>261</v>
      </c>
    </row>
    <row r="35" spans="1:9" ht="15.95" customHeight="1">
      <c r="A35" s="966"/>
      <c r="B35" s="341"/>
      <c r="C35" s="433"/>
      <c r="D35" s="577"/>
      <c r="E35" s="315" t="s">
        <v>216</v>
      </c>
      <c r="F35" s="444"/>
      <c r="G35" s="658"/>
      <c r="H35" s="320">
        <f t="shared" si="1"/>
        <v>0</v>
      </c>
      <c r="I35" s="485" t="s">
        <v>261</v>
      </c>
    </row>
    <row r="36" spans="1:9" ht="15.95" customHeight="1">
      <c r="A36" s="966"/>
      <c r="B36" s="341"/>
      <c r="C36" s="443"/>
      <c r="D36" s="577"/>
      <c r="E36" s="315" t="s">
        <v>216</v>
      </c>
      <c r="F36" s="444"/>
      <c r="G36" s="658"/>
      <c r="H36" s="320">
        <f t="shared" si="1"/>
        <v>0</v>
      </c>
      <c r="I36" s="485" t="s">
        <v>261</v>
      </c>
    </row>
    <row r="37" spans="1:9" ht="15.95" customHeight="1">
      <c r="A37" s="966"/>
      <c r="B37" s="341"/>
      <c r="C37" s="433"/>
      <c r="D37" s="577"/>
      <c r="E37" s="315" t="s">
        <v>216</v>
      </c>
      <c r="F37" s="444"/>
      <c r="G37" s="658"/>
      <c r="H37" s="320">
        <f t="shared" si="1"/>
        <v>0</v>
      </c>
      <c r="I37" s="485" t="s">
        <v>261</v>
      </c>
    </row>
    <row r="38" spans="1:9" ht="15.95" customHeight="1">
      <c r="A38" s="966"/>
      <c r="B38" s="341"/>
      <c r="C38" s="433"/>
      <c r="D38" s="577"/>
      <c r="E38" s="315" t="s">
        <v>216</v>
      </c>
      <c r="F38" s="444"/>
      <c r="G38" s="658"/>
      <c r="H38" s="320">
        <f t="shared" si="1"/>
        <v>0</v>
      </c>
      <c r="I38" s="485" t="s">
        <v>261</v>
      </c>
    </row>
    <row r="39" spans="1:9" ht="15.95" customHeight="1">
      <c r="A39" s="966"/>
      <c r="B39" s="341"/>
      <c r="C39" s="443"/>
      <c r="D39" s="577"/>
      <c r="E39" s="315" t="s">
        <v>216</v>
      </c>
      <c r="F39" s="444"/>
      <c r="G39" s="319"/>
      <c r="H39" s="320">
        <f t="shared" si="1"/>
        <v>0</v>
      </c>
      <c r="I39" s="485" t="s">
        <v>261</v>
      </c>
    </row>
    <row r="40" spans="1:9" ht="15.95" customHeight="1">
      <c r="A40" s="966"/>
      <c r="B40" s="341"/>
      <c r="C40" s="443"/>
      <c r="D40" s="577"/>
      <c r="E40" s="315" t="s">
        <v>216</v>
      </c>
      <c r="F40" s="444"/>
      <c r="G40" s="319"/>
      <c r="H40" s="320">
        <f t="shared" si="1"/>
        <v>0</v>
      </c>
      <c r="I40" s="485" t="s">
        <v>261</v>
      </c>
    </row>
    <row r="41" spans="1:9" ht="15.95" customHeight="1">
      <c r="A41" s="966"/>
      <c r="B41" s="341"/>
      <c r="C41" s="445"/>
      <c r="D41" s="577"/>
      <c r="E41" s="315" t="s">
        <v>216</v>
      </c>
      <c r="F41" s="444"/>
      <c r="G41" s="330"/>
      <c r="H41" s="320">
        <f t="shared" si="1"/>
        <v>0</v>
      </c>
      <c r="I41" s="485" t="s">
        <v>261</v>
      </c>
    </row>
    <row r="42" spans="1:9" ht="15.95" customHeight="1">
      <c r="A42" s="966"/>
      <c r="B42" s="341"/>
      <c r="C42" s="433"/>
      <c r="D42" s="577"/>
      <c r="E42" s="315" t="s">
        <v>216</v>
      </c>
      <c r="F42" s="444"/>
      <c r="G42" s="330"/>
      <c r="H42" s="320">
        <f t="shared" si="1"/>
        <v>0</v>
      </c>
      <c r="I42" s="485" t="s">
        <v>261</v>
      </c>
    </row>
    <row r="43" spans="1:9" ht="15.95" customHeight="1">
      <c r="A43" s="966"/>
      <c r="B43" s="341"/>
      <c r="C43" s="433"/>
      <c r="D43" s="577"/>
      <c r="E43" s="315" t="s">
        <v>216</v>
      </c>
      <c r="F43" s="444"/>
      <c r="G43" s="330"/>
      <c r="H43" s="320">
        <f t="shared" si="1"/>
        <v>0</v>
      </c>
      <c r="I43" s="485" t="s">
        <v>261</v>
      </c>
    </row>
    <row r="44" spans="1:9" ht="15.95" customHeight="1">
      <c r="A44" s="966"/>
      <c r="B44" s="341"/>
      <c r="C44" s="433"/>
      <c r="D44" s="577"/>
      <c r="E44" s="315" t="s">
        <v>216</v>
      </c>
      <c r="F44" s="444"/>
      <c r="G44" s="330"/>
      <c r="H44" s="320">
        <f t="shared" si="1"/>
        <v>0</v>
      </c>
      <c r="I44" s="485" t="s">
        <v>261</v>
      </c>
    </row>
    <row r="45" spans="1:9" ht="15.95" customHeight="1">
      <c r="A45" s="966"/>
      <c r="B45" s="341"/>
      <c r="C45" s="445"/>
      <c r="D45" s="577"/>
      <c r="E45" s="315" t="s">
        <v>216</v>
      </c>
      <c r="F45" s="444"/>
      <c r="G45" s="330"/>
      <c r="H45" s="320">
        <f t="shared" si="1"/>
        <v>0</v>
      </c>
      <c r="I45" s="485" t="s">
        <v>261</v>
      </c>
    </row>
    <row r="46" spans="1:9" ht="15.95" customHeight="1">
      <c r="A46" s="966"/>
      <c r="B46" s="341"/>
      <c r="C46" s="445"/>
      <c r="D46" s="577"/>
      <c r="E46" s="315" t="s">
        <v>216</v>
      </c>
      <c r="F46" s="444"/>
      <c r="G46" s="330"/>
      <c r="H46" s="320">
        <f t="shared" si="1"/>
        <v>0</v>
      </c>
      <c r="I46" s="485" t="s">
        <v>261</v>
      </c>
    </row>
    <row r="47" spans="1:9" ht="15.95" customHeight="1">
      <c r="A47" s="966"/>
      <c r="B47" s="341"/>
      <c r="C47" s="445"/>
      <c r="D47" s="577"/>
      <c r="E47" s="315" t="s">
        <v>216</v>
      </c>
      <c r="F47" s="444"/>
      <c r="G47" s="330"/>
      <c r="H47" s="320">
        <f t="shared" si="1"/>
        <v>0</v>
      </c>
      <c r="I47" s="485" t="s">
        <v>261</v>
      </c>
    </row>
    <row r="48" spans="1:9" ht="15.95" customHeight="1">
      <c r="A48" s="966"/>
      <c r="B48" s="341"/>
      <c r="C48" s="445"/>
      <c r="D48" s="577"/>
      <c r="E48" s="315" t="s">
        <v>216</v>
      </c>
      <c r="F48" s="444"/>
      <c r="G48" s="330"/>
      <c r="H48" s="320">
        <f t="shared" si="1"/>
        <v>0</v>
      </c>
      <c r="I48" s="485" t="s">
        <v>261</v>
      </c>
    </row>
    <row r="49" spans="1:13" ht="15.95" customHeight="1">
      <c r="A49" s="966"/>
      <c r="B49" s="341"/>
      <c r="C49" s="445"/>
      <c r="D49" s="577"/>
      <c r="E49" s="315" t="s">
        <v>289</v>
      </c>
      <c r="F49" s="444"/>
      <c r="G49" s="319"/>
      <c r="H49" s="320">
        <f t="shared" si="1"/>
        <v>0</v>
      </c>
      <c r="I49" s="485" t="s">
        <v>261</v>
      </c>
    </row>
    <row r="50" spans="1:13" ht="15.95" customHeight="1">
      <c r="A50" s="966"/>
      <c r="B50" s="341"/>
      <c r="C50" s="445"/>
      <c r="D50" s="577"/>
      <c r="E50" s="315" t="s">
        <v>289</v>
      </c>
      <c r="F50" s="444"/>
      <c r="G50" s="319"/>
      <c r="H50" s="320">
        <f t="shared" si="1"/>
        <v>0</v>
      </c>
      <c r="I50" s="485" t="s">
        <v>261</v>
      </c>
    </row>
    <row r="51" spans="1:13" ht="15.95" customHeight="1">
      <c r="A51" s="966"/>
      <c r="B51" s="341"/>
      <c r="C51" s="328"/>
      <c r="D51" s="577"/>
      <c r="E51" s="315"/>
      <c r="F51" s="406"/>
      <c r="G51" s="406"/>
      <c r="H51" s="320"/>
      <c r="I51" s="387"/>
    </row>
    <row r="52" spans="1:13" ht="15.95" customHeight="1">
      <c r="A52" s="966"/>
      <c r="B52" s="341"/>
      <c r="C52" s="332" t="s">
        <v>290</v>
      </c>
      <c r="D52" s="333"/>
      <c r="E52" s="334" t="s">
        <v>239</v>
      </c>
      <c r="F52" s="335">
        <v>1</v>
      </c>
      <c r="G52" s="336"/>
      <c r="H52" s="339"/>
      <c r="I52" s="388"/>
    </row>
    <row r="53" spans="1:13" ht="15.95" customHeight="1">
      <c r="A53" s="966"/>
      <c r="B53" s="342"/>
      <c r="C53" s="389"/>
      <c r="D53" s="390"/>
      <c r="E53" s="391"/>
      <c r="F53" s="378"/>
      <c r="G53" s="378"/>
      <c r="H53" s="347">
        <f>SUM(H29:H52)</f>
        <v>0</v>
      </c>
      <c r="I53" s="392"/>
    </row>
    <row r="54" spans="1:13" ht="15.95" customHeight="1">
      <c r="A54" s="966"/>
      <c r="B54" s="349" t="s">
        <v>134</v>
      </c>
      <c r="C54" s="665"/>
      <c r="D54" s="412"/>
      <c r="E54" s="311"/>
      <c r="F54" s="413"/>
      <c r="G54" s="413"/>
      <c r="H54" s="369">
        <f t="shared" ref="H54:H60" si="2">IF(F54=0,G54,G54*F54)</f>
        <v>0</v>
      </c>
      <c r="I54" s="386"/>
      <c r="J54" s="53"/>
      <c r="K54" s="53"/>
      <c r="L54" s="53"/>
      <c r="M54" s="53"/>
    </row>
    <row r="55" spans="1:13" ht="15.95" customHeight="1">
      <c r="A55" s="966"/>
      <c r="B55" s="341"/>
      <c r="C55" s="331"/>
      <c r="D55" s="305"/>
      <c r="E55" s="315"/>
      <c r="F55" s="406"/>
      <c r="G55" s="406"/>
      <c r="H55" s="369">
        <f t="shared" si="2"/>
        <v>0</v>
      </c>
      <c r="I55" s="387"/>
      <c r="J55" s="53"/>
      <c r="K55" s="53"/>
      <c r="L55" s="53"/>
      <c r="M55" s="53"/>
    </row>
    <row r="56" spans="1:13" ht="15.95" customHeight="1">
      <c r="A56" s="966"/>
      <c r="B56" s="341"/>
      <c r="C56" s="331"/>
      <c r="D56" s="305"/>
      <c r="E56" s="315"/>
      <c r="F56" s="406"/>
      <c r="G56" s="406"/>
      <c r="H56" s="369">
        <f t="shared" si="2"/>
        <v>0</v>
      </c>
      <c r="I56" s="387"/>
    </row>
    <row r="57" spans="1:13" ht="15.95" customHeight="1">
      <c r="A57" s="966"/>
      <c r="B57" s="341"/>
      <c r="C57" s="331"/>
      <c r="D57" s="305"/>
      <c r="E57" s="315"/>
      <c r="F57" s="406"/>
      <c r="G57" s="406"/>
      <c r="H57" s="369">
        <f t="shared" si="2"/>
        <v>0</v>
      </c>
      <c r="I57" s="387"/>
    </row>
    <row r="58" spans="1:13" ht="15.95" customHeight="1">
      <c r="A58" s="966"/>
      <c r="B58" s="341"/>
      <c r="C58" s="331"/>
      <c r="D58" s="305"/>
      <c r="E58" s="315"/>
      <c r="F58" s="406"/>
      <c r="G58" s="406"/>
      <c r="H58" s="369">
        <f t="shared" si="2"/>
        <v>0</v>
      </c>
      <c r="I58" s="387"/>
    </row>
    <row r="59" spans="1:13" ht="15.95" customHeight="1">
      <c r="A59" s="966"/>
      <c r="B59" s="341"/>
      <c r="C59" s="331"/>
      <c r="D59" s="305"/>
      <c r="E59" s="315"/>
      <c r="F59" s="406"/>
      <c r="G59" s="406"/>
      <c r="H59" s="369">
        <f t="shared" si="2"/>
        <v>0</v>
      </c>
      <c r="I59" s="387"/>
    </row>
    <row r="60" spans="1:13" ht="15.95" customHeight="1">
      <c r="A60" s="966"/>
      <c r="B60" s="341"/>
      <c r="C60" s="332"/>
      <c r="D60" s="333"/>
      <c r="E60" s="403"/>
      <c r="F60" s="414"/>
      <c r="G60" s="414"/>
      <c r="H60" s="374">
        <f t="shared" si="2"/>
        <v>0</v>
      </c>
      <c r="I60" s="388"/>
    </row>
    <row r="61" spans="1:13" ht="15.95" customHeight="1">
      <c r="A61" s="966"/>
      <c r="B61" s="342"/>
      <c r="C61" s="389"/>
      <c r="D61" s="390"/>
      <c r="E61" s="391"/>
      <c r="F61" s="378"/>
      <c r="G61" s="378"/>
      <c r="H61" s="347">
        <f>SUM(H54:H60)</f>
        <v>0</v>
      </c>
      <c r="I61" s="392"/>
    </row>
    <row r="62" spans="1:13" ht="15.95" customHeight="1">
      <c r="A62" s="350"/>
      <c r="B62" s="351" t="s">
        <v>135</v>
      </c>
      <c r="C62" s="352"/>
      <c r="D62" s="376"/>
      <c r="E62" s="377"/>
      <c r="F62" s="393"/>
      <c r="G62" s="393"/>
      <c r="H62" s="347">
        <f>SUM(H61,H53,H28)</f>
        <v>0</v>
      </c>
      <c r="I62" s="392"/>
    </row>
    <row r="63" spans="1:13" ht="15.95" customHeight="1">
      <c r="A63" s="962" t="s">
        <v>136</v>
      </c>
      <c r="B63" s="354" t="s">
        <v>137</v>
      </c>
      <c r="C63" s="355"/>
      <c r="D63" s="356"/>
      <c r="E63" s="357" t="s">
        <v>138</v>
      </c>
      <c r="F63" s="326"/>
      <c r="G63" s="415"/>
      <c r="H63" s="369">
        <f t="shared" ref="H63:H70" si="3">F63*G63</f>
        <v>0</v>
      </c>
      <c r="I63" s="386"/>
      <c r="K63" s="303"/>
    </row>
    <row r="64" spans="1:13" ht="15.95" customHeight="1">
      <c r="A64" s="966"/>
      <c r="B64" s="360" t="s">
        <v>139</v>
      </c>
      <c r="C64" s="361"/>
      <c r="D64" s="362"/>
      <c r="E64" s="363" t="s">
        <v>11</v>
      </c>
      <c r="F64" s="321"/>
      <c r="G64" s="400">
        <v>350000</v>
      </c>
      <c r="H64" s="369">
        <f t="shared" si="3"/>
        <v>0</v>
      </c>
      <c r="I64" s="394"/>
      <c r="K64" s="303"/>
    </row>
    <row r="65" spans="1:11" ht="15.95" customHeight="1">
      <c r="A65" s="966"/>
      <c r="B65" s="365" t="s">
        <v>287</v>
      </c>
      <c r="C65" s="366"/>
      <c r="D65" s="367"/>
      <c r="E65" s="368" t="s">
        <v>11</v>
      </c>
      <c r="F65" s="321"/>
      <c r="G65" s="319">
        <v>350000</v>
      </c>
      <c r="H65" s="369">
        <f t="shared" si="3"/>
        <v>0</v>
      </c>
      <c r="I65" s="387"/>
      <c r="K65" s="303"/>
    </row>
    <row r="66" spans="1:11" ht="15.95" customHeight="1">
      <c r="A66" s="966"/>
      <c r="B66" s="365" t="s">
        <v>140</v>
      </c>
      <c r="C66" s="366"/>
      <c r="D66" s="367"/>
      <c r="E66" s="368" t="s">
        <v>11</v>
      </c>
      <c r="F66" s="321"/>
      <c r="G66" s="319">
        <v>350000</v>
      </c>
      <c r="H66" s="369">
        <f t="shared" si="3"/>
        <v>0</v>
      </c>
      <c r="I66" s="387"/>
      <c r="K66" s="303"/>
    </row>
    <row r="67" spans="1:11" ht="15.95" customHeight="1">
      <c r="A67" s="966"/>
      <c r="B67" s="365" t="s">
        <v>141</v>
      </c>
      <c r="C67" s="366"/>
      <c r="D67" s="367"/>
      <c r="E67" s="368" t="s">
        <v>11</v>
      </c>
      <c r="F67" s="321"/>
      <c r="G67" s="319">
        <v>450000</v>
      </c>
      <c r="H67" s="369">
        <f t="shared" si="3"/>
        <v>0</v>
      </c>
      <c r="I67" s="387"/>
      <c r="K67" s="303"/>
    </row>
    <row r="68" spans="1:11" ht="15.95" customHeight="1">
      <c r="A68" s="966"/>
      <c r="B68" s="365" t="s">
        <v>142</v>
      </c>
      <c r="C68" s="366"/>
      <c r="D68" s="367"/>
      <c r="E68" s="368" t="s">
        <v>11</v>
      </c>
      <c r="F68" s="321"/>
      <c r="G68" s="319">
        <v>450000</v>
      </c>
      <c r="H68" s="369">
        <f t="shared" si="3"/>
        <v>0</v>
      </c>
      <c r="I68" s="387"/>
      <c r="K68" s="303"/>
    </row>
    <row r="69" spans="1:11" ht="15.95" customHeight="1">
      <c r="A69" s="966"/>
      <c r="B69" s="365" t="s">
        <v>143</v>
      </c>
      <c r="C69" s="366"/>
      <c r="D69" s="367"/>
      <c r="E69" s="368" t="s">
        <v>11</v>
      </c>
      <c r="F69" s="752"/>
      <c r="G69" s="319">
        <v>450000</v>
      </c>
      <c r="H69" s="369">
        <f t="shared" si="3"/>
        <v>0</v>
      </c>
      <c r="I69" s="387"/>
      <c r="K69" s="303"/>
    </row>
    <row r="70" spans="1:11" ht="15.95" customHeight="1">
      <c r="A70" s="966"/>
      <c r="B70" s="370" t="s">
        <v>144</v>
      </c>
      <c r="C70" s="371"/>
      <c r="D70" s="372"/>
      <c r="E70" s="373" t="s">
        <v>11</v>
      </c>
      <c r="F70" s="536"/>
      <c r="G70" s="336">
        <v>300000</v>
      </c>
      <c r="H70" s="374">
        <f t="shared" si="3"/>
        <v>0</v>
      </c>
      <c r="I70" s="388"/>
      <c r="K70" s="303"/>
    </row>
    <row r="71" spans="1:11" ht="15.95" customHeight="1">
      <c r="A71" s="350"/>
      <c r="B71" s="375" t="s">
        <v>145</v>
      </c>
      <c r="C71" s="352"/>
      <c r="D71" s="376"/>
      <c r="E71" s="377"/>
      <c r="F71" s="462"/>
      <c r="G71" s="378"/>
      <c r="H71" s="346">
        <f>SUM(H63:H70)</f>
        <v>0</v>
      </c>
      <c r="I71" s="395"/>
    </row>
    <row r="72" spans="1:11" ht="15.95" customHeight="1">
      <c r="A72" s="379"/>
      <c r="B72" s="375" t="s">
        <v>146</v>
      </c>
      <c r="C72" s="352"/>
      <c r="D72" s="376"/>
      <c r="E72" s="377"/>
      <c r="F72" s="380"/>
      <c r="G72" s="380"/>
      <c r="H72" s="353">
        <f>'단위장비별(집계)2'!L17+'단위장비별(집계)2'!I17</f>
        <v>0</v>
      </c>
      <c r="I72" s="392"/>
    </row>
    <row r="73" spans="1:11" ht="15.95" customHeight="1">
      <c r="A73" s="379"/>
      <c r="B73" s="375" t="s">
        <v>147</v>
      </c>
      <c r="C73" s="352"/>
      <c r="D73" s="376"/>
      <c r="E73" s="377"/>
      <c r="F73" s="380"/>
      <c r="G73" s="381"/>
      <c r="H73" s="416">
        <f>(H62+H71)*0.05</f>
        <v>0</v>
      </c>
      <c r="I73" s="396"/>
    </row>
    <row r="74" spans="1:11" ht="15.95" customHeight="1">
      <c r="A74" s="379"/>
      <c r="B74" s="375" t="s">
        <v>148</v>
      </c>
      <c r="C74" s="352"/>
      <c r="D74" s="376"/>
      <c r="E74" s="377"/>
      <c r="F74" s="380"/>
      <c r="G74" s="381"/>
      <c r="H74" s="416">
        <f>(H62+H71)*0.1</f>
        <v>0</v>
      </c>
      <c r="I74" s="396"/>
    </row>
    <row r="75" spans="1:11" ht="15.95" customHeight="1">
      <c r="A75" s="379"/>
      <c r="B75" s="375" t="s">
        <v>149</v>
      </c>
      <c r="C75" s="352"/>
      <c r="D75" s="376"/>
      <c r="E75" s="377"/>
      <c r="F75" s="380"/>
      <c r="G75" s="380"/>
      <c r="H75" s="346">
        <f>H62+H71+H72+H73+H74</f>
        <v>0</v>
      </c>
      <c r="I75" s="392"/>
    </row>
    <row r="76" spans="1:11">
      <c r="A76" s="119"/>
    </row>
  </sheetData>
  <mergeCells count="3">
    <mergeCell ref="A2:B2"/>
    <mergeCell ref="A3:A61"/>
    <mergeCell ref="A63:A70"/>
  </mergeCells>
  <phoneticPr fontId="3" type="noConversion"/>
  <printOptions horizontalCentered="1"/>
  <pageMargins left="0.39370078740157483" right="0.39370078740157483" top="0.59055118110236227" bottom="0.39370078740157483" header="0.51181102362204722" footer="0.19685039370078741"/>
  <pageSetup paperSize="9" scale="64" orientation="portrait" horizontalDpi="4294967292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91464-E257-4CDC-8177-5EEE4E6348E0}">
  <sheetPr>
    <pageSetUpPr fitToPage="1"/>
  </sheetPr>
  <dimension ref="A1:M71"/>
  <sheetViews>
    <sheetView view="pageBreakPreview" zoomScale="80" zoomScaleNormal="85" workbookViewId="0">
      <pane xSplit="2" ySplit="2" topLeftCell="C48" activePane="bottomRight" state="frozen"/>
      <selection activeCell="F67" sqref="F67"/>
      <selection pane="topRight" activeCell="F67" sqref="F67"/>
      <selection pane="bottomLeft" activeCell="F67" sqref="F67"/>
      <selection pane="bottomRight" activeCell="K38" sqref="K38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7.625" style="115" customWidth="1"/>
    <col min="7" max="8" width="15.625" style="115" customWidth="1"/>
    <col min="9" max="9" width="12.75" style="230" customWidth="1"/>
    <col min="10" max="10" width="11.875" style="227" customWidth="1"/>
    <col min="11" max="11" width="12.25" style="227" customWidth="1"/>
    <col min="12" max="13" width="9" style="227"/>
    <col min="14" max="16384" width="9" style="53"/>
  </cols>
  <sheetData>
    <row r="1" spans="1:13" ht="22.5" customHeight="1">
      <c r="A1" s="45" t="s">
        <v>302</v>
      </c>
      <c r="B1" s="45"/>
      <c r="C1" s="419"/>
      <c r="D1" s="262"/>
      <c r="E1" s="238"/>
      <c r="F1" s="22"/>
      <c r="G1" s="114"/>
      <c r="I1" s="230" t="s">
        <v>121</v>
      </c>
      <c r="J1" s="229"/>
      <c r="K1" s="229"/>
      <c r="L1" s="229"/>
      <c r="M1" s="229"/>
    </row>
    <row r="2" spans="1:13" s="119" customFormat="1" ht="16.5" customHeight="1">
      <c r="A2" s="964" t="s">
        <v>122</v>
      </c>
      <c r="B2" s="965"/>
      <c r="C2" s="359" t="s">
        <v>123</v>
      </c>
      <c r="D2" s="383" t="s">
        <v>124</v>
      </c>
      <c r="E2" s="383" t="s">
        <v>125</v>
      </c>
      <c r="F2" s="384" t="s">
        <v>126</v>
      </c>
      <c r="G2" s="384" t="s">
        <v>127</v>
      </c>
      <c r="H2" s="384" t="s">
        <v>128</v>
      </c>
      <c r="I2" s="385" t="s">
        <v>129</v>
      </c>
      <c r="J2" s="228"/>
      <c r="K2" s="228"/>
      <c r="L2" s="228"/>
      <c r="M2" s="228"/>
    </row>
    <row r="3" spans="1:13" ht="15.95" customHeight="1">
      <c r="A3" s="962" t="s">
        <v>130</v>
      </c>
      <c r="B3" s="341" t="s">
        <v>131</v>
      </c>
      <c r="C3" s="660"/>
      <c r="D3" s="661"/>
      <c r="E3" s="662"/>
      <c r="F3" s="663"/>
      <c r="G3" s="413"/>
      <c r="H3" s="369">
        <f t="shared" ref="H3:H20" si="0">IF(F3=0,G3,G3*F3)</f>
        <v>0</v>
      </c>
      <c r="I3" s="386"/>
    </row>
    <row r="4" spans="1:13" ht="15.95" customHeight="1">
      <c r="A4" s="966"/>
      <c r="B4" s="341"/>
      <c r="C4" s="331"/>
      <c r="D4" s="425"/>
      <c r="E4" s="315"/>
      <c r="F4" s="424"/>
      <c r="G4" s="406"/>
      <c r="H4" s="369">
        <f t="shared" si="0"/>
        <v>0</v>
      </c>
      <c r="I4" s="387"/>
    </row>
    <row r="5" spans="1:13" ht="15.95" customHeight="1">
      <c r="A5" s="966"/>
      <c r="B5" s="341"/>
      <c r="C5" s="331"/>
      <c r="D5" s="425"/>
      <c r="E5" s="315"/>
      <c r="F5" s="424"/>
      <c r="G5" s="406"/>
      <c r="H5" s="369">
        <f t="shared" si="0"/>
        <v>0</v>
      </c>
      <c r="I5" s="387"/>
    </row>
    <row r="6" spans="1:13" ht="15.95" customHeight="1">
      <c r="A6" s="966"/>
      <c r="B6" s="341"/>
      <c r="C6" s="331"/>
      <c r="D6" s="305"/>
      <c r="E6" s="315"/>
      <c r="F6" s="424"/>
      <c r="G6" s="406"/>
      <c r="H6" s="369">
        <f t="shared" si="0"/>
        <v>0</v>
      </c>
      <c r="I6" s="387"/>
    </row>
    <row r="7" spans="1:13" ht="15.95" customHeight="1">
      <c r="A7" s="966"/>
      <c r="B7" s="341"/>
      <c r="C7" s="331"/>
      <c r="D7" s="305"/>
      <c r="E7" s="315"/>
      <c r="F7" s="424"/>
      <c r="G7" s="406"/>
      <c r="H7" s="369">
        <f t="shared" si="0"/>
        <v>0</v>
      </c>
      <c r="I7" s="387"/>
    </row>
    <row r="8" spans="1:13" ht="15.95" customHeight="1">
      <c r="A8" s="966"/>
      <c r="B8" s="341"/>
      <c r="C8" s="331"/>
      <c r="D8" s="305"/>
      <c r="E8" s="315"/>
      <c r="F8" s="424"/>
      <c r="G8" s="406"/>
      <c r="H8" s="369">
        <f t="shared" si="0"/>
        <v>0</v>
      </c>
      <c r="I8" s="387"/>
    </row>
    <row r="9" spans="1:13" ht="15.95" customHeight="1">
      <c r="A9" s="966"/>
      <c r="B9" s="341"/>
      <c r="C9" s="331"/>
      <c r="D9" s="305"/>
      <c r="E9" s="315"/>
      <c r="F9" s="406"/>
      <c r="G9" s="406"/>
      <c r="H9" s="369">
        <f t="shared" si="0"/>
        <v>0</v>
      </c>
      <c r="I9" s="387"/>
    </row>
    <row r="10" spans="1:13" ht="15.95" customHeight="1">
      <c r="A10" s="966"/>
      <c r="B10" s="341"/>
      <c r="C10" s="331"/>
      <c r="D10" s="305"/>
      <c r="E10" s="315"/>
      <c r="F10" s="406"/>
      <c r="G10" s="406"/>
      <c r="H10" s="369">
        <f t="shared" si="0"/>
        <v>0</v>
      </c>
      <c r="I10" s="387"/>
    </row>
    <row r="11" spans="1:13" ht="15.95" customHeight="1">
      <c r="A11" s="966"/>
      <c r="B11" s="341"/>
      <c r="C11" s="331"/>
      <c r="D11" s="305"/>
      <c r="E11" s="315"/>
      <c r="F11" s="406"/>
      <c r="G11" s="406"/>
      <c r="H11" s="369">
        <f t="shared" si="0"/>
        <v>0</v>
      </c>
      <c r="I11" s="387"/>
    </row>
    <row r="12" spans="1:13" ht="15.95" customHeight="1">
      <c r="A12" s="966"/>
      <c r="B12" s="341"/>
      <c r="C12" s="331"/>
      <c r="D12" s="305"/>
      <c r="E12" s="315"/>
      <c r="F12" s="406"/>
      <c r="G12" s="406"/>
      <c r="H12" s="369">
        <f t="shared" si="0"/>
        <v>0</v>
      </c>
      <c r="I12" s="387"/>
    </row>
    <row r="13" spans="1:13" ht="15.95" customHeight="1">
      <c r="A13" s="966"/>
      <c r="B13" s="341"/>
      <c r="C13" s="331"/>
      <c r="D13" s="305"/>
      <c r="E13" s="315"/>
      <c r="F13" s="406"/>
      <c r="G13" s="406"/>
      <c r="H13" s="369">
        <f t="shared" si="0"/>
        <v>0</v>
      </c>
      <c r="I13" s="387"/>
    </row>
    <row r="14" spans="1:13" ht="15.95" customHeight="1">
      <c r="A14" s="966"/>
      <c r="B14" s="341"/>
      <c r="C14" s="331"/>
      <c r="D14" s="305"/>
      <c r="E14" s="315"/>
      <c r="F14" s="406"/>
      <c r="G14" s="406"/>
      <c r="H14" s="369">
        <f t="shared" si="0"/>
        <v>0</v>
      </c>
      <c r="I14" s="387"/>
    </row>
    <row r="15" spans="1:13" ht="15.95" customHeight="1">
      <c r="A15" s="966"/>
      <c r="B15" s="341"/>
      <c r="C15" s="331"/>
      <c r="D15" s="305"/>
      <c r="E15" s="315"/>
      <c r="F15" s="406"/>
      <c r="G15" s="406"/>
      <c r="H15" s="369">
        <f t="shared" si="0"/>
        <v>0</v>
      </c>
      <c r="I15" s="387"/>
    </row>
    <row r="16" spans="1:13" ht="15.95" customHeight="1">
      <c r="A16" s="966"/>
      <c r="B16" s="341"/>
      <c r="C16" s="331"/>
      <c r="D16" s="305"/>
      <c r="E16" s="315"/>
      <c r="F16" s="406"/>
      <c r="G16" s="406"/>
      <c r="H16" s="369">
        <f t="shared" si="0"/>
        <v>0</v>
      </c>
      <c r="I16" s="387"/>
    </row>
    <row r="17" spans="1:9" ht="15.95" customHeight="1">
      <c r="A17" s="966"/>
      <c r="B17" s="341"/>
      <c r="C17" s="331"/>
      <c r="D17" s="305"/>
      <c r="E17" s="315"/>
      <c r="F17" s="406"/>
      <c r="G17" s="406"/>
      <c r="H17" s="369">
        <f t="shared" si="0"/>
        <v>0</v>
      </c>
      <c r="I17" s="387"/>
    </row>
    <row r="18" spans="1:9" ht="15.95" customHeight="1">
      <c r="A18" s="966"/>
      <c r="B18" s="341"/>
      <c r="C18" s="331"/>
      <c r="D18" s="305"/>
      <c r="E18" s="315"/>
      <c r="F18" s="406"/>
      <c r="G18" s="406"/>
      <c r="H18" s="369">
        <f t="shared" si="0"/>
        <v>0</v>
      </c>
      <c r="I18" s="387"/>
    </row>
    <row r="19" spans="1:9" ht="15.95" customHeight="1">
      <c r="A19" s="966"/>
      <c r="B19" s="341"/>
      <c r="C19" s="331"/>
      <c r="D19" s="305"/>
      <c r="E19" s="315"/>
      <c r="F19" s="406"/>
      <c r="G19" s="406"/>
      <c r="H19" s="369">
        <f t="shared" si="0"/>
        <v>0</v>
      </c>
      <c r="I19" s="387"/>
    </row>
    <row r="20" spans="1:9" ht="15.95" customHeight="1">
      <c r="A20" s="966"/>
      <c r="B20" s="341"/>
      <c r="C20" s="331"/>
      <c r="D20" s="305"/>
      <c r="E20" s="315"/>
      <c r="F20" s="406"/>
      <c r="G20" s="406"/>
      <c r="H20" s="369">
        <f t="shared" si="0"/>
        <v>0</v>
      </c>
      <c r="I20" s="387"/>
    </row>
    <row r="21" spans="1:9" ht="15.95" customHeight="1">
      <c r="A21" s="966"/>
      <c r="B21" s="341"/>
      <c r="C21" s="331"/>
      <c r="D21" s="305"/>
      <c r="E21" s="315"/>
      <c r="F21" s="406"/>
      <c r="G21" s="406"/>
      <c r="H21" s="369">
        <f>IF(F21=0,G21,G21*F21)</f>
        <v>0</v>
      </c>
      <c r="I21" s="387"/>
    </row>
    <row r="22" spans="1:9" ht="15.95" customHeight="1">
      <c r="A22" s="966"/>
      <c r="B22" s="341"/>
      <c r="C22" s="332"/>
      <c r="D22" s="333"/>
      <c r="E22" s="403"/>
      <c r="F22" s="414"/>
      <c r="G22" s="414"/>
      <c r="H22" s="369">
        <v>0</v>
      </c>
      <c r="I22" s="388"/>
    </row>
    <row r="23" spans="1:9" ht="15.95" customHeight="1">
      <c r="A23" s="966"/>
      <c r="B23" s="342"/>
      <c r="C23" s="389"/>
      <c r="D23" s="390"/>
      <c r="E23" s="391"/>
      <c r="F23" s="345">
        <f>SUM(F3:F22)</f>
        <v>0</v>
      </c>
      <c r="G23" s="346"/>
      <c r="H23" s="347">
        <f>SUM(H3:H22)</f>
        <v>0</v>
      </c>
      <c r="I23" s="392"/>
    </row>
    <row r="24" spans="1:9" ht="15.95" customHeight="1">
      <c r="A24" s="966"/>
      <c r="B24" s="349" t="s">
        <v>132</v>
      </c>
      <c r="C24" s="331"/>
      <c r="D24" s="305"/>
      <c r="E24" s="311" t="s">
        <v>215</v>
      </c>
      <c r="F24" s="667"/>
      <c r="G24" s="500"/>
      <c r="H24" s="369">
        <f>F24*G24</f>
        <v>0</v>
      </c>
      <c r="I24" s="386" t="s">
        <v>0</v>
      </c>
    </row>
    <row r="25" spans="1:9" ht="15.95" customHeight="1">
      <c r="A25" s="966"/>
      <c r="B25" s="341" t="s">
        <v>133</v>
      </c>
      <c r="C25" s="331"/>
      <c r="D25" s="305"/>
      <c r="E25" s="315"/>
      <c r="F25" s="668"/>
      <c r="G25" s="500"/>
      <c r="H25" s="369"/>
      <c r="I25" s="317" t="s">
        <v>220</v>
      </c>
    </row>
    <row r="26" spans="1:9" ht="15.95" customHeight="1">
      <c r="A26" s="966"/>
      <c r="B26" s="341"/>
      <c r="C26" s="331"/>
      <c r="D26" s="305"/>
      <c r="E26" s="318"/>
      <c r="F26" s="668"/>
      <c r="G26" s="500"/>
      <c r="H26" s="369"/>
      <c r="I26" s="317" t="s">
        <v>220</v>
      </c>
    </row>
    <row r="27" spans="1:9" ht="15.95" customHeight="1">
      <c r="A27" s="966"/>
      <c r="B27" s="341"/>
      <c r="C27" s="331"/>
      <c r="D27" s="305"/>
      <c r="E27" s="318"/>
      <c r="F27" s="668"/>
      <c r="G27" s="500"/>
      <c r="H27" s="369"/>
      <c r="I27" s="317" t="s">
        <v>220</v>
      </c>
    </row>
    <row r="28" spans="1:9" ht="15.95" customHeight="1">
      <c r="A28" s="966"/>
      <c r="B28" s="341"/>
      <c r="C28" s="331"/>
      <c r="D28" s="305"/>
      <c r="E28" s="318"/>
      <c r="F28" s="668"/>
      <c r="G28" s="500"/>
      <c r="H28" s="369"/>
      <c r="I28" s="317" t="s">
        <v>220</v>
      </c>
    </row>
    <row r="29" spans="1:9" ht="15.95" customHeight="1">
      <c r="A29" s="966"/>
      <c r="B29" s="341"/>
      <c r="C29" s="331"/>
      <c r="D29" s="305"/>
      <c r="E29" s="318"/>
      <c r="F29" s="668"/>
      <c r="G29" s="500"/>
      <c r="H29" s="369"/>
      <c r="I29" s="317" t="s">
        <v>220</v>
      </c>
    </row>
    <row r="30" spans="1:9" ht="15.95" customHeight="1">
      <c r="A30" s="966"/>
      <c r="B30" s="341"/>
      <c r="C30" s="331"/>
      <c r="D30" s="305"/>
      <c r="E30" s="318"/>
      <c r="F30" s="668"/>
      <c r="G30" s="500"/>
      <c r="H30" s="369"/>
      <c r="I30" s="317" t="s">
        <v>220</v>
      </c>
    </row>
    <row r="31" spans="1:9" ht="15.95" customHeight="1">
      <c r="A31" s="966"/>
      <c r="B31" s="341"/>
      <c r="C31" s="331"/>
      <c r="D31" s="305"/>
      <c r="E31" s="318"/>
      <c r="F31" s="668"/>
      <c r="G31" s="500"/>
      <c r="H31" s="369"/>
      <c r="I31" s="317" t="s">
        <v>220</v>
      </c>
    </row>
    <row r="32" spans="1:9" ht="15.95" customHeight="1">
      <c r="A32" s="966"/>
      <c r="B32" s="341"/>
      <c r="C32" s="331"/>
      <c r="D32" s="305"/>
      <c r="E32" s="318"/>
      <c r="F32" s="668"/>
      <c r="G32" s="474"/>
      <c r="H32" s="369">
        <f>G32*F32</f>
        <v>0</v>
      </c>
      <c r="I32" s="317" t="s">
        <v>220</v>
      </c>
    </row>
    <row r="33" spans="1:9" ht="15.95" customHeight="1">
      <c r="A33" s="966"/>
      <c r="B33" s="341"/>
      <c r="C33" s="331"/>
      <c r="D33" s="305"/>
      <c r="E33" s="318"/>
      <c r="F33" s="668"/>
      <c r="G33" s="500"/>
      <c r="H33" s="369"/>
      <c r="I33" s="317" t="s">
        <v>220</v>
      </c>
    </row>
    <row r="34" spans="1:9" ht="15.95" customHeight="1">
      <c r="A34" s="966"/>
      <c r="B34" s="341"/>
      <c r="C34" s="331"/>
      <c r="D34" s="305"/>
      <c r="E34" s="318"/>
      <c r="F34" s="668"/>
      <c r="G34" s="319"/>
      <c r="H34" s="320"/>
      <c r="I34" s="317" t="s">
        <v>220</v>
      </c>
    </row>
    <row r="35" spans="1:9" ht="15.95" customHeight="1">
      <c r="A35" s="966"/>
      <c r="B35" s="341"/>
      <c r="C35" s="331"/>
      <c r="D35" s="305"/>
      <c r="E35" s="318"/>
      <c r="F35" s="668"/>
      <c r="G35" s="319"/>
      <c r="H35" s="320">
        <f>SUM(F35*G35)</f>
        <v>0</v>
      </c>
      <c r="I35" s="317" t="s">
        <v>220</v>
      </c>
    </row>
    <row r="36" spans="1:9" ht="15.95" customHeight="1">
      <c r="A36" s="966"/>
      <c r="B36" s="341"/>
      <c r="C36" s="331"/>
      <c r="D36" s="305"/>
      <c r="E36" s="318"/>
      <c r="F36" s="315"/>
      <c r="G36" s="319"/>
      <c r="H36" s="320"/>
      <c r="I36" s="317" t="s">
        <v>220</v>
      </c>
    </row>
    <row r="37" spans="1:9" ht="15.95" customHeight="1">
      <c r="A37" s="966"/>
      <c r="B37" s="341"/>
      <c r="C37" s="331"/>
      <c r="D37" s="305"/>
      <c r="E37" s="318"/>
      <c r="F37" s="315"/>
      <c r="G37" s="319"/>
      <c r="H37" s="320"/>
      <c r="I37" s="317" t="s">
        <v>220</v>
      </c>
    </row>
    <row r="38" spans="1:9" ht="15.95" customHeight="1">
      <c r="A38" s="966"/>
      <c r="B38" s="341"/>
      <c r="C38" s="318"/>
      <c r="D38" s="438"/>
      <c r="E38" s="315"/>
      <c r="F38" s="315"/>
      <c r="G38" s="474"/>
      <c r="H38" s="669">
        <f t="shared" ref="H38:H43" si="1">F38*G38</f>
        <v>0</v>
      </c>
      <c r="I38" s="317" t="s">
        <v>220</v>
      </c>
    </row>
    <row r="39" spans="1:9" ht="15.95" customHeight="1">
      <c r="A39" s="966"/>
      <c r="B39" s="341"/>
      <c r="C39" s="318"/>
      <c r="D39" s="438"/>
      <c r="E39" s="315"/>
      <c r="F39" s="315"/>
      <c r="G39" s="474"/>
      <c r="H39" s="669">
        <f t="shared" si="1"/>
        <v>0</v>
      </c>
      <c r="I39" s="317" t="s">
        <v>220</v>
      </c>
    </row>
    <row r="40" spans="1:9" ht="15.95" customHeight="1">
      <c r="A40" s="966"/>
      <c r="B40" s="341"/>
      <c r="C40" s="318"/>
      <c r="D40" s="438"/>
      <c r="E40" s="315"/>
      <c r="F40" s="315"/>
      <c r="G40" s="474"/>
      <c r="H40" s="669">
        <f t="shared" si="1"/>
        <v>0</v>
      </c>
      <c r="I40" s="317" t="s">
        <v>220</v>
      </c>
    </row>
    <row r="41" spans="1:9" ht="15.95" customHeight="1">
      <c r="A41" s="966"/>
      <c r="B41" s="341"/>
      <c r="C41" s="318"/>
      <c r="D41" s="438"/>
      <c r="E41" s="315"/>
      <c r="F41" s="315"/>
      <c r="G41" s="474"/>
      <c r="H41" s="669">
        <f t="shared" si="1"/>
        <v>0</v>
      </c>
      <c r="I41" s="317" t="s">
        <v>220</v>
      </c>
    </row>
    <row r="42" spans="1:9" ht="15.95" customHeight="1">
      <c r="A42" s="966"/>
      <c r="B42" s="341"/>
      <c r="C42" s="318"/>
      <c r="D42" s="438"/>
      <c r="E42" s="315"/>
      <c r="F42" s="315"/>
      <c r="G42" s="474"/>
      <c r="H42" s="669">
        <f t="shared" si="1"/>
        <v>0</v>
      </c>
      <c r="I42" s="317" t="s">
        <v>220</v>
      </c>
    </row>
    <row r="43" spans="1:9" ht="15.95" customHeight="1">
      <c r="A43" s="966"/>
      <c r="B43" s="341"/>
      <c r="C43" s="318"/>
      <c r="D43" s="438"/>
      <c r="E43" s="315"/>
      <c r="F43" s="315"/>
      <c r="G43" s="474"/>
      <c r="H43" s="669">
        <f t="shared" si="1"/>
        <v>0</v>
      </c>
      <c r="I43" s="317" t="s">
        <v>220</v>
      </c>
    </row>
    <row r="44" spans="1:9" ht="15.95" customHeight="1">
      <c r="A44" s="966"/>
      <c r="B44" s="341"/>
      <c r="C44" s="318"/>
      <c r="D44" s="438"/>
      <c r="E44" s="315"/>
      <c r="F44" s="315"/>
      <c r="G44" s="519"/>
      <c r="H44" s="669"/>
      <c r="I44" s="317" t="s">
        <v>220</v>
      </c>
    </row>
    <row r="45" spans="1:9" ht="15.95" customHeight="1">
      <c r="A45" s="966"/>
      <c r="B45" s="341"/>
      <c r="C45" s="331"/>
      <c r="D45" s="305"/>
      <c r="E45" s="315"/>
      <c r="F45" s="315"/>
      <c r="G45" s="319"/>
      <c r="H45" s="320">
        <f>SUM(F45*G45)</f>
        <v>0</v>
      </c>
      <c r="I45" s="317" t="s">
        <v>220</v>
      </c>
    </row>
    <row r="46" spans="1:9" ht="15.95" customHeight="1">
      <c r="A46" s="966"/>
      <c r="B46" s="341"/>
      <c r="C46" s="331"/>
      <c r="D46" s="305"/>
      <c r="E46" s="315" t="s">
        <v>224</v>
      </c>
      <c r="F46" s="315"/>
      <c r="G46" s="319"/>
      <c r="H46" s="320"/>
      <c r="I46" s="387"/>
    </row>
    <row r="47" spans="1:9" ht="15.95" customHeight="1">
      <c r="A47" s="966"/>
      <c r="B47" s="341"/>
      <c r="C47" s="332"/>
      <c r="D47" s="333"/>
      <c r="E47" s="403"/>
      <c r="F47" s="414"/>
      <c r="G47" s="414"/>
      <c r="H47" s="339">
        <f>IF(F47=0,G47,G47*F47)</f>
        <v>0</v>
      </c>
      <c r="I47" s="388"/>
    </row>
    <row r="48" spans="1:9" ht="15.95" customHeight="1">
      <c r="A48" s="966"/>
      <c r="B48" s="342"/>
      <c r="C48" s="670"/>
      <c r="D48" s="671"/>
      <c r="E48" s="620"/>
      <c r="F48" s="666"/>
      <c r="G48" s="666"/>
      <c r="H48" s="346"/>
      <c r="I48" s="395"/>
    </row>
    <row r="49" spans="1:9" ht="15.95" customHeight="1">
      <c r="A49" s="966"/>
      <c r="B49" s="349" t="s">
        <v>134</v>
      </c>
      <c r="C49" s="665"/>
      <c r="D49" s="412"/>
      <c r="E49" s="311"/>
      <c r="F49" s="413"/>
      <c r="G49" s="413"/>
      <c r="H49" s="369">
        <f t="shared" ref="H49:H55" si="2">IF(F49=0,G49,G49*F49)</f>
        <v>0</v>
      </c>
      <c r="I49" s="387"/>
    </row>
    <row r="50" spans="1:9" ht="15.95" customHeight="1">
      <c r="A50" s="966"/>
      <c r="B50" s="341"/>
      <c r="C50" s="654"/>
      <c r="D50" s="655"/>
      <c r="E50" s="398"/>
      <c r="F50" s="649"/>
      <c r="G50" s="406"/>
      <c r="H50" s="369">
        <f t="shared" si="2"/>
        <v>0</v>
      </c>
      <c r="I50" s="387"/>
    </row>
    <row r="51" spans="1:9" ht="15.95" customHeight="1">
      <c r="A51" s="966"/>
      <c r="B51" s="341"/>
      <c r="C51" s="331"/>
      <c r="D51" s="305"/>
      <c r="E51" s="315"/>
      <c r="F51" s="406"/>
      <c r="G51" s="406"/>
      <c r="H51" s="369">
        <f t="shared" si="2"/>
        <v>0</v>
      </c>
      <c r="I51" s="387"/>
    </row>
    <row r="52" spans="1:9" ht="15.95" customHeight="1">
      <c r="A52" s="966"/>
      <c r="B52" s="341"/>
      <c r="C52" s="331"/>
      <c r="D52" s="305"/>
      <c r="E52" s="315"/>
      <c r="F52" s="406"/>
      <c r="G52" s="406"/>
      <c r="H52" s="369">
        <f t="shared" si="2"/>
        <v>0</v>
      </c>
      <c r="I52" s="387"/>
    </row>
    <row r="53" spans="1:9" ht="15.95" customHeight="1">
      <c r="A53" s="966"/>
      <c r="B53" s="341"/>
      <c r="C53" s="331"/>
      <c r="D53" s="305"/>
      <c r="E53" s="315"/>
      <c r="F53" s="406"/>
      <c r="G53" s="406"/>
      <c r="H53" s="369">
        <f t="shared" si="2"/>
        <v>0</v>
      </c>
      <c r="I53" s="387"/>
    </row>
    <row r="54" spans="1:9" ht="15.95" customHeight="1">
      <c r="A54" s="966"/>
      <c r="B54" s="341"/>
      <c r="C54" s="331"/>
      <c r="D54" s="305"/>
      <c r="E54" s="315"/>
      <c r="F54" s="406"/>
      <c r="G54" s="406"/>
      <c r="H54" s="369">
        <f t="shared" si="2"/>
        <v>0</v>
      </c>
      <c r="I54" s="387"/>
    </row>
    <row r="55" spans="1:9" ht="15.95" customHeight="1">
      <c r="A55" s="966"/>
      <c r="B55" s="341"/>
      <c r="C55" s="332"/>
      <c r="D55" s="333"/>
      <c r="E55" s="403"/>
      <c r="F55" s="414"/>
      <c r="G55" s="414"/>
      <c r="H55" s="374">
        <f t="shared" si="2"/>
        <v>0</v>
      </c>
      <c r="I55" s="388"/>
    </row>
    <row r="56" spans="1:9" ht="15.95" customHeight="1">
      <c r="A56" s="966"/>
      <c r="B56" s="342"/>
      <c r="C56" s="672"/>
      <c r="D56" s="671"/>
      <c r="E56" s="620"/>
      <c r="F56" s="666"/>
      <c r="G56" s="666"/>
      <c r="H56" s="346">
        <f>SUM(H49:H55)</f>
        <v>0</v>
      </c>
      <c r="I56" s="395"/>
    </row>
    <row r="57" spans="1:9" ht="15.95" customHeight="1">
      <c r="A57" s="350"/>
      <c r="B57" s="351" t="s">
        <v>135</v>
      </c>
      <c r="C57" s="352"/>
      <c r="D57" s="376"/>
      <c r="E57" s="377"/>
      <c r="F57" s="393"/>
      <c r="G57" s="393"/>
      <c r="H57" s="347">
        <f>SUM(H56,H48,H23)</f>
        <v>0</v>
      </c>
      <c r="I57" s="392"/>
    </row>
    <row r="58" spans="1:9" ht="15.95" customHeight="1">
      <c r="A58" s="962" t="s">
        <v>136</v>
      </c>
      <c r="B58" s="354" t="s">
        <v>137</v>
      </c>
      <c r="C58" s="355"/>
      <c r="D58" s="356"/>
      <c r="E58" s="363" t="s">
        <v>11</v>
      </c>
      <c r="F58" s="533"/>
      <c r="G58" s="415">
        <v>450000</v>
      </c>
      <c r="H58" s="358">
        <f>F58*G58</f>
        <v>0</v>
      </c>
      <c r="I58" s="386"/>
    </row>
    <row r="59" spans="1:9" ht="15.95" customHeight="1">
      <c r="A59" s="966"/>
      <c r="B59" s="360" t="s">
        <v>139</v>
      </c>
      <c r="C59" s="361"/>
      <c r="D59" s="362"/>
      <c r="E59" s="363" t="s">
        <v>11</v>
      </c>
      <c r="F59" s="716"/>
      <c r="G59" s="400">
        <v>350000</v>
      </c>
      <c r="H59" s="364">
        <f t="shared" ref="H59:H65" si="3">F59*G59</f>
        <v>0</v>
      </c>
      <c r="I59" s="394"/>
    </row>
    <row r="60" spans="1:9" ht="15.95" customHeight="1">
      <c r="A60" s="966"/>
      <c r="B60" s="365" t="s">
        <v>297</v>
      </c>
      <c r="C60" s="366"/>
      <c r="D60" s="367"/>
      <c r="E60" s="368" t="s">
        <v>11</v>
      </c>
      <c r="F60" s="406"/>
      <c r="G60" s="319">
        <v>350000</v>
      </c>
      <c r="H60" s="369">
        <f t="shared" si="3"/>
        <v>0</v>
      </c>
      <c r="I60" s="387"/>
    </row>
    <row r="61" spans="1:9" ht="15.95" customHeight="1">
      <c r="A61" s="966"/>
      <c r="B61" s="365" t="s">
        <v>140</v>
      </c>
      <c r="C61" s="366"/>
      <c r="D61" s="367"/>
      <c r="E61" s="368" t="s">
        <v>11</v>
      </c>
      <c r="F61" s="321"/>
      <c r="G61" s="319">
        <v>350000</v>
      </c>
      <c r="H61" s="369">
        <f t="shared" si="3"/>
        <v>0</v>
      </c>
      <c r="I61" s="387"/>
    </row>
    <row r="62" spans="1:9" ht="15.95" customHeight="1">
      <c r="A62" s="966"/>
      <c r="B62" s="365" t="s">
        <v>141</v>
      </c>
      <c r="C62" s="366"/>
      <c r="D62" s="367"/>
      <c r="E62" s="368" t="s">
        <v>11</v>
      </c>
      <c r="F62" s="321"/>
      <c r="G62" s="319">
        <v>450000</v>
      </c>
      <c r="H62" s="369">
        <f>F62*G62</f>
        <v>0</v>
      </c>
      <c r="I62" s="387"/>
    </row>
    <row r="63" spans="1:9" ht="15.95" customHeight="1">
      <c r="A63" s="966"/>
      <c r="B63" s="365" t="s">
        <v>273</v>
      </c>
      <c r="C63" s="366"/>
      <c r="D63" s="367"/>
      <c r="E63" s="368" t="s">
        <v>11</v>
      </c>
      <c r="F63" s="321"/>
      <c r="G63" s="319">
        <v>450000</v>
      </c>
      <c r="H63" s="369">
        <f t="shared" si="3"/>
        <v>0</v>
      </c>
      <c r="I63" s="387"/>
    </row>
    <row r="64" spans="1:9" ht="15.95" customHeight="1">
      <c r="A64" s="966"/>
      <c r="B64" s="365" t="s">
        <v>274</v>
      </c>
      <c r="C64" s="366"/>
      <c r="D64" s="367"/>
      <c r="E64" s="368" t="s">
        <v>11</v>
      </c>
      <c r="F64" s="321"/>
      <c r="G64" s="319">
        <v>450000</v>
      </c>
      <c r="H64" s="369">
        <f t="shared" si="3"/>
        <v>0</v>
      </c>
      <c r="I64" s="387"/>
    </row>
    <row r="65" spans="1:9" ht="15.95" customHeight="1">
      <c r="A65" s="966"/>
      <c r="B65" s="370" t="s">
        <v>144</v>
      </c>
      <c r="C65" s="371"/>
      <c r="D65" s="372"/>
      <c r="E65" s="373" t="s">
        <v>11</v>
      </c>
      <c r="F65" s="673"/>
      <c r="G65" s="336">
        <v>300000</v>
      </c>
      <c r="H65" s="374">
        <f t="shared" si="3"/>
        <v>0</v>
      </c>
      <c r="I65" s="388"/>
    </row>
    <row r="66" spans="1:9" ht="15.95" customHeight="1">
      <c r="A66" s="350"/>
      <c r="B66" s="375" t="s">
        <v>145</v>
      </c>
      <c r="C66" s="352"/>
      <c r="D66" s="376"/>
      <c r="E66" s="377"/>
      <c r="F66" s="378"/>
      <c r="G66" s="378"/>
      <c r="H66" s="346">
        <f>SUM(H58:H65)</f>
        <v>0</v>
      </c>
      <c r="I66" s="395"/>
    </row>
    <row r="67" spans="1:9" ht="15.95" customHeight="1">
      <c r="A67" s="379"/>
      <c r="B67" s="375" t="s">
        <v>146</v>
      </c>
      <c r="C67" s="352"/>
      <c r="D67" s="376"/>
      <c r="E67" s="377"/>
      <c r="F67" s="380"/>
      <c r="G67" s="380"/>
      <c r="H67" s="353">
        <f>'단위장비별(집계)2'!L18+'단위장비별(집계)2'!I18</f>
        <v>0</v>
      </c>
      <c r="I67" s="392"/>
    </row>
    <row r="68" spans="1:9" ht="15.95" customHeight="1">
      <c r="A68" s="379"/>
      <c r="B68" s="375" t="s">
        <v>147</v>
      </c>
      <c r="C68" s="352"/>
      <c r="D68" s="376"/>
      <c r="E68" s="377"/>
      <c r="F68" s="380"/>
      <c r="G68" s="381"/>
      <c r="H68" s="416">
        <f>(H57+H66)*0.05</f>
        <v>0</v>
      </c>
      <c r="I68" s="396"/>
    </row>
    <row r="69" spans="1:9" ht="15.95" customHeight="1">
      <c r="A69" s="379"/>
      <c r="B69" s="375" t="s">
        <v>148</v>
      </c>
      <c r="C69" s="352"/>
      <c r="D69" s="376"/>
      <c r="E69" s="377"/>
      <c r="F69" s="380"/>
      <c r="G69" s="381"/>
      <c r="H69" s="416">
        <f>(H57+H66)*0.1</f>
        <v>0</v>
      </c>
      <c r="I69" s="396"/>
    </row>
    <row r="70" spans="1:9" ht="15.95" customHeight="1">
      <c r="A70" s="379"/>
      <c r="B70" s="375" t="s">
        <v>149</v>
      </c>
      <c r="C70" s="352"/>
      <c r="D70" s="376"/>
      <c r="E70" s="377"/>
      <c r="F70" s="380"/>
      <c r="G70" s="380"/>
      <c r="H70" s="346">
        <f>H57+H66+H67+H68+H69</f>
        <v>0</v>
      </c>
      <c r="I70" s="392"/>
    </row>
    <row r="71" spans="1:9">
      <c r="A71" s="119"/>
    </row>
  </sheetData>
  <mergeCells count="3">
    <mergeCell ref="A2:B2"/>
    <mergeCell ref="A3:A56"/>
    <mergeCell ref="A58:A65"/>
  </mergeCells>
  <phoneticPr fontId="3" type="noConversion"/>
  <dataValidations count="1">
    <dataValidation imeMode="off" allowBlank="1" showInputMessage="1" showErrorMessage="1" sqref="F38:F40 F24:F35" xr:uid="{3E92A42D-E359-462B-B096-A3D5132282B2}"/>
  </dataValidations>
  <printOptions horizontalCentered="1"/>
  <pageMargins left="0.39370078740157483" right="0.39370078740157483" top="0.59055118110236227" bottom="0.39370078740157483" header="0.51181102362204722" footer="0.19685039370078741"/>
  <pageSetup paperSize="9" scale="69" orientation="portrait" horizontalDpi="4294967292" r:id="rId1"/>
  <headerFooter alignWithMargins="0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B0C08-A93D-4EAD-8D4B-4B298A266956}">
  <dimension ref="A1:M57"/>
  <sheetViews>
    <sheetView topLeftCell="A28" zoomScale="75" workbookViewId="0">
      <selection activeCell="P54" sqref="P54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8.625" style="115" customWidth="1"/>
    <col min="7" max="8" width="15.625" style="115" customWidth="1"/>
    <col min="9" max="9" width="12.75" style="230" customWidth="1"/>
    <col min="10" max="10" width="9" style="227"/>
    <col min="11" max="11" width="10" style="227" bestFit="1" customWidth="1"/>
    <col min="12" max="13" width="9" style="227"/>
    <col min="14" max="16384" width="9" style="53"/>
  </cols>
  <sheetData>
    <row r="1" spans="1:13" ht="22.5" customHeight="1">
      <c r="A1" s="45" t="s">
        <v>277</v>
      </c>
      <c r="B1" s="45"/>
      <c r="C1" s="419"/>
      <c r="D1" s="262"/>
      <c r="E1" s="238"/>
      <c r="F1" s="22"/>
      <c r="G1" s="114"/>
      <c r="I1" s="230" t="s">
        <v>121</v>
      </c>
      <c r="J1" s="229"/>
      <c r="K1" s="229"/>
      <c r="L1" s="229"/>
      <c r="M1" s="229"/>
    </row>
    <row r="2" spans="1:13" s="119" customFormat="1" ht="16.5" customHeight="1">
      <c r="A2" s="964" t="s">
        <v>122</v>
      </c>
      <c r="B2" s="965"/>
      <c r="C2" s="359" t="s">
        <v>123</v>
      </c>
      <c r="D2" s="383" t="s">
        <v>124</v>
      </c>
      <c r="E2" s="383" t="s">
        <v>125</v>
      </c>
      <c r="F2" s="384" t="s">
        <v>126</v>
      </c>
      <c r="G2" s="384" t="s">
        <v>127</v>
      </c>
      <c r="H2" s="384" t="s">
        <v>128</v>
      </c>
      <c r="I2" s="385" t="s">
        <v>129</v>
      </c>
      <c r="J2" s="228"/>
      <c r="K2" s="228"/>
      <c r="L2" s="228"/>
      <c r="M2" s="228"/>
    </row>
    <row r="3" spans="1:13" ht="15.95" customHeight="1">
      <c r="A3" s="962" t="s">
        <v>130</v>
      </c>
      <c r="B3" s="341" t="s">
        <v>131</v>
      </c>
      <c r="C3" s="420" t="s">
        <v>217</v>
      </c>
      <c r="D3" s="420"/>
      <c r="E3" s="420" t="s">
        <v>218</v>
      </c>
      <c r="F3" s="415"/>
      <c r="G3" s="415"/>
      <c r="H3" s="337">
        <f>IF(F3=0,G3,G3*F3)</f>
        <v>0</v>
      </c>
      <c r="I3" s="314"/>
    </row>
    <row r="4" spans="1:13" ht="15.95" customHeight="1">
      <c r="A4" s="966"/>
      <c r="B4" s="341"/>
      <c r="C4" s="318"/>
      <c r="D4" s="397"/>
      <c r="E4" s="398"/>
      <c r="F4" s="400"/>
      <c r="G4" s="400"/>
      <c r="H4" s="369"/>
      <c r="I4" s="338"/>
    </row>
    <row r="5" spans="1:13" ht="15.95" customHeight="1">
      <c r="A5" s="966"/>
      <c r="B5" s="341"/>
      <c r="C5" s="318"/>
      <c r="D5" s="397"/>
      <c r="E5" s="315"/>
      <c r="F5" s="319"/>
      <c r="G5" s="319"/>
      <c r="H5" s="369"/>
      <c r="I5" s="338"/>
    </row>
    <row r="6" spans="1:13" ht="15.95" customHeight="1">
      <c r="A6" s="966"/>
      <c r="B6" s="341"/>
      <c r="C6" s="318"/>
      <c r="D6" s="397"/>
      <c r="E6" s="398"/>
      <c r="F6" s="400"/>
      <c r="G6" s="400"/>
      <c r="H6" s="369"/>
      <c r="I6" s="338"/>
    </row>
    <row r="7" spans="1:13" ht="15.95" customHeight="1">
      <c r="A7" s="966"/>
      <c r="B7" s="341"/>
      <c r="C7" s="318"/>
      <c r="D7" s="397"/>
      <c r="E7" s="398"/>
      <c r="F7" s="400"/>
      <c r="G7" s="400"/>
      <c r="H7" s="369"/>
      <c r="I7" s="338"/>
    </row>
    <row r="8" spans="1:13" ht="15.95" customHeight="1">
      <c r="A8" s="966"/>
      <c r="B8" s="341"/>
      <c r="C8" s="318"/>
      <c r="D8" s="397"/>
      <c r="E8" s="315"/>
      <c r="F8" s="319"/>
      <c r="G8" s="319"/>
      <c r="H8" s="369"/>
      <c r="I8" s="338"/>
    </row>
    <row r="9" spans="1:13" ht="15.95" customHeight="1">
      <c r="A9" s="966"/>
      <c r="B9" s="341"/>
      <c r="C9" s="318"/>
      <c r="D9" s="397"/>
      <c r="E9" s="398"/>
      <c r="F9" s="400"/>
      <c r="G9" s="400"/>
      <c r="H9" s="369"/>
      <c r="I9" s="338"/>
    </row>
    <row r="10" spans="1:13" ht="15.95" customHeight="1">
      <c r="A10" s="966"/>
      <c r="B10" s="341"/>
      <c r="C10" s="318"/>
      <c r="D10" s="318"/>
      <c r="E10" s="398"/>
      <c r="F10" s="319"/>
      <c r="G10" s="319"/>
      <c r="H10" s="369"/>
      <c r="I10" s="338"/>
    </row>
    <row r="11" spans="1:13" ht="15.95" customHeight="1">
      <c r="A11" s="966"/>
      <c r="B11" s="341"/>
      <c r="C11" s="318"/>
      <c r="D11" s="318"/>
      <c r="E11" s="398"/>
      <c r="F11" s="319"/>
      <c r="G11" s="319"/>
      <c r="H11" s="369"/>
      <c r="I11" s="606"/>
    </row>
    <row r="12" spans="1:13" ht="15.95" customHeight="1">
      <c r="A12" s="966"/>
      <c r="B12" s="341"/>
      <c r="C12" s="318"/>
      <c r="D12" s="318"/>
      <c r="E12" s="398"/>
      <c r="F12" s="319"/>
      <c r="G12" s="319"/>
      <c r="H12" s="369">
        <f>IF(F12=0,G12,G12*F12)</f>
        <v>0</v>
      </c>
      <c r="I12" s="606"/>
    </row>
    <row r="13" spans="1:13" ht="15.95" customHeight="1">
      <c r="A13" s="966"/>
      <c r="B13" s="341"/>
      <c r="C13" s="402" t="s">
        <v>238</v>
      </c>
      <c r="D13" s="402"/>
      <c r="E13" s="403" t="s">
        <v>239</v>
      </c>
      <c r="F13" s="336"/>
      <c r="G13" s="336"/>
      <c r="H13" s="369"/>
      <c r="I13" s="340"/>
    </row>
    <row r="14" spans="1:13" ht="15.95" customHeight="1">
      <c r="A14" s="966"/>
      <c r="B14" s="342"/>
      <c r="C14" s="389"/>
      <c r="D14" s="390"/>
      <c r="E14" s="391"/>
      <c r="F14" s="345">
        <f>SUM(F3:F13)</f>
        <v>0</v>
      </c>
      <c r="G14" s="346"/>
      <c r="H14" s="347">
        <f>SUM(H3:H13)</f>
        <v>0</v>
      </c>
      <c r="I14" s="392"/>
    </row>
    <row r="15" spans="1:13" ht="15.95" customHeight="1">
      <c r="A15" s="966"/>
      <c r="B15" s="349" t="s">
        <v>132</v>
      </c>
      <c r="C15" s="397"/>
      <c r="D15" s="404"/>
      <c r="E15" s="405"/>
      <c r="F15" s="404"/>
      <c r="G15" s="404"/>
      <c r="H15" s="358"/>
      <c r="I15" s="386"/>
    </row>
    <row r="16" spans="1:13" ht="15.95" customHeight="1">
      <c r="A16" s="966"/>
      <c r="B16" s="341" t="s">
        <v>133</v>
      </c>
      <c r="C16" s="318"/>
      <c r="D16" s="397"/>
      <c r="E16" s="315"/>
      <c r="F16" s="319"/>
      <c r="G16" s="319"/>
      <c r="H16" s="369"/>
      <c r="I16" s="387"/>
    </row>
    <row r="17" spans="1:9" ht="15.95" customHeight="1">
      <c r="A17" s="966"/>
      <c r="B17" s="341"/>
      <c r="C17" s="318"/>
      <c r="D17" s="318"/>
      <c r="E17" s="315"/>
      <c r="F17" s="319"/>
      <c r="G17" s="319"/>
      <c r="H17" s="369"/>
      <c r="I17" s="387"/>
    </row>
    <row r="18" spans="1:9" ht="15.95" customHeight="1">
      <c r="A18" s="966"/>
      <c r="B18" s="341"/>
      <c r="C18" s="318"/>
      <c r="D18" s="318"/>
      <c r="E18" s="315"/>
      <c r="F18" s="319"/>
      <c r="G18" s="319"/>
      <c r="H18" s="369"/>
      <c r="I18" s="387"/>
    </row>
    <row r="19" spans="1:9" ht="15.95" customHeight="1">
      <c r="A19" s="966"/>
      <c r="B19" s="341"/>
      <c r="C19" s="318"/>
      <c r="D19" s="318"/>
      <c r="E19" s="315"/>
      <c r="F19" s="319"/>
      <c r="G19" s="319"/>
      <c r="H19" s="675"/>
      <c r="I19" s="387"/>
    </row>
    <row r="20" spans="1:9" ht="15.95" customHeight="1">
      <c r="A20" s="966"/>
      <c r="B20" s="341"/>
      <c r="C20" s="397"/>
      <c r="D20" s="404"/>
      <c r="E20" s="405"/>
      <c r="F20" s="404"/>
      <c r="G20" s="404"/>
      <c r="H20" s="369"/>
      <c r="I20" s="387"/>
    </row>
    <row r="21" spans="1:9" ht="15.95" customHeight="1">
      <c r="A21" s="966"/>
      <c r="B21" s="341"/>
      <c r="C21" s="318"/>
      <c r="D21" s="397"/>
      <c r="E21" s="405"/>
      <c r="F21" s="404"/>
      <c r="G21" s="404"/>
      <c r="H21" s="369"/>
      <c r="I21" s="387"/>
    </row>
    <row r="22" spans="1:9" ht="15.95" customHeight="1">
      <c r="A22" s="966"/>
      <c r="B22" s="341"/>
      <c r="C22" s="318"/>
      <c r="D22" s="397"/>
      <c r="E22" s="315"/>
      <c r="F22" s="319"/>
      <c r="G22" s="319"/>
      <c r="H22" s="369"/>
      <c r="I22" s="387"/>
    </row>
    <row r="23" spans="1:9" ht="15.95" customHeight="1">
      <c r="A23" s="966"/>
      <c r="B23" s="341"/>
      <c r="C23" s="318"/>
      <c r="D23" s="318"/>
      <c r="E23" s="315"/>
      <c r="F23" s="319"/>
      <c r="G23" s="319"/>
      <c r="H23" s="369"/>
      <c r="I23" s="387"/>
    </row>
    <row r="24" spans="1:9" ht="15.95" customHeight="1">
      <c r="A24" s="966"/>
      <c r="B24" s="341"/>
      <c r="C24" s="318"/>
      <c r="D24" s="318"/>
      <c r="E24" s="315"/>
      <c r="F24" s="319"/>
      <c r="G24" s="319"/>
      <c r="H24" s="369"/>
      <c r="I24" s="387"/>
    </row>
    <row r="25" spans="1:9" ht="15.95" customHeight="1">
      <c r="A25" s="966"/>
      <c r="B25" s="341"/>
      <c r="C25" s="318"/>
      <c r="D25" s="318"/>
      <c r="E25" s="315"/>
      <c r="F25" s="319"/>
      <c r="G25" s="319"/>
      <c r="H25" s="369"/>
      <c r="I25" s="387"/>
    </row>
    <row r="26" spans="1:9" ht="15.95" customHeight="1">
      <c r="A26" s="966"/>
      <c r="B26" s="341"/>
      <c r="C26" s="318"/>
      <c r="D26" s="318"/>
      <c r="E26" s="315"/>
      <c r="F26" s="319"/>
      <c r="G26" s="319"/>
      <c r="H26" s="369"/>
      <c r="I26" s="387"/>
    </row>
    <row r="27" spans="1:9" ht="15.95" customHeight="1">
      <c r="A27" s="966"/>
      <c r="B27" s="341"/>
      <c r="C27" s="331"/>
      <c r="D27" s="305"/>
      <c r="E27" s="315"/>
      <c r="F27" s="406"/>
      <c r="G27" s="406"/>
      <c r="H27" s="369"/>
      <c r="I27" s="387"/>
    </row>
    <row r="28" spans="1:9" ht="15.95" customHeight="1">
      <c r="A28" s="966"/>
      <c r="B28" s="341"/>
      <c r="C28" s="331"/>
      <c r="D28" s="305"/>
      <c r="E28" s="315"/>
      <c r="F28" s="406"/>
      <c r="G28" s="406"/>
      <c r="H28" s="369"/>
      <c r="I28" s="387"/>
    </row>
    <row r="29" spans="1:9" ht="15.95" customHeight="1">
      <c r="A29" s="966"/>
      <c r="B29" s="341"/>
      <c r="C29" s="331"/>
      <c r="D29" s="305"/>
      <c r="E29" s="315"/>
      <c r="F29" s="406"/>
      <c r="G29" s="406"/>
      <c r="H29" s="369"/>
      <c r="I29" s="387"/>
    </row>
    <row r="30" spans="1:9" ht="15.95" customHeight="1">
      <c r="A30" s="966"/>
      <c r="B30" s="341"/>
      <c r="C30" s="331"/>
      <c r="D30" s="305"/>
      <c r="E30" s="315"/>
      <c r="F30" s="406"/>
      <c r="G30" s="406"/>
      <c r="H30" s="369"/>
      <c r="I30" s="387"/>
    </row>
    <row r="31" spans="1:9" ht="15.95" customHeight="1">
      <c r="A31" s="966"/>
      <c r="B31" s="341"/>
      <c r="C31" s="331"/>
      <c r="D31" s="305"/>
      <c r="E31" s="315"/>
      <c r="F31" s="406"/>
      <c r="G31" s="406"/>
      <c r="H31" s="369"/>
      <c r="I31" s="387"/>
    </row>
    <row r="32" spans="1:9" ht="15.95" customHeight="1">
      <c r="A32" s="966"/>
      <c r="B32" s="341"/>
      <c r="C32" s="331"/>
      <c r="D32" s="305"/>
      <c r="E32" s="315"/>
      <c r="F32" s="406"/>
      <c r="G32" s="406"/>
      <c r="H32" s="369"/>
      <c r="I32" s="387"/>
    </row>
    <row r="33" spans="1:9" ht="15.95" customHeight="1">
      <c r="A33" s="966"/>
      <c r="B33" s="341"/>
      <c r="C33" s="407"/>
      <c r="D33" s="408"/>
      <c r="E33" s="409"/>
      <c r="F33" s="410"/>
      <c r="G33" s="411"/>
      <c r="H33" s="369"/>
      <c r="I33" s="388"/>
    </row>
    <row r="34" spans="1:9" ht="15.95" customHeight="1">
      <c r="A34" s="966"/>
      <c r="B34" s="342"/>
      <c r="C34" s="389"/>
      <c r="D34" s="390"/>
      <c r="E34" s="391"/>
      <c r="F34" s="378"/>
      <c r="G34" s="378"/>
      <c r="H34" s="347">
        <f>SUM(H15:H33)</f>
        <v>0</v>
      </c>
      <c r="I34" s="392"/>
    </row>
    <row r="35" spans="1:9" ht="15.95" customHeight="1">
      <c r="A35" s="966"/>
      <c r="B35" s="349" t="s">
        <v>134</v>
      </c>
      <c r="C35" s="331"/>
      <c r="D35" s="305"/>
      <c r="E35" s="426" t="s">
        <v>305</v>
      </c>
      <c r="F35" s="426"/>
      <c r="G35" s="465"/>
      <c r="H35" s="686">
        <f>SUM(F35*G35)</f>
        <v>0</v>
      </c>
      <c r="I35" s="687" t="s">
        <v>307</v>
      </c>
    </row>
    <row r="36" spans="1:9" ht="15.95" customHeight="1">
      <c r="A36" s="966"/>
      <c r="B36" s="341"/>
      <c r="C36" s="331"/>
      <c r="D36" s="305"/>
      <c r="E36" s="498" t="s">
        <v>282</v>
      </c>
      <c r="F36" s="426"/>
      <c r="G36" s="688"/>
      <c r="H36" s="689">
        <f>SUM(F36*G36)</f>
        <v>0</v>
      </c>
      <c r="I36" s="690" t="s">
        <v>282</v>
      </c>
    </row>
    <row r="37" spans="1:9" ht="15.95" customHeight="1">
      <c r="A37" s="966"/>
      <c r="B37" s="341"/>
      <c r="C37" s="331"/>
      <c r="D37" s="329"/>
      <c r="E37" s="498" t="s">
        <v>282</v>
      </c>
      <c r="F37" s="426"/>
      <c r="G37" s="688"/>
      <c r="H37" s="689"/>
      <c r="I37" s="690" t="s">
        <v>282</v>
      </c>
    </row>
    <row r="38" spans="1:9" ht="15.95" customHeight="1">
      <c r="A38" s="966"/>
      <c r="B38" s="341"/>
      <c r="C38" s="443"/>
      <c r="D38" s="305"/>
      <c r="E38" s="315"/>
      <c r="F38" s="406"/>
      <c r="G38" s="406"/>
      <c r="H38" s="369"/>
      <c r="I38" s="387"/>
    </row>
    <row r="39" spans="1:9" ht="15.95" customHeight="1">
      <c r="A39" s="966"/>
      <c r="B39" s="341"/>
      <c r="C39" s="331"/>
      <c r="D39" s="305"/>
      <c r="E39" s="315"/>
      <c r="F39" s="406"/>
      <c r="G39" s="406"/>
      <c r="H39" s="369"/>
      <c r="I39" s="387"/>
    </row>
    <row r="40" spans="1:9" ht="15.95" customHeight="1">
      <c r="A40" s="966"/>
      <c r="B40" s="341"/>
      <c r="C40" s="331"/>
      <c r="D40" s="305"/>
      <c r="E40" s="315"/>
      <c r="F40" s="406"/>
      <c r="G40" s="406"/>
      <c r="H40" s="369"/>
      <c r="I40" s="387"/>
    </row>
    <row r="41" spans="1:9" ht="15.95" customHeight="1">
      <c r="A41" s="966"/>
      <c r="B41" s="341"/>
      <c r="C41" s="402"/>
      <c r="D41" s="402"/>
      <c r="E41" s="403" t="s">
        <v>306</v>
      </c>
      <c r="F41" s="335"/>
      <c r="G41" s="414"/>
      <c r="H41" s="374"/>
      <c r="I41" s="388"/>
    </row>
    <row r="42" spans="1:9" ht="15.95" customHeight="1">
      <c r="A42" s="966"/>
      <c r="B42" s="342"/>
      <c r="C42" s="389"/>
      <c r="D42" s="390"/>
      <c r="E42" s="391"/>
      <c r="F42" s="378"/>
      <c r="G42" s="378"/>
      <c r="H42" s="347">
        <f>SUM(H35:H41)</f>
        <v>0</v>
      </c>
      <c r="I42" s="392"/>
    </row>
    <row r="43" spans="1:9" ht="15.95" customHeight="1">
      <c r="A43" s="350"/>
      <c r="B43" s="351" t="s">
        <v>135</v>
      </c>
      <c r="C43" s="352"/>
      <c r="D43" s="376"/>
      <c r="E43" s="377"/>
      <c r="F43" s="393"/>
      <c r="G43" s="393"/>
      <c r="H43" s="347">
        <f>SUM(H42,H34,H14)</f>
        <v>0</v>
      </c>
      <c r="I43" s="392"/>
    </row>
    <row r="44" spans="1:9" ht="15.95" customHeight="1">
      <c r="A44" s="962" t="s">
        <v>136</v>
      </c>
      <c r="B44" s="349" t="s">
        <v>137</v>
      </c>
      <c r="C44" s="436"/>
      <c r="D44" s="676"/>
      <c r="E44" s="677" t="s">
        <v>138</v>
      </c>
      <c r="F44" s="651"/>
      <c r="G44" s="415"/>
      <c r="H44" s="678">
        <f>F44*G44</f>
        <v>0</v>
      </c>
      <c r="I44" s="679"/>
    </row>
    <row r="45" spans="1:9" ht="15.95" customHeight="1">
      <c r="A45" s="966"/>
      <c r="B45" s="365" t="s">
        <v>278</v>
      </c>
      <c r="C45" s="366"/>
      <c r="D45" s="367"/>
      <c r="E45" s="368" t="s">
        <v>11</v>
      </c>
      <c r="F45" s="426"/>
      <c r="G45" s="400">
        <v>350000</v>
      </c>
      <c r="H45" s="364">
        <f>G45*F45</f>
        <v>0</v>
      </c>
      <c r="I45" s="387"/>
    </row>
    <row r="46" spans="1:9" ht="15.95" customHeight="1">
      <c r="A46" s="966"/>
      <c r="B46" s="365" t="s">
        <v>297</v>
      </c>
      <c r="C46" s="361"/>
      <c r="D46" s="367"/>
      <c r="E46" s="368" t="s">
        <v>11</v>
      </c>
      <c r="F46" s="426"/>
      <c r="G46" s="319">
        <v>350000</v>
      </c>
      <c r="H46" s="364">
        <f t="shared" ref="H46:H51" si="0">G46*F46</f>
        <v>0</v>
      </c>
      <c r="I46" s="387"/>
    </row>
    <row r="47" spans="1:9" ht="15.95" customHeight="1">
      <c r="A47" s="966"/>
      <c r="B47" s="365" t="s">
        <v>279</v>
      </c>
      <c r="C47" s="366"/>
      <c r="D47" s="367"/>
      <c r="E47" s="368" t="s">
        <v>11</v>
      </c>
      <c r="F47" s="426"/>
      <c r="G47" s="319">
        <v>350000</v>
      </c>
      <c r="H47" s="364">
        <f t="shared" si="0"/>
        <v>0</v>
      </c>
      <c r="I47" s="387"/>
    </row>
    <row r="48" spans="1:9" ht="15.95" customHeight="1">
      <c r="A48" s="966"/>
      <c r="B48" s="365" t="s">
        <v>141</v>
      </c>
      <c r="C48" s="366"/>
      <c r="D48" s="367"/>
      <c r="E48" s="368" t="s">
        <v>11</v>
      </c>
      <c r="F48" s="426"/>
      <c r="G48" s="319">
        <v>450000</v>
      </c>
      <c r="H48" s="364">
        <f t="shared" si="0"/>
        <v>0</v>
      </c>
      <c r="I48" s="387"/>
    </row>
    <row r="49" spans="1:9" ht="15.95" customHeight="1">
      <c r="A49" s="966"/>
      <c r="B49" s="365" t="s">
        <v>142</v>
      </c>
      <c r="C49" s="366"/>
      <c r="D49" s="367"/>
      <c r="E49" s="368" t="s">
        <v>11</v>
      </c>
      <c r="F49" s="426"/>
      <c r="G49" s="319">
        <v>450000</v>
      </c>
      <c r="H49" s="364">
        <f t="shared" si="0"/>
        <v>0</v>
      </c>
      <c r="I49" s="387"/>
    </row>
    <row r="50" spans="1:9" ht="15.95" customHeight="1">
      <c r="A50" s="966"/>
      <c r="B50" s="365" t="s">
        <v>143</v>
      </c>
      <c r="C50" s="366"/>
      <c r="D50" s="367"/>
      <c r="E50" s="368" t="s">
        <v>11</v>
      </c>
      <c r="F50" s="426"/>
      <c r="G50" s="319">
        <v>450000</v>
      </c>
      <c r="H50" s="364">
        <f t="shared" si="0"/>
        <v>0</v>
      </c>
      <c r="I50" s="387"/>
    </row>
    <row r="51" spans="1:9" ht="15.95" customHeight="1">
      <c r="A51" s="966"/>
      <c r="B51" s="370" t="s">
        <v>144</v>
      </c>
      <c r="C51" s="371"/>
      <c r="D51" s="372"/>
      <c r="E51" s="373" t="s">
        <v>11</v>
      </c>
      <c r="F51" s="334"/>
      <c r="G51" s="336">
        <v>300000</v>
      </c>
      <c r="H51" s="339">
        <f t="shared" si="0"/>
        <v>0</v>
      </c>
      <c r="I51" s="388"/>
    </row>
    <row r="52" spans="1:9" ht="15.95" customHeight="1">
      <c r="A52" s="350"/>
      <c r="B52" s="375" t="s">
        <v>145</v>
      </c>
      <c r="C52" s="352"/>
      <c r="D52" s="376"/>
      <c r="E52" s="377"/>
      <c r="F52" s="378"/>
      <c r="G52" s="378"/>
      <c r="H52" s="346">
        <f>SUM(H44:H51)</f>
        <v>0</v>
      </c>
      <c r="I52" s="395"/>
    </row>
    <row r="53" spans="1:9" ht="15.95" customHeight="1">
      <c r="A53" s="379"/>
      <c r="B53" s="375" t="s">
        <v>146</v>
      </c>
      <c r="C53" s="352"/>
      <c r="D53" s="376"/>
      <c r="E53" s="377"/>
      <c r="F53" s="380"/>
      <c r="G53" s="380"/>
      <c r="H53" s="353">
        <f>'단위장비별(집계)2'!L19+'단위장비별(집계)2'!I19</f>
        <v>0</v>
      </c>
      <c r="I53" s="392"/>
    </row>
    <row r="54" spans="1:9" ht="15.95" customHeight="1">
      <c r="A54" s="379"/>
      <c r="B54" s="375" t="s">
        <v>147</v>
      </c>
      <c r="C54" s="352"/>
      <c r="D54" s="376"/>
      <c r="E54" s="377"/>
      <c r="F54" s="380"/>
      <c r="G54" s="381"/>
      <c r="H54" s="416">
        <f>(H43+H52)*0.05</f>
        <v>0</v>
      </c>
      <c r="I54" s="396"/>
    </row>
    <row r="55" spans="1:9" ht="15.95" customHeight="1">
      <c r="A55" s="379"/>
      <c r="B55" s="375" t="s">
        <v>148</v>
      </c>
      <c r="C55" s="352"/>
      <c r="D55" s="376"/>
      <c r="E55" s="377"/>
      <c r="F55" s="380"/>
      <c r="G55" s="381"/>
      <c r="H55" s="416">
        <f>(H43+H52)*0.1</f>
        <v>0</v>
      </c>
      <c r="I55" s="396"/>
    </row>
    <row r="56" spans="1:9" ht="15.95" customHeight="1">
      <c r="A56" s="379"/>
      <c r="B56" s="375" t="s">
        <v>149</v>
      </c>
      <c r="C56" s="352"/>
      <c r="D56" s="376"/>
      <c r="E56" s="377"/>
      <c r="F56" s="380"/>
      <c r="G56" s="380"/>
      <c r="H56" s="346">
        <f>H43+H52+H53+H54+H55</f>
        <v>0</v>
      </c>
      <c r="I56" s="392"/>
    </row>
    <row r="57" spans="1:9">
      <c r="A57" s="119"/>
    </row>
  </sheetData>
  <mergeCells count="3">
    <mergeCell ref="A2:B2"/>
    <mergeCell ref="A3:A42"/>
    <mergeCell ref="A44:A51"/>
  </mergeCells>
  <phoneticPr fontId="3" type="noConversion"/>
  <pageMargins left="0.45" right="0.28000000000000003" top="0.57999999999999996" bottom="0.6" header="0.5" footer="0.5"/>
  <pageSetup paperSize="9" scale="69" orientation="portrait" horizontalDpi="1200" verticalDpi="1200" r:id="rId1"/>
  <headerFooter alignWithMargins="0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A8DF2-2B39-4BE2-9D71-953082AAE70E}">
  <dimension ref="A1:M60"/>
  <sheetViews>
    <sheetView topLeftCell="A28" zoomScale="75" workbookViewId="0">
      <selection activeCell="L52" sqref="L52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8.625" style="115" customWidth="1"/>
    <col min="7" max="8" width="15.625" style="115" customWidth="1"/>
    <col min="9" max="9" width="12.75" style="230" customWidth="1"/>
    <col min="10" max="10" width="9" style="227"/>
    <col min="11" max="11" width="10" style="227" bestFit="1" customWidth="1"/>
    <col min="12" max="13" width="9" style="227"/>
    <col min="14" max="16384" width="9" style="53"/>
  </cols>
  <sheetData>
    <row r="1" spans="1:13" ht="22.5" customHeight="1">
      <c r="A1" s="45" t="s">
        <v>304</v>
      </c>
      <c r="B1" s="45"/>
      <c r="C1" s="419"/>
      <c r="D1" s="262"/>
      <c r="E1" s="238"/>
      <c r="F1" s="22"/>
      <c r="G1" s="114"/>
      <c r="I1" s="230" t="s">
        <v>53</v>
      </c>
      <c r="J1" s="229"/>
      <c r="K1" s="229"/>
      <c r="L1" s="229"/>
      <c r="M1" s="229"/>
    </row>
    <row r="2" spans="1:13" s="119" customFormat="1" ht="16.5" customHeight="1">
      <c r="A2" s="964" t="s">
        <v>57</v>
      </c>
      <c r="B2" s="965"/>
      <c r="C2" s="359" t="s">
        <v>7</v>
      </c>
      <c r="D2" s="383" t="s">
        <v>58</v>
      </c>
      <c r="E2" s="383" t="s">
        <v>59</v>
      </c>
      <c r="F2" s="384" t="s">
        <v>4</v>
      </c>
      <c r="G2" s="384" t="s">
        <v>60</v>
      </c>
      <c r="H2" s="384" t="s">
        <v>61</v>
      </c>
      <c r="I2" s="385" t="s">
        <v>9</v>
      </c>
      <c r="J2" s="228"/>
      <c r="K2" s="228"/>
      <c r="L2" s="228"/>
      <c r="M2" s="228"/>
    </row>
    <row r="3" spans="1:13" ht="15.95" customHeight="1">
      <c r="A3" s="962" t="s">
        <v>62</v>
      </c>
      <c r="B3" s="341" t="s">
        <v>63</v>
      </c>
      <c r="C3" s="420"/>
      <c r="D3" s="420"/>
      <c r="E3" s="420"/>
      <c r="F3" s="415"/>
      <c r="G3" s="415"/>
      <c r="H3" s="337"/>
      <c r="I3" s="314"/>
    </row>
    <row r="4" spans="1:13" ht="15.95" customHeight="1">
      <c r="A4" s="966"/>
      <c r="B4" s="341"/>
      <c r="C4" s="318"/>
      <c r="D4" s="397"/>
      <c r="E4" s="398"/>
      <c r="F4" s="400"/>
      <c r="G4" s="400"/>
      <c r="H4" s="369"/>
      <c r="I4" s="338"/>
    </row>
    <row r="5" spans="1:13" ht="15.95" customHeight="1">
      <c r="A5" s="966"/>
      <c r="B5" s="341"/>
      <c r="C5" s="318"/>
      <c r="D5" s="397"/>
      <c r="E5" s="315"/>
      <c r="F5" s="319"/>
      <c r="G5" s="319"/>
      <c r="H5" s="369"/>
      <c r="I5" s="338"/>
    </row>
    <row r="6" spans="1:13" ht="15.95" customHeight="1">
      <c r="A6" s="966"/>
      <c r="B6" s="341"/>
      <c r="C6" s="318"/>
      <c r="D6" s="397"/>
      <c r="E6" s="398"/>
      <c r="F6" s="400"/>
      <c r="G6" s="400"/>
      <c r="H6" s="369"/>
      <c r="I6" s="338"/>
    </row>
    <row r="7" spans="1:13" ht="15.95" customHeight="1">
      <c r="A7" s="966"/>
      <c r="B7" s="341"/>
      <c r="C7" s="318"/>
      <c r="D7" s="397"/>
      <c r="E7" s="398"/>
      <c r="F7" s="400"/>
      <c r="G7" s="400"/>
      <c r="H7" s="369"/>
      <c r="I7" s="338"/>
    </row>
    <row r="8" spans="1:13" ht="15.95" customHeight="1">
      <c r="A8" s="966"/>
      <c r="B8" s="341"/>
      <c r="C8" s="318"/>
      <c r="D8" s="397"/>
      <c r="E8" s="315"/>
      <c r="F8" s="319"/>
      <c r="G8" s="319"/>
      <c r="H8" s="369"/>
      <c r="I8" s="338"/>
    </row>
    <row r="9" spans="1:13" ht="15.95" customHeight="1">
      <c r="A9" s="966"/>
      <c r="B9" s="341"/>
      <c r="C9" s="318"/>
      <c r="D9" s="397"/>
      <c r="E9" s="398"/>
      <c r="F9" s="400"/>
      <c r="G9" s="400"/>
      <c r="H9" s="369"/>
      <c r="I9" s="338"/>
    </row>
    <row r="10" spans="1:13" ht="15.95" customHeight="1">
      <c r="A10" s="966"/>
      <c r="B10" s="341"/>
      <c r="C10" s="318"/>
      <c r="D10" s="318"/>
      <c r="E10" s="398"/>
      <c r="F10" s="319"/>
      <c r="G10" s="319"/>
      <c r="H10" s="369"/>
      <c r="I10" s="338"/>
    </row>
    <row r="11" spans="1:13" ht="15.95" customHeight="1">
      <c r="A11" s="966"/>
      <c r="B11" s="341"/>
      <c r="C11" s="318"/>
      <c r="D11" s="318"/>
      <c r="E11" s="398"/>
      <c r="F11" s="319"/>
      <c r="G11" s="319"/>
      <c r="H11" s="369"/>
      <c r="I11" s="606"/>
    </row>
    <row r="12" spans="1:13" ht="15.95" customHeight="1">
      <c r="A12" s="966"/>
      <c r="B12" s="341"/>
      <c r="C12" s="318"/>
      <c r="D12" s="318"/>
      <c r="E12" s="398"/>
      <c r="F12" s="319"/>
      <c r="G12" s="319"/>
      <c r="H12" s="369"/>
      <c r="I12" s="606"/>
    </row>
    <row r="13" spans="1:13" ht="15.95" customHeight="1">
      <c r="A13" s="966"/>
      <c r="B13" s="341"/>
      <c r="C13" s="402"/>
      <c r="D13" s="402"/>
      <c r="E13" s="403"/>
      <c r="F13" s="336"/>
      <c r="G13" s="336"/>
      <c r="H13" s="369"/>
      <c r="I13" s="340"/>
    </row>
    <row r="14" spans="1:13" ht="15.95" customHeight="1">
      <c r="A14" s="966"/>
      <c r="B14" s="342"/>
      <c r="C14" s="389"/>
      <c r="D14" s="390"/>
      <c r="E14" s="391"/>
      <c r="F14" s="345"/>
      <c r="G14" s="346"/>
      <c r="H14" s="347">
        <f>SUM(H3:H13)</f>
        <v>0</v>
      </c>
      <c r="I14" s="392"/>
    </row>
    <row r="15" spans="1:13" ht="15.95" customHeight="1">
      <c r="A15" s="966"/>
      <c r="B15" s="349" t="s">
        <v>5</v>
      </c>
      <c r="C15" s="589"/>
      <c r="D15" s="680"/>
      <c r="E15" s="681" t="s">
        <v>329</v>
      </c>
      <c r="F15" s="681"/>
      <c r="G15" s="517"/>
      <c r="H15" s="678"/>
      <c r="I15" s="418"/>
    </row>
    <row r="16" spans="1:13" ht="15.95" customHeight="1">
      <c r="A16" s="966"/>
      <c r="B16" s="341" t="s">
        <v>8</v>
      </c>
      <c r="C16" s="682"/>
      <c r="D16" s="318"/>
      <c r="E16" s="315" t="s">
        <v>330</v>
      </c>
      <c r="F16" s="683"/>
      <c r="G16" s="319"/>
      <c r="H16" s="320"/>
      <c r="I16" s="387"/>
    </row>
    <row r="17" spans="1:9" s="227" customFormat="1" ht="15.95" customHeight="1">
      <c r="A17" s="966"/>
      <c r="B17" s="341"/>
      <c r="C17" s="682"/>
      <c r="D17" s="318"/>
      <c r="E17" s="315" t="s">
        <v>330</v>
      </c>
      <c r="F17" s="683"/>
      <c r="G17" s="319"/>
      <c r="H17" s="320"/>
      <c r="I17" s="387"/>
    </row>
    <row r="18" spans="1:9" s="227" customFormat="1" ht="15.95" customHeight="1">
      <c r="A18" s="966"/>
      <c r="B18" s="341"/>
      <c r="C18" s="682"/>
      <c r="D18" s="318"/>
      <c r="E18" s="315" t="s">
        <v>329</v>
      </c>
      <c r="F18" s="683"/>
      <c r="G18" s="319"/>
      <c r="H18" s="364"/>
      <c r="I18" s="387"/>
    </row>
    <row r="19" spans="1:9" s="227" customFormat="1" ht="15.95" customHeight="1">
      <c r="A19" s="966"/>
      <c r="B19" s="341"/>
      <c r="C19" s="682"/>
      <c r="D19" s="517"/>
      <c r="E19" s="674" t="s">
        <v>330</v>
      </c>
      <c r="F19" s="683"/>
      <c r="G19" s="517"/>
      <c r="H19" s="369"/>
      <c r="I19" s="387"/>
    </row>
    <row r="20" spans="1:9" s="227" customFormat="1" ht="15.95" customHeight="1">
      <c r="A20" s="966"/>
      <c r="B20" s="341"/>
      <c r="C20" s="682"/>
      <c r="D20" s="318"/>
      <c r="E20" s="674" t="s">
        <v>330</v>
      </c>
      <c r="F20" s="683"/>
      <c r="G20" s="517"/>
      <c r="H20" s="369"/>
      <c r="I20" s="387"/>
    </row>
    <row r="21" spans="1:9" s="227" customFormat="1" ht="15.95" customHeight="1">
      <c r="A21" s="966"/>
      <c r="B21" s="341"/>
      <c r="C21" s="682"/>
      <c r="D21" s="318"/>
      <c r="E21" s="315" t="s">
        <v>330</v>
      </c>
      <c r="F21" s="683"/>
      <c r="G21" s="319"/>
      <c r="H21" s="369"/>
      <c r="I21" s="387"/>
    </row>
    <row r="22" spans="1:9" s="227" customFormat="1" ht="15.95" customHeight="1">
      <c r="A22" s="966"/>
      <c r="B22" s="341"/>
      <c r="C22" s="682"/>
      <c r="D22" s="318"/>
      <c r="E22" s="315" t="s">
        <v>330</v>
      </c>
      <c r="F22" s="683"/>
      <c r="G22" s="319"/>
      <c r="H22" s="369"/>
      <c r="I22" s="387"/>
    </row>
    <row r="23" spans="1:9" s="227" customFormat="1" ht="15.95" customHeight="1">
      <c r="A23" s="966"/>
      <c r="B23" s="341"/>
      <c r="C23" s="682"/>
      <c r="D23" s="318"/>
      <c r="E23" s="315"/>
      <c r="F23" s="683"/>
      <c r="G23" s="319"/>
      <c r="H23" s="369"/>
      <c r="I23" s="387"/>
    </row>
    <row r="24" spans="1:9" s="227" customFormat="1" ht="15.95" customHeight="1">
      <c r="A24" s="966"/>
      <c r="B24" s="341"/>
      <c r="C24" s="397"/>
      <c r="D24" s="397"/>
      <c r="E24" s="398"/>
      <c r="F24" s="399"/>
      <c r="G24" s="319"/>
      <c r="H24" s="369"/>
      <c r="I24" s="387"/>
    </row>
    <row r="25" spans="1:9" s="227" customFormat="1" ht="15.95" customHeight="1">
      <c r="A25" s="966"/>
      <c r="B25" s="341"/>
      <c r="C25" s="318"/>
      <c r="D25" s="318"/>
      <c r="E25" s="315"/>
      <c r="F25" s="319"/>
      <c r="G25" s="319"/>
      <c r="H25" s="369"/>
      <c r="I25" s="387"/>
    </row>
    <row r="26" spans="1:9" s="227" customFormat="1" ht="15.95" customHeight="1">
      <c r="A26" s="966"/>
      <c r="B26" s="341"/>
      <c r="C26" s="331"/>
      <c r="D26" s="305"/>
      <c r="E26" s="315"/>
      <c r="F26" s="406"/>
      <c r="G26" s="406"/>
      <c r="H26" s="369"/>
      <c r="I26" s="387"/>
    </row>
    <row r="27" spans="1:9" s="227" customFormat="1" ht="15.95" customHeight="1">
      <c r="A27" s="966"/>
      <c r="B27" s="341"/>
      <c r="C27" s="331"/>
      <c r="D27" s="305"/>
      <c r="E27" s="315"/>
      <c r="F27" s="406"/>
      <c r="G27" s="406"/>
      <c r="H27" s="369"/>
      <c r="I27" s="387"/>
    </row>
    <row r="28" spans="1:9" s="227" customFormat="1" ht="15.95" customHeight="1">
      <c r="A28" s="966"/>
      <c r="B28" s="341"/>
      <c r="C28" s="331"/>
      <c r="D28" s="305"/>
      <c r="E28" s="315"/>
      <c r="F28" s="406"/>
      <c r="G28" s="406"/>
      <c r="H28" s="369"/>
      <c r="I28" s="387"/>
    </row>
    <row r="29" spans="1:9" s="227" customFormat="1" ht="15.95" customHeight="1">
      <c r="A29" s="966"/>
      <c r="B29" s="341"/>
      <c r="C29" s="331"/>
      <c r="D29" s="305"/>
      <c r="E29" s="315"/>
      <c r="F29" s="406"/>
      <c r="G29" s="406"/>
      <c r="H29" s="369"/>
      <c r="I29" s="387"/>
    </row>
    <row r="30" spans="1:9" s="227" customFormat="1" ht="15.95" customHeight="1">
      <c r="A30" s="966"/>
      <c r="B30" s="341"/>
      <c r="C30" s="331"/>
      <c r="D30" s="305"/>
      <c r="E30" s="315"/>
      <c r="F30" s="406"/>
      <c r="G30" s="406"/>
      <c r="H30" s="369"/>
      <c r="I30" s="387"/>
    </row>
    <row r="31" spans="1:9" s="227" customFormat="1" ht="15.95" customHeight="1">
      <c r="A31" s="966"/>
      <c r="B31" s="341"/>
      <c r="C31" s="331"/>
      <c r="D31" s="305"/>
      <c r="E31" s="315"/>
      <c r="F31" s="406"/>
      <c r="G31" s="406"/>
      <c r="H31" s="369"/>
      <c r="I31" s="387"/>
    </row>
    <row r="32" spans="1:9" s="227" customFormat="1" ht="15.95" customHeight="1">
      <c r="A32" s="966"/>
      <c r="B32" s="341"/>
      <c r="C32" s="407"/>
      <c r="D32" s="408"/>
      <c r="E32" s="409"/>
      <c r="F32" s="410"/>
      <c r="G32" s="411"/>
      <c r="H32" s="369"/>
      <c r="I32" s="388"/>
    </row>
    <row r="33" spans="1:9" s="227" customFormat="1" ht="15.95" customHeight="1">
      <c r="A33" s="966"/>
      <c r="B33" s="342"/>
      <c r="C33" s="389"/>
      <c r="D33" s="390"/>
      <c r="E33" s="391"/>
      <c r="F33" s="378"/>
      <c r="G33" s="378"/>
      <c r="H33" s="347">
        <f>SUM(H15:H32)</f>
        <v>0</v>
      </c>
      <c r="I33" s="392"/>
    </row>
    <row r="34" spans="1:9" s="227" customFormat="1" ht="15.95" customHeight="1">
      <c r="A34" s="966"/>
      <c r="B34" s="349" t="s">
        <v>6</v>
      </c>
      <c r="C34" s="684"/>
      <c r="D34" s="331"/>
      <c r="E34" s="685"/>
      <c r="F34" s="426"/>
      <c r="G34" s="330"/>
      <c r="H34" s="369"/>
      <c r="I34" s="386"/>
    </row>
    <row r="35" spans="1:9" s="227" customFormat="1" ht="15.95" customHeight="1">
      <c r="A35" s="966"/>
      <c r="B35" s="341"/>
      <c r="C35" s="980"/>
      <c r="D35" s="981"/>
      <c r="E35" s="498"/>
      <c r="F35" s="426"/>
      <c r="G35" s="330"/>
      <c r="H35" s="369">
        <f>G35*F35</f>
        <v>0</v>
      </c>
      <c r="I35" s="394"/>
    </row>
    <row r="36" spans="1:9" s="227" customFormat="1" ht="15.95" customHeight="1">
      <c r="A36" s="966"/>
      <c r="B36" s="341"/>
      <c r="C36" s="980"/>
      <c r="D36" s="981"/>
      <c r="E36" s="498"/>
      <c r="F36" s="426"/>
      <c r="G36" s="330"/>
      <c r="H36" s="369">
        <f>G36*F36</f>
        <v>0</v>
      </c>
      <c r="I36" s="394"/>
    </row>
    <row r="37" spans="1:9" s="227" customFormat="1" ht="15.95" customHeight="1">
      <c r="A37" s="966"/>
      <c r="B37" s="341"/>
      <c r="C37" s="980"/>
      <c r="D37" s="981"/>
      <c r="E37" s="498"/>
      <c r="F37" s="426"/>
      <c r="G37" s="330"/>
      <c r="H37" s="369">
        <f>G37*F37</f>
        <v>0</v>
      </c>
      <c r="I37" s="394"/>
    </row>
    <row r="38" spans="1:9" s="227" customFormat="1" ht="15.95" customHeight="1">
      <c r="A38" s="966"/>
      <c r="B38" s="341"/>
      <c r="C38" s="331"/>
      <c r="D38" s="331"/>
      <c r="E38" s="498"/>
      <c r="F38" s="426"/>
      <c r="G38" s="330"/>
      <c r="H38" s="369"/>
      <c r="I38" s="394"/>
    </row>
    <row r="39" spans="1:9" s="227" customFormat="1" ht="15.95" customHeight="1">
      <c r="A39" s="966"/>
      <c r="B39" s="341"/>
      <c r="C39" s="331"/>
      <c r="D39" s="331"/>
      <c r="E39" s="498"/>
      <c r="F39" s="426"/>
      <c r="G39" s="330"/>
      <c r="H39" s="369"/>
      <c r="I39" s="387"/>
    </row>
    <row r="40" spans="1:9" s="227" customFormat="1" ht="15.95" customHeight="1">
      <c r="A40" s="966"/>
      <c r="B40" s="341"/>
      <c r="C40" s="331"/>
      <c r="D40" s="329"/>
      <c r="E40" s="498"/>
      <c r="F40" s="501"/>
      <c r="G40" s="330"/>
      <c r="H40" s="369"/>
      <c r="I40" s="387"/>
    </row>
    <row r="41" spans="1:9" s="227" customFormat="1" ht="15.95" customHeight="1">
      <c r="A41" s="966"/>
      <c r="B41" s="341"/>
      <c r="C41" s="443"/>
      <c r="D41" s="305"/>
      <c r="E41" s="315"/>
      <c r="F41" s="406"/>
      <c r="G41" s="406"/>
      <c r="H41" s="369"/>
      <c r="I41" s="387"/>
    </row>
    <row r="42" spans="1:9" s="227" customFormat="1" ht="15.95" customHeight="1">
      <c r="A42" s="966"/>
      <c r="B42" s="341"/>
      <c r="C42" s="331"/>
      <c r="D42" s="305"/>
      <c r="E42" s="315"/>
      <c r="F42" s="406"/>
      <c r="G42" s="406"/>
      <c r="H42" s="369"/>
      <c r="I42" s="387"/>
    </row>
    <row r="43" spans="1:9" s="227" customFormat="1" ht="15.95" customHeight="1">
      <c r="A43" s="966"/>
      <c r="B43" s="341"/>
      <c r="C43" s="331"/>
      <c r="D43" s="305"/>
      <c r="E43" s="315"/>
      <c r="F43" s="406"/>
      <c r="G43" s="406"/>
      <c r="H43" s="369"/>
      <c r="I43" s="387"/>
    </row>
    <row r="44" spans="1:9" s="227" customFormat="1" ht="15.95" customHeight="1">
      <c r="A44" s="966"/>
      <c r="B44" s="341"/>
      <c r="C44" s="332"/>
      <c r="D44" s="333"/>
      <c r="E44" s="403"/>
      <c r="F44" s="414"/>
      <c r="G44" s="414"/>
      <c r="H44" s="369"/>
      <c r="I44" s="388"/>
    </row>
    <row r="45" spans="1:9" s="227" customFormat="1" ht="15.95" customHeight="1">
      <c r="A45" s="966"/>
      <c r="B45" s="342"/>
      <c r="C45" s="389"/>
      <c r="D45" s="390"/>
      <c r="E45" s="391"/>
      <c r="F45" s="378"/>
      <c r="G45" s="378"/>
      <c r="H45" s="347">
        <f>SUM(H34:H44)</f>
        <v>0</v>
      </c>
      <c r="I45" s="392"/>
    </row>
    <row r="46" spans="1:9" s="227" customFormat="1" ht="15.95" customHeight="1">
      <c r="A46" s="350"/>
      <c r="B46" s="351" t="s">
        <v>64</v>
      </c>
      <c r="C46" s="352"/>
      <c r="D46" s="376"/>
      <c r="E46" s="377"/>
      <c r="F46" s="393"/>
      <c r="G46" s="393"/>
      <c r="H46" s="347">
        <f>SUM(H45,H33,H14)</f>
        <v>0</v>
      </c>
      <c r="I46" s="392"/>
    </row>
    <row r="47" spans="1:9" s="227" customFormat="1" ht="15.95" customHeight="1">
      <c r="A47" s="962" t="s">
        <v>13</v>
      </c>
      <c r="B47" s="349" t="s">
        <v>65</v>
      </c>
      <c r="C47" s="436"/>
      <c r="D47" s="676"/>
      <c r="E47" s="677" t="s">
        <v>12</v>
      </c>
      <c r="F47" s="651"/>
      <c r="G47" s="415">
        <v>450000</v>
      </c>
      <c r="H47" s="678">
        <f>F47*G47</f>
        <v>0</v>
      </c>
      <c r="I47" s="679"/>
    </row>
    <row r="48" spans="1:9" s="227" customFormat="1" ht="15.95" customHeight="1">
      <c r="A48" s="966"/>
      <c r="B48" s="365" t="s">
        <v>331</v>
      </c>
      <c r="C48" s="366"/>
      <c r="D48" s="367"/>
      <c r="E48" s="368" t="s">
        <v>11</v>
      </c>
      <c r="F48" s="426"/>
      <c r="G48" s="400">
        <v>350000</v>
      </c>
      <c r="H48" s="369">
        <f>SUM(F48*G48)</f>
        <v>0</v>
      </c>
      <c r="I48" s="387"/>
    </row>
    <row r="49" spans="1:9" s="227" customFormat="1" ht="15.95" customHeight="1">
      <c r="A49" s="966"/>
      <c r="B49" s="365" t="s">
        <v>332</v>
      </c>
      <c r="C49" s="361"/>
      <c r="D49" s="367"/>
      <c r="E49" s="368" t="s">
        <v>11</v>
      </c>
      <c r="F49" s="426"/>
      <c r="G49" s="319">
        <v>350000</v>
      </c>
      <c r="H49" s="369">
        <f t="shared" ref="H49:H54" si="0">SUM(F49*G49)</f>
        <v>0</v>
      </c>
      <c r="I49" s="387"/>
    </row>
    <row r="50" spans="1:9" s="227" customFormat="1" ht="15.95" customHeight="1">
      <c r="A50" s="966"/>
      <c r="B50" s="365" t="s">
        <v>333</v>
      </c>
      <c r="C50" s="366"/>
      <c r="D50" s="367"/>
      <c r="E50" s="368" t="s">
        <v>11</v>
      </c>
      <c r="F50" s="426"/>
      <c r="G50" s="319">
        <v>350000</v>
      </c>
      <c r="H50" s="369">
        <f t="shared" si="0"/>
        <v>0</v>
      </c>
      <c r="I50" s="387"/>
    </row>
    <row r="51" spans="1:9" s="227" customFormat="1" ht="15.95" customHeight="1">
      <c r="A51" s="966"/>
      <c r="B51" s="365" t="s">
        <v>334</v>
      </c>
      <c r="C51" s="366"/>
      <c r="D51" s="367"/>
      <c r="E51" s="368" t="s">
        <v>11</v>
      </c>
      <c r="F51" s="426"/>
      <c r="G51" s="319">
        <v>450000</v>
      </c>
      <c r="H51" s="369">
        <f t="shared" si="0"/>
        <v>0</v>
      </c>
      <c r="I51" s="387"/>
    </row>
    <row r="52" spans="1:9" s="227" customFormat="1" ht="15.95" customHeight="1">
      <c r="A52" s="966"/>
      <c r="B52" s="365" t="s">
        <v>335</v>
      </c>
      <c r="C52" s="366"/>
      <c r="D52" s="367"/>
      <c r="E52" s="368" t="s">
        <v>11</v>
      </c>
      <c r="F52" s="426"/>
      <c r="G52" s="319">
        <v>450000</v>
      </c>
      <c r="H52" s="369">
        <f t="shared" si="0"/>
        <v>0</v>
      </c>
      <c r="I52" s="387"/>
    </row>
    <row r="53" spans="1:9" s="227" customFormat="1" ht="15.95" customHeight="1">
      <c r="A53" s="966"/>
      <c r="B53" s="365" t="s">
        <v>336</v>
      </c>
      <c r="C53" s="366"/>
      <c r="D53" s="367"/>
      <c r="E53" s="368" t="s">
        <v>11</v>
      </c>
      <c r="F53" s="426"/>
      <c r="G53" s="319">
        <v>450000</v>
      </c>
      <c r="H53" s="369">
        <f t="shared" si="0"/>
        <v>0</v>
      </c>
      <c r="I53" s="387"/>
    </row>
    <row r="54" spans="1:9" s="227" customFormat="1" ht="15.95" customHeight="1">
      <c r="A54" s="966"/>
      <c r="B54" s="370" t="s">
        <v>22</v>
      </c>
      <c r="C54" s="371"/>
      <c r="D54" s="372"/>
      <c r="E54" s="373" t="s">
        <v>11</v>
      </c>
      <c r="F54" s="334"/>
      <c r="G54" s="336">
        <v>300000</v>
      </c>
      <c r="H54" s="369">
        <f t="shared" si="0"/>
        <v>0</v>
      </c>
      <c r="I54" s="388"/>
    </row>
    <row r="55" spans="1:9" s="227" customFormat="1" ht="15.95" customHeight="1">
      <c r="A55" s="350"/>
      <c r="B55" s="375" t="s">
        <v>66</v>
      </c>
      <c r="C55" s="352"/>
      <c r="D55" s="376"/>
      <c r="E55" s="377"/>
      <c r="F55" s="378"/>
      <c r="G55" s="378"/>
      <c r="H55" s="346">
        <f>SUM(H47:H54)</f>
        <v>0</v>
      </c>
      <c r="I55" s="395"/>
    </row>
    <row r="56" spans="1:9" s="227" customFormat="1" ht="15.95" customHeight="1">
      <c r="A56" s="379"/>
      <c r="B56" s="375" t="s">
        <v>10</v>
      </c>
      <c r="C56" s="352"/>
      <c r="D56" s="376"/>
      <c r="E56" s="377"/>
      <c r="F56" s="380"/>
      <c r="G56" s="380"/>
      <c r="H56" s="353">
        <f>'단위장비별(집계)2'!L19+'단위장비별(집계)2'!I19</f>
        <v>0</v>
      </c>
      <c r="I56" s="392"/>
    </row>
    <row r="57" spans="1:9" s="227" customFormat="1" ht="15.95" customHeight="1">
      <c r="A57" s="379"/>
      <c r="B57" s="375" t="s">
        <v>2</v>
      </c>
      <c r="C57" s="352"/>
      <c r="D57" s="376"/>
      <c r="E57" s="377"/>
      <c r="F57" s="380"/>
      <c r="G57" s="381"/>
      <c r="H57" s="416">
        <f>(H46+H55)*0.05</f>
        <v>0</v>
      </c>
      <c r="I57" s="396"/>
    </row>
    <row r="58" spans="1:9" s="227" customFormat="1" ht="15.95" customHeight="1">
      <c r="A58" s="379"/>
      <c r="B58" s="375" t="s">
        <v>49</v>
      </c>
      <c r="C58" s="352"/>
      <c r="D58" s="376"/>
      <c r="E58" s="377"/>
      <c r="F58" s="380"/>
      <c r="G58" s="381"/>
      <c r="H58" s="416">
        <f>(H46+H55)*0.1</f>
        <v>0</v>
      </c>
      <c r="I58" s="396"/>
    </row>
    <row r="59" spans="1:9" s="227" customFormat="1" ht="15.95" customHeight="1">
      <c r="A59" s="379"/>
      <c r="B59" s="375" t="s">
        <v>50</v>
      </c>
      <c r="C59" s="352"/>
      <c r="D59" s="376"/>
      <c r="E59" s="377"/>
      <c r="F59" s="380"/>
      <c r="G59" s="380"/>
      <c r="H59" s="346">
        <f>H46+H55+H56+H57+H58</f>
        <v>0</v>
      </c>
      <c r="I59" s="392"/>
    </row>
    <row r="60" spans="1:9" s="227" customFormat="1">
      <c r="A60" s="119"/>
      <c r="B60" s="53"/>
      <c r="C60" s="53"/>
      <c r="D60" s="268"/>
      <c r="E60" s="119"/>
      <c r="F60" s="115"/>
      <c r="G60" s="115"/>
      <c r="H60" s="115"/>
      <c r="I60" s="230"/>
    </row>
  </sheetData>
  <mergeCells count="6">
    <mergeCell ref="A2:B2"/>
    <mergeCell ref="A3:A45"/>
    <mergeCell ref="A47:A54"/>
    <mergeCell ref="C35:D35"/>
    <mergeCell ref="C36:D36"/>
    <mergeCell ref="C37:D37"/>
  </mergeCells>
  <phoneticPr fontId="3" type="noConversion"/>
  <pageMargins left="0.45" right="0.28000000000000003" top="0.57999999999999996" bottom="0.6" header="0.5" footer="0.5"/>
  <pageSetup paperSize="9" scale="69" orientation="portrait" horizontalDpi="1200" verticalDpi="1200" r:id="rId1"/>
  <headerFooter alignWithMargins="0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72B97-9EC7-46A0-AD9B-F43425DDD9D5}">
  <dimension ref="A1:M79"/>
  <sheetViews>
    <sheetView topLeftCell="A49" zoomScale="75" zoomScaleNormal="75" workbookViewId="0">
      <selection activeCell="L69" sqref="L69"/>
    </sheetView>
  </sheetViews>
  <sheetFormatPr defaultRowHeight="13.5"/>
  <cols>
    <col min="1" max="1" width="5" style="53" customWidth="1"/>
    <col min="2" max="2" width="17.875" style="53" bestFit="1" customWidth="1"/>
    <col min="3" max="3" width="23.625" style="53" customWidth="1"/>
    <col min="4" max="4" width="18.25" style="268" customWidth="1"/>
    <col min="5" max="5" width="5.25" style="119" bestFit="1" customWidth="1"/>
    <col min="6" max="6" width="8.625" style="115" customWidth="1"/>
    <col min="7" max="8" width="15.625" style="115" customWidth="1"/>
    <col min="9" max="9" width="12.75" style="230" customWidth="1"/>
    <col min="10" max="10" width="9" style="227"/>
    <col min="11" max="11" width="12.25" style="227" customWidth="1"/>
    <col min="12" max="12" width="11.5" style="227" customWidth="1"/>
    <col min="13" max="13" width="9" style="227"/>
    <col min="14" max="16384" width="9" style="53"/>
  </cols>
  <sheetData>
    <row r="1" spans="1:13" ht="22.5" customHeight="1">
      <c r="A1" s="45" t="s">
        <v>308</v>
      </c>
      <c r="B1" s="45"/>
      <c r="C1" s="419" t="s">
        <v>309</v>
      </c>
      <c r="D1" s="262"/>
      <c r="E1" s="238"/>
      <c r="F1" s="22"/>
      <c r="G1" s="114"/>
      <c r="I1" s="230" t="s">
        <v>53</v>
      </c>
      <c r="J1" s="229"/>
      <c r="K1" s="229"/>
      <c r="L1" s="229"/>
      <c r="M1" s="229"/>
    </row>
    <row r="2" spans="1:13" s="119" customFormat="1" ht="16.5" customHeight="1">
      <c r="A2" s="964" t="s">
        <v>57</v>
      </c>
      <c r="B2" s="965"/>
      <c r="C2" s="359" t="s">
        <v>7</v>
      </c>
      <c r="D2" s="383" t="s">
        <v>58</v>
      </c>
      <c r="E2" s="383" t="s">
        <v>59</v>
      </c>
      <c r="F2" s="384" t="s">
        <v>4</v>
      </c>
      <c r="G2" s="384" t="s">
        <v>60</v>
      </c>
      <c r="H2" s="384" t="s">
        <v>61</v>
      </c>
      <c r="I2" s="385" t="s">
        <v>9</v>
      </c>
      <c r="J2" s="228"/>
      <c r="K2" s="228"/>
      <c r="L2" s="228"/>
      <c r="M2" s="228"/>
    </row>
    <row r="3" spans="1:13" ht="15.95" customHeight="1">
      <c r="A3" s="962" t="s">
        <v>62</v>
      </c>
      <c r="B3" s="341" t="s">
        <v>63</v>
      </c>
      <c r="C3" s="420"/>
      <c r="D3" s="420"/>
      <c r="E3" s="311" t="s">
        <v>218</v>
      </c>
      <c r="F3" s="415"/>
      <c r="G3" s="415"/>
      <c r="H3" s="337">
        <f>IF(F3=0,G3,G3*F3)</f>
        <v>0</v>
      </c>
      <c r="I3" s="314"/>
    </row>
    <row r="4" spans="1:13" ht="15.95" customHeight="1">
      <c r="A4" s="966"/>
      <c r="B4" s="341"/>
      <c r="C4" s="468"/>
      <c r="D4" s="469"/>
      <c r="E4" s="470" t="s">
        <v>281</v>
      </c>
      <c r="F4" s="471"/>
      <c r="G4" s="406"/>
      <c r="H4" s="364">
        <f>IF(F4=0,G4,G4*F4)</f>
        <v>0</v>
      </c>
      <c r="I4" s="338"/>
    </row>
    <row r="5" spans="1:13" ht="15.95" customHeight="1">
      <c r="A5" s="966"/>
      <c r="B5" s="341"/>
      <c r="C5" s="318"/>
      <c r="D5" s="318"/>
      <c r="E5" s="315"/>
      <c r="F5" s="319"/>
      <c r="G5" s="319"/>
      <c r="H5" s="369"/>
      <c r="I5" s="338"/>
    </row>
    <row r="6" spans="1:13" ht="15.95" customHeight="1">
      <c r="A6" s="966"/>
      <c r="B6" s="341"/>
      <c r="C6" s="318"/>
      <c r="D6" s="318"/>
      <c r="E6" s="398"/>
      <c r="F6" s="319"/>
      <c r="G6" s="319"/>
      <c r="H6" s="369"/>
      <c r="I6" s="606"/>
    </row>
    <row r="7" spans="1:13" ht="15.95" customHeight="1">
      <c r="A7" s="966"/>
      <c r="B7" s="341"/>
      <c r="C7" s="402"/>
      <c r="D7" s="402"/>
      <c r="E7" s="403" t="s">
        <v>218</v>
      </c>
      <c r="F7" s="336"/>
      <c r="G7" s="336"/>
      <c r="H7" s="339">
        <f>IF(F7=0,G7,G7*F7)</f>
        <v>0</v>
      </c>
      <c r="I7" s="340"/>
    </row>
    <row r="8" spans="1:13" ht="15.95" customHeight="1">
      <c r="A8" s="966"/>
      <c r="B8" s="342"/>
      <c r="C8" s="389"/>
      <c r="D8" s="390"/>
      <c r="E8" s="391"/>
      <c r="F8" s="345">
        <f>SUM(F3:F7)</f>
        <v>0</v>
      </c>
      <c r="G8" s="346"/>
      <c r="H8" s="347">
        <f>SUM(H3:H7)</f>
        <v>0</v>
      </c>
      <c r="I8" s="392"/>
    </row>
    <row r="9" spans="1:13" ht="15.95" customHeight="1">
      <c r="A9" s="966"/>
      <c r="B9" s="349" t="s">
        <v>5</v>
      </c>
      <c r="C9" s="412"/>
      <c r="D9" s="412"/>
      <c r="E9" s="692"/>
      <c r="F9" s="417"/>
      <c r="G9" s="517"/>
      <c r="H9" s="358">
        <f>G9*F9</f>
        <v>0</v>
      </c>
      <c r="I9" s="418"/>
    </row>
    <row r="10" spans="1:13" ht="15.95" customHeight="1">
      <c r="A10" s="966"/>
      <c r="B10" s="341" t="s">
        <v>8</v>
      </c>
      <c r="C10" s="305"/>
      <c r="D10" s="305"/>
      <c r="E10" s="315"/>
      <c r="F10" s="307"/>
      <c r="G10" s="319"/>
      <c r="H10" s="369">
        <f>G10*F10</f>
        <v>0</v>
      </c>
      <c r="I10" s="387"/>
    </row>
    <row r="11" spans="1:13" ht="15.95" customHeight="1">
      <c r="A11" s="966"/>
      <c r="B11" s="341"/>
      <c r="C11" s="305"/>
      <c r="D11" s="305"/>
      <c r="E11" s="315"/>
      <c r="F11" s="307"/>
      <c r="G11" s="319"/>
      <c r="H11" s="369">
        <f t="shared" ref="H11:H21" si="0">G11*F11</f>
        <v>0</v>
      </c>
      <c r="I11" s="387"/>
    </row>
    <row r="12" spans="1:13" ht="15.95" customHeight="1">
      <c r="A12" s="966"/>
      <c r="B12" s="341"/>
      <c r="C12" s="305"/>
      <c r="D12" s="305"/>
      <c r="E12" s="315"/>
      <c r="F12" s="307"/>
      <c r="G12" s="319"/>
      <c r="H12" s="369">
        <f t="shared" si="0"/>
        <v>0</v>
      </c>
      <c r="I12" s="387"/>
    </row>
    <row r="13" spans="1:13" ht="15.95" customHeight="1">
      <c r="A13" s="966"/>
      <c r="B13" s="341"/>
      <c r="C13" s="305"/>
      <c r="D13" s="305"/>
      <c r="E13" s="315"/>
      <c r="F13" s="307"/>
      <c r="G13" s="319"/>
      <c r="H13" s="369">
        <f t="shared" si="0"/>
        <v>0</v>
      </c>
      <c r="I13" s="387"/>
    </row>
    <row r="14" spans="1:13" ht="15.95" customHeight="1">
      <c r="A14" s="966"/>
      <c r="B14" s="341"/>
      <c r="C14" s="305"/>
      <c r="D14" s="305"/>
      <c r="E14" s="315"/>
      <c r="F14" s="307"/>
      <c r="G14" s="319"/>
      <c r="H14" s="369">
        <f t="shared" si="0"/>
        <v>0</v>
      </c>
      <c r="I14" s="387"/>
    </row>
    <row r="15" spans="1:13" ht="15.95" customHeight="1">
      <c r="A15" s="966"/>
      <c r="B15" s="341"/>
      <c r="C15" s="305"/>
      <c r="D15" s="305"/>
      <c r="E15" s="315"/>
      <c r="F15" s="307"/>
      <c r="G15" s="319"/>
      <c r="H15" s="369">
        <f t="shared" si="0"/>
        <v>0</v>
      </c>
      <c r="I15" s="387"/>
    </row>
    <row r="16" spans="1:13" ht="15.95" customHeight="1">
      <c r="A16" s="966"/>
      <c r="B16" s="341"/>
      <c r="C16" s="305"/>
      <c r="D16" s="305"/>
      <c r="E16" s="315"/>
      <c r="F16" s="307"/>
      <c r="G16" s="319"/>
      <c r="H16" s="369">
        <f t="shared" si="0"/>
        <v>0</v>
      </c>
      <c r="I16" s="387"/>
    </row>
    <row r="17" spans="1:9" ht="15.95" customHeight="1">
      <c r="A17" s="966"/>
      <c r="B17" s="341"/>
      <c r="C17" s="305"/>
      <c r="D17" s="305"/>
      <c r="E17" s="315"/>
      <c r="F17" s="307"/>
      <c r="G17" s="319"/>
      <c r="H17" s="369">
        <f t="shared" si="0"/>
        <v>0</v>
      </c>
      <c r="I17" s="387"/>
    </row>
    <row r="18" spans="1:9" ht="15.95" customHeight="1">
      <c r="A18" s="966"/>
      <c r="B18" s="341"/>
      <c r="C18" s="305"/>
      <c r="D18" s="305"/>
      <c r="E18" s="315"/>
      <c r="F18" s="307"/>
      <c r="G18" s="319"/>
      <c r="H18" s="369">
        <f t="shared" si="0"/>
        <v>0</v>
      </c>
      <c r="I18" s="387"/>
    </row>
    <row r="19" spans="1:9" ht="15.95" customHeight="1">
      <c r="A19" s="966"/>
      <c r="B19" s="341"/>
      <c r="C19" s="305"/>
      <c r="D19" s="305"/>
      <c r="E19" s="315"/>
      <c r="F19" s="307"/>
      <c r="G19" s="319"/>
      <c r="H19" s="369">
        <f t="shared" si="0"/>
        <v>0</v>
      </c>
      <c r="I19" s="387"/>
    </row>
    <row r="20" spans="1:9" s="227" customFormat="1" ht="15.95" customHeight="1">
      <c r="A20" s="966"/>
      <c r="B20" s="341"/>
      <c r="C20" s="305"/>
      <c r="D20" s="305"/>
      <c r="E20" s="315"/>
      <c r="F20" s="307"/>
      <c r="G20" s="319"/>
      <c r="H20" s="369">
        <f t="shared" si="0"/>
        <v>0</v>
      </c>
      <c r="I20" s="387"/>
    </row>
    <row r="21" spans="1:9" s="227" customFormat="1" ht="15.95" customHeight="1">
      <c r="A21" s="966"/>
      <c r="B21" s="341"/>
      <c r="C21" s="305"/>
      <c r="D21" s="305"/>
      <c r="E21" s="315"/>
      <c r="F21" s="307"/>
      <c r="G21" s="319"/>
      <c r="H21" s="369">
        <f t="shared" si="0"/>
        <v>0</v>
      </c>
      <c r="I21" s="387"/>
    </row>
    <row r="22" spans="1:9" s="227" customFormat="1" ht="15.95" customHeight="1">
      <c r="A22" s="966"/>
      <c r="B22" s="341"/>
      <c r="C22" s="331"/>
      <c r="D22" s="305"/>
      <c r="E22" s="315"/>
      <c r="F22" s="406"/>
      <c r="G22" s="406"/>
      <c r="H22" s="369"/>
      <c r="I22" s="387"/>
    </row>
    <row r="23" spans="1:9" s="227" customFormat="1" ht="15.95" customHeight="1">
      <c r="A23" s="966"/>
      <c r="B23" s="341"/>
      <c r="C23" s="407"/>
      <c r="D23" s="408"/>
      <c r="E23" s="409"/>
      <c r="F23" s="410"/>
      <c r="G23" s="411"/>
      <c r="H23" s="369"/>
      <c r="I23" s="388"/>
    </row>
    <row r="24" spans="1:9" s="227" customFormat="1" ht="15.95" customHeight="1">
      <c r="A24" s="966"/>
      <c r="B24" s="342"/>
      <c r="C24" s="389"/>
      <c r="D24" s="390"/>
      <c r="E24" s="391"/>
      <c r="F24" s="378"/>
      <c r="G24" s="378"/>
      <c r="H24" s="347">
        <f>SUM(H9:H23)</f>
        <v>0</v>
      </c>
      <c r="I24" s="392"/>
    </row>
    <row r="25" spans="1:9" s="227" customFormat="1" ht="15.95" customHeight="1">
      <c r="A25" s="966"/>
      <c r="B25" s="349" t="s">
        <v>6</v>
      </c>
      <c r="C25" s="412"/>
      <c r="D25" s="412"/>
      <c r="E25" s="311"/>
      <c r="F25" s="417"/>
      <c r="G25" s="688"/>
      <c r="H25" s="369">
        <f>G25*F25</f>
        <v>0</v>
      </c>
      <c r="I25" s="386"/>
    </row>
    <row r="26" spans="1:9" s="227" customFormat="1" ht="15.95" customHeight="1">
      <c r="A26" s="966"/>
      <c r="B26" s="341"/>
      <c r="C26" s="305"/>
      <c r="D26" s="305"/>
      <c r="E26" s="315"/>
      <c r="F26" s="307"/>
      <c r="G26" s="688"/>
      <c r="H26" s="369">
        <f>G26*F26</f>
        <v>0</v>
      </c>
      <c r="I26" s="394"/>
    </row>
    <row r="27" spans="1:9" s="227" customFormat="1" ht="15.95" customHeight="1">
      <c r="A27" s="966"/>
      <c r="B27" s="341"/>
      <c r="C27" s="305"/>
      <c r="D27" s="305"/>
      <c r="E27" s="315"/>
      <c r="F27" s="307"/>
      <c r="G27" s="688"/>
      <c r="H27" s="369">
        <f t="shared" ref="H27:H56" si="1">G27*F27</f>
        <v>0</v>
      </c>
      <c r="I27" s="394"/>
    </row>
    <row r="28" spans="1:9" s="227" customFormat="1" ht="15.95" customHeight="1">
      <c r="A28" s="966"/>
      <c r="B28" s="341"/>
      <c r="C28" s="305"/>
      <c r="D28" s="305"/>
      <c r="E28" s="315"/>
      <c r="F28" s="307"/>
      <c r="G28" s="688"/>
      <c r="H28" s="369">
        <f t="shared" si="1"/>
        <v>0</v>
      </c>
      <c r="I28" s="394"/>
    </row>
    <row r="29" spans="1:9" s="227" customFormat="1" ht="15.95" customHeight="1">
      <c r="A29" s="966"/>
      <c r="B29" s="341"/>
      <c r="C29" s="305"/>
      <c r="D29" s="305"/>
      <c r="E29" s="315"/>
      <c r="F29" s="307"/>
      <c r="G29" s="688"/>
      <c r="H29" s="369">
        <f t="shared" si="1"/>
        <v>0</v>
      </c>
      <c r="I29" s="394"/>
    </row>
    <row r="30" spans="1:9" s="227" customFormat="1" ht="15.95" customHeight="1">
      <c r="A30" s="966"/>
      <c r="B30" s="341"/>
      <c r="C30" s="305"/>
      <c r="D30" s="305"/>
      <c r="E30" s="315"/>
      <c r="F30" s="307"/>
      <c r="G30" s="688"/>
      <c r="H30" s="369">
        <f t="shared" si="1"/>
        <v>0</v>
      </c>
      <c r="I30" s="394"/>
    </row>
    <row r="31" spans="1:9" s="227" customFormat="1" ht="15.95" customHeight="1">
      <c r="A31" s="966"/>
      <c r="B31" s="341"/>
      <c r="C31" s="305"/>
      <c r="D31" s="305"/>
      <c r="E31" s="315"/>
      <c r="F31" s="307"/>
      <c r="G31" s="688"/>
      <c r="H31" s="369">
        <f t="shared" si="1"/>
        <v>0</v>
      </c>
      <c r="I31" s="394"/>
    </row>
    <row r="32" spans="1:9" s="227" customFormat="1" ht="15.95" customHeight="1">
      <c r="A32" s="966"/>
      <c r="B32" s="341"/>
      <c r="C32" s="305"/>
      <c r="D32" s="305"/>
      <c r="E32" s="315"/>
      <c r="F32" s="307"/>
      <c r="G32" s="688"/>
      <c r="H32" s="369">
        <f t="shared" si="1"/>
        <v>0</v>
      </c>
      <c r="I32" s="394"/>
    </row>
    <row r="33" spans="1:9" s="227" customFormat="1" ht="15.95" customHeight="1">
      <c r="A33" s="966"/>
      <c r="B33" s="341"/>
      <c r="C33" s="305"/>
      <c r="D33" s="305"/>
      <c r="E33" s="315"/>
      <c r="F33" s="307"/>
      <c r="G33" s="688"/>
      <c r="H33" s="369">
        <f t="shared" si="1"/>
        <v>0</v>
      </c>
      <c r="I33" s="394"/>
    </row>
    <row r="34" spans="1:9" s="227" customFormat="1" ht="15.95" customHeight="1">
      <c r="A34" s="966"/>
      <c r="B34" s="341"/>
      <c r="C34" s="305"/>
      <c r="D34" s="305"/>
      <c r="E34" s="315"/>
      <c r="F34" s="307"/>
      <c r="G34" s="688"/>
      <c r="H34" s="369">
        <f t="shared" si="1"/>
        <v>0</v>
      </c>
      <c r="I34" s="394"/>
    </row>
    <row r="35" spans="1:9" s="227" customFormat="1" ht="15.95" customHeight="1">
      <c r="A35" s="966"/>
      <c r="B35" s="341"/>
      <c r="C35" s="305"/>
      <c r="D35" s="305"/>
      <c r="E35" s="315"/>
      <c r="F35" s="307"/>
      <c r="G35" s="688"/>
      <c r="H35" s="369">
        <f t="shared" si="1"/>
        <v>0</v>
      </c>
      <c r="I35" s="394"/>
    </row>
    <row r="36" spans="1:9" s="227" customFormat="1" ht="15.95" customHeight="1">
      <c r="A36" s="966"/>
      <c r="B36" s="341"/>
      <c r="C36" s="305"/>
      <c r="D36" s="305"/>
      <c r="E36" s="315"/>
      <c r="F36" s="307"/>
      <c r="G36" s="688"/>
      <c r="H36" s="369">
        <f t="shared" si="1"/>
        <v>0</v>
      </c>
      <c r="I36" s="394"/>
    </row>
    <row r="37" spans="1:9" s="227" customFormat="1" ht="15.95" customHeight="1">
      <c r="A37" s="966"/>
      <c r="B37" s="341"/>
      <c r="C37" s="305"/>
      <c r="D37" s="305"/>
      <c r="E37" s="315"/>
      <c r="F37" s="307"/>
      <c r="G37" s="688"/>
      <c r="H37" s="369">
        <f t="shared" si="1"/>
        <v>0</v>
      </c>
      <c r="I37" s="394"/>
    </row>
    <row r="38" spans="1:9" s="227" customFormat="1" ht="15.95" customHeight="1">
      <c r="A38" s="966"/>
      <c r="B38" s="341"/>
      <c r="C38" s="305"/>
      <c r="D38" s="305"/>
      <c r="E38" s="315"/>
      <c r="F38" s="307"/>
      <c r="G38" s="688"/>
      <c r="H38" s="369">
        <f t="shared" si="1"/>
        <v>0</v>
      </c>
      <c r="I38" s="394"/>
    </row>
    <row r="39" spans="1:9" s="227" customFormat="1" ht="15.95" customHeight="1">
      <c r="A39" s="966"/>
      <c r="B39" s="341"/>
      <c r="C39" s="305"/>
      <c r="D39" s="305"/>
      <c r="E39" s="315"/>
      <c r="F39" s="307"/>
      <c r="G39" s="688"/>
      <c r="H39" s="369">
        <f t="shared" si="1"/>
        <v>0</v>
      </c>
      <c r="I39" s="394"/>
    </row>
    <row r="40" spans="1:9" s="227" customFormat="1" ht="15.95" customHeight="1">
      <c r="A40" s="966"/>
      <c r="B40" s="341"/>
      <c r="C40" s="305"/>
      <c r="D40" s="305"/>
      <c r="E40" s="315"/>
      <c r="F40" s="307"/>
      <c r="G40" s="688"/>
      <c r="H40" s="369">
        <f t="shared" si="1"/>
        <v>0</v>
      </c>
      <c r="I40" s="394"/>
    </row>
    <row r="41" spans="1:9" s="227" customFormat="1" ht="15.95" customHeight="1">
      <c r="A41" s="966"/>
      <c r="B41" s="341"/>
      <c r="C41" s="305"/>
      <c r="D41" s="305"/>
      <c r="E41" s="315"/>
      <c r="F41" s="307"/>
      <c r="G41" s="688"/>
      <c r="H41" s="369">
        <f t="shared" si="1"/>
        <v>0</v>
      </c>
      <c r="I41" s="394"/>
    </row>
    <row r="42" spans="1:9" s="227" customFormat="1" ht="15.95" customHeight="1">
      <c r="A42" s="966"/>
      <c r="B42" s="341"/>
      <c r="C42" s="305"/>
      <c r="D42" s="305"/>
      <c r="E42" s="315"/>
      <c r="F42" s="307"/>
      <c r="G42" s="688"/>
      <c r="H42" s="369">
        <f t="shared" si="1"/>
        <v>0</v>
      </c>
      <c r="I42" s="394"/>
    </row>
    <row r="43" spans="1:9" s="227" customFormat="1" ht="15.95" customHeight="1">
      <c r="A43" s="966"/>
      <c r="B43" s="341"/>
      <c r="C43" s="305"/>
      <c r="D43" s="305"/>
      <c r="E43" s="315"/>
      <c r="F43" s="307"/>
      <c r="G43" s="688"/>
      <c r="H43" s="369">
        <f t="shared" si="1"/>
        <v>0</v>
      </c>
      <c r="I43" s="394"/>
    </row>
    <row r="44" spans="1:9" s="227" customFormat="1" ht="15.95" customHeight="1">
      <c r="A44" s="966"/>
      <c r="B44" s="341"/>
      <c r="C44" s="305"/>
      <c r="D44" s="305"/>
      <c r="E44" s="315"/>
      <c r="F44" s="307"/>
      <c r="G44" s="688"/>
      <c r="H44" s="369">
        <f t="shared" si="1"/>
        <v>0</v>
      </c>
      <c r="I44" s="394"/>
    </row>
    <row r="45" spans="1:9" s="227" customFormat="1" ht="15.95" customHeight="1">
      <c r="A45" s="966"/>
      <c r="B45" s="341"/>
      <c r="C45" s="305"/>
      <c r="D45" s="305"/>
      <c r="E45" s="315"/>
      <c r="F45" s="307"/>
      <c r="G45" s="688"/>
      <c r="H45" s="369">
        <f t="shared" si="1"/>
        <v>0</v>
      </c>
      <c r="I45" s="394"/>
    </row>
    <row r="46" spans="1:9" s="227" customFormat="1" ht="15.95" customHeight="1">
      <c r="A46" s="966"/>
      <c r="B46" s="341"/>
      <c r="C46" s="305"/>
      <c r="D46" s="305"/>
      <c r="E46" s="315"/>
      <c r="F46" s="307"/>
      <c r="G46" s="688"/>
      <c r="H46" s="369">
        <f t="shared" si="1"/>
        <v>0</v>
      </c>
      <c r="I46" s="394"/>
    </row>
    <row r="47" spans="1:9" s="227" customFormat="1" ht="15.95" customHeight="1">
      <c r="A47" s="966"/>
      <c r="B47" s="341"/>
      <c r="C47" s="305"/>
      <c r="D47" s="305"/>
      <c r="E47" s="315"/>
      <c r="F47" s="307"/>
      <c r="G47" s="688"/>
      <c r="H47" s="369">
        <f t="shared" si="1"/>
        <v>0</v>
      </c>
      <c r="I47" s="394"/>
    </row>
    <row r="48" spans="1:9" s="227" customFormat="1" ht="15.95" customHeight="1">
      <c r="A48" s="966"/>
      <c r="B48" s="341"/>
      <c r="C48" s="305"/>
      <c r="D48" s="305"/>
      <c r="E48" s="315"/>
      <c r="F48" s="307"/>
      <c r="G48" s="688"/>
      <c r="H48" s="369">
        <f t="shared" si="1"/>
        <v>0</v>
      </c>
      <c r="I48" s="394"/>
    </row>
    <row r="49" spans="1:9" s="227" customFormat="1" ht="15.95" customHeight="1">
      <c r="A49" s="966"/>
      <c r="B49" s="341"/>
      <c r="C49" s="305"/>
      <c r="D49" s="305"/>
      <c r="E49" s="315"/>
      <c r="F49" s="307"/>
      <c r="G49" s="688"/>
      <c r="H49" s="369">
        <f t="shared" si="1"/>
        <v>0</v>
      </c>
      <c r="I49" s="394"/>
    </row>
    <row r="50" spans="1:9" s="227" customFormat="1" ht="15.95" customHeight="1">
      <c r="A50" s="966"/>
      <c r="B50" s="341"/>
      <c r="C50" s="305"/>
      <c r="D50" s="305"/>
      <c r="E50" s="315"/>
      <c r="F50" s="307"/>
      <c r="G50" s="688"/>
      <c r="H50" s="369">
        <f t="shared" si="1"/>
        <v>0</v>
      </c>
      <c r="I50" s="394"/>
    </row>
    <row r="51" spans="1:9" s="227" customFormat="1" ht="15.95" customHeight="1">
      <c r="A51" s="966"/>
      <c r="B51" s="341"/>
      <c r="C51" s="305"/>
      <c r="D51" s="305"/>
      <c r="E51" s="315"/>
      <c r="F51" s="307"/>
      <c r="G51" s="688"/>
      <c r="H51" s="369">
        <f t="shared" si="1"/>
        <v>0</v>
      </c>
      <c r="I51" s="394"/>
    </row>
    <row r="52" spans="1:9" s="227" customFormat="1" ht="15.95" customHeight="1">
      <c r="A52" s="966"/>
      <c r="B52" s="341"/>
      <c r="C52" s="305"/>
      <c r="D52" s="305"/>
      <c r="E52" s="315"/>
      <c r="F52" s="307"/>
      <c r="G52" s="688"/>
      <c r="H52" s="369">
        <f t="shared" si="1"/>
        <v>0</v>
      </c>
      <c r="I52" s="394"/>
    </row>
    <row r="53" spans="1:9" s="227" customFormat="1" ht="15.95" customHeight="1">
      <c r="A53" s="966"/>
      <c r="B53" s="341"/>
      <c r="C53" s="305"/>
      <c r="D53" s="305"/>
      <c r="E53" s="315"/>
      <c r="F53" s="307"/>
      <c r="G53" s="688"/>
      <c r="H53" s="369">
        <f t="shared" si="1"/>
        <v>0</v>
      </c>
      <c r="I53" s="394"/>
    </row>
    <row r="54" spans="1:9" s="227" customFormat="1" ht="15.95" customHeight="1">
      <c r="A54" s="966"/>
      <c r="B54" s="341"/>
      <c r="C54" s="305"/>
      <c r="D54" s="305"/>
      <c r="E54" s="315"/>
      <c r="F54" s="307"/>
      <c r="G54" s="688"/>
      <c r="H54" s="369">
        <f t="shared" si="1"/>
        <v>0</v>
      </c>
      <c r="I54" s="394"/>
    </row>
    <row r="55" spans="1:9" s="227" customFormat="1" ht="15.95" customHeight="1">
      <c r="A55" s="966"/>
      <c r="B55" s="341"/>
      <c r="C55" s="305"/>
      <c r="D55" s="305"/>
      <c r="E55" s="315"/>
      <c r="F55" s="307"/>
      <c r="G55" s="688"/>
      <c r="H55" s="369">
        <f t="shared" si="1"/>
        <v>0</v>
      </c>
      <c r="I55" s="394"/>
    </row>
    <row r="56" spans="1:9" s="227" customFormat="1" ht="15.95" customHeight="1">
      <c r="A56" s="966"/>
      <c r="B56" s="341"/>
      <c r="C56" s="305"/>
      <c r="D56" s="305"/>
      <c r="E56" s="315"/>
      <c r="F56" s="307"/>
      <c r="G56" s="688"/>
      <c r="H56" s="369">
        <f t="shared" si="1"/>
        <v>0</v>
      </c>
      <c r="I56" s="394"/>
    </row>
    <row r="57" spans="1:9" s="227" customFormat="1" ht="15.95" customHeight="1">
      <c r="A57" s="966"/>
      <c r="B57" s="341"/>
      <c r="C57" s="331"/>
      <c r="D57" s="331"/>
      <c r="E57" s="498"/>
      <c r="F57" s="426"/>
      <c r="G57" s="688"/>
      <c r="H57" s="369"/>
      <c r="I57" s="394"/>
    </row>
    <row r="58" spans="1:9" s="227" customFormat="1" ht="15.95" customHeight="1">
      <c r="A58" s="966"/>
      <c r="B58" s="341"/>
      <c r="C58" s="332"/>
      <c r="D58" s="333"/>
      <c r="E58" s="403"/>
      <c r="F58" s="414"/>
      <c r="G58" s="414"/>
      <c r="H58" s="369"/>
      <c r="I58" s="388"/>
    </row>
    <row r="59" spans="1:9" s="227" customFormat="1" ht="15.95" customHeight="1">
      <c r="A59" s="966"/>
      <c r="B59" s="342"/>
      <c r="C59" s="389"/>
      <c r="D59" s="390"/>
      <c r="E59" s="391"/>
      <c r="F59" s="378"/>
      <c r="G59" s="378"/>
      <c r="H59" s="347">
        <f>SUM(H25:H58)</f>
        <v>0</v>
      </c>
      <c r="I59" s="392"/>
    </row>
    <row r="60" spans="1:9" s="227" customFormat="1" ht="15.95" customHeight="1">
      <c r="A60" s="350"/>
      <c r="B60" s="351" t="s">
        <v>64</v>
      </c>
      <c r="C60" s="352"/>
      <c r="D60" s="376"/>
      <c r="E60" s="377"/>
      <c r="F60" s="393"/>
      <c r="G60" s="393"/>
      <c r="H60" s="347">
        <f>SUM(H59,H24,H8)</f>
        <v>0</v>
      </c>
      <c r="I60" s="392"/>
    </row>
    <row r="61" spans="1:9" s="227" customFormat="1" ht="15.95" customHeight="1">
      <c r="A61" s="962" t="s">
        <v>13</v>
      </c>
      <c r="B61" s="349" t="s">
        <v>65</v>
      </c>
      <c r="C61" s="436"/>
      <c r="D61" s="676"/>
      <c r="E61" s="677" t="s">
        <v>12</v>
      </c>
      <c r="F61" s="326"/>
      <c r="G61" s="415">
        <v>450000</v>
      </c>
      <c r="H61" s="678">
        <f>F61*G61</f>
        <v>0</v>
      </c>
      <c r="I61" s="679"/>
    </row>
    <row r="62" spans="1:9" s="227" customFormat="1" ht="15.95" customHeight="1">
      <c r="A62" s="966"/>
      <c r="B62" s="365" t="s">
        <v>16</v>
      </c>
      <c r="C62" s="366"/>
      <c r="D62" s="367"/>
      <c r="E62" s="368" t="s">
        <v>11</v>
      </c>
      <c r="F62" s="321"/>
      <c r="G62" s="400">
        <v>350000</v>
      </c>
      <c r="H62" s="369">
        <f>G62*F62</f>
        <v>0</v>
      </c>
      <c r="I62" s="387"/>
    </row>
    <row r="63" spans="1:9" s="227" customFormat="1" ht="15.95" customHeight="1">
      <c r="A63" s="966"/>
      <c r="B63" s="365" t="s">
        <v>297</v>
      </c>
      <c r="C63" s="361"/>
      <c r="D63" s="367"/>
      <c r="E63" s="368" t="s">
        <v>11</v>
      </c>
      <c r="F63" s="321"/>
      <c r="G63" s="319">
        <v>350000</v>
      </c>
      <c r="H63" s="369">
        <f t="shared" ref="H63:H68" si="2">G63*F63</f>
        <v>0</v>
      </c>
      <c r="I63" s="387"/>
    </row>
    <row r="64" spans="1:9" s="227" customFormat="1" ht="15.95" customHeight="1">
      <c r="A64" s="966"/>
      <c r="B64" s="365" t="s">
        <v>18</v>
      </c>
      <c r="C64" s="366"/>
      <c r="D64" s="367"/>
      <c r="E64" s="368" t="s">
        <v>11</v>
      </c>
      <c r="F64" s="321"/>
      <c r="G64" s="319">
        <v>350000</v>
      </c>
      <c r="H64" s="369">
        <f t="shared" si="2"/>
        <v>0</v>
      </c>
      <c r="I64" s="387"/>
    </row>
    <row r="65" spans="1:12" s="227" customFormat="1" ht="15.95" customHeight="1">
      <c r="A65" s="966"/>
      <c r="B65" s="365" t="s">
        <v>19</v>
      </c>
      <c r="C65" s="366"/>
      <c r="D65" s="367"/>
      <c r="E65" s="368" t="s">
        <v>11</v>
      </c>
      <c r="F65" s="321"/>
      <c r="G65" s="319">
        <v>450000</v>
      </c>
      <c r="H65" s="369">
        <f t="shared" si="2"/>
        <v>0</v>
      </c>
      <c r="I65" s="387"/>
    </row>
    <row r="66" spans="1:12" s="227" customFormat="1" ht="15.95" customHeight="1">
      <c r="A66" s="966"/>
      <c r="B66" s="365" t="s">
        <v>20</v>
      </c>
      <c r="C66" s="366"/>
      <c r="D66" s="367"/>
      <c r="E66" s="368" t="s">
        <v>11</v>
      </c>
      <c r="F66" s="321"/>
      <c r="G66" s="319">
        <v>450000</v>
      </c>
      <c r="H66" s="369">
        <f t="shared" si="2"/>
        <v>0</v>
      </c>
      <c r="I66" s="387"/>
    </row>
    <row r="67" spans="1:12" s="227" customFormat="1" ht="15.95" customHeight="1">
      <c r="A67" s="966"/>
      <c r="B67" s="365" t="s">
        <v>21</v>
      </c>
      <c r="C67" s="366"/>
      <c r="D67" s="367"/>
      <c r="E67" s="368" t="s">
        <v>11</v>
      </c>
      <c r="F67" s="587"/>
      <c r="G67" s="319">
        <v>450000</v>
      </c>
      <c r="H67" s="369">
        <f t="shared" si="2"/>
        <v>0</v>
      </c>
      <c r="I67" s="387"/>
    </row>
    <row r="68" spans="1:12" s="227" customFormat="1" ht="15.95" customHeight="1">
      <c r="A68" s="966"/>
      <c r="B68" s="370" t="s">
        <v>22</v>
      </c>
      <c r="C68" s="371"/>
      <c r="D68" s="372"/>
      <c r="E68" s="373" t="s">
        <v>11</v>
      </c>
      <c r="F68" s="335"/>
      <c r="G68" s="336">
        <v>300000</v>
      </c>
      <c r="H68" s="532">
        <f t="shared" si="2"/>
        <v>0</v>
      </c>
      <c r="I68" s="388"/>
    </row>
    <row r="69" spans="1:12" s="227" customFormat="1" ht="15.95" customHeight="1">
      <c r="A69" s="350"/>
      <c r="B69" s="375" t="s">
        <v>66</v>
      </c>
      <c r="C69" s="352"/>
      <c r="D69" s="376"/>
      <c r="E69" s="377"/>
      <c r="F69" s="378"/>
      <c r="G69" s="378"/>
      <c r="H69" s="347">
        <f>SUM(H61:H68)</f>
        <v>0</v>
      </c>
      <c r="I69" s="395"/>
    </row>
    <row r="70" spans="1:12" s="227" customFormat="1" ht="15.95" customHeight="1">
      <c r="A70" s="379"/>
      <c r="B70" s="375" t="s">
        <v>10</v>
      </c>
      <c r="C70" s="352"/>
      <c r="D70" s="376"/>
      <c r="E70" s="377"/>
      <c r="F70" s="380"/>
      <c r="G70" s="380"/>
      <c r="H70" s="353"/>
      <c r="I70" s="392"/>
    </row>
    <row r="71" spans="1:12" s="227" customFormat="1" ht="15.95" customHeight="1">
      <c r="A71" s="379"/>
      <c r="B71" s="375" t="s">
        <v>2</v>
      </c>
      <c r="C71" s="352"/>
      <c r="D71" s="376"/>
      <c r="E71" s="377"/>
      <c r="F71" s="380"/>
      <c r="G71" s="381"/>
      <c r="H71" s="416">
        <f>(H60+H69)*0.05</f>
        <v>0</v>
      </c>
      <c r="I71" s="396"/>
    </row>
    <row r="72" spans="1:12" s="227" customFormat="1" ht="15.95" customHeight="1">
      <c r="A72" s="379"/>
      <c r="B72" s="375" t="s">
        <v>49</v>
      </c>
      <c r="C72" s="352"/>
      <c r="D72" s="376"/>
      <c r="E72" s="377"/>
      <c r="F72" s="380"/>
      <c r="G72" s="381"/>
      <c r="H72" s="416">
        <f>(H60+H69)*0.1</f>
        <v>0</v>
      </c>
      <c r="I72" s="396"/>
    </row>
    <row r="73" spans="1:12" s="227" customFormat="1" ht="15.95" customHeight="1">
      <c r="A73" s="379"/>
      <c r="B73" s="375" t="s">
        <v>50</v>
      </c>
      <c r="C73" s="352"/>
      <c r="D73" s="376"/>
      <c r="E73" s="377"/>
      <c r="F73" s="380"/>
      <c r="G73" s="380"/>
      <c r="H73" s="346">
        <f>H60+H69+H70+H71+H72</f>
        <v>0</v>
      </c>
      <c r="I73" s="392"/>
    </row>
    <row r="74" spans="1:12" s="227" customFormat="1">
      <c r="A74" s="119"/>
      <c r="B74" s="53"/>
      <c r="C74" s="53"/>
      <c r="D74" s="268"/>
      <c r="E74" s="119"/>
      <c r="F74" s="115"/>
      <c r="G74" s="115"/>
      <c r="H74" s="115"/>
      <c r="I74" s="230"/>
    </row>
    <row r="78" spans="1:12">
      <c r="K78" s="53"/>
      <c r="L78" s="53"/>
    </row>
    <row r="79" spans="1:12">
      <c r="K79" s="53"/>
      <c r="L79" s="53"/>
    </row>
  </sheetData>
  <mergeCells count="3">
    <mergeCell ref="A2:B2"/>
    <mergeCell ref="A3:A59"/>
    <mergeCell ref="A61:A68"/>
  </mergeCells>
  <phoneticPr fontId="3" type="noConversion"/>
  <pageMargins left="0.2" right="0.19685039370078741" top="0.43307086614173229" bottom="0.39370078740157483" header="0.31496062992125984" footer="0.31496062992125984"/>
  <pageSetup paperSize="9" scale="72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84EEACC2FBBAA64B8A9BB96350026B5F" ma:contentTypeVersion="17" ma:contentTypeDescription="새 문서를 만듭니다." ma:contentTypeScope="" ma:versionID="33d0c9f88fa4279297cd52745cad6c8c">
  <xsd:schema xmlns:xsd="http://www.w3.org/2001/XMLSchema" xmlns:xs="http://www.w3.org/2001/XMLSchema" xmlns:p="http://schemas.microsoft.com/office/2006/metadata/properties" xmlns:ns2="83072e89-4523-4537-ba2a-0afc19ac2fb1" xmlns:ns3="ac81bacf-79d0-4aea-837c-13076957425d" targetNamespace="http://schemas.microsoft.com/office/2006/metadata/properties" ma:root="true" ma:fieldsID="aa0e872deb2693b9d8db8791cdff6538" ns2:_="" ns3:_="">
    <xsd:import namespace="83072e89-4523-4537-ba2a-0afc19ac2fb1"/>
    <xsd:import namespace="ac81bacf-79d0-4aea-837c-1307695742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072e89-4523-4537-ba2a-0afc19ac2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dc8d4fff-a70f-4a31-a840-a63830c0e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81bacf-79d0-4aea-837c-13076957425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ba6deb4d-ae6b-4a1f-aac4-1d9c4cf3f0fd}" ma:internalName="TaxCatchAll" ma:showField="CatchAllData" ma:web="ac81bacf-79d0-4aea-837c-130769574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072e89-4523-4537-ba2a-0afc19ac2fb1">
      <Terms xmlns="http://schemas.microsoft.com/office/infopath/2007/PartnerControls"/>
    </lcf76f155ced4ddcb4097134ff3c332f>
    <TaxCatchAll xmlns="ac81bacf-79d0-4aea-837c-13076957425d"/>
  </documentManagement>
</p:properties>
</file>

<file path=customXml/itemProps1.xml><?xml version="1.0" encoding="utf-8"?>
<ds:datastoreItem xmlns:ds="http://schemas.openxmlformats.org/officeDocument/2006/customXml" ds:itemID="{CFEB2D24-FB9C-4364-99B2-E7F3FCCBB02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072e89-4523-4537-ba2a-0afc19ac2fb1"/>
    <ds:schemaRef ds:uri="ac81bacf-79d0-4aea-837c-1307695742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0EC67A7-6257-4B27-B968-7E4EC9568B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ACC1FA7-41C7-48B2-AA5A-724D732BC59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12</vt:i4>
      </vt:variant>
    </vt:vector>
  </HeadingPairs>
  <TitlesOfParts>
    <vt:vector size="31" baseType="lpstr">
      <vt:lpstr>갑지</vt:lpstr>
      <vt:lpstr>원가항목별(집계)1</vt:lpstr>
      <vt:lpstr>단위장비별(집계)2</vt:lpstr>
      <vt:lpstr>전기</vt:lpstr>
      <vt:lpstr>단위장비1</vt:lpstr>
      <vt:lpstr>단위장비2</vt:lpstr>
      <vt:lpstr>단위장비3</vt:lpstr>
      <vt:lpstr>단위장비4</vt:lpstr>
      <vt:lpstr>단위장비5</vt:lpstr>
      <vt:lpstr>단위장비6</vt:lpstr>
      <vt:lpstr>단위장비7</vt:lpstr>
      <vt:lpstr>단위장비8</vt:lpstr>
      <vt:lpstr>단위장비9</vt:lpstr>
      <vt:lpstr>단위장비10</vt:lpstr>
      <vt:lpstr>단위장비11</vt:lpstr>
      <vt:lpstr>단위장비12</vt:lpstr>
      <vt:lpstr>단위장비13</vt:lpstr>
      <vt:lpstr>단위장비14</vt:lpstr>
      <vt:lpstr>단위장비15</vt:lpstr>
      <vt:lpstr>갑지!Print_Area</vt:lpstr>
      <vt:lpstr>단위장비10!Print_Area</vt:lpstr>
      <vt:lpstr>단위장비11!Print_Area</vt:lpstr>
      <vt:lpstr>단위장비2!Print_Area</vt:lpstr>
      <vt:lpstr>단위장비5!Print_Area</vt:lpstr>
      <vt:lpstr>단위장비6!Print_Area</vt:lpstr>
      <vt:lpstr>단위장비8!Print_Area</vt:lpstr>
      <vt:lpstr>단위장비9!Print_Area</vt:lpstr>
      <vt:lpstr>'단위장비별(집계)2'!Print_Area</vt:lpstr>
      <vt:lpstr>'원가항목별(집계)1'!Print_Area</vt:lpstr>
      <vt:lpstr>전기!Print_Area</vt:lpstr>
      <vt:lpstr>전기!Print_Titles</vt:lpstr>
    </vt:vector>
  </TitlesOfParts>
  <Company>현대자동차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현대.기아차 설비견적 양식</dc:title>
  <dc:creator>조재일</dc:creator>
  <cp:lastModifiedBy>김상우 매니저 열관리부품구매팀</cp:lastModifiedBy>
  <cp:lastPrinted>2025-05-20T23:56:31Z</cp:lastPrinted>
  <dcterms:created xsi:type="dcterms:W3CDTF">2001-06-04T06:04:44Z</dcterms:created>
  <dcterms:modified xsi:type="dcterms:W3CDTF">2026-08-10T16:09:33Z</dcterms:modified>
</cp:coreProperties>
</file>