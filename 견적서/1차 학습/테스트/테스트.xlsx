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IA\Desktop\260707 러닝랩 신규과제\견적서\테스트\"/>
    </mc:Choice>
  </mc:AlternateContent>
  <xr:revisionPtr revIDLastSave="0" documentId="13_ncr:101_{60952F4A-1A5A-4DE1-8DFA-C2FF27809B70}" xr6:coauthVersionLast="47" xr6:coauthVersionMax="47" xr10:uidLastSave="{00000000-0000-0000-0000-000000000000}"/>
  <bookViews>
    <workbookView xWindow="-108" yWindow="-108" windowWidth="23256" windowHeight="12456" tabRatio="909" xr2:uid="{00000000-000D-0000-FFFF-FFFF00000000}"/>
  </bookViews>
  <sheets>
    <sheet name="갑지" sheetId="17" r:id="rId1"/>
    <sheet name="원가항목별(집계)" sheetId="18" r:id="rId2"/>
    <sheet name="단위공사별(집계)" sheetId="19" r:id="rId3"/>
    <sheet name="전기" sheetId="20" r:id="rId4"/>
    <sheet name="단위장비1" sheetId="21" r:id="rId5"/>
    <sheet name="단위장비2" sheetId="22" r:id="rId6"/>
    <sheet name="단위장비3" sheetId="23" r:id="rId7"/>
    <sheet name="단위장비4" sheetId="24" r:id="rId8"/>
    <sheet name="단위장비5" sheetId="25" r:id="rId9"/>
    <sheet name="단위장비6" sheetId="26" r:id="rId10"/>
    <sheet name="단위장비7" sheetId="27" r:id="rId11"/>
    <sheet name="단위장비8" sheetId="28" r:id="rId12"/>
    <sheet name="단위장비9" sheetId="29" r:id="rId13"/>
    <sheet name="단위장비10" sheetId="30" r:id="rId14"/>
    <sheet name="첨부(견적조건차이내역)" sheetId="31" r:id="rId15"/>
    <sheet name="Sheet1" sheetId="1" r:id="rId16"/>
  </sheets>
  <externalReferences>
    <externalReference r:id="rId17"/>
  </externalReferences>
  <definedNames>
    <definedName name="_xlnm._FilterDatabase" localSheetId="4" hidden="1">단위장비1!$A$2:$I$96</definedName>
    <definedName name="_xlnm._FilterDatabase" localSheetId="5" hidden="1">단위장비2!$A$2:$I$95</definedName>
    <definedName name="_xlnm._FilterDatabase" localSheetId="6" hidden="1">단위장비3!$J$2:$J$91</definedName>
    <definedName name="_xlnm._FilterDatabase" localSheetId="7" hidden="1">단위장비4!$J$2:$J$95</definedName>
    <definedName name="_xlnm._FilterDatabase" localSheetId="8" hidden="1">단위장비5!$J$2:$J$90</definedName>
    <definedName name="_xlnm._FilterDatabase" localSheetId="9" hidden="1">단위장비6!$J$2:$J$91</definedName>
    <definedName name="_xlnm._FilterDatabase" localSheetId="10" hidden="1">단위장비7!$J$2:$J$91</definedName>
    <definedName name="_xlnm._FilterDatabase" localSheetId="11" hidden="1">단위장비8!$J$2:$J$91</definedName>
    <definedName name="_xlnm._FilterDatabase" localSheetId="3" hidden="1">전기!$A$2:$I$94</definedName>
    <definedName name="_xlnm.Print_Area" localSheetId="0">갑지!$B:$I</definedName>
    <definedName name="_xlnm.Print_Area" localSheetId="2">'단위공사별(집계)'!$A$1:$O$20</definedName>
    <definedName name="_xlnm.Print_Area" localSheetId="1">'원가항목별(집계)'!$A$1:$J$45</definedName>
    <definedName name="_xlnm.Print_Area" localSheetId="3">전기!$A:$I</definedName>
    <definedName name="_xlnm.Print_Area" localSheetId="14">'첨부(견적조건차이내역)'!$A$1:$D$36</definedName>
    <definedName name="_xlnm.Print_Titles" localSheetId="3">전기!$1:$2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6" i="30" l="1"/>
  <c r="H85" i="30"/>
  <c r="H84" i="30"/>
  <c r="H83" i="30"/>
  <c r="H82" i="30"/>
  <c r="H81" i="30"/>
  <c r="H80" i="30"/>
  <c r="H79" i="30"/>
  <c r="H87" i="30" s="1"/>
  <c r="H76" i="30"/>
  <c r="H75" i="30"/>
  <c r="H74" i="30"/>
  <c r="H73" i="30"/>
  <c r="H72" i="30"/>
  <c r="H71" i="30"/>
  <c r="H70" i="30"/>
  <c r="H69" i="30"/>
  <c r="H68" i="30"/>
  <c r="H67" i="30"/>
  <c r="H66" i="30"/>
  <c r="H65" i="30"/>
  <c r="H64" i="30"/>
  <c r="H63" i="30"/>
  <c r="H62" i="30"/>
  <c r="H61" i="30"/>
  <c r="H60" i="30"/>
  <c r="H59" i="30"/>
  <c r="H58" i="30"/>
  <c r="H57" i="30"/>
  <c r="H77" i="30" s="1"/>
  <c r="H55" i="30"/>
  <c r="H54" i="30"/>
  <c r="H53" i="30"/>
  <c r="H52" i="30"/>
  <c r="H51" i="30"/>
  <c r="H50" i="30"/>
  <c r="H49" i="30"/>
  <c r="H48" i="30"/>
  <c r="H47" i="30"/>
  <c r="H46" i="30"/>
  <c r="H45" i="30"/>
  <c r="H44" i="30"/>
  <c r="H43" i="30"/>
  <c r="H42" i="30"/>
  <c r="H41" i="30"/>
  <c r="H40" i="30"/>
  <c r="H39" i="30"/>
  <c r="H38" i="30"/>
  <c r="H56" i="30" s="1"/>
  <c r="H37" i="30"/>
  <c r="H36" i="30"/>
  <c r="H34" i="30"/>
  <c r="H33" i="30"/>
  <c r="H32" i="30"/>
  <c r="H31" i="30"/>
  <c r="H30" i="30"/>
  <c r="H29" i="30"/>
  <c r="H28" i="30"/>
  <c r="H27" i="30"/>
  <c r="H26" i="30"/>
  <c r="H25" i="30"/>
  <c r="H35" i="30" s="1"/>
  <c r="H23" i="30"/>
  <c r="H22" i="30"/>
  <c r="H21" i="30"/>
  <c r="H20" i="30"/>
  <c r="H19" i="30"/>
  <c r="H18" i="30"/>
  <c r="H17" i="30"/>
  <c r="H16" i="30"/>
  <c r="H15" i="30"/>
  <c r="H14" i="30"/>
  <c r="H13" i="30"/>
  <c r="H12" i="30"/>
  <c r="H11" i="30"/>
  <c r="H10" i="30"/>
  <c r="H9" i="30"/>
  <c r="H8" i="30"/>
  <c r="H7" i="30"/>
  <c r="H6" i="30"/>
  <c r="H24" i="30" s="1"/>
  <c r="H5" i="30"/>
  <c r="H4" i="30"/>
  <c r="H3" i="30"/>
  <c r="H87" i="29"/>
  <c r="F15" i="19" s="1"/>
  <c r="H86" i="29"/>
  <c r="H85" i="29"/>
  <c r="H84" i="29"/>
  <c r="H83" i="29"/>
  <c r="H82" i="29"/>
  <c r="H81" i="29"/>
  <c r="H80" i="29"/>
  <c r="H79" i="29"/>
  <c r="D15" i="19" s="1"/>
  <c r="H76" i="29"/>
  <c r="H75" i="29"/>
  <c r="H74" i="29"/>
  <c r="H73" i="29"/>
  <c r="H72" i="29"/>
  <c r="H71" i="29"/>
  <c r="H70" i="29"/>
  <c r="H69" i="29"/>
  <c r="H68" i="29"/>
  <c r="H67" i="29"/>
  <c r="H66" i="29"/>
  <c r="H65" i="29"/>
  <c r="H64" i="29"/>
  <c r="H63" i="29"/>
  <c r="H62" i="29"/>
  <c r="H61" i="29"/>
  <c r="H60" i="29"/>
  <c r="H59" i="29"/>
  <c r="H58" i="29"/>
  <c r="H57" i="29"/>
  <c r="H77" i="29" s="1"/>
  <c r="H55" i="29"/>
  <c r="H54" i="29"/>
  <c r="H53" i="29"/>
  <c r="H52" i="29"/>
  <c r="H51" i="29"/>
  <c r="H50" i="29"/>
  <c r="H49" i="29"/>
  <c r="H48" i="29"/>
  <c r="H47" i="29"/>
  <c r="H46" i="29"/>
  <c r="H45" i="29"/>
  <c r="H44" i="29"/>
  <c r="H43" i="29"/>
  <c r="H42" i="29"/>
  <c r="H41" i="29"/>
  <c r="H40" i="29"/>
  <c r="H39" i="29"/>
  <c r="H38" i="29"/>
  <c r="H37" i="29"/>
  <c r="H36" i="29"/>
  <c r="H56" i="29" s="1"/>
  <c r="H34" i="29"/>
  <c r="H33" i="29"/>
  <c r="H32" i="29"/>
  <c r="H31" i="29"/>
  <c r="H30" i="29"/>
  <c r="H29" i="29"/>
  <c r="H28" i="29"/>
  <c r="H27" i="29"/>
  <c r="H35" i="29" s="1"/>
  <c r="H26" i="29"/>
  <c r="H25" i="29"/>
  <c r="H23" i="29"/>
  <c r="H22" i="29"/>
  <c r="H21" i="29"/>
  <c r="H20" i="29"/>
  <c r="H19" i="29"/>
  <c r="H18" i="29"/>
  <c r="H17" i="29"/>
  <c r="H16" i="29"/>
  <c r="H15" i="29"/>
  <c r="H14" i="29"/>
  <c r="H13" i="29"/>
  <c r="H12" i="29"/>
  <c r="H11" i="29"/>
  <c r="H10" i="29"/>
  <c r="H9" i="29"/>
  <c r="H8" i="29"/>
  <c r="H7" i="29"/>
  <c r="H6" i="29"/>
  <c r="H5" i="29"/>
  <c r="H4" i="29"/>
  <c r="H3" i="29"/>
  <c r="H24" i="29" s="1"/>
  <c r="H86" i="28"/>
  <c r="H85" i="28"/>
  <c r="H84" i="28"/>
  <c r="H83" i="28"/>
  <c r="H82" i="28"/>
  <c r="H81" i="28"/>
  <c r="H80" i="28"/>
  <c r="I13" i="18" s="1"/>
  <c r="H79" i="28"/>
  <c r="H87" i="28" s="1"/>
  <c r="H76" i="28"/>
  <c r="H75" i="28"/>
  <c r="H74" i="28"/>
  <c r="H73" i="28"/>
  <c r="H72" i="28"/>
  <c r="H71" i="28"/>
  <c r="H70" i="28"/>
  <c r="H69" i="28"/>
  <c r="H68" i="28"/>
  <c r="H67" i="28"/>
  <c r="H66" i="28"/>
  <c r="H65" i="28"/>
  <c r="H64" i="28"/>
  <c r="H63" i="28"/>
  <c r="H62" i="28"/>
  <c r="H61" i="28"/>
  <c r="H60" i="28"/>
  <c r="H59" i="28"/>
  <c r="H58" i="28"/>
  <c r="H77" i="28" s="1"/>
  <c r="H57" i="28"/>
  <c r="H56" i="28"/>
  <c r="H55" i="28"/>
  <c r="H54" i="28"/>
  <c r="H53" i="28"/>
  <c r="H52" i="28"/>
  <c r="H51" i="28"/>
  <c r="H50" i="28"/>
  <c r="H49" i="28"/>
  <c r="H48" i="28"/>
  <c r="H47" i="28"/>
  <c r="H46" i="28"/>
  <c r="H45" i="28"/>
  <c r="H44" i="28"/>
  <c r="H43" i="28"/>
  <c r="H42" i="28"/>
  <c r="H41" i="28"/>
  <c r="H40" i="28"/>
  <c r="H39" i="28"/>
  <c r="H38" i="28"/>
  <c r="H37" i="28"/>
  <c r="H36" i="28"/>
  <c r="H34" i="28"/>
  <c r="H33" i="28"/>
  <c r="H32" i="28"/>
  <c r="H31" i="28"/>
  <c r="H30" i="28"/>
  <c r="H29" i="28"/>
  <c r="H28" i="28"/>
  <c r="H27" i="28"/>
  <c r="H35" i="28" s="1"/>
  <c r="H26" i="28"/>
  <c r="H25" i="28"/>
  <c r="H24" i="28"/>
  <c r="H23" i="28"/>
  <c r="H22" i="28"/>
  <c r="H21" i="28"/>
  <c r="H20" i="28"/>
  <c r="H19" i="28"/>
  <c r="H18" i="28"/>
  <c r="H17" i="28"/>
  <c r="H16" i="28"/>
  <c r="H15" i="28"/>
  <c r="H14" i="28"/>
  <c r="H13" i="28"/>
  <c r="H12" i="28"/>
  <c r="H11" i="28"/>
  <c r="H10" i="28"/>
  <c r="H9" i="28"/>
  <c r="H8" i="28"/>
  <c r="H7" i="28"/>
  <c r="H6" i="28"/>
  <c r="H5" i="28"/>
  <c r="H4" i="28"/>
  <c r="H3" i="28"/>
  <c r="H86" i="27"/>
  <c r="H85" i="27"/>
  <c r="H84" i="27"/>
  <c r="H83" i="27"/>
  <c r="H82" i="27"/>
  <c r="H81" i="27"/>
  <c r="F13" i="19" s="1"/>
  <c r="H80" i="27"/>
  <c r="H79" i="27"/>
  <c r="H87" i="27" s="1"/>
  <c r="H76" i="27"/>
  <c r="H75" i="27"/>
  <c r="H74" i="27"/>
  <c r="H73" i="27"/>
  <c r="H72" i="27"/>
  <c r="H71" i="27"/>
  <c r="H70" i="27"/>
  <c r="H69" i="27"/>
  <c r="H68" i="27"/>
  <c r="H67" i="27"/>
  <c r="H66" i="27"/>
  <c r="H65" i="27"/>
  <c r="H64" i="27"/>
  <c r="H63" i="27"/>
  <c r="H62" i="27"/>
  <c r="H61" i="27"/>
  <c r="H60" i="27"/>
  <c r="H59" i="27"/>
  <c r="H58" i="27"/>
  <c r="H57" i="27"/>
  <c r="H77" i="27" s="1"/>
  <c r="H55" i="27"/>
  <c r="H54" i="27"/>
  <c r="H53" i="27"/>
  <c r="H52" i="27"/>
  <c r="H51" i="27"/>
  <c r="H50" i="27"/>
  <c r="H49" i="27"/>
  <c r="H48" i="27"/>
  <c r="H47" i="27"/>
  <c r="H46" i="27"/>
  <c r="H45" i="27"/>
  <c r="H44" i="27"/>
  <c r="H43" i="27"/>
  <c r="H42" i="27"/>
  <c r="H41" i="27"/>
  <c r="H40" i="27"/>
  <c r="H39" i="27"/>
  <c r="H38" i="27"/>
  <c r="H37" i="27"/>
  <c r="H36" i="27"/>
  <c r="H56" i="27" s="1"/>
  <c r="H34" i="27"/>
  <c r="H33" i="27"/>
  <c r="H32" i="27"/>
  <c r="H31" i="27"/>
  <c r="H30" i="27"/>
  <c r="H29" i="27"/>
  <c r="H28" i="27"/>
  <c r="H27" i="27"/>
  <c r="H26" i="27"/>
  <c r="H25" i="27"/>
  <c r="H35" i="27" s="1"/>
  <c r="H23" i="27"/>
  <c r="H22" i="27"/>
  <c r="H21" i="27"/>
  <c r="H20" i="27"/>
  <c r="H19" i="27"/>
  <c r="H18" i="27"/>
  <c r="H17" i="27"/>
  <c r="H16" i="27"/>
  <c r="H15" i="27"/>
  <c r="H14" i="27"/>
  <c r="H13" i="27"/>
  <c r="H12" i="27"/>
  <c r="H11" i="27"/>
  <c r="H10" i="27"/>
  <c r="H9" i="27"/>
  <c r="H8" i="27"/>
  <c r="H7" i="27"/>
  <c r="H6" i="27"/>
  <c r="H5" i="27"/>
  <c r="H4" i="27"/>
  <c r="H3" i="27"/>
  <c r="H24" i="27" s="1"/>
  <c r="H86" i="26"/>
  <c r="H85" i="26"/>
  <c r="H84" i="26"/>
  <c r="H83" i="26"/>
  <c r="H82" i="26"/>
  <c r="F12" i="19" s="1"/>
  <c r="H81" i="26"/>
  <c r="H80" i="26"/>
  <c r="H79" i="26"/>
  <c r="H87" i="26" s="1"/>
  <c r="H76" i="26"/>
  <c r="H75" i="26"/>
  <c r="H74" i="26"/>
  <c r="H73" i="26"/>
  <c r="H72" i="26"/>
  <c r="H71" i="26"/>
  <c r="H70" i="26"/>
  <c r="H69" i="26"/>
  <c r="H68" i="26"/>
  <c r="H67" i="26"/>
  <c r="H66" i="26"/>
  <c r="H65" i="26"/>
  <c r="H64" i="26"/>
  <c r="H63" i="26"/>
  <c r="H62" i="26"/>
  <c r="H61" i="26"/>
  <c r="H60" i="26"/>
  <c r="H59" i="26"/>
  <c r="H58" i="26"/>
  <c r="H77" i="26" s="1"/>
  <c r="H57" i="26"/>
  <c r="H55" i="26"/>
  <c r="H54" i="26"/>
  <c r="H53" i="26"/>
  <c r="H52" i="26"/>
  <c r="H51" i="26"/>
  <c r="H50" i="26"/>
  <c r="H49" i="26"/>
  <c r="H48" i="26"/>
  <c r="H47" i="26"/>
  <c r="H46" i="26"/>
  <c r="H45" i="26"/>
  <c r="H44" i="26"/>
  <c r="H43" i="26"/>
  <c r="H42" i="26"/>
  <c r="H41" i="26"/>
  <c r="H40" i="26"/>
  <c r="H39" i="26"/>
  <c r="H38" i="26"/>
  <c r="H37" i="26"/>
  <c r="H36" i="26"/>
  <c r="H56" i="26" s="1"/>
  <c r="H34" i="26"/>
  <c r="H33" i="26"/>
  <c r="H32" i="26"/>
  <c r="H31" i="26"/>
  <c r="H30" i="26"/>
  <c r="H29" i="26"/>
  <c r="H28" i="26"/>
  <c r="H27" i="26"/>
  <c r="H26" i="26"/>
  <c r="H25" i="26"/>
  <c r="H35" i="26" s="1"/>
  <c r="H23" i="26"/>
  <c r="H22" i="26"/>
  <c r="H21" i="26"/>
  <c r="H20" i="26"/>
  <c r="H19" i="26"/>
  <c r="H18" i="26"/>
  <c r="H17" i="26"/>
  <c r="H16" i="26"/>
  <c r="H15" i="26"/>
  <c r="H14" i="26"/>
  <c r="H13" i="26"/>
  <c r="H12" i="26"/>
  <c r="H11" i="26"/>
  <c r="H10" i="26"/>
  <c r="H9" i="26"/>
  <c r="H8" i="26"/>
  <c r="H7" i="26"/>
  <c r="H6" i="26"/>
  <c r="H5" i="26"/>
  <c r="H4" i="26"/>
  <c r="H24" i="26" s="1"/>
  <c r="H3" i="26"/>
  <c r="H85" i="25"/>
  <c r="H84" i="25"/>
  <c r="H83" i="25"/>
  <c r="H82" i="25"/>
  <c r="G11" i="19" s="1"/>
  <c r="H81" i="25"/>
  <c r="H80" i="25"/>
  <c r="H79" i="25"/>
  <c r="H78" i="25"/>
  <c r="H86" i="25" s="1"/>
  <c r="H75" i="25"/>
  <c r="H74" i="25"/>
  <c r="H73" i="25"/>
  <c r="H72" i="25"/>
  <c r="H71" i="25"/>
  <c r="H70" i="25"/>
  <c r="H69" i="25"/>
  <c r="H68" i="25"/>
  <c r="H67" i="25"/>
  <c r="H66" i="25"/>
  <c r="H65" i="25"/>
  <c r="H64" i="25"/>
  <c r="H63" i="25"/>
  <c r="H62" i="25"/>
  <c r="H61" i="25"/>
  <c r="H60" i="25"/>
  <c r="H59" i="25"/>
  <c r="H58" i="25"/>
  <c r="H76" i="25" s="1"/>
  <c r="H77" i="25" s="1"/>
  <c r="H57" i="25"/>
  <c r="H56" i="25"/>
  <c r="H54" i="25"/>
  <c r="H53" i="25"/>
  <c r="H52" i="25"/>
  <c r="H51" i="25"/>
  <c r="H50" i="25"/>
  <c r="H49" i="25"/>
  <c r="H48" i="25"/>
  <c r="H47" i="25"/>
  <c r="H46" i="25"/>
  <c r="H45" i="25"/>
  <c r="H44" i="25"/>
  <c r="H43" i="25"/>
  <c r="H42" i="25"/>
  <c r="H41" i="25"/>
  <c r="H40" i="25"/>
  <c r="H39" i="25"/>
  <c r="H38" i="25"/>
  <c r="H37" i="25"/>
  <c r="H36" i="25"/>
  <c r="H35" i="25"/>
  <c r="H55" i="25" s="1"/>
  <c r="H33" i="25"/>
  <c r="H32" i="25"/>
  <c r="H31" i="25"/>
  <c r="H30" i="25"/>
  <c r="H29" i="25"/>
  <c r="H28" i="25"/>
  <c r="H27" i="25"/>
  <c r="H26" i="25"/>
  <c r="H34" i="25" s="1"/>
  <c r="H25" i="25"/>
  <c r="H24" i="25"/>
  <c r="H22" i="25"/>
  <c r="H21" i="25"/>
  <c r="H20" i="25"/>
  <c r="H19" i="25"/>
  <c r="H18" i="25"/>
  <c r="H17" i="25"/>
  <c r="H16" i="25"/>
  <c r="H15" i="25"/>
  <c r="H14" i="25"/>
  <c r="H13" i="25"/>
  <c r="H12" i="25"/>
  <c r="H11" i="25"/>
  <c r="H10" i="25"/>
  <c r="H9" i="25"/>
  <c r="H8" i="25"/>
  <c r="H7" i="25"/>
  <c r="H6" i="25"/>
  <c r="H5" i="25"/>
  <c r="H4" i="25"/>
  <c r="H3" i="25"/>
  <c r="H23" i="25" s="1"/>
  <c r="H90" i="24"/>
  <c r="H89" i="24"/>
  <c r="H88" i="24"/>
  <c r="H87" i="24"/>
  <c r="H86" i="24"/>
  <c r="H85" i="24"/>
  <c r="H84" i="24"/>
  <c r="H83" i="24"/>
  <c r="H91" i="24" s="1"/>
  <c r="H80" i="24"/>
  <c r="H79" i="24"/>
  <c r="H78" i="24"/>
  <c r="H77" i="24"/>
  <c r="H76" i="24"/>
  <c r="H75" i="24"/>
  <c r="H74" i="24"/>
  <c r="H73" i="24"/>
  <c r="H72" i="24"/>
  <c r="H71" i="24"/>
  <c r="H70" i="24"/>
  <c r="H69" i="24"/>
  <c r="H68" i="24"/>
  <c r="H67" i="24"/>
  <c r="H66" i="24"/>
  <c r="H65" i="24"/>
  <c r="H64" i="24"/>
  <c r="H63" i="24"/>
  <c r="H81" i="24" s="1"/>
  <c r="H62" i="24"/>
  <c r="H61" i="24"/>
  <c r="H59" i="24"/>
  <c r="H58" i="24"/>
  <c r="H57" i="24"/>
  <c r="H56" i="24"/>
  <c r="H55" i="24"/>
  <c r="H54" i="24"/>
  <c r="H53" i="24"/>
  <c r="H52" i="24"/>
  <c r="H51" i="24"/>
  <c r="H50" i="24"/>
  <c r="H49" i="24"/>
  <c r="H48" i="24"/>
  <c r="H47" i="24"/>
  <c r="H46" i="24"/>
  <c r="H45" i="24"/>
  <c r="H44" i="24"/>
  <c r="H42" i="24"/>
  <c r="H41" i="24"/>
  <c r="H39" i="24"/>
  <c r="H38" i="24"/>
  <c r="H37" i="24"/>
  <c r="H60" i="24" s="1"/>
  <c r="H34" i="24"/>
  <c r="H33" i="24"/>
  <c r="H32" i="24"/>
  <c r="H31" i="24"/>
  <c r="H30" i="24"/>
  <c r="H29" i="24"/>
  <c r="H28" i="24"/>
  <c r="H27" i="24"/>
  <c r="H26" i="24"/>
  <c r="H25" i="24"/>
  <c r="H35" i="24" s="1"/>
  <c r="H23" i="24"/>
  <c r="H22" i="24"/>
  <c r="H21" i="24"/>
  <c r="H20" i="24"/>
  <c r="H19" i="24"/>
  <c r="H18" i="24"/>
  <c r="H17" i="24"/>
  <c r="H16" i="24"/>
  <c r="H15" i="24"/>
  <c r="H14" i="24"/>
  <c r="H13" i="24"/>
  <c r="H12" i="24"/>
  <c r="H11" i="24"/>
  <c r="H10" i="24"/>
  <c r="H9" i="24"/>
  <c r="H8" i="24"/>
  <c r="H7" i="24"/>
  <c r="H6" i="24"/>
  <c r="H5" i="24"/>
  <c r="H4" i="24"/>
  <c r="H24" i="24" s="1"/>
  <c r="H86" i="23"/>
  <c r="H85" i="23"/>
  <c r="H84" i="23"/>
  <c r="G9" i="19" s="1"/>
  <c r="H83" i="23"/>
  <c r="H82" i="23"/>
  <c r="H81" i="23"/>
  <c r="H80" i="23"/>
  <c r="H79" i="23"/>
  <c r="H87" i="23" s="1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77" i="23" s="1"/>
  <c r="H78" i="23" s="1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56" i="23" s="1"/>
  <c r="H39" i="23"/>
  <c r="H38" i="23"/>
  <c r="H36" i="23"/>
  <c r="H34" i="23"/>
  <c r="H33" i="23"/>
  <c r="H32" i="23"/>
  <c r="H31" i="23"/>
  <c r="H30" i="23"/>
  <c r="H29" i="23"/>
  <c r="H28" i="23"/>
  <c r="H27" i="23"/>
  <c r="H35" i="23" s="1"/>
  <c r="H26" i="23"/>
  <c r="H25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H4" i="23"/>
  <c r="H3" i="23"/>
  <c r="H24" i="23" s="1"/>
  <c r="H90" i="22"/>
  <c r="H89" i="22"/>
  <c r="H88" i="22"/>
  <c r="G8" i="19" s="1"/>
  <c r="H87" i="22"/>
  <c r="H86" i="22"/>
  <c r="H85" i="22"/>
  <c r="H84" i="22"/>
  <c r="H83" i="22"/>
  <c r="H91" i="22" s="1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81" i="22" s="1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3" i="22"/>
  <c r="H42" i="22"/>
  <c r="H41" i="22"/>
  <c r="H40" i="22"/>
  <c r="H39" i="22"/>
  <c r="H60" i="22" s="1"/>
  <c r="H38" i="22"/>
  <c r="H37" i="22"/>
  <c r="H36" i="22"/>
  <c r="H33" i="22"/>
  <c r="H32" i="22"/>
  <c r="H31" i="22"/>
  <c r="H30" i="22"/>
  <c r="H29" i="22"/>
  <c r="H28" i="22"/>
  <c r="H27" i="22"/>
  <c r="H26" i="22"/>
  <c r="H34" i="22" s="1"/>
  <c r="H25" i="22"/>
  <c r="H24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H4" i="22"/>
  <c r="H23" i="22" s="1"/>
  <c r="H91" i="21"/>
  <c r="H90" i="21"/>
  <c r="I18" i="18" s="1"/>
  <c r="H89" i="21"/>
  <c r="H88" i="21"/>
  <c r="H87" i="21"/>
  <c r="H86" i="21"/>
  <c r="H85" i="21"/>
  <c r="H84" i="21"/>
  <c r="H92" i="21" s="1"/>
  <c r="H82" i="21"/>
  <c r="H81" i="21"/>
  <c r="H80" i="21"/>
  <c r="H79" i="21"/>
  <c r="H67" i="21"/>
  <c r="H66" i="21"/>
  <c r="H65" i="21"/>
  <c r="H64" i="21"/>
  <c r="H63" i="21"/>
  <c r="H62" i="21"/>
  <c r="H60" i="21"/>
  <c r="H59" i="21"/>
  <c r="H58" i="21"/>
  <c r="H57" i="21"/>
  <c r="H56" i="21"/>
  <c r="H55" i="21"/>
  <c r="H5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61" i="21" s="1"/>
  <c r="H33" i="21"/>
  <c r="H32" i="21"/>
  <c r="H31" i="21"/>
  <c r="H30" i="21"/>
  <c r="H29" i="21"/>
  <c r="H28" i="21"/>
  <c r="H27" i="21"/>
  <c r="H26" i="21"/>
  <c r="H34" i="21" s="1"/>
  <c r="H25" i="21"/>
  <c r="H24" i="21"/>
  <c r="H22" i="21"/>
  <c r="H21" i="21"/>
  <c r="H20" i="21"/>
  <c r="H19" i="21"/>
  <c r="H18" i="21"/>
  <c r="H16" i="21"/>
  <c r="H15" i="21"/>
  <c r="H14" i="21"/>
  <c r="H12" i="21"/>
  <c r="H11" i="21"/>
  <c r="H10" i="21"/>
  <c r="H9" i="21"/>
  <c r="H8" i="21"/>
  <c r="H7" i="21"/>
  <c r="H6" i="21"/>
  <c r="H5" i="21"/>
  <c r="H23" i="21" s="1"/>
  <c r="I7" i="18" s="1"/>
  <c r="H4" i="21"/>
  <c r="H3" i="21"/>
  <c r="H89" i="20"/>
  <c r="H88" i="20"/>
  <c r="H87" i="20"/>
  <c r="H86" i="20"/>
  <c r="H85" i="20"/>
  <c r="H84" i="20"/>
  <c r="H83" i="20"/>
  <c r="H82" i="20"/>
  <c r="H90" i="20" s="1"/>
  <c r="H81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5" i="20"/>
  <c r="H54" i="20"/>
  <c r="H53" i="20"/>
  <c r="H52" i="20"/>
  <c r="H51" i="20"/>
  <c r="H50" i="20"/>
  <c r="H49" i="20"/>
  <c r="H48" i="20"/>
  <c r="H47" i="20"/>
  <c r="H46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79" i="20" s="1"/>
  <c r="H80" i="20" s="1"/>
  <c r="H10" i="20"/>
  <c r="H9" i="20"/>
  <c r="H8" i="20"/>
  <c r="H7" i="20"/>
  <c r="H6" i="20"/>
  <c r="H5" i="20"/>
  <c r="H4" i="20"/>
  <c r="H3" i="20"/>
  <c r="K16" i="19"/>
  <c r="G16" i="19"/>
  <c r="E16" i="19"/>
  <c r="D16" i="19"/>
  <c r="B16" i="19"/>
  <c r="L16" i="19" s="1"/>
  <c r="I15" i="19"/>
  <c r="H15" i="19"/>
  <c r="G15" i="19"/>
  <c r="E15" i="19"/>
  <c r="B15" i="19"/>
  <c r="L15" i="19" s="1"/>
  <c r="H14" i="19"/>
  <c r="G14" i="19"/>
  <c r="E14" i="19"/>
  <c r="B14" i="19"/>
  <c r="L14" i="19" s="1"/>
  <c r="I13" i="19"/>
  <c r="H13" i="19"/>
  <c r="G13" i="19"/>
  <c r="E13" i="19"/>
  <c r="B13" i="19"/>
  <c r="A13" i="19" s="1"/>
  <c r="H12" i="19"/>
  <c r="G12" i="19"/>
  <c r="E12" i="19"/>
  <c r="B12" i="19"/>
  <c r="K12" i="19" s="1"/>
  <c r="I11" i="19"/>
  <c r="H92" i="24" s="1"/>
  <c r="H11" i="19"/>
  <c r="F11" i="19"/>
  <c r="E11" i="19"/>
  <c r="B11" i="19"/>
  <c r="L11" i="19" s="1"/>
  <c r="H10" i="19"/>
  <c r="G10" i="19"/>
  <c r="F10" i="19"/>
  <c r="E10" i="19"/>
  <c r="B10" i="19"/>
  <c r="H9" i="19"/>
  <c r="F9" i="19"/>
  <c r="E9" i="19"/>
  <c r="B9" i="19"/>
  <c r="H8" i="19"/>
  <c r="F8" i="19"/>
  <c r="E8" i="19"/>
  <c r="B8" i="19"/>
  <c r="G7" i="19"/>
  <c r="F7" i="19"/>
  <c r="E7" i="19"/>
  <c r="E17" i="19" s="1"/>
  <c r="E18" i="19" s="1"/>
  <c r="B7" i="19"/>
  <c r="I31" i="18"/>
  <c r="H31" i="18"/>
  <c r="G31" i="18"/>
  <c r="I30" i="18"/>
  <c r="H30" i="18"/>
  <c r="G30" i="18"/>
  <c r="I29" i="18"/>
  <c r="H29" i="18"/>
  <c r="G29" i="18"/>
  <c r="I28" i="18"/>
  <c r="H28" i="18"/>
  <c r="G28" i="18"/>
  <c r="I27" i="18"/>
  <c r="H27" i="18"/>
  <c r="G27" i="18"/>
  <c r="I26" i="18"/>
  <c r="I32" i="18" s="1"/>
  <c r="H26" i="18"/>
  <c r="G26" i="18"/>
  <c r="I25" i="18"/>
  <c r="H25" i="18"/>
  <c r="G25" i="18"/>
  <c r="I24" i="18"/>
  <c r="I19" i="18"/>
  <c r="H19" i="18"/>
  <c r="G19" i="18"/>
  <c r="H18" i="18"/>
  <c r="G18" i="18"/>
  <c r="H17" i="18"/>
  <c r="G17" i="18"/>
  <c r="H16" i="18"/>
  <c r="G16" i="18"/>
  <c r="H15" i="18"/>
  <c r="G15" i="18"/>
  <c r="I14" i="18"/>
  <c r="H14" i="18"/>
  <c r="G14" i="18"/>
  <c r="H13" i="18"/>
  <c r="G13" i="18"/>
  <c r="H12" i="18"/>
  <c r="G12" i="18"/>
  <c r="G7" i="18"/>
  <c r="C27" i="17"/>
  <c r="C26" i="17"/>
  <c r="C25" i="17"/>
  <c r="C24" i="17"/>
  <c r="C23" i="17"/>
  <c r="C22" i="17"/>
  <c r="C21" i="17"/>
  <c r="C20" i="17"/>
  <c r="C19" i="17"/>
  <c r="C18" i="17"/>
  <c r="D11" i="19" l="1"/>
  <c r="H89" i="27"/>
  <c r="H90" i="27"/>
  <c r="J15" i="19"/>
  <c r="H16" i="19"/>
  <c r="H90" i="26"/>
  <c r="H89" i="26"/>
  <c r="M12" i="19" s="1"/>
  <c r="H82" i="24"/>
  <c r="H89" i="25"/>
  <c r="H88" i="25"/>
  <c r="I10" i="18"/>
  <c r="I8" i="18"/>
  <c r="I11" i="18" s="1"/>
  <c r="H82" i="22"/>
  <c r="G17" i="19"/>
  <c r="H78" i="27"/>
  <c r="H78" i="29"/>
  <c r="H78" i="30"/>
  <c r="H89" i="30" s="1"/>
  <c r="D9" i="19"/>
  <c r="I23" i="18"/>
  <c r="H94" i="24"/>
  <c r="H89" i="23"/>
  <c r="H90" i="23"/>
  <c r="I9" i="18"/>
  <c r="H78" i="26"/>
  <c r="H78" i="28"/>
  <c r="H90" i="28" s="1"/>
  <c r="H93" i="20"/>
  <c r="H92" i="20"/>
  <c r="H94" i="20" s="1"/>
  <c r="H93" i="22"/>
  <c r="M8" i="19" s="1"/>
  <c r="H94" i="22"/>
  <c r="I16" i="18"/>
  <c r="I12" i="19"/>
  <c r="K13" i="19"/>
  <c r="I16" i="19"/>
  <c r="H7" i="19"/>
  <c r="H17" i="19" s="1"/>
  <c r="H18" i="19" s="1"/>
  <c r="A12" i="19"/>
  <c r="L13" i="19"/>
  <c r="H88" i="27" s="1"/>
  <c r="F14" i="19"/>
  <c r="A16" i="19"/>
  <c r="I17" i="18"/>
  <c r="J39" i="18" s="1"/>
  <c r="A7" i="19"/>
  <c r="A8" i="19" s="1"/>
  <c r="A9" i="19" s="1"/>
  <c r="A10" i="19" s="1"/>
  <c r="A11" i="19"/>
  <c r="L12" i="19"/>
  <c r="A15" i="19"/>
  <c r="H83" i="21"/>
  <c r="H95" i="21" s="1"/>
  <c r="I12" i="18"/>
  <c r="K11" i="19"/>
  <c r="I14" i="19"/>
  <c r="H88" i="28" s="1"/>
  <c r="K15" i="19"/>
  <c r="H89" i="29"/>
  <c r="I15" i="18"/>
  <c r="A14" i="19"/>
  <c r="H90" i="29"/>
  <c r="K14" i="19"/>
  <c r="H88" i="26" l="1"/>
  <c r="H88" i="29"/>
  <c r="I35" i="18"/>
  <c r="D8" i="19"/>
  <c r="D10" i="19"/>
  <c r="H88" i="30"/>
  <c r="F16" i="19" s="1"/>
  <c r="M13" i="19"/>
  <c r="J49" i="18"/>
  <c r="I49" i="18" s="1"/>
  <c r="J11" i="19"/>
  <c r="H94" i="21"/>
  <c r="H89" i="28"/>
  <c r="M14" i="19" s="1"/>
  <c r="I20" i="18"/>
  <c r="H91" i="30"/>
  <c r="M16" i="19" s="1"/>
  <c r="H90" i="30"/>
  <c r="I41" i="18" s="1"/>
  <c r="H96" i="21"/>
  <c r="D7" i="19"/>
  <c r="I33" i="18"/>
  <c r="I34" i="18" s="1"/>
  <c r="D14" i="19"/>
  <c r="H91" i="28"/>
  <c r="M9" i="19"/>
  <c r="P9" i="19" s="1"/>
  <c r="H91" i="29"/>
  <c r="M15" i="19" s="1"/>
  <c r="J48" i="18"/>
  <c r="I48" i="18" s="1"/>
  <c r="I39" i="18" s="1"/>
  <c r="H91" i="26"/>
  <c r="D12" i="19"/>
  <c r="H93" i="24"/>
  <c r="M10" i="19" s="1"/>
  <c r="H91" i="27"/>
  <c r="D13" i="19"/>
  <c r="M11" i="19"/>
  <c r="P11" i="19" s="1"/>
  <c r="P15" i="19" l="1"/>
  <c r="N15" i="19"/>
  <c r="C34" i="17"/>
  <c r="P8" i="19"/>
  <c r="I36" i="18"/>
  <c r="I37" i="18" s="1"/>
  <c r="J14" i="19"/>
  <c r="N14" i="19" s="1"/>
  <c r="P14" i="19"/>
  <c r="M7" i="19"/>
  <c r="M17" i="19" s="1"/>
  <c r="I21" i="18"/>
  <c r="I22" i="18" s="1"/>
  <c r="I42" i="18" s="1"/>
  <c r="J13" i="19"/>
  <c r="N13" i="19" s="1"/>
  <c r="P13" i="19"/>
  <c r="P16" i="19"/>
  <c r="J16" i="19"/>
  <c r="N16" i="19" s="1"/>
  <c r="H95" i="24"/>
  <c r="P12" i="19"/>
  <c r="J12" i="19"/>
  <c r="N12" i="19" s="1"/>
  <c r="I40" i="18"/>
  <c r="D17" i="19"/>
  <c r="P7" i="19"/>
  <c r="N11" i="19"/>
  <c r="P10" i="19"/>
  <c r="F17" i="19"/>
  <c r="H22" i="17" l="1"/>
  <c r="G22" i="17"/>
  <c r="E22" i="17"/>
  <c r="K7" i="19"/>
  <c r="P17" i="19"/>
  <c r="I7" i="19"/>
  <c r="H25" i="17"/>
  <c r="G25" i="17"/>
  <c r="E25" i="17"/>
  <c r="H23" i="17"/>
  <c r="G23" i="17"/>
  <c r="E23" i="17"/>
  <c r="H26" i="17"/>
  <c r="G26" i="17"/>
  <c r="E26" i="17"/>
  <c r="H27" i="17"/>
  <c r="G27" i="17"/>
  <c r="E27" i="17"/>
  <c r="H24" i="17"/>
  <c r="G24" i="17"/>
  <c r="E24" i="17"/>
  <c r="I8" i="19"/>
  <c r="J8" i="19" s="1"/>
  <c r="K8" i="19" l="1"/>
  <c r="K10" i="19"/>
  <c r="I9" i="19"/>
  <c r="J9" i="19" s="1"/>
  <c r="K9" i="19"/>
  <c r="L10" i="19"/>
  <c r="L8" i="19"/>
  <c r="H92" i="22" s="1"/>
  <c r="H95" i="22" s="1"/>
  <c r="L9" i="19"/>
  <c r="H88" i="23" s="1"/>
  <c r="H91" i="23" s="1"/>
  <c r="K17" i="19"/>
  <c r="J7" i="19"/>
  <c r="I10" i="19"/>
  <c r="J10" i="19" s="1"/>
  <c r="N10" i="19" s="1"/>
  <c r="L7" i="19"/>
  <c r="H21" i="17" l="1"/>
  <c r="G21" i="17"/>
  <c r="E21" i="17"/>
  <c r="L17" i="19"/>
  <c r="N9" i="19"/>
  <c r="H87" i="25"/>
  <c r="H90" i="25" s="1"/>
  <c r="N8" i="19"/>
  <c r="N7" i="19"/>
  <c r="I17" i="19"/>
  <c r="H19" i="17" l="1"/>
  <c r="G19" i="17"/>
  <c r="E19" i="17"/>
  <c r="G20" i="17"/>
  <c r="E20" i="17"/>
  <c r="H20" i="17"/>
  <c r="I18" i="19"/>
  <c r="J17" i="19"/>
  <c r="E18" i="17"/>
  <c r="H18" i="17"/>
  <c r="N17" i="19"/>
  <c r="G18" i="17"/>
  <c r="G28" i="17" s="1"/>
  <c r="F18" i="17"/>
  <c r="F28" i="17" s="1"/>
  <c r="N18" i="19" l="1"/>
  <c r="G18" i="19"/>
  <c r="N20" i="19"/>
  <c r="M18" i="19"/>
  <c r="F18" i="19"/>
  <c r="D18" i="19"/>
  <c r="K18" i="19"/>
  <c r="L18" i="19"/>
  <c r="H28" i="17"/>
  <c r="H14" i="17" s="1"/>
  <c r="D14" i="17" s="1"/>
  <c r="E28" i="17"/>
  <c r="J18" i="19"/>
</calcChain>
</file>

<file path=xl/sharedStrings.xml><?xml version="1.0" encoding="utf-8"?>
<sst xmlns="http://schemas.openxmlformats.org/spreadsheetml/2006/main" count="1312" uniqueCount="475">
  <si>
    <t>(현대/기아차 설비협력업체 견적통일양식)</t>
    <phoneticPr fontId="3" type="noConversion"/>
  </si>
  <si>
    <t xml:space="preserve">見  積  書   </t>
    <phoneticPr fontId="3" type="noConversion"/>
  </si>
  <si>
    <t>현대 위아 貴下</t>
    <phoneticPr fontId="3" type="noConversion"/>
  </si>
  <si>
    <t>견적일자</t>
    <phoneticPr fontId="3" type="noConversion"/>
  </si>
  <si>
    <t>견적번호</t>
    <phoneticPr fontId="3" type="noConversion"/>
  </si>
  <si>
    <t>납기</t>
    <phoneticPr fontId="3" type="noConversion"/>
  </si>
  <si>
    <t>입하</t>
    <phoneticPr fontId="3" type="noConversion"/>
  </si>
  <si>
    <t>최종검수</t>
    <phoneticPr fontId="3" type="noConversion"/>
  </si>
  <si>
    <t>견적유효기간</t>
    <phoneticPr fontId="3" type="noConversion"/>
  </si>
  <si>
    <t>제출후 30 일</t>
    <phoneticPr fontId="3" type="noConversion"/>
  </si>
  <si>
    <t>인도장소</t>
    <phoneticPr fontId="3" type="noConversion"/>
  </si>
  <si>
    <t>귀사 지정장소</t>
    <phoneticPr fontId="3" type="noConversion"/>
  </si>
  <si>
    <t>지불조건</t>
    <phoneticPr fontId="3" type="noConversion"/>
  </si>
  <si>
    <t>연 락 처 :</t>
  </si>
  <si>
    <t>견적금액</t>
    <phoneticPr fontId="3" type="noConversion"/>
  </si>
  <si>
    <t>)</t>
    <phoneticPr fontId="3" type="noConversion"/>
  </si>
  <si>
    <t>번호</t>
    <phoneticPr fontId="3" type="noConversion"/>
  </si>
  <si>
    <t>상세품목내역</t>
    <phoneticPr fontId="3" type="noConversion"/>
  </si>
  <si>
    <r>
      <t xml:space="preserve">견적금액 </t>
    </r>
    <r>
      <rPr>
        <sz val="11"/>
        <color theme="1"/>
        <rFont val="맑은 고딕"/>
        <family val="2"/>
        <scheme val="minor"/>
      </rPr>
      <t>(천원)</t>
    </r>
    <phoneticPr fontId="3" type="noConversion"/>
  </si>
  <si>
    <t>비  고</t>
    <phoneticPr fontId="3" type="noConversion"/>
  </si>
  <si>
    <t>기계부문</t>
    <phoneticPr fontId="3" type="noConversion"/>
  </si>
  <si>
    <t>전기부문</t>
    <phoneticPr fontId="3" type="noConversion"/>
  </si>
  <si>
    <r>
      <rPr>
        <sz val="11"/>
        <color indexed="8"/>
        <rFont val="굴림"/>
        <family val="3"/>
        <charset val="129"/>
      </rPr>
      <t xml:space="preserve">관리/이윤
</t>
    </r>
    <r>
      <rPr>
        <sz val="8"/>
        <color indexed="8"/>
        <rFont val="굴림"/>
        <family val="3"/>
        <charset val="129"/>
      </rPr>
      <t>(안전관리비포함)</t>
    </r>
  </si>
  <si>
    <r>
      <t xml:space="preserve">합 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rFont val="굴림"/>
        <family val="3"/>
        <charset val="129"/>
      </rPr>
      <t>계</t>
    </r>
    <phoneticPr fontId="3" type="noConversion"/>
  </si>
  <si>
    <r>
      <t>견적 합</t>
    </r>
    <r>
      <rPr>
        <sz val="11"/>
        <rFont val="굴림"/>
        <family val="3"/>
        <charset val="129"/>
      </rPr>
      <t>계</t>
    </r>
    <phoneticPr fontId="3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</si>
  <si>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3" type="noConversion"/>
  </si>
  <si>
    <t>특기사항</t>
    <phoneticPr fontId="3" type="noConversion"/>
  </si>
  <si>
    <t>1. VAT 제외</t>
    <phoneticPr fontId="3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</si>
  <si>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3" type="noConversion"/>
  </si>
  <si>
    <t>2. 기본 유틸리티공사 제외</t>
    <phoneticPr fontId="3" type="noConversion"/>
  </si>
  <si>
    <t>설계외주</t>
    <phoneticPr fontId="3" type="noConversion"/>
  </si>
  <si>
    <t>제작외주</t>
    <phoneticPr fontId="3" type="noConversion"/>
  </si>
  <si>
    <t>전기외주</t>
    <phoneticPr fontId="3" type="noConversion"/>
  </si>
  <si>
    <t>설치외주</t>
    <phoneticPr fontId="3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</si>
  <si>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3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</si>
  <si>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3" type="noConversion"/>
  </si>
  <si>
    <t>순번</t>
    <phoneticPr fontId="3" type="noConversion"/>
  </si>
  <si>
    <t>원가구분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</si>
  <si>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</si>
  <si>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</si>
  <si>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</si>
  <si>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r>
      <t>금  액</t>
    </r>
    <r>
      <rPr>
        <sz val="11"/>
        <color theme="1"/>
        <rFont val="맑은 고딕"/>
        <family val="2"/>
        <scheme val="minor"/>
      </rPr>
      <t>(원)</t>
    </r>
    <phoneticPr fontId="3" type="noConversion"/>
  </si>
  <si>
    <r>
      <t xml:space="preserve">비 </t>
    </r>
    <r>
      <rPr>
        <sz val="11"/>
        <color theme="1"/>
        <rFont val="맑은 고딕"/>
        <family val="2"/>
        <scheme val="minor"/>
      </rPr>
      <t xml:space="preserve"> 고</t>
    </r>
    <phoneticPr fontId="3" type="noConversion"/>
  </si>
  <si>
    <t>기계
부문</t>
    <phoneticPr fontId="3" type="noConversion"/>
  </si>
  <si>
    <t>자재비</t>
    <phoneticPr fontId="3" type="noConversion"/>
  </si>
  <si>
    <r>
      <t>철자재(</t>
    </r>
    <r>
      <rPr>
        <sz val="11"/>
        <color theme="1"/>
        <rFont val="맑은 고딕"/>
        <family val="2"/>
        <scheme val="minor"/>
      </rPr>
      <t>SS.SUS등)</t>
    </r>
    <phoneticPr fontId="3" type="noConversion"/>
  </si>
  <si>
    <t>kg</t>
    <phoneticPr fontId="3" type="noConversion"/>
  </si>
  <si>
    <t>加工必要資材</t>
    <phoneticPr fontId="3" type="noConversion"/>
  </si>
  <si>
    <t>일반구매품</t>
    <phoneticPr fontId="3" type="noConversion"/>
  </si>
  <si>
    <t>식</t>
    <phoneticPr fontId="3" type="noConversion"/>
  </si>
  <si>
    <t>加工不要資材</t>
    <phoneticPr fontId="3" type="noConversion"/>
  </si>
  <si>
    <t>외주제작품</t>
    <phoneticPr fontId="3" type="noConversion"/>
  </si>
  <si>
    <r>
      <t>旣加工S</t>
    </r>
    <r>
      <rPr>
        <sz val="11"/>
        <color theme="1"/>
        <rFont val="맑은 고딕"/>
        <family val="2"/>
        <scheme val="minor"/>
      </rPr>
      <t>UB</t>
    </r>
    <r>
      <rPr>
        <sz val="11"/>
        <rFont val="굴림"/>
        <family val="3"/>
        <charset val="129"/>
      </rPr>
      <t>資材</t>
    </r>
    <phoneticPr fontId="3" type="noConversion"/>
  </si>
  <si>
    <t>설치/해체 공사 자재</t>
    <phoneticPr fontId="3" type="noConversion"/>
  </si>
  <si>
    <t>시운전 자재 포함</t>
    <phoneticPr fontId="3" type="noConversion"/>
  </si>
  <si>
    <r>
      <t>소</t>
    </r>
    <r>
      <rPr>
        <sz val="11"/>
        <color theme="1"/>
        <rFont val="맑은 고딕"/>
        <family val="2"/>
        <scheme val="minor"/>
      </rPr>
      <t>계</t>
    </r>
    <phoneticPr fontId="3" type="noConversion"/>
  </si>
  <si>
    <t>노무비</t>
    <phoneticPr fontId="3" type="noConversion"/>
  </si>
  <si>
    <t>기존설비 철거</t>
    <phoneticPr fontId="3" type="noConversion"/>
  </si>
  <si>
    <t>M/D</t>
    <phoneticPr fontId="3" type="noConversion"/>
  </si>
  <si>
    <t>개조공사時</t>
    <phoneticPr fontId="3" type="noConversion"/>
  </si>
  <si>
    <t>설계</t>
    <phoneticPr fontId="3" type="noConversion"/>
  </si>
  <si>
    <t>제작(제관,가공)</t>
    <phoneticPr fontId="3" type="noConversion"/>
  </si>
  <si>
    <t>조립</t>
    <phoneticPr fontId="3" type="noConversion"/>
  </si>
  <si>
    <t>정도검사포함</t>
    <phoneticPr fontId="3" type="noConversion"/>
  </si>
  <si>
    <t>설치</t>
    <phoneticPr fontId="3" type="noConversion"/>
  </si>
  <si>
    <t>시운전</t>
    <phoneticPr fontId="3" type="noConversion"/>
  </si>
  <si>
    <t>양산대응</t>
    <phoneticPr fontId="3" type="noConversion"/>
  </si>
  <si>
    <t>도장</t>
    <phoneticPr fontId="3" type="noConversion"/>
  </si>
  <si>
    <t>일반관리 및 이윤</t>
    <phoneticPr fontId="3" type="noConversion"/>
  </si>
  <si>
    <t>기계 소계</t>
    <phoneticPr fontId="3" type="noConversion"/>
  </si>
  <si>
    <t>전기
부문</t>
    <phoneticPr fontId="3" type="noConversion"/>
  </si>
  <si>
    <t>기계/전기자재</t>
    <phoneticPr fontId="3" type="noConversion"/>
  </si>
  <si>
    <t>철거(개조시)</t>
    <phoneticPr fontId="3" type="noConversion"/>
  </si>
  <si>
    <t>설계,프로그램</t>
    <phoneticPr fontId="3" type="noConversion"/>
  </si>
  <si>
    <t>제작</t>
    <phoneticPr fontId="3" type="noConversion"/>
  </si>
  <si>
    <t>소계</t>
    <phoneticPr fontId="3" type="noConversion"/>
  </si>
  <si>
    <t>전기 소계</t>
    <phoneticPr fontId="3" type="noConversion"/>
  </si>
  <si>
    <t>자재비 합계</t>
    <phoneticPr fontId="3" type="noConversion"/>
  </si>
  <si>
    <t>노무비 합계</t>
    <phoneticPr fontId="3" type="noConversion"/>
  </si>
  <si>
    <r>
      <t xml:space="preserve">중간 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rFont val="굴림"/>
        <family val="3"/>
        <charset val="129"/>
      </rPr>
      <t>합계</t>
    </r>
    <phoneticPr fontId="3" type="noConversion"/>
  </si>
  <si>
    <t>포장,운송 및 중장비 사용료</t>
    <phoneticPr fontId="3" type="noConversion"/>
  </si>
  <si>
    <t>표준안전관리비</t>
  </si>
  <si>
    <t>설치/철거/수리금액 기준</t>
    <phoneticPr fontId="3" type="noConversion"/>
  </si>
  <si>
    <t>일반관리비</t>
    <phoneticPr fontId="3" type="noConversion"/>
  </si>
  <si>
    <r>
      <t xml:space="preserve">이 </t>
    </r>
    <r>
      <rPr>
        <sz val="11"/>
        <color theme="1"/>
        <rFont val="맑은 고딕"/>
        <family val="2"/>
        <scheme val="minor"/>
      </rPr>
      <t xml:space="preserve">        </t>
    </r>
    <r>
      <rPr>
        <sz val="11"/>
        <rFont val="굴림"/>
        <family val="3"/>
        <charset val="129"/>
      </rPr>
      <t>윤</t>
    </r>
    <phoneticPr fontId="3" type="noConversion"/>
  </si>
  <si>
    <r>
      <t xml:space="preserve">합 </t>
    </r>
    <r>
      <rPr>
        <sz val="11"/>
        <color theme="1"/>
        <rFont val="맑은 고딕"/>
        <family val="2"/>
        <scheme val="minor"/>
      </rPr>
      <t xml:space="preserve">        </t>
    </r>
    <r>
      <rPr>
        <sz val="11"/>
        <rFont val="굴림"/>
        <family val="3"/>
        <charset val="129"/>
      </rPr>
      <t>계</t>
    </r>
    <phoneticPr fontId="3" type="noConversion"/>
  </si>
  <si>
    <t>3~7항 합계</t>
    <phoneticPr fontId="3" type="noConversion"/>
  </si>
  <si>
    <r>
      <t xml:space="preserve">주1. </t>
    </r>
    <r>
      <rPr>
        <sz val="11"/>
        <rFont val="굴림"/>
        <family val="3"/>
        <charset val="129"/>
      </rPr>
      <t>표준안전관리비:</t>
    </r>
    <r>
      <rPr>
        <sz val="11"/>
        <color theme="1"/>
        <rFont val="맑은 고딕"/>
        <family val="2"/>
        <scheme val="minor"/>
      </rPr>
      <t>(설치/철거/시운전 공사 관련 금액)의</t>
    </r>
    <phoneticPr fontId="3" type="noConversion"/>
  </si>
  <si>
    <t xml:space="preserve">        ⓐ3.15%(5억원미만),ⓑ2.53%+기초액(5억원 이상 ~ 50억원 미만),ⓒ2.60%(50억 이상일경우)</t>
    <phoneticPr fontId="3" type="noConversion"/>
  </si>
  <si>
    <r>
      <t>주2</t>
    </r>
    <r>
      <rPr>
        <sz val="11"/>
        <color theme="1"/>
        <rFont val="맑은 고딕"/>
        <family val="2"/>
        <scheme val="minor"/>
      </rPr>
      <t>. 제작을 전량 외주할경우 자재비중 [외주제작품] 항목은 삭제함</t>
    </r>
    <phoneticPr fontId="3" type="noConversion"/>
  </si>
  <si>
    <t>산업안전관리비
[일반건설공사(을)]</t>
    <phoneticPr fontId="3" type="noConversion"/>
  </si>
  <si>
    <t>기준</t>
    <phoneticPr fontId="3" type="noConversion"/>
  </si>
  <si>
    <t>안전관리비</t>
    <phoneticPr fontId="3" type="noConversion"/>
  </si>
  <si>
    <t>대상액</t>
    <phoneticPr fontId="3" type="noConversion"/>
  </si>
  <si>
    <t>비고</t>
    <phoneticPr fontId="3" type="noConversion"/>
  </si>
  <si>
    <t>계상기준1</t>
    <phoneticPr fontId="3" type="noConversion"/>
  </si>
  <si>
    <t>제작/설치 전체</t>
    <phoneticPr fontId="3" type="noConversion"/>
  </si>
  <si>
    <t>계상기준2</t>
    <phoneticPr fontId="3" type="noConversion"/>
  </si>
  <si>
    <t>당사내 설치비限</t>
    <phoneticPr fontId="3" type="noConversion"/>
  </si>
  <si>
    <r>
      <t>※ 계상기준</t>
    </r>
    <r>
      <rPr>
        <sz val="11"/>
        <color theme="1"/>
        <rFont val="맑은 고딕"/>
        <family val="2"/>
        <scheme val="minor"/>
      </rPr>
      <t>1 : 대상액*요율 / 계상기준2 : 대상액*요율*1.2</t>
    </r>
    <phoneticPr fontId="3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</si>
  <si>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3" type="noConversion"/>
  </si>
  <si>
    <t>단위:원</t>
    <phoneticPr fontId="3" type="noConversion"/>
  </si>
  <si>
    <t>포장/운송</t>
    <phoneticPr fontId="3" type="noConversion"/>
  </si>
  <si>
    <t>표준안전</t>
    <phoneticPr fontId="3" type="noConversion"/>
  </si>
  <si>
    <t>단위장비명</t>
    <phoneticPr fontId="3" type="noConversion"/>
  </si>
  <si>
    <t>철거</t>
    <phoneticPr fontId="3" type="noConversion"/>
  </si>
  <si>
    <t>설치/시운전</t>
    <phoneticPr fontId="3" type="noConversion"/>
  </si>
  <si>
    <t>중장비사용</t>
    <phoneticPr fontId="3" type="noConversion"/>
  </si>
  <si>
    <t>기계소계</t>
    <phoneticPr fontId="3" type="noConversion"/>
  </si>
  <si>
    <t>전기소계</t>
    <phoneticPr fontId="3" type="noConversion"/>
  </si>
  <si>
    <t>관리비</t>
    <phoneticPr fontId="3" type="noConversion"/>
  </si>
  <si>
    <t>이윤</t>
    <phoneticPr fontId="3" type="noConversion"/>
  </si>
  <si>
    <t>합  계</t>
    <phoneticPr fontId="3" type="noConversion"/>
  </si>
  <si>
    <t>1식</t>
    <phoneticPr fontId="3" type="noConversion"/>
  </si>
  <si>
    <t>1식</t>
  </si>
  <si>
    <t>합   계</t>
    <phoneticPr fontId="3" type="noConversion"/>
  </si>
  <si>
    <t xml:space="preserve"> 주) 전기비용은 턴키장비의 공통비용으로서 총 전기비용을 단위장비별 기계금액의 비율에 따라 배분함</t>
    <phoneticPr fontId="3" type="noConversion"/>
  </si>
  <si>
    <t>□ 전기부문:</t>
    <phoneticPr fontId="3" type="noConversion"/>
  </si>
  <si>
    <t>(첨부)</t>
    <phoneticPr fontId="3" type="noConversion"/>
  </si>
  <si>
    <t>구분</t>
    <phoneticPr fontId="3" type="noConversion"/>
  </si>
  <si>
    <t>품  명</t>
    <phoneticPr fontId="3" type="noConversion"/>
  </si>
  <si>
    <t>규격</t>
    <phoneticPr fontId="3" type="noConversion"/>
  </si>
  <si>
    <t>단가(원)</t>
    <phoneticPr fontId="3" type="noConversion"/>
  </si>
  <si>
    <t>금액(원)</t>
    <phoneticPr fontId="3" type="noConversion"/>
  </si>
  <si>
    <t>原MAKER</t>
    <phoneticPr fontId="3" type="noConversion"/>
  </si>
  <si>
    <t>자
재
비</t>
    <phoneticPr fontId="3" type="noConversion"/>
  </si>
  <si>
    <t>철자재</t>
    <phoneticPr fontId="3" type="noConversion"/>
  </si>
  <si>
    <t>설치/해체/</t>
    <phoneticPr fontId="3" type="noConversion"/>
  </si>
  <si>
    <t>시운전 공사</t>
    <phoneticPr fontId="3" type="noConversion"/>
  </si>
  <si>
    <t>기타자재</t>
    <phoneticPr fontId="3" type="noConversion"/>
  </si>
  <si>
    <t>ST</t>
    <phoneticPr fontId="3" type="noConversion"/>
  </si>
  <si>
    <t>자재비 소계</t>
    <phoneticPr fontId="3" type="noConversion"/>
  </si>
  <si>
    <t>노
무
비</t>
    <phoneticPr fontId="3" type="noConversion"/>
  </si>
  <si>
    <t>작화. PROGRAM 비</t>
    <phoneticPr fontId="3" type="noConversion"/>
  </si>
  <si>
    <t>M/D</t>
  </si>
  <si>
    <t>전기 제작</t>
    <phoneticPr fontId="3" type="noConversion"/>
  </si>
  <si>
    <t>전기 조립</t>
    <phoneticPr fontId="3" type="noConversion"/>
  </si>
  <si>
    <t>전기 설치</t>
    <phoneticPr fontId="3" type="noConversion"/>
  </si>
  <si>
    <t>전기 시운전</t>
    <phoneticPr fontId="3" type="noConversion"/>
  </si>
  <si>
    <t>전기 양산대응</t>
    <phoneticPr fontId="3" type="noConversion"/>
  </si>
  <si>
    <t>노무비 소계</t>
    <phoneticPr fontId="3" type="noConversion"/>
  </si>
  <si>
    <t>운반및중장비사용,표준안전관리비</t>
    <phoneticPr fontId="3" type="noConversion"/>
  </si>
  <si>
    <t>* 기계부문에 포함시킴</t>
    <phoneticPr fontId="3" type="noConversion"/>
  </si>
  <si>
    <t>이         윤</t>
    <phoneticPr fontId="3" type="noConversion"/>
  </si>
  <si>
    <t>합         계</t>
    <phoneticPr fontId="3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</si>
  <si>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3" type="noConversion"/>
  </si>
  <si>
    <t xml:space="preserve"> </t>
    <phoneticPr fontId="3" type="noConversion"/>
  </si>
  <si>
    <t>설치/해체/시운전</t>
    <phoneticPr fontId="3" type="noConversion"/>
  </si>
  <si>
    <t>공사 관련 자재</t>
    <phoneticPr fontId="3" type="noConversion"/>
  </si>
  <si>
    <t>구매품</t>
    <phoneticPr fontId="3" type="noConversion"/>
  </si>
  <si>
    <t>(유공압품외)</t>
    <phoneticPr fontId="3" type="noConversion"/>
  </si>
  <si>
    <t>EA</t>
    <phoneticPr fontId="3" type="noConversion"/>
  </si>
  <si>
    <t>기계 설계</t>
    <phoneticPr fontId="3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</si>
  <si>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3" type="noConversion"/>
  </si>
  <si>
    <t>기계 조립</t>
    <phoneticPr fontId="3" type="noConversion"/>
  </si>
  <si>
    <t>기계 설치</t>
    <phoneticPr fontId="3" type="noConversion"/>
  </si>
  <si>
    <t>기계 시운전</t>
    <phoneticPr fontId="3" type="noConversion"/>
  </si>
  <si>
    <t>기계 양산대응</t>
    <phoneticPr fontId="3" type="noConversion"/>
  </si>
  <si>
    <t>샘플승인비</t>
    <phoneticPr fontId="3" type="noConversion"/>
  </si>
  <si>
    <t>운반및중장비사용</t>
    <phoneticPr fontId="3" type="noConversion"/>
  </si>
  <si>
    <t>운반구 철거</t>
    <phoneticPr fontId="3" type="noConversion"/>
  </si>
  <si>
    <t>기계 도장</t>
    <phoneticPr fontId="3" type="noConversion"/>
  </si>
  <si>
    <t>기계 가공</t>
    <phoneticPr fontId="3" type="noConversion"/>
  </si>
  <si>
    <t>상 /하 판 가공 및 PIN HOLE 가공</t>
    <phoneticPr fontId="3" type="noConversion"/>
  </si>
  <si>
    <t>※ 현대/기아차의 요구사양과 업체견적사양이 다른경우만 작성</t>
    <phoneticPr fontId="3" type="noConversion"/>
  </si>
  <si>
    <t>현대/기아차 요구사양대비 견적조건 상이내역</t>
    <phoneticPr fontId="3" type="noConversion"/>
  </si>
  <si>
    <t>항   목</t>
    <phoneticPr fontId="3" type="noConversion"/>
  </si>
  <si>
    <t>현대/기아차 요구사양</t>
    <phoneticPr fontId="3" type="noConversion"/>
  </si>
  <si>
    <t>업체 견적기준 사양</t>
    <phoneticPr fontId="3" type="noConversion"/>
  </si>
  <si>
    <t>한로기술(주)</t>
    <phoneticPr fontId="3" type="noConversion"/>
  </si>
  <si>
    <t>대표 : 장헌기</t>
    <phoneticPr fontId="3" type="noConversion"/>
  </si>
  <si>
    <t>HR251115-01</t>
    <phoneticPr fontId="3" type="noConversion"/>
  </si>
  <si>
    <t>주소 : 경기도 시흥시 달월길 78</t>
    <phoneticPr fontId="3" type="noConversion"/>
  </si>
  <si>
    <t>2026 년 12월   일</t>
    <phoneticPr fontId="3" type="noConversion"/>
  </si>
  <si>
    <t>2027 년  2 월   일</t>
    <phoneticPr fontId="3" type="noConversion"/>
  </si>
  <si>
    <t>전화: 031-498-6154</t>
    <phoneticPr fontId="3" type="noConversion"/>
  </si>
  <si>
    <t>Fax: 031-498-6175</t>
    <phoneticPr fontId="3" type="noConversion"/>
  </si>
  <si>
    <t>견적담당:</t>
    <phoneticPr fontId="3" type="noConversion"/>
  </si>
  <si>
    <t>임종철 부사장</t>
    <phoneticPr fontId="3" type="noConversion"/>
  </si>
  <si>
    <t>협의사항(FOB)</t>
    <phoneticPr fontId="3" type="noConversion"/>
  </si>
  <si>
    <t>010-5316-1313</t>
    <phoneticPr fontId="3" type="noConversion"/>
  </si>
  <si>
    <r>
      <t xml:space="preserve">    </t>
    </r>
    <r>
      <rPr>
        <b/>
        <u/>
        <sz val="11"/>
        <rFont val="굴림"/>
        <family val="3"/>
        <charset val="129"/>
      </rPr>
      <t>공사명</t>
    </r>
    <r>
      <rPr>
        <b/>
        <sz val="11"/>
        <rFont val="굴림"/>
        <family val="3"/>
        <charset val="129"/>
      </rPr>
      <t xml:space="preserve">   : </t>
    </r>
    <phoneticPr fontId="3" type="noConversion"/>
  </si>
  <si>
    <t>인도법인 푸네 CVJ 시험기(백래쉬, 비틀림내구, 비틀림파단, 회전내구)</t>
    <phoneticPr fontId="3" type="noConversion"/>
  </si>
  <si>
    <t>整(\</t>
  </si>
  <si>
    <t>한로기술</t>
    <phoneticPr fontId="3" type="noConversion"/>
  </si>
  <si>
    <t>에이포웰</t>
    <phoneticPr fontId="3" type="noConversion"/>
  </si>
  <si>
    <t>실적가</t>
    <phoneticPr fontId="3" type="noConversion"/>
  </si>
  <si>
    <t>유럽법인 CVJ 볼보 GPA 대응 PJT 백래쉬 측정기 (2023년)</t>
    <phoneticPr fontId="3" type="noConversion"/>
  </si>
  <si>
    <t>인도 첸나이 (2023년)</t>
    <phoneticPr fontId="3" type="noConversion"/>
  </si>
  <si>
    <t>유럽법인 CVJ 볼보 GPA 대응 PJT 파단 시험기(2023년)</t>
    <phoneticPr fontId="3" type="noConversion"/>
  </si>
  <si>
    <t>강건화 요청 추가</t>
    <phoneticPr fontId="3" type="noConversion"/>
  </si>
  <si>
    <t>전기장치</t>
    <phoneticPr fontId="3" type="noConversion"/>
  </si>
  <si>
    <t>백래쉬 시험기</t>
    <phoneticPr fontId="3" type="noConversion"/>
  </si>
  <si>
    <t xml:space="preserve">CONTROL RACK </t>
    <phoneticPr fontId="3" type="noConversion"/>
  </si>
  <si>
    <t>표준형 19"</t>
    <phoneticPr fontId="3" type="noConversion"/>
  </si>
  <si>
    <t>신우엔텍</t>
    <phoneticPr fontId="3" type="noConversion"/>
  </si>
  <si>
    <t>CONTROL TORQUE &amp; ANGLE AMP.</t>
    <phoneticPr fontId="3" type="noConversion"/>
  </si>
  <si>
    <t>조이콘트롤</t>
    <phoneticPr fontId="3" type="noConversion"/>
  </si>
  <si>
    <t>PLC SYSTEM</t>
    <phoneticPr fontId="3" type="noConversion"/>
  </si>
  <si>
    <t>SET</t>
    <phoneticPr fontId="3" type="noConversion"/>
  </si>
  <si>
    <t>형제</t>
    <phoneticPr fontId="3" type="noConversion"/>
  </si>
  <si>
    <t>CONNECTION REMOTE CONTROL/WIRING</t>
    <phoneticPr fontId="3" type="noConversion"/>
  </si>
  <si>
    <t>INDICATOR</t>
    <phoneticPr fontId="3" type="noConversion"/>
  </si>
  <si>
    <t>MOVING CONTROL</t>
    <phoneticPr fontId="3" type="noConversion"/>
  </si>
  <si>
    <t>부자재</t>
    <phoneticPr fontId="3" type="noConversion"/>
  </si>
  <si>
    <t>AVR(UPS)</t>
    <phoneticPr fontId="3" type="noConversion"/>
  </si>
  <si>
    <t>KSP-9100A</t>
    <phoneticPr fontId="3" type="noConversion"/>
  </si>
  <si>
    <t>SYS</t>
    <phoneticPr fontId="3" type="noConversion"/>
  </si>
  <si>
    <t>삼풍</t>
    <phoneticPr fontId="3" type="noConversion"/>
  </si>
  <si>
    <t>제어용 COMPUTER</t>
    <phoneticPr fontId="3" type="noConversion"/>
  </si>
  <si>
    <t>모니터, MS OFFICE</t>
    <phoneticPr fontId="3" type="noConversion"/>
  </si>
  <si>
    <t>ADVENTEC</t>
    <phoneticPr fontId="3" type="noConversion"/>
  </si>
  <si>
    <t>7) UPS(2.0KVA)</t>
    <phoneticPr fontId="3" type="noConversion"/>
  </si>
  <si>
    <t>HAP-920</t>
    <phoneticPr fontId="3" type="noConversion"/>
  </si>
  <si>
    <t>***주기***</t>
    <phoneticPr fontId="3" type="noConversion"/>
  </si>
  <si>
    <t>1) 1차 전원공사 및 냉각수, 에어공사-현대위아에서</t>
    <phoneticPr fontId="3" type="noConversion"/>
  </si>
  <si>
    <t>2) 설비(LAYOUT) 위치이동-현대위아에서</t>
    <phoneticPr fontId="3" type="noConversion"/>
  </si>
  <si>
    <t>비틀림 내구</t>
    <phoneticPr fontId="3" type="noConversion"/>
  </si>
  <si>
    <t>CONTROL SYSTEM</t>
    <phoneticPr fontId="3" type="noConversion"/>
  </si>
  <si>
    <t>시험기</t>
    <phoneticPr fontId="3" type="noConversion"/>
  </si>
  <si>
    <t>1. 19" RACK</t>
    <phoneticPr fontId="3" type="noConversion"/>
  </si>
  <si>
    <t>2. DIGITAL AMP.</t>
    <phoneticPr fontId="3" type="noConversion"/>
  </si>
  <si>
    <t>HANRO</t>
    <phoneticPr fontId="3" type="noConversion"/>
  </si>
  <si>
    <t xml:space="preserve">  1) ANGLE AMP/CPU AMP</t>
    <phoneticPr fontId="3" type="noConversion"/>
  </si>
  <si>
    <t xml:space="preserve">  2) DIGITAL I/O 12CH</t>
    <phoneticPr fontId="3" type="noConversion"/>
  </si>
  <si>
    <t xml:space="preserve">  3) DIGITAL D/O 32CH</t>
    <phoneticPr fontId="3" type="noConversion"/>
  </si>
  <si>
    <t>3. ELECTRIC PARTS(MAIN BODY,UPPER&amp;LOWER)</t>
    <phoneticPr fontId="3" type="noConversion"/>
  </si>
  <si>
    <t>4. PLC CONTROL &amp; CABLE WIRING</t>
    <phoneticPr fontId="3" type="noConversion"/>
  </si>
  <si>
    <t>5. PANEL</t>
    <phoneticPr fontId="3" type="noConversion"/>
  </si>
  <si>
    <t>2300x1500x800</t>
    <phoneticPr fontId="3" type="noConversion"/>
  </si>
  <si>
    <t>화신</t>
    <phoneticPr fontId="3" type="noConversion"/>
  </si>
  <si>
    <t xml:space="preserve">6. PLC &amp; PROGRAM </t>
    <phoneticPr fontId="3" type="noConversion"/>
  </si>
  <si>
    <t>7. REMOTE CONTROL</t>
    <phoneticPr fontId="3" type="noConversion"/>
  </si>
  <si>
    <t>유선</t>
    <phoneticPr fontId="3" type="noConversion"/>
  </si>
  <si>
    <t>8. 부자재</t>
    <phoneticPr fontId="3" type="noConversion"/>
  </si>
  <si>
    <t>9.AVR(UPS)</t>
    <phoneticPr fontId="3" type="noConversion"/>
  </si>
  <si>
    <t>1) 1차 전원공사 및 냉각수, 에어공사- 현대위아 인도법인에서</t>
    <phoneticPr fontId="3" type="noConversion"/>
  </si>
  <si>
    <t>2) FOB 설비 입고(LAYOUT) 위치이동-현대위아 인도법인에서</t>
    <phoneticPr fontId="3" type="noConversion"/>
  </si>
  <si>
    <t>3) 설비중량 약 9TON</t>
    <phoneticPr fontId="3" type="noConversion"/>
  </si>
  <si>
    <t>비틀림 파단</t>
    <phoneticPr fontId="3" type="noConversion"/>
  </si>
  <si>
    <t>ECLECTIC CONTROL SYSTEM</t>
    <phoneticPr fontId="3" type="noConversion"/>
  </si>
  <si>
    <t>1. INVERTOR PANNEL</t>
    <phoneticPr fontId="3" type="noConversion"/>
  </si>
  <si>
    <t>2. INVERTOR/DRIVE/프로그램</t>
    <phoneticPr fontId="3" type="noConversion"/>
  </si>
  <si>
    <t>3. PLC CONTROLLER</t>
    <phoneticPr fontId="3" type="noConversion"/>
  </si>
  <si>
    <t>4. TORQUE AMPLIFIER(AMP.)</t>
    <phoneticPr fontId="3" type="noConversion"/>
  </si>
  <si>
    <t>5. ANGLE AMP.</t>
    <phoneticPr fontId="3" type="noConversion"/>
  </si>
  <si>
    <t>6. RACK</t>
    <phoneticPr fontId="3" type="noConversion"/>
  </si>
  <si>
    <t>19"</t>
    <phoneticPr fontId="3" type="noConversion"/>
  </si>
  <si>
    <t>7. WIRE &amp; CONNECTOR</t>
    <phoneticPr fontId="3" type="noConversion"/>
  </si>
  <si>
    <t xml:space="preserve">9.CONTROL SYSTEM </t>
    <phoneticPr fontId="3" type="noConversion"/>
  </si>
  <si>
    <t>HANRO DSP.</t>
    <phoneticPr fontId="3" type="noConversion"/>
  </si>
  <si>
    <t>10.AVR(UPS)</t>
    <phoneticPr fontId="3" type="noConversion"/>
  </si>
  <si>
    <t>1) 1차 전원공사 및 냉각수, 에어공사-현대위아 인도법인에서</t>
    <phoneticPr fontId="3" type="noConversion"/>
  </si>
  <si>
    <t>2) 설비(LAYOUT) 위치이동-현대위아 인도법인에서</t>
    <phoneticPr fontId="3" type="noConversion"/>
  </si>
  <si>
    <t>회전 내구</t>
    <phoneticPr fontId="3" type="noConversion"/>
  </si>
  <si>
    <t>1. ELECTRIC PANEL</t>
    <phoneticPr fontId="3" type="noConversion"/>
  </si>
  <si>
    <t>2. 제어 PANEL</t>
    <phoneticPr fontId="3" type="noConversion"/>
  </si>
  <si>
    <t>1)RACK(STANDARD TYPE)</t>
    <phoneticPr fontId="3" type="noConversion"/>
  </si>
  <si>
    <t>신우</t>
    <phoneticPr fontId="3" type="noConversion"/>
  </si>
  <si>
    <t xml:space="preserve">2)CONTROL SYSTEM </t>
    <phoneticPr fontId="3" type="noConversion"/>
  </si>
  <si>
    <t>3)제어용 COMPUTER</t>
    <phoneticPr fontId="3" type="noConversion"/>
  </si>
  <si>
    <t>4)전면조작 스위치 및 램프류</t>
    <phoneticPr fontId="3" type="noConversion"/>
  </si>
  <si>
    <t>형제전기</t>
    <phoneticPr fontId="3" type="noConversion"/>
  </si>
  <si>
    <t>5)PLC &amp; PROGRAM/REMOTE CONTROL(유선)</t>
    <phoneticPr fontId="3" type="noConversion"/>
  </si>
  <si>
    <t>6)각종 전기장침 치 부자재</t>
    <phoneticPr fontId="3" type="noConversion"/>
  </si>
  <si>
    <t xml:space="preserve">   - DAQ BOARD, TERMINAL BOARD </t>
    <phoneticPr fontId="3" type="noConversion"/>
  </si>
  <si>
    <t xml:space="preserve">    - WIRE &amp; CONNECTOR</t>
    <phoneticPr fontId="3" type="noConversion"/>
  </si>
  <si>
    <t xml:space="preserve">8)AVR(UPS) </t>
    <phoneticPr fontId="3" type="noConversion"/>
  </si>
  <si>
    <t>KSP-9200A</t>
    <phoneticPr fontId="3" type="noConversion"/>
  </si>
  <si>
    <t>항공권</t>
    <phoneticPr fontId="3" type="noConversion"/>
  </si>
  <si>
    <t>숙박 및 체재비</t>
    <phoneticPr fontId="3" type="noConversion"/>
  </si>
  <si>
    <t>6x25</t>
    <phoneticPr fontId="3" type="noConversion"/>
  </si>
  <si>
    <t>백래쉬시험기</t>
    <phoneticPr fontId="3" type="noConversion"/>
  </si>
  <si>
    <t>MAIN BODY</t>
    <phoneticPr fontId="3" type="noConversion"/>
  </si>
  <si>
    <t>600x2000x1200</t>
    <phoneticPr fontId="3" type="noConversion"/>
  </si>
  <si>
    <t>NSP</t>
    <phoneticPr fontId="3" type="noConversion"/>
  </si>
  <si>
    <t>MOVING SYSTEM</t>
    <phoneticPr fontId="3" type="noConversion"/>
  </si>
  <si>
    <t>동광테크</t>
    <phoneticPr fontId="3" type="noConversion"/>
  </si>
  <si>
    <t>SLIDE &amp; AIR CLAMP TYPE</t>
    <phoneticPr fontId="3" type="noConversion"/>
  </si>
  <si>
    <t>유압 UNIT</t>
    <phoneticPr fontId="3" type="noConversion"/>
  </si>
  <si>
    <t>KCC</t>
    <phoneticPr fontId="3" type="noConversion"/>
  </si>
  <si>
    <t>ANGLE 검출 SYSTEM</t>
    <phoneticPr fontId="3" type="noConversion"/>
  </si>
  <si>
    <t xml:space="preserve">COLLUE CHUCK PART </t>
    <phoneticPr fontId="3" type="noConversion"/>
  </si>
  <si>
    <t>아성정밀</t>
    <phoneticPr fontId="3" type="noConversion"/>
  </si>
  <si>
    <t>ROAD PART</t>
    <phoneticPr fontId="3" type="noConversion"/>
  </si>
  <si>
    <t>SERVO MOTOR&amp;DRIVE</t>
    <phoneticPr fontId="3" type="noConversion"/>
  </si>
  <si>
    <t>±20kgf.m</t>
    <phoneticPr fontId="3" type="noConversion"/>
  </si>
  <si>
    <t>MITSUBISHI</t>
    <phoneticPr fontId="3" type="noConversion"/>
  </si>
  <si>
    <t>TORQUE CELL</t>
    <phoneticPr fontId="3" type="noConversion"/>
  </si>
  <si>
    <t>500KN</t>
    <phoneticPr fontId="3" type="noConversion"/>
  </si>
  <si>
    <t>NTS</t>
    <phoneticPr fontId="3" type="noConversion"/>
  </si>
  <si>
    <t>ANGLE SENSOR</t>
    <phoneticPr fontId="3" type="noConversion"/>
  </si>
  <si>
    <r>
      <rPr>
        <sz val="11"/>
        <rFont val="맑은 고딕"/>
        <family val="3"/>
        <charset val="129"/>
      </rPr>
      <t>±</t>
    </r>
    <r>
      <rPr>
        <sz val="9.35"/>
        <rFont val="굴림"/>
        <family val="3"/>
        <charset val="129"/>
      </rPr>
      <t>360</t>
    </r>
    <r>
      <rPr>
        <sz val="9.35"/>
        <rFont val="맑은 고딕"/>
        <family val="3"/>
        <charset val="129"/>
      </rPr>
      <t>˚</t>
    </r>
    <r>
      <rPr>
        <sz val="7.95"/>
        <rFont val="굴림"/>
        <family val="3"/>
        <charset val="129"/>
      </rPr>
      <t>,</t>
    </r>
    <r>
      <rPr>
        <sz val="11"/>
        <color theme="1"/>
        <rFont val="맑은 고딕"/>
        <family val="2"/>
        <scheme val="minor"/>
      </rPr>
      <t xml:space="preserve"> 360,000P</t>
    </r>
    <phoneticPr fontId="3" type="noConversion"/>
  </si>
  <si>
    <t>GURLEY</t>
    <phoneticPr fontId="3" type="noConversion"/>
  </si>
  <si>
    <t>이송모터 &amp; 감속기</t>
    <phoneticPr fontId="3" type="noConversion"/>
  </si>
  <si>
    <t>SPG/LS</t>
    <phoneticPr fontId="3" type="noConversion"/>
  </si>
  <si>
    <t>MAGNETIC SCALE</t>
    <phoneticPr fontId="3" type="noConversion"/>
  </si>
  <si>
    <t>KEYENCE</t>
    <phoneticPr fontId="3" type="noConversion"/>
  </si>
  <si>
    <t>TEMPERATURE SENSOR</t>
    <phoneticPr fontId="3" type="noConversion"/>
  </si>
  <si>
    <t xml:space="preserve">비접촉 0~200 </t>
    <phoneticPr fontId="3" type="noConversion"/>
  </si>
  <si>
    <t>COMPUTER</t>
    <phoneticPr fontId="3" type="noConversion"/>
  </si>
  <si>
    <t>DV 705</t>
    <phoneticPr fontId="3" type="noConversion"/>
  </si>
  <si>
    <t>ADVENTECH</t>
    <phoneticPr fontId="3" type="noConversion"/>
  </si>
  <si>
    <t xml:space="preserve">DIGITAL I/O </t>
    <phoneticPr fontId="3" type="noConversion"/>
  </si>
  <si>
    <t>8CH</t>
    <phoneticPr fontId="3" type="noConversion"/>
  </si>
  <si>
    <t>UPS(2KVA)</t>
    <phoneticPr fontId="3" type="noConversion"/>
  </si>
  <si>
    <t>HAP 920</t>
    <phoneticPr fontId="3" type="noConversion"/>
  </si>
  <si>
    <t>디지털토크렌치 500Nm</t>
    <phoneticPr fontId="3" type="noConversion"/>
  </si>
  <si>
    <t>토니치</t>
    <phoneticPr fontId="3" type="noConversion"/>
  </si>
  <si>
    <t xml:space="preserve">디지털 각도계 1/100 </t>
    <phoneticPr fontId="3" type="noConversion"/>
  </si>
  <si>
    <t>블루텍</t>
    <phoneticPr fontId="3" type="noConversion"/>
  </si>
  <si>
    <t>접이식 대차 특대형</t>
    <phoneticPr fontId="3" type="noConversion"/>
  </si>
  <si>
    <t>쉘비트</t>
    <phoneticPr fontId="3" type="noConversion"/>
  </si>
  <si>
    <t>공구 세트 셋트 138PCS 수공구세트</t>
    <phoneticPr fontId="3" type="noConversion"/>
  </si>
  <si>
    <t>SMATO</t>
    <phoneticPr fontId="3" type="noConversion"/>
  </si>
  <si>
    <t>컴퓨터 책상</t>
    <phoneticPr fontId="3" type="noConversion"/>
  </si>
  <si>
    <t>데스커</t>
    <phoneticPr fontId="3" type="noConversion"/>
  </si>
  <si>
    <t>의자</t>
    <phoneticPr fontId="3" type="noConversion"/>
  </si>
  <si>
    <t>서랍장</t>
    <phoneticPr fontId="3" type="noConversion"/>
  </si>
  <si>
    <t>충전임팩렌치 18V 5.0AH 1/2인치 BL모터 200Nm</t>
    <phoneticPr fontId="3" type="noConversion"/>
  </si>
  <si>
    <t>보쉬</t>
    <phoneticPr fontId="3" type="noConversion"/>
  </si>
  <si>
    <t>디월트 - 공구박스</t>
    <phoneticPr fontId="3" type="noConversion"/>
  </si>
  <si>
    <t>디월트</t>
    <phoneticPr fontId="3" type="noConversion"/>
  </si>
  <si>
    <t>TEST JIG</t>
    <phoneticPr fontId="3" type="noConversion"/>
  </si>
  <si>
    <t>CALIBRATION BAR</t>
    <phoneticPr fontId="3" type="noConversion"/>
  </si>
  <si>
    <t>SOFTWARE</t>
    <phoneticPr fontId="3" type="noConversion"/>
  </si>
  <si>
    <t>BACKLASH</t>
    <phoneticPr fontId="3" type="noConversion"/>
  </si>
  <si>
    <t>CS 소프트</t>
    <phoneticPr fontId="3" type="noConversion"/>
  </si>
  <si>
    <t>MOTOR CONTROL</t>
    <phoneticPr fontId="3" type="noConversion"/>
  </si>
  <si>
    <t>DATA BASE</t>
    <phoneticPr fontId="3" type="noConversion"/>
  </si>
  <si>
    <t>매뉴얼</t>
    <phoneticPr fontId="3" type="noConversion"/>
  </si>
  <si>
    <t>한글/영문</t>
    <phoneticPr fontId="3" type="noConversion"/>
  </si>
  <si>
    <t xml:space="preserve">식 </t>
    <phoneticPr fontId="3" type="noConversion"/>
  </si>
  <si>
    <t>성우</t>
    <phoneticPr fontId="3" type="noConversion"/>
  </si>
  <si>
    <t>인도설치</t>
    <phoneticPr fontId="3" type="noConversion"/>
  </si>
  <si>
    <t>6x4</t>
    <phoneticPr fontId="3" type="noConversion"/>
  </si>
  <si>
    <t>비틀림내구시험기</t>
    <phoneticPr fontId="3" type="noConversion"/>
  </si>
  <si>
    <t>MACANICAL UNIT</t>
    <phoneticPr fontId="3" type="noConversion"/>
  </si>
  <si>
    <t>1. MAIN BASE (주물100T)</t>
    <phoneticPr fontId="3" type="noConversion"/>
  </si>
  <si>
    <t>L4000xW1500xH17500mm</t>
    <phoneticPr fontId="3" type="noConversion"/>
  </si>
  <si>
    <t>2. 기계장치</t>
    <phoneticPr fontId="3" type="noConversion"/>
  </si>
  <si>
    <t>200~1400/0~600/±100</t>
    <phoneticPr fontId="3" type="noConversion"/>
  </si>
  <si>
    <r>
      <t>0~60</t>
    </r>
    <r>
      <rPr>
        <sz val="11"/>
        <rFont val="맑은 고딕"/>
        <family val="3"/>
        <charset val="129"/>
      </rPr>
      <t>˚</t>
    </r>
    <phoneticPr fontId="3" type="noConversion"/>
  </si>
  <si>
    <t>3. 이송모터 &amp; 감속기</t>
    <phoneticPr fontId="3" type="noConversion"/>
  </si>
  <si>
    <t>4 PLACE</t>
    <phoneticPr fontId="3" type="noConversion"/>
  </si>
  <si>
    <t>DKM</t>
    <phoneticPr fontId="3" type="noConversion"/>
  </si>
  <si>
    <t>4. 부속품 및 기타</t>
    <phoneticPr fontId="3" type="noConversion"/>
  </si>
  <si>
    <t>HT/SPG</t>
    <phoneticPr fontId="3" type="noConversion"/>
  </si>
  <si>
    <t>5. 안전커버</t>
    <phoneticPr fontId="3" type="noConversion"/>
  </si>
  <si>
    <t>구동 UNIT</t>
    <phoneticPr fontId="3" type="noConversion"/>
  </si>
  <si>
    <t>1. TORQUE MOTOR</t>
    <phoneticPr fontId="3" type="noConversion"/>
  </si>
  <si>
    <t>110KW, 7000N.m</t>
    <phoneticPr fontId="3" type="noConversion"/>
  </si>
  <si>
    <t>SIEMENS</t>
    <phoneticPr fontId="3" type="noConversion"/>
  </si>
  <si>
    <t>2. MOTOR DRIVE</t>
    <phoneticPr fontId="3" type="noConversion"/>
  </si>
  <si>
    <t>5000Nm</t>
    <phoneticPr fontId="3" type="noConversion"/>
  </si>
  <si>
    <t>3. WATER COOLING(CHILLER)</t>
    <phoneticPr fontId="3" type="noConversion"/>
  </si>
  <si>
    <t xml:space="preserve"> 7000Kcal/h</t>
    <phoneticPr fontId="3" type="noConversion"/>
  </si>
  <si>
    <t>포스텍</t>
    <phoneticPr fontId="3" type="noConversion"/>
  </si>
  <si>
    <t>4. TORQUE METER</t>
    <phoneticPr fontId="3" type="noConversion"/>
  </si>
  <si>
    <t>10000Nm</t>
    <phoneticPr fontId="3" type="noConversion"/>
  </si>
  <si>
    <t>HBM</t>
    <phoneticPr fontId="3" type="noConversion"/>
  </si>
  <si>
    <t xml:space="preserve">    - MAGNETIC SCALE-1300/300</t>
    <phoneticPr fontId="3" type="noConversion"/>
  </si>
  <si>
    <t>JENIX</t>
    <phoneticPr fontId="3" type="noConversion"/>
  </si>
  <si>
    <t>5. ANGLE SENSOR</t>
    <phoneticPr fontId="3" type="noConversion"/>
  </si>
  <si>
    <t>3600P</t>
    <phoneticPr fontId="3" type="noConversion"/>
  </si>
  <si>
    <t>OMRON</t>
    <phoneticPr fontId="3" type="noConversion"/>
  </si>
  <si>
    <t>6. 온도 SENSOR</t>
    <phoneticPr fontId="3" type="noConversion"/>
  </si>
  <si>
    <t>0~200˚</t>
    <phoneticPr fontId="3" type="noConversion"/>
  </si>
  <si>
    <t>7. 방진 PAD</t>
    <phoneticPr fontId="3" type="noConversion"/>
  </si>
  <si>
    <t>우진</t>
    <phoneticPr fontId="3" type="noConversion"/>
  </si>
  <si>
    <t>CPU SYSTEM</t>
    <phoneticPr fontId="3" type="noConversion"/>
  </si>
  <si>
    <t>1. PC</t>
    <phoneticPr fontId="3" type="noConversion"/>
  </si>
  <si>
    <t>MONITOR/MS OFFICE</t>
    <phoneticPr fontId="3" type="noConversion"/>
  </si>
  <si>
    <t>2. UPS</t>
    <phoneticPr fontId="3" type="noConversion"/>
  </si>
  <si>
    <t>2KW</t>
    <phoneticPr fontId="3" type="noConversion"/>
  </si>
  <si>
    <t>베어링 그리스 25kG</t>
    <phoneticPr fontId="3" type="noConversion"/>
  </si>
  <si>
    <t>크리버코리아</t>
    <phoneticPr fontId="3" type="noConversion"/>
  </si>
  <si>
    <t>셀비트</t>
    <phoneticPr fontId="3" type="noConversion"/>
  </si>
  <si>
    <t>공구박스</t>
    <phoneticPr fontId="3" type="noConversion"/>
  </si>
  <si>
    <t>지그보관대</t>
    <phoneticPr fontId="3" type="noConversion"/>
  </si>
  <si>
    <t>록키</t>
    <phoneticPr fontId="3" type="noConversion"/>
  </si>
  <si>
    <t xml:space="preserve"> TEST JIG</t>
    <phoneticPr fontId="3" type="noConversion"/>
  </si>
  <si>
    <t xml:space="preserve"> CALIBRATION JIG</t>
    <phoneticPr fontId="3" type="noConversion"/>
  </si>
  <si>
    <t>TORQUE SETUP/STEP</t>
    <phoneticPr fontId="3" type="noConversion"/>
  </si>
  <si>
    <t>ALARM STEP</t>
    <phoneticPr fontId="3" type="noConversion"/>
  </si>
  <si>
    <t>FILE MANAGEMENT</t>
    <phoneticPr fontId="3" type="noConversion"/>
  </si>
  <si>
    <t>CALIBRATION SOFTWARE</t>
    <phoneticPr fontId="3" type="noConversion"/>
  </si>
  <si>
    <t>6x7</t>
    <phoneticPr fontId="3" type="noConversion"/>
  </si>
  <si>
    <t>비틀림 파단시험기</t>
    <phoneticPr fontId="3" type="noConversion"/>
  </si>
  <si>
    <t>1. MAIN BED</t>
    <phoneticPr fontId="3" type="noConversion"/>
  </si>
  <si>
    <t>5000x2700x200mm</t>
    <phoneticPr fontId="3" type="noConversion"/>
  </si>
  <si>
    <t xml:space="preserve">  (주물 100T이상)</t>
    <phoneticPr fontId="3" type="noConversion"/>
  </si>
  <si>
    <t>SYSTEM 장착 가공</t>
    <phoneticPr fontId="3" type="noConversion"/>
  </si>
  <si>
    <t>2. TORQUE측 MOVING</t>
    <phoneticPr fontId="3" type="noConversion"/>
  </si>
  <si>
    <r>
      <t>65</t>
    </r>
    <r>
      <rPr>
        <sz val="11"/>
        <rFont val="맑은 고딕"/>
        <family val="3"/>
        <charset val="129"/>
      </rPr>
      <t>˚</t>
    </r>
    <r>
      <rPr>
        <sz val="11"/>
        <color theme="1"/>
        <rFont val="맑은 고딕"/>
        <family val="2"/>
        <scheme val="minor"/>
      </rPr>
      <t>/500mm</t>
    </r>
    <phoneticPr fontId="3" type="noConversion"/>
  </si>
  <si>
    <t>SPG</t>
    <phoneticPr fontId="3" type="noConversion"/>
  </si>
  <si>
    <t xml:space="preserve">    /SPECIMEN FIXING LENGTH 200~1200mm MOVING</t>
    <phoneticPr fontId="3" type="noConversion"/>
  </si>
  <si>
    <t>3. 부자재</t>
    <phoneticPr fontId="3" type="noConversion"/>
  </si>
  <si>
    <t>1. MOTOR</t>
    <phoneticPr fontId="3" type="noConversion"/>
  </si>
  <si>
    <t xml:space="preserve">  /MAX. TORQUE ±20kN.m</t>
    <phoneticPr fontId="3" type="noConversion"/>
  </si>
  <si>
    <t>2. 감속기</t>
    <phoneticPr fontId="3" type="noConversion"/>
  </si>
  <si>
    <t>BREVINI</t>
    <phoneticPr fontId="3" type="noConversion"/>
  </si>
  <si>
    <t>3. TORQUE TRANSDUCER</t>
    <phoneticPr fontId="3" type="noConversion"/>
  </si>
  <si>
    <t>4. ANGLE SENSOR</t>
    <phoneticPr fontId="3" type="noConversion"/>
  </si>
  <si>
    <t>5. MAGNETIC SCALE</t>
    <phoneticPr fontId="3" type="noConversion"/>
  </si>
  <si>
    <t>동광</t>
    <phoneticPr fontId="3" type="noConversion"/>
  </si>
  <si>
    <t>6.TEMPERATURE SENSOR</t>
    <phoneticPr fontId="3" type="noConversion"/>
  </si>
  <si>
    <t>DATA ACQUISITION</t>
    <phoneticPr fontId="3" type="noConversion"/>
  </si>
  <si>
    <t>1. COMPUTER</t>
    <phoneticPr fontId="3" type="noConversion"/>
  </si>
  <si>
    <t>IPC-610</t>
    <phoneticPr fontId="3" type="noConversion"/>
  </si>
  <si>
    <t xml:space="preserve">   / MS OFFICE</t>
    <phoneticPr fontId="3" type="noConversion"/>
  </si>
  <si>
    <t>2. DIGITAL I/O</t>
    <phoneticPr fontId="3" type="noConversion"/>
  </si>
  <si>
    <t>3. UPS(2KVA)</t>
    <phoneticPr fontId="3" type="noConversion"/>
  </si>
  <si>
    <t>CALIBRATION JIG/TORQUE TRANSDUCER</t>
    <phoneticPr fontId="3" type="noConversion"/>
  </si>
  <si>
    <t>안전COVER</t>
    <phoneticPr fontId="3" type="noConversion"/>
  </si>
  <si>
    <t>2중</t>
    <phoneticPr fontId="3" type="noConversion"/>
  </si>
  <si>
    <t>대성</t>
    <phoneticPr fontId="3" type="noConversion"/>
  </si>
  <si>
    <t>BREAK DATA</t>
    <phoneticPr fontId="3" type="noConversion"/>
  </si>
  <si>
    <t>준정적파단 시험</t>
    <phoneticPr fontId="3" type="noConversion"/>
  </si>
  <si>
    <t>다이나믹 시험</t>
    <phoneticPr fontId="3" type="noConversion"/>
  </si>
  <si>
    <t>정적파단 시험</t>
    <phoneticPr fontId="3" type="noConversion"/>
  </si>
  <si>
    <t>지그 보관대</t>
    <phoneticPr fontId="3" type="noConversion"/>
  </si>
  <si>
    <t>회전 내구 시험기</t>
    <phoneticPr fontId="3" type="noConversion"/>
  </si>
  <si>
    <t>1. MAIN BED(해석포함)</t>
    <phoneticPr fontId="3" type="noConversion"/>
  </si>
  <si>
    <t>L6300xW2100xH2800mm</t>
    <phoneticPr fontId="3" type="noConversion"/>
  </si>
  <si>
    <t>2. 기계장치 구조물</t>
    <phoneticPr fontId="3" type="noConversion"/>
  </si>
  <si>
    <t>Motor&amp;Torque Bed</t>
    <phoneticPr fontId="3" type="noConversion"/>
  </si>
  <si>
    <t>LM, 부자재</t>
    <phoneticPr fontId="3" type="noConversion"/>
  </si>
  <si>
    <t>3. 베이스 이송 유닛</t>
    <phoneticPr fontId="3" type="noConversion"/>
  </si>
  <si>
    <t>Jounce, 기어박스</t>
    <phoneticPr fontId="3" type="noConversion"/>
  </si>
  <si>
    <t>LS</t>
    <phoneticPr fontId="3" type="noConversion"/>
  </si>
  <si>
    <t>4. 안전커버</t>
    <phoneticPr fontId="3" type="noConversion"/>
  </si>
  <si>
    <t>6. AIR BLOWER PART</t>
    <phoneticPr fontId="3" type="noConversion"/>
  </si>
  <si>
    <t>구동장치 및 부하장치</t>
    <phoneticPr fontId="3" type="noConversion"/>
  </si>
  <si>
    <t>1. 구동MOTOR 및 케이블류</t>
    <phoneticPr fontId="3" type="noConversion"/>
  </si>
  <si>
    <t xml:space="preserve">3000RPM  </t>
    <phoneticPr fontId="3" type="noConversion"/>
  </si>
  <si>
    <t xml:space="preserve">2. 토크MOTOR 및 케이블류 </t>
    <phoneticPr fontId="3" type="noConversion"/>
  </si>
  <si>
    <t>3. LOAD HAMONIC</t>
    <phoneticPr fontId="3" type="noConversion"/>
  </si>
  <si>
    <t>HDS</t>
    <phoneticPr fontId="3" type="noConversion"/>
  </si>
  <si>
    <t>냉각장치</t>
    <phoneticPr fontId="3" type="noConversion"/>
  </si>
  <si>
    <t>1. GEAR BOX COOLING PART</t>
    <phoneticPr fontId="3" type="noConversion"/>
  </si>
  <si>
    <t>FLOWFORCE</t>
    <phoneticPr fontId="3" type="noConversion"/>
  </si>
  <si>
    <t>2. BLOWER &amp; INVERTOR</t>
    <phoneticPr fontId="3" type="noConversion"/>
  </si>
  <si>
    <t>5KW</t>
    <phoneticPr fontId="3" type="noConversion"/>
  </si>
  <si>
    <t>INNOTECH</t>
    <phoneticPr fontId="3" type="noConversion"/>
  </si>
  <si>
    <t>SENSOR류</t>
    <phoneticPr fontId="3" type="noConversion"/>
  </si>
  <si>
    <t>1. 2분력계</t>
    <phoneticPr fontId="3" type="noConversion"/>
  </si>
  <si>
    <t>5000NM/10000N</t>
    <phoneticPr fontId="3" type="noConversion"/>
  </si>
  <si>
    <t>DEVELOPMENT</t>
    <phoneticPr fontId="3" type="noConversion"/>
  </si>
  <si>
    <t>2.TEMPERATURE SENSOR</t>
    <phoneticPr fontId="3" type="noConversion"/>
  </si>
  <si>
    <t>3. VIBRATION SENSOR</t>
    <phoneticPr fontId="3" type="noConversion"/>
  </si>
  <si>
    <t>디지털 타코메타</t>
    <phoneticPr fontId="3" type="noConversion"/>
  </si>
  <si>
    <t>yowexa</t>
  </si>
  <si>
    <t>풍량계</t>
    <phoneticPr fontId="3" type="noConversion"/>
  </si>
  <si>
    <t>RIXEN</t>
    <phoneticPr fontId="3" type="noConversion"/>
  </si>
  <si>
    <t>비접촉식 온도계</t>
    <phoneticPr fontId="3" type="noConversion"/>
  </si>
  <si>
    <t>GILTRON</t>
  </si>
  <si>
    <t>기어박스 및 베어링 블록</t>
    <phoneticPr fontId="3" type="noConversion"/>
  </si>
  <si>
    <t>GEAR BOX</t>
    <phoneticPr fontId="3" type="noConversion"/>
  </si>
  <si>
    <t>3000rpm/500kgf.m</t>
    <phoneticPr fontId="3" type="noConversion"/>
  </si>
  <si>
    <t>탑기어</t>
    <phoneticPr fontId="3" type="noConversion"/>
  </si>
  <si>
    <t>BEARING &amp; BLOCK</t>
    <phoneticPr fontId="3" type="noConversion"/>
  </si>
  <si>
    <t>SERVO ACTUATOR</t>
    <phoneticPr fontId="3" type="noConversion"/>
  </si>
  <si>
    <t>±250mm</t>
    <phoneticPr fontId="3" type="noConversion"/>
  </si>
  <si>
    <t>ATG/LS</t>
    <phoneticPr fontId="3" type="noConversion"/>
  </si>
  <si>
    <t>LVDT</t>
    <phoneticPr fontId="3" type="noConversion"/>
  </si>
  <si>
    <t>500mm</t>
    <phoneticPr fontId="3" type="noConversion"/>
  </si>
  <si>
    <t>GEFRAN</t>
    <phoneticPr fontId="3" type="noConversion"/>
  </si>
  <si>
    <t>칠러</t>
    <phoneticPr fontId="3" type="noConversion"/>
  </si>
  <si>
    <t xml:space="preserve">SINE, TRIANGLE </t>
    <phoneticPr fontId="3" type="noConversion"/>
  </si>
  <si>
    <t>CS소프트</t>
    <phoneticPr fontId="3" type="noConversion"/>
  </si>
  <si>
    <t>SQUARE TEST</t>
    <phoneticPr fontId="3" type="noConversion"/>
  </si>
  <si>
    <t>ENDURANCE TEST</t>
    <phoneticPr fontId="3" type="noConversion"/>
  </si>
  <si>
    <t>ANGLE SETUP/STEP</t>
    <phoneticPr fontId="3" type="noConversion"/>
  </si>
  <si>
    <t>OPERATION PROGRAM(DATA BASE)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</si>
</sst>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#,##0_ "/>
    <numFmt numFmtId="177" formatCode="&quot;3. 산업안전관리비&quot;\ #,##0_ &quot;원 포함&quot;"/>
    <numFmt numFmtId="178" formatCode="&quot;3.산업안전관리비&quot;\ #,##0_ &quot;원 포함&quot;"/>
    <numFmt numFmtId="179" formatCode="#,##0_);[Red]\(#,##0\)"/>
    <numFmt numFmtId="180" formatCode="General&quot;상세견적&quot;"/>
    <numFmt numFmtId="181" formatCode="0.0\K\G"/>
    <numFmt numFmtId="182" formatCode="0_);[Red]\(0\)"/>
    <numFmt numFmtId="183" formatCode="#,##0.0_ "/>
    <numFmt numFmtId="184" formatCode="0.0_);[Red]\(0.0\)"/>
    <numFmt numFmtId="185" formatCode="#,##0;[Red]#,##0"/>
  </numFmts>
  <fonts count="37">
    <font>
      <sz val="11"/>
      <color theme="1"/>
      <name val="맑은 고딕"/>
      <family val="2"/>
      <scheme val="minor"/>
    </font>
    <font>
      <sz val="11"/>
      <name val="굴림"/>
      <family val="3"/>
      <charset val="129"/>
    </font>
    <font>
      <sz val="8"/>
      <name val="맑은 고딕"/>
      <family val="3"/>
      <charset val="129"/>
      <scheme val="minor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/>
      <sz val="11"/>
      <name val="굴림"/>
      <family val="3"/>
      <charset val="129"/>
    </font>
    <font>
      <sz val="11"/>
      <color indexed="8"/>
      <name val="굴림"/>
      <family val="3"/>
      <charset val="129"/>
    </font>
    <font>
      <sz val="8"/>
      <color indexed="8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name val="HY헤드라인M"/>
      <family val="1"/>
      <charset val="129"/>
    </font>
    <font>
      <sz val="11"/>
      <name val="휴먼태각진그래픽"/>
      <family val="1"/>
      <charset val="129"/>
    </font>
    <font>
      <sz val="11"/>
      <name val="맑은 고딕"/>
      <family val="3"/>
      <charset val="129"/>
    </font>
    <font>
      <sz val="11"/>
      <name val="새굴림"/>
      <family val="1"/>
      <charset val="129"/>
    </font>
    <font>
      <sz val="14"/>
      <name val="HY헤드라인M"/>
      <family val="1"/>
      <charset val="129"/>
    </font>
    <font>
      <sz val="9.35"/>
      <name val="굴림"/>
      <family val="3"/>
      <charset val="129"/>
    </font>
    <font>
      <sz val="9.35"/>
      <name val="맑은 고딕"/>
      <family val="3"/>
      <charset val="129"/>
    </font>
    <font>
      <sz val="7.95"/>
      <name val="굴림"/>
      <family val="3"/>
      <charset val="129"/>
    </font>
    <font>
      <sz val="10"/>
      <color rgb="FF00000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1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</cellStyleXfs>
  <cellXfs count="485">
    <xf numFmtId="0" fontId="0" fillId="0" borderId="0" xfId="0"/>
    <xf numFmtId="0" fontId="6" fillId="0" borderId="0" xfId="1" applyFont="1" applyAlignment="1">
      <alignment vertical="center"/>
    </xf>
    <xf numFmtId="0" fontId="5" fillId="2" borderId="1" xfId="1" applyFont="1" applyFill="1" applyBorder="1" applyAlignment="1">
      <alignment horizontal="left" vertical="center"/>
    </xf>
    <xf numFmtId="0" fontId="7" fillId="2" borderId="2" xfId="1" applyFont="1" applyFill="1" applyBorder="1" applyAlignment="1">
      <alignment horizontal="left" vertical="center"/>
    </xf>
    <xf numFmtId="0" fontId="6" fillId="2" borderId="3" xfId="1" applyFont="1" applyFill="1" applyBorder="1" applyAlignment="1">
      <alignment vertical="center"/>
    </xf>
    <xf numFmtId="14" fontId="1" fillId="2" borderId="6" xfId="1" applyNumberFormat="1" applyFill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1" fillId="2" borderId="7" xfId="1" applyFill="1" applyBorder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0" fontId="6" fillId="2" borderId="8" xfId="1" applyFont="1" applyFill="1" applyBorder="1" applyAlignment="1">
      <alignment horizontal="left" vertical="center"/>
    </xf>
    <xf numFmtId="0" fontId="1" fillId="2" borderId="6" xfId="1" applyFill="1" applyBorder="1" applyAlignment="1">
      <alignment horizontal="left" vertical="center"/>
    </xf>
    <xf numFmtId="0" fontId="1" fillId="2" borderId="0" xfId="1" applyFill="1" applyAlignment="1">
      <alignment horizontal="left" vertical="center"/>
    </xf>
    <xf numFmtId="0" fontId="1" fillId="2" borderId="8" xfId="1" applyFill="1" applyBorder="1" applyAlignment="1">
      <alignment horizontal="left" vertical="center"/>
    </xf>
    <xf numFmtId="0" fontId="1" fillId="0" borderId="4" xfId="1" applyBorder="1" applyAlignment="1">
      <alignment horizontal="center" vertical="center"/>
    </xf>
    <xf numFmtId="0" fontId="1" fillId="2" borderId="7" xfId="1" applyFill="1" applyBorder="1" applyAlignment="1">
      <alignment vertical="center"/>
    </xf>
    <xf numFmtId="0" fontId="8" fillId="2" borderId="7" xfId="1" applyFont="1" applyFill="1" applyBorder="1" applyAlignment="1">
      <alignment horizontal="right" vertical="center"/>
    </xf>
    <xf numFmtId="0" fontId="9" fillId="2" borderId="0" xfId="1" applyFont="1" applyFill="1" applyAlignment="1">
      <alignment vertical="center"/>
    </xf>
    <xf numFmtId="0" fontId="8" fillId="2" borderId="8" xfId="1" applyFont="1" applyFill="1" applyBorder="1" applyAlignment="1">
      <alignment horizontal="left" vertical="center"/>
    </xf>
    <xf numFmtId="0" fontId="8" fillId="2" borderId="9" xfId="1" applyFont="1" applyFill="1" applyBorder="1" applyAlignment="1">
      <alignment horizontal="right" vertical="center"/>
    </xf>
    <xf numFmtId="0" fontId="9" fillId="2" borderId="10" xfId="1" applyFont="1" applyFill="1" applyBorder="1" applyAlignment="1">
      <alignment vertical="center"/>
    </xf>
    <xf numFmtId="0" fontId="8" fillId="2" borderId="11" xfId="1" applyFont="1" applyFill="1" applyBorder="1" applyAlignment="1">
      <alignment horizontal="left" vertical="center"/>
    </xf>
    <xf numFmtId="0" fontId="10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12" fillId="0" borderId="0" xfId="1" applyFont="1" applyAlignment="1">
      <alignment horizontal="left" vertical="center"/>
    </xf>
    <xf numFmtId="0" fontId="1" fillId="0" borderId="0" xfId="1" applyAlignment="1">
      <alignment vertical="center"/>
    </xf>
    <xf numFmtId="0" fontId="6" fillId="3" borderId="0" xfId="1" applyFont="1" applyFill="1" applyAlignment="1">
      <alignment vertical="center"/>
    </xf>
    <xf numFmtId="0" fontId="1" fillId="0" borderId="0" xfId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19" xfId="1" applyBorder="1" applyAlignment="1">
      <alignment horizontal="center" vertical="center" wrapText="1"/>
    </xf>
    <xf numFmtId="0" fontId="1" fillId="0" borderId="17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176" fontId="1" fillId="0" borderId="23" xfId="1" applyNumberFormat="1" applyBorder="1" applyAlignment="1">
      <alignment horizontal="center" vertical="center"/>
    </xf>
    <xf numFmtId="176" fontId="1" fillId="0" borderId="24" xfId="1" applyNumberFormat="1" applyBorder="1" applyAlignment="1">
      <alignment horizontal="right" vertical="center"/>
    </xf>
    <xf numFmtId="176" fontId="1" fillId="0" borderId="25" xfId="1" applyNumberFormat="1" applyBorder="1" applyAlignment="1">
      <alignment horizontal="right" vertical="center"/>
    </xf>
    <xf numFmtId="0" fontId="1" fillId="0" borderId="26" xfId="1" applyBorder="1" applyAlignment="1">
      <alignment horizontal="center" vertical="center"/>
    </xf>
    <xf numFmtId="176" fontId="1" fillId="0" borderId="29" xfId="1" applyNumberFormat="1" applyBorder="1" applyAlignment="1">
      <alignment horizontal="center" vertical="center"/>
    </xf>
    <xf numFmtId="176" fontId="1" fillId="0" borderId="6" xfId="1" applyNumberFormat="1" applyBorder="1" applyAlignment="1">
      <alignment horizontal="right" vertical="center"/>
    </xf>
    <xf numFmtId="176" fontId="1" fillId="0" borderId="30" xfId="1" applyNumberFormat="1" applyBorder="1" applyAlignment="1">
      <alignment horizontal="right" vertical="center"/>
    </xf>
    <xf numFmtId="0" fontId="1" fillId="0" borderId="26" xfId="1" applyBorder="1" applyAlignment="1">
      <alignment vertical="center"/>
    </xf>
    <xf numFmtId="0" fontId="1" fillId="0" borderId="27" xfId="1" applyBorder="1" applyAlignment="1">
      <alignment horizontal="center" vertical="center"/>
    </xf>
    <xf numFmtId="0" fontId="1" fillId="0" borderId="31" xfId="1" applyBorder="1" applyAlignment="1">
      <alignment horizontal="center" vertical="center"/>
    </xf>
    <xf numFmtId="0" fontId="1" fillId="0" borderId="33" xfId="1" applyBorder="1" applyAlignment="1">
      <alignment vertical="center"/>
    </xf>
    <xf numFmtId="176" fontId="1" fillId="0" borderId="37" xfId="1" applyNumberFormat="1" applyBorder="1" applyAlignment="1">
      <alignment vertical="center"/>
    </xf>
    <xf numFmtId="176" fontId="1" fillId="0" borderId="38" xfId="1" applyNumberFormat="1" applyBorder="1" applyAlignment="1">
      <alignment vertical="center"/>
    </xf>
    <xf numFmtId="176" fontId="16" fillId="4" borderId="36" xfId="1" applyNumberFormat="1" applyFont="1" applyFill="1" applyBorder="1" applyAlignment="1">
      <alignment vertical="center"/>
    </xf>
    <xf numFmtId="0" fontId="1" fillId="0" borderId="12" xfId="1" applyBorder="1" applyAlignment="1">
      <alignment vertical="center"/>
    </xf>
    <xf numFmtId="176" fontId="1" fillId="0" borderId="0" xfId="1" applyNumberFormat="1" applyAlignment="1">
      <alignment horizontal="center" vertical="center"/>
    </xf>
    <xf numFmtId="176" fontId="1" fillId="0" borderId="0" xfId="1" applyNumberFormat="1" applyAlignment="1">
      <alignment vertical="center"/>
    </xf>
    <xf numFmtId="176" fontId="1" fillId="0" borderId="12" xfId="1" applyNumberFormat="1" applyBorder="1" applyAlignment="1">
      <alignment vertical="center"/>
    </xf>
    <xf numFmtId="0" fontId="1" fillId="0" borderId="21" xfId="1" applyBorder="1" applyAlignment="1">
      <alignment horizontal="center" vertical="center"/>
    </xf>
    <xf numFmtId="3" fontId="1" fillId="0" borderId="0" xfId="1" applyNumberFormat="1" applyAlignment="1">
      <alignment vertical="center"/>
    </xf>
    <xf numFmtId="3" fontId="1" fillId="0" borderId="0" xfId="1" applyNumberFormat="1" applyAlignment="1">
      <alignment horizontal="center" vertical="center"/>
    </xf>
    <xf numFmtId="179" fontId="1" fillId="0" borderId="0" xfId="1" applyNumberFormat="1" applyAlignment="1">
      <alignment horizontal="center" vertical="center"/>
    </xf>
    <xf numFmtId="179" fontId="1" fillId="0" borderId="0" xfId="1" applyNumberFormat="1" applyAlignment="1">
      <alignment vertical="center"/>
    </xf>
    <xf numFmtId="4" fontId="1" fillId="0" borderId="0" xfId="1" applyNumberFormat="1" applyAlignment="1">
      <alignment vertical="center"/>
    </xf>
    <xf numFmtId="3" fontId="18" fillId="0" borderId="0" xfId="1" applyNumberFormat="1" applyFont="1" applyAlignment="1">
      <alignment vertical="center"/>
    </xf>
    <xf numFmtId="3" fontId="19" fillId="0" borderId="0" xfId="1" applyNumberFormat="1" applyFont="1" applyAlignment="1">
      <alignment vertical="center"/>
    </xf>
    <xf numFmtId="3" fontId="21" fillId="0" borderId="0" xfId="1" applyNumberFormat="1" applyFont="1" applyAlignment="1">
      <alignment vertical="center"/>
    </xf>
    <xf numFmtId="3" fontId="21" fillId="0" borderId="0" xfId="1" applyNumberFormat="1" applyFont="1" applyAlignment="1">
      <alignment horizontal="center" vertical="center"/>
    </xf>
    <xf numFmtId="179" fontId="21" fillId="0" borderId="0" xfId="1" applyNumberFormat="1" applyFont="1" applyAlignment="1">
      <alignment horizontal="center" vertical="center"/>
    </xf>
    <xf numFmtId="179" fontId="21" fillId="0" borderId="0" xfId="1" applyNumberFormat="1" applyFont="1" applyAlignment="1">
      <alignment vertical="center"/>
    </xf>
    <xf numFmtId="4" fontId="22" fillId="0" borderId="0" xfId="1" applyNumberFormat="1" applyFont="1" applyAlignment="1">
      <alignment vertical="center"/>
    </xf>
    <xf numFmtId="3" fontId="22" fillId="0" borderId="0" xfId="1" applyNumberFormat="1" applyFont="1" applyAlignment="1">
      <alignment vertical="center"/>
    </xf>
    <xf numFmtId="3" fontId="11" fillId="0" borderId="0" xfId="1" applyNumberFormat="1" applyFont="1" applyAlignment="1">
      <alignment vertical="center"/>
    </xf>
    <xf numFmtId="3" fontId="6" fillId="0" borderId="0" xfId="1" applyNumberFormat="1" applyFont="1" applyAlignment="1">
      <alignment vertical="center"/>
    </xf>
    <xf numFmtId="179" fontId="1" fillId="0" borderId="53" xfId="1" applyNumberFormat="1" applyBorder="1" applyAlignment="1">
      <alignment horizontal="center" vertical="center"/>
    </xf>
    <xf numFmtId="3" fontId="1" fillId="0" borderId="54" xfId="1" applyNumberFormat="1" applyBorder="1" applyAlignment="1">
      <alignment horizontal="center" vertical="center"/>
    </xf>
    <xf numFmtId="4" fontId="1" fillId="0" borderId="0" xfId="1" applyNumberFormat="1" applyAlignment="1">
      <alignment horizontal="center" vertical="center"/>
    </xf>
    <xf numFmtId="3" fontId="1" fillId="0" borderId="55" xfId="1" applyNumberFormat="1" applyBorder="1" applyAlignment="1">
      <alignment horizontal="center" vertical="center"/>
    </xf>
    <xf numFmtId="3" fontId="1" fillId="0" borderId="59" xfId="1" applyNumberFormat="1" applyBorder="1" applyAlignment="1">
      <alignment horizontal="center" vertical="center"/>
    </xf>
    <xf numFmtId="179" fontId="1" fillId="0" borderId="59" xfId="1" applyNumberFormat="1" applyBorder="1" applyAlignment="1">
      <alignment horizontal="center" vertical="center"/>
    </xf>
    <xf numFmtId="3" fontId="1" fillId="0" borderId="60" xfId="1" applyNumberFormat="1" applyBorder="1" applyAlignment="1">
      <alignment horizontal="center" vertical="center"/>
    </xf>
    <xf numFmtId="3" fontId="17" fillId="0" borderId="62" xfId="1" applyNumberFormat="1" applyFont="1" applyBorder="1" applyAlignment="1">
      <alignment horizontal="center" vertical="center"/>
    </xf>
    <xf numFmtId="179" fontId="1" fillId="0" borderId="62" xfId="1" applyNumberFormat="1" applyBorder="1" applyAlignment="1">
      <alignment horizontal="right" vertical="center"/>
    </xf>
    <xf numFmtId="179" fontId="1" fillId="0" borderId="62" xfId="1" applyNumberFormat="1" applyBorder="1" applyAlignment="1">
      <alignment vertical="center"/>
    </xf>
    <xf numFmtId="3" fontId="1" fillId="0" borderId="63" xfId="1" applyNumberFormat="1" applyBorder="1" applyAlignment="1">
      <alignment vertical="center"/>
    </xf>
    <xf numFmtId="3" fontId="17" fillId="0" borderId="6" xfId="1" applyNumberFormat="1" applyFont="1" applyBorder="1" applyAlignment="1">
      <alignment horizontal="center" vertical="center"/>
    </xf>
    <xf numFmtId="179" fontId="1" fillId="0" borderId="6" xfId="2" applyNumberFormat="1" applyFont="1" applyFill="1" applyBorder="1" applyAlignment="1">
      <alignment horizontal="right" vertical="center"/>
    </xf>
    <xf numFmtId="179" fontId="1" fillId="0" borderId="6" xfId="1" applyNumberFormat="1" applyBorder="1" applyAlignment="1">
      <alignment vertical="center"/>
    </xf>
    <xf numFmtId="3" fontId="1" fillId="0" borderId="30" xfId="1" applyNumberFormat="1" applyBorder="1" applyAlignment="1">
      <alignment vertical="center"/>
    </xf>
    <xf numFmtId="179" fontId="1" fillId="0" borderId="6" xfId="1" applyNumberFormat="1" applyBorder="1" applyAlignment="1">
      <alignment horizontal="right" vertical="center"/>
    </xf>
    <xf numFmtId="3" fontId="1" fillId="5" borderId="6" xfId="1" applyNumberFormat="1" applyFill="1" applyBorder="1" applyAlignment="1">
      <alignment horizontal="center" vertical="center"/>
    </xf>
    <xf numFmtId="3" fontId="17" fillId="5" borderId="6" xfId="1" applyNumberFormat="1" applyFont="1" applyFill="1" applyBorder="1" applyAlignment="1">
      <alignment horizontal="center" vertical="center"/>
    </xf>
    <xf numFmtId="179" fontId="1" fillId="5" borderId="6" xfId="1" applyNumberFormat="1" applyFill="1" applyBorder="1" applyAlignment="1">
      <alignment horizontal="right" vertical="center"/>
    </xf>
    <xf numFmtId="179" fontId="1" fillId="5" borderId="6" xfId="1" applyNumberFormat="1" applyFill="1" applyBorder="1" applyAlignment="1">
      <alignment vertical="center"/>
    </xf>
    <xf numFmtId="3" fontId="1" fillId="0" borderId="64" xfId="1" applyNumberFormat="1" applyBorder="1" applyAlignment="1">
      <alignment horizontal="center" vertical="center"/>
    </xf>
    <xf numFmtId="179" fontId="6" fillId="0" borderId="6" xfId="1" applyNumberFormat="1" applyFont="1" applyBorder="1" applyAlignment="1">
      <alignment vertical="center"/>
    </xf>
    <xf numFmtId="3" fontId="1" fillId="0" borderId="4" xfId="1" applyNumberFormat="1" applyBorder="1" applyAlignment="1">
      <alignment horizontal="left" vertical="center"/>
    </xf>
    <xf numFmtId="3" fontId="1" fillId="0" borderId="3" xfId="1" applyNumberFormat="1" applyBorder="1" applyAlignment="1">
      <alignment horizontal="center" vertical="center"/>
    </xf>
    <xf numFmtId="179" fontId="6" fillId="0" borderId="19" xfId="1" applyNumberFormat="1" applyFont="1" applyBorder="1" applyAlignment="1">
      <alignment vertical="center"/>
    </xf>
    <xf numFmtId="3" fontId="1" fillId="0" borderId="65" xfId="1" applyNumberFormat="1" applyBorder="1" applyAlignment="1">
      <alignment vertical="center"/>
    </xf>
    <xf numFmtId="3" fontId="1" fillId="0" borderId="48" xfId="1" applyNumberFormat="1" applyBorder="1" applyAlignment="1">
      <alignment horizontal="center" vertical="center"/>
    </xf>
    <xf numFmtId="3" fontId="1" fillId="0" borderId="68" xfId="1" applyNumberFormat="1" applyBorder="1" applyAlignment="1">
      <alignment horizontal="center" vertical="center"/>
    </xf>
    <xf numFmtId="179" fontId="6" fillId="0" borderId="32" xfId="1" applyNumberFormat="1" applyFont="1" applyBorder="1" applyAlignment="1">
      <alignment vertical="center"/>
    </xf>
    <xf numFmtId="3" fontId="1" fillId="0" borderId="69" xfId="1" applyNumberFormat="1" applyBorder="1" applyAlignment="1">
      <alignment vertical="center"/>
    </xf>
    <xf numFmtId="3" fontId="1" fillId="0" borderId="50" xfId="1" applyNumberFormat="1" applyBorder="1" applyAlignment="1">
      <alignment horizontal="center" vertical="center"/>
    </xf>
    <xf numFmtId="3" fontId="1" fillId="0" borderId="53" xfId="1" applyNumberFormat="1" applyBorder="1" applyAlignment="1">
      <alignment horizontal="center" vertical="center"/>
    </xf>
    <xf numFmtId="3" fontId="1" fillId="0" borderId="24" xfId="1" applyNumberFormat="1" applyBorder="1" applyAlignment="1">
      <alignment horizontal="center" vertical="center"/>
    </xf>
    <xf numFmtId="3" fontId="17" fillId="0" borderId="24" xfId="1" applyNumberFormat="1" applyFont="1" applyBorder="1" applyAlignment="1">
      <alignment horizontal="center" vertical="center"/>
    </xf>
    <xf numFmtId="179" fontId="1" fillId="0" borderId="24" xfId="1" applyNumberFormat="1" applyBorder="1" applyAlignment="1">
      <alignment vertical="center"/>
    </xf>
    <xf numFmtId="3" fontId="1" fillId="0" borderId="25" xfId="1" applyNumberFormat="1" applyBorder="1" applyAlignment="1">
      <alignment vertical="center"/>
    </xf>
    <xf numFmtId="3" fontId="1" fillId="0" borderId="62" xfId="1" applyNumberFormat="1" applyBorder="1" applyAlignment="1">
      <alignment horizontal="center" vertical="center"/>
    </xf>
    <xf numFmtId="3" fontId="17" fillId="5" borderId="62" xfId="1" applyNumberFormat="1" applyFont="1" applyFill="1" applyBorder="1" applyAlignment="1">
      <alignment horizontal="center" vertical="center"/>
    </xf>
    <xf numFmtId="179" fontId="1" fillId="5" borderId="62" xfId="1" applyNumberFormat="1" applyFill="1" applyBorder="1" applyAlignment="1">
      <alignment vertical="center"/>
    </xf>
    <xf numFmtId="179" fontId="6" fillId="0" borderId="24" xfId="1" applyNumberFormat="1" applyFont="1" applyBorder="1" applyAlignment="1">
      <alignment vertical="center"/>
    </xf>
    <xf numFmtId="179" fontId="6" fillId="0" borderId="76" xfId="1" applyNumberFormat="1" applyFont="1" applyBorder="1" applyAlignment="1">
      <alignment vertical="center"/>
    </xf>
    <xf numFmtId="3" fontId="1" fillId="0" borderId="77" xfId="1" applyNumberFormat="1" applyBorder="1" applyAlignment="1">
      <alignment vertical="center"/>
    </xf>
    <xf numFmtId="3" fontId="1" fillId="0" borderId="78" xfId="1" applyNumberFormat="1" applyBorder="1" applyAlignment="1">
      <alignment horizontal="center" vertical="center"/>
    </xf>
    <xf numFmtId="179" fontId="6" fillId="4" borderId="82" xfId="1" applyNumberFormat="1" applyFont="1" applyFill="1" applyBorder="1" applyAlignment="1">
      <alignment vertical="center"/>
    </xf>
    <xf numFmtId="3" fontId="1" fillId="0" borderId="83" xfId="1" applyNumberFormat="1" applyBorder="1" applyAlignment="1">
      <alignment vertical="center"/>
    </xf>
    <xf numFmtId="3" fontId="1" fillId="0" borderId="29" xfId="1" applyNumberFormat="1" applyBorder="1" applyAlignment="1">
      <alignment horizontal="center" vertical="center"/>
    </xf>
    <xf numFmtId="179" fontId="6" fillId="0" borderId="62" xfId="1" applyNumberFormat="1" applyFont="1" applyBorder="1" applyAlignment="1">
      <alignment vertical="center"/>
    </xf>
    <xf numFmtId="3" fontId="17" fillId="5" borderId="30" xfId="1" applyNumberFormat="1" applyFont="1" applyFill="1" applyBorder="1" applyAlignment="1">
      <alignment vertical="center" wrapText="1"/>
    </xf>
    <xf numFmtId="10" fontId="1" fillId="0" borderId="0" xfId="2" applyNumberFormat="1" applyFont="1" applyFill="1" applyAlignment="1">
      <alignment vertical="center"/>
    </xf>
    <xf numFmtId="3" fontId="1" fillId="0" borderId="18" xfId="1" applyNumberFormat="1" applyBorder="1" applyAlignment="1">
      <alignment horizontal="center" vertical="center"/>
    </xf>
    <xf numFmtId="3" fontId="1" fillId="0" borderId="84" xfId="1" applyNumberFormat="1" applyBorder="1" applyAlignment="1">
      <alignment horizontal="left" vertical="center"/>
    </xf>
    <xf numFmtId="179" fontId="6" fillId="0" borderId="86" xfId="1" applyNumberFormat="1" applyFont="1" applyBorder="1" applyAlignment="1">
      <alignment vertical="center"/>
    </xf>
    <xf numFmtId="3" fontId="1" fillId="0" borderId="88" xfId="1" applyNumberFormat="1" applyBorder="1" applyAlignment="1">
      <alignment vertical="center"/>
    </xf>
    <xf numFmtId="179" fontId="1" fillId="0" borderId="6" xfId="1" applyNumberFormat="1" applyBorder="1" applyAlignment="1">
      <alignment horizontal="center" vertical="center"/>
    </xf>
    <xf numFmtId="4" fontId="1" fillId="0" borderId="6" xfId="1" applyNumberFormat="1" applyBorder="1" applyAlignment="1">
      <alignment horizontal="center" vertical="center"/>
    </xf>
    <xf numFmtId="3" fontId="1" fillId="0" borderId="6" xfId="1" applyNumberFormat="1" applyBorder="1" applyAlignment="1">
      <alignment horizontal="center" vertical="center"/>
    </xf>
    <xf numFmtId="3" fontId="1" fillId="0" borderId="6" xfId="1" applyNumberFormat="1" applyBorder="1" applyAlignment="1">
      <alignment vertical="center"/>
    </xf>
    <xf numFmtId="3" fontId="1" fillId="5" borderId="6" xfId="1" applyNumberFormat="1" applyFill="1" applyBorder="1" applyAlignment="1">
      <alignment vertical="center"/>
    </xf>
    <xf numFmtId="179" fontId="1" fillId="0" borderId="0" xfId="1" applyNumberFormat="1" applyAlignment="1">
      <alignment horizontal="left" vertical="center"/>
    </xf>
    <xf numFmtId="0" fontId="1" fillId="0" borderId="15" xfId="1" applyBorder="1" applyAlignment="1">
      <alignment horizontal="center" vertical="center"/>
    </xf>
    <xf numFmtId="0" fontId="1" fillId="0" borderId="53" xfId="1" applyBorder="1" applyAlignment="1">
      <alignment horizontal="center" vertical="center"/>
    </xf>
    <xf numFmtId="0" fontId="1" fillId="0" borderId="89" xfId="1" applyBorder="1" applyAlignment="1">
      <alignment horizontal="center" vertical="center"/>
    </xf>
    <xf numFmtId="0" fontId="1" fillId="0" borderId="90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24" fillId="0" borderId="50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4" xfId="1" applyFont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70" xfId="1" applyBorder="1" applyAlignment="1">
      <alignment horizontal="center" vertical="center"/>
    </xf>
    <xf numFmtId="0" fontId="1" fillId="0" borderId="91" xfId="1" applyBorder="1" applyAlignment="1">
      <alignment horizontal="center" vertical="center"/>
    </xf>
    <xf numFmtId="0" fontId="1" fillId="0" borderId="92" xfId="1" applyBorder="1" applyAlignment="1">
      <alignment horizontal="center" vertical="center"/>
    </xf>
    <xf numFmtId="0" fontId="1" fillId="0" borderId="93" xfId="1" applyBorder="1" applyAlignment="1">
      <alignment horizontal="center" vertical="center"/>
    </xf>
    <xf numFmtId="0" fontId="24" fillId="0" borderId="55" xfId="1" applyFont="1" applyBorder="1" applyAlignment="1">
      <alignment horizontal="center" vertical="center"/>
    </xf>
    <xf numFmtId="0" fontId="24" fillId="0" borderId="59" xfId="1" applyFont="1" applyBorder="1" applyAlignment="1">
      <alignment horizontal="center" vertical="center"/>
    </xf>
    <xf numFmtId="0" fontId="24" fillId="0" borderId="60" xfId="1" applyFont="1" applyBorder="1" applyAlignment="1">
      <alignment horizontal="center" vertical="center"/>
    </xf>
    <xf numFmtId="0" fontId="1" fillId="0" borderId="58" xfId="1" applyBorder="1" applyAlignment="1">
      <alignment horizontal="center" vertical="center"/>
    </xf>
    <xf numFmtId="0" fontId="1" fillId="0" borderId="59" xfId="1" applyBorder="1" applyAlignment="1">
      <alignment horizontal="center" vertical="center"/>
    </xf>
    <xf numFmtId="0" fontId="1" fillId="0" borderId="94" xfId="1" applyBorder="1" applyAlignment="1">
      <alignment horizontal="center" vertical="center"/>
    </xf>
    <xf numFmtId="0" fontId="1" fillId="0" borderId="95" xfId="1" applyBorder="1" applyAlignment="1">
      <alignment horizontal="center" vertical="center"/>
    </xf>
    <xf numFmtId="0" fontId="1" fillId="0" borderId="96" xfId="1" applyBorder="1" applyAlignment="1">
      <alignment horizontal="center" vertical="center"/>
    </xf>
    <xf numFmtId="176" fontId="1" fillId="0" borderId="97" xfId="1" applyNumberFormat="1" applyBorder="1" applyAlignment="1">
      <alignment horizontal="center" vertical="center"/>
    </xf>
    <xf numFmtId="176" fontId="1" fillId="0" borderId="97" xfId="1" applyNumberFormat="1" applyBorder="1" applyAlignment="1">
      <alignment horizontal="left" vertical="center"/>
    </xf>
    <xf numFmtId="176" fontId="24" fillId="0" borderId="98" xfId="1" applyNumberFormat="1" applyFont="1" applyBorder="1" applyAlignment="1">
      <alignment vertical="center"/>
    </xf>
    <xf numFmtId="176" fontId="24" fillId="0" borderId="99" xfId="1" applyNumberFormat="1" applyFont="1" applyBorder="1" applyAlignment="1">
      <alignment vertical="center"/>
    </xf>
    <xf numFmtId="176" fontId="24" fillId="0" borderId="100" xfId="1" applyNumberFormat="1" applyFont="1" applyBorder="1" applyAlignment="1">
      <alignment vertical="center"/>
    </xf>
    <xf numFmtId="176" fontId="1" fillId="0" borderId="101" xfId="1" applyNumberFormat="1" applyBorder="1" applyAlignment="1">
      <alignment vertical="center"/>
    </xf>
    <xf numFmtId="176" fontId="1" fillId="0" borderId="99" xfId="1" applyNumberFormat="1" applyBorder="1" applyAlignment="1">
      <alignment vertical="center"/>
    </xf>
    <xf numFmtId="176" fontId="1" fillId="0" borderId="102" xfId="1" applyNumberFormat="1" applyBorder="1" applyAlignment="1">
      <alignment vertical="center"/>
    </xf>
    <xf numFmtId="176" fontId="1" fillId="0" borderId="103" xfId="1" applyNumberFormat="1" applyBorder="1" applyAlignment="1">
      <alignment vertical="center"/>
    </xf>
    <xf numFmtId="176" fontId="1" fillId="0" borderId="104" xfId="1" applyNumberFormat="1" applyBorder="1" applyAlignment="1">
      <alignment vertical="center"/>
    </xf>
    <xf numFmtId="176" fontId="1" fillId="0" borderId="26" xfId="1" applyNumberFormat="1" applyBorder="1" applyAlignment="1">
      <alignment horizontal="center" vertical="center"/>
    </xf>
    <xf numFmtId="176" fontId="1" fillId="0" borderId="26" xfId="1" applyNumberFormat="1" applyBorder="1" applyAlignment="1">
      <alignment horizontal="left" vertical="center"/>
    </xf>
    <xf numFmtId="176" fontId="24" fillId="0" borderId="29" xfId="1" applyNumberFormat="1" applyFont="1" applyBorder="1" applyAlignment="1">
      <alignment vertical="center"/>
    </xf>
    <xf numFmtId="176" fontId="24" fillId="0" borderId="6" xfId="1" applyNumberFormat="1" applyFont="1" applyBorder="1" applyAlignment="1">
      <alignment vertical="center"/>
    </xf>
    <xf numFmtId="176" fontId="24" fillId="0" borderId="30" xfId="1" applyNumberFormat="1" applyFont="1" applyBorder="1" applyAlignment="1">
      <alignment vertical="center"/>
    </xf>
    <xf numFmtId="176" fontId="1" fillId="0" borderId="64" xfId="1" applyNumberFormat="1" applyBorder="1" applyAlignment="1">
      <alignment vertical="center"/>
    </xf>
    <xf numFmtId="176" fontId="1" fillId="0" borderId="6" xfId="1" applyNumberFormat="1" applyBorder="1" applyAlignment="1">
      <alignment vertical="center"/>
    </xf>
    <xf numFmtId="176" fontId="1" fillId="0" borderId="105" xfId="1" applyNumberFormat="1" applyBorder="1" applyAlignment="1">
      <alignment vertical="center"/>
    </xf>
    <xf numFmtId="176" fontId="1" fillId="0" borderId="106" xfId="1" applyNumberFormat="1" applyBorder="1" applyAlignment="1">
      <alignment vertical="center"/>
    </xf>
    <xf numFmtId="176" fontId="1" fillId="0" borderId="28" xfId="1" applyNumberFormat="1" applyBorder="1" applyAlignment="1">
      <alignment vertical="center"/>
    </xf>
    <xf numFmtId="176" fontId="1" fillId="0" borderId="33" xfId="1" applyNumberFormat="1" applyBorder="1" applyAlignment="1">
      <alignment horizontal="center" vertical="center"/>
    </xf>
    <xf numFmtId="176" fontId="1" fillId="0" borderId="33" xfId="1" applyNumberFormat="1" applyBorder="1" applyAlignment="1">
      <alignment horizontal="left" vertical="center"/>
    </xf>
    <xf numFmtId="176" fontId="24" fillId="0" borderId="107" xfId="1" applyNumberFormat="1" applyFont="1" applyBorder="1" applyAlignment="1">
      <alignment vertical="center"/>
    </xf>
    <xf numFmtId="176" fontId="24" fillId="0" borderId="32" xfId="1" applyNumberFormat="1" applyFont="1" applyBorder="1" applyAlignment="1">
      <alignment vertical="center"/>
    </xf>
    <xf numFmtId="176" fontId="24" fillId="0" borderId="69" xfId="1" applyNumberFormat="1" applyFont="1" applyBorder="1" applyAlignment="1">
      <alignment vertical="center"/>
    </xf>
    <xf numFmtId="176" fontId="1" fillId="0" borderId="68" xfId="1" applyNumberFormat="1" applyBorder="1" applyAlignment="1">
      <alignment vertical="center"/>
    </xf>
    <xf numFmtId="176" fontId="1" fillId="0" borderId="32" xfId="1" applyNumberFormat="1" applyBorder="1" applyAlignment="1">
      <alignment vertical="center"/>
    </xf>
    <xf numFmtId="176" fontId="1" fillId="0" borderId="108" xfId="1" applyNumberFormat="1" applyBorder="1" applyAlignment="1">
      <alignment vertical="center"/>
    </xf>
    <xf numFmtId="176" fontId="1" fillId="0" borderId="109" xfId="1" applyNumberFormat="1" applyBorder="1" applyAlignment="1">
      <alignment vertical="center"/>
    </xf>
    <xf numFmtId="176" fontId="1" fillId="0" borderId="49" xfId="1" applyNumberFormat="1" applyBorder="1" applyAlignment="1">
      <alignment vertical="center"/>
    </xf>
    <xf numFmtId="176" fontId="1" fillId="0" borderId="39" xfId="1" applyNumberFormat="1" applyBorder="1" applyAlignment="1">
      <alignment horizontal="center" vertical="center"/>
    </xf>
    <xf numFmtId="176" fontId="24" fillId="0" borderId="50" xfId="1" applyNumberFormat="1" applyFont="1" applyBorder="1" applyAlignment="1">
      <alignment vertical="center"/>
    </xf>
    <xf numFmtId="176" fontId="24" fillId="0" borderId="53" xfId="1" applyNumberFormat="1" applyFont="1" applyBorder="1" applyAlignment="1">
      <alignment vertical="center"/>
    </xf>
    <xf numFmtId="176" fontId="24" fillId="0" borderId="54" xfId="1" applyNumberFormat="1" applyFont="1" applyBorder="1" applyAlignment="1">
      <alignment vertical="center"/>
    </xf>
    <xf numFmtId="176" fontId="6" fillId="0" borderId="52" xfId="1" applyNumberFormat="1" applyFont="1" applyBorder="1" applyAlignment="1">
      <alignment vertical="center"/>
    </xf>
    <xf numFmtId="176" fontId="6" fillId="0" borderId="53" xfId="1" applyNumberFormat="1" applyFont="1" applyBorder="1" applyAlignment="1">
      <alignment vertical="center"/>
    </xf>
    <xf numFmtId="176" fontId="6" fillId="0" borderId="89" xfId="1" applyNumberFormat="1" applyFont="1" applyBorder="1" applyAlignment="1">
      <alignment vertical="center"/>
    </xf>
    <xf numFmtId="176" fontId="6" fillId="0" borderId="110" xfId="1" applyNumberFormat="1" applyFont="1" applyBorder="1" applyAlignment="1">
      <alignment vertical="center"/>
    </xf>
    <xf numFmtId="176" fontId="1" fillId="0" borderId="14" xfId="1" applyNumberFormat="1" applyBorder="1" applyAlignment="1">
      <alignment vertical="center"/>
    </xf>
    <xf numFmtId="176" fontId="17" fillId="0" borderId="44" xfId="1" applyNumberFormat="1" applyFont="1" applyBorder="1" applyAlignment="1">
      <alignment horizontal="center" vertical="center"/>
    </xf>
    <xf numFmtId="176" fontId="17" fillId="0" borderId="45" xfId="1" applyNumberFormat="1" applyFont="1" applyBorder="1" applyAlignment="1">
      <alignment horizontal="center" vertical="center"/>
    </xf>
    <xf numFmtId="176" fontId="17" fillId="0" borderId="46" xfId="1" applyNumberFormat="1" applyFont="1" applyBorder="1" applyAlignment="1">
      <alignment horizontal="center" vertical="center"/>
    </xf>
    <xf numFmtId="9" fontId="25" fillId="0" borderId="66" xfId="2" applyFont="1" applyBorder="1" applyAlignment="1">
      <alignment vertical="center"/>
    </xf>
    <xf numFmtId="9" fontId="25" fillId="0" borderId="111" xfId="2" applyFont="1" applyBorder="1" applyAlignment="1">
      <alignment vertical="center"/>
    </xf>
    <xf numFmtId="9" fontId="25" fillId="0" borderId="112" xfId="2" applyFont="1" applyBorder="1" applyAlignment="1">
      <alignment vertical="center"/>
    </xf>
    <xf numFmtId="9" fontId="17" fillId="0" borderId="113" xfId="2" applyFont="1" applyBorder="1" applyAlignment="1">
      <alignment vertical="center"/>
    </xf>
    <xf numFmtId="9" fontId="17" fillId="0" borderId="111" xfId="2" applyFont="1" applyFill="1" applyBorder="1" applyAlignment="1">
      <alignment vertical="center"/>
    </xf>
    <xf numFmtId="9" fontId="17" fillId="0" borderId="111" xfId="2" applyFont="1" applyBorder="1" applyAlignment="1">
      <alignment vertical="center"/>
    </xf>
    <xf numFmtId="9" fontId="17" fillId="0" borderId="114" xfId="2" applyFont="1" applyBorder="1" applyAlignment="1">
      <alignment vertical="center"/>
    </xf>
    <xf numFmtId="9" fontId="17" fillId="0" borderId="115" xfId="2" applyFont="1" applyBorder="1" applyAlignment="1">
      <alignment vertical="center"/>
    </xf>
    <xf numFmtId="176" fontId="17" fillId="0" borderId="46" xfId="1" applyNumberFormat="1" applyFont="1" applyBorder="1" applyAlignment="1">
      <alignment vertical="center"/>
    </xf>
    <xf numFmtId="176" fontId="17" fillId="0" borderId="0" xfId="1" applyNumberFormat="1" applyFont="1" applyAlignment="1">
      <alignment vertical="center"/>
    </xf>
    <xf numFmtId="0" fontId="26" fillId="0" borderId="0" xfId="1" applyFont="1" applyAlignment="1">
      <alignment vertical="center"/>
    </xf>
    <xf numFmtId="41" fontId="26" fillId="0" borderId="0" xfId="3" applyFont="1" applyAlignment="1">
      <alignment vertical="center"/>
    </xf>
    <xf numFmtId="179" fontId="27" fillId="0" borderId="0" xfId="1" applyNumberFormat="1" applyFont="1" applyAlignment="1">
      <alignment vertical="center"/>
    </xf>
    <xf numFmtId="0" fontId="11" fillId="0" borderId="0" xfId="1" applyFont="1" applyAlignment="1">
      <alignment horizontal="right" vertical="center"/>
    </xf>
    <xf numFmtId="176" fontId="27" fillId="0" borderId="0" xfId="1" applyNumberFormat="1" applyFont="1" applyAlignment="1">
      <alignment horizontal="center" vertical="center"/>
    </xf>
    <xf numFmtId="0" fontId="1" fillId="0" borderId="43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176" fontId="1" fillId="0" borderId="12" xfId="1" applyNumberFormat="1" applyBorder="1" applyAlignment="1">
      <alignment horizontal="center" vertical="center"/>
    </xf>
    <xf numFmtId="0" fontId="1" fillId="0" borderId="16" xfId="1" applyBorder="1" applyAlignment="1">
      <alignment vertical="center"/>
    </xf>
    <xf numFmtId="0" fontId="1" fillId="2" borderId="116" xfId="1" applyFill="1" applyBorder="1" applyAlignment="1">
      <alignment vertical="center"/>
    </xf>
    <xf numFmtId="0" fontId="1" fillId="2" borderId="116" xfId="1" applyFill="1" applyBorder="1" applyAlignment="1">
      <alignment horizontal="center" vertical="center"/>
    </xf>
    <xf numFmtId="176" fontId="1" fillId="2" borderId="116" xfId="1" applyNumberFormat="1" applyFill="1" applyBorder="1" applyAlignment="1">
      <alignment horizontal="center" vertical="center"/>
    </xf>
    <xf numFmtId="176" fontId="1" fillId="2" borderId="116" xfId="1" applyNumberFormat="1" applyFill="1" applyBorder="1" applyAlignment="1">
      <alignment vertical="center"/>
    </xf>
    <xf numFmtId="176" fontId="1" fillId="0" borderId="83" xfId="1" applyNumberFormat="1" applyBorder="1" applyAlignment="1">
      <alignment vertical="center"/>
    </xf>
    <xf numFmtId="0" fontId="1" fillId="0" borderId="116" xfId="1" applyBorder="1" applyAlignment="1">
      <alignment vertical="center"/>
    </xf>
    <xf numFmtId="0" fontId="1" fillId="2" borderId="26" xfId="1" applyFill="1" applyBorder="1" applyAlignment="1">
      <alignment vertical="center"/>
    </xf>
    <xf numFmtId="0" fontId="1" fillId="2" borderId="26" xfId="1" applyFill="1" applyBorder="1" applyAlignment="1">
      <alignment horizontal="center" vertical="center"/>
    </xf>
    <xf numFmtId="176" fontId="1" fillId="2" borderId="26" xfId="1" applyNumberFormat="1" applyFill="1" applyBorder="1" applyAlignment="1">
      <alignment horizontal="center" vertical="center"/>
    </xf>
    <xf numFmtId="176" fontId="1" fillId="2" borderId="26" xfId="1" applyNumberFormat="1" applyFill="1" applyBorder="1" applyAlignment="1">
      <alignment vertical="center"/>
    </xf>
    <xf numFmtId="0" fontId="1" fillId="2" borderId="33" xfId="1" applyFill="1" applyBorder="1" applyAlignment="1">
      <alignment vertical="center"/>
    </xf>
    <xf numFmtId="0" fontId="1" fillId="2" borderId="33" xfId="1" applyFill="1" applyBorder="1" applyAlignment="1">
      <alignment horizontal="center" vertical="center"/>
    </xf>
    <xf numFmtId="176" fontId="1" fillId="2" borderId="33" xfId="1" applyNumberFormat="1" applyFill="1" applyBorder="1" applyAlignment="1">
      <alignment horizontal="center" vertical="center"/>
    </xf>
    <xf numFmtId="176" fontId="1" fillId="2" borderId="33" xfId="1" applyNumberFormat="1" applyFill="1" applyBorder="1" applyAlignment="1">
      <alignment vertical="center"/>
    </xf>
    <xf numFmtId="0" fontId="1" fillId="0" borderId="44" xfId="1" applyBorder="1" applyAlignment="1">
      <alignment vertical="center"/>
    </xf>
    <xf numFmtId="0" fontId="1" fillId="0" borderId="46" xfId="1" applyBorder="1" applyAlignment="1">
      <alignment vertical="center"/>
    </xf>
    <xf numFmtId="0" fontId="1" fillId="0" borderId="43" xfId="1" applyBorder="1" applyAlignment="1">
      <alignment vertical="center"/>
    </xf>
    <xf numFmtId="176" fontId="1" fillId="0" borderId="43" xfId="1" applyNumberFormat="1" applyBorder="1" applyAlignment="1">
      <alignment horizontal="center" vertical="center"/>
    </xf>
    <xf numFmtId="176" fontId="1" fillId="0" borderId="43" xfId="1" applyNumberFormat="1" applyBorder="1" applyAlignment="1">
      <alignment vertical="center"/>
    </xf>
    <xf numFmtId="0" fontId="1" fillId="6" borderId="13" xfId="1" applyFill="1" applyBorder="1" applyAlignment="1">
      <alignment vertical="center"/>
    </xf>
    <xf numFmtId="0" fontId="1" fillId="2" borderId="20" xfId="1" applyFill="1" applyBorder="1" applyAlignment="1">
      <alignment vertical="center"/>
    </xf>
    <xf numFmtId="0" fontId="1" fillId="2" borderId="20" xfId="1" applyFill="1" applyBorder="1" applyAlignment="1">
      <alignment horizontal="center" vertical="center"/>
    </xf>
    <xf numFmtId="176" fontId="1" fillId="2" borderId="20" xfId="1" applyNumberFormat="1" applyFill="1" applyBorder="1" applyAlignment="1">
      <alignment horizontal="center" vertical="center"/>
    </xf>
    <xf numFmtId="176" fontId="1" fillId="2" borderId="20" xfId="1" applyNumberFormat="1" applyFill="1" applyBorder="1" applyAlignment="1">
      <alignment vertical="center"/>
    </xf>
    <xf numFmtId="176" fontId="1" fillId="0" borderId="22" xfId="1" applyNumberFormat="1" applyBorder="1" applyAlignment="1">
      <alignment vertical="center"/>
    </xf>
    <xf numFmtId="0" fontId="1" fillId="0" borderId="20" xfId="1" applyBorder="1" applyAlignment="1">
      <alignment vertical="center"/>
    </xf>
    <xf numFmtId="0" fontId="1" fillId="6" borderId="16" xfId="1" applyFill="1" applyBorder="1" applyAlignment="1">
      <alignment vertical="center"/>
    </xf>
    <xf numFmtId="0" fontId="1" fillId="2" borderId="117" xfId="1" applyFill="1" applyBorder="1" applyAlignment="1">
      <alignment vertical="center"/>
    </xf>
    <xf numFmtId="176" fontId="1" fillId="2" borderId="117" xfId="1" applyNumberFormat="1" applyFill="1" applyBorder="1" applyAlignment="1">
      <alignment horizontal="center" vertical="center"/>
    </xf>
    <xf numFmtId="176" fontId="1" fillId="2" borderId="117" xfId="1" applyNumberFormat="1" applyFill="1" applyBorder="1" applyAlignment="1">
      <alignment vertical="center"/>
    </xf>
    <xf numFmtId="176" fontId="1" fillId="0" borderId="118" xfId="1" applyNumberFormat="1" applyBorder="1" applyAlignment="1">
      <alignment vertical="center"/>
    </xf>
    <xf numFmtId="0" fontId="1" fillId="0" borderId="117" xfId="1" applyBorder="1" applyAlignment="1">
      <alignment vertical="center"/>
    </xf>
    <xf numFmtId="0" fontId="1" fillId="7" borderId="36" xfId="1" applyFill="1" applyBorder="1" applyAlignment="1">
      <alignment vertical="center"/>
    </xf>
    <xf numFmtId="0" fontId="1" fillId="7" borderId="12" xfId="1" applyFill="1" applyBorder="1" applyAlignment="1">
      <alignment vertical="center"/>
    </xf>
    <xf numFmtId="0" fontId="1" fillId="7" borderId="12" xfId="1" applyFill="1" applyBorder="1" applyAlignment="1">
      <alignment horizontal="center" vertical="center"/>
    </xf>
    <xf numFmtId="176" fontId="1" fillId="7" borderId="12" xfId="1" applyNumberFormat="1" applyFill="1" applyBorder="1" applyAlignment="1">
      <alignment horizontal="center" vertical="center"/>
    </xf>
    <xf numFmtId="176" fontId="1" fillId="7" borderId="12" xfId="1" applyNumberFormat="1" applyFill="1" applyBorder="1" applyAlignment="1">
      <alignment vertical="center"/>
    </xf>
    <xf numFmtId="176" fontId="1" fillId="7" borderId="36" xfId="1" applyNumberFormat="1" applyFill="1" applyBorder="1" applyAlignment="1">
      <alignment vertical="center"/>
    </xf>
    <xf numFmtId="0" fontId="1" fillId="0" borderId="13" xfId="1" applyBorder="1" applyAlignment="1">
      <alignment vertical="center"/>
    </xf>
    <xf numFmtId="0" fontId="1" fillId="0" borderId="44" xfId="1" applyBorder="1" applyAlignment="1">
      <alignment horizontal="center" vertical="center"/>
    </xf>
    <xf numFmtId="0" fontId="1" fillId="0" borderId="35" xfId="1" applyBorder="1" applyAlignment="1">
      <alignment horizontal="left" vertical="center"/>
    </xf>
    <xf numFmtId="0" fontId="1" fillId="0" borderId="36" xfId="1" applyBorder="1" applyAlignment="1">
      <alignment vertical="center"/>
    </xf>
    <xf numFmtId="176" fontId="1" fillId="0" borderId="15" xfId="1" applyNumberFormat="1" applyBorder="1" applyAlignment="1">
      <alignment horizontal="center" vertical="center"/>
    </xf>
    <xf numFmtId="176" fontId="1" fillId="0" borderId="15" xfId="1" applyNumberFormat="1" applyBorder="1" applyAlignment="1">
      <alignment vertical="center"/>
    </xf>
    <xf numFmtId="0" fontId="1" fillId="0" borderId="34" xfId="1" applyBorder="1" applyAlignment="1">
      <alignment vertical="center"/>
    </xf>
    <xf numFmtId="0" fontId="1" fillId="0" borderId="34" xfId="1" applyBorder="1" applyAlignment="1">
      <alignment horizontal="center" vertical="center"/>
    </xf>
    <xf numFmtId="176" fontId="1" fillId="2" borderId="15" xfId="1" applyNumberFormat="1" applyFill="1" applyBorder="1" applyAlignment="1">
      <alignment horizontal="center" vertical="center"/>
    </xf>
    <xf numFmtId="176" fontId="1" fillId="2" borderId="15" xfId="1" applyNumberFormat="1" applyFill="1" applyBorder="1" applyAlignment="1">
      <alignment vertical="center"/>
    </xf>
    <xf numFmtId="176" fontId="1" fillId="0" borderId="36" xfId="1" applyNumberFormat="1" applyBorder="1" applyAlignment="1">
      <alignment vertical="center"/>
    </xf>
    <xf numFmtId="0" fontId="1" fillId="0" borderId="21" xfId="1" applyBorder="1" applyAlignment="1">
      <alignment vertical="center"/>
    </xf>
    <xf numFmtId="0" fontId="1" fillId="0" borderId="22" xfId="1" applyBorder="1" applyAlignment="1">
      <alignment vertical="center"/>
    </xf>
    <xf numFmtId="0" fontId="1" fillId="0" borderId="27" xfId="1" applyBorder="1" applyAlignment="1">
      <alignment vertical="center"/>
    </xf>
    <xf numFmtId="0" fontId="1" fillId="0" borderId="28" xfId="1" applyBorder="1" applyAlignment="1">
      <alignment vertical="center"/>
    </xf>
    <xf numFmtId="0" fontId="1" fillId="0" borderId="31" xfId="1" applyBorder="1" applyAlignment="1">
      <alignment vertical="center"/>
    </xf>
    <xf numFmtId="0" fontId="1" fillId="0" borderId="49" xfId="1" applyBorder="1" applyAlignment="1">
      <alignment vertical="center"/>
    </xf>
    <xf numFmtId="0" fontId="1" fillId="0" borderId="35" xfId="1" applyBorder="1" applyAlignment="1">
      <alignment vertical="center"/>
    </xf>
    <xf numFmtId="0" fontId="1" fillId="0" borderId="12" xfId="1" applyBorder="1" applyAlignment="1">
      <alignment horizontal="right" vertical="center"/>
    </xf>
    <xf numFmtId="176" fontId="1" fillId="0" borderId="34" xfId="1" applyNumberFormat="1" applyBorder="1" applyAlignment="1">
      <alignment vertical="center"/>
    </xf>
    <xf numFmtId="176" fontId="1" fillId="2" borderId="12" xfId="1" applyNumberFormat="1" applyFill="1" applyBorder="1" applyAlignment="1">
      <alignment vertical="center"/>
    </xf>
    <xf numFmtId="180" fontId="11" fillId="2" borderId="45" xfId="1" applyNumberFormat="1" applyFont="1" applyFill="1" applyBorder="1" applyAlignment="1">
      <alignment vertical="center"/>
    </xf>
    <xf numFmtId="180" fontId="1" fillId="0" borderId="0" xfId="1" applyNumberFormat="1" applyAlignment="1">
      <alignment vertical="center"/>
    </xf>
    <xf numFmtId="0" fontId="1" fillId="3" borderId="26" xfId="1" applyFill="1" applyBorder="1" applyAlignment="1">
      <alignment horizontal="left" vertical="center"/>
    </xf>
    <xf numFmtId="0" fontId="1" fillId="0" borderId="15" xfId="1" applyBorder="1" applyAlignment="1">
      <alignment vertical="center"/>
    </xf>
    <xf numFmtId="0" fontId="1" fillId="0" borderId="40" xfId="1" applyBorder="1" applyAlignment="1">
      <alignment vertical="center"/>
    </xf>
    <xf numFmtId="0" fontId="1" fillId="3" borderId="26" xfId="1" applyFill="1" applyBorder="1" applyAlignment="1">
      <alignment vertical="center"/>
    </xf>
    <xf numFmtId="0" fontId="1" fillId="3" borderId="26" xfId="1" applyFill="1" applyBorder="1" applyAlignment="1">
      <alignment horizontal="center" vertical="center"/>
    </xf>
    <xf numFmtId="176" fontId="1" fillId="3" borderId="26" xfId="1" applyNumberFormat="1" applyFill="1" applyBorder="1" applyAlignment="1">
      <alignment horizontal="center" vertical="center"/>
    </xf>
    <xf numFmtId="176" fontId="1" fillId="3" borderId="26" xfId="1" applyNumberFormat="1" applyFill="1" applyBorder="1" applyAlignment="1">
      <alignment vertical="center"/>
    </xf>
    <xf numFmtId="0" fontId="1" fillId="0" borderId="40" xfId="1" applyBorder="1" applyAlignment="1">
      <alignment horizontal="center" vertical="center"/>
    </xf>
    <xf numFmtId="181" fontId="1" fillId="0" borderId="43" xfId="1" applyNumberFormat="1" applyBorder="1" applyAlignment="1">
      <alignment horizontal="center" vertical="center"/>
    </xf>
    <xf numFmtId="182" fontId="1" fillId="3" borderId="26" xfId="1" applyNumberFormat="1" applyFill="1" applyBorder="1" applyAlignment="1">
      <alignment horizontal="center" vertical="center"/>
    </xf>
    <xf numFmtId="183" fontId="1" fillId="2" borderId="12" xfId="1" applyNumberFormat="1" applyFill="1" applyBorder="1" applyAlignment="1">
      <alignment horizontal="center" vertical="center"/>
    </xf>
    <xf numFmtId="183" fontId="1" fillId="2" borderId="20" xfId="1" applyNumberFormat="1" applyFill="1" applyBorder="1" applyAlignment="1">
      <alignment horizontal="center" vertical="center"/>
    </xf>
    <xf numFmtId="183" fontId="1" fillId="3" borderId="26" xfId="1" applyNumberFormat="1" applyFill="1" applyBorder="1" applyAlignment="1">
      <alignment horizontal="center" vertical="center"/>
    </xf>
    <xf numFmtId="0" fontId="1" fillId="3" borderId="31" xfId="1" applyFill="1" applyBorder="1" applyAlignment="1">
      <alignment vertical="center"/>
    </xf>
    <xf numFmtId="183" fontId="1" fillId="2" borderId="33" xfId="1" applyNumberFormat="1" applyFill="1" applyBorder="1" applyAlignment="1">
      <alignment horizontal="center" vertical="center"/>
    </xf>
    <xf numFmtId="176" fontId="1" fillId="3" borderId="26" xfId="1" applyNumberFormat="1" applyFill="1" applyBorder="1" applyAlignment="1">
      <alignment horizontal="right" vertical="center"/>
    </xf>
    <xf numFmtId="182" fontId="1" fillId="3" borderId="26" xfId="1" applyNumberFormat="1" applyFill="1" applyBorder="1" applyAlignment="1">
      <alignment horizontal="right" vertical="center"/>
    </xf>
    <xf numFmtId="0" fontId="1" fillId="0" borderId="39" xfId="1" applyBorder="1" applyAlignment="1">
      <alignment horizontal="left" vertical="center"/>
    </xf>
    <xf numFmtId="0" fontId="1" fillId="0" borderId="14" xfId="1" applyBorder="1" applyAlignment="1">
      <alignment vertical="center"/>
    </xf>
    <xf numFmtId="0" fontId="1" fillId="3" borderId="27" xfId="1" applyFill="1" applyBorder="1" applyAlignment="1">
      <alignment vertical="center"/>
    </xf>
    <xf numFmtId="0" fontId="1" fillId="3" borderId="119" xfId="1" applyFill="1" applyBorder="1" applyAlignment="1">
      <alignment vertical="center"/>
    </xf>
    <xf numFmtId="0" fontId="1" fillId="0" borderId="118" xfId="1" applyBorder="1" applyAlignment="1">
      <alignment vertical="center"/>
    </xf>
    <xf numFmtId="176" fontId="27" fillId="0" borderId="0" xfId="1" applyNumberFormat="1" applyFont="1" applyAlignment="1">
      <alignment vertical="center"/>
    </xf>
    <xf numFmtId="181" fontId="1" fillId="0" borderId="43" xfId="1" applyNumberFormat="1" applyBorder="1" applyAlignment="1">
      <alignment vertical="center"/>
    </xf>
    <xf numFmtId="0" fontId="1" fillId="3" borderId="20" xfId="1" applyFill="1" applyBorder="1" applyAlignment="1">
      <alignment vertical="center"/>
    </xf>
    <xf numFmtId="0" fontId="1" fillId="3" borderId="21" xfId="1" applyFill="1" applyBorder="1" applyAlignment="1">
      <alignment vertical="center"/>
    </xf>
    <xf numFmtId="49" fontId="1" fillId="3" borderId="26" xfId="1" applyNumberFormat="1" applyFill="1" applyBorder="1" applyAlignment="1">
      <alignment horizontal="center" vertical="center"/>
    </xf>
    <xf numFmtId="0" fontId="1" fillId="3" borderId="33" xfId="1" applyFill="1" applyBorder="1" applyAlignment="1">
      <alignment vertical="center"/>
    </xf>
    <xf numFmtId="49" fontId="1" fillId="3" borderId="33" xfId="1" applyNumberFormat="1" applyFill="1" applyBorder="1" applyAlignment="1">
      <alignment horizontal="center" vertical="center"/>
    </xf>
    <xf numFmtId="0" fontId="30" fillId="3" borderId="26" xfId="1" applyFont="1" applyFill="1" applyBorder="1" applyAlignment="1">
      <alignment vertical="center"/>
    </xf>
    <xf numFmtId="183" fontId="1" fillId="2" borderId="26" xfId="1" applyNumberFormat="1" applyFill="1" applyBorder="1" applyAlignment="1">
      <alignment vertical="center"/>
    </xf>
    <xf numFmtId="0" fontId="31" fillId="3" borderId="26" xfId="1" applyFont="1" applyFill="1" applyBorder="1" applyAlignment="1">
      <alignment horizontal="center" vertical="center"/>
    </xf>
    <xf numFmtId="0" fontId="31" fillId="3" borderId="28" xfId="1" applyFont="1" applyFill="1" applyBorder="1" applyAlignment="1">
      <alignment horizontal="center" vertical="center"/>
    </xf>
    <xf numFmtId="185" fontId="31" fillId="3" borderId="26" xfId="1" applyNumberFormat="1" applyFont="1" applyFill="1" applyBorder="1" applyAlignment="1">
      <alignment vertical="center"/>
    </xf>
    <xf numFmtId="0" fontId="1" fillId="3" borderId="26" xfId="1" quotePrefix="1" applyFill="1" applyBorder="1" applyAlignment="1">
      <alignment horizontal="center" vertical="center"/>
    </xf>
    <xf numFmtId="184" fontId="1" fillId="2" borderId="26" xfId="1" applyNumberFormat="1" applyFill="1" applyBorder="1" applyAlignment="1">
      <alignment vertical="center"/>
    </xf>
    <xf numFmtId="184" fontId="1" fillId="2" borderId="33" xfId="1" applyNumberFormat="1" applyFill="1" applyBorder="1" applyAlignment="1">
      <alignment vertical="center"/>
    </xf>
    <xf numFmtId="0" fontId="31" fillId="3" borderId="27" xfId="1" applyFont="1" applyFill="1" applyBorder="1" applyAlignment="1">
      <alignment vertical="center"/>
    </xf>
    <xf numFmtId="0" fontId="31" fillId="3" borderId="26" xfId="1" applyFont="1" applyFill="1" applyBorder="1" applyAlignment="1">
      <alignment horizontal="left" vertical="center"/>
    </xf>
    <xf numFmtId="0" fontId="1" fillId="3" borderId="33" xfId="1" applyFill="1" applyBorder="1" applyAlignment="1">
      <alignment horizontal="center" vertical="center"/>
    </xf>
    <xf numFmtId="183" fontId="1" fillId="2" borderId="33" xfId="1" applyNumberFormat="1" applyFill="1" applyBorder="1" applyAlignment="1">
      <alignment vertical="center"/>
    </xf>
    <xf numFmtId="0" fontId="32" fillId="0" borderId="0" xfId="1" applyFont="1" applyAlignment="1">
      <alignment vertical="center"/>
    </xf>
    <xf numFmtId="0" fontId="6" fillId="0" borderId="120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" fillId="2" borderId="4" xfId="1" applyFill="1" applyBorder="1" applyAlignment="1">
      <alignment vertical="center"/>
    </xf>
    <xf numFmtId="0" fontId="1" fillId="2" borderId="5" xfId="1" applyFill="1" applyBorder="1" applyAlignment="1">
      <alignment vertical="center"/>
    </xf>
    <xf numFmtId="0" fontId="1" fillId="2" borderId="28" xfId="1" applyFill="1" applyBorder="1" applyAlignment="1">
      <alignment vertical="center"/>
    </xf>
    <xf numFmtId="178" fontId="1" fillId="2" borderId="16" xfId="1" applyNumberFormat="1" applyFill="1" applyBorder="1" applyAlignment="1">
      <alignment vertical="center"/>
    </xf>
    <xf numFmtId="178" fontId="1" fillId="2" borderId="0" xfId="1" applyNumberFormat="1" applyFill="1" applyAlignment="1">
      <alignment vertical="center"/>
    </xf>
    <xf numFmtId="178" fontId="1" fillId="2" borderId="17" xfId="1" applyNumberFormat="1" applyFill="1" applyBorder="1" applyAlignment="1">
      <alignment vertical="center"/>
    </xf>
    <xf numFmtId="0" fontId="1" fillId="2" borderId="44" xfId="1" applyFill="1" applyBorder="1" applyAlignment="1">
      <alignment vertical="center"/>
    </xf>
    <xf numFmtId="0" fontId="1" fillId="2" borderId="45" xfId="1" applyFill="1" applyBorder="1" applyAlignment="1">
      <alignment vertical="center"/>
    </xf>
    <xf numFmtId="0" fontId="1" fillId="2" borderId="46" xfId="1" applyFill="1" applyBorder="1" applyAlignment="1">
      <alignment vertical="center"/>
    </xf>
    <xf numFmtId="0" fontId="1" fillId="2" borderId="47" xfId="1" applyFill="1" applyBorder="1" applyAlignment="1">
      <alignment vertical="center"/>
    </xf>
    <xf numFmtId="0" fontId="1" fillId="2" borderId="48" xfId="1" applyFill="1" applyBorder="1" applyAlignment="1">
      <alignment vertical="center"/>
    </xf>
    <xf numFmtId="0" fontId="1" fillId="2" borderId="49" xfId="1" applyFill="1" applyBorder="1" applyAlignment="1">
      <alignment vertical="center"/>
    </xf>
    <xf numFmtId="0" fontId="1" fillId="0" borderId="27" xfId="1" applyBorder="1" applyAlignment="1">
      <alignment horizontal="left" vertical="center"/>
    </xf>
    <xf numFmtId="0" fontId="1" fillId="0" borderId="28" xfId="1" applyBorder="1" applyAlignment="1">
      <alignment horizontal="left" vertical="center"/>
    </xf>
    <xf numFmtId="176" fontId="1" fillId="0" borderId="34" xfId="1" applyNumberFormat="1" applyBorder="1" applyAlignment="1">
      <alignment horizontal="center" vertical="center"/>
    </xf>
    <xf numFmtId="176" fontId="1" fillId="0" borderId="35" xfId="1" applyNumberFormat="1" applyBorder="1" applyAlignment="1">
      <alignment horizontal="center" vertical="center"/>
    </xf>
    <xf numFmtId="176" fontId="1" fillId="0" borderId="36" xfId="1" applyNumberFormat="1" applyBorder="1" applyAlignment="1">
      <alignment horizontal="center" vertical="center"/>
    </xf>
    <xf numFmtId="176" fontId="1" fillId="0" borderId="34" xfId="1" applyNumberFormat="1" applyBorder="1" applyAlignment="1">
      <alignment horizontal="center" vertical="center" wrapText="1"/>
    </xf>
    <xf numFmtId="176" fontId="1" fillId="0" borderId="36" xfId="1" applyNumberFormat="1" applyBorder="1" applyAlignment="1">
      <alignment horizontal="center" vertical="center" wrapText="1"/>
    </xf>
    <xf numFmtId="0" fontId="1" fillId="0" borderId="15" xfId="1" applyBorder="1" applyAlignment="1">
      <alignment horizontal="center" vertical="center" textRotation="255"/>
    </xf>
    <xf numFmtId="0" fontId="1" fillId="0" borderId="40" xfId="1" applyBorder="1" applyAlignment="1">
      <alignment horizontal="center" vertical="center" textRotation="255"/>
    </xf>
    <xf numFmtId="0" fontId="1" fillId="0" borderId="43" xfId="1" applyBorder="1" applyAlignment="1">
      <alignment horizontal="center" vertical="center" textRotation="255"/>
    </xf>
    <xf numFmtId="0" fontId="1" fillId="2" borderId="13" xfId="1" applyFill="1" applyBorder="1" applyAlignment="1">
      <alignment vertical="center"/>
    </xf>
    <xf numFmtId="0" fontId="1" fillId="2" borderId="39" xfId="1" applyFill="1" applyBorder="1" applyAlignment="1">
      <alignment vertical="center"/>
    </xf>
    <xf numFmtId="0" fontId="1" fillId="2" borderId="14" xfId="1" applyFill="1" applyBorder="1" applyAlignment="1">
      <alignment vertical="center"/>
    </xf>
    <xf numFmtId="0" fontId="1" fillId="0" borderId="34" xfId="1" applyBorder="1" applyAlignment="1">
      <alignment horizontal="center" vertical="center"/>
    </xf>
    <xf numFmtId="0" fontId="1" fillId="0" borderId="35" xfId="1" applyBorder="1" applyAlignment="1">
      <alignment horizontal="center" vertical="center"/>
    </xf>
    <xf numFmtId="0" fontId="1" fillId="0" borderId="36" xfId="1" applyBorder="1" applyAlignment="1">
      <alignment horizontal="center" vertical="center"/>
    </xf>
    <xf numFmtId="0" fontId="1" fillId="2" borderId="16" xfId="1" applyFill="1" applyBorder="1" applyAlignment="1">
      <alignment vertical="center"/>
    </xf>
    <xf numFmtId="0" fontId="1" fillId="2" borderId="0" xfId="1" applyFill="1" applyAlignment="1">
      <alignment vertical="center"/>
    </xf>
    <xf numFmtId="0" fontId="1" fillId="2" borderId="17" xfId="1" applyFill="1" applyBorder="1" applyAlignment="1">
      <alignment vertical="center"/>
    </xf>
    <xf numFmtId="0" fontId="1" fillId="2" borderId="41" xfId="1" applyFill="1" applyBorder="1" applyAlignment="1">
      <alignment vertical="center"/>
    </xf>
    <xf numFmtId="0" fontId="1" fillId="2" borderId="42" xfId="1" applyFill="1" applyBorder="1" applyAlignment="1">
      <alignment vertical="center"/>
    </xf>
    <xf numFmtId="0" fontId="1" fillId="2" borderId="22" xfId="1" applyFill="1" applyBorder="1" applyAlignment="1">
      <alignment vertical="center"/>
    </xf>
    <xf numFmtId="177" fontId="1" fillId="2" borderId="16" xfId="1" applyNumberFormat="1" applyFill="1" applyBorder="1" applyAlignment="1">
      <alignment horizontal="left" vertical="center"/>
    </xf>
    <xf numFmtId="177" fontId="1" fillId="2" borderId="0" xfId="1" applyNumberFormat="1" applyFill="1" applyAlignment="1">
      <alignment horizontal="left" vertical="center"/>
    </xf>
    <xf numFmtId="177" fontId="1" fillId="2" borderId="17" xfId="1" applyNumberFormat="1" applyFill="1" applyBorder="1" applyAlignment="1">
      <alignment horizontal="left" vertical="center"/>
    </xf>
    <xf numFmtId="0" fontId="1" fillId="0" borderId="12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21" xfId="1" applyBorder="1" applyAlignment="1">
      <alignment horizontal="left" vertical="center"/>
    </xf>
    <xf numFmtId="0" fontId="1" fillId="0" borderId="22" xfId="1" applyBorder="1" applyAlignment="1">
      <alignment horizontal="left" vertical="center"/>
    </xf>
    <xf numFmtId="176" fontId="1" fillId="0" borderId="24" xfId="1" applyNumberFormat="1" applyBorder="1" applyAlignment="1">
      <alignment horizontal="center" vertical="center"/>
    </xf>
    <xf numFmtId="176" fontId="1" fillId="0" borderId="6" xfId="1" applyNumberFormat="1" applyBorder="1" applyAlignment="1">
      <alignment horizontal="center" vertical="center"/>
    </xf>
    <xf numFmtId="176" fontId="1" fillId="0" borderId="32" xfId="1" applyNumberFormat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3" fillId="3" borderId="0" xfId="1" applyFont="1" applyFill="1" applyAlignment="1">
      <alignment horizontal="center" vertical="center"/>
    </xf>
    <xf numFmtId="0" fontId="13" fillId="3" borderId="0" xfId="1" applyFont="1" applyFill="1" applyAlignment="1">
      <alignment horizontal="left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0" borderId="4" xfId="1" applyBorder="1" applyAlignment="1">
      <alignment horizontal="center" vertical="center" textRotation="255"/>
    </xf>
    <xf numFmtId="3" fontId="1" fillId="0" borderId="47" xfId="1" applyNumberFormat="1" applyBorder="1" applyAlignment="1">
      <alignment horizontal="center" vertical="center"/>
    </xf>
    <xf numFmtId="3" fontId="1" fillId="0" borderId="48" xfId="1" applyNumberFormat="1" applyBorder="1" applyAlignment="1">
      <alignment horizontal="center" vertical="center"/>
    </xf>
    <xf numFmtId="3" fontId="1" fillId="0" borderId="68" xfId="1" applyNumberFormat="1" applyBorder="1" applyAlignment="1">
      <alignment horizontal="center" vertical="center"/>
    </xf>
    <xf numFmtId="3" fontId="1" fillId="0" borderId="47" xfId="1" quotePrefix="1" applyNumberFormat="1" applyBorder="1" applyAlignment="1">
      <alignment horizontal="left" vertical="center"/>
    </xf>
    <xf numFmtId="3" fontId="1" fillId="0" borderId="48" xfId="1" quotePrefix="1" applyNumberFormat="1" applyBorder="1" applyAlignment="1">
      <alignment horizontal="left" vertical="center"/>
    </xf>
    <xf numFmtId="3" fontId="1" fillId="0" borderId="68" xfId="1" quotePrefix="1" applyNumberFormat="1" applyBorder="1" applyAlignment="1">
      <alignment horizontal="left" vertical="center"/>
    </xf>
    <xf numFmtId="3" fontId="1" fillId="0" borderId="85" xfId="1" applyNumberFormat="1" applyBorder="1" applyAlignment="1">
      <alignment horizontal="center" vertical="center"/>
    </xf>
    <xf numFmtId="3" fontId="17" fillId="0" borderId="86" xfId="1" quotePrefix="1" applyNumberFormat="1" applyFont="1" applyBorder="1" applyAlignment="1">
      <alignment horizontal="left" vertical="center"/>
    </xf>
    <xf numFmtId="3" fontId="17" fillId="0" borderId="85" xfId="1" quotePrefix="1" applyNumberFormat="1" applyFont="1" applyBorder="1" applyAlignment="1">
      <alignment horizontal="left" vertical="center"/>
    </xf>
    <xf numFmtId="3" fontId="17" fillId="0" borderId="87" xfId="1" quotePrefix="1" applyNumberFormat="1" applyFont="1" applyBorder="1" applyAlignment="1">
      <alignment horizontal="left" vertical="center"/>
    </xf>
    <xf numFmtId="3" fontId="1" fillId="0" borderId="19" xfId="1" applyNumberFormat="1" applyBorder="1" applyAlignment="1">
      <alignment horizontal="center" vertical="center" wrapText="1"/>
    </xf>
    <xf numFmtId="3" fontId="1" fillId="0" borderId="70" xfId="1" applyNumberFormat="1" applyBorder="1" applyAlignment="1">
      <alignment horizontal="center" vertical="center"/>
    </xf>
    <xf numFmtId="3" fontId="1" fillId="0" borderId="62" xfId="1" applyNumberFormat="1" applyBorder="1" applyAlignment="1">
      <alignment horizontal="center" vertical="center"/>
    </xf>
    <xf numFmtId="179" fontId="1" fillId="0" borderId="4" xfId="1" applyNumberFormat="1" applyBorder="1" applyAlignment="1">
      <alignment horizontal="center" vertical="center"/>
    </xf>
    <xf numFmtId="179" fontId="1" fillId="0" borderId="5" xfId="1" applyNumberFormat="1" applyBorder="1" applyAlignment="1">
      <alignment horizontal="center" vertical="center"/>
    </xf>
    <xf numFmtId="179" fontId="1" fillId="0" borderId="64" xfId="1" applyNumberFormat="1" applyBorder="1" applyAlignment="1">
      <alignment horizontal="center" vertical="center"/>
    </xf>
    <xf numFmtId="3" fontId="1" fillId="0" borderId="6" xfId="1" applyNumberFormat="1" applyBorder="1" applyAlignment="1">
      <alignment horizontal="center" vertical="center"/>
    </xf>
    <xf numFmtId="3" fontId="1" fillId="0" borderId="9" xfId="1" applyNumberFormat="1" applyBorder="1" applyAlignment="1">
      <alignment horizontal="center" vertical="center"/>
    </xf>
    <xf numFmtId="3" fontId="1" fillId="0" borderId="10" xfId="1" applyNumberFormat="1" applyBorder="1" applyAlignment="1">
      <alignment horizontal="center" vertical="center"/>
    </xf>
    <xf numFmtId="3" fontId="1" fillId="0" borderId="11" xfId="1" applyNumberFormat="1" applyBorder="1" applyAlignment="1">
      <alignment horizontal="center" vertical="center"/>
    </xf>
    <xf numFmtId="3" fontId="1" fillId="0" borderId="79" xfId="1" applyNumberFormat="1" applyBorder="1" applyAlignment="1">
      <alignment horizontal="center" vertical="center"/>
    </xf>
    <xf numFmtId="3" fontId="1" fillId="0" borderId="80" xfId="1" applyNumberFormat="1" applyBorder="1" applyAlignment="1">
      <alignment horizontal="center" vertical="center"/>
    </xf>
    <xf numFmtId="3" fontId="1" fillId="0" borderId="81" xfId="1" applyNumberFormat="1" applyBorder="1" applyAlignment="1">
      <alignment horizontal="center" vertical="center"/>
    </xf>
    <xf numFmtId="3" fontId="1" fillId="0" borderId="4" xfId="1" applyNumberFormat="1" applyBorder="1" applyAlignment="1">
      <alignment horizontal="center" vertical="center"/>
    </xf>
    <xf numFmtId="3" fontId="1" fillId="0" borderId="5" xfId="1" applyNumberFormat="1" applyBorder="1" applyAlignment="1">
      <alignment horizontal="center" vertical="center"/>
    </xf>
    <xf numFmtId="3" fontId="1" fillId="0" borderId="64" xfId="1" applyNumberFormat="1" applyBorder="1" applyAlignment="1">
      <alignment horizontal="center" vertical="center"/>
    </xf>
    <xf numFmtId="3" fontId="17" fillId="5" borderId="4" xfId="1" applyNumberFormat="1" applyFont="1" applyFill="1" applyBorder="1" applyAlignment="1">
      <alignment horizontal="left" vertical="center"/>
    </xf>
    <xf numFmtId="3" fontId="17" fillId="5" borderId="5" xfId="1" applyNumberFormat="1" applyFont="1" applyFill="1" applyBorder="1" applyAlignment="1">
      <alignment horizontal="left" vertical="center"/>
    </xf>
    <xf numFmtId="3" fontId="17" fillId="5" borderId="64" xfId="1" applyNumberFormat="1" applyFont="1" applyFill="1" applyBorder="1" applyAlignment="1">
      <alignment horizontal="left" vertical="center"/>
    </xf>
    <xf numFmtId="3" fontId="17" fillId="0" borderId="4" xfId="1" applyNumberFormat="1" applyFont="1" applyBorder="1" applyAlignment="1">
      <alignment horizontal="left" vertical="center"/>
    </xf>
    <xf numFmtId="3" fontId="17" fillId="0" borderId="5" xfId="1" applyNumberFormat="1" applyFont="1" applyBorder="1" applyAlignment="1">
      <alignment horizontal="left" vertical="center"/>
    </xf>
    <xf numFmtId="3" fontId="17" fillId="0" borderId="64" xfId="1" applyNumberFormat="1" applyFont="1" applyBorder="1" applyAlignment="1">
      <alignment horizontal="left" vertical="center"/>
    </xf>
    <xf numFmtId="3" fontId="1" fillId="0" borderId="13" xfId="1" applyNumberFormat="1" applyBorder="1" applyAlignment="1">
      <alignment horizontal="center" vertical="center"/>
    </xf>
    <xf numFmtId="3" fontId="1" fillId="0" borderId="16" xfId="1" applyNumberFormat="1" applyBorder="1" applyAlignment="1">
      <alignment horizontal="center" vertical="center"/>
    </xf>
    <xf numFmtId="3" fontId="1" fillId="0" borderId="72" xfId="1" applyNumberFormat="1" applyBorder="1" applyAlignment="1">
      <alignment horizontal="center" vertical="center"/>
    </xf>
    <xf numFmtId="3" fontId="1" fillId="0" borderId="41" xfId="1" applyNumberFormat="1" applyBorder="1" applyAlignment="1">
      <alignment horizontal="center" vertical="center"/>
    </xf>
    <xf numFmtId="3" fontId="1" fillId="0" borderId="42" xfId="1" applyNumberFormat="1" applyBorder="1" applyAlignment="1">
      <alignment horizontal="center" vertical="center"/>
    </xf>
    <xf numFmtId="3" fontId="1" fillId="0" borderId="71" xfId="1" applyNumberFormat="1" applyBorder="1" applyAlignment="1">
      <alignment horizontal="center" vertical="center"/>
    </xf>
    <xf numFmtId="3" fontId="1" fillId="0" borderId="73" xfId="1" applyNumberFormat="1" applyBorder="1" applyAlignment="1">
      <alignment horizontal="center" vertical="center"/>
    </xf>
    <xf numFmtId="3" fontId="1" fillId="0" borderId="74" xfId="1" applyNumberFormat="1" applyBorder="1" applyAlignment="1">
      <alignment horizontal="center" vertical="center"/>
    </xf>
    <xf numFmtId="3" fontId="1" fillId="0" borderId="75" xfId="1" applyNumberFormat="1" applyBorder="1" applyAlignment="1">
      <alignment horizontal="center" vertical="center"/>
    </xf>
    <xf numFmtId="3" fontId="1" fillId="0" borderId="50" xfId="1" applyNumberFormat="1" applyBorder="1" applyAlignment="1">
      <alignment horizontal="center" vertical="center"/>
    </xf>
    <xf numFmtId="3" fontId="1" fillId="0" borderId="61" xfId="1" applyNumberFormat="1" applyBorder="1" applyAlignment="1">
      <alignment horizontal="center" vertical="center"/>
    </xf>
    <xf numFmtId="3" fontId="1" fillId="0" borderId="66" xfId="1" applyNumberFormat="1" applyBorder="1" applyAlignment="1">
      <alignment horizontal="center" vertical="center"/>
    </xf>
    <xf numFmtId="3" fontId="1" fillId="0" borderId="53" xfId="1" applyNumberFormat="1" applyBorder="1" applyAlignment="1">
      <alignment horizontal="center" vertical="center" wrapText="1"/>
    </xf>
    <xf numFmtId="3" fontId="1" fillId="0" borderId="70" xfId="1" applyNumberFormat="1" applyBorder="1" applyAlignment="1">
      <alignment horizontal="center" vertical="center" wrapText="1"/>
    </xf>
    <xf numFmtId="3" fontId="1" fillId="0" borderId="7" xfId="1" applyNumberFormat="1" applyBorder="1" applyAlignment="1">
      <alignment horizontal="center" vertical="center"/>
    </xf>
    <xf numFmtId="3" fontId="1" fillId="0" borderId="67" xfId="1" applyNumberFormat="1" applyBorder="1" applyAlignment="1">
      <alignment horizontal="center" vertical="center"/>
    </xf>
    <xf numFmtId="3" fontId="1" fillId="0" borderId="53" xfId="1" applyNumberFormat="1" applyBorder="1" applyAlignment="1">
      <alignment horizontal="center" vertical="center"/>
    </xf>
    <xf numFmtId="3" fontId="1" fillId="0" borderId="1" xfId="1" applyNumberFormat="1" applyBorder="1" applyAlignment="1">
      <alignment horizontal="center" vertical="center"/>
    </xf>
    <xf numFmtId="3" fontId="1" fillId="0" borderId="51" xfId="1" applyNumberFormat="1" applyBorder="1" applyAlignment="1">
      <alignment horizontal="center" vertical="center"/>
    </xf>
    <xf numFmtId="3" fontId="1" fillId="0" borderId="39" xfId="1" applyNumberFormat="1" applyBorder="1" applyAlignment="1">
      <alignment horizontal="center" vertical="center"/>
    </xf>
    <xf numFmtId="3" fontId="1" fillId="0" borderId="52" xfId="1" applyNumberFormat="1" applyBorder="1" applyAlignment="1">
      <alignment horizontal="center" vertical="center"/>
    </xf>
    <xf numFmtId="3" fontId="1" fillId="0" borderId="56" xfId="1" applyNumberFormat="1" applyBorder="1" applyAlignment="1">
      <alignment horizontal="center" vertical="center"/>
    </xf>
    <xf numFmtId="3" fontId="1" fillId="0" borderId="57" xfId="1" applyNumberFormat="1" applyBorder="1" applyAlignment="1">
      <alignment horizontal="center" vertical="center"/>
    </xf>
    <xf numFmtId="3" fontId="1" fillId="0" borderId="58" xfId="1" applyNumberFormat="1" applyBorder="1" applyAlignment="1">
      <alignment horizontal="center" vertical="center"/>
    </xf>
    <xf numFmtId="3" fontId="1" fillId="0" borderId="7" xfId="1" applyNumberFormat="1" applyBorder="1" applyAlignment="1">
      <alignment horizontal="center" vertical="center" wrapText="1"/>
    </xf>
    <xf numFmtId="0" fontId="1" fillId="0" borderId="39" xfId="1" applyBorder="1" applyAlignment="1">
      <alignment horizontal="center" vertical="center"/>
    </xf>
    <xf numFmtId="0" fontId="1" fillId="0" borderId="52" xfId="1" applyBorder="1" applyAlignment="1">
      <alignment horizontal="center" vertical="center"/>
    </xf>
    <xf numFmtId="176" fontId="1" fillId="0" borderId="13" xfId="1" applyNumberFormat="1" applyBorder="1" applyAlignment="1">
      <alignment horizontal="center" vertical="center"/>
    </xf>
    <xf numFmtId="176" fontId="1" fillId="0" borderId="39" xfId="1" applyNumberFormat="1" applyBorder="1" applyAlignment="1">
      <alignment horizontal="center" vertical="center"/>
    </xf>
    <xf numFmtId="176" fontId="1" fillId="0" borderId="14" xfId="1" applyNumberFormat="1" applyBorder="1" applyAlignment="1">
      <alignment horizontal="center" vertical="center"/>
    </xf>
    <xf numFmtId="0" fontId="1" fillId="0" borderId="15" xfId="1" applyBorder="1" applyAlignment="1">
      <alignment horizontal="center" vertical="center" wrapText="1"/>
    </xf>
    <xf numFmtId="0" fontId="1" fillId="0" borderId="40" xfId="1" applyBorder="1" applyAlignment="1">
      <alignment horizontal="center" vertical="center" wrapText="1"/>
    </xf>
    <xf numFmtId="0" fontId="1" fillId="0" borderId="15" xfId="1" applyBorder="1" applyAlignment="1">
      <alignment horizontal="center" vertical="top" wrapText="1" shrinkToFit="1"/>
    </xf>
    <xf numFmtId="0" fontId="1" fillId="0" borderId="40" xfId="1" applyBorder="1" applyAlignment="1">
      <alignment horizontal="center" vertical="top" wrapText="1" shrinkToFit="1"/>
    </xf>
    <xf numFmtId="0" fontId="1" fillId="0" borderId="40" xfId="1" applyBorder="1" applyAlignment="1">
      <alignment horizontal="center" vertical="center"/>
    </xf>
    <xf numFmtId="0" fontId="6" fillId="3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11" fillId="3" borderId="0" xfId="1" applyFont="1" applyFill="1" applyAlignment="1">
      <alignment vertical="center"/>
    </xf>
    <xf numFmtId="0" fontId="12" fillId="3" borderId="0" xfId="1" applyFont="1" applyFill="1" applyAlignment="1">
      <alignment horizontal="left" vertical="center"/>
    </xf>
    <xf numFmtId="0" fontId="1" fillId="3" borderId="0" xfId="1" applyFill="1" applyAlignment="1">
      <alignment vertical="center"/>
    </xf>
    <xf numFmtId="176" fontId="6" fillId="3" borderId="0" xfId="1" applyNumberFormat="1" applyFont="1" applyFill="1" applyAlignment="1">
      <alignment vertical="center"/>
    </xf>
    <xf numFmtId="176" fontId="6" fillId="3" borderId="0" xfId="1" applyNumberFormat="1" applyFont="1" applyFill="1" applyAlignment="1">
      <alignment horizontal="center" vertical="center" shrinkToFit="1"/>
    </xf>
    <xf numFmtId="176" fontId="6" fillId="0" borderId="12" xfId="1" applyNumberFormat="1" applyFont="1" applyBorder="1" applyAlignment="1">
      <alignment vertical="center"/>
    </xf>
    <xf numFmtId="180" fontId="28" fillId="0" borderId="45" xfId="1" applyNumberFormat="1" applyFont="1" applyBorder="1" applyAlignment="1">
      <alignment horizontal="left" vertical="center"/>
    </xf>
    <xf numFmtId="0" fontId="1" fillId="0" borderId="45" xfId="1" applyBorder="1" applyAlignment="1">
      <alignment horizontal="left" vertical="center"/>
    </xf>
    <xf numFmtId="0" fontId="1" fillId="3" borderId="20" xfId="1" applyFill="1" applyBorder="1" applyAlignment="1">
      <alignment horizontal="center" vertical="center"/>
    </xf>
    <xf numFmtId="176" fontId="1" fillId="3" borderId="20" xfId="1" applyNumberFormat="1" applyFill="1" applyBorder="1" applyAlignment="1">
      <alignment horizontal="center" vertical="center"/>
    </xf>
    <xf numFmtId="176" fontId="1" fillId="3" borderId="20" xfId="1" applyNumberFormat="1" applyFill="1" applyBorder="1" applyAlignment="1">
      <alignment vertical="center"/>
    </xf>
    <xf numFmtId="41" fontId="1" fillId="3" borderId="26" xfId="4" applyFont="1" applyFill="1" applyBorder="1" applyAlignment="1">
      <alignment horizontal="right" vertical="center"/>
    </xf>
    <xf numFmtId="0" fontId="1" fillId="3" borderId="26" xfId="1" applyFill="1" applyBorder="1" applyAlignment="1">
      <alignment horizontal="right" vertical="center"/>
    </xf>
    <xf numFmtId="41" fontId="1" fillId="3" borderId="26" xfId="4" applyFont="1" applyFill="1" applyBorder="1" applyAlignment="1">
      <alignment horizontal="center" vertical="center"/>
    </xf>
    <xf numFmtId="0" fontId="1" fillId="0" borderId="13" xfId="1" applyBorder="1" applyAlignment="1">
      <alignment vertical="center" wrapText="1"/>
    </xf>
    <xf numFmtId="0" fontId="1" fillId="3" borderId="20" xfId="1" applyFill="1" applyBorder="1" applyAlignment="1">
      <alignment horizontal="left" vertical="center" shrinkToFit="1"/>
    </xf>
    <xf numFmtId="41" fontId="1" fillId="3" borderId="20" xfId="4" applyFont="1" applyFill="1" applyBorder="1" applyAlignment="1">
      <alignment horizontal="right" vertical="center"/>
    </xf>
    <xf numFmtId="0" fontId="1" fillId="3" borderId="27" xfId="1" applyFill="1" applyBorder="1" applyAlignment="1">
      <alignment horizontal="left" vertical="center" shrinkToFit="1"/>
    </xf>
    <xf numFmtId="0" fontId="1" fillId="3" borderId="27" xfId="1" applyFill="1" applyBorder="1" applyAlignment="1">
      <alignment horizontal="left" vertical="center"/>
    </xf>
    <xf numFmtId="0" fontId="1" fillId="0" borderId="28" xfId="1" applyBorder="1" applyAlignment="1">
      <alignment vertical="center"/>
    </xf>
    <xf numFmtId="0" fontId="1" fillId="3" borderId="21" xfId="1" applyFill="1" applyBorder="1" applyAlignment="1">
      <alignment horizontal="left" vertical="center"/>
    </xf>
    <xf numFmtId="0" fontId="1" fillId="3" borderId="22" xfId="1" applyFill="1" applyBorder="1" applyAlignment="1">
      <alignment horizontal="left" vertical="center"/>
    </xf>
    <xf numFmtId="0" fontId="1" fillId="3" borderId="20" xfId="1" applyFill="1" applyBorder="1" applyAlignment="1">
      <alignment horizontal="right" vertical="center"/>
    </xf>
    <xf numFmtId="0" fontId="1" fillId="3" borderId="21" xfId="1" applyFill="1" applyBorder="1" applyAlignment="1">
      <alignment horizontal="left" vertical="center" shrinkToFit="1"/>
    </xf>
    <xf numFmtId="0" fontId="1" fillId="0" borderId="119" xfId="1" applyBorder="1" applyAlignment="1">
      <alignment vertical="center"/>
    </xf>
    <xf numFmtId="9" fontId="0" fillId="0" borderId="12" xfId="2" applyFont="1" applyBorder="1" applyAlignment="1">
      <alignment horizontal="center" vertical="center"/>
    </xf>
    <xf numFmtId="185" fontId="31" fillId="3" borderId="26" xfId="1" applyNumberFormat="1" applyFont="1" applyFill="1" applyBorder="1" applyAlignment="1">
      <alignment horizontal="center" vertical="center"/>
    </xf>
    <xf numFmtId="0" fontId="1" fillId="2" borderId="33" xfId="1" applyFill="1" applyBorder="1" applyAlignment="1">
      <alignment horizontal="left" vertical="center"/>
    </xf>
    <xf numFmtId="0" fontId="1" fillId="7" borderId="12" xfId="1" applyFill="1" applyBorder="1" applyAlignment="1">
      <alignment horizontal="left" vertical="center"/>
    </xf>
    <xf numFmtId="0" fontId="1" fillId="3" borderId="20" xfId="1" applyFill="1" applyBorder="1" applyAlignment="1">
      <alignment horizontal="left" vertical="center"/>
    </xf>
    <xf numFmtId="0" fontId="1" fillId="0" borderId="43" xfId="1" applyBorder="1" applyAlignment="1">
      <alignment horizontal="left" vertical="center"/>
    </xf>
    <xf numFmtId="182" fontId="1" fillId="3" borderId="20" xfId="1" applyNumberFormat="1" applyFill="1" applyBorder="1" applyAlignment="1">
      <alignment horizontal="center" vertical="center"/>
    </xf>
    <xf numFmtId="0" fontId="1" fillId="0" borderId="20" xfId="1" applyBorder="1" applyAlignment="1">
      <alignment horizontal="left" vertical="center"/>
    </xf>
    <xf numFmtId="0" fontId="1" fillId="0" borderId="26" xfId="1" applyBorder="1" applyAlignment="1">
      <alignment horizontal="left" vertical="center"/>
    </xf>
    <xf numFmtId="0" fontId="1" fillId="3" borderId="33" xfId="1" applyFill="1" applyBorder="1" applyAlignment="1">
      <alignment horizontal="left" vertical="center"/>
    </xf>
    <xf numFmtId="176" fontId="1" fillId="3" borderId="33" xfId="1" applyNumberFormat="1" applyFill="1" applyBorder="1" applyAlignment="1">
      <alignment horizontal="center" vertical="center"/>
    </xf>
    <xf numFmtId="0" fontId="1" fillId="3" borderId="27" xfId="1" applyFill="1" applyBorder="1" applyAlignment="1">
      <alignment vertical="center" shrinkToFit="1"/>
    </xf>
    <xf numFmtId="0" fontId="1" fillId="0" borderId="15" xfId="1" applyBorder="1" applyAlignment="1">
      <alignment horizontal="left" vertical="center"/>
    </xf>
    <xf numFmtId="176" fontId="1" fillId="0" borderId="26" xfId="1" applyNumberFormat="1" applyBorder="1" applyAlignment="1">
      <alignment vertical="center"/>
    </xf>
    <xf numFmtId="0" fontId="1" fillId="0" borderId="116" xfId="1" applyBorder="1" applyAlignment="1">
      <alignment horizontal="left" vertical="center"/>
    </xf>
    <xf numFmtId="183" fontId="1" fillId="3" borderId="20" xfId="1" applyNumberFormat="1" applyFill="1" applyBorder="1" applyAlignment="1">
      <alignment horizontal="center" vertical="center"/>
    </xf>
    <xf numFmtId="0" fontId="1" fillId="3" borderId="27" xfId="1" applyFill="1" applyBorder="1" applyAlignment="1">
      <alignment vertical="center"/>
    </xf>
    <xf numFmtId="0" fontId="1" fillId="0" borderId="5" xfId="1" applyBorder="1" applyAlignment="1">
      <alignment vertical="center"/>
    </xf>
    <xf numFmtId="0" fontId="30" fillId="3" borderId="20" xfId="1" applyFont="1" applyFill="1" applyBorder="1" applyAlignment="1">
      <alignment horizontal="left" vertical="center"/>
    </xf>
    <xf numFmtId="0" fontId="30" fillId="3" borderId="26" xfId="1" applyFont="1" applyFill="1" applyBorder="1" applyAlignment="1">
      <alignment horizontal="left" vertical="center"/>
    </xf>
    <xf numFmtId="0" fontId="17" fillId="0" borderId="26" xfId="1" applyFont="1" applyBorder="1" applyAlignment="1">
      <alignment horizontal="left" vertical="center"/>
    </xf>
    <xf numFmtId="0" fontId="36" fillId="7" borderId="26" xfId="1" applyFont="1" applyFill="1" applyBorder="1" applyAlignment="1">
      <alignment vertical="center"/>
    </xf>
    <xf numFmtId="0" fontId="1" fillId="2" borderId="117" xfId="1" applyFill="1" applyBorder="1" applyAlignment="1">
      <alignment horizontal="center" vertical="center"/>
    </xf>
    <xf numFmtId="0" fontId="1" fillId="3" borderId="117" xfId="1" applyFill="1" applyBorder="1" applyAlignment="1">
      <alignment horizontal="center" vertical="center"/>
    </xf>
  </cellXfs>
  <cellStyles count="5">
    <cellStyle name="백분율 2" xfId="2" xr:uid="{914C9F6F-9CEC-4E9E-B0BC-EDD2AD17F692}"/>
    <cellStyle name="쉼표 [0] 2" xfId="3" xr:uid="{C1BEC842-EF51-4356-A682-4AB1DF630202}"/>
    <cellStyle name="쉼표 [0] 3" xfId="4" xr:uid="{895921D9-3D0E-4284-9EFF-3ABAEC34D987}"/>
    <cellStyle name="표준" xfId="0" builtinId="0"/>
    <cellStyle name="표준 2" xfId="1" xr:uid="{27AD8A1C-B245-431F-8553-6B796ECF22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257175</xdr:colOff>
      <xdr:row>15</xdr:row>
      <xdr:rowOff>28575</xdr:rowOff>
    </xdr:from>
    <xdr:to>
      <xdr:col>14</xdr:col>
      <xdr:colOff>9510</xdr:colOff>
      <xdr:row>16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44775183-485E-44F5-B93F-DB74A1A24E73}"/>
            </a:ext>
          </a:extLst>
        </xdr:cNvPr>
        <xdr:cNvSpPr>
          <a:spLocks/>
        </xdr:cNvSpPr>
      </xdr:nvSpPr>
      <xdr:spPr bwMode="auto">
        <a:xfrm>
          <a:off x="7709535" y="3800475"/>
          <a:ext cx="2998455" cy="21526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266700</xdr:colOff>
      <xdr:row>11</xdr:row>
      <xdr:rowOff>9525</xdr:rowOff>
    </xdr:from>
    <xdr:to>
      <xdr:col>14</xdr:col>
      <xdr:colOff>28575</xdr:colOff>
      <xdr:row>12</xdr:row>
      <xdr:rowOff>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12B73D20-3460-43EF-9909-10156C045687}"/>
            </a:ext>
          </a:extLst>
        </xdr:cNvPr>
        <xdr:cNvSpPr>
          <a:spLocks/>
        </xdr:cNvSpPr>
      </xdr:nvSpPr>
      <xdr:spPr bwMode="auto">
        <a:xfrm>
          <a:off x="7719060" y="2806065"/>
          <a:ext cx="3007995" cy="23431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266700</xdr:colOff>
      <xdr:row>17</xdr:row>
      <xdr:rowOff>19050</xdr:rowOff>
    </xdr:from>
    <xdr:to>
      <xdr:col>14</xdr:col>
      <xdr:colOff>28575</xdr:colOff>
      <xdr:row>18</xdr:row>
      <xdr:rowOff>275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EE201B9-C9D9-4246-8291-413E50F7B24B}"/>
            </a:ext>
          </a:extLst>
        </xdr:cNvPr>
        <xdr:cNvSpPr>
          <a:spLocks/>
        </xdr:cNvSpPr>
      </xdr:nvSpPr>
      <xdr:spPr bwMode="auto">
        <a:xfrm>
          <a:off x="7719060" y="4278630"/>
          <a:ext cx="3007995" cy="22506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276225</xdr:colOff>
      <xdr:row>7</xdr:row>
      <xdr:rowOff>147640</xdr:rowOff>
    </xdr:from>
    <xdr:to>
      <xdr:col>14</xdr:col>
      <xdr:colOff>38100</xdr:colOff>
      <xdr:row>8</xdr:row>
      <xdr:rowOff>190501</xdr:rowOff>
    </xdr:to>
    <xdr:sp macro="" textlink="">
      <xdr:nvSpPr>
        <xdr:cNvPr id="5" name="AutoShape 9">
          <a:extLst>
            <a:ext uri="{FF2B5EF4-FFF2-40B4-BE49-F238E27FC236}">
              <a16:creationId xmlns:a16="http://schemas.microsoft.com/office/drawing/2014/main" id="{24B1E7FC-C19A-4594-8439-1143BCB246D1}"/>
            </a:ext>
          </a:extLst>
        </xdr:cNvPr>
        <xdr:cNvSpPr>
          <a:spLocks/>
        </xdr:cNvSpPr>
      </xdr:nvSpPr>
      <xdr:spPr bwMode="auto">
        <a:xfrm>
          <a:off x="7728585" y="1968820"/>
          <a:ext cx="3007995" cy="286701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259551</xdr:colOff>
      <xdr:row>14</xdr:row>
      <xdr:rowOff>0</xdr:rowOff>
    </xdr:from>
    <xdr:to>
      <xdr:col>14</xdr:col>
      <xdr:colOff>11916</xdr:colOff>
      <xdr:row>14</xdr:row>
      <xdr:rowOff>229365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3E9148CF-79D2-472B-B88C-F7A163862D0C}"/>
            </a:ext>
          </a:extLst>
        </xdr:cNvPr>
        <xdr:cNvSpPr>
          <a:spLocks/>
        </xdr:cNvSpPr>
      </xdr:nvSpPr>
      <xdr:spPr bwMode="auto">
        <a:xfrm>
          <a:off x="7711911" y="3528060"/>
          <a:ext cx="2998485" cy="22936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261932</xdr:colOff>
      <xdr:row>8</xdr:row>
      <xdr:rowOff>226218</xdr:rowOff>
    </xdr:from>
    <xdr:to>
      <xdr:col>14</xdr:col>
      <xdr:colOff>8586</xdr:colOff>
      <xdr:row>10</xdr:row>
      <xdr:rowOff>190500</xdr:rowOff>
    </xdr:to>
    <xdr:sp macro="" textlink="">
      <xdr:nvSpPr>
        <xdr:cNvPr id="7" name="AutoShape 9">
          <a:extLst>
            <a:ext uri="{FF2B5EF4-FFF2-40B4-BE49-F238E27FC236}">
              <a16:creationId xmlns:a16="http://schemas.microsoft.com/office/drawing/2014/main" id="{F89FA1A6-BEE0-49D5-9539-C96A7ED2FB7B}"/>
            </a:ext>
          </a:extLst>
        </xdr:cNvPr>
        <xdr:cNvSpPr>
          <a:spLocks/>
        </xdr:cNvSpPr>
      </xdr:nvSpPr>
      <xdr:spPr bwMode="auto">
        <a:xfrm>
          <a:off x="7714292" y="2291238"/>
          <a:ext cx="2992774" cy="451962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6</xdr:col>
      <xdr:colOff>295275</xdr:colOff>
      <xdr:row>0</xdr:row>
      <xdr:rowOff>276398</xdr:rowOff>
    </xdr:to>
    <xdr:sp macro="[1]!값이있는행만출력하시오" textlink="">
      <xdr:nvSpPr>
        <xdr:cNvPr id="2" name="AutoShape 22">
          <a:extLst>
            <a:ext uri="{FF2B5EF4-FFF2-40B4-BE49-F238E27FC236}">
              <a16:creationId xmlns:a16="http://schemas.microsoft.com/office/drawing/2014/main" id="{B6879A94-63DE-4299-8153-3792F20BA71D}"/>
            </a:ext>
          </a:extLst>
        </xdr:cNvPr>
        <xdr:cNvSpPr>
          <a:spLocks noChangeArrowheads="1"/>
        </xdr:cNvSpPr>
      </xdr:nvSpPr>
      <xdr:spPr bwMode="auto">
        <a:xfrm>
          <a:off x="3682365" y="11430"/>
          <a:ext cx="260223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</xdr:colOff>
      <xdr:row>0</xdr:row>
      <xdr:rowOff>0</xdr:rowOff>
    </xdr:from>
    <xdr:to>
      <xdr:col>8</xdr:col>
      <xdr:colOff>962035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4467F16-523F-48B2-AF3E-7A9FE5934C65}"/>
            </a:ext>
          </a:extLst>
        </xdr:cNvPr>
        <xdr:cNvSpPr>
          <a:spLocks noChangeArrowheads="1"/>
        </xdr:cNvSpPr>
      </xdr:nvSpPr>
      <xdr:spPr bwMode="auto">
        <a:xfrm>
          <a:off x="5901690" y="0"/>
          <a:ext cx="354140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203835</xdr:colOff>
      <xdr:row>0</xdr:row>
      <xdr:rowOff>11430</xdr:rowOff>
    </xdr:from>
    <xdr:to>
      <xdr:col>3</xdr:col>
      <xdr:colOff>1232535</xdr:colOff>
      <xdr:row>0</xdr:row>
      <xdr:rowOff>276398</xdr:rowOff>
    </xdr:to>
    <xdr:sp macro="[1]!값이있는행만출력하시오" textlink="">
      <xdr:nvSpPr>
        <xdr:cNvPr id="3" name="AutoShape 5">
          <a:extLst>
            <a:ext uri="{FF2B5EF4-FFF2-40B4-BE49-F238E27FC236}">
              <a16:creationId xmlns:a16="http://schemas.microsoft.com/office/drawing/2014/main" id="{4299D0E8-2D35-4B42-ACEA-878F877449FE}"/>
            </a:ext>
          </a:extLst>
        </xdr:cNvPr>
        <xdr:cNvSpPr>
          <a:spLocks noChangeArrowheads="1"/>
        </xdr:cNvSpPr>
      </xdr:nvSpPr>
      <xdr:spPr bwMode="auto">
        <a:xfrm>
          <a:off x="3663315" y="11430"/>
          <a:ext cx="10287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1266825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C49FCEF0-FBC0-40FA-95EC-318E22706364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66800" cy="264968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205740</xdr:colOff>
      <xdr:row>0</xdr:row>
      <xdr:rowOff>0</xdr:rowOff>
    </xdr:from>
    <xdr:to>
      <xdr:col>8</xdr:col>
      <xdr:colOff>710565</xdr:colOff>
      <xdr:row>1</xdr:row>
      <xdr:rowOff>0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id="{57B93CE6-8E9D-4E69-9677-3DB277EECE47}"/>
            </a:ext>
          </a:extLst>
        </xdr:cNvPr>
        <xdr:cNvSpPr>
          <a:spLocks noChangeArrowheads="1"/>
        </xdr:cNvSpPr>
      </xdr:nvSpPr>
      <xdr:spPr bwMode="auto">
        <a:xfrm>
          <a:off x="513588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1282155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5BD2E9F6-2095-4660-9964-286773A927B2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8213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291465</xdr:colOff>
      <xdr:row>0</xdr:row>
      <xdr:rowOff>0</xdr:rowOff>
    </xdr:from>
    <xdr:to>
      <xdr:col>8</xdr:col>
      <xdr:colOff>800107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2972388B-9024-4A1A-90EF-1ED07ABC201D}"/>
            </a:ext>
          </a:extLst>
        </xdr:cNvPr>
        <xdr:cNvSpPr>
          <a:spLocks noChangeArrowheads="1"/>
        </xdr:cNvSpPr>
      </xdr:nvSpPr>
      <xdr:spPr bwMode="auto">
        <a:xfrm>
          <a:off x="5221605" y="0"/>
          <a:ext cx="3533782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1177347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5FFE3E87-DEE1-41B6-A5EA-8E7CB00D5FB2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977322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594380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5CD865ED-FA0E-4F0F-85C8-645FF588A6DC}"/>
            </a:ext>
          </a:extLst>
        </xdr:cNvPr>
        <xdr:cNvSpPr>
          <a:spLocks noChangeArrowheads="1"/>
        </xdr:cNvSpPr>
      </xdr:nvSpPr>
      <xdr:spPr bwMode="auto">
        <a:xfrm>
          <a:off x="5015865" y="0"/>
          <a:ext cx="353379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4</xdr:col>
      <xdr:colOff>22911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3D9BAA85-9800-4B2D-A915-19ACD2E6CD02}"/>
            </a:ext>
          </a:extLst>
        </xdr:cNvPr>
        <xdr:cNvSpPr>
          <a:spLocks noChangeArrowheads="1"/>
        </xdr:cNvSpPr>
      </xdr:nvSpPr>
      <xdr:spPr bwMode="auto">
        <a:xfrm>
          <a:off x="4246245" y="11430"/>
          <a:ext cx="889686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4F27FF15-5455-4B07-9779-87AF499F15CF}"/>
            </a:ext>
          </a:extLst>
        </xdr:cNvPr>
        <xdr:cNvSpPr>
          <a:spLocks noChangeArrowheads="1"/>
        </xdr:cNvSpPr>
      </xdr:nvSpPr>
      <xdr:spPr bwMode="auto">
        <a:xfrm>
          <a:off x="5293995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1244058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AB32F58B-2BAD-41A5-A10E-B7EF074298AF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44033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291465</xdr:colOff>
      <xdr:row>0</xdr:row>
      <xdr:rowOff>0</xdr:rowOff>
    </xdr:from>
    <xdr:to>
      <xdr:col>8</xdr:col>
      <xdr:colOff>800107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26F08896-E1EC-489C-8CF1-713C92229B69}"/>
            </a:ext>
          </a:extLst>
        </xdr:cNvPr>
        <xdr:cNvSpPr>
          <a:spLocks noChangeArrowheads="1"/>
        </xdr:cNvSpPr>
      </xdr:nvSpPr>
      <xdr:spPr bwMode="auto">
        <a:xfrm>
          <a:off x="5221605" y="0"/>
          <a:ext cx="3533782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1177347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284EB2C1-CAA2-4C28-BF93-2FB7C65EDF7D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977322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167640</xdr:colOff>
      <xdr:row>0</xdr:row>
      <xdr:rowOff>0</xdr:rowOff>
    </xdr:from>
    <xdr:to>
      <xdr:col>8</xdr:col>
      <xdr:colOff>672465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A54FBD27-070A-4978-A7D0-F945434F9729}"/>
            </a:ext>
          </a:extLst>
        </xdr:cNvPr>
        <xdr:cNvSpPr>
          <a:spLocks noChangeArrowheads="1"/>
        </xdr:cNvSpPr>
      </xdr:nvSpPr>
      <xdr:spPr bwMode="auto">
        <a:xfrm>
          <a:off x="509778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1165924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BDABABF0-0B08-4B8A-ACD4-88823A1730B8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965899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77</xdr:row>
      <xdr:rowOff>0</xdr:rowOff>
    </xdr:from>
    <xdr:to>
      <xdr:col>9</xdr:col>
      <xdr:colOff>2</xdr:colOff>
      <xdr:row>77</xdr:row>
      <xdr:rowOff>0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id="{152E8B29-3FED-42D2-808C-051240A61DF9}"/>
            </a:ext>
          </a:extLst>
        </xdr:cNvPr>
        <xdr:cNvSpPr>
          <a:spLocks noChangeArrowheads="1"/>
        </xdr:cNvSpPr>
      </xdr:nvSpPr>
      <xdr:spPr bwMode="auto">
        <a:xfrm>
          <a:off x="1746885" y="15346680"/>
          <a:ext cx="7176137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518180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id="{95403144-AC46-4B3F-ABD5-03E67010091C}"/>
            </a:ext>
          </a:extLst>
        </xdr:cNvPr>
        <xdr:cNvSpPr>
          <a:spLocks noChangeArrowheads="1"/>
        </xdr:cNvSpPr>
      </xdr:nvSpPr>
      <xdr:spPr bwMode="auto">
        <a:xfrm>
          <a:off x="4939665" y="0"/>
          <a:ext cx="353379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1165924</xdr:colOff>
      <xdr:row>0</xdr:row>
      <xdr:rowOff>276398</xdr:rowOff>
    </xdr:to>
    <xdr:sp macro="[1]!값이있는행만출력하시오" textlink="">
      <xdr:nvSpPr>
        <xdr:cNvPr id="2" name="AutoShape 2">
          <a:extLst>
            <a:ext uri="{FF2B5EF4-FFF2-40B4-BE49-F238E27FC236}">
              <a16:creationId xmlns:a16="http://schemas.microsoft.com/office/drawing/2014/main" id="{A6A7E840-747B-4845-95C4-2A289B9752F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965899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77</xdr:row>
      <xdr:rowOff>0</xdr:rowOff>
    </xdr:from>
    <xdr:to>
      <xdr:col>9</xdr:col>
      <xdr:colOff>2</xdr:colOff>
      <xdr:row>77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61701358-D6BD-43D8-ADA1-4184E41CD2F2}"/>
            </a:ext>
          </a:extLst>
        </xdr:cNvPr>
        <xdr:cNvSpPr>
          <a:spLocks noChangeArrowheads="1"/>
        </xdr:cNvSpPr>
      </xdr:nvSpPr>
      <xdr:spPr bwMode="auto">
        <a:xfrm>
          <a:off x="1746885" y="15346680"/>
          <a:ext cx="7176137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id="{83CFFBBF-95D5-411B-9A4C-55B63B842DA9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52615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1165924</xdr:colOff>
      <xdr:row>0</xdr:row>
      <xdr:rowOff>276398</xdr:rowOff>
    </xdr:to>
    <xdr:sp macro="[1]!값이있는행만출력하시오" textlink="">
      <xdr:nvSpPr>
        <xdr:cNvPr id="2" name="AutoShape 2">
          <a:extLst>
            <a:ext uri="{FF2B5EF4-FFF2-40B4-BE49-F238E27FC236}">
              <a16:creationId xmlns:a16="http://schemas.microsoft.com/office/drawing/2014/main" id="{8B6AD567-B2DB-46CC-AF21-E76013921CE5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965899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77</xdr:row>
      <xdr:rowOff>0</xdr:rowOff>
    </xdr:from>
    <xdr:to>
      <xdr:col>9</xdr:col>
      <xdr:colOff>2</xdr:colOff>
      <xdr:row>77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61139229-6A50-408A-BC21-FB8923152E71}"/>
            </a:ext>
          </a:extLst>
        </xdr:cNvPr>
        <xdr:cNvSpPr>
          <a:spLocks noChangeArrowheads="1"/>
        </xdr:cNvSpPr>
      </xdr:nvSpPr>
      <xdr:spPr bwMode="auto">
        <a:xfrm>
          <a:off x="1746885" y="15346680"/>
          <a:ext cx="7176137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id="{8D1E62B2-9D74-4D6C-AC26-E413FC6453FB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2615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A\Desktop\260707%20&#47084;&#45789;&#47017;%20&#49888;&#44508;&#44284;&#51228;\&#44204;&#51201;&#49436;\&#53580;&#49828;&#53944;\7.%20&#44204;&#51201;&#49436;.xls" TargetMode="External"/><Relationship Id="rId1" Type="http://schemas.openxmlformats.org/officeDocument/2006/relationships/externalLinkPath" Target="7.%20&#44204;&#51201;&#494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갑지"/>
      <sheetName val="원가항목별(집계)"/>
      <sheetName val="단위공사별(집계)"/>
      <sheetName val="전기"/>
      <sheetName val="단위장비1"/>
      <sheetName val="단위장비2"/>
      <sheetName val="단위장비3"/>
      <sheetName val="단위장비4"/>
      <sheetName val="단위장비5"/>
      <sheetName val="단위장비6"/>
      <sheetName val="단위장비7"/>
      <sheetName val="단위장비8"/>
      <sheetName val="단위장비9"/>
      <sheetName val="단위장비10"/>
      <sheetName val="첨부(견적조건차이내역)"/>
    </sheetNames>
    <definedNames>
      <definedName name="값이있는행만출력하시오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41083-F911-42B4-8560-643E0538FC13}">
  <sheetPr>
    <pageSetUpPr fitToPage="1"/>
  </sheetPr>
  <dimension ref="B1:K45"/>
  <sheetViews>
    <sheetView tabSelected="1" zoomScale="90" zoomScaleNormal="90" zoomScaleSheetLayoutView="90" workbookViewId="0">
      <selection activeCell="I4" sqref="I4"/>
    </sheetView>
  </sheetViews>
  <sheetFormatPr defaultColWidth="9" defaultRowHeight="14.4"/>
  <cols>
    <col min="1" max="1" width="2" style="24" customWidth="1"/>
    <col min="2" max="2" width="4.8984375" style="24" customWidth="1"/>
    <col min="3" max="3" width="8.5" style="24" customWidth="1"/>
    <col min="4" max="4" width="14.69921875" style="24" customWidth="1"/>
    <col min="5" max="6" width="11.09765625" style="24" customWidth="1"/>
    <col min="7" max="7" width="14.09765625" style="24" customWidth="1"/>
    <col min="8" max="8" width="14.59765625" style="24" customWidth="1"/>
    <col min="9" max="9" width="8.69921875" style="24" customWidth="1"/>
    <col min="10" max="10" width="9" style="24"/>
    <col min="11" max="11" width="33.19921875" style="24" customWidth="1"/>
    <col min="12" max="256" width="9" style="24"/>
    <col min="257" max="257" width="2" style="24" customWidth="1"/>
    <col min="258" max="258" width="4.8984375" style="24" customWidth="1"/>
    <col min="259" max="259" width="8.5" style="24" customWidth="1"/>
    <col min="260" max="260" width="14.69921875" style="24" customWidth="1"/>
    <col min="261" max="262" width="11.09765625" style="24" customWidth="1"/>
    <col min="263" max="263" width="14.09765625" style="24" customWidth="1"/>
    <col min="264" max="264" width="14.59765625" style="24" customWidth="1"/>
    <col min="265" max="265" width="8.69921875" style="24" customWidth="1"/>
    <col min="266" max="266" width="9" style="24"/>
    <col min="267" max="267" width="33.19921875" style="24" customWidth="1"/>
    <col min="268" max="512" width="9" style="24"/>
    <col min="513" max="513" width="2" style="24" customWidth="1"/>
    <col min="514" max="514" width="4.8984375" style="24" customWidth="1"/>
    <col min="515" max="515" width="8.5" style="24" customWidth="1"/>
    <col min="516" max="516" width="14.69921875" style="24" customWidth="1"/>
    <col min="517" max="518" width="11.09765625" style="24" customWidth="1"/>
    <col min="519" max="519" width="14.09765625" style="24" customWidth="1"/>
    <col min="520" max="520" width="14.59765625" style="24" customWidth="1"/>
    <col min="521" max="521" width="8.69921875" style="24" customWidth="1"/>
    <col min="522" max="522" width="9" style="24"/>
    <col min="523" max="523" width="33.19921875" style="24" customWidth="1"/>
    <col min="524" max="768" width="9" style="24"/>
    <col min="769" max="769" width="2" style="24" customWidth="1"/>
    <col min="770" max="770" width="4.8984375" style="24" customWidth="1"/>
    <col min="771" max="771" width="8.5" style="24" customWidth="1"/>
    <col min="772" max="772" width="14.69921875" style="24" customWidth="1"/>
    <col min="773" max="774" width="11.09765625" style="24" customWidth="1"/>
    <col min="775" max="775" width="14.09765625" style="24" customWidth="1"/>
    <col min="776" max="776" width="14.59765625" style="24" customWidth="1"/>
    <col min="777" max="777" width="8.69921875" style="24" customWidth="1"/>
    <col min="778" max="778" width="9" style="24"/>
    <col min="779" max="779" width="33.19921875" style="24" customWidth="1"/>
    <col min="780" max="1024" width="9" style="24"/>
    <col min="1025" max="1025" width="2" style="24" customWidth="1"/>
    <col min="1026" max="1026" width="4.8984375" style="24" customWidth="1"/>
    <col min="1027" max="1027" width="8.5" style="24" customWidth="1"/>
    <col min="1028" max="1028" width="14.69921875" style="24" customWidth="1"/>
    <col min="1029" max="1030" width="11.09765625" style="24" customWidth="1"/>
    <col min="1031" max="1031" width="14.09765625" style="24" customWidth="1"/>
    <col min="1032" max="1032" width="14.59765625" style="24" customWidth="1"/>
    <col min="1033" max="1033" width="8.69921875" style="24" customWidth="1"/>
    <col min="1034" max="1034" width="9" style="24"/>
    <col min="1035" max="1035" width="33.19921875" style="24" customWidth="1"/>
    <col min="1036" max="1280" width="9" style="24"/>
    <col min="1281" max="1281" width="2" style="24" customWidth="1"/>
    <col min="1282" max="1282" width="4.8984375" style="24" customWidth="1"/>
    <col min="1283" max="1283" width="8.5" style="24" customWidth="1"/>
    <col min="1284" max="1284" width="14.69921875" style="24" customWidth="1"/>
    <col min="1285" max="1286" width="11.09765625" style="24" customWidth="1"/>
    <col min="1287" max="1287" width="14.09765625" style="24" customWidth="1"/>
    <col min="1288" max="1288" width="14.59765625" style="24" customWidth="1"/>
    <col min="1289" max="1289" width="8.69921875" style="24" customWidth="1"/>
    <col min="1290" max="1290" width="9" style="24"/>
    <col min="1291" max="1291" width="33.19921875" style="24" customWidth="1"/>
    <col min="1292" max="1536" width="9" style="24"/>
    <col min="1537" max="1537" width="2" style="24" customWidth="1"/>
    <col min="1538" max="1538" width="4.8984375" style="24" customWidth="1"/>
    <col min="1539" max="1539" width="8.5" style="24" customWidth="1"/>
    <col min="1540" max="1540" width="14.69921875" style="24" customWidth="1"/>
    <col min="1541" max="1542" width="11.09765625" style="24" customWidth="1"/>
    <col min="1543" max="1543" width="14.09765625" style="24" customWidth="1"/>
    <col min="1544" max="1544" width="14.59765625" style="24" customWidth="1"/>
    <col min="1545" max="1545" width="8.69921875" style="24" customWidth="1"/>
    <col min="1546" max="1546" width="9" style="24"/>
    <col min="1547" max="1547" width="33.19921875" style="24" customWidth="1"/>
    <col min="1548" max="1792" width="9" style="24"/>
    <col min="1793" max="1793" width="2" style="24" customWidth="1"/>
    <col min="1794" max="1794" width="4.8984375" style="24" customWidth="1"/>
    <col min="1795" max="1795" width="8.5" style="24" customWidth="1"/>
    <col min="1796" max="1796" width="14.69921875" style="24" customWidth="1"/>
    <col min="1797" max="1798" width="11.09765625" style="24" customWidth="1"/>
    <col min="1799" max="1799" width="14.09765625" style="24" customWidth="1"/>
    <col min="1800" max="1800" width="14.59765625" style="24" customWidth="1"/>
    <col min="1801" max="1801" width="8.69921875" style="24" customWidth="1"/>
    <col min="1802" max="1802" width="9" style="24"/>
    <col min="1803" max="1803" width="33.19921875" style="24" customWidth="1"/>
    <col min="1804" max="2048" width="9" style="24"/>
    <col min="2049" max="2049" width="2" style="24" customWidth="1"/>
    <col min="2050" max="2050" width="4.8984375" style="24" customWidth="1"/>
    <col min="2051" max="2051" width="8.5" style="24" customWidth="1"/>
    <col min="2052" max="2052" width="14.69921875" style="24" customWidth="1"/>
    <col min="2053" max="2054" width="11.09765625" style="24" customWidth="1"/>
    <col min="2055" max="2055" width="14.09765625" style="24" customWidth="1"/>
    <col min="2056" max="2056" width="14.59765625" style="24" customWidth="1"/>
    <col min="2057" max="2057" width="8.69921875" style="24" customWidth="1"/>
    <col min="2058" max="2058" width="9" style="24"/>
    <col min="2059" max="2059" width="33.19921875" style="24" customWidth="1"/>
    <col min="2060" max="2304" width="9" style="24"/>
    <col min="2305" max="2305" width="2" style="24" customWidth="1"/>
    <col min="2306" max="2306" width="4.8984375" style="24" customWidth="1"/>
    <col min="2307" max="2307" width="8.5" style="24" customWidth="1"/>
    <col min="2308" max="2308" width="14.69921875" style="24" customWidth="1"/>
    <col min="2309" max="2310" width="11.09765625" style="24" customWidth="1"/>
    <col min="2311" max="2311" width="14.09765625" style="24" customWidth="1"/>
    <col min="2312" max="2312" width="14.59765625" style="24" customWidth="1"/>
    <col min="2313" max="2313" width="8.69921875" style="24" customWidth="1"/>
    <col min="2314" max="2314" width="9" style="24"/>
    <col min="2315" max="2315" width="33.19921875" style="24" customWidth="1"/>
    <col min="2316" max="2560" width="9" style="24"/>
    <col min="2561" max="2561" width="2" style="24" customWidth="1"/>
    <col min="2562" max="2562" width="4.8984375" style="24" customWidth="1"/>
    <col min="2563" max="2563" width="8.5" style="24" customWidth="1"/>
    <col min="2564" max="2564" width="14.69921875" style="24" customWidth="1"/>
    <col min="2565" max="2566" width="11.09765625" style="24" customWidth="1"/>
    <col min="2567" max="2567" width="14.09765625" style="24" customWidth="1"/>
    <col min="2568" max="2568" width="14.59765625" style="24" customWidth="1"/>
    <col min="2569" max="2569" width="8.69921875" style="24" customWidth="1"/>
    <col min="2570" max="2570" width="9" style="24"/>
    <col min="2571" max="2571" width="33.19921875" style="24" customWidth="1"/>
    <col min="2572" max="2816" width="9" style="24"/>
    <col min="2817" max="2817" width="2" style="24" customWidth="1"/>
    <col min="2818" max="2818" width="4.8984375" style="24" customWidth="1"/>
    <col min="2819" max="2819" width="8.5" style="24" customWidth="1"/>
    <col min="2820" max="2820" width="14.69921875" style="24" customWidth="1"/>
    <col min="2821" max="2822" width="11.09765625" style="24" customWidth="1"/>
    <col min="2823" max="2823" width="14.09765625" style="24" customWidth="1"/>
    <col min="2824" max="2824" width="14.59765625" style="24" customWidth="1"/>
    <col min="2825" max="2825" width="8.69921875" style="24" customWidth="1"/>
    <col min="2826" max="2826" width="9" style="24"/>
    <col min="2827" max="2827" width="33.19921875" style="24" customWidth="1"/>
    <col min="2828" max="3072" width="9" style="24"/>
    <col min="3073" max="3073" width="2" style="24" customWidth="1"/>
    <col min="3074" max="3074" width="4.8984375" style="24" customWidth="1"/>
    <col min="3075" max="3075" width="8.5" style="24" customWidth="1"/>
    <col min="3076" max="3076" width="14.69921875" style="24" customWidth="1"/>
    <col min="3077" max="3078" width="11.09765625" style="24" customWidth="1"/>
    <col min="3079" max="3079" width="14.09765625" style="24" customWidth="1"/>
    <col min="3080" max="3080" width="14.59765625" style="24" customWidth="1"/>
    <col min="3081" max="3081" width="8.69921875" style="24" customWidth="1"/>
    <col min="3082" max="3082" width="9" style="24"/>
    <col min="3083" max="3083" width="33.19921875" style="24" customWidth="1"/>
    <col min="3084" max="3328" width="9" style="24"/>
    <col min="3329" max="3329" width="2" style="24" customWidth="1"/>
    <col min="3330" max="3330" width="4.8984375" style="24" customWidth="1"/>
    <col min="3331" max="3331" width="8.5" style="24" customWidth="1"/>
    <col min="3332" max="3332" width="14.69921875" style="24" customWidth="1"/>
    <col min="3333" max="3334" width="11.09765625" style="24" customWidth="1"/>
    <col min="3335" max="3335" width="14.09765625" style="24" customWidth="1"/>
    <col min="3336" max="3336" width="14.59765625" style="24" customWidth="1"/>
    <col min="3337" max="3337" width="8.69921875" style="24" customWidth="1"/>
    <col min="3338" max="3338" width="9" style="24"/>
    <col min="3339" max="3339" width="33.19921875" style="24" customWidth="1"/>
    <col min="3340" max="3584" width="9" style="24"/>
    <col min="3585" max="3585" width="2" style="24" customWidth="1"/>
    <col min="3586" max="3586" width="4.8984375" style="24" customWidth="1"/>
    <col min="3587" max="3587" width="8.5" style="24" customWidth="1"/>
    <col min="3588" max="3588" width="14.69921875" style="24" customWidth="1"/>
    <col min="3589" max="3590" width="11.09765625" style="24" customWidth="1"/>
    <col min="3591" max="3591" width="14.09765625" style="24" customWidth="1"/>
    <col min="3592" max="3592" width="14.59765625" style="24" customWidth="1"/>
    <col min="3593" max="3593" width="8.69921875" style="24" customWidth="1"/>
    <col min="3594" max="3594" width="9" style="24"/>
    <col min="3595" max="3595" width="33.19921875" style="24" customWidth="1"/>
    <col min="3596" max="3840" width="9" style="24"/>
    <col min="3841" max="3841" width="2" style="24" customWidth="1"/>
    <col min="3842" max="3842" width="4.8984375" style="24" customWidth="1"/>
    <col min="3843" max="3843" width="8.5" style="24" customWidth="1"/>
    <col min="3844" max="3844" width="14.69921875" style="24" customWidth="1"/>
    <col min="3845" max="3846" width="11.09765625" style="24" customWidth="1"/>
    <col min="3847" max="3847" width="14.09765625" style="24" customWidth="1"/>
    <col min="3848" max="3848" width="14.59765625" style="24" customWidth="1"/>
    <col min="3849" max="3849" width="8.69921875" style="24" customWidth="1"/>
    <col min="3850" max="3850" width="9" style="24"/>
    <col min="3851" max="3851" width="33.19921875" style="24" customWidth="1"/>
    <col min="3852" max="4096" width="9" style="24"/>
    <col min="4097" max="4097" width="2" style="24" customWidth="1"/>
    <col min="4098" max="4098" width="4.8984375" style="24" customWidth="1"/>
    <col min="4099" max="4099" width="8.5" style="24" customWidth="1"/>
    <col min="4100" max="4100" width="14.69921875" style="24" customWidth="1"/>
    <col min="4101" max="4102" width="11.09765625" style="24" customWidth="1"/>
    <col min="4103" max="4103" width="14.09765625" style="24" customWidth="1"/>
    <col min="4104" max="4104" width="14.59765625" style="24" customWidth="1"/>
    <col min="4105" max="4105" width="8.69921875" style="24" customWidth="1"/>
    <col min="4106" max="4106" width="9" style="24"/>
    <col min="4107" max="4107" width="33.19921875" style="24" customWidth="1"/>
    <col min="4108" max="4352" width="9" style="24"/>
    <col min="4353" max="4353" width="2" style="24" customWidth="1"/>
    <col min="4354" max="4354" width="4.8984375" style="24" customWidth="1"/>
    <col min="4355" max="4355" width="8.5" style="24" customWidth="1"/>
    <col min="4356" max="4356" width="14.69921875" style="24" customWidth="1"/>
    <col min="4357" max="4358" width="11.09765625" style="24" customWidth="1"/>
    <col min="4359" max="4359" width="14.09765625" style="24" customWidth="1"/>
    <col min="4360" max="4360" width="14.59765625" style="24" customWidth="1"/>
    <col min="4361" max="4361" width="8.69921875" style="24" customWidth="1"/>
    <col min="4362" max="4362" width="9" style="24"/>
    <col min="4363" max="4363" width="33.19921875" style="24" customWidth="1"/>
    <col min="4364" max="4608" width="9" style="24"/>
    <col min="4609" max="4609" width="2" style="24" customWidth="1"/>
    <col min="4610" max="4610" width="4.8984375" style="24" customWidth="1"/>
    <col min="4611" max="4611" width="8.5" style="24" customWidth="1"/>
    <col min="4612" max="4612" width="14.69921875" style="24" customWidth="1"/>
    <col min="4613" max="4614" width="11.09765625" style="24" customWidth="1"/>
    <col min="4615" max="4615" width="14.09765625" style="24" customWidth="1"/>
    <col min="4616" max="4616" width="14.59765625" style="24" customWidth="1"/>
    <col min="4617" max="4617" width="8.69921875" style="24" customWidth="1"/>
    <col min="4618" max="4618" width="9" style="24"/>
    <col min="4619" max="4619" width="33.19921875" style="24" customWidth="1"/>
    <col min="4620" max="4864" width="9" style="24"/>
    <col min="4865" max="4865" width="2" style="24" customWidth="1"/>
    <col min="4866" max="4866" width="4.8984375" style="24" customWidth="1"/>
    <col min="4867" max="4867" width="8.5" style="24" customWidth="1"/>
    <col min="4868" max="4868" width="14.69921875" style="24" customWidth="1"/>
    <col min="4869" max="4870" width="11.09765625" style="24" customWidth="1"/>
    <col min="4871" max="4871" width="14.09765625" style="24" customWidth="1"/>
    <col min="4872" max="4872" width="14.59765625" style="24" customWidth="1"/>
    <col min="4873" max="4873" width="8.69921875" style="24" customWidth="1"/>
    <col min="4874" max="4874" width="9" style="24"/>
    <col min="4875" max="4875" width="33.19921875" style="24" customWidth="1"/>
    <col min="4876" max="5120" width="9" style="24"/>
    <col min="5121" max="5121" width="2" style="24" customWidth="1"/>
    <col min="5122" max="5122" width="4.8984375" style="24" customWidth="1"/>
    <col min="5123" max="5123" width="8.5" style="24" customWidth="1"/>
    <col min="5124" max="5124" width="14.69921875" style="24" customWidth="1"/>
    <col min="5125" max="5126" width="11.09765625" style="24" customWidth="1"/>
    <col min="5127" max="5127" width="14.09765625" style="24" customWidth="1"/>
    <col min="5128" max="5128" width="14.59765625" style="24" customWidth="1"/>
    <col min="5129" max="5129" width="8.69921875" style="24" customWidth="1"/>
    <col min="5130" max="5130" width="9" style="24"/>
    <col min="5131" max="5131" width="33.19921875" style="24" customWidth="1"/>
    <col min="5132" max="5376" width="9" style="24"/>
    <col min="5377" max="5377" width="2" style="24" customWidth="1"/>
    <col min="5378" max="5378" width="4.8984375" style="24" customWidth="1"/>
    <col min="5379" max="5379" width="8.5" style="24" customWidth="1"/>
    <col min="5380" max="5380" width="14.69921875" style="24" customWidth="1"/>
    <col min="5381" max="5382" width="11.09765625" style="24" customWidth="1"/>
    <col min="5383" max="5383" width="14.09765625" style="24" customWidth="1"/>
    <col min="5384" max="5384" width="14.59765625" style="24" customWidth="1"/>
    <col min="5385" max="5385" width="8.69921875" style="24" customWidth="1"/>
    <col min="5386" max="5386" width="9" style="24"/>
    <col min="5387" max="5387" width="33.19921875" style="24" customWidth="1"/>
    <col min="5388" max="5632" width="9" style="24"/>
    <col min="5633" max="5633" width="2" style="24" customWidth="1"/>
    <col min="5634" max="5634" width="4.8984375" style="24" customWidth="1"/>
    <col min="5635" max="5635" width="8.5" style="24" customWidth="1"/>
    <col min="5636" max="5636" width="14.69921875" style="24" customWidth="1"/>
    <col min="5637" max="5638" width="11.09765625" style="24" customWidth="1"/>
    <col min="5639" max="5639" width="14.09765625" style="24" customWidth="1"/>
    <col min="5640" max="5640" width="14.59765625" style="24" customWidth="1"/>
    <col min="5641" max="5641" width="8.69921875" style="24" customWidth="1"/>
    <col min="5642" max="5642" width="9" style="24"/>
    <col min="5643" max="5643" width="33.19921875" style="24" customWidth="1"/>
    <col min="5644" max="5888" width="9" style="24"/>
    <col min="5889" max="5889" width="2" style="24" customWidth="1"/>
    <col min="5890" max="5890" width="4.8984375" style="24" customWidth="1"/>
    <col min="5891" max="5891" width="8.5" style="24" customWidth="1"/>
    <col min="5892" max="5892" width="14.69921875" style="24" customWidth="1"/>
    <col min="5893" max="5894" width="11.09765625" style="24" customWidth="1"/>
    <col min="5895" max="5895" width="14.09765625" style="24" customWidth="1"/>
    <col min="5896" max="5896" width="14.59765625" style="24" customWidth="1"/>
    <col min="5897" max="5897" width="8.69921875" style="24" customWidth="1"/>
    <col min="5898" max="5898" width="9" style="24"/>
    <col min="5899" max="5899" width="33.19921875" style="24" customWidth="1"/>
    <col min="5900" max="6144" width="9" style="24"/>
    <col min="6145" max="6145" width="2" style="24" customWidth="1"/>
    <col min="6146" max="6146" width="4.8984375" style="24" customWidth="1"/>
    <col min="6147" max="6147" width="8.5" style="24" customWidth="1"/>
    <col min="6148" max="6148" width="14.69921875" style="24" customWidth="1"/>
    <col min="6149" max="6150" width="11.09765625" style="24" customWidth="1"/>
    <col min="6151" max="6151" width="14.09765625" style="24" customWidth="1"/>
    <col min="6152" max="6152" width="14.59765625" style="24" customWidth="1"/>
    <col min="6153" max="6153" width="8.69921875" style="24" customWidth="1"/>
    <col min="6154" max="6154" width="9" style="24"/>
    <col min="6155" max="6155" width="33.19921875" style="24" customWidth="1"/>
    <col min="6156" max="6400" width="9" style="24"/>
    <col min="6401" max="6401" width="2" style="24" customWidth="1"/>
    <col min="6402" max="6402" width="4.8984375" style="24" customWidth="1"/>
    <col min="6403" max="6403" width="8.5" style="24" customWidth="1"/>
    <col min="6404" max="6404" width="14.69921875" style="24" customWidth="1"/>
    <col min="6405" max="6406" width="11.09765625" style="24" customWidth="1"/>
    <col min="6407" max="6407" width="14.09765625" style="24" customWidth="1"/>
    <col min="6408" max="6408" width="14.59765625" style="24" customWidth="1"/>
    <col min="6409" max="6409" width="8.69921875" style="24" customWidth="1"/>
    <col min="6410" max="6410" width="9" style="24"/>
    <col min="6411" max="6411" width="33.19921875" style="24" customWidth="1"/>
    <col min="6412" max="6656" width="9" style="24"/>
    <col min="6657" max="6657" width="2" style="24" customWidth="1"/>
    <col min="6658" max="6658" width="4.8984375" style="24" customWidth="1"/>
    <col min="6659" max="6659" width="8.5" style="24" customWidth="1"/>
    <col min="6660" max="6660" width="14.69921875" style="24" customWidth="1"/>
    <col min="6661" max="6662" width="11.09765625" style="24" customWidth="1"/>
    <col min="6663" max="6663" width="14.09765625" style="24" customWidth="1"/>
    <col min="6664" max="6664" width="14.59765625" style="24" customWidth="1"/>
    <col min="6665" max="6665" width="8.69921875" style="24" customWidth="1"/>
    <col min="6666" max="6666" width="9" style="24"/>
    <col min="6667" max="6667" width="33.19921875" style="24" customWidth="1"/>
    <col min="6668" max="6912" width="9" style="24"/>
    <col min="6913" max="6913" width="2" style="24" customWidth="1"/>
    <col min="6914" max="6914" width="4.8984375" style="24" customWidth="1"/>
    <col min="6915" max="6915" width="8.5" style="24" customWidth="1"/>
    <col min="6916" max="6916" width="14.69921875" style="24" customWidth="1"/>
    <col min="6917" max="6918" width="11.09765625" style="24" customWidth="1"/>
    <col min="6919" max="6919" width="14.09765625" style="24" customWidth="1"/>
    <col min="6920" max="6920" width="14.59765625" style="24" customWidth="1"/>
    <col min="6921" max="6921" width="8.69921875" style="24" customWidth="1"/>
    <col min="6922" max="6922" width="9" style="24"/>
    <col min="6923" max="6923" width="33.19921875" style="24" customWidth="1"/>
    <col min="6924" max="7168" width="9" style="24"/>
    <col min="7169" max="7169" width="2" style="24" customWidth="1"/>
    <col min="7170" max="7170" width="4.8984375" style="24" customWidth="1"/>
    <col min="7171" max="7171" width="8.5" style="24" customWidth="1"/>
    <col min="7172" max="7172" width="14.69921875" style="24" customWidth="1"/>
    <col min="7173" max="7174" width="11.09765625" style="24" customWidth="1"/>
    <col min="7175" max="7175" width="14.09765625" style="24" customWidth="1"/>
    <col min="7176" max="7176" width="14.59765625" style="24" customWidth="1"/>
    <col min="7177" max="7177" width="8.69921875" style="24" customWidth="1"/>
    <col min="7178" max="7178" width="9" style="24"/>
    <col min="7179" max="7179" width="33.19921875" style="24" customWidth="1"/>
    <col min="7180" max="7424" width="9" style="24"/>
    <col min="7425" max="7425" width="2" style="24" customWidth="1"/>
    <col min="7426" max="7426" width="4.8984375" style="24" customWidth="1"/>
    <col min="7427" max="7427" width="8.5" style="24" customWidth="1"/>
    <col min="7428" max="7428" width="14.69921875" style="24" customWidth="1"/>
    <col min="7429" max="7430" width="11.09765625" style="24" customWidth="1"/>
    <col min="7431" max="7431" width="14.09765625" style="24" customWidth="1"/>
    <col min="7432" max="7432" width="14.59765625" style="24" customWidth="1"/>
    <col min="7433" max="7433" width="8.69921875" style="24" customWidth="1"/>
    <col min="7434" max="7434" width="9" style="24"/>
    <col min="7435" max="7435" width="33.19921875" style="24" customWidth="1"/>
    <col min="7436" max="7680" width="9" style="24"/>
    <col min="7681" max="7681" width="2" style="24" customWidth="1"/>
    <col min="7682" max="7682" width="4.8984375" style="24" customWidth="1"/>
    <col min="7683" max="7683" width="8.5" style="24" customWidth="1"/>
    <col min="7684" max="7684" width="14.69921875" style="24" customWidth="1"/>
    <col min="7685" max="7686" width="11.09765625" style="24" customWidth="1"/>
    <col min="7687" max="7687" width="14.09765625" style="24" customWidth="1"/>
    <col min="7688" max="7688" width="14.59765625" style="24" customWidth="1"/>
    <col min="7689" max="7689" width="8.69921875" style="24" customWidth="1"/>
    <col min="7690" max="7690" width="9" style="24"/>
    <col min="7691" max="7691" width="33.19921875" style="24" customWidth="1"/>
    <col min="7692" max="7936" width="9" style="24"/>
    <col min="7937" max="7937" width="2" style="24" customWidth="1"/>
    <col min="7938" max="7938" width="4.8984375" style="24" customWidth="1"/>
    <col min="7939" max="7939" width="8.5" style="24" customWidth="1"/>
    <col min="7940" max="7940" width="14.69921875" style="24" customWidth="1"/>
    <col min="7941" max="7942" width="11.09765625" style="24" customWidth="1"/>
    <col min="7943" max="7943" width="14.09765625" style="24" customWidth="1"/>
    <col min="7944" max="7944" width="14.59765625" style="24" customWidth="1"/>
    <col min="7945" max="7945" width="8.69921875" style="24" customWidth="1"/>
    <col min="7946" max="7946" width="9" style="24"/>
    <col min="7947" max="7947" width="33.19921875" style="24" customWidth="1"/>
    <col min="7948" max="8192" width="9" style="24"/>
    <col min="8193" max="8193" width="2" style="24" customWidth="1"/>
    <col min="8194" max="8194" width="4.8984375" style="24" customWidth="1"/>
    <col min="8195" max="8195" width="8.5" style="24" customWidth="1"/>
    <col min="8196" max="8196" width="14.69921875" style="24" customWidth="1"/>
    <col min="8197" max="8198" width="11.09765625" style="24" customWidth="1"/>
    <col min="8199" max="8199" width="14.09765625" style="24" customWidth="1"/>
    <col min="8200" max="8200" width="14.59765625" style="24" customWidth="1"/>
    <col min="8201" max="8201" width="8.69921875" style="24" customWidth="1"/>
    <col min="8202" max="8202" width="9" style="24"/>
    <col min="8203" max="8203" width="33.19921875" style="24" customWidth="1"/>
    <col min="8204" max="8448" width="9" style="24"/>
    <col min="8449" max="8449" width="2" style="24" customWidth="1"/>
    <col min="8450" max="8450" width="4.8984375" style="24" customWidth="1"/>
    <col min="8451" max="8451" width="8.5" style="24" customWidth="1"/>
    <col min="8452" max="8452" width="14.69921875" style="24" customWidth="1"/>
    <col min="8453" max="8454" width="11.09765625" style="24" customWidth="1"/>
    <col min="8455" max="8455" width="14.09765625" style="24" customWidth="1"/>
    <col min="8456" max="8456" width="14.59765625" style="24" customWidth="1"/>
    <col min="8457" max="8457" width="8.69921875" style="24" customWidth="1"/>
    <col min="8458" max="8458" width="9" style="24"/>
    <col min="8459" max="8459" width="33.19921875" style="24" customWidth="1"/>
    <col min="8460" max="8704" width="9" style="24"/>
    <col min="8705" max="8705" width="2" style="24" customWidth="1"/>
    <col min="8706" max="8706" width="4.8984375" style="24" customWidth="1"/>
    <col min="8707" max="8707" width="8.5" style="24" customWidth="1"/>
    <col min="8708" max="8708" width="14.69921875" style="24" customWidth="1"/>
    <col min="8709" max="8710" width="11.09765625" style="24" customWidth="1"/>
    <col min="8711" max="8711" width="14.09765625" style="24" customWidth="1"/>
    <col min="8712" max="8712" width="14.59765625" style="24" customWidth="1"/>
    <col min="8713" max="8713" width="8.69921875" style="24" customWidth="1"/>
    <col min="8714" max="8714" width="9" style="24"/>
    <col min="8715" max="8715" width="33.19921875" style="24" customWidth="1"/>
    <col min="8716" max="8960" width="9" style="24"/>
    <col min="8961" max="8961" width="2" style="24" customWidth="1"/>
    <col min="8962" max="8962" width="4.8984375" style="24" customWidth="1"/>
    <col min="8963" max="8963" width="8.5" style="24" customWidth="1"/>
    <col min="8964" max="8964" width="14.69921875" style="24" customWidth="1"/>
    <col min="8965" max="8966" width="11.09765625" style="24" customWidth="1"/>
    <col min="8967" max="8967" width="14.09765625" style="24" customWidth="1"/>
    <col min="8968" max="8968" width="14.59765625" style="24" customWidth="1"/>
    <col min="8969" max="8969" width="8.69921875" style="24" customWidth="1"/>
    <col min="8970" max="8970" width="9" style="24"/>
    <col min="8971" max="8971" width="33.19921875" style="24" customWidth="1"/>
    <col min="8972" max="9216" width="9" style="24"/>
    <col min="9217" max="9217" width="2" style="24" customWidth="1"/>
    <col min="9218" max="9218" width="4.8984375" style="24" customWidth="1"/>
    <col min="9219" max="9219" width="8.5" style="24" customWidth="1"/>
    <col min="9220" max="9220" width="14.69921875" style="24" customWidth="1"/>
    <col min="9221" max="9222" width="11.09765625" style="24" customWidth="1"/>
    <col min="9223" max="9223" width="14.09765625" style="24" customWidth="1"/>
    <col min="9224" max="9224" width="14.59765625" style="24" customWidth="1"/>
    <col min="9225" max="9225" width="8.69921875" style="24" customWidth="1"/>
    <col min="9226" max="9226" width="9" style="24"/>
    <col min="9227" max="9227" width="33.19921875" style="24" customWidth="1"/>
    <col min="9228" max="9472" width="9" style="24"/>
    <col min="9473" max="9473" width="2" style="24" customWidth="1"/>
    <col min="9474" max="9474" width="4.8984375" style="24" customWidth="1"/>
    <col min="9475" max="9475" width="8.5" style="24" customWidth="1"/>
    <col min="9476" max="9476" width="14.69921875" style="24" customWidth="1"/>
    <col min="9477" max="9478" width="11.09765625" style="24" customWidth="1"/>
    <col min="9479" max="9479" width="14.09765625" style="24" customWidth="1"/>
    <col min="9480" max="9480" width="14.59765625" style="24" customWidth="1"/>
    <col min="9481" max="9481" width="8.69921875" style="24" customWidth="1"/>
    <col min="9482" max="9482" width="9" style="24"/>
    <col min="9483" max="9483" width="33.19921875" style="24" customWidth="1"/>
    <col min="9484" max="9728" width="9" style="24"/>
    <col min="9729" max="9729" width="2" style="24" customWidth="1"/>
    <col min="9730" max="9730" width="4.8984375" style="24" customWidth="1"/>
    <col min="9731" max="9731" width="8.5" style="24" customWidth="1"/>
    <col min="9732" max="9732" width="14.69921875" style="24" customWidth="1"/>
    <col min="9733" max="9734" width="11.09765625" style="24" customWidth="1"/>
    <col min="9735" max="9735" width="14.09765625" style="24" customWidth="1"/>
    <col min="9736" max="9736" width="14.59765625" style="24" customWidth="1"/>
    <col min="9737" max="9737" width="8.69921875" style="24" customWidth="1"/>
    <col min="9738" max="9738" width="9" style="24"/>
    <col min="9739" max="9739" width="33.19921875" style="24" customWidth="1"/>
    <col min="9740" max="9984" width="9" style="24"/>
    <col min="9985" max="9985" width="2" style="24" customWidth="1"/>
    <col min="9986" max="9986" width="4.8984375" style="24" customWidth="1"/>
    <col min="9987" max="9987" width="8.5" style="24" customWidth="1"/>
    <col min="9988" max="9988" width="14.69921875" style="24" customWidth="1"/>
    <col min="9989" max="9990" width="11.09765625" style="24" customWidth="1"/>
    <col min="9991" max="9991" width="14.09765625" style="24" customWidth="1"/>
    <col min="9992" max="9992" width="14.59765625" style="24" customWidth="1"/>
    <col min="9993" max="9993" width="8.69921875" style="24" customWidth="1"/>
    <col min="9994" max="9994" width="9" style="24"/>
    <col min="9995" max="9995" width="33.19921875" style="24" customWidth="1"/>
    <col min="9996" max="10240" width="9" style="24"/>
    <col min="10241" max="10241" width="2" style="24" customWidth="1"/>
    <col min="10242" max="10242" width="4.8984375" style="24" customWidth="1"/>
    <col min="10243" max="10243" width="8.5" style="24" customWidth="1"/>
    <col min="10244" max="10244" width="14.69921875" style="24" customWidth="1"/>
    <col min="10245" max="10246" width="11.09765625" style="24" customWidth="1"/>
    <col min="10247" max="10247" width="14.09765625" style="24" customWidth="1"/>
    <col min="10248" max="10248" width="14.59765625" style="24" customWidth="1"/>
    <col min="10249" max="10249" width="8.69921875" style="24" customWidth="1"/>
    <col min="10250" max="10250" width="9" style="24"/>
    <col min="10251" max="10251" width="33.19921875" style="24" customWidth="1"/>
    <col min="10252" max="10496" width="9" style="24"/>
    <col min="10497" max="10497" width="2" style="24" customWidth="1"/>
    <col min="10498" max="10498" width="4.8984375" style="24" customWidth="1"/>
    <col min="10499" max="10499" width="8.5" style="24" customWidth="1"/>
    <col min="10500" max="10500" width="14.69921875" style="24" customWidth="1"/>
    <col min="10501" max="10502" width="11.09765625" style="24" customWidth="1"/>
    <col min="10503" max="10503" width="14.09765625" style="24" customWidth="1"/>
    <col min="10504" max="10504" width="14.59765625" style="24" customWidth="1"/>
    <col min="10505" max="10505" width="8.69921875" style="24" customWidth="1"/>
    <col min="10506" max="10506" width="9" style="24"/>
    <col min="10507" max="10507" width="33.19921875" style="24" customWidth="1"/>
    <col min="10508" max="10752" width="9" style="24"/>
    <col min="10753" max="10753" width="2" style="24" customWidth="1"/>
    <col min="10754" max="10754" width="4.8984375" style="24" customWidth="1"/>
    <col min="10755" max="10755" width="8.5" style="24" customWidth="1"/>
    <col min="10756" max="10756" width="14.69921875" style="24" customWidth="1"/>
    <col min="10757" max="10758" width="11.09765625" style="24" customWidth="1"/>
    <col min="10759" max="10759" width="14.09765625" style="24" customWidth="1"/>
    <col min="10760" max="10760" width="14.59765625" style="24" customWidth="1"/>
    <col min="10761" max="10761" width="8.69921875" style="24" customWidth="1"/>
    <col min="10762" max="10762" width="9" style="24"/>
    <col min="10763" max="10763" width="33.19921875" style="24" customWidth="1"/>
    <col min="10764" max="11008" width="9" style="24"/>
    <col min="11009" max="11009" width="2" style="24" customWidth="1"/>
    <col min="11010" max="11010" width="4.8984375" style="24" customWidth="1"/>
    <col min="11011" max="11011" width="8.5" style="24" customWidth="1"/>
    <col min="11012" max="11012" width="14.69921875" style="24" customWidth="1"/>
    <col min="11013" max="11014" width="11.09765625" style="24" customWidth="1"/>
    <col min="11015" max="11015" width="14.09765625" style="24" customWidth="1"/>
    <col min="11016" max="11016" width="14.59765625" style="24" customWidth="1"/>
    <col min="11017" max="11017" width="8.69921875" style="24" customWidth="1"/>
    <col min="11018" max="11018" width="9" style="24"/>
    <col min="11019" max="11019" width="33.19921875" style="24" customWidth="1"/>
    <col min="11020" max="11264" width="9" style="24"/>
    <col min="11265" max="11265" width="2" style="24" customWidth="1"/>
    <col min="11266" max="11266" width="4.8984375" style="24" customWidth="1"/>
    <col min="11267" max="11267" width="8.5" style="24" customWidth="1"/>
    <col min="11268" max="11268" width="14.69921875" style="24" customWidth="1"/>
    <col min="11269" max="11270" width="11.09765625" style="24" customWidth="1"/>
    <col min="11271" max="11271" width="14.09765625" style="24" customWidth="1"/>
    <col min="11272" max="11272" width="14.59765625" style="24" customWidth="1"/>
    <col min="11273" max="11273" width="8.69921875" style="24" customWidth="1"/>
    <col min="11274" max="11274" width="9" style="24"/>
    <col min="11275" max="11275" width="33.19921875" style="24" customWidth="1"/>
    <col min="11276" max="11520" width="9" style="24"/>
    <col min="11521" max="11521" width="2" style="24" customWidth="1"/>
    <col min="11522" max="11522" width="4.8984375" style="24" customWidth="1"/>
    <col min="11523" max="11523" width="8.5" style="24" customWidth="1"/>
    <col min="11524" max="11524" width="14.69921875" style="24" customWidth="1"/>
    <col min="11525" max="11526" width="11.09765625" style="24" customWidth="1"/>
    <col min="11527" max="11527" width="14.09765625" style="24" customWidth="1"/>
    <col min="11528" max="11528" width="14.59765625" style="24" customWidth="1"/>
    <col min="11529" max="11529" width="8.69921875" style="24" customWidth="1"/>
    <col min="11530" max="11530" width="9" style="24"/>
    <col min="11531" max="11531" width="33.19921875" style="24" customWidth="1"/>
    <col min="11532" max="11776" width="9" style="24"/>
    <col min="11777" max="11777" width="2" style="24" customWidth="1"/>
    <col min="11778" max="11778" width="4.8984375" style="24" customWidth="1"/>
    <col min="11779" max="11779" width="8.5" style="24" customWidth="1"/>
    <col min="11780" max="11780" width="14.69921875" style="24" customWidth="1"/>
    <col min="11781" max="11782" width="11.09765625" style="24" customWidth="1"/>
    <col min="11783" max="11783" width="14.09765625" style="24" customWidth="1"/>
    <col min="11784" max="11784" width="14.59765625" style="24" customWidth="1"/>
    <col min="11785" max="11785" width="8.69921875" style="24" customWidth="1"/>
    <col min="11786" max="11786" width="9" style="24"/>
    <col min="11787" max="11787" width="33.19921875" style="24" customWidth="1"/>
    <col min="11788" max="12032" width="9" style="24"/>
    <col min="12033" max="12033" width="2" style="24" customWidth="1"/>
    <col min="12034" max="12034" width="4.8984375" style="24" customWidth="1"/>
    <col min="12035" max="12035" width="8.5" style="24" customWidth="1"/>
    <col min="12036" max="12036" width="14.69921875" style="24" customWidth="1"/>
    <col min="12037" max="12038" width="11.09765625" style="24" customWidth="1"/>
    <col min="12039" max="12039" width="14.09765625" style="24" customWidth="1"/>
    <col min="12040" max="12040" width="14.59765625" style="24" customWidth="1"/>
    <col min="12041" max="12041" width="8.69921875" style="24" customWidth="1"/>
    <col min="12042" max="12042" width="9" style="24"/>
    <col min="12043" max="12043" width="33.19921875" style="24" customWidth="1"/>
    <col min="12044" max="12288" width="9" style="24"/>
    <col min="12289" max="12289" width="2" style="24" customWidth="1"/>
    <col min="12290" max="12290" width="4.8984375" style="24" customWidth="1"/>
    <col min="12291" max="12291" width="8.5" style="24" customWidth="1"/>
    <col min="12292" max="12292" width="14.69921875" style="24" customWidth="1"/>
    <col min="12293" max="12294" width="11.09765625" style="24" customWidth="1"/>
    <col min="12295" max="12295" width="14.09765625" style="24" customWidth="1"/>
    <col min="12296" max="12296" width="14.59765625" style="24" customWidth="1"/>
    <col min="12297" max="12297" width="8.69921875" style="24" customWidth="1"/>
    <col min="12298" max="12298" width="9" style="24"/>
    <col min="12299" max="12299" width="33.19921875" style="24" customWidth="1"/>
    <col min="12300" max="12544" width="9" style="24"/>
    <col min="12545" max="12545" width="2" style="24" customWidth="1"/>
    <col min="12546" max="12546" width="4.8984375" style="24" customWidth="1"/>
    <col min="12547" max="12547" width="8.5" style="24" customWidth="1"/>
    <col min="12548" max="12548" width="14.69921875" style="24" customWidth="1"/>
    <col min="12549" max="12550" width="11.09765625" style="24" customWidth="1"/>
    <col min="12551" max="12551" width="14.09765625" style="24" customWidth="1"/>
    <col min="12552" max="12552" width="14.59765625" style="24" customWidth="1"/>
    <col min="12553" max="12553" width="8.69921875" style="24" customWidth="1"/>
    <col min="12554" max="12554" width="9" style="24"/>
    <col min="12555" max="12555" width="33.19921875" style="24" customWidth="1"/>
    <col min="12556" max="12800" width="9" style="24"/>
    <col min="12801" max="12801" width="2" style="24" customWidth="1"/>
    <col min="12802" max="12802" width="4.8984375" style="24" customWidth="1"/>
    <col min="12803" max="12803" width="8.5" style="24" customWidth="1"/>
    <col min="12804" max="12804" width="14.69921875" style="24" customWidth="1"/>
    <col min="12805" max="12806" width="11.09765625" style="24" customWidth="1"/>
    <col min="12807" max="12807" width="14.09765625" style="24" customWidth="1"/>
    <col min="12808" max="12808" width="14.59765625" style="24" customWidth="1"/>
    <col min="12809" max="12809" width="8.69921875" style="24" customWidth="1"/>
    <col min="12810" max="12810" width="9" style="24"/>
    <col min="12811" max="12811" width="33.19921875" style="24" customWidth="1"/>
    <col min="12812" max="13056" width="9" style="24"/>
    <col min="13057" max="13057" width="2" style="24" customWidth="1"/>
    <col min="13058" max="13058" width="4.8984375" style="24" customWidth="1"/>
    <col min="13059" max="13059" width="8.5" style="24" customWidth="1"/>
    <col min="13060" max="13060" width="14.69921875" style="24" customWidth="1"/>
    <col min="13061" max="13062" width="11.09765625" style="24" customWidth="1"/>
    <col min="13063" max="13063" width="14.09765625" style="24" customWidth="1"/>
    <col min="13064" max="13064" width="14.59765625" style="24" customWidth="1"/>
    <col min="13065" max="13065" width="8.69921875" style="24" customWidth="1"/>
    <col min="13066" max="13066" width="9" style="24"/>
    <col min="13067" max="13067" width="33.19921875" style="24" customWidth="1"/>
    <col min="13068" max="13312" width="9" style="24"/>
    <col min="13313" max="13313" width="2" style="24" customWidth="1"/>
    <col min="13314" max="13314" width="4.8984375" style="24" customWidth="1"/>
    <col min="13315" max="13315" width="8.5" style="24" customWidth="1"/>
    <col min="13316" max="13316" width="14.69921875" style="24" customWidth="1"/>
    <col min="13317" max="13318" width="11.09765625" style="24" customWidth="1"/>
    <col min="13319" max="13319" width="14.09765625" style="24" customWidth="1"/>
    <col min="13320" max="13320" width="14.59765625" style="24" customWidth="1"/>
    <col min="13321" max="13321" width="8.69921875" style="24" customWidth="1"/>
    <col min="13322" max="13322" width="9" style="24"/>
    <col min="13323" max="13323" width="33.19921875" style="24" customWidth="1"/>
    <col min="13324" max="13568" width="9" style="24"/>
    <col min="13569" max="13569" width="2" style="24" customWidth="1"/>
    <col min="13570" max="13570" width="4.8984375" style="24" customWidth="1"/>
    <col min="13571" max="13571" width="8.5" style="24" customWidth="1"/>
    <col min="13572" max="13572" width="14.69921875" style="24" customWidth="1"/>
    <col min="13573" max="13574" width="11.09765625" style="24" customWidth="1"/>
    <col min="13575" max="13575" width="14.09765625" style="24" customWidth="1"/>
    <col min="13576" max="13576" width="14.59765625" style="24" customWidth="1"/>
    <col min="13577" max="13577" width="8.69921875" style="24" customWidth="1"/>
    <col min="13578" max="13578" width="9" style="24"/>
    <col min="13579" max="13579" width="33.19921875" style="24" customWidth="1"/>
    <col min="13580" max="13824" width="9" style="24"/>
    <col min="13825" max="13825" width="2" style="24" customWidth="1"/>
    <col min="13826" max="13826" width="4.8984375" style="24" customWidth="1"/>
    <col min="13827" max="13827" width="8.5" style="24" customWidth="1"/>
    <col min="13828" max="13828" width="14.69921875" style="24" customWidth="1"/>
    <col min="13829" max="13830" width="11.09765625" style="24" customWidth="1"/>
    <col min="13831" max="13831" width="14.09765625" style="24" customWidth="1"/>
    <col min="13832" max="13832" width="14.59765625" style="24" customWidth="1"/>
    <col min="13833" max="13833" width="8.69921875" style="24" customWidth="1"/>
    <col min="13834" max="13834" width="9" style="24"/>
    <col min="13835" max="13835" width="33.19921875" style="24" customWidth="1"/>
    <col min="13836" max="14080" width="9" style="24"/>
    <col min="14081" max="14081" width="2" style="24" customWidth="1"/>
    <col min="14082" max="14082" width="4.8984375" style="24" customWidth="1"/>
    <col min="14083" max="14083" width="8.5" style="24" customWidth="1"/>
    <col min="14084" max="14084" width="14.69921875" style="24" customWidth="1"/>
    <col min="14085" max="14086" width="11.09765625" style="24" customWidth="1"/>
    <col min="14087" max="14087" width="14.09765625" style="24" customWidth="1"/>
    <col min="14088" max="14088" width="14.59765625" style="24" customWidth="1"/>
    <col min="14089" max="14089" width="8.69921875" style="24" customWidth="1"/>
    <col min="14090" max="14090" width="9" style="24"/>
    <col min="14091" max="14091" width="33.19921875" style="24" customWidth="1"/>
    <col min="14092" max="14336" width="9" style="24"/>
    <col min="14337" max="14337" width="2" style="24" customWidth="1"/>
    <col min="14338" max="14338" width="4.8984375" style="24" customWidth="1"/>
    <col min="14339" max="14339" width="8.5" style="24" customWidth="1"/>
    <col min="14340" max="14340" width="14.69921875" style="24" customWidth="1"/>
    <col min="14341" max="14342" width="11.09765625" style="24" customWidth="1"/>
    <col min="14343" max="14343" width="14.09765625" style="24" customWidth="1"/>
    <col min="14344" max="14344" width="14.59765625" style="24" customWidth="1"/>
    <col min="14345" max="14345" width="8.69921875" style="24" customWidth="1"/>
    <col min="14346" max="14346" width="9" style="24"/>
    <col min="14347" max="14347" width="33.19921875" style="24" customWidth="1"/>
    <col min="14348" max="14592" width="9" style="24"/>
    <col min="14593" max="14593" width="2" style="24" customWidth="1"/>
    <col min="14594" max="14594" width="4.8984375" style="24" customWidth="1"/>
    <col min="14595" max="14595" width="8.5" style="24" customWidth="1"/>
    <col min="14596" max="14596" width="14.69921875" style="24" customWidth="1"/>
    <col min="14597" max="14598" width="11.09765625" style="24" customWidth="1"/>
    <col min="14599" max="14599" width="14.09765625" style="24" customWidth="1"/>
    <col min="14600" max="14600" width="14.59765625" style="24" customWidth="1"/>
    <col min="14601" max="14601" width="8.69921875" style="24" customWidth="1"/>
    <col min="14602" max="14602" width="9" style="24"/>
    <col min="14603" max="14603" width="33.19921875" style="24" customWidth="1"/>
    <col min="14604" max="14848" width="9" style="24"/>
    <col min="14849" max="14849" width="2" style="24" customWidth="1"/>
    <col min="14850" max="14850" width="4.8984375" style="24" customWidth="1"/>
    <col min="14851" max="14851" width="8.5" style="24" customWidth="1"/>
    <col min="14852" max="14852" width="14.69921875" style="24" customWidth="1"/>
    <col min="14853" max="14854" width="11.09765625" style="24" customWidth="1"/>
    <col min="14855" max="14855" width="14.09765625" style="24" customWidth="1"/>
    <col min="14856" max="14856" width="14.59765625" style="24" customWidth="1"/>
    <col min="14857" max="14857" width="8.69921875" style="24" customWidth="1"/>
    <col min="14858" max="14858" width="9" style="24"/>
    <col min="14859" max="14859" width="33.19921875" style="24" customWidth="1"/>
    <col min="14860" max="15104" width="9" style="24"/>
    <col min="15105" max="15105" width="2" style="24" customWidth="1"/>
    <col min="15106" max="15106" width="4.8984375" style="24" customWidth="1"/>
    <col min="15107" max="15107" width="8.5" style="24" customWidth="1"/>
    <col min="15108" max="15108" width="14.69921875" style="24" customWidth="1"/>
    <col min="15109" max="15110" width="11.09765625" style="24" customWidth="1"/>
    <col min="15111" max="15111" width="14.09765625" style="24" customWidth="1"/>
    <col min="15112" max="15112" width="14.59765625" style="24" customWidth="1"/>
    <col min="15113" max="15113" width="8.69921875" style="24" customWidth="1"/>
    <col min="15114" max="15114" width="9" style="24"/>
    <col min="15115" max="15115" width="33.19921875" style="24" customWidth="1"/>
    <col min="15116" max="15360" width="9" style="24"/>
    <col min="15361" max="15361" width="2" style="24" customWidth="1"/>
    <col min="15362" max="15362" width="4.8984375" style="24" customWidth="1"/>
    <col min="15363" max="15363" width="8.5" style="24" customWidth="1"/>
    <col min="15364" max="15364" width="14.69921875" style="24" customWidth="1"/>
    <col min="15365" max="15366" width="11.09765625" style="24" customWidth="1"/>
    <col min="15367" max="15367" width="14.09765625" style="24" customWidth="1"/>
    <col min="15368" max="15368" width="14.59765625" style="24" customWidth="1"/>
    <col min="15369" max="15369" width="8.69921875" style="24" customWidth="1"/>
    <col min="15370" max="15370" width="9" style="24"/>
    <col min="15371" max="15371" width="33.19921875" style="24" customWidth="1"/>
    <col min="15372" max="15616" width="9" style="24"/>
    <col min="15617" max="15617" width="2" style="24" customWidth="1"/>
    <col min="15618" max="15618" width="4.8984375" style="24" customWidth="1"/>
    <col min="15619" max="15619" width="8.5" style="24" customWidth="1"/>
    <col min="15620" max="15620" width="14.69921875" style="24" customWidth="1"/>
    <col min="15621" max="15622" width="11.09765625" style="24" customWidth="1"/>
    <col min="15623" max="15623" width="14.09765625" style="24" customWidth="1"/>
    <col min="15624" max="15624" width="14.59765625" style="24" customWidth="1"/>
    <col min="15625" max="15625" width="8.69921875" style="24" customWidth="1"/>
    <col min="15626" max="15626" width="9" style="24"/>
    <col min="15627" max="15627" width="33.19921875" style="24" customWidth="1"/>
    <col min="15628" max="15872" width="9" style="24"/>
    <col min="15873" max="15873" width="2" style="24" customWidth="1"/>
    <col min="15874" max="15874" width="4.8984375" style="24" customWidth="1"/>
    <col min="15875" max="15875" width="8.5" style="24" customWidth="1"/>
    <col min="15876" max="15876" width="14.69921875" style="24" customWidth="1"/>
    <col min="15877" max="15878" width="11.09765625" style="24" customWidth="1"/>
    <col min="15879" max="15879" width="14.09765625" style="24" customWidth="1"/>
    <col min="15880" max="15880" width="14.59765625" style="24" customWidth="1"/>
    <col min="15881" max="15881" width="8.69921875" style="24" customWidth="1"/>
    <col min="15882" max="15882" width="9" style="24"/>
    <col min="15883" max="15883" width="33.19921875" style="24" customWidth="1"/>
    <col min="15884" max="16128" width="9" style="24"/>
    <col min="16129" max="16129" width="2" style="24" customWidth="1"/>
    <col min="16130" max="16130" width="4.8984375" style="24" customWidth="1"/>
    <col min="16131" max="16131" width="8.5" style="24" customWidth="1"/>
    <col min="16132" max="16132" width="14.69921875" style="24" customWidth="1"/>
    <col min="16133" max="16134" width="11.09765625" style="24" customWidth="1"/>
    <col min="16135" max="16135" width="14.09765625" style="24" customWidth="1"/>
    <col min="16136" max="16136" width="14.59765625" style="24" customWidth="1"/>
    <col min="16137" max="16137" width="8.69921875" style="24" customWidth="1"/>
    <col min="16138" max="16138" width="9" style="24"/>
    <col min="16139" max="16139" width="33.19921875" style="24" customWidth="1"/>
    <col min="16140" max="16384" width="9" style="24"/>
  </cols>
  <sheetData>
    <row r="1" spans="2:9">
      <c r="B1" s="24" t="s">
        <v>0</v>
      </c>
    </row>
    <row r="2" spans="2:9" ht="38.4">
      <c r="B2" s="364" t="s">
        <v>1</v>
      </c>
      <c r="C2" s="364"/>
      <c r="D2" s="364"/>
      <c r="E2" s="364"/>
      <c r="F2" s="364"/>
      <c r="G2" s="364"/>
      <c r="H2" s="364"/>
      <c r="I2" s="364"/>
    </row>
    <row r="4" spans="2:9" s="1" customFormat="1" ht="24" customHeight="1">
      <c r="B4" s="365" t="s">
        <v>2</v>
      </c>
      <c r="C4" s="365"/>
      <c r="D4" s="365"/>
      <c r="G4" s="2" t="s">
        <v>169</v>
      </c>
      <c r="H4" s="3"/>
      <c r="I4" s="4"/>
    </row>
    <row r="5" spans="2:9" s="1" customFormat="1" ht="21.75" customHeight="1">
      <c r="B5" s="356" t="s">
        <v>3</v>
      </c>
      <c r="C5" s="357"/>
      <c r="D5" s="5">
        <v>45976</v>
      </c>
      <c r="E5" s="6"/>
      <c r="G5" s="7" t="s">
        <v>170</v>
      </c>
      <c r="H5" s="8"/>
      <c r="I5" s="9"/>
    </row>
    <row r="6" spans="2:9" s="1" customFormat="1" ht="21.75" customHeight="1">
      <c r="B6" s="356" t="s">
        <v>4</v>
      </c>
      <c r="C6" s="357"/>
      <c r="D6" s="10" t="s">
        <v>171</v>
      </c>
      <c r="E6" s="6"/>
      <c r="G6" s="7" t="s">
        <v>172</v>
      </c>
      <c r="H6" s="11"/>
      <c r="I6" s="12"/>
    </row>
    <row r="7" spans="2:9" s="1" customFormat="1" ht="21.75" customHeight="1">
      <c r="B7" s="366" t="s">
        <v>5</v>
      </c>
      <c r="C7" s="13" t="s">
        <v>6</v>
      </c>
      <c r="D7" s="10" t="s">
        <v>173</v>
      </c>
      <c r="E7" s="6"/>
      <c r="G7" s="14"/>
      <c r="H7" s="11"/>
      <c r="I7" s="12"/>
    </row>
    <row r="8" spans="2:9" s="1" customFormat="1" ht="21.75" customHeight="1">
      <c r="B8" s="366"/>
      <c r="C8" s="13" t="s">
        <v>7</v>
      </c>
      <c r="D8" s="10" t="s">
        <v>174</v>
      </c>
      <c r="E8" s="6"/>
      <c r="G8" s="14" t="s">
        <v>175</v>
      </c>
      <c r="H8" s="11"/>
      <c r="I8" s="12"/>
    </row>
    <row r="9" spans="2:9" s="1" customFormat="1" ht="21.75" customHeight="1">
      <c r="B9" s="356" t="s">
        <v>8</v>
      </c>
      <c r="C9" s="357"/>
      <c r="D9" s="10" t="s">
        <v>9</v>
      </c>
      <c r="E9" s="6"/>
      <c r="G9" s="7" t="s">
        <v>176</v>
      </c>
      <c r="H9" s="11"/>
      <c r="I9" s="12"/>
    </row>
    <row r="10" spans="2:9" s="1" customFormat="1" ht="21.75" customHeight="1">
      <c r="B10" s="356" t="s">
        <v>10</v>
      </c>
      <c r="C10" s="357"/>
      <c r="D10" s="10" t="s">
        <v>11</v>
      </c>
      <c r="E10" s="6"/>
      <c r="G10" s="15" t="s">
        <v>177</v>
      </c>
      <c r="H10" s="16" t="s">
        <v>178</v>
      </c>
      <c r="I10" s="17"/>
    </row>
    <row r="11" spans="2:9" s="1" customFormat="1" ht="21.75" customHeight="1">
      <c r="B11" s="356" t="s">
        <v>12</v>
      </c>
      <c r="C11" s="357"/>
      <c r="D11" s="10" t="s">
        <v>179</v>
      </c>
      <c r="E11" s="6"/>
      <c r="G11" s="18" t="s">
        <v>13</v>
      </c>
      <c r="H11" s="19" t="s">
        <v>180</v>
      </c>
      <c r="I11" s="20"/>
    </row>
    <row r="12" spans="2:9" s="22" customFormat="1" ht="10.5" customHeight="1">
      <c r="B12" s="21"/>
      <c r="I12" s="23"/>
    </row>
    <row r="13" spans="2:9" s="22" customFormat="1" ht="24.75" customHeight="1">
      <c r="B13" s="434" t="s">
        <v>181</v>
      </c>
      <c r="C13" s="435"/>
      <c r="D13" s="436" t="s">
        <v>182</v>
      </c>
      <c r="E13" s="436"/>
      <c r="F13" s="436"/>
      <c r="G13" s="436"/>
      <c r="H13" s="436"/>
      <c r="I13" s="437"/>
    </row>
    <row r="14" spans="2:9" s="22" customFormat="1" ht="24.9" customHeight="1">
      <c r="B14" s="358" t="s">
        <v>14</v>
      </c>
      <c r="C14" s="358"/>
      <c r="D14" s="359" t="str">
        <f>"一金"&amp;NUMBERSTRING(H14,1)&amp;"원整"</f>
        <v>一金이십사억일천구백팔십사만사천오백원整</v>
      </c>
      <c r="E14" s="438"/>
      <c r="F14" s="438"/>
      <c r="G14" s="439" t="s">
        <v>183</v>
      </c>
      <c r="H14" s="440">
        <f>H28*1000</f>
        <v>2419844500</v>
      </c>
      <c r="I14" s="25" t="s">
        <v>15</v>
      </c>
    </row>
    <row r="15" spans="2:9" s="1" customFormat="1" ht="8.25" customHeight="1"/>
    <row r="16" spans="2:9" s="26" customFormat="1" ht="24.9" customHeight="1">
      <c r="B16" s="349" t="s">
        <v>16</v>
      </c>
      <c r="C16" s="360" t="s">
        <v>17</v>
      </c>
      <c r="D16" s="361"/>
      <c r="E16" s="350" t="s">
        <v>18</v>
      </c>
      <c r="F16" s="350"/>
      <c r="G16" s="350"/>
      <c r="H16" s="350"/>
      <c r="I16" s="349" t="s">
        <v>19</v>
      </c>
    </row>
    <row r="17" spans="2:9" s="26" customFormat="1" ht="29.25" customHeight="1">
      <c r="B17" s="350"/>
      <c r="C17" s="362"/>
      <c r="D17" s="363"/>
      <c r="E17" s="27" t="s">
        <v>20</v>
      </c>
      <c r="F17" s="28" t="s">
        <v>21</v>
      </c>
      <c r="G17" s="29" t="s">
        <v>22</v>
      </c>
      <c r="H17" s="30" t="s">
        <v>23</v>
      </c>
      <c r="I17" s="350"/>
    </row>
    <row r="18" spans="2:9" ht="24.9" customHeight="1">
      <c r="B18" s="31">
        <v>1</v>
      </c>
      <c r="C18" s="351" t="str">
        <f>단위장비1!C1</f>
        <v>백래쉬시험기</v>
      </c>
      <c r="D18" s="352"/>
      <c r="E18" s="32">
        <f>IF('단위공사별(집계)'!N7&gt;1,('단위공사별(집계)'!D7+'단위공사별(집계)'!E7+'단위공사별(집계)'!F7+'단위공사별(집계)'!G7+'단위공사별(집계)'!H7+'단위공사별(집계)'!I7)/1000," ")</f>
        <v>206132.85976123245</v>
      </c>
      <c r="F18" s="353">
        <f>IF('단위공사별(집계)'!N7&gt;0,'단위공사별(집계)'!K17/1000,"")</f>
        <v>423045</v>
      </c>
      <c r="G18" s="33">
        <f>IF('단위공사별(집계)'!N7&gt;0,('단위공사별(집계)'!L7+'단위공사별(집계)'!M7)/1000,"")</f>
        <v>10293.419824639621</v>
      </c>
      <c r="H18" s="34">
        <f>IF('단위공사별(집계)'!N7&gt;0,'단위공사별(집계)'!N7/1000,"")</f>
        <v>262278.68261752609</v>
      </c>
      <c r="I18" s="31"/>
    </row>
    <row r="19" spans="2:9" ht="24.9" customHeight="1">
      <c r="B19" s="35">
        <v>2</v>
      </c>
      <c r="C19" s="324" t="str">
        <f>단위장비2!C1</f>
        <v>비틀림내구시험기</v>
      </c>
      <c r="D19" s="325"/>
      <c r="E19" s="36">
        <f>IF('단위공사별(집계)'!N8&gt;1,('단위공사별(집계)'!D8+'단위공사별(집계)'!E8+'단위공사별(집계)'!F8+'단위공사별(집계)'!G8+'단위공사별(집계)'!H8+'단위공사별(집계)'!I8)/1000," ")</f>
        <v>426177.48930830072</v>
      </c>
      <c r="F19" s="354"/>
      <c r="G19" s="37">
        <f>IF('단위공사별(집계)'!N8&gt;0,('단위공사별(집계)'!L8+'단위공사별(집계)'!M8)/1000,"")</f>
        <v>21281.535716054888</v>
      </c>
      <c r="H19" s="38">
        <f>IF('단위공사별(집계)'!N8&gt;0,'단위공사별(집계)'!N8/1000,"")</f>
        <v>542258.37931176834</v>
      </c>
      <c r="I19" s="39"/>
    </row>
    <row r="20" spans="2:9" ht="24.9" customHeight="1">
      <c r="B20" s="35">
        <v>3</v>
      </c>
      <c r="C20" s="324" t="str">
        <f>단위장비3!C1</f>
        <v>비틀림 파단시험기</v>
      </c>
      <c r="D20" s="325"/>
      <c r="E20" s="36">
        <f>IF('단위공사별(집계)'!N9&gt;1,('단위공사별(집계)'!D9+'단위공사별(집계)'!E9+'단위공사별(집계)'!F9+'단위공사별(집계)'!G9+'단위공사별(집계)'!H9+'단위공사별(집계)'!I9)/1000," ")</f>
        <v>529285.79058029642</v>
      </c>
      <c r="F20" s="354"/>
      <c r="G20" s="37">
        <f>IF('단위공사별(집계)'!N9&gt;0,('단위공사별(집계)'!L9+'단위공사별(집계)'!M9)/1000,"")</f>
        <v>26430.336511946633</v>
      </c>
      <c r="H20" s="38">
        <f>IF('단위공사별(집계)'!N9&gt;0,'단위공사별(집계)'!N9/1000,"")</f>
        <v>673450.99681037851</v>
      </c>
      <c r="I20" s="39"/>
    </row>
    <row r="21" spans="2:9" ht="24.9" customHeight="1">
      <c r="B21" s="35">
        <v>4</v>
      </c>
      <c r="C21" s="324" t="str">
        <f>단위장비4!C1</f>
        <v>회전 내구 시험기</v>
      </c>
      <c r="D21" s="325"/>
      <c r="E21" s="36">
        <f>IF('단위공사별(집계)'!N10&gt;1,('단위공사별(집계)'!D10+'단위공사별(집계)'!E10+'단위공사별(집계)'!F10+'단위공사별(집계)'!G10+'단위공사별(집계)'!H10+'단위공사별(집계)'!I10)/1000," ")</f>
        <v>740233.86035017041</v>
      </c>
      <c r="F21" s="354"/>
      <c r="G21" s="37">
        <f>IF('단위공사별(집계)'!N10&gt;0,('단위공사별(집계)'!L10+'단위공사별(집계)'!M10)/1000,"")</f>
        <v>36964.20794735886</v>
      </c>
      <c r="H21" s="38">
        <f>IF('단위공사별(집계)'!N10&gt;0,'단위공사별(집계)'!N10/1000,"")</f>
        <v>941856.44126032712</v>
      </c>
      <c r="I21" s="39"/>
    </row>
    <row r="22" spans="2:9" ht="24.9" customHeight="1">
      <c r="B22" s="35">
        <v>5</v>
      </c>
      <c r="C22" s="324">
        <f>단위장비5!C1</f>
        <v>0</v>
      </c>
      <c r="D22" s="325"/>
      <c r="E22" s="36" t="str">
        <f>IF('단위공사별(집계)'!N11&gt;1,('단위공사별(집계)'!D11+'단위공사별(집계)'!E11+'단위공사별(집계)'!F11+'단위공사별(집계)'!G11+'단위공사별(집계)'!H11+'단위공사별(집계)'!I11)/1000," ")</f>
        <v xml:space="preserve"> </v>
      </c>
      <c r="F22" s="354"/>
      <c r="G22" s="37" t="str">
        <f>IF('단위공사별(집계)'!N11&gt;0,('단위공사별(집계)'!L11+'단위공사별(집계)'!M11)/1000,"")</f>
        <v/>
      </c>
      <c r="H22" s="38" t="str">
        <f>IF('단위공사별(집계)'!N11&gt;0,'단위공사별(집계)'!N11/1000,"")</f>
        <v/>
      </c>
      <c r="I22" s="39"/>
    </row>
    <row r="23" spans="2:9" ht="24.9" customHeight="1">
      <c r="B23" s="35">
        <v>6</v>
      </c>
      <c r="C23" s="324">
        <f>단위장비6!C1</f>
        <v>0</v>
      </c>
      <c r="D23" s="325"/>
      <c r="E23" s="36" t="str">
        <f>IF('단위공사별(집계)'!N12&gt;1,('단위공사별(집계)'!D12+'단위공사별(집계)'!E12+'단위공사별(집계)'!F12+'단위공사별(집계)'!G12+'단위공사별(집계)'!H12+'단위공사별(집계)'!I12)/1000," ")</f>
        <v xml:space="preserve"> </v>
      </c>
      <c r="F23" s="354"/>
      <c r="G23" s="37" t="str">
        <f>IF('단위공사별(집계)'!N12&gt;0,('단위공사별(집계)'!L12+'단위공사별(집계)'!M12)/1000,"")</f>
        <v/>
      </c>
      <c r="H23" s="38" t="str">
        <f>IF('단위공사별(집계)'!N12&gt;0,'단위공사별(집계)'!N12/1000,"")</f>
        <v/>
      </c>
      <c r="I23" s="39"/>
    </row>
    <row r="24" spans="2:9" ht="24.9" customHeight="1">
      <c r="B24" s="35">
        <v>7</v>
      </c>
      <c r="C24" s="324">
        <f>단위장비7!C1</f>
        <v>0</v>
      </c>
      <c r="D24" s="325"/>
      <c r="E24" s="36" t="str">
        <f>IF('단위공사별(집계)'!N13&gt;1,('단위공사별(집계)'!D13+'단위공사별(집계)'!E13+'단위공사별(집계)'!F13+'단위공사별(집계)'!G13+'단위공사별(집계)'!H13+'단위공사별(집계)'!I13)/1000," ")</f>
        <v xml:space="preserve"> </v>
      </c>
      <c r="F24" s="354"/>
      <c r="G24" s="37" t="str">
        <f>IF('단위공사별(집계)'!N13&gt;0,('단위공사별(집계)'!L13+'단위공사별(집계)'!M13)/1000,"")</f>
        <v/>
      </c>
      <c r="H24" s="38" t="str">
        <f>IF('단위공사별(집계)'!N13&gt;0,'단위공사별(집계)'!N13/1000,"")</f>
        <v/>
      </c>
      <c r="I24" s="39"/>
    </row>
    <row r="25" spans="2:9" ht="24.9" customHeight="1">
      <c r="B25" s="40">
        <v>8</v>
      </c>
      <c r="C25" s="324">
        <f>단위장비8!C1</f>
        <v>0</v>
      </c>
      <c r="D25" s="325"/>
      <c r="E25" s="36" t="str">
        <f>IF('단위공사별(집계)'!N14&gt;1,('단위공사별(집계)'!D14+'단위공사별(집계)'!E14+'단위공사별(집계)'!F14+'단위공사별(집계)'!G14+'단위공사별(집계)'!H14+'단위공사별(집계)'!I14)/1000," ")</f>
        <v xml:space="preserve"> </v>
      </c>
      <c r="F25" s="354"/>
      <c r="G25" s="37" t="str">
        <f>IF('단위공사별(집계)'!N14&gt;0,('단위공사별(집계)'!L14+'단위공사별(집계)'!M14)/1000,"")</f>
        <v/>
      </c>
      <c r="H25" s="38" t="str">
        <f>IF('단위공사별(집계)'!N14&gt;0,'단위공사별(집계)'!N14/1000,"")</f>
        <v/>
      </c>
      <c r="I25" s="39"/>
    </row>
    <row r="26" spans="2:9" ht="24.9" customHeight="1">
      <c r="B26" s="40">
        <v>9</v>
      </c>
      <c r="C26" s="324">
        <f>단위장비9!C1</f>
        <v>0</v>
      </c>
      <c r="D26" s="325"/>
      <c r="E26" s="36" t="str">
        <f>IF('단위공사별(집계)'!N15&gt;1,('단위공사별(집계)'!D15+'단위공사별(집계)'!E15+'단위공사별(집계)'!F15+'단위공사별(집계)'!G15+'단위공사별(집계)'!H15+'단위공사별(집계)'!I15)/1000," ")</f>
        <v xml:space="preserve"> </v>
      </c>
      <c r="F26" s="354"/>
      <c r="G26" s="37" t="str">
        <f>IF('단위공사별(집계)'!N15&gt;0,('단위공사별(집계)'!L15+'단위공사별(집계)'!M15)/1000,"")</f>
        <v/>
      </c>
      <c r="H26" s="38" t="str">
        <f>IF('단위공사별(집계)'!N15&gt;0,'단위공사별(집계)'!N15/1000,"")</f>
        <v/>
      </c>
      <c r="I26" s="39"/>
    </row>
    <row r="27" spans="2:9" ht="24.9" customHeight="1">
      <c r="B27" s="41">
        <v>10</v>
      </c>
      <c r="C27" s="324">
        <f>단위장비10!C1</f>
        <v>0</v>
      </c>
      <c r="D27" s="325"/>
      <c r="E27" s="36" t="str">
        <f>IF('단위공사별(집계)'!N16&gt;1,('단위공사별(집계)'!D16+'단위공사별(집계)'!E16+'단위공사별(집계)'!F16+'단위공사별(집계)'!G16+'단위공사별(집계)'!H16+'단위공사별(집계)'!I16)/1000," ")</f>
        <v xml:space="preserve"> </v>
      </c>
      <c r="F27" s="355"/>
      <c r="G27" s="37" t="str">
        <f>IF('단위공사별(집계)'!N16&gt;0,('단위공사별(집계)'!L16+'단위공사별(집계)'!M16)/1000,"")</f>
        <v/>
      </c>
      <c r="H27" s="38" t="str">
        <f>IF('단위공사별(집계)'!N16&gt;0,'단위공사별(집계)'!N16/1000,"")</f>
        <v/>
      </c>
      <c r="I27" s="42"/>
    </row>
    <row r="28" spans="2:9" ht="24.9" customHeight="1">
      <c r="B28" s="326" t="s">
        <v>24</v>
      </c>
      <c r="C28" s="327"/>
      <c r="D28" s="328"/>
      <c r="E28" s="43">
        <f>SUM(E18:E27)</f>
        <v>1901830</v>
      </c>
      <c r="F28" s="44">
        <f>SUM(F18)</f>
        <v>423045</v>
      </c>
      <c r="G28" s="44">
        <f>SUM(G18:G27)</f>
        <v>94969.5</v>
      </c>
      <c r="H28" s="45">
        <f>SUM(H18:H27)</f>
        <v>2419844.5</v>
      </c>
      <c r="I28" s="46"/>
    </row>
    <row r="29" spans="2:9" ht="4.5" customHeight="1">
      <c r="B29" s="176"/>
      <c r="C29" s="47"/>
      <c r="D29" s="47"/>
      <c r="E29" s="48"/>
      <c r="F29" s="48"/>
      <c r="G29" s="48"/>
      <c r="H29" s="48"/>
    </row>
    <row r="30" spans="2:9" ht="24" customHeight="1">
      <c r="B30" s="47"/>
      <c r="C30" s="47"/>
      <c r="D30" s="47"/>
      <c r="E30" s="48"/>
      <c r="F30" s="329" t="s">
        <v>25</v>
      </c>
      <c r="G30" s="330"/>
      <c r="H30" s="441">
        <v>2120000</v>
      </c>
    </row>
    <row r="31" spans="2:9" ht="15" customHeight="1">
      <c r="B31" s="47"/>
      <c r="C31" s="47"/>
      <c r="D31" s="47"/>
      <c r="E31" s="48"/>
      <c r="F31" s="48"/>
      <c r="G31" s="48"/>
      <c r="H31" s="48"/>
    </row>
    <row r="32" spans="2:9" ht="22.5" customHeight="1">
      <c r="B32" s="331" t="s">
        <v>26</v>
      </c>
      <c r="C32" s="334" t="s">
        <v>27</v>
      </c>
      <c r="D32" s="335"/>
      <c r="E32" s="336"/>
      <c r="F32" s="337" t="s">
        <v>28</v>
      </c>
      <c r="G32" s="338"/>
      <c r="H32" s="338"/>
      <c r="I32" s="339"/>
    </row>
    <row r="33" spans="2:11" ht="22.5" customHeight="1">
      <c r="B33" s="332"/>
      <c r="C33" s="340" t="s">
        <v>29</v>
      </c>
      <c r="D33" s="341"/>
      <c r="E33" s="342"/>
      <c r="F33" s="50" t="s">
        <v>30</v>
      </c>
      <c r="G33" s="343"/>
      <c r="H33" s="344"/>
      <c r="I33" s="345"/>
    </row>
    <row r="34" spans="2:11" ht="22.5" customHeight="1">
      <c r="B34" s="332"/>
      <c r="C34" s="346">
        <f>'원가항목별(집계)'!I39</f>
        <v>4128000</v>
      </c>
      <c r="D34" s="347"/>
      <c r="E34" s="348"/>
      <c r="F34" s="40" t="s">
        <v>31</v>
      </c>
      <c r="G34" s="312"/>
      <c r="H34" s="313"/>
      <c r="I34" s="314"/>
    </row>
    <row r="35" spans="2:11" ht="22.5" customHeight="1">
      <c r="B35" s="332"/>
      <c r="C35" s="315"/>
      <c r="D35" s="316"/>
      <c r="E35" s="317"/>
      <c r="F35" s="40" t="s">
        <v>32</v>
      </c>
      <c r="G35" s="312"/>
      <c r="H35" s="313"/>
      <c r="I35" s="314"/>
    </row>
    <row r="36" spans="2:11" ht="22.5" customHeight="1">
      <c r="B36" s="333"/>
      <c r="C36" s="318"/>
      <c r="D36" s="319"/>
      <c r="E36" s="320"/>
      <c r="F36" s="41" t="s">
        <v>33</v>
      </c>
      <c r="G36" s="321"/>
      <c r="H36" s="322"/>
      <c r="I36" s="323"/>
    </row>
    <row r="45" spans="2:11">
      <c r="K45" s="24" t="s">
        <v>146</v>
      </c>
    </row>
  </sheetData>
  <mergeCells count="39">
    <mergeCell ref="G34:I34"/>
    <mergeCell ref="C35:E35"/>
    <mergeCell ref="G35:I35"/>
    <mergeCell ref="C36:E36"/>
    <mergeCell ref="G36:I36"/>
    <mergeCell ref="C26:D26"/>
    <mergeCell ref="C27:D27"/>
    <mergeCell ref="B28:D28"/>
    <mergeCell ref="F30:G30"/>
    <mergeCell ref="B32:B36"/>
    <mergeCell ref="C32:E32"/>
    <mergeCell ref="F32:I32"/>
    <mergeCell ref="C33:E33"/>
    <mergeCell ref="G33:I33"/>
    <mergeCell ref="C34:E34"/>
    <mergeCell ref="I16:I17"/>
    <mergeCell ref="C18:D18"/>
    <mergeCell ref="F18:F27"/>
    <mergeCell ref="C19:D19"/>
    <mergeCell ref="C20:D20"/>
    <mergeCell ref="C21:D21"/>
    <mergeCell ref="C22:D22"/>
    <mergeCell ref="C23:D23"/>
    <mergeCell ref="C24:D24"/>
    <mergeCell ref="C25:D25"/>
    <mergeCell ref="B10:C10"/>
    <mergeCell ref="B11:C11"/>
    <mergeCell ref="B13:C13"/>
    <mergeCell ref="B14:C14"/>
    <mergeCell ref="D14:F14"/>
    <mergeCell ref="B16:B17"/>
    <mergeCell ref="C16:D17"/>
    <mergeCell ref="E16:H16"/>
    <mergeCell ref="B2:I2"/>
    <mergeCell ref="B4:D4"/>
    <mergeCell ref="B5:C5"/>
    <mergeCell ref="B6:C6"/>
    <mergeCell ref="B7:B8"/>
    <mergeCell ref="B9:C9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scale="96" orientation="portrait" r:id="rId1"/>
  <headerFooter alignWithMargins="0">
    <oddHeader>&amp;C&amp;G</oddHeader>
    <oddFooter>&amp;L_x000D_&amp;1#&amp;"Malgun Gothic"&amp;6&amp;K000000 외부 전송용(No Protection) 손철호 책임매니저 통합구매팀 son@hyundai-wia.com 2026-07-07T14:05:14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5F29-7B04-4D47-A605-F04B8B1413B2}">
  <sheetPr>
    <pageSetUpPr fitToPage="1"/>
  </sheetPr>
  <dimension ref="B2:M50"/>
  <sheetViews>
    <sheetView showGridLines="0" zoomScale="80" workbookViewId="0">
      <pane ySplit="6" topLeftCell="A28" activePane="bottomLeft" state="frozen"/>
      <selection activeCell="F18" sqref="F18:F27"/>
      <selection pane="bottomLeft" activeCell="F18" sqref="F18:F27"/>
    </sheetView>
  </sheetViews>
  <sheetFormatPr defaultColWidth="9" defaultRowHeight="19.5" customHeight="1"/>
  <cols>
    <col min="1" max="1" width="0.5" style="51" customWidth="1"/>
    <col min="2" max="2" width="5.19921875" style="51" bestFit="1" customWidth="1"/>
    <col min="3" max="3" width="7.3984375" style="51" customWidth="1"/>
    <col min="4" max="4" width="8.8984375" style="51" customWidth="1"/>
    <col min="5" max="5" width="17.69921875" style="51" customWidth="1"/>
    <col min="6" max="6" width="6.3984375" style="52" customWidth="1"/>
    <col min="7" max="7" width="8.8984375" style="53" customWidth="1"/>
    <col min="8" max="8" width="9.69921875" style="54" customWidth="1"/>
    <col min="9" max="9" width="17.5" style="54" bestFit="1" customWidth="1"/>
    <col min="10" max="10" width="15.59765625" style="51" customWidth="1"/>
    <col min="11" max="11" width="13.69921875" style="55" bestFit="1" customWidth="1"/>
    <col min="12" max="12" width="10.8984375" style="51" bestFit="1" customWidth="1"/>
    <col min="13" max="256" width="9" style="51"/>
    <col min="257" max="257" width="0.5" style="51" customWidth="1"/>
    <col min="258" max="258" width="5.19921875" style="51" bestFit="1" customWidth="1"/>
    <col min="259" max="259" width="7.3984375" style="51" customWidth="1"/>
    <col min="260" max="260" width="8.8984375" style="51" customWidth="1"/>
    <col min="261" max="261" width="17.69921875" style="51" customWidth="1"/>
    <col min="262" max="262" width="6.3984375" style="51" customWidth="1"/>
    <col min="263" max="263" width="8.8984375" style="51" customWidth="1"/>
    <col min="264" max="264" width="9.69921875" style="51" customWidth="1"/>
    <col min="265" max="265" width="17.5" style="51" bestFit="1" customWidth="1"/>
    <col min="266" max="266" width="15.59765625" style="51" customWidth="1"/>
    <col min="267" max="267" width="13.69921875" style="51" bestFit="1" customWidth="1"/>
    <col min="268" max="268" width="10.8984375" style="51" bestFit="1" customWidth="1"/>
    <col min="269" max="512" width="9" style="51"/>
    <col min="513" max="513" width="0.5" style="51" customWidth="1"/>
    <col min="514" max="514" width="5.19921875" style="51" bestFit="1" customWidth="1"/>
    <col min="515" max="515" width="7.3984375" style="51" customWidth="1"/>
    <col min="516" max="516" width="8.8984375" style="51" customWidth="1"/>
    <col min="517" max="517" width="17.69921875" style="51" customWidth="1"/>
    <col min="518" max="518" width="6.3984375" style="51" customWidth="1"/>
    <col min="519" max="519" width="8.8984375" style="51" customWidth="1"/>
    <col min="520" max="520" width="9.69921875" style="51" customWidth="1"/>
    <col min="521" max="521" width="17.5" style="51" bestFit="1" customWidth="1"/>
    <col min="522" max="522" width="15.59765625" style="51" customWidth="1"/>
    <col min="523" max="523" width="13.69921875" style="51" bestFit="1" customWidth="1"/>
    <col min="524" max="524" width="10.8984375" style="51" bestFit="1" customWidth="1"/>
    <col min="525" max="768" width="9" style="51"/>
    <col min="769" max="769" width="0.5" style="51" customWidth="1"/>
    <col min="770" max="770" width="5.19921875" style="51" bestFit="1" customWidth="1"/>
    <col min="771" max="771" width="7.3984375" style="51" customWidth="1"/>
    <col min="772" max="772" width="8.8984375" style="51" customWidth="1"/>
    <col min="773" max="773" width="17.69921875" style="51" customWidth="1"/>
    <col min="774" max="774" width="6.3984375" style="51" customWidth="1"/>
    <col min="775" max="775" width="8.8984375" style="51" customWidth="1"/>
    <col min="776" max="776" width="9.69921875" style="51" customWidth="1"/>
    <col min="777" max="777" width="17.5" style="51" bestFit="1" customWidth="1"/>
    <col min="778" max="778" width="15.59765625" style="51" customWidth="1"/>
    <col min="779" max="779" width="13.69921875" style="51" bestFit="1" customWidth="1"/>
    <col min="780" max="780" width="10.8984375" style="51" bestFit="1" customWidth="1"/>
    <col min="781" max="1024" width="9" style="51"/>
    <col min="1025" max="1025" width="0.5" style="51" customWidth="1"/>
    <col min="1026" max="1026" width="5.19921875" style="51" bestFit="1" customWidth="1"/>
    <col min="1027" max="1027" width="7.3984375" style="51" customWidth="1"/>
    <col min="1028" max="1028" width="8.8984375" style="51" customWidth="1"/>
    <col min="1029" max="1029" width="17.69921875" style="51" customWidth="1"/>
    <col min="1030" max="1030" width="6.3984375" style="51" customWidth="1"/>
    <col min="1031" max="1031" width="8.8984375" style="51" customWidth="1"/>
    <col min="1032" max="1032" width="9.69921875" style="51" customWidth="1"/>
    <col min="1033" max="1033" width="17.5" style="51" bestFit="1" customWidth="1"/>
    <col min="1034" max="1034" width="15.59765625" style="51" customWidth="1"/>
    <col min="1035" max="1035" width="13.69921875" style="51" bestFit="1" customWidth="1"/>
    <col min="1036" max="1036" width="10.8984375" style="51" bestFit="1" customWidth="1"/>
    <col min="1037" max="1280" width="9" style="51"/>
    <col min="1281" max="1281" width="0.5" style="51" customWidth="1"/>
    <col min="1282" max="1282" width="5.19921875" style="51" bestFit="1" customWidth="1"/>
    <col min="1283" max="1283" width="7.3984375" style="51" customWidth="1"/>
    <col min="1284" max="1284" width="8.8984375" style="51" customWidth="1"/>
    <col min="1285" max="1285" width="17.69921875" style="51" customWidth="1"/>
    <col min="1286" max="1286" width="6.3984375" style="51" customWidth="1"/>
    <col min="1287" max="1287" width="8.8984375" style="51" customWidth="1"/>
    <col min="1288" max="1288" width="9.69921875" style="51" customWidth="1"/>
    <col min="1289" max="1289" width="17.5" style="51" bestFit="1" customWidth="1"/>
    <col min="1290" max="1290" width="15.59765625" style="51" customWidth="1"/>
    <col min="1291" max="1291" width="13.69921875" style="51" bestFit="1" customWidth="1"/>
    <col min="1292" max="1292" width="10.8984375" style="51" bestFit="1" customWidth="1"/>
    <col min="1293" max="1536" width="9" style="51"/>
    <col min="1537" max="1537" width="0.5" style="51" customWidth="1"/>
    <col min="1538" max="1538" width="5.19921875" style="51" bestFit="1" customWidth="1"/>
    <col min="1539" max="1539" width="7.3984375" style="51" customWidth="1"/>
    <col min="1540" max="1540" width="8.8984375" style="51" customWidth="1"/>
    <col min="1541" max="1541" width="17.69921875" style="51" customWidth="1"/>
    <col min="1542" max="1542" width="6.3984375" style="51" customWidth="1"/>
    <col min="1543" max="1543" width="8.8984375" style="51" customWidth="1"/>
    <col min="1544" max="1544" width="9.69921875" style="51" customWidth="1"/>
    <col min="1545" max="1545" width="17.5" style="51" bestFit="1" customWidth="1"/>
    <col min="1546" max="1546" width="15.59765625" style="51" customWidth="1"/>
    <col min="1547" max="1547" width="13.69921875" style="51" bestFit="1" customWidth="1"/>
    <col min="1548" max="1548" width="10.8984375" style="51" bestFit="1" customWidth="1"/>
    <col min="1549" max="1792" width="9" style="51"/>
    <col min="1793" max="1793" width="0.5" style="51" customWidth="1"/>
    <col min="1794" max="1794" width="5.19921875" style="51" bestFit="1" customWidth="1"/>
    <col min="1795" max="1795" width="7.3984375" style="51" customWidth="1"/>
    <col min="1796" max="1796" width="8.8984375" style="51" customWidth="1"/>
    <col min="1797" max="1797" width="17.69921875" style="51" customWidth="1"/>
    <col min="1798" max="1798" width="6.3984375" style="51" customWidth="1"/>
    <col min="1799" max="1799" width="8.8984375" style="51" customWidth="1"/>
    <col min="1800" max="1800" width="9.69921875" style="51" customWidth="1"/>
    <col min="1801" max="1801" width="17.5" style="51" bestFit="1" customWidth="1"/>
    <col min="1802" max="1802" width="15.59765625" style="51" customWidth="1"/>
    <col min="1803" max="1803" width="13.69921875" style="51" bestFit="1" customWidth="1"/>
    <col min="1804" max="1804" width="10.8984375" style="51" bestFit="1" customWidth="1"/>
    <col min="1805" max="2048" width="9" style="51"/>
    <col min="2049" max="2049" width="0.5" style="51" customWidth="1"/>
    <col min="2050" max="2050" width="5.19921875" style="51" bestFit="1" customWidth="1"/>
    <col min="2051" max="2051" width="7.3984375" style="51" customWidth="1"/>
    <col min="2052" max="2052" width="8.8984375" style="51" customWidth="1"/>
    <col min="2053" max="2053" width="17.69921875" style="51" customWidth="1"/>
    <col min="2054" max="2054" width="6.3984375" style="51" customWidth="1"/>
    <col min="2055" max="2055" width="8.8984375" style="51" customWidth="1"/>
    <col min="2056" max="2056" width="9.69921875" style="51" customWidth="1"/>
    <col min="2057" max="2057" width="17.5" style="51" bestFit="1" customWidth="1"/>
    <col min="2058" max="2058" width="15.59765625" style="51" customWidth="1"/>
    <col min="2059" max="2059" width="13.69921875" style="51" bestFit="1" customWidth="1"/>
    <col min="2060" max="2060" width="10.8984375" style="51" bestFit="1" customWidth="1"/>
    <col min="2061" max="2304" width="9" style="51"/>
    <col min="2305" max="2305" width="0.5" style="51" customWidth="1"/>
    <col min="2306" max="2306" width="5.19921875" style="51" bestFit="1" customWidth="1"/>
    <col min="2307" max="2307" width="7.3984375" style="51" customWidth="1"/>
    <col min="2308" max="2308" width="8.8984375" style="51" customWidth="1"/>
    <col min="2309" max="2309" width="17.69921875" style="51" customWidth="1"/>
    <col min="2310" max="2310" width="6.3984375" style="51" customWidth="1"/>
    <col min="2311" max="2311" width="8.8984375" style="51" customWidth="1"/>
    <col min="2312" max="2312" width="9.69921875" style="51" customWidth="1"/>
    <col min="2313" max="2313" width="17.5" style="51" bestFit="1" customWidth="1"/>
    <col min="2314" max="2314" width="15.59765625" style="51" customWidth="1"/>
    <col min="2315" max="2315" width="13.69921875" style="51" bestFit="1" customWidth="1"/>
    <col min="2316" max="2316" width="10.8984375" style="51" bestFit="1" customWidth="1"/>
    <col min="2317" max="2560" width="9" style="51"/>
    <col min="2561" max="2561" width="0.5" style="51" customWidth="1"/>
    <col min="2562" max="2562" width="5.19921875" style="51" bestFit="1" customWidth="1"/>
    <col min="2563" max="2563" width="7.3984375" style="51" customWidth="1"/>
    <col min="2564" max="2564" width="8.8984375" style="51" customWidth="1"/>
    <col min="2565" max="2565" width="17.69921875" style="51" customWidth="1"/>
    <col min="2566" max="2566" width="6.3984375" style="51" customWidth="1"/>
    <col min="2567" max="2567" width="8.8984375" style="51" customWidth="1"/>
    <col min="2568" max="2568" width="9.69921875" style="51" customWidth="1"/>
    <col min="2569" max="2569" width="17.5" style="51" bestFit="1" customWidth="1"/>
    <col min="2570" max="2570" width="15.59765625" style="51" customWidth="1"/>
    <col min="2571" max="2571" width="13.69921875" style="51" bestFit="1" customWidth="1"/>
    <col min="2572" max="2572" width="10.8984375" style="51" bestFit="1" customWidth="1"/>
    <col min="2573" max="2816" width="9" style="51"/>
    <col min="2817" max="2817" width="0.5" style="51" customWidth="1"/>
    <col min="2818" max="2818" width="5.19921875" style="51" bestFit="1" customWidth="1"/>
    <col min="2819" max="2819" width="7.3984375" style="51" customWidth="1"/>
    <col min="2820" max="2820" width="8.8984375" style="51" customWidth="1"/>
    <col min="2821" max="2821" width="17.69921875" style="51" customWidth="1"/>
    <col min="2822" max="2822" width="6.3984375" style="51" customWidth="1"/>
    <col min="2823" max="2823" width="8.8984375" style="51" customWidth="1"/>
    <col min="2824" max="2824" width="9.69921875" style="51" customWidth="1"/>
    <col min="2825" max="2825" width="17.5" style="51" bestFit="1" customWidth="1"/>
    <col min="2826" max="2826" width="15.59765625" style="51" customWidth="1"/>
    <col min="2827" max="2827" width="13.69921875" style="51" bestFit="1" customWidth="1"/>
    <col min="2828" max="2828" width="10.8984375" style="51" bestFit="1" customWidth="1"/>
    <col min="2829" max="3072" width="9" style="51"/>
    <col min="3073" max="3073" width="0.5" style="51" customWidth="1"/>
    <col min="3074" max="3074" width="5.19921875" style="51" bestFit="1" customWidth="1"/>
    <col min="3075" max="3075" width="7.3984375" style="51" customWidth="1"/>
    <col min="3076" max="3076" width="8.8984375" style="51" customWidth="1"/>
    <col min="3077" max="3077" width="17.69921875" style="51" customWidth="1"/>
    <col min="3078" max="3078" width="6.3984375" style="51" customWidth="1"/>
    <col min="3079" max="3079" width="8.8984375" style="51" customWidth="1"/>
    <col min="3080" max="3080" width="9.69921875" style="51" customWidth="1"/>
    <col min="3081" max="3081" width="17.5" style="51" bestFit="1" customWidth="1"/>
    <col min="3082" max="3082" width="15.59765625" style="51" customWidth="1"/>
    <col min="3083" max="3083" width="13.69921875" style="51" bestFit="1" customWidth="1"/>
    <col min="3084" max="3084" width="10.8984375" style="51" bestFit="1" customWidth="1"/>
    <col min="3085" max="3328" width="9" style="51"/>
    <col min="3329" max="3329" width="0.5" style="51" customWidth="1"/>
    <col min="3330" max="3330" width="5.19921875" style="51" bestFit="1" customWidth="1"/>
    <col min="3331" max="3331" width="7.3984375" style="51" customWidth="1"/>
    <col min="3332" max="3332" width="8.8984375" style="51" customWidth="1"/>
    <col min="3333" max="3333" width="17.69921875" style="51" customWidth="1"/>
    <col min="3334" max="3334" width="6.3984375" style="51" customWidth="1"/>
    <col min="3335" max="3335" width="8.8984375" style="51" customWidth="1"/>
    <col min="3336" max="3336" width="9.69921875" style="51" customWidth="1"/>
    <col min="3337" max="3337" width="17.5" style="51" bestFit="1" customWidth="1"/>
    <col min="3338" max="3338" width="15.59765625" style="51" customWidth="1"/>
    <col min="3339" max="3339" width="13.69921875" style="51" bestFit="1" customWidth="1"/>
    <col min="3340" max="3340" width="10.8984375" style="51" bestFit="1" customWidth="1"/>
    <col min="3341" max="3584" width="9" style="51"/>
    <col min="3585" max="3585" width="0.5" style="51" customWidth="1"/>
    <col min="3586" max="3586" width="5.19921875" style="51" bestFit="1" customWidth="1"/>
    <col min="3587" max="3587" width="7.3984375" style="51" customWidth="1"/>
    <col min="3588" max="3588" width="8.8984375" style="51" customWidth="1"/>
    <col min="3589" max="3589" width="17.69921875" style="51" customWidth="1"/>
    <col min="3590" max="3590" width="6.3984375" style="51" customWidth="1"/>
    <col min="3591" max="3591" width="8.8984375" style="51" customWidth="1"/>
    <col min="3592" max="3592" width="9.69921875" style="51" customWidth="1"/>
    <col min="3593" max="3593" width="17.5" style="51" bestFit="1" customWidth="1"/>
    <col min="3594" max="3594" width="15.59765625" style="51" customWidth="1"/>
    <col min="3595" max="3595" width="13.69921875" style="51" bestFit="1" customWidth="1"/>
    <col min="3596" max="3596" width="10.8984375" style="51" bestFit="1" customWidth="1"/>
    <col min="3597" max="3840" width="9" style="51"/>
    <col min="3841" max="3841" width="0.5" style="51" customWidth="1"/>
    <col min="3842" max="3842" width="5.19921875" style="51" bestFit="1" customWidth="1"/>
    <col min="3843" max="3843" width="7.3984375" style="51" customWidth="1"/>
    <col min="3844" max="3844" width="8.8984375" style="51" customWidth="1"/>
    <col min="3845" max="3845" width="17.69921875" style="51" customWidth="1"/>
    <col min="3846" max="3846" width="6.3984375" style="51" customWidth="1"/>
    <col min="3847" max="3847" width="8.8984375" style="51" customWidth="1"/>
    <col min="3848" max="3848" width="9.69921875" style="51" customWidth="1"/>
    <col min="3849" max="3849" width="17.5" style="51" bestFit="1" customWidth="1"/>
    <col min="3850" max="3850" width="15.59765625" style="51" customWidth="1"/>
    <col min="3851" max="3851" width="13.69921875" style="51" bestFit="1" customWidth="1"/>
    <col min="3852" max="3852" width="10.8984375" style="51" bestFit="1" customWidth="1"/>
    <col min="3853" max="4096" width="9" style="51"/>
    <col min="4097" max="4097" width="0.5" style="51" customWidth="1"/>
    <col min="4098" max="4098" width="5.19921875" style="51" bestFit="1" customWidth="1"/>
    <col min="4099" max="4099" width="7.3984375" style="51" customWidth="1"/>
    <col min="4100" max="4100" width="8.8984375" style="51" customWidth="1"/>
    <col min="4101" max="4101" width="17.69921875" style="51" customWidth="1"/>
    <col min="4102" max="4102" width="6.3984375" style="51" customWidth="1"/>
    <col min="4103" max="4103" width="8.8984375" style="51" customWidth="1"/>
    <col min="4104" max="4104" width="9.69921875" style="51" customWidth="1"/>
    <col min="4105" max="4105" width="17.5" style="51" bestFit="1" customWidth="1"/>
    <col min="4106" max="4106" width="15.59765625" style="51" customWidth="1"/>
    <col min="4107" max="4107" width="13.69921875" style="51" bestFit="1" customWidth="1"/>
    <col min="4108" max="4108" width="10.8984375" style="51" bestFit="1" customWidth="1"/>
    <col min="4109" max="4352" width="9" style="51"/>
    <col min="4353" max="4353" width="0.5" style="51" customWidth="1"/>
    <col min="4354" max="4354" width="5.19921875" style="51" bestFit="1" customWidth="1"/>
    <col min="4355" max="4355" width="7.3984375" style="51" customWidth="1"/>
    <col min="4356" max="4356" width="8.8984375" style="51" customWidth="1"/>
    <col min="4357" max="4357" width="17.69921875" style="51" customWidth="1"/>
    <col min="4358" max="4358" width="6.3984375" style="51" customWidth="1"/>
    <col min="4359" max="4359" width="8.8984375" style="51" customWidth="1"/>
    <col min="4360" max="4360" width="9.69921875" style="51" customWidth="1"/>
    <col min="4361" max="4361" width="17.5" style="51" bestFit="1" customWidth="1"/>
    <col min="4362" max="4362" width="15.59765625" style="51" customWidth="1"/>
    <col min="4363" max="4363" width="13.69921875" style="51" bestFit="1" customWidth="1"/>
    <col min="4364" max="4364" width="10.8984375" style="51" bestFit="1" customWidth="1"/>
    <col min="4365" max="4608" width="9" style="51"/>
    <col min="4609" max="4609" width="0.5" style="51" customWidth="1"/>
    <col min="4610" max="4610" width="5.19921875" style="51" bestFit="1" customWidth="1"/>
    <col min="4611" max="4611" width="7.3984375" style="51" customWidth="1"/>
    <col min="4612" max="4612" width="8.8984375" style="51" customWidth="1"/>
    <col min="4613" max="4613" width="17.69921875" style="51" customWidth="1"/>
    <col min="4614" max="4614" width="6.3984375" style="51" customWidth="1"/>
    <col min="4615" max="4615" width="8.8984375" style="51" customWidth="1"/>
    <col min="4616" max="4616" width="9.69921875" style="51" customWidth="1"/>
    <col min="4617" max="4617" width="17.5" style="51" bestFit="1" customWidth="1"/>
    <col min="4618" max="4618" width="15.59765625" style="51" customWidth="1"/>
    <col min="4619" max="4619" width="13.69921875" style="51" bestFit="1" customWidth="1"/>
    <col min="4620" max="4620" width="10.8984375" style="51" bestFit="1" customWidth="1"/>
    <col min="4621" max="4864" width="9" style="51"/>
    <col min="4865" max="4865" width="0.5" style="51" customWidth="1"/>
    <col min="4866" max="4866" width="5.19921875" style="51" bestFit="1" customWidth="1"/>
    <col min="4867" max="4867" width="7.3984375" style="51" customWidth="1"/>
    <col min="4868" max="4868" width="8.8984375" style="51" customWidth="1"/>
    <col min="4869" max="4869" width="17.69921875" style="51" customWidth="1"/>
    <col min="4870" max="4870" width="6.3984375" style="51" customWidth="1"/>
    <col min="4871" max="4871" width="8.8984375" style="51" customWidth="1"/>
    <col min="4872" max="4872" width="9.69921875" style="51" customWidth="1"/>
    <col min="4873" max="4873" width="17.5" style="51" bestFit="1" customWidth="1"/>
    <col min="4874" max="4874" width="15.59765625" style="51" customWidth="1"/>
    <col min="4875" max="4875" width="13.69921875" style="51" bestFit="1" customWidth="1"/>
    <col min="4876" max="4876" width="10.8984375" style="51" bestFit="1" customWidth="1"/>
    <col min="4877" max="5120" width="9" style="51"/>
    <col min="5121" max="5121" width="0.5" style="51" customWidth="1"/>
    <col min="5122" max="5122" width="5.19921875" style="51" bestFit="1" customWidth="1"/>
    <col min="5123" max="5123" width="7.3984375" style="51" customWidth="1"/>
    <col min="5124" max="5124" width="8.8984375" style="51" customWidth="1"/>
    <col min="5125" max="5125" width="17.69921875" style="51" customWidth="1"/>
    <col min="5126" max="5126" width="6.3984375" style="51" customWidth="1"/>
    <col min="5127" max="5127" width="8.8984375" style="51" customWidth="1"/>
    <col min="5128" max="5128" width="9.69921875" style="51" customWidth="1"/>
    <col min="5129" max="5129" width="17.5" style="51" bestFit="1" customWidth="1"/>
    <col min="5130" max="5130" width="15.59765625" style="51" customWidth="1"/>
    <col min="5131" max="5131" width="13.69921875" style="51" bestFit="1" customWidth="1"/>
    <col min="5132" max="5132" width="10.8984375" style="51" bestFit="1" customWidth="1"/>
    <col min="5133" max="5376" width="9" style="51"/>
    <col min="5377" max="5377" width="0.5" style="51" customWidth="1"/>
    <col min="5378" max="5378" width="5.19921875" style="51" bestFit="1" customWidth="1"/>
    <col min="5379" max="5379" width="7.3984375" style="51" customWidth="1"/>
    <col min="5380" max="5380" width="8.8984375" style="51" customWidth="1"/>
    <col min="5381" max="5381" width="17.69921875" style="51" customWidth="1"/>
    <col min="5382" max="5382" width="6.3984375" style="51" customWidth="1"/>
    <col min="5383" max="5383" width="8.8984375" style="51" customWidth="1"/>
    <col min="5384" max="5384" width="9.69921875" style="51" customWidth="1"/>
    <col min="5385" max="5385" width="17.5" style="51" bestFit="1" customWidth="1"/>
    <col min="5386" max="5386" width="15.59765625" style="51" customWidth="1"/>
    <col min="5387" max="5387" width="13.69921875" style="51" bestFit="1" customWidth="1"/>
    <col min="5388" max="5388" width="10.8984375" style="51" bestFit="1" customWidth="1"/>
    <col min="5389" max="5632" width="9" style="51"/>
    <col min="5633" max="5633" width="0.5" style="51" customWidth="1"/>
    <col min="5634" max="5634" width="5.19921875" style="51" bestFit="1" customWidth="1"/>
    <col min="5635" max="5635" width="7.3984375" style="51" customWidth="1"/>
    <col min="5636" max="5636" width="8.8984375" style="51" customWidth="1"/>
    <col min="5637" max="5637" width="17.69921875" style="51" customWidth="1"/>
    <col min="5638" max="5638" width="6.3984375" style="51" customWidth="1"/>
    <col min="5639" max="5639" width="8.8984375" style="51" customWidth="1"/>
    <col min="5640" max="5640" width="9.69921875" style="51" customWidth="1"/>
    <col min="5641" max="5641" width="17.5" style="51" bestFit="1" customWidth="1"/>
    <col min="5642" max="5642" width="15.59765625" style="51" customWidth="1"/>
    <col min="5643" max="5643" width="13.69921875" style="51" bestFit="1" customWidth="1"/>
    <col min="5644" max="5644" width="10.8984375" style="51" bestFit="1" customWidth="1"/>
    <col min="5645" max="5888" width="9" style="51"/>
    <col min="5889" max="5889" width="0.5" style="51" customWidth="1"/>
    <col min="5890" max="5890" width="5.19921875" style="51" bestFit="1" customWidth="1"/>
    <col min="5891" max="5891" width="7.3984375" style="51" customWidth="1"/>
    <col min="5892" max="5892" width="8.8984375" style="51" customWidth="1"/>
    <col min="5893" max="5893" width="17.69921875" style="51" customWidth="1"/>
    <col min="5894" max="5894" width="6.3984375" style="51" customWidth="1"/>
    <col min="5895" max="5895" width="8.8984375" style="51" customWidth="1"/>
    <col min="5896" max="5896" width="9.69921875" style="51" customWidth="1"/>
    <col min="5897" max="5897" width="17.5" style="51" bestFit="1" customWidth="1"/>
    <col min="5898" max="5898" width="15.59765625" style="51" customWidth="1"/>
    <col min="5899" max="5899" width="13.69921875" style="51" bestFit="1" customWidth="1"/>
    <col min="5900" max="5900" width="10.8984375" style="51" bestFit="1" customWidth="1"/>
    <col min="5901" max="6144" width="9" style="51"/>
    <col min="6145" max="6145" width="0.5" style="51" customWidth="1"/>
    <col min="6146" max="6146" width="5.19921875" style="51" bestFit="1" customWidth="1"/>
    <col min="6147" max="6147" width="7.3984375" style="51" customWidth="1"/>
    <col min="6148" max="6148" width="8.8984375" style="51" customWidth="1"/>
    <col min="6149" max="6149" width="17.69921875" style="51" customWidth="1"/>
    <col min="6150" max="6150" width="6.3984375" style="51" customWidth="1"/>
    <col min="6151" max="6151" width="8.8984375" style="51" customWidth="1"/>
    <col min="6152" max="6152" width="9.69921875" style="51" customWidth="1"/>
    <col min="6153" max="6153" width="17.5" style="51" bestFit="1" customWidth="1"/>
    <col min="6154" max="6154" width="15.59765625" style="51" customWidth="1"/>
    <col min="6155" max="6155" width="13.69921875" style="51" bestFit="1" customWidth="1"/>
    <col min="6156" max="6156" width="10.8984375" style="51" bestFit="1" customWidth="1"/>
    <col min="6157" max="6400" width="9" style="51"/>
    <col min="6401" max="6401" width="0.5" style="51" customWidth="1"/>
    <col min="6402" max="6402" width="5.19921875" style="51" bestFit="1" customWidth="1"/>
    <col min="6403" max="6403" width="7.3984375" style="51" customWidth="1"/>
    <col min="6404" max="6404" width="8.8984375" style="51" customWidth="1"/>
    <col min="6405" max="6405" width="17.69921875" style="51" customWidth="1"/>
    <col min="6406" max="6406" width="6.3984375" style="51" customWidth="1"/>
    <col min="6407" max="6407" width="8.8984375" style="51" customWidth="1"/>
    <col min="6408" max="6408" width="9.69921875" style="51" customWidth="1"/>
    <col min="6409" max="6409" width="17.5" style="51" bestFit="1" customWidth="1"/>
    <col min="6410" max="6410" width="15.59765625" style="51" customWidth="1"/>
    <col min="6411" max="6411" width="13.69921875" style="51" bestFit="1" customWidth="1"/>
    <col min="6412" max="6412" width="10.8984375" style="51" bestFit="1" customWidth="1"/>
    <col min="6413" max="6656" width="9" style="51"/>
    <col min="6657" max="6657" width="0.5" style="51" customWidth="1"/>
    <col min="6658" max="6658" width="5.19921875" style="51" bestFit="1" customWidth="1"/>
    <col min="6659" max="6659" width="7.3984375" style="51" customWidth="1"/>
    <col min="6660" max="6660" width="8.8984375" style="51" customWidth="1"/>
    <col min="6661" max="6661" width="17.69921875" style="51" customWidth="1"/>
    <col min="6662" max="6662" width="6.3984375" style="51" customWidth="1"/>
    <col min="6663" max="6663" width="8.8984375" style="51" customWidth="1"/>
    <col min="6664" max="6664" width="9.69921875" style="51" customWidth="1"/>
    <col min="6665" max="6665" width="17.5" style="51" bestFit="1" customWidth="1"/>
    <col min="6666" max="6666" width="15.59765625" style="51" customWidth="1"/>
    <col min="6667" max="6667" width="13.69921875" style="51" bestFit="1" customWidth="1"/>
    <col min="6668" max="6668" width="10.8984375" style="51" bestFit="1" customWidth="1"/>
    <col min="6669" max="6912" width="9" style="51"/>
    <col min="6913" max="6913" width="0.5" style="51" customWidth="1"/>
    <col min="6914" max="6914" width="5.19921875" style="51" bestFit="1" customWidth="1"/>
    <col min="6915" max="6915" width="7.3984375" style="51" customWidth="1"/>
    <col min="6916" max="6916" width="8.8984375" style="51" customWidth="1"/>
    <col min="6917" max="6917" width="17.69921875" style="51" customWidth="1"/>
    <col min="6918" max="6918" width="6.3984375" style="51" customWidth="1"/>
    <col min="6919" max="6919" width="8.8984375" style="51" customWidth="1"/>
    <col min="6920" max="6920" width="9.69921875" style="51" customWidth="1"/>
    <col min="6921" max="6921" width="17.5" style="51" bestFit="1" customWidth="1"/>
    <col min="6922" max="6922" width="15.59765625" style="51" customWidth="1"/>
    <col min="6923" max="6923" width="13.69921875" style="51" bestFit="1" customWidth="1"/>
    <col min="6924" max="6924" width="10.8984375" style="51" bestFit="1" customWidth="1"/>
    <col min="6925" max="7168" width="9" style="51"/>
    <col min="7169" max="7169" width="0.5" style="51" customWidth="1"/>
    <col min="7170" max="7170" width="5.19921875" style="51" bestFit="1" customWidth="1"/>
    <col min="7171" max="7171" width="7.3984375" style="51" customWidth="1"/>
    <col min="7172" max="7172" width="8.8984375" style="51" customWidth="1"/>
    <col min="7173" max="7173" width="17.69921875" style="51" customWidth="1"/>
    <col min="7174" max="7174" width="6.3984375" style="51" customWidth="1"/>
    <col min="7175" max="7175" width="8.8984375" style="51" customWidth="1"/>
    <col min="7176" max="7176" width="9.69921875" style="51" customWidth="1"/>
    <col min="7177" max="7177" width="17.5" style="51" bestFit="1" customWidth="1"/>
    <col min="7178" max="7178" width="15.59765625" style="51" customWidth="1"/>
    <col min="7179" max="7179" width="13.69921875" style="51" bestFit="1" customWidth="1"/>
    <col min="7180" max="7180" width="10.8984375" style="51" bestFit="1" customWidth="1"/>
    <col min="7181" max="7424" width="9" style="51"/>
    <col min="7425" max="7425" width="0.5" style="51" customWidth="1"/>
    <col min="7426" max="7426" width="5.19921875" style="51" bestFit="1" customWidth="1"/>
    <col min="7427" max="7427" width="7.3984375" style="51" customWidth="1"/>
    <col min="7428" max="7428" width="8.8984375" style="51" customWidth="1"/>
    <col min="7429" max="7429" width="17.69921875" style="51" customWidth="1"/>
    <col min="7430" max="7430" width="6.3984375" style="51" customWidth="1"/>
    <col min="7431" max="7431" width="8.8984375" style="51" customWidth="1"/>
    <col min="7432" max="7432" width="9.69921875" style="51" customWidth="1"/>
    <col min="7433" max="7433" width="17.5" style="51" bestFit="1" customWidth="1"/>
    <col min="7434" max="7434" width="15.59765625" style="51" customWidth="1"/>
    <col min="7435" max="7435" width="13.69921875" style="51" bestFit="1" customWidth="1"/>
    <col min="7436" max="7436" width="10.8984375" style="51" bestFit="1" customWidth="1"/>
    <col min="7437" max="7680" width="9" style="51"/>
    <col min="7681" max="7681" width="0.5" style="51" customWidth="1"/>
    <col min="7682" max="7682" width="5.19921875" style="51" bestFit="1" customWidth="1"/>
    <col min="7683" max="7683" width="7.3984375" style="51" customWidth="1"/>
    <col min="7684" max="7684" width="8.8984375" style="51" customWidth="1"/>
    <col min="7685" max="7685" width="17.69921875" style="51" customWidth="1"/>
    <col min="7686" max="7686" width="6.3984375" style="51" customWidth="1"/>
    <col min="7687" max="7687" width="8.8984375" style="51" customWidth="1"/>
    <col min="7688" max="7688" width="9.69921875" style="51" customWidth="1"/>
    <col min="7689" max="7689" width="17.5" style="51" bestFit="1" customWidth="1"/>
    <col min="7690" max="7690" width="15.59765625" style="51" customWidth="1"/>
    <col min="7691" max="7691" width="13.69921875" style="51" bestFit="1" customWidth="1"/>
    <col min="7692" max="7692" width="10.8984375" style="51" bestFit="1" customWidth="1"/>
    <col min="7693" max="7936" width="9" style="51"/>
    <col min="7937" max="7937" width="0.5" style="51" customWidth="1"/>
    <col min="7938" max="7938" width="5.19921875" style="51" bestFit="1" customWidth="1"/>
    <col min="7939" max="7939" width="7.3984375" style="51" customWidth="1"/>
    <col min="7940" max="7940" width="8.8984375" style="51" customWidth="1"/>
    <col min="7941" max="7941" width="17.69921875" style="51" customWidth="1"/>
    <col min="7942" max="7942" width="6.3984375" style="51" customWidth="1"/>
    <col min="7943" max="7943" width="8.8984375" style="51" customWidth="1"/>
    <col min="7944" max="7944" width="9.69921875" style="51" customWidth="1"/>
    <col min="7945" max="7945" width="17.5" style="51" bestFit="1" customWidth="1"/>
    <col min="7946" max="7946" width="15.59765625" style="51" customWidth="1"/>
    <col min="7947" max="7947" width="13.69921875" style="51" bestFit="1" customWidth="1"/>
    <col min="7948" max="7948" width="10.8984375" style="51" bestFit="1" customWidth="1"/>
    <col min="7949" max="8192" width="9" style="51"/>
    <col min="8193" max="8193" width="0.5" style="51" customWidth="1"/>
    <col min="8194" max="8194" width="5.19921875" style="51" bestFit="1" customWidth="1"/>
    <col min="8195" max="8195" width="7.3984375" style="51" customWidth="1"/>
    <col min="8196" max="8196" width="8.8984375" style="51" customWidth="1"/>
    <col min="8197" max="8197" width="17.69921875" style="51" customWidth="1"/>
    <col min="8198" max="8198" width="6.3984375" style="51" customWidth="1"/>
    <col min="8199" max="8199" width="8.8984375" style="51" customWidth="1"/>
    <col min="8200" max="8200" width="9.69921875" style="51" customWidth="1"/>
    <col min="8201" max="8201" width="17.5" style="51" bestFit="1" customWidth="1"/>
    <col min="8202" max="8202" width="15.59765625" style="51" customWidth="1"/>
    <col min="8203" max="8203" width="13.69921875" style="51" bestFit="1" customWidth="1"/>
    <col min="8204" max="8204" width="10.8984375" style="51" bestFit="1" customWidth="1"/>
    <col min="8205" max="8448" width="9" style="51"/>
    <col min="8449" max="8449" width="0.5" style="51" customWidth="1"/>
    <col min="8450" max="8450" width="5.19921875" style="51" bestFit="1" customWidth="1"/>
    <col min="8451" max="8451" width="7.3984375" style="51" customWidth="1"/>
    <col min="8452" max="8452" width="8.8984375" style="51" customWidth="1"/>
    <col min="8453" max="8453" width="17.69921875" style="51" customWidth="1"/>
    <col min="8454" max="8454" width="6.3984375" style="51" customWidth="1"/>
    <col min="8455" max="8455" width="8.8984375" style="51" customWidth="1"/>
    <col min="8456" max="8456" width="9.69921875" style="51" customWidth="1"/>
    <col min="8457" max="8457" width="17.5" style="51" bestFit="1" customWidth="1"/>
    <col min="8458" max="8458" width="15.59765625" style="51" customWidth="1"/>
    <col min="8459" max="8459" width="13.69921875" style="51" bestFit="1" customWidth="1"/>
    <col min="8460" max="8460" width="10.8984375" style="51" bestFit="1" customWidth="1"/>
    <col min="8461" max="8704" width="9" style="51"/>
    <col min="8705" max="8705" width="0.5" style="51" customWidth="1"/>
    <col min="8706" max="8706" width="5.19921875" style="51" bestFit="1" customWidth="1"/>
    <col min="8707" max="8707" width="7.3984375" style="51" customWidth="1"/>
    <col min="8708" max="8708" width="8.8984375" style="51" customWidth="1"/>
    <col min="8709" max="8709" width="17.69921875" style="51" customWidth="1"/>
    <col min="8710" max="8710" width="6.3984375" style="51" customWidth="1"/>
    <col min="8711" max="8711" width="8.8984375" style="51" customWidth="1"/>
    <col min="8712" max="8712" width="9.69921875" style="51" customWidth="1"/>
    <col min="8713" max="8713" width="17.5" style="51" bestFit="1" customWidth="1"/>
    <col min="8714" max="8714" width="15.59765625" style="51" customWidth="1"/>
    <col min="8715" max="8715" width="13.69921875" style="51" bestFit="1" customWidth="1"/>
    <col min="8716" max="8716" width="10.8984375" style="51" bestFit="1" customWidth="1"/>
    <col min="8717" max="8960" width="9" style="51"/>
    <col min="8961" max="8961" width="0.5" style="51" customWidth="1"/>
    <col min="8962" max="8962" width="5.19921875" style="51" bestFit="1" customWidth="1"/>
    <col min="8963" max="8963" width="7.3984375" style="51" customWidth="1"/>
    <col min="8964" max="8964" width="8.8984375" style="51" customWidth="1"/>
    <col min="8965" max="8965" width="17.69921875" style="51" customWidth="1"/>
    <col min="8966" max="8966" width="6.3984375" style="51" customWidth="1"/>
    <col min="8967" max="8967" width="8.8984375" style="51" customWidth="1"/>
    <col min="8968" max="8968" width="9.69921875" style="51" customWidth="1"/>
    <col min="8969" max="8969" width="17.5" style="51" bestFit="1" customWidth="1"/>
    <col min="8970" max="8970" width="15.59765625" style="51" customWidth="1"/>
    <col min="8971" max="8971" width="13.69921875" style="51" bestFit="1" customWidth="1"/>
    <col min="8972" max="8972" width="10.8984375" style="51" bestFit="1" customWidth="1"/>
    <col min="8973" max="9216" width="9" style="51"/>
    <col min="9217" max="9217" width="0.5" style="51" customWidth="1"/>
    <col min="9218" max="9218" width="5.19921875" style="51" bestFit="1" customWidth="1"/>
    <col min="9219" max="9219" width="7.3984375" style="51" customWidth="1"/>
    <col min="9220" max="9220" width="8.8984375" style="51" customWidth="1"/>
    <col min="9221" max="9221" width="17.69921875" style="51" customWidth="1"/>
    <col min="9222" max="9222" width="6.3984375" style="51" customWidth="1"/>
    <col min="9223" max="9223" width="8.8984375" style="51" customWidth="1"/>
    <col min="9224" max="9224" width="9.69921875" style="51" customWidth="1"/>
    <col min="9225" max="9225" width="17.5" style="51" bestFit="1" customWidth="1"/>
    <col min="9226" max="9226" width="15.59765625" style="51" customWidth="1"/>
    <col min="9227" max="9227" width="13.69921875" style="51" bestFit="1" customWidth="1"/>
    <col min="9228" max="9228" width="10.8984375" style="51" bestFit="1" customWidth="1"/>
    <col min="9229" max="9472" width="9" style="51"/>
    <col min="9473" max="9473" width="0.5" style="51" customWidth="1"/>
    <col min="9474" max="9474" width="5.19921875" style="51" bestFit="1" customWidth="1"/>
    <col min="9475" max="9475" width="7.3984375" style="51" customWidth="1"/>
    <col min="9476" max="9476" width="8.8984375" style="51" customWidth="1"/>
    <col min="9477" max="9477" width="17.69921875" style="51" customWidth="1"/>
    <col min="9478" max="9478" width="6.3984375" style="51" customWidth="1"/>
    <col min="9479" max="9479" width="8.8984375" style="51" customWidth="1"/>
    <col min="9480" max="9480" width="9.69921875" style="51" customWidth="1"/>
    <col min="9481" max="9481" width="17.5" style="51" bestFit="1" customWidth="1"/>
    <col min="9482" max="9482" width="15.59765625" style="51" customWidth="1"/>
    <col min="9483" max="9483" width="13.69921875" style="51" bestFit="1" customWidth="1"/>
    <col min="9484" max="9484" width="10.8984375" style="51" bestFit="1" customWidth="1"/>
    <col min="9485" max="9728" width="9" style="51"/>
    <col min="9729" max="9729" width="0.5" style="51" customWidth="1"/>
    <col min="9730" max="9730" width="5.19921875" style="51" bestFit="1" customWidth="1"/>
    <col min="9731" max="9731" width="7.3984375" style="51" customWidth="1"/>
    <col min="9732" max="9732" width="8.8984375" style="51" customWidth="1"/>
    <col min="9733" max="9733" width="17.69921875" style="51" customWidth="1"/>
    <col min="9734" max="9734" width="6.3984375" style="51" customWidth="1"/>
    <col min="9735" max="9735" width="8.8984375" style="51" customWidth="1"/>
    <col min="9736" max="9736" width="9.69921875" style="51" customWidth="1"/>
    <col min="9737" max="9737" width="17.5" style="51" bestFit="1" customWidth="1"/>
    <col min="9738" max="9738" width="15.59765625" style="51" customWidth="1"/>
    <col min="9739" max="9739" width="13.69921875" style="51" bestFit="1" customWidth="1"/>
    <col min="9740" max="9740" width="10.8984375" style="51" bestFit="1" customWidth="1"/>
    <col min="9741" max="9984" width="9" style="51"/>
    <col min="9985" max="9985" width="0.5" style="51" customWidth="1"/>
    <col min="9986" max="9986" width="5.19921875" style="51" bestFit="1" customWidth="1"/>
    <col min="9987" max="9987" width="7.3984375" style="51" customWidth="1"/>
    <col min="9988" max="9988" width="8.8984375" style="51" customWidth="1"/>
    <col min="9989" max="9989" width="17.69921875" style="51" customWidth="1"/>
    <col min="9990" max="9990" width="6.3984375" style="51" customWidth="1"/>
    <col min="9991" max="9991" width="8.8984375" style="51" customWidth="1"/>
    <col min="9992" max="9992" width="9.69921875" style="51" customWidth="1"/>
    <col min="9993" max="9993" width="17.5" style="51" bestFit="1" customWidth="1"/>
    <col min="9994" max="9994" width="15.59765625" style="51" customWidth="1"/>
    <col min="9995" max="9995" width="13.69921875" style="51" bestFit="1" customWidth="1"/>
    <col min="9996" max="9996" width="10.8984375" style="51" bestFit="1" customWidth="1"/>
    <col min="9997" max="10240" width="9" style="51"/>
    <col min="10241" max="10241" width="0.5" style="51" customWidth="1"/>
    <col min="10242" max="10242" width="5.19921875" style="51" bestFit="1" customWidth="1"/>
    <col min="10243" max="10243" width="7.3984375" style="51" customWidth="1"/>
    <col min="10244" max="10244" width="8.8984375" style="51" customWidth="1"/>
    <col min="10245" max="10245" width="17.69921875" style="51" customWidth="1"/>
    <col min="10246" max="10246" width="6.3984375" style="51" customWidth="1"/>
    <col min="10247" max="10247" width="8.8984375" style="51" customWidth="1"/>
    <col min="10248" max="10248" width="9.69921875" style="51" customWidth="1"/>
    <col min="10249" max="10249" width="17.5" style="51" bestFit="1" customWidth="1"/>
    <col min="10250" max="10250" width="15.59765625" style="51" customWidth="1"/>
    <col min="10251" max="10251" width="13.69921875" style="51" bestFit="1" customWidth="1"/>
    <col min="10252" max="10252" width="10.8984375" style="51" bestFit="1" customWidth="1"/>
    <col min="10253" max="10496" width="9" style="51"/>
    <col min="10497" max="10497" width="0.5" style="51" customWidth="1"/>
    <col min="10498" max="10498" width="5.19921875" style="51" bestFit="1" customWidth="1"/>
    <col min="10499" max="10499" width="7.3984375" style="51" customWidth="1"/>
    <col min="10500" max="10500" width="8.8984375" style="51" customWidth="1"/>
    <col min="10501" max="10501" width="17.69921875" style="51" customWidth="1"/>
    <col min="10502" max="10502" width="6.3984375" style="51" customWidth="1"/>
    <col min="10503" max="10503" width="8.8984375" style="51" customWidth="1"/>
    <col min="10504" max="10504" width="9.69921875" style="51" customWidth="1"/>
    <col min="10505" max="10505" width="17.5" style="51" bestFit="1" customWidth="1"/>
    <col min="10506" max="10506" width="15.59765625" style="51" customWidth="1"/>
    <col min="10507" max="10507" width="13.69921875" style="51" bestFit="1" customWidth="1"/>
    <col min="10508" max="10508" width="10.8984375" style="51" bestFit="1" customWidth="1"/>
    <col min="10509" max="10752" width="9" style="51"/>
    <col min="10753" max="10753" width="0.5" style="51" customWidth="1"/>
    <col min="10754" max="10754" width="5.19921875" style="51" bestFit="1" customWidth="1"/>
    <col min="10755" max="10755" width="7.3984375" style="51" customWidth="1"/>
    <col min="10756" max="10756" width="8.8984375" style="51" customWidth="1"/>
    <col min="10757" max="10757" width="17.69921875" style="51" customWidth="1"/>
    <col min="10758" max="10758" width="6.3984375" style="51" customWidth="1"/>
    <col min="10759" max="10759" width="8.8984375" style="51" customWidth="1"/>
    <col min="10760" max="10760" width="9.69921875" style="51" customWidth="1"/>
    <col min="10761" max="10761" width="17.5" style="51" bestFit="1" customWidth="1"/>
    <col min="10762" max="10762" width="15.59765625" style="51" customWidth="1"/>
    <col min="10763" max="10763" width="13.69921875" style="51" bestFit="1" customWidth="1"/>
    <col min="10764" max="10764" width="10.8984375" style="51" bestFit="1" customWidth="1"/>
    <col min="10765" max="11008" width="9" style="51"/>
    <col min="11009" max="11009" width="0.5" style="51" customWidth="1"/>
    <col min="11010" max="11010" width="5.19921875" style="51" bestFit="1" customWidth="1"/>
    <col min="11011" max="11011" width="7.3984375" style="51" customWidth="1"/>
    <col min="11012" max="11012" width="8.8984375" style="51" customWidth="1"/>
    <col min="11013" max="11013" width="17.69921875" style="51" customWidth="1"/>
    <col min="11014" max="11014" width="6.3984375" style="51" customWidth="1"/>
    <col min="11015" max="11015" width="8.8984375" style="51" customWidth="1"/>
    <col min="11016" max="11016" width="9.69921875" style="51" customWidth="1"/>
    <col min="11017" max="11017" width="17.5" style="51" bestFit="1" customWidth="1"/>
    <col min="11018" max="11018" width="15.59765625" style="51" customWidth="1"/>
    <col min="11019" max="11019" width="13.69921875" style="51" bestFit="1" customWidth="1"/>
    <col min="11020" max="11020" width="10.8984375" style="51" bestFit="1" customWidth="1"/>
    <col min="11021" max="11264" width="9" style="51"/>
    <col min="11265" max="11265" width="0.5" style="51" customWidth="1"/>
    <col min="11266" max="11266" width="5.19921875" style="51" bestFit="1" customWidth="1"/>
    <col min="11267" max="11267" width="7.3984375" style="51" customWidth="1"/>
    <col min="11268" max="11268" width="8.8984375" style="51" customWidth="1"/>
    <col min="11269" max="11269" width="17.69921875" style="51" customWidth="1"/>
    <col min="11270" max="11270" width="6.3984375" style="51" customWidth="1"/>
    <col min="11271" max="11271" width="8.8984375" style="51" customWidth="1"/>
    <col min="11272" max="11272" width="9.69921875" style="51" customWidth="1"/>
    <col min="11273" max="11273" width="17.5" style="51" bestFit="1" customWidth="1"/>
    <col min="11274" max="11274" width="15.59765625" style="51" customWidth="1"/>
    <col min="11275" max="11275" width="13.69921875" style="51" bestFit="1" customWidth="1"/>
    <col min="11276" max="11276" width="10.8984375" style="51" bestFit="1" customWidth="1"/>
    <col min="11277" max="11520" width="9" style="51"/>
    <col min="11521" max="11521" width="0.5" style="51" customWidth="1"/>
    <col min="11522" max="11522" width="5.19921875" style="51" bestFit="1" customWidth="1"/>
    <col min="11523" max="11523" width="7.3984375" style="51" customWidth="1"/>
    <col min="11524" max="11524" width="8.8984375" style="51" customWidth="1"/>
    <col min="11525" max="11525" width="17.69921875" style="51" customWidth="1"/>
    <col min="11526" max="11526" width="6.3984375" style="51" customWidth="1"/>
    <col min="11527" max="11527" width="8.8984375" style="51" customWidth="1"/>
    <col min="11528" max="11528" width="9.69921875" style="51" customWidth="1"/>
    <col min="11529" max="11529" width="17.5" style="51" bestFit="1" customWidth="1"/>
    <col min="11530" max="11530" width="15.59765625" style="51" customWidth="1"/>
    <col min="11531" max="11531" width="13.69921875" style="51" bestFit="1" customWidth="1"/>
    <col min="11532" max="11532" width="10.8984375" style="51" bestFit="1" customWidth="1"/>
    <col min="11533" max="11776" width="9" style="51"/>
    <col min="11777" max="11777" width="0.5" style="51" customWidth="1"/>
    <col min="11778" max="11778" width="5.19921875" style="51" bestFit="1" customWidth="1"/>
    <col min="11779" max="11779" width="7.3984375" style="51" customWidth="1"/>
    <col min="11780" max="11780" width="8.8984375" style="51" customWidth="1"/>
    <col min="11781" max="11781" width="17.69921875" style="51" customWidth="1"/>
    <col min="11782" max="11782" width="6.3984375" style="51" customWidth="1"/>
    <col min="11783" max="11783" width="8.8984375" style="51" customWidth="1"/>
    <col min="11784" max="11784" width="9.69921875" style="51" customWidth="1"/>
    <col min="11785" max="11785" width="17.5" style="51" bestFit="1" customWidth="1"/>
    <col min="11786" max="11786" width="15.59765625" style="51" customWidth="1"/>
    <col min="11787" max="11787" width="13.69921875" style="51" bestFit="1" customWidth="1"/>
    <col min="11788" max="11788" width="10.8984375" style="51" bestFit="1" customWidth="1"/>
    <col min="11789" max="12032" width="9" style="51"/>
    <col min="12033" max="12033" width="0.5" style="51" customWidth="1"/>
    <col min="12034" max="12034" width="5.19921875" style="51" bestFit="1" customWidth="1"/>
    <col min="12035" max="12035" width="7.3984375" style="51" customWidth="1"/>
    <col min="12036" max="12036" width="8.8984375" style="51" customWidth="1"/>
    <col min="12037" max="12037" width="17.69921875" style="51" customWidth="1"/>
    <col min="12038" max="12038" width="6.3984375" style="51" customWidth="1"/>
    <col min="12039" max="12039" width="8.8984375" style="51" customWidth="1"/>
    <col min="12040" max="12040" width="9.69921875" style="51" customWidth="1"/>
    <col min="12041" max="12041" width="17.5" style="51" bestFit="1" customWidth="1"/>
    <col min="12042" max="12042" width="15.59765625" style="51" customWidth="1"/>
    <col min="12043" max="12043" width="13.69921875" style="51" bestFit="1" customWidth="1"/>
    <col min="12044" max="12044" width="10.8984375" style="51" bestFit="1" customWidth="1"/>
    <col min="12045" max="12288" width="9" style="51"/>
    <col min="12289" max="12289" width="0.5" style="51" customWidth="1"/>
    <col min="12290" max="12290" width="5.19921875" style="51" bestFit="1" customWidth="1"/>
    <col min="12291" max="12291" width="7.3984375" style="51" customWidth="1"/>
    <col min="12292" max="12292" width="8.8984375" style="51" customWidth="1"/>
    <col min="12293" max="12293" width="17.69921875" style="51" customWidth="1"/>
    <col min="12294" max="12294" width="6.3984375" style="51" customWidth="1"/>
    <col min="12295" max="12295" width="8.8984375" style="51" customWidth="1"/>
    <col min="12296" max="12296" width="9.69921875" style="51" customWidth="1"/>
    <col min="12297" max="12297" width="17.5" style="51" bestFit="1" customWidth="1"/>
    <col min="12298" max="12298" width="15.59765625" style="51" customWidth="1"/>
    <col min="12299" max="12299" width="13.69921875" style="51" bestFit="1" customWidth="1"/>
    <col min="12300" max="12300" width="10.8984375" style="51" bestFit="1" customWidth="1"/>
    <col min="12301" max="12544" width="9" style="51"/>
    <col min="12545" max="12545" width="0.5" style="51" customWidth="1"/>
    <col min="12546" max="12546" width="5.19921875" style="51" bestFit="1" customWidth="1"/>
    <col min="12547" max="12547" width="7.3984375" style="51" customWidth="1"/>
    <col min="12548" max="12548" width="8.8984375" style="51" customWidth="1"/>
    <col min="12549" max="12549" width="17.69921875" style="51" customWidth="1"/>
    <col min="12550" max="12550" width="6.3984375" style="51" customWidth="1"/>
    <col min="12551" max="12551" width="8.8984375" style="51" customWidth="1"/>
    <col min="12552" max="12552" width="9.69921875" style="51" customWidth="1"/>
    <col min="12553" max="12553" width="17.5" style="51" bestFit="1" customWidth="1"/>
    <col min="12554" max="12554" width="15.59765625" style="51" customWidth="1"/>
    <col min="12555" max="12555" width="13.69921875" style="51" bestFit="1" customWidth="1"/>
    <col min="12556" max="12556" width="10.8984375" style="51" bestFit="1" customWidth="1"/>
    <col min="12557" max="12800" width="9" style="51"/>
    <col min="12801" max="12801" width="0.5" style="51" customWidth="1"/>
    <col min="12802" max="12802" width="5.19921875" style="51" bestFit="1" customWidth="1"/>
    <col min="12803" max="12803" width="7.3984375" style="51" customWidth="1"/>
    <col min="12804" max="12804" width="8.8984375" style="51" customWidth="1"/>
    <col min="12805" max="12805" width="17.69921875" style="51" customWidth="1"/>
    <col min="12806" max="12806" width="6.3984375" style="51" customWidth="1"/>
    <col min="12807" max="12807" width="8.8984375" style="51" customWidth="1"/>
    <col min="12808" max="12808" width="9.69921875" style="51" customWidth="1"/>
    <col min="12809" max="12809" width="17.5" style="51" bestFit="1" customWidth="1"/>
    <col min="12810" max="12810" width="15.59765625" style="51" customWidth="1"/>
    <col min="12811" max="12811" width="13.69921875" style="51" bestFit="1" customWidth="1"/>
    <col min="12812" max="12812" width="10.8984375" style="51" bestFit="1" customWidth="1"/>
    <col min="12813" max="13056" width="9" style="51"/>
    <col min="13057" max="13057" width="0.5" style="51" customWidth="1"/>
    <col min="13058" max="13058" width="5.19921875" style="51" bestFit="1" customWidth="1"/>
    <col min="13059" max="13059" width="7.3984375" style="51" customWidth="1"/>
    <col min="13060" max="13060" width="8.8984375" style="51" customWidth="1"/>
    <col min="13061" max="13061" width="17.69921875" style="51" customWidth="1"/>
    <col min="13062" max="13062" width="6.3984375" style="51" customWidth="1"/>
    <col min="13063" max="13063" width="8.8984375" style="51" customWidth="1"/>
    <col min="13064" max="13064" width="9.69921875" style="51" customWidth="1"/>
    <col min="13065" max="13065" width="17.5" style="51" bestFit="1" customWidth="1"/>
    <col min="13066" max="13066" width="15.59765625" style="51" customWidth="1"/>
    <col min="13067" max="13067" width="13.69921875" style="51" bestFit="1" customWidth="1"/>
    <col min="13068" max="13068" width="10.8984375" style="51" bestFit="1" customWidth="1"/>
    <col min="13069" max="13312" width="9" style="51"/>
    <col min="13313" max="13313" width="0.5" style="51" customWidth="1"/>
    <col min="13314" max="13314" width="5.19921875" style="51" bestFit="1" customWidth="1"/>
    <col min="13315" max="13315" width="7.3984375" style="51" customWidth="1"/>
    <col min="13316" max="13316" width="8.8984375" style="51" customWidth="1"/>
    <col min="13317" max="13317" width="17.69921875" style="51" customWidth="1"/>
    <col min="13318" max="13318" width="6.3984375" style="51" customWidth="1"/>
    <col min="13319" max="13319" width="8.8984375" style="51" customWidth="1"/>
    <col min="13320" max="13320" width="9.69921875" style="51" customWidth="1"/>
    <col min="13321" max="13321" width="17.5" style="51" bestFit="1" customWidth="1"/>
    <col min="13322" max="13322" width="15.59765625" style="51" customWidth="1"/>
    <col min="13323" max="13323" width="13.69921875" style="51" bestFit="1" customWidth="1"/>
    <col min="13324" max="13324" width="10.8984375" style="51" bestFit="1" customWidth="1"/>
    <col min="13325" max="13568" width="9" style="51"/>
    <col min="13569" max="13569" width="0.5" style="51" customWidth="1"/>
    <col min="13570" max="13570" width="5.19921875" style="51" bestFit="1" customWidth="1"/>
    <col min="13571" max="13571" width="7.3984375" style="51" customWidth="1"/>
    <col min="13572" max="13572" width="8.8984375" style="51" customWidth="1"/>
    <col min="13573" max="13573" width="17.69921875" style="51" customWidth="1"/>
    <col min="13574" max="13574" width="6.3984375" style="51" customWidth="1"/>
    <col min="13575" max="13575" width="8.8984375" style="51" customWidth="1"/>
    <col min="13576" max="13576" width="9.69921875" style="51" customWidth="1"/>
    <col min="13577" max="13577" width="17.5" style="51" bestFit="1" customWidth="1"/>
    <col min="13578" max="13578" width="15.59765625" style="51" customWidth="1"/>
    <col min="13579" max="13579" width="13.69921875" style="51" bestFit="1" customWidth="1"/>
    <col min="13580" max="13580" width="10.8984375" style="51" bestFit="1" customWidth="1"/>
    <col min="13581" max="13824" width="9" style="51"/>
    <col min="13825" max="13825" width="0.5" style="51" customWidth="1"/>
    <col min="13826" max="13826" width="5.19921875" style="51" bestFit="1" customWidth="1"/>
    <col min="13827" max="13827" width="7.3984375" style="51" customWidth="1"/>
    <col min="13828" max="13828" width="8.8984375" style="51" customWidth="1"/>
    <col min="13829" max="13829" width="17.69921875" style="51" customWidth="1"/>
    <col min="13830" max="13830" width="6.3984375" style="51" customWidth="1"/>
    <col min="13831" max="13831" width="8.8984375" style="51" customWidth="1"/>
    <col min="13832" max="13832" width="9.69921875" style="51" customWidth="1"/>
    <col min="13833" max="13833" width="17.5" style="51" bestFit="1" customWidth="1"/>
    <col min="13834" max="13834" width="15.59765625" style="51" customWidth="1"/>
    <col min="13835" max="13835" width="13.69921875" style="51" bestFit="1" customWidth="1"/>
    <col min="13836" max="13836" width="10.8984375" style="51" bestFit="1" customWidth="1"/>
    <col min="13837" max="14080" width="9" style="51"/>
    <col min="14081" max="14081" width="0.5" style="51" customWidth="1"/>
    <col min="14082" max="14082" width="5.19921875" style="51" bestFit="1" customWidth="1"/>
    <col min="14083" max="14083" width="7.3984375" style="51" customWidth="1"/>
    <col min="14084" max="14084" width="8.8984375" style="51" customWidth="1"/>
    <col min="14085" max="14085" width="17.69921875" style="51" customWidth="1"/>
    <col min="14086" max="14086" width="6.3984375" style="51" customWidth="1"/>
    <col min="14087" max="14087" width="8.8984375" style="51" customWidth="1"/>
    <col min="14088" max="14088" width="9.69921875" style="51" customWidth="1"/>
    <col min="14089" max="14089" width="17.5" style="51" bestFit="1" customWidth="1"/>
    <col min="14090" max="14090" width="15.59765625" style="51" customWidth="1"/>
    <col min="14091" max="14091" width="13.69921875" style="51" bestFit="1" customWidth="1"/>
    <col min="14092" max="14092" width="10.8984375" style="51" bestFit="1" customWidth="1"/>
    <col min="14093" max="14336" width="9" style="51"/>
    <col min="14337" max="14337" width="0.5" style="51" customWidth="1"/>
    <col min="14338" max="14338" width="5.19921875" style="51" bestFit="1" customWidth="1"/>
    <col min="14339" max="14339" width="7.3984375" style="51" customWidth="1"/>
    <col min="14340" max="14340" width="8.8984375" style="51" customWidth="1"/>
    <col min="14341" max="14341" width="17.69921875" style="51" customWidth="1"/>
    <col min="14342" max="14342" width="6.3984375" style="51" customWidth="1"/>
    <col min="14343" max="14343" width="8.8984375" style="51" customWidth="1"/>
    <col min="14344" max="14344" width="9.69921875" style="51" customWidth="1"/>
    <col min="14345" max="14345" width="17.5" style="51" bestFit="1" customWidth="1"/>
    <col min="14346" max="14346" width="15.59765625" style="51" customWidth="1"/>
    <col min="14347" max="14347" width="13.69921875" style="51" bestFit="1" customWidth="1"/>
    <col min="14348" max="14348" width="10.8984375" style="51" bestFit="1" customWidth="1"/>
    <col min="14349" max="14592" width="9" style="51"/>
    <col min="14593" max="14593" width="0.5" style="51" customWidth="1"/>
    <col min="14594" max="14594" width="5.19921875" style="51" bestFit="1" customWidth="1"/>
    <col min="14595" max="14595" width="7.3984375" style="51" customWidth="1"/>
    <col min="14596" max="14596" width="8.8984375" style="51" customWidth="1"/>
    <col min="14597" max="14597" width="17.69921875" style="51" customWidth="1"/>
    <col min="14598" max="14598" width="6.3984375" style="51" customWidth="1"/>
    <col min="14599" max="14599" width="8.8984375" style="51" customWidth="1"/>
    <col min="14600" max="14600" width="9.69921875" style="51" customWidth="1"/>
    <col min="14601" max="14601" width="17.5" style="51" bestFit="1" customWidth="1"/>
    <col min="14602" max="14602" width="15.59765625" style="51" customWidth="1"/>
    <col min="14603" max="14603" width="13.69921875" style="51" bestFit="1" customWidth="1"/>
    <col min="14604" max="14604" width="10.8984375" style="51" bestFit="1" customWidth="1"/>
    <col min="14605" max="14848" width="9" style="51"/>
    <col min="14849" max="14849" width="0.5" style="51" customWidth="1"/>
    <col min="14850" max="14850" width="5.19921875" style="51" bestFit="1" customWidth="1"/>
    <col min="14851" max="14851" width="7.3984375" style="51" customWidth="1"/>
    <col min="14852" max="14852" width="8.8984375" style="51" customWidth="1"/>
    <col min="14853" max="14853" width="17.69921875" style="51" customWidth="1"/>
    <col min="14854" max="14854" width="6.3984375" style="51" customWidth="1"/>
    <col min="14855" max="14855" width="8.8984375" style="51" customWidth="1"/>
    <col min="14856" max="14856" width="9.69921875" style="51" customWidth="1"/>
    <col min="14857" max="14857" width="17.5" style="51" bestFit="1" customWidth="1"/>
    <col min="14858" max="14858" width="15.59765625" style="51" customWidth="1"/>
    <col min="14859" max="14859" width="13.69921875" style="51" bestFit="1" customWidth="1"/>
    <col min="14860" max="14860" width="10.8984375" style="51" bestFit="1" customWidth="1"/>
    <col min="14861" max="15104" width="9" style="51"/>
    <col min="15105" max="15105" width="0.5" style="51" customWidth="1"/>
    <col min="15106" max="15106" width="5.19921875" style="51" bestFit="1" customWidth="1"/>
    <col min="15107" max="15107" width="7.3984375" style="51" customWidth="1"/>
    <col min="15108" max="15108" width="8.8984375" style="51" customWidth="1"/>
    <col min="15109" max="15109" width="17.69921875" style="51" customWidth="1"/>
    <col min="15110" max="15110" width="6.3984375" style="51" customWidth="1"/>
    <col min="15111" max="15111" width="8.8984375" style="51" customWidth="1"/>
    <col min="15112" max="15112" width="9.69921875" style="51" customWidth="1"/>
    <col min="15113" max="15113" width="17.5" style="51" bestFit="1" customWidth="1"/>
    <col min="15114" max="15114" width="15.59765625" style="51" customWidth="1"/>
    <col min="15115" max="15115" width="13.69921875" style="51" bestFit="1" customWidth="1"/>
    <col min="15116" max="15116" width="10.8984375" style="51" bestFit="1" customWidth="1"/>
    <col min="15117" max="15360" width="9" style="51"/>
    <col min="15361" max="15361" width="0.5" style="51" customWidth="1"/>
    <col min="15362" max="15362" width="5.19921875" style="51" bestFit="1" customWidth="1"/>
    <col min="15363" max="15363" width="7.3984375" style="51" customWidth="1"/>
    <col min="15364" max="15364" width="8.8984375" style="51" customWidth="1"/>
    <col min="15365" max="15365" width="17.69921875" style="51" customWidth="1"/>
    <col min="15366" max="15366" width="6.3984375" style="51" customWidth="1"/>
    <col min="15367" max="15367" width="8.8984375" style="51" customWidth="1"/>
    <col min="15368" max="15368" width="9.69921875" style="51" customWidth="1"/>
    <col min="15369" max="15369" width="17.5" style="51" bestFit="1" customWidth="1"/>
    <col min="15370" max="15370" width="15.59765625" style="51" customWidth="1"/>
    <col min="15371" max="15371" width="13.69921875" style="51" bestFit="1" customWidth="1"/>
    <col min="15372" max="15372" width="10.8984375" style="51" bestFit="1" customWidth="1"/>
    <col min="15373" max="15616" width="9" style="51"/>
    <col min="15617" max="15617" width="0.5" style="51" customWidth="1"/>
    <col min="15618" max="15618" width="5.19921875" style="51" bestFit="1" customWidth="1"/>
    <col min="15619" max="15619" width="7.3984375" style="51" customWidth="1"/>
    <col min="15620" max="15620" width="8.8984375" style="51" customWidth="1"/>
    <col min="15621" max="15621" width="17.69921875" style="51" customWidth="1"/>
    <col min="15622" max="15622" width="6.3984375" style="51" customWidth="1"/>
    <col min="15623" max="15623" width="8.8984375" style="51" customWidth="1"/>
    <col min="15624" max="15624" width="9.69921875" style="51" customWidth="1"/>
    <col min="15625" max="15625" width="17.5" style="51" bestFit="1" customWidth="1"/>
    <col min="15626" max="15626" width="15.59765625" style="51" customWidth="1"/>
    <col min="15627" max="15627" width="13.69921875" style="51" bestFit="1" customWidth="1"/>
    <col min="15628" max="15628" width="10.8984375" style="51" bestFit="1" customWidth="1"/>
    <col min="15629" max="15872" width="9" style="51"/>
    <col min="15873" max="15873" width="0.5" style="51" customWidth="1"/>
    <col min="15874" max="15874" width="5.19921875" style="51" bestFit="1" customWidth="1"/>
    <col min="15875" max="15875" width="7.3984375" style="51" customWidth="1"/>
    <col min="15876" max="15876" width="8.8984375" style="51" customWidth="1"/>
    <col min="15877" max="15877" width="17.69921875" style="51" customWidth="1"/>
    <col min="15878" max="15878" width="6.3984375" style="51" customWidth="1"/>
    <col min="15879" max="15879" width="8.8984375" style="51" customWidth="1"/>
    <col min="15880" max="15880" width="9.69921875" style="51" customWidth="1"/>
    <col min="15881" max="15881" width="17.5" style="51" bestFit="1" customWidth="1"/>
    <col min="15882" max="15882" width="15.59765625" style="51" customWidth="1"/>
    <col min="15883" max="15883" width="13.69921875" style="51" bestFit="1" customWidth="1"/>
    <col min="15884" max="15884" width="10.8984375" style="51" bestFit="1" customWidth="1"/>
    <col min="15885" max="16128" width="9" style="51"/>
    <col min="16129" max="16129" width="0.5" style="51" customWidth="1"/>
    <col min="16130" max="16130" width="5.19921875" style="51" bestFit="1" customWidth="1"/>
    <col min="16131" max="16131" width="7.3984375" style="51" customWidth="1"/>
    <col min="16132" max="16132" width="8.8984375" style="51" customWidth="1"/>
    <col min="16133" max="16133" width="17.69921875" style="51" customWidth="1"/>
    <col min="16134" max="16134" width="6.3984375" style="51" customWidth="1"/>
    <col min="16135" max="16135" width="8.8984375" style="51" customWidth="1"/>
    <col min="16136" max="16136" width="9.69921875" style="51" customWidth="1"/>
    <col min="16137" max="16137" width="17.5" style="51" bestFit="1" customWidth="1"/>
    <col min="16138" max="16138" width="15.59765625" style="51" customWidth="1"/>
    <col min="16139" max="16139" width="13.69921875" style="51" bestFit="1" customWidth="1"/>
    <col min="16140" max="16140" width="10.8984375" style="51" bestFit="1" customWidth="1"/>
    <col min="16141" max="16384" width="9" style="51"/>
  </cols>
  <sheetData>
    <row r="2" spans="2:11" s="63" customFormat="1" ht="26.25" customHeight="1">
      <c r="B2" s="56"/>
      <c r="C2" s="57" t="s">
        <v>34</v>
      </c>
      <c r="D2" s="58"/>
      <c r="E2" s="58"/>
      <c r="F2" s="59"/>
      <c r="G2" s="60"/>
      <c r="H2" s="61"/>
      <c r="I2" s="61"/>
      <c r="J2" s="58"/>
      <c r="K2" s="62"/>
    </row>
    <row r="3" spans="2:11" s="63" customFormat="1" ht="19.5" customHeight="1">
      <c r="B3" s="56"/>
      <c r="C3" s="57"/>
      <c r="D3" s="58"/>
      <c r="E3" s="58"/>
      <c r="F3" s="59"/>
      <c r="G3" s="60"/>
      <c r="H3" s="61"/>
      <c r="I3" s="61"/>
      <c r="J3" s="58"/>
      <c r="K3" s="62"/>
    </row>
    <row r="4" spans="2:11" ht="30" customHeight="1">
      <c r="B4" s="64" t="s">
        <v>35</v>
      </c>
      <c r="D4" s="65"/>
      <c r="J4" s="52"/>
    </row>
    <row r="5" spans="2:11" s="52" customFormat="1" ht="8.25" customHeight="1">
      <c r="B5" s="96"/>
      <c r="C5" s="417"/>
      <c r="D5" s="418"/>
      <c r="E5" s="419"/>
      <c r="F5" s="97"/>
      <c r="G5" s="66"/>
      <c r="H5" s="66"/>
      <c r="I5" s="66"/>
      <c r="J5" s="67"/>
      <c r="K5" s="68"/>
    </row>
    <row r="6" spans="2:11" s="52" customFormat="1" ht="22.5" customHeight="1" thickBot="1">
      <c r="B6" s="69" t="s">
        <v>36</v>
      </c>
      <c r="C6" s="420" t="s">
        <v>37</v>
      </c>
      <c r="D6" s="421"/>
      <c r="E6" s="422"/>
      <c r="F6" s="70" t="s">
        <v>38</v>
      </c>
      <c r="G6" s="71" t="s">
        <v>39</v>
      </c>
      <c r="H6" s="71" t="s">
        <v>40</v>
      </c>
      <c r="I6" s="71" t="s">
        <v>41</v>
      </c>
      <c r="J6" s="72" t="s">
        <v>42</v>
      </c>
      <c r="K6" s="68"/>
    </row>
    <row r="7" spans="2:11" ht="19.5" customHeight="1" thickTop="1">
      <c r="B7" s="409">
        <v>1</v>
      </c>
      <c r="C7" s="423" t="s">
        <v>43</v>
      </c>
      <c r="D7" s="413" t="s">
        <v>44</v>
      </c>
      <c r="E7" s="102" t="s">
        <v>45</v>
      </c>
      <c r="F7" s="73" t="s">
        <v>46</v>
      </c>
      <c r="G7" s="74">
        <f>단위장비1!F34+단위장비2!F34+단위장비3!F35+단위장비5!F34+단위장비4!F35+단위장비6!F35+단위장비7!F35+단위장비8!F35+단위장비9!F35+단위장비10!F35</f>
        <v>0</v>
      </c>
      <c r="H7" s="75"/>
      <c r="I7" s="75">
        <f>단위장비1!H23+단위장비2!H23+단위장비3!H24+단위장비5!H23+단위장비4!H24+단위장비6!H24+단위장비7!H24+단위장비8!H24+단위장비9!H24+단위장비10!H24</f>
        <v>558050000</v>
      </c>
      <c r="J7" s="76" t="s">
        <v>47</v>
      </c>
    </row>
    <row r="8" spans="2:11" ht="19.5" customHeight="1">
      <c r="B8" s="409"/>
      <c r="C8" s="413"/>
      <c r="D8" s="413"/>
      <c r="E8" s="121" t="s">
        <v>48</v>
      </c>
      <c r="F8" s="77" t="s">
        <v>49</v>
      </c>
      <c r="G8" s="78">
        <v>1</v>
      </c>
      <c r="H8" s="79"/>
      <c r="I8" s="79">
        <f>단위장비1!H61+단위장비2!H60+단위장비3!H56+단위장비5!H55+단위장비4!H60+단위장비6!H56+단위장비7!H56+단위장비8!H56+단위장비9!H56+단위장비10!H56</f>
        <v>771150000</v>
      </c>
      <c r="J8" s="80" t="s">
        <v>50</v>
      </c>
    </row>
    <row r="9" spans="2:11" ht="19.5" customHeight="1">
      <c r="B9" s="409"/>
      <c r="C9" s="413"/>
      <c r="D9" s="413"/>
      <c r="E9" s="121" t="s">
        <v>51</v>
      </c>
      <c r="F9" s="77" t="s">
        <v>49</v>
      </c>
      <c r="G9" s="81">
        <v>1</v>
      </c>
      <c r="H9" s="79"/>
      <c r="I9" s="79">
        <f>단위장비1!H82+단위장비2!H81+단위장비3!H77+단위장비5!H76+단위장비4!H81+단위장비6!H77+단위장비7!H77+단위장비8!H77+단위장비9!H77+단위장비10!H77</f>
        <v>338430000</v>
      </c>
      <c r="J9" s="80" t="s">
        <v>52</v>
      </c>
    </row>
    <row r="10" spans="2:11" ht="19.5" customHeight="1">
      <c r="B10" s="409"/>
      <c r="C10" s="413"/>
      <c r="D10" s="413"/>
      <c r="E10" s="82" t="s">
        <v>53</v>
      </c>
      <c r="F10" s="83" t="s">
        <v>49</v>
      </c>
      <c r="G10" s="84">
        <v>1</v>
      </c>
      <c r="H10" s="85"/>
      <c r="I10" s="85">
        <f>단위장비1!H34+단위장비2!H34+단위장비3!H35+단위장비5!H34+단위장비4!H35+단위장비6!H35+단위장비7!H35+단위장비8!H35+단위장비9!H35+단위장비10!H35</f>
        <v>0</v>
      </c>
      <c r="J10" s="80" t="s">
        <v>54</v>
      </c>
    </row>
    <row r="11" spans="2:11" ht="19.5" customHeight="1">
      <c r="B11" s="409"/>
      <c r="C11" s="413"/>
      <c r="D11" s="384"/>
      <c r="E11" s="86" t="s">
        <v>55</v>
      </c>
      <c r="F11" s="390"/>
      <c r="G11" s="391"/>
      <c r="H11" s="392"/>
      <c r="I11" s="87">
        <f>SUM(I7:I10)</f>
        <v>1667630000</v>
      </c>
      <c r="J11" s="80"/>
    </row>
    <row r="12" spans="2:11" ht="19.5" customHeight="1">
      <c r="B12" s="409"/>
      <c r="C12" s="413"/>
      <c r="D12" s="416" t="s">
        <v>56</v>
      </c>
      <c r="E12" s="82" t="s">
        <v>57</v>
      </c>
      <c r="F12" s="83" t="s">
        <v>58</v>
      </c>
      <c r="G12" s="85">
        <f>단위장비1!F84+단위장비2!F83+단위장비3!F79+단위장비5!F78+단위장비4!F83+단위장비6!F79+단위장비7!F79+단위장비8!F79+단위장비9!F79+단위장비10!F79</f>
        <v>0</v>
      </c>
      <c r="H12" s="85" t="str">
        <f>IF(단위장비1!G84&gt;0,단위장비1!G84,"")</f>
        <v/>
      </c>
      <c r="I12" s="85">
        <f>단위장비1!H84+단위장비2!H83+단위장비3!H79+단위장비5!H78+단위장비4!H83+단위장비6!H79+단위장비7!H79+단위장비8!H79+단위장비9!H79+단위장비10!H79</f>
        <v>0</v>
      </c>
      <c r="J12" s="80" t="s">
        <v>59</v>
      </c>
    </row>
    <row r="13" spans="2:11" ht="19.5" customHeight="1">
      <c r="B13" s="409"/>
      <c r="C13" s="413"/>
      <c r="D13" s="413"/>
      <c r="E13" s="121" t="s">
        <v>60</v>
      </c>
      <c r="F13" s="77" t="s">
        <v>58</v>
      </c>
      <c r="G13" s="79">
        <f>단위장비1!F85+단위장비2!F84+단위장비3!F80+단위장비5!F79+단위장비4!F84+단위장비6!F80+단위장비7!F80+단위장비8!F80+단위장비9!F80+단위장비10!F80</f>
        <v>40</v>
      </c>
      <c r="H13" s="79">
        <f>IF(단위장비1!G85&gt;0,단위장비1!G85,"")</f>
        <v>500000</v>
      </c>
      <c r="I13" s="79">
        <f>단위장비1!H85+단위장비2!H84+단위장비3!H80+단위장비5!H79+단위장비4!H84+단위장비6!H80+단위장비7!H80+단위장비8!H80+단위장비9!H80+단위장비10!H80</f>
        <v>20000000</v>
      </c>
      <c r="J13" s="80"/>
    </row>
    <row r="14" spans="2:11" ht="19.5" customHeight="1">
      <c r="B14" s="409"/>
      <c r="C14" s="413"/>
      <c r="D14" s="413"/>
      <c r="E14" s="121" t="s">
        <v>61</v>
      </c>
      <c r="F14" s="77" t="s">
        <v>58</v>
      </c>
      <c r="G14" s="79">
        <f>단위장비1!F86+단위장비2!F85+단위장비3!F81+단위장비5!F80+단위장비4!F85+단위장비6!F81+단위장비7!F81+단위장비8!F81+단위장비9!F81+단위장비10!F81</f>
        <v>0</v>
      </c>
      <c r="H14" s="79" t="str">
        <f>IF(단위장비1!G86&gt;0,단위장비1!G86,"")</f>
        <v/>
      </c>
      <c r="I14" s="79">
        <f>단위장비1!H86+단위장비2!H85+단위장비3!H81+단위장비5!H80+단위장비4!H85+단위장비6!H81+단위장비7!H81+단위장비8!H81+단위장비9!H81+단위장비10!H81</f>
        <v>0</v>
      </c>
      <c r="J14" s="80"/>
    </row>
    <row r="15" spans="2:11" ht="19.5" customHeight="1">
      <c r="B15" s="409"/>
      <c r="C15" s="413"/>
      <c r="D15" s="413"/>
      <c r="E15" s="121" t="s">
        <v>62</v>
      </c>
      <c r="F15" s="77" t="s">
        <v>58</v>
      </c>
      <c r="G15" s="79">
        <f>단위장비1!F87+단위장비2!F86+단위장비3!F82+단위장비5!F81+단위장비4!F86+단위장비6!F82+단위장비7!F82+단위장비8!F82+단위장비9!F82+단위장비10!F82</f>
        <v>40</v>
      </c>
      <c r="H15" s="79">
        <f>IF(단위장비1!G87&gt;0,단위장비1!G87,"")</f>
        <v>500000</v>
      </c>
      <c r="I15" s="79">
        <f>단위장비1!H87+단위장비2!H86+단위장비3!H82+단위장비5!H81+단위장비4!H86+단위장비6!H82+단위장비7!H82+단위장비8!H82+단위장비9!H82+단위장비10!H82</f>
        <v>20000000</v>
      </c>
      <c r="J15" s="80" t="s">
        <v>63</v>
      </c>
    </row>
    <row r="16" spans="2:11" ht="19.5" customHeight="1">
      <c r="B16" s="409"/>
      <c r="C16" s="413"/>
      <c r="D16" s="413"/>
      <c r="E16" s="82" t="s">
        <v>64</v>
      </c>
      <c r="F16" s="83" t="s">
        <v>58</v>
      </c>
      <c r="G16" s="85">
        <f>단위장비1!F88+단위장비2!F87+단위장비3!F83+단위장비5!F82+단위장비4!F87+단위장비6!F83+단위장비7!F83+단위장비8!F83+단위장비9!F83+단위장비10!F83</f>
        <v>168</v>
      </c>
      <c r="H16" s="85">
        <f>IF(단위장비1!G88&gt;0,단위장비1!G88,"")</f>
        <v>650000</v>
      </c>
      <c r="I16" s="85">
        <f>단위장비1!H88+단위장비2!H87+단위장비3!H83+단위장비5!H82+단위장비4!H87+단위장비6!H83+단위장비7!H83+단위장비8!H83+단위장비9!H83+단위장비10!H83</f>
        <v>109200000</v>
      </c>
      <c r="J16" s="80"/>
    </row>
    <row r="17" spans="2:10" ht="19.5" customHeight="1">
      <c r="B17" s="409"/>
      <c r="C17" s="413"/>
      <c r="D17" s="413"/>
      <c r="E17" s="82" t="s">
        <v>65</v>
      </c>
      <c r="F17" s="83" t="s">
        <v>58</v>
      </c>
      <c r="G17" s="85">
        <f>단위장비1!F89+단위장비2!F88+단위장비3!F84+단위장비5!F83+단위장비4!F88+단위장비6!F84+단위장비7!F84+단위장비8!F84+단위장비9!F84+단위장비10!F84</f>
        <v>0</v>
      </c>
      <c r="H17" s="85" t="str">
        <f>IF(단위장비1!G89&gt;0,단위장비1!G89,"")</f>
        <v/>
      </c>
      <c r="I17" s="85">
        <f>단위장비1!H89+단위장비2!H88+단위장비3!H84+단위장비5!H83+단위장비4!H88+단위장비6!H84+단위장비7!H84+단위장비8!H84+단위장비9!H84+단위장비10!H84</f>
        <v>0</v>
      </c>
      <c r="J17" s="80"/>
    </row>
    <row r="18" spans="2:10" ht="19.5" customHeight="1">
      <c r="B18" s="409"/>
      <c r="C18" s="413"/>
      <c r="D18" s="413"/>
      <c r="E18" s="121" t="s">
        <v>66</v>
      </c>
      <c r="F18" s="77" t="s">
        <v>58</v>
      </c>
      <c r="G18" s="79">
        <f>단위장비1!F90+단위장비2!F89+단위장비3!F85+단위장비5!F84+단위장비4!F89+단위장비6!F85+단위장비7!F85+단위장비8!F85+단위장비9!F85+단위장비10!F85</f>
        <v>0</v>
      </c>
      <c r="H18" s="79" t="str">
        <f>IF(단위장비1!G90&gt;0,단위장비1!G90,"")</f>
        <v/>
      </c>
      <c r="I18" s="79">
        <f>단위장비1!H90+단위장비2!H89+단위장비3!H85+단위장비5!H84+단위장비4!H89+단위장비6!H85+단위장비7!H85+단위장비8!H85+단위장비9!H85+단위장비10!H85</f>
        <v>0</v>
      </c>
      <c r="J18" s="80"/>
    </row>
    <row r="19" spans="2:10" ht="19.5" customHeight="1">
      <c r="B19" s="409"/>
      <c r="C19" s="413"/>
      <c r="D19" s="413"/>
      <c r="E19" s="121" t="s">
        <v>67</v>
      </c>
      <c r="F19" s="77" t="s">
        <v>58</v>
      </c>
      <c r="G19" s="79">
        <f>단위장비1!F91+단위장비2!F90+단위장비3!F86+단위장비5!F85+단위장비4!F90+단위장비6!F86+단위장비7!F86+단위장비8!F86+단위장비9!F86+단위장비10!F86</f>
        <v>0</v>
      </c>
      <c r="H19" s="79" t="str">
        <f>IF(단위장비1!G91&gt;0,단위장비1!G91,"")</f>
        <v/>
      </c>
      <c r="I19" s="79">
        <f>단위장비1!H91+단위장비2!H90+단위장비3!H86+단위장비5!H85+단위장비4!H90+단위장비6!H86+단위장비7!H86+단위장비8!H86+단위장비9!H86+단위장비10!H86</f>
        <v>0</v>
      </c>
      <c r="J19" s="80"/>
    </row>
    <row r="20" spans="2:10" ht="19.5" customHeight="1">
      <c r="B20" s="409"/>
      <c r="C20" s="413"/>
      <c r="D20" s="384"/>
      <c r="E20" s="86" t="s">
        <v>55</v>
      </c>
      <c r="F20" s="390"/>
      <c r="G20" s="391"/>
      <c r="H20" s="392"/>
      <c r="I20" s="87">
        <f>SUM(I12:I19)</f>
        <v>149200000</v>
      </c>
      <c r="J20" s="80"/>
    </row>
    <row r="21" spans="2:10" ht="19.5" customHeight="1">
      <c r="B21" s="409"/>
      <c r="C21" s="413"/>
      <c r="D21" s="88" t="s">
        <v>68</v>
      </c>
      <c r="E21" s="89"/>
      <c r="F21" s="390"/>
      <c r="G21" s="391"/>
      <c r="H21" s="392"/>
      <c r="I21" s="90">
        <f>단위장비1!H94+단위장비1!H95+단위장비2!H93+단위장비2!H94+단위장비3!H89+단위장비3!H90+단위장비5!H88+단위장비5!H89+단위장비4!H93+단위장비4!H94+단위장비6!H89+단위장비6!H90+단위장비7!H89+단위장비7!H90+단위장비8!H89+단위장비8!H90+단위장비9!H89+단위장비9!H90+단위장비10!H89+단위장비10!H90</f>
        <v>90841500</v>
      </c>
      <c r="J21" s="91"/>
    </row>
    <row r="22" spans="2:10" ht="19.5" customHeight="1">
      <c r="B22" s="410"/>
      <c r="C22" s="414"/>
      <c r="D22" s="92"/>
      <c r="E22" s="93" t="s">
        <v>69</v>
      </c>
      <c r="F22" s="367"/>
      <c r="G22" s="368"/>
      <c r="H22" s="369"/>
      <c r="I22" s="94">
        <f>I20+I11+I21</f>
        <v>1907671500</v>
      </c>
      <c r="J22" s="95"/>
    </row>
    <row r="23" spans="2:10" ht="19.5" customHeight="1">
      <c r="B23" s="408">
        <v>2</v>
      </c>
      <c r="C23" s="411" t="s">
        <v>70</v>
      </c>
      <c r="D23" s="415" t="s">
        <v>44</v>
      </c>
      <c r="E23" s="98" t="s">
        <v>71</v>
      </c>
      <c r="F23" s="99" t="s">
        <v>49</v>
      </c>
      <c r="G23" s="100">
        <v>1</v>
      </c>
      <c r="H23" s="100"/>
      <c r="I23" s="100">
        <f>전기!H80-I24</f>
        <v>373700000</v>
      </c>
      <c r="J23" s="101"/>
    </row>
    <row r="24" spans="2:10" ht="19.5" customHeight="1">
      <c r="B24" s="409"/>
      <c r="C24" s="412"/>
      <c r="D24" s="379"/>
      <c r="E24" s="82" t="s">
        <v>53</v>
      </c>
      <c r="F24" s="103" t="s">
        <v>49</v>
      </c>
      <c r="G24" s="104">
        <v>1</v>
      </c>
      <c r="H24" s="104"/>
      <c r="I24" s="104">
        <f>전기!H10</f>
        <v>0</v>
      </c>
      <c r="J24" s="80" t="s">
        <v>54</v>
      </c>
    </row>
    <row r="25" spans="2:10" ht="19.5" customHeight="1">
      <c r="B25" s="409"/>
      <c r="C25" s="378"/>
      <c r="D25" s="416" t="s">
        <v>56</v>
      </c>
      <c r="E25" s="82" t="s">
        <v>72</v>
      </c>
      <c r="F25" s="83" t="s">
        <v>58</v>
      </c>
      <c r="G25" s="85">
        <f>전기!F81</f>
        <v>0</v>
      </c>
      <c r="H25" s="85" t="str">
        <f>IF(전기!G81&gt;0,전기!G81,"")</f>
        <v/>
      </c>
      <c r="I25" s="85">
        <f>전기!H81</f>
        <v>0</v>
      </c>
      <c r="J25" s="80"/>
    </row>
    <row r="26" spans="2:10" ht="19.5" customHeight="1">
      <c r="B26" s="409"/>
      <c r="C26" s="378"/>
      <c r="D26" s="413"/>
      <c r="E26" s="121" t="s">
        <v>73</v>
      </c>
      <c r="F26" s="77" t="s">
        <v>58</v>
      </c>
      <c r="G26" s="79">
        <f>전기!F82</f>
        <v>0</v>
      </c>
      <c r="H26" s="79" t="str">
        <f>IF(전기!G82&gt;0,전기!G82,"")</f>
        <v/>
      </c>
      <c r="I26" s="79">
        <f>전기!H82</f>
        <v>0</v>
      </c>
      <c r="J26" s="80"/>
    </row>
    <row r="27" spans="2:10" ht="19.5" customHeight="1">
      <c r="B27" s="409"/>
      <c r="C27" s="378"/>
      <c r="D27" s="413"/>
      <c r="E27" s="121" t="s">
        <v>74</v>
      </c>
      <c r="F27" s="77" t="s">
        <v>58</v>
      </c>
      <c r="G27" s="79">
        <f>전기!F83</f>
        <v>0</v>
      </c>
      <c r="H27" s="79" t="str">
        <f>IF(전기!G83&gt;0,전기!G83,"")</f>
        <v/>
      </c>
      <c r="I27" s="79">
        <f>전기!H83</f>
        <v>0</v>
      </c>
      <c r="J27" s="80"/>
    </row>
    <row r="28" spans="2:10" ht="19.5" customHeight="1">
      <c r="B28" s="409"/>
      <c r="C28" s="378"/>
      <c r="D28" s="413"/>
      <c r="E28" s="121" t="s">
        <v>62</v>
      </c>
      <c r="F28" s="77" t="s">
        <v>58</v>
      </c>
      <c r="G28" s="79">
        <f>전기!F84</f>
        <v>0</v>
      </c>
      <c r="H28" s="79" t="str">
        <f>IF(전기!G84&gt;0,전기!G84,"")</f>
        <v/>
      </c>
      <c r="I28" s="79">
        <f>전기!H84</f>
        <v>0</v>
      </c>
      <c r="J28" s="80"/>
    </row>
    <row r="29" spans="2:10" ht="19.5" customHeight="1">
      <c r="B29" s="409"/>
      <c r="C29" s="378"/>
      <c r="D29" s="413"/>
      <c r="E29" s="82" t="s">
        <v>64</v>
      </c>
      <c r="F29" s="83" t="s">
        <v>58</v>
      </c>
      <c r="G29" s="85">
        <f>전기!F85</f>
        <v>0</v>
      </c>
      <c r="H29" s="85" t="str">
        <f>IF(전기!G85&gt;0,전기!G85,"")</f>
        <v/>
      </c>
      <c r="I29" s="85">
        <f>전기!H85</f>
        <v>0</v>
      </c>
      <c r="J29" s="80"/>
    </row>
    <row r="30" spans="2:10" ht="19.5" customHeight="1">
      <c r="B30" s="409"/>
      <c r="C30" s="378"/>
      <c r="D30" s="413"/>
      <c r="E30" s="82" t="s">
        <v>65</v>
      </c>
      <c r="F30" s="83" t="s">
        <v>58</v>
      </c>
      <c r="G30" s="85">
        <f>전기!F86</f>
        <v>0</v>
      </c>
      <c r="H30" s="85" t="str">
        <f>IF(전기!G86&gt;0,전기!G86,"")</f>
        <v/>
      </c>
      <c r="I30" s="85">
        <f>전기!H86</f>
        <v>0</v>
      </c>
      <c r="J30" s="80"/>
    </row>
    <row r="31" spans="2:10" ht="19.5" customHeight="1">
      <c r="B31" s="409"/>
      <c r="C31" s="378"/>
      <c r="D31" s="413"/>
      <c r="E31" s="121" t="s">
        <v>66</v>
      </c>
      <c r="F31" s="77" t="s">
        <v>58</v>
      </c>
      <c r="G31" s="79">
        <f>전기!F89</f>
        <v>150</v>
      </c>
      <c r="H31" s="79">
        <f>IF(전기!G89&gt;0,전기!G89,"")</f>
        <v>188000</v>
      </c>
      <c r="I31" s="79">
        <f>전기!H89</f>
        <v>28200000</v>
      </c>
      <c r="J31" s="80"/>
    </row>
    <row r="32" spans="2:10" ht="19.5" customHeight="1">
      <c r="B32" s="409"/>
      <c r="C32" s="378"/>
      <c r="D32" s="384"/>
      <c r="E32" s="86" t="s">
        <v>75</v>
      </c>
      <c r="F32" s="390"/>
      <c r="G32" s="391"/>
      <c r="H32" s="392"/>
      <c r="I32" s="87">
        <f>SUM(I25:I31)</f>
        <v>28200000</v>
      </c>
      <c r="J32" s="80"/>
    </row>
    <row r="33" spans="2:13" ht="19.5" customHeight="1">
      <c r="B33" s="409"/>
      <c r="C33" s="413"/>
      <c r="D33" s="88" t="s">
        <v>68</v>
      </c>
      <c r="E33" s="89"/>
      <c r="F33" s="390"/>
      <c r="G33" s="391"/>
      <c r="H33" s="392"/>
      <c r="I33" s="90">
        <f>전기!H92+전기!H93</f>
        <v>21145000</v>
      </c>
      <c r="J33" s="91"/>
    </row>
    <row r="34" spans="2:13" ht="19.5" customHeight="1">
      <c r="B34" s="410"/>
      <c r="C34" s="414"/>
      <c r="D34" s="92"/>
      <c r="E34" s="93" t="s">
        <v>76</v>
      </c>
      <c r="F34" s="367"/>
      <c r="G34" s="368"/>
      <c r="H34" s="369"/>
      <c r="I34" s="94">
        <f>I32+I23+I33+I24</f>
        <v>423045000</v>
      </c>
      <c r="J34" s="95"/>
    </row>
    <row r="35" spans="2:13" ht="19.5" customHeight="1">
      <c r="B35" s="399">
        <v>3</v>
      </c>
      <c r="C35" s="402" t="s">
        <v>77</v>
      </c>
      <c r="D35" s="403"/>
      <c r="E35" s="404"/>
      <c r="F35" s="402"/>
      <c r="G35" s="403"/>
      <c r="H35" s="404"/>
      <c r="I35" s="105">
        <f>I23+I11+I24</f>
        <v>2041330000</v>
      </c>
      <c r="J35" s="101"/>
    </row>
    <row r="36" spans="2:13" ht="19.5" customHeight="1">
      <c r="B36" s="400"/>
      <c r="C36" s="390" t="s">
        <v>78</v>
      </c>
      <c r="D36" s="391"/>
      <c r="E36" s="392"/>
      <c r="F36" s="390"/>
      <c r="G36" s="391"/>
      <c r="H36" s="392"/>
      <c r="I36" s="87">
        <f>I32+I20</f>
        <v>177400000</v>
      </c>
      <c r="J36" s="80"/>
    </row>
    <row r="37" spans="2:13" ht="19.5" customHeight="1" thickBot="1">
      <c r="B37" s="401"/>
      <c r="C37" s="405" t="s">
        <v>79</v>
      </c>
      <c r="D37" s="405"/>
      <c r="E37" s="406"/>
      <c r="F37" s="407"/>
      <c r="G37" s="405"/>
      <c r="H37" s="406"/>
      <c r="I37" s="106">
        <f>I36+I35</f>
        <v>2218730000</v>
      </c>
      <c r="J37" s="107"/>
    </row>
    <row r="38" spans="2:13" ht="20.25" customHeight="1">
      <c r="B38" s="108">
        <v>4</v>
      </c>
      <c r="C38" s="384" t="s">
        <v>80</v>
      </c>
      <c r="D38" s="385"/>
      <c r="E38" s="386"/>
      <c r="F38" s="387"/>
      <c r="G38" s="388"/>
      <c r="H38" s="389"/>
      <c r="I38" s="109">
        <v>85000000</v>
      </c>
      <c r="J38" s="110"/>
    </row>
    <row r="39" spans="2:13" ht="22.5" customHeight="1">
      <c r="B39" s="111">
        <v>5</v>
      </c>
      <c r="C39" s="390" t="s">
        <v>81</v>
      </c>
      <c r="D39" s="391"/>
      <c r="E39" s="392"/>
      <c r="F39" s="393" t="s">
        <v>82</v>
      </c>
      <c r="G39" s="394"/>
      <c r="H39" s="395"/>
      <c r="I39" s="112">
        <f>CEILING(MIN(I48:I49),1000)</f>
        <v>4128000</v>
      </c>
      <c r="J39" s="113">
        <f>I30+I29+I25+I24+I17+I16+I12+I10</f>
        <v>109200000</v>
      </c>
      <c r="K39" s="114"/>
      <c r="M39" s="114"/>
    </row>
    <row r="40" spans="2:13" ht="20.25" customHeight="1">
      <c r="B40" s="111">
        <v>6</v>
      </c>
      <c r="C40" s="390" t="s">
        <v>83</v>
      </c>
      <c r="D40" s="391"/>
      <c r="E40" s="392"/>
      <c r="F40" s="396"/>
      <c r="G40" s="397"/>
      <c r="H40" s="398"/>
      <c r="I40" s="87">
        <f>전기!H92+단위장비1!H94+단위장비2!H93+단위장비3!H89+단위장비5!H88+단위장비4!H93+단위장비6!H89+단위장비7!H89+단위장비8!H89+단위장비9!H89+단위장비10!H89</f>
        <v>48865900</v>
      </c>
      <c r="J40" s="80"/>
    </row>
    <row r="41" spans="2:13" ht="20.25" customHeight="1">
      <c r="B41" s="115">
        <v>7</v>
      </c>
      <c r="C41" s="367" t="s">
        <v>84</v>
      </c>
      <c r="D41" s="368"/>
      <c r="E41" s="369"/>
      <c r="F41" s="370"/>
      <c r="G41" s="371"/>
      <c r="H41" s="372"/>
      <c r="I41" s="90">
        <f>전기!H93+단위장비1!H95+단위장비2!H94+단위장비3!H90+단위장비5!H89+단위장비4!H94+단위장비6!H90+단위장비7!H90+단위장비8!H90+단위장비9!H90+단위장비10!H90</f>
        <v>63120600</v>
      </c>
      <c r="J41" s="91"/>
      <c r="K41" s="51"/>
    </row>
    <row r="42" spans="2:13" ht="28.5" customHeight="1" thickBot="1">
      <c r="B42" s="116"/>
      <c r="C42" s="373" t="s">
        <v>85</v>
      </c>
      <c r="D42" s="373"/>
      <c r="E42" s="373"/>
      <c r="F42" s="374" t="s">
        <v>86</v>
      </c>
      <c r="G42" s="375"/>
      <c r="H42" s="376"/>
      <c r="I42" s="117">
        <f>I22+I34+I38+I39</f>
        <v>2419844500</v>
      </c>
      <c r="J42" s="118"/>
      <c r="K42" s="51"/>
    </row>
    <row r="43" spans="2:13" ht="19.5" customHeight="1">
      <c r="B43" s="51" t="s">
        <v>87</v>
      </c>
      <c r="C43" s="52"/>
      <c r="D43" s="52"/>
      <c r="E43" s="52"/>
    </row>
    <row r="44" spans="2:13" ht="19.5" customHeight="1">
      <c r="B44" s="51" t="s">
        <v>88</v>
      </c>
      <c r="C44" s="52"/>
      <c r="D44" s="52"/>
      <c r="E44" s="52"/>
    </row>
    <row r="45" spans="2:13" ht="19.5" customHeight="1">
      <c r="B45" s="51" t="s">
        <v>89</v>
      </c>
      <c r="C45" s="52"/>
      <c r="D45" s="52"/>
      <c r="E45" s="52"/>
    </row>
    <row r="46" spans="2:13" ht="19.5" customHeight="1">
      <c r="C46" s="52"/>
      <c r="D46" s="52"/>
      <c r="E46" s="52"/>
    </row>
    <row r="47" spans="2:13" ht="19.5" customHeight="1">
      <c r="C47" s="52"/>
      <c r="D47" s="52"/>
      <c r="E47" s="377" t="s">
        <v>90</v>
      </c>
      <c r="F47" s="380" t="s">
        <v>91</v>
      </c>
      <c r="G47" s="381"/>
      <c r="H47" s="382"/>
      <c r="I47" s="119" t="s">
        <v>92</v>
      </c>
      <c r="J47" s="121" t="s">
        <v>93</v>
      </c>
      <c r="K47" s="120" t="s">
        <v>94</v>
      </c>
    </row>
    <row r="48" spans="2:13" ht="19.5" customHeight="1">
      <c r="C48" s="52"/>
      <c r="D48" s="52"/>
      <c r="E48" s="378"/>
      <c r="F48" s="383" t="s">
        <v>95</v>
      </c>
      <c r="G48" s="383"/>
      <c r="H48" s="383"/>
      <c r="I48" s="87">
        <f>IF(J48&lt;500000000,J48*0.0315,1)+IF(J48&gt;500000000,J48*0.0253+3300000)*IF(J48&gt;5000000000,0,1)+IF(J48&gt;5000000000,J48*0.026,0)</f>
        <v>61584370</v>
      </c>
      <c r="J48" s="122">
        <f>SUM(I7:I10,I12:I19,I23:I31,I38)</f>
        <v>2303730000</v>
      </c>
      <c r="K48" s="122" t="s">
        <v>96</v>
      </c>
    </row>
    <row r="49" spans="5:11" ht="19.5" customHeight="1">
      <c r="E49" s="379"/>
      <c r="F49" s="383" t="s">
        <v>97</v>
      </c>
      <c r="G49" s="383"/>
      <c r="H49" s="383"/>
      <c r="I49" s="87">
        <f>(IF(J49&lt;500000000,J49*0.0315,1)+IF(J49&gt;500000000,J49*0.0253+3300000)*IF(J49&gt;5000000000,0,1)+IF(J49&gt;5000000000,J49*0.026,0))*1.2</f>
        <v>4127760</v>
      </c>
      <c r="J49" s="123">
        <f>SUM(I10,I24,I12,I16:I17,I25,I29:I30)</f>
        <v>109200000</v>
      </c>
      <c r="K49" s="122" t="s">
        <v>98</v>
      </c>
    </row>
    <row r="50" spans="5:11" ht="19.5" customHeight="1">
      <c r="G50" s="124" t="s">
        <v>99</v>
      </c>
    </row>
  </sheetData>
  <mergeCells count="38">
    <mergeCell ref="C41:E41"/>
    <mergeCell ref="F41:H41"/>
    <mergeCell ref="C42:E42"/>
    <mergeCell ref="F42:H42"/>
    <mergeCell ref="E47:E49"/>
    <mergeCell ref="F47:H47"/>
    <mergeCell ref="F48:H48"/>
    <mergeCell ref="F49:H49"/>
    <mergeCell ref="C38:E38"/>
    <mergeCell ref="F38:H38"/>
    <mergeCell ref="C39:E39"/>
    <mergeCell ref="F39:H39"/>
    <mergeCell ref="C40:E40"/>
    <mergeCell ref="F40:H40"/>
    <mergeCell ref="B35:B37"/>
    <mergeCell ref="C35:E35"/>
    <mergeCell ref="F35:H35"/>
    <mergeCell ref="C36:E36"/>
    <mergeCell ref="F36:H36"/>
    <mergeCell ref="C37:E37"/>
    <mergeCell ref="F37:H37"/>
    <mergeCell ref="B23:B34"/>
    <mergeCell ref="C23:C34"/>
    <mergeCell ref="D23:D24"/>
    <mergeCell ref="D25:D32"/>
    <mergeCell ref="F32:H32"/>
    <mergeCell ref="F33:H33"/>
    <mergeCell ref="F34:H34"/>
    <mergeCell ref="C5:E5"/>
    <mergeCell ref="C6:E6"/>
    <mergeCell ref="B7:B22"/>
    <mergeCell ref="C7:C22"/>
    <mergeCell ref="D7:D11"/>
    <mergeCell ref="F11:H11"/>
    <mergeCell ref="D12:D20"/>
    <mergeCell ref="F20:H20"/>
    <mergeCell ref="F21:H21"/>
    <mergeCell ref="F22:H22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7" orientation="portrait" horizontalDpi="4294967292" verticalDpi="1200" r:id="rId1"/>
  <headerFooter alignWithMargins="0">
    <oddHeader>&amp;C&amp;G</oddHeader>
    <oddFooter>&amp;L_x000D_&amp;1#&amp;"Malgun Gothic"&amp;6&amp;K000000 외부 전송용(No Protection) 손철호 책임매니저 통합구매팀 son@hyundai-wia.com 2026-07-07T14:05:14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C5E3-7C17-42B5-A7CD-EF5A301C4C97}">
  <sheetPr>
    <pageSetUpPr fitToPage="1"/>
  </sheetPr>
  <dimension ref="A2:V22"/>
  <sheetViews>
    <sheetView topLeftCell="J1" zoomScale="92" zoomScaleNormal="92" workbookViewId="0">
      <selection activeCell="F18" sqref="F18:F27"/>
    </sheetView>
  </sheetViews>
  <sheetFormatPr defaultColWidth="9" defaultRowHeight="17.25" customHeight="1"/>
  <cols>
    <col min="1" max="1" width="5" style="24" customWidth="1"/>
    <col min="2" max="2" width="20.09765625" style="24" customWidth="1"/>
    <col min="3" max="3" width="6.19921875" style="24" customWidth="1"/>
    <col min="4" max="8" width="11.8984375" style="24" customWidth="1"/>
    <col min="9" max="9" width="13" style="24" customWidth="1"/>
    <col min="10" max="10" width="15.19921875" style="24" customWidth="1"/>
    <col min="11" max="11" width="13.8984375" style="24" customWidth="1"/>
    <col min="12" max="12" width="12.5" style="24" bestFit="1" customWidth="1"/>
    <col min="13" max="13" width="15" style="24" bestFit="1" customWidth="1"/>
    <col min="14" max="14" width="16.09765625" style="24" customWidth="1"/>
    <col min="15" max="15" width="9.59765625" style="24" customWidth="1"/>
    <col min="16" max="16" width="12.59765625" style="24" hidden="1" customWidth="1"/>
    <col min="17" max="17" width="10" style="24" customWidth="1"/>
    <col min="18" max="18" width="14.19921875" style="24" customWidth="1"/>
    <col min="19" max="19" width="41.19921875" style="24" customWidth="1"/>
    <col min="20" max="20" width="14.19921875" style="24" customWidth="1"/>
    <col min="21" max="21" width="48.69921875" style="24" customWidth="1"/>
    <col min="22" max="256" width="9" style="24"/>
    <col min="257" max="257" width="5" style="24" customWidth="1"/>
    <col min="258" max="258" width="20.09765625" style="24" customWidth="1"/>
    <col min="259" max="259" width="6.19921875" style="24" customWidth="1"/>
    <col min="260" max="264" width="11.8984375" style="24" customWidth="1"/>
    <col min="265" max="265" width="13" style="24" customWidth="1"/>
    <col min="266" max="266" width="15.19921875" style="24" customWidth="1"/>
    <col min="267" max="267" width="13.8984375" style="24" customWidth="1"/>
    <col min="268" max="268" width="12.5" style="24" bestFit="1" customWidth="1"/>
    <col min="269" max="269" width="15" style="24" bestFit="1" customWidth="1"/>
    <col min="270" max="270" width="16.09765625" style="24" customWidth="1"/>
    <col min="271" max="271" width="9.59765625" style="24" customWidth="1"/>
    <col min="272" max="272" width="0" style="24" hidden="1" customWidth="1"/>
    <col min="273" max="273" width="10" style="24" customWidth="1"/>
    <col min="274" max="274" width="14.19921875" style="24" customWidth="1"/>
    <col min="275" max="275" width="41.19921875" style="24" customWidth="1"/>
    <col min="276" max="276" width="14.19921875" style="24" customWidth="1"/>
    <col min="277" max="277" width="48.69921875" style="24" customWidth="1"/>
    <col min="278" max="512" width="9" style="24"/>
    <col min="513" max="513" width="5" style="24" customWidth="1"/>
    <col min="514" max="514" width="20.09765625" style="24" customWidth="1"/>
    <col min="515" max="515" width="6.19921875" style="24" customWidth="1"/>
    <col min="516" max="520" width="11.8984375" style="24" customWidth="1"/>
    <col min="521" max="521" width="13" style="24" customWidth="1"/>
    <col min="522" max="522" width="15.19921875" style="24" customWidth="1"/>
    <col min="523" max="523" width="13.8984375" style="24" customWidth="1"/>
    <col min="524" max="524" width="12.5" style="24" bestFit="1" customWidth="1"/>
    <col min="525" max="525" width="15" style="24" bestFit="1" customWidth="1"/>
    <col min="526" max="526" width="16.09765625" style="24" customWidth="1"/>
    <col min="527" max="527" width="9.59765625" style="24" customWidth="1"/>
    <col min="528" max="528" width="0" style="24" hidden="1" customWidth="1"/>
    <col min="529" max="529" width="10" style="24" customWidth="1"/>
    <col min="530" max="530" width="14.19921875" style="24" customWidth="1"/>
    <col min="531" max="531" width="41.19921875" style="24" customWidth="1"/>
    <col min="532" max="532" width="14.19921875" style="24" customWidth="1"/>
    <col min="533" max="533" width="48.69921875" style="24" customWidth="1"/>
    <col min="534" max="768" width="9" style="24"/>
    <col min="769" max="769" width="5" style="24" customWidth="1"/>
    <col min="770" max="770" width="20.09765625" style="24" customWidth="1"/>
    <col min="771" max="771" width="6.19921875" style="24" customWidth="1"/>
    <col min="772" max="776" width="11.8984375" style="24" customWidth="1"/>
    <col min="777" max="777" width="13" style="24" customWidth="1"/>
    <col min="778" max="778" width="15.19921875" style="24" customWidth="1"/>
    <col min="779" max="779" width="13.8984375" style="24" customWidth="1"/>
    <col min="780" max="780" width="12.5" style="24" bestFit="1" customWidth="1"/>
    <col min="781" max="781" width="15" style="24" bestFit="1" customWidth="1"/>
    <col min="782" max="782" width="16.09765625" style="24" customWidth="1"/>
    <col min="783" max="783" width="9.59765625" style="24" customWidth="1"/>
    <col min="784" max="784" width="0" style="24" hidden="1" customWidth="1"/>
    <col min="785" max="785" width="10" style="24" customWidth="1"/>
    <col min="786" max="786" width="14.19921875" style="24" customWidth="1"/>
    <col min="787" max="787" width="41.19921875" style="24" customWidth="1"/>
    <col min="788" max="788" width="14.19921875" style="24" customWidth="1"/>
    <col min="789" max="789" width="48.69921875" style="24" customWidth="1"/>
    <col min="790" max="1024" width="9" style="24"/>
    <col min="1025" max="1025" width="5" style="24" customWidth="1"/>
    <col min="1026" max="1026" width="20.09765625" style="24" customWidth="1"/>
    <col min="1027" max="1027" width="6.19921875" style="24" customWidth="1"/>
    <col min="1028" max="1032" width="11.8984375" style="24" customWidth="1"/>
    <col min="1033" max="1033" width="13" style="24" customWidth="1"/>
    <col min="1034" max="1034" width="15.19921875" style="24" customWidth="1"/>
    <col min="1035" max="1035" width="13.8984375" style="24" customWidth="1"/>
    <col min="1036" max="1036" width="12.5" style="24" bestFit="1" customWidth="1"/>
    <col min="1037" max="1037" width="15" style="24" bestFit="1" customWidth="1"/>
    <col min="1038" max="1038" width="16.09765625" style="24" customWidth="1"/>
    <col min="1039" max="1039" width="9.59765625" style="24" customWidth="1"/>
    <col min="1040" max="1040" width="0" style="24" hidden="1" customWidth="1"/>
    <col min="1041" max="1041" width="10" style="24" customWidth="1"/>
    <col min="1042" max="1042" width="14.19921875" style="24" customWidth="1"/>
    <col min="1043" max="1043" width="41.19921875" style="24" customWidth="1"/>
    <col min="1044" max="1044" width="14.19921875" style="24" customWidth="1"/>
    <col min="1045" max="1045" width="48.69921875" style="24" customWidth="1"/>
    <col min="1046" max="1280" width="9" style="24"/>
    <col min="1281" max="1281" width="5" style="24" customWidth="1"/>
    <col min="1282" max="1282" width="20.09765625" style="24" customWidth="1"/>
    <col min="1283" max="1283" width="6.19921875" style="24" customWidth="1"/>
    <col min="1284" max="1288" width="11.8984375" style="24" customWidth="1"/>
    <col min="1289" max="1289" width="13" style="24" customWidth="1"/>
    <col min="1290" max="1290" width="15.19921875" style="24" customWidth="1"/>
    <col min="1291" max="1291" width="13.8984375" style="24" customWidth="1"/>
    <col min="1292" max="1292" width="12.5" style="24" bestFit="1" customWidth="1"/>
    <col min="1293" max="1293" width="15" style="24" bestFit="1" customWidth="1"/>
    <col min="1294" max="1294" width="16.09765625" style="24" customWidth="1"/>
    <col min="1295" max="1295" width="9.59765625" style="24" customWidth="1"/>
    <col min="1296" max="1296" width="0" style="24" hidden="1" customWidth="1"/>
    <col min="1297" max="1297" width="10" style="24" customWidth="1"/>
    <col min="1298" max="1298" width="14.19921875" style="24" customWidth="1"/>
    <col min="1299" max="1299" width="41.19921875" style="24" customWidth="1"/>
    <col min="1300" max="1300" width="14.19921875" style="24" customWidth="1"/>
    <col min="1301" max="1301" width="48.69921875" style="24" customWidth="1"/>
    <col min="1302" max="1536" width="9" style="24"/>
    <col min="1537" max="1537" width="5" style="24" customWidth="1"/>
    <col min="1538" max="1538" width="20.09765625" style="24" customWidth="1"/>
    <col min="1539" max="1539" width="6.19921875" style="24" customWidth="1"/>
    <col min="1540" max="1544" width="11.8984375" style="24" customWidth="1"/>
    <col min="1545" max="1545" width="13" style="24" customWidth="1"/>
    <col min="1546" max="1546" width="15.19921875" style="24" customWidth="1"/>
    <col min="1547" max="1547" width="13.8984375" style="24" customWidth="1"/>
    <col min="1548" max="1548" width="12.5" style="24" bestFit="1" customWidth="1"/>
    <col min="1549" max="1549" width="15" style="24" bestFit="1" customWidth="1"/>
    <col min="1550" max="1550" width="16.09765625" style="24" customWidth="1"/>
    <col min="1551" max="1551" width="9.59765625" style="24" customWidth="1"/>
    <col min="1552" max="1552" width="0" style="24" hidden="1" customWidth="1"/>
    <col min="1553" max="1553" width="10" style="24" customWidth="1"/>
    <col min="1554" max="1554" width="14.19921875" style="24" customWidth="1"/>
    <col min="1555" max="1555" width="41.19921875" style="24" customWidth="1"/>
    <col min="1556" max="1556" width="14.19921875" style="24" customWidth="1"/>
    <col min="1557" max="1557" width="48.69921875" style="24" customWidth="1"/>
    <col min="1558" max="1792" width="9" style="24"/>
    <col min="1793" max="1793" width="5" style="24" customWidth="1"/>
    <col min="1794" max="1794" width="20.09765625" style="24" customWidth="1"/>
    <col min="1795" max="1795" width="6.19921875" style="24" customWidth="1"/>
    <col min="1796" max="1800" width="11.8984375" style="24" customWidth="1"/>
    <col min="1801" max="1801" width="13" style="24" customWidth="1"/>
    <col min="1802" max="1802" width="15.19921875" style="24" customWidth="1"/>
    <col min="1803" max="1803" width="13.8984375" style="24" customWidth="1"/>
    <col min="1804" max="1804" width="12.5" style="24" bestFit="1" customWidth="1"/>
    <col min="1805" max="1805" width="15" style="24" bestFit="1" customWidth="1"/>
    <col min="1806" max="1806" width="16.09765625" style="24" customWidth="1"/>
    <col min="1807" max="1807" width="9.59765625" style="24" customWidth="1"/>
    <col min="1808" max="1808" width="0" style="24" hidden="1" customWidth="1"/>
    <col min="1809" max="1809" width="10" style="24" customWidth="1"/>
    <col min="1810" max="1810" width="14.19921875" style="24" customWidth="1"/>
    <col min="1811" max="1811" width="41.19921875" style="24" customWidth="1"/>
    <col min="1812" max="1812" width="14.19921875" style="24" customWidth="1"/>
    <col min="1813" max="1813" width="48.69921875" style="24" customWidth="1"/>
    <col min="1814" max="2048" width="9" style="24"/>
    <col min="2049" max="2049" width="5" style="24" customWidth="1"/>
    <col min="2050" max="2050" width="20.09765625" style="24" customWidth="1"/>
    <col min="2051" max="2051" width="6.19921875" style="24" customWidth="1"/>
    <col min="2052" max="2056" width="11.8984375" style="24" customWidth="1"/>
    <col min="2057" max="2057" width="13" style="24" customWidth="1"/>
    <col min="2058" max="2058" width="15.19921875" style="24" customWidth="1"/>
    <col min="2059" max="2059" width="13.8984375" style="24" customWidth="1"/>
    <col min="2060" max="2060" width="12.5" style="24" bestFit="1" customWidth="1"/>
    <col min="2061" max="2061" width="15" style="24" bestFit="1" customWidth="1"/>
    <col min="2062" max="2062" width="16.09765625" style="24" customWidth="1"/>
    <col min="2063" max="2063" width="9.59765625" style="24" customWidth="1"/>
    <col min="2064" max="2064" width="0" style="24" hidden="1" customWidth="1"/>
    <col min="2065" max="2065" width="10" style="24" customWidth="1"/>
    <col min="2066" max="2066" width="14.19921875" style="24" customWidth="1"/>
    <col min="2067" max="2067" width="41.19921875" style="24" customWidth="1"/>
    <col min="2068" max="2068" width="14.19921875" style="24" customWidth="1"/>
    <col min="2069" max="2069" width="48.69921875" style="24" customWidth="1"/>
    <col min="2070" max="2304" width="9" style="24"/>
    <col min="2305" max="2305" width="5" style="24" customWidth="1"/>
    <col min="2306" max="2306" width="20.09765625" style="24" customWidth="1"/>
    <col min="2307" max="2307" width="6.19921875" style="24" customWidth="1"/>
    <col min="2308" max="2312" width="11.8984375" style="24" customWidth="1"/>
    <col min="2313" max="2313" width="13" style="24" customWidth="1"/>
    <col min="2314" max="2314" width="15.19921875" style="24" customWidth="1"/>
    <col min="2315" max="2315" width="13.8984375" style="24" customWidth="1"/>
    <col min="2316" max="2316" width="12.5" style="24" bestFit="1" customWidth="1"/>
    <col min="2317" max="2317" width="15" style="24" bestFit="1" customWidth="1"/>
    <col min="2318" max="2318" width="16.09765625" style="24" customWidth="1"/>
    <col min="2319" max="2319" width="9.59765625" style="24" customWidth="1"/>
    <col min="2320" max="2320" width="0" style="24" hidden="1" customWidth="1"/>
    <col min="2321" max="2321" width="10" style="24" customWidth="1"/>
    <col min="2322" max="2322" width="14.19921875" style="24" customWidth="1"/>
    <col min="2323" max="2323" width="41.19921875" style="24" customWidth="1"/>
    <col min="2324" max="2324" width="14.19921875" style="24" customWidth="1"/>
    <col min="2325" max="2325" width="48.69921875" style="24" customWidth="1"/>
    <col min="2326" max="2560" width="9" style="24"/>
    <col min="2561" max="2561" width="5" style="24" customWidth="1"/>
    <col min="2562" max="2562" width="20.09765625" style="24" customWidth="1"/>
    <col min="2563" max="2563" width="6.19921875" style="24" customWidth="1"/>
    <col min="2564" max="2568" width="11.8984375" style="24" customWidth="1"/>
    <col min="2569" max="2569" width="13" style="24" customWidth="1"/>
    <col min="2570" max="2570" width="15.19921875" style="24" customWidth="1"/>
    <col min="2571" max="2571" width="13.8984375" style="24" customWidth="1"/>
    <col min="2572" max="2572" width="12.5" style="24" bestFit="1" customWidth="1"/>
    <col min="2573" max="2573" width="15" style="24" bestFit="1" customWidth="1"/>
    <col min="2574" max="2574" width="16.09765625" style="24" customWidth="1"/>
    <col min="2575" max="2575" width="9.59765625" style="24" customWidth="1"/>
    <col min="2576" max="2576" width="0" style="24" hidden="1" customWidth="1"/>
    <col min="2577" max="2577" width="10" style="24" customWidth="1"/>
    <col min="2578" max="2578" width="14.19921875" style="24" customWidth="1"/>
    <col min="2579" max="2579" width="41.19921875" style="24" customWidth="1"/>
    <col min="2580" max="2580" width="14.19921875" style="24" customWidth="1"/>
    <col min="2581" max="2581" width="48.69921875" style="24" customWidth="1"/>
    <col min="2582" max="2816" width="9" style="24"/>
    <col min="2817" max="2817" width="5" style="24" customWidth="1"/>
    <col min="2818" max="2818" width="20.09765625" style="24" customWidth="1"/>
    <col min="2819" max="2819" width="6.19921875" style="24" customWidth="1"/>
    <col min="2820" max="2824" width="11.8984375" style="24" customWidth="1"/>
    <col min="2825" max="2825" width="13" style="24" customWidth="1"/>
    <col min="2826" max="2826" width="15.19921875" style="24" customWidth="1"/>
    <col min="2827" max="2827" width="13.8984375" style="24" customWidth="1"/>
    <col min="2828" max="2828" width="12.5" style="24" bestFit="1" customWidth="1"/>
    <col min="2829" max="2829" width="15" style="24" bestFit="1" customWidth="1"/>
    <col min="2830" max="2830" width="16.09765625" style="24" customWidth="1"/>
    <col min="2831" max="2831" width="9.59765625" style="24" customWidth="1"/>
    <col min="2832" max="2832" width="0" style="24" hidden="1" customWidth="1"/>
    <col min="2833" max="2833" width="10" style="24" customWidth="1"/>
    <col min="2834" max="2834" width="14.19921875" style="24" customWidth="1"/>
    <col min="2835" max="2835" width="41.19921875" style="24" customWidth="1"/>
    <col min="2836" max="2836" width="14.19921875" style="24" customWidth="1"/>
    <col min="2837" max="2837" width="48.69921875" style="24" customWidth="1"/>
    <col min="2838" max="3072" width="9" style="24"/>
    <col min="3073" max="3073" width="5" style="24" customWidth="1"/>
    <col min="3074" max="3074" width="20.09765625" style="24" customWidth="1"/>
    <col min="3075" max="3075" width="6.19921875" style="24" customWidth="1"/>
    <col min="3076" max="3080" width="11.8984375" style="24" customWidth="1"/>
    <col min="3081" max="3081" width="13" style="24" customWidth="1"/>
    <col min="3082" max="3082" width="15.19921875" style="24" customWidth="1"/>
    <col min="3083" max="3083" width="13.8984375" style="24" customWidth="1"/>
    <col min="3084" max="3084" width="12.5" style="24" bestFit="1" customWidth="1"/>
    <col min="3085" max="3085" width="15" style="24" bestFit="1" customWidth="1"/>
    <col min="3086" max="3086" width="16.09765625" style="24" customWidth="1"/>
    <col min="3087" max="3087" width="9.59765625" style="24" customWidth="1"/>
    <col min="3088" max="3088" width="0" style="24" hidden="1" customWidth="1"/>
    <col min="3089" max="3089" width="10" style="24" customWidth="1"/>
    <col min="3090" max="3090" width="14.19921875" style="24" customWidth="1"/>
    <col min="3091" max="3091" width="41.19921875" style="24" customWidth="1"/>
    <col min="3092" max="3092" width="14.19921875" style="24" customWidth="1"/>
    <col min="3093" max="3093" width="48.69921875" style="24" customWidth="1"/>
    <col min="3094" max="3328" width="9" style="24"/>
    <col min="3329" max="3329" width="5" style="24" customWidth="1"/>
    <col min="3330" max="3330" width="20.09765625" style="24" customWidth="1"/>
    <col min="3331" max="3331" width="6.19921875" style="24" customWidth="1"/>
    <col min="3332" max="3336" width="11.8984375" style="24" customWidth="1"/>
    <col min="3337" max="3337" width="13" style="24" customWidth="1"/>
    <col min="3338" max="3338" width="15.19921875" style="24" customWidth="1"/>
    <col min="3339" max="3339" width="13.8984375" style="24" customWidth="1"/>
    <col min="3340" max="3340" width="12.5" style="24" bestFit="1" customWidth="1"/>
    <col min="3341" max="3341" width="15" style="24" bestFit="1" customWidth="1"/>
    <col min="3342" max="3342" width="16.09765625" style="24" customWidth="1"/>
    <col min="3343" max="3343" width="9.59765625" style="24" customWidth="1"/>
    <col min="3344" max="3344" width="0" style="24" hidden="1" customWidth="1"/>
    <col min="3345" max="3345" width="10" style="24" customWidth="1"/>
    <col min="3346" max="3346" width="14.19921875" style="24" customWidth="1"/>
    <col min="3347" max="3347" width="41.19921875" style="24" customWidth="1"/>
    <col min="3348" max="3348" width="14.19921875" style="24" customWidth="1"/>
    <col min="3349" max="3349" width="48.69921875" style="24" customWidth="1"/>
    <col min="3350" max="3584" width="9" style="24"/>
    <col min="3585" max="3585" width="5" style="24" customWidth="1"/>
    <col min="3586" max="3586" width="20.09765625" style="24" customWidth="1"/>
    <col min="3587" max="3587" width="6.19921875" style="24" customWidth="1"/>
    <col min="3588" max="3592" width="11.8984375" style="24" customWidth="1"/>
    <col min="3593" max="3593" width="13" style="24" customWidth="1"/>
    <col min="3594" max="3594" width="15.19921875" style="24" customWidth="1"/>
    <col min="3595" max="3595" width="13.8984375" style="24" customWidth="1"/>
    <col min="3596" max="3596" width="12.5" style="24" bestFit="1" customWidth="1"/>
    <col min="3597" max="3597" width="15" style="24" bestFit="1" customWidth="1"/>
    <col min="3598" max="3598" width="16.09765625" style="24" customWidth="1"/>
    <col min="3599" max="3599" width="9.59765625" style="24" customWidth="1"/>
    <col min="3600" max="3600" width="0" style="24" hidden="1" customWidth="1"/>
    <col min="3601" max="3601" width="10" style="24" customWidth="1"/>
    <col min="3602" max="3602" width="14.19921875" style="24" customWidth="1"/>
    <col min="3603" max="3603" width="41.19921875" style="24" customWidth="1"/>
    <col min="3604" max="3604" width="14.19921875" style="24" customWidth="1"/>
    <col min="3605" max="3605" width="48.69921875" style="24" customWidth="1"/>
    <col min="3606" max="3840" width="9" style="24"/>
    <col min="3841" max="3841" width="5" style="24" customWidth="1"/>
    <col min="3842" max="3842" width="20.09765625" style="24" customWidth="1"/>
    <col min="3843" max="3843" width="6.19921875" style="24" customWidth="1"/>
    <col min="3844" max="3848" width="11.8984375" style="24" customWidth="1"/>
    <col min="3849" max="3849" width="13" style="24" customWidth="1"/>
    <col min="3850" max="3850" width="15.19921875" style="24" customWidth="1"/>
    <col min="3851" max="3851" width="13.8984375" style="24" customWidth="1"/>
    <col min="3852" max="3852" width="12.5" style="24" bestFit="1" customWidth="1"/>
    <col min="3853" max="3853" width="15" style="24" bestFit="1" customWidth="1"/>
    <col min="3854" max="3854" width="16.09765625" style="24" customWidth="1"/>
    <col min="3855" max="3855" width="9.59765625" style="24" customWidth="1"/>
    <col min="3856" max="3856" width="0" style="24" hidden="1" customWidth="1"/>
    <col min="3857" max="3857" width="10" style="24" customWidth="1"/>
    <col min="3858" max="3858" width="14.19921875" style="24" customWidth="1"/>
    <col min="3859" max="3859" width="41.19921875" style="24" customWidth="1"/>
    <col min="3860" max="3860" width="14.19921875" style="24" customWidth="1"/>
    <col min="3861" max="3861" width="48.69921875" style="24" customWidth="1"/>
    <col min="3862" max="4096" width="9" style="24"/>
    <col min="4097" max="4097" width="5" style="24" customWidth="1"/>
    <col min="4098" max="4098" width="20.09765625" style="24" customWidth="1"/>
    <col min="4099" max="4099" width="6.19921875" style="24" customWidth="1"/>
    <col min="4100" max="4104" width="11.8984375" style="24" customWidth="1"/>
    <col min="4105" max="4105" width="13" style="24" customWidth="1"/>
    <col min="4106" max="4106" width="15.19921875" style="24" customWidth="1"/>
    <col min="4107" max="4107" width="13.8984375" style="24" customWidth="1"/>
    <col min="4108" max="4108" width="12.5" style="24" bestFit="1" customWidth="1"/>
    <col min="4109" max="4109" width="15" style="24" bestFit="1" customWidth="1"/>
    <col min="4110" max="4110" width="16.09765625" style="24" customWidth="1"/>
    <col min="4111" max="4111" width="9.59765625" style="24" customWidth="1"/>
    <col min="4112" max="4112" width="0" style="24" hidden="1" customWidth="1"/>
    <col min="4113" max="4113" width="10" style="24" customWidth="1"/>
    <col min="4114" max="4114" width="14.19921875" style="24" customWidth="1"/>
    <col min="4115" max="4115" width="41.19921875" style="24" customWidth="1"/>
    <col min="4116" max="4116" width="14.19921875" style="24" customWidth="1"/>
    <col min="4117" max="4117" width="48.69921875" style="24" customWidth="1"/>
    <col min="4118" max="4352" width="9" style="24"/>
    <col min="4353" max="4353" width="5" style="24" customWidth="1"/>
    <col min="4354" max="4354" width="20.09765625" style="24" customWidth="1"/>
    <col min="4355" max="4355" width="6.19921875" style="24" customWidth="1"/>
    <col min="4356" max="4360" width="11.8984375" style="24" customWidth="1"/>
    <col min="4361" max="4361" width="13" style="24" customWidth="1"/>
    <col min="4362" max="4362" width="15.19921875" style="24" customWidth="1"/>
    <col min="4363" max="4363" width="13.8984375" style="24" customWidth="1"/>
    <col min="4364" max="4364" width="12.5" style="24" bestFit="1" customWidth="1"/>
    <col min="4365" max="4365" width="15" style="24" bestFit="1" customWidth="1"/>
    <col min="4366" max="4366" width="16.09765625" style="24" customWidth="1"/>
    <col min="4367" max="4367" width="9.59765625" style="24" customWidth="1"/>
    <col min="4368" max="4368" width="0" style="24" hidden="1" customWidth="1"/>
    <col min="4369" max="4369" width="10" style="24" customWidth="1"/>
    <col min="4370" max="4370" width="14.19921875" style="24" customWidth="1"/>
    <col min="4371" max="4371" width="41.19921875" style="24" customWidth="1"/>
    <col min="4372" max="4372" width="14.19921875" style="24" customWidth="1"/>
    <col min="4373" max="4373" width="48.69921875" style="24" customWidth="1"/>
    <col min="4374" max="4608" width="9" style="24"/>
    <col min="4609" max="4609" width="5" style="24" customWidth="1"/>
    <col min="4610" max="4610" width="20.09765625" style="24" customWidth="1"/>
    <col min="4611" max="4611" width="6.19921875" style="24" customWidth="1"/>
    <col min="4612" max="4616" width="11.8984375" style="24" customWidth="1"/>
    <col min="4617" max="4617" width="13" style="24" customWidth="1"/>
    <col min="4618" max="4618" width="15.19921875" style="24" customWidth="1"/>
    <col min="4619" max="4619" width="13.8984375" style="24" customWidth="1"/>
    <col min="4620" max="4620" width="12.5" style="24" bestFit="1" customWidth="1"/>
    <col min="4621" max="4621" width="15" style="24" bestFit="1" customWidth="1"/>
    <col min="4622" max="4622" width="16.09765625" style="24" customWidth="1"/>
    <col min="4623" max="4623" width="9.59765625" style="24" customWidth="1"/>
    <col min="4624" max="4624" width="0" style="24" hidden="1" customWidth="1"/>
    <col min="4625" max="4625" width="10" style="24" customWidth="1"/>
    <col min="4626" max="4626" width="14.19921875" style="24" customWidth="1"/>
    <col min="4627" max="4627" width="41.19921875" style="24" customWidth="1"/>
    <col min="4628" max="4628" width="14.19921875" style="24" customWidth="1"/>
    <col min="4629" max="4629" width="48.69921875" style="24" customWidth="1"/>
    <col min="4630" max="4864" width="9" style="24"/>
    <col min="4865" max="4865" width="5" style="24" customWidth="1"/>
    <col min="4866" max="4866" width="20.09765625" style="24" customWidth="1"/>
    <col min="4867" max="4867" width="6.19921875" style="24" customWidth="1"/>
    <col min="4868" max="4872" width="11.8984375" style="24" customWidth="1"/>
    <col min="4873" max="4873" width="13" style="24" customWidth="1"/>
    <col min="4874" max="4874" width="15.19921875" style="24" customWidth="1"/>
    <col min="4875" max="4875" width="13.8984375" style="24" customWidth="1"/>
    <col min="4876" max="4876" width="12.5" style="24" bestFit="1" customWidth="1"/>
    <col min="4877" max="4877" width="15" style="24" bestFit="1" customWidth="1"/>
    <col min="4878" max="4878" width="16.09765625" style="24" customWidth="1"/>
    <col min="4879" max="4879" width="9.59765625" style="24" customWidth="1"/>
    <col min="4880" max="4880" width="0" style="24" hidden="1" customWidth="1"/>
    <col min="4881" max="4881" width="10" style="24" customWidth="1"/>
    <col min="4882" max="4882" width="14.19921875" style="24" customWidth="1"/>
    <col min="4883" max="4883" width="41.19921875" style="24" customWidth="1"/>
    <col min="4884" max="4884" width="14.19921875" style="24" customWidth="1"/>
    <col min="4885" max="4885" width="48.69921875" style="24" customWidth="1"/>
    <col min="4886" max="5120" width="9" style="24"/>
    <col min="5121" max="5121" width="5" style="24" customWidth="1"/>
    <col min="5122" max="5122" width="20.09765625" style="24" customWidth="1"/>
    <col min="5123" max="5123" width="6.19921875" style="24" customWidth="1"/>
    <col min="5124" max="5128" width="11.8984375" style="24" customWidth="1"/>
    <col min="5129" max="5129" width="13" style="24" customWidth="1"/>
    <col min="5130" max="5130" width="15.19921875" style="24" customWidth="1"/>
    <col min="5131" max="5131" width="13.8984375" style="24" customWidth="1"/>
    <col min="5132" max="5132" width="12.5" style="24" bestFit="1" customWidth="1"/>
    <col min="5133" max="5133" width="15" style="24" bestFit="1" customWidth="1"/>
    <col min="5134" max="5134" width="16.09765625" style="24" customWidth="1"/>
    <col min="5135" max="5135" width="9.59765625" style="24" customWidth="1"/>
    <col min="5136" max="5136" width="0" style="24" hidden="1" customWidth="1"/>
    <col min="5137" max="5137" width="10" style="24" customWidth="1"/>
    <col min="5138" max="5138" width="14.19921875" style="24" customWidth="1"/>
    <col min="5139" max="5139" width="41.19921875" style="24" customWidth="1"/>
    <col min="5140" max="5140" width="14.19921875" style="24" customWidth="1"/>
    <col min="5141" max="5141" width="48.69921875" style="24" customWidth="1"/>
    <col min="5142" max="5376" width="9" style="24"/>
    <col min="5377" max="5377" width="5" style="24" customWidth="1"/>
    <col min="5378" max="5378" width="20.09765625" style="24" customWidth="1"/>
    <col min="5379" max="5379" width="6.19921875" style="24" customWidth="1"/>
    <col min="5380" max="5384" width="11.8984375" style="24" customWidth="1"/>
    <col min="5385" max="5385" width="13" style="24" customWidth="1"/>
    <col min="5386" max="5386" width="15.19921875" style="24" customWidth="1"/>
    <col min="5387" max="5387" width="13.8984375" style="24" customWidth="1"/>
    <col min="5388" max="5388" width="12.5" style="24" bestFit="1" customWidth="1"/>
    <col min="5389" max="5389" width="15" style="24" bestFit="1" customWidth="1"/>
    <col min="5390" max="5390" width="16.09765625" style="24" customWidth="1"/>
    <col min="5391" max="5391" width="9.59765625" style="24" customWidth="1"/>
    <col min="5392" max="5392" width="0" style="24" hidden="1" customWidth="1"/>
    <col min="5393" max="5393" width="10" style="24" customWidth="1"/>
    <col min="5394" max="5394" width="14.19921875" style="24" customWidth="1"/>
    <col min="5395" max="5395" width="41.19921875" style="24" customWidth="1"/>
    <col min="5396" max="5396" width="14.19921875" style="24" customWidth="1"/>
    <col min="5397" max="5397" width="48.69921875" style="24" customWidth="1"/>
    <col min="5398" max="5632" width="9" style="24"/>
    <col min="5633" max="5633" width="5" style="24" customWidth="1"/>
    <col min="5634" max="5634" width="20.09765625" style="24" customWidth="1"/>
    <col min="5635" max="5635" width="6.19921875" style="24" customWidth="1"/>
    <col min="5636" max="5640" width="11.8984375" style="24" customWidth="1"/>
    <col min="5641" max="5641" width="13" style="24" customWidth="1"/>
    <col min="5642" max="5642" width="15.19921875" style="24" customWidth="1"/>
    <col min="5643" max="5643" width="13.8984375" style="24" customWidth="1"/>
    <col min="5644" max="5644" width="12.5" style="24" bestFit="1" customWidth="1"/>
    <col min="5645" max="5645" width="15" style="24" bestFit="1" customWidth="1"/>
    <col min="5646" max="5646" width="16.09765625" style="24" customWidth="1"/>
    <col min="5647" max="5647" width="9.59765625" style="24" customWidth="1"/>
    <col min="5648" max="5648" width="0" style="24" hidden="1" customWidth="1"/>
    <col min="5649" max="5649" width="10" style="24" customWidth="1"/>
    <col min="5650" max="5650" width="14.19921875" style="24" customWidth="1"/>
    <col min="5651" max="5651" width="41.19921875" style="24" customWidth="1"/>
    <col min="5652" max="5652" width="14.19921875" style="24" customWidth="1"/>
    <col min="5653" max="5653" width="48.69921875" style="24" customWidth="1"/>
    <col min="5654" max="5888" width="9" style="24"/>
    <col min="5889" max="5889" width="5" style="24" customWidth="1"/>
    <col min="5890" max="5890" width="20.09765625" style="24" customWidth="1"/>
    <col min="5891" max="5891" width="6.19921875" style="24" customWidth="1"/>
    <col min="5892" max="5896" width="11.8984375" style="24" customWidth="1"/>
    <col min="5897" max="5897" width="13" style="24" customWidth="1"/>
    <col min="5898" max="5898" width="15.19921875" style="24" customWidth="1"/>
    <col min="5899" max="5899" width="13.8984375" style="24" customWidth="1"/>
    <col min="5900" max="5900" width="12.5" style="24" bestFit="1" customWidth="1"/>
    <col min="5901" max="5901" width="15" style="24" bestFit="1" customWidth="1"/>
    <col min="5902" max="5902" width="16.09765625" style="24" customWidth="1"/>
    <col min="5903" max="5903" width="9.59765625" style="24" customWidth="1"/>
    <col min="5904" max="5904" width="0" style="24" hidden="1" customWidth="1"/>
    <col min="5905" max="5905" width="10" style="24" customWidth="1"/>
    <col min="5906" max="5906" width="14.19921875" style="24" customWidth="1"/>
    <col min="5907" max="5907" width="41.19921875" style="24" customWidth="1"/>
    <col min="5908" max="5908" width="14.19921875" style="24" customWidth="1"/>
    <col min="5909" max="5909" width="48.69921875" style="24" customWidth="1"/>
    <col min="5910" max="6144" width="9" style="24"/>
    <col min="6145" max="6145" width="5" style="24" customWidth="1"/>
    <col min="6146" max="6146" width="20.09765625" style="24" customWidth="1"/>
    <col min="6147" max="6147" width="6.19921875" style="24" customWidth="1"/>
    <col min="6148" max="6152" width="11.8984375" style="24" customWidth="1"/>
    <col min="6153" max="6153" width="13" style="24" customWidth="1"/>
    <col min="6154" max="6154" width="15.19921875" style="24" customWidth="1"/>
    <col min="6155" max="6155" width="13.8984375" style="24" customWidth="1"/>
    <col min="6156" max="6156" width="12.5" style="24" bestFit="1" customWidth="1"/>
    <col min="6157" max="6157" width="15" style="24" bestFit="1" customWidth="1"/>
    <col min="6158" max="6158" width="16.09765625" style="24" customWidth="1"/>
    <col min="6159" max="6159" width="9.59765625" style="24" customWidth="1"/>
    <col min="6160" max="6160" width="0" style="24" hidden="1" customWidth="1"/>
    <col min="6161" max="6161" width="10" style="24" customWidth="1"/>
    <col min="6162" max="6162" width="14.19921875" style="24" customWidth="1"/>
    <col min="6163" max="6163" width="41.19921875" style="24" customWidth="1"/>
    <col min="6164" max="6164" width="14.19921875" style="24" customWidth="1"/>
    <col min="6165" max="6165" width="48.69921875" style="24" customWidth="1"/>
    <col min="6166" max="6400" width="9" style="24"/>
    <col min="6401" max="6401" width="5" style="24" customWidth="1"/>
    <col min="6402" max="6402" width="20.09765625" style="24" customWidth="1"/>
    <col min="6403" max="6403" width="6.19921875" style="24" customWidth="1"/>
    <col min="6404" max="6408" width="11.8984375" style="24" customWidth="1"/>
    <col min="6409" max="6409" width="13" style="24" customWidth="1"/>
    <col min="6410" max="6410" width="15.19921875" style="24" customWidth="1"/>
    <col min="6411" max="6411" width="13.8984375" style="24" customWidth="1"/>
    <col min="6412" max="6412" width="12.5" style="24" bestFit="1" customWidth="1"/>
    <col min="6413" max="6413" width="15" style="24" bestFit="1" customWidth="1"/>
    <col min="6414" max="6414" width="16.09765625" style="24" customWidth="1"/>
    <col min="6415" max="6415" width="9.59765625" style="24" customWidth="1"/>
    <col min="6416" max="6416" width="0" style="24" hidden="1" customWidth="1"/>
    <col min="6417" max="6417" width="10" style="24" customWidth="1"/>
    <col min="6418" max="6418" width="14.19921875" style="24" customWidth="1"/>
    <col min="6419" max="6419" width="41.19921875" style="24" customWidth="1"/>
    <col min="6420" max="6420" width="14.19921875" style="24" customWidth="1"/>
    <col min="6421" max="6421" width="48.69921875" style="24" customWidth="1"/>
    <col min="6422" max="6656" width="9" style="24"/>
    <col min="6657" max="6657" width="5" style="24" customWidth="1"/>
    <col min="6658" max="6658" width="20.09765625" style="24" customWidth="1"/>
    <col min="6659" max="6659" width="6.19921875" style="24" customWidth="1"/>
    <col min="6660" max="6664" width="11.8984375" style="24" customWidth="1"/>
    <col min="6665" max="6665" width="13" style="24" customWidth="1"/>
    <col min="6666" max="6666" width="15.19921875" style="24" customWidth="1"/>
    <col min="6667" max="6667" width="13.8984375" style="24" customWidth="1"/>
    <col min="6668" max="6668" width="12.5" style="24" bestFit="1" customWidth="1"/>
    <col min="6669" max="6669" width="15" style="24" bestFit="1" customWidth="1"/>
    <col min="6670" max="6670" width="16.09765625" style="24" customWidth="1"/>
    <col min="6671" max="6671" width="9.59765625" style="24" customWidth="1"/>
    <col min="6672" max="6672" width="0" style="24" hidden="1" customWidth="1"/>
    <col min="6673" max="6673" width="10" style="24" customWidth="1"/>
    <col min="6674" max="6674" width="14.19921875" style="24" customWidth="1"/>
    <col min="6675" max="6675" width="41.19921875" style="24" customWidth="1"/>
    <col min="6676" max="6676" width="14.19921875" style="24" customWidth="1"/>
    <col min="6677" max="6677" width="48.69921875" style="24" customWidth="1"/>
    <col min="6678" max="6912" width="9" style="24"/>
    <col min="6913" max="6913" width="5" style="24" customWidth="1"/>
    <col min="6914" max="6914" width="20.09765625" style="24" customWidth="1"/>
    <col min="6915" max="6915" width="6.19921875" style="24" customWidth="1"/>
    <col min="6916" max="6920" width="11.8984375" style="24" customWidth="1"/>
    <col min="6921" max="6921" width="13" style="24" customWidth="1"/>
    <col min="6922" max="6922" width="15.19921875" style="24" customWidth="1"/>
    <col min="6923" max="6923" width="13.8984375" style="24" customWidth="1"/>
    <col min="6924" max="6924" width="12.5" style="24" bestFit="1" customWidth="1"/>
    <col min="6925" max="6925" width="15" style="24" bestFit="1" customWidth="1"/>
    <col min="6926" max="6926" width="16.09765625" style="24" customWidth="1"/>
    <col min="6927" max="6927" width="9.59765625" style="24" customWidth="1"/>
    <col min="6928" max="6928" width="0" style="24" hidden="1" customWidth="1"/>
    <col min="6929" max="6929" width="10" style="24" customWidth="1"/>
    <col min="6930" max="6930" width="14.19921875" style="24" customWidth="1"/>
    <col min="6931" max="6931" width="41.19921875" style="24" customWidth="1"/>
    <col min="6932" max="6932" width="14.19921875" style="24" customWidth="1"/>
    <col min="6933" max="6933" width="48.69921875" style="24" customWidth="1"/>
    <col min="6934" max="7168" width="9" style="24"/>
    <col min="7169" max="7169" width="5" style="24" customWidth="1"/>
    <col min="7170" max="7170" width="20.09765625" style="24" customWidth="1"/>
    <col min="7171" max="7171" width="6.19921875" style="24" customWidth="1"/>
    <col min="7172" max="7176" width="11.8984375" style="24" customWidth="1"/>
    <col min="7177" max="7177" width="13" style="24" customWidth="1"/>
    <col min="7178" max="7178" width="15.19921875" style="24" customWidth="1"/>
    <col min="7179" max="7179" width="13.8984375" style="24" customWidth="1"/>
    <col min="7180" max="7180" width="12.5" style="24" bestFit="1" customWidth="1"/>
    <col min="7181" max="7181" width="15" style="24" bestFit="1" customWidth="1"/>
    <col min="7182" max="7182" width="16.09765625" style="24" customWidth="1"/>
    <col min="7183" max="7183" width="9.59765625" style="24" customWidth="1"/>
    <col min="7184" max="7184" width="0" style="24" hidden="1" customWidth="1"/>
    <col min="7185" max="7185" width="10" style="24" customWidth="1"/>
    <col min="7186" max="7186" width="14.19921875" style="24" customWidth="1"/>
    <col min="7187" max="7187" width="41.19921875" style="24" customWidth="1"/>
    <col min="7188" max="7188" width="14.19921875" style="24" customWidth="1"/>
    <col min="7189" max="7189" width="48.69921875" style="24" customWidth="1"/>
    <col min="7190" max="7424" width="9" style="24"/>
    <col min="7425" max="7425" width="5" style="24" customWidth="1"/>
    <col min="7426" max="7426" width="20.09765625" style="24" customWidth="1"/>
    <col min="7427" max="7427" width="6.19921875" style="24" customWidth="1"/>
    <col min="7428" max="7432" width="11.8984375" style="24" customWidth="1"/>
    <col min="7433" max="7433" width="13" style="24" customWidth="1"/>
    <col min="7434" max="7434" width="15.19921875" style="24" customWidth="1"/>
    <col min="7435" max="7435" width="13.8984375" style="24" customWidth="1"/>
    <col min="7436" max="7436" width="12.5" style="24" bestFit="1" customWidth="1"/>
    <col min="7437" max="7437" width="15" style="24" bestFit="1" customWidth="1"/>
    <col min="7438" max="7438" width="16.09765625" style="24" customWidth="1"/>
    <col min="7439" max="7439" width="9.59765625" style="24" customWidth="1"/>
    <col min="7440" max="7440" width="0" style="24" hidden="1" customWidth="1"/>
    <col min="7441" max="7441" width="10" style="24" customWidth="1"/>
    <col min="7442" max="7442" width="14.19921875" style="24" customWidth="1"/>
    <col min="7443" max="7443" width="41.19921875" style="24" customWidth="1"/>
    <col min="7444" max="7444" width="14.19921875" style="24" customWidth="1"/>
    <col min="7445" max="7445" width="48.69921875" style="24" customWidth="1"/>
    <col min="7446" max="7680" width="9" style="24"/>
    <col min="7681" max="7681" width="5" style="24" customWidth="1"/>
    <col min="7682" max="7682" width="20.09765625" style="24" customWidth="1"/>
    <col min="7683" max="7683" width="6.19921875" style="24" customWidth="1"/>
    <col min="7684" max="7688" width="11.8984375" style="24" customWidth="1"/>
    <col min="7689" max="7689" width="13" style="24" customWidth="1"/>
    <col min="7690" max="7690" width="15.19921875" style="24" customWidth="1"/>
    <col min="7691" max="7691" width="13.8984375" style="24" customWidth="1"/>
    <col min="7692" max="7692" width="12.5" style="24" bestFit="1" customWidth="1"/>
    <col min="7693" max="7693" width="15" style="24" bestFit="1" customWidth="1"/>
    <col min="7694" max="7694" width="16.09765625" style="24" customWidth="1"/>
    <col min="7695" max="7695" width="9.59765625" style="24" customWidth="1"/>
    <col min="7696" max="7696" width="0" style="24" hidden="1" customWidth="1"/>
    <col min="7697" max="7697" width="10" style="24" customWidth="1"/>
    <col min="7698" max="7698" width="14.19921875" style="24" customWidth="1"/>
    <col min="7699" max="7699" width="41.19921875" style="24" customWidth="1"/>
    <col min="7700" max="7700" width="14.19921875" style="24" customWidth="1"/>
    <col min="7701" max="7701" width="48.69921875" style="24" customWidth="1"/>
    <col min="7702" max="7936" width="9" style="24"/>
    <col min="7937" max="7937" width="5" style="24" customWidth="1"/>
    <col min="7938" max="7938" width="20.09765625" style="24" customWidth="1"/>
    <col min="7939" max="7939" width="6.19921875" style="24" customWidth="1"/>
    <col min="7940" max="7944" width="11.8984375" style="24" customWidth="1"/>
    <col min="7945" max="7945" width="13" style="24" customWidth="1"/>
    <col min="7946" max="7946" width="15.19921875" style="24" customWidth="1"/>
    <col min="7947" max="7947" width="13.8984375" style="24" customWidth="1"/>
    <col min="7948" max="7948" width="12.5" style="24" bestFit="1" customWidth="1"/>
    <col min="7949" max="7949" width="15" style="24" bestFit="1" customWidth="1"/>
    <col min="7950" max="7950" width="16.09765625" style="24" customWidth="1"/>
    <col min="7951" max="7951" width="9.59765625" style="24" customWidth="1"/>
    <col min="7952" max="7952" width="0" style="24" hidden="1" customWidth="1"/>
    <col min="7953" max="7953" width="10" style="24" customWidth="1"/>
    <col min="7954" max="7954" width="14.19921875" style="24" customWidth="1"/>
    <col min="7955" max="7955" width="41.19921875" style="24" customWidth="1"/>
    <col min="7956" max="7956" width="14.19921875" style="24" customWidth="1"/>
    <col min="7957" max="7957" width="48.69921875" style="24" customWidth="1"/>
    <col min="7958" max="8192" width="9" style="24"/>
    <col min="8193" max="8193" width="5" style="24" customWidth="1"/>
    <col min="8194" max="8194" width="20.09765625" style="24" customWidth="1"/>
    <col min="8195" max="8195" width="6.19921875" style="24" customWidth="1"/>
    <col min="8196" max="8200" width="11.8984375" style="24" customWidth="1"/>
    <col min="8201" max="8201" width="13" style="24" customWidth="1"/>
    <col min="8202" max="8202" width="15.19921875" style="24" customWidth="1"/>
    <col min="8203" max="8203" width="13.8984375" style="24" customWidth="1"/>
    <col min="8204" max="8204" width="12.5" style="24" bestFit="1" customWidth="1"/>
    <col min="8205" max="8205" width="15" style="24" bestFit="1" customWidth="1"/>
    <col min="8206" max="8206" width="16.09765625" style="24" customWidth="1"/>
    <col min="8207" max="8207" width="9.59765625" style="24" customWidth="1"/>
    <col min="8208" max="8208" width="0" style="24" hidden="1" customWidth="1"/>
    <col min="8209" max="8209" width="10" style="24" customWidth="1"/>
    <col min="8210" max="8210" width="14.19921875" style="24" customWidth="1"/>
    <col min="8211" max="8211" width="41.19921875" style="24" customWidth="1"/>
    <col min="8212" max="8212" width="14.19921875" style="24" customWidth="1"/>
    <col min="8213" max="8213" width="48.69921875" style="24" customWidth="1"/>
    <col min="8214" max="8448" width="9" style="24"/>
    <col min="8449" max="8449" width="5" style="24" customWidth="1"/>
    <col min="8450" max="8450" width="20.09765625" style="24" customWidth="1"/>
    <col min="8451" max="8451" width="6.19921875" style="24" customWidth="1"/>
    <col min="8452" max="8456" width="11.8984375" style="24" customWidth="1"/>
    <col min="8457" max="8457" width="13" style="24" customWidth="1"/>
    <col min="8458" max="8458" width="15.19921875" style="24" customWidth="1"/>
    <col min="8459" max="8459" width="13.8984375" style="24" customWidth="1"/>
    <col min="8460" max="8460" width="12.5" style="24" bestFit="1" customWidth="1"/>
    <col min="8461" max="8461" width="15" style="24" bestFit="1" customWidth="1"/>
    <col min="8462" max="8462" width="16.09765625" style="24" customWidth="1"/>
    <col min="8463" max="8463" width="9.59765625" style="24" customWidth="1"/>
    <col min="8464" max="8464" width="0" style="24" hidden="1" customWidth="1"/>
    <col min="8465" max="8465" width="10" style="24" customWidth="1"/>
    <col min="8466" max="8466" width="14.19921875" style="24" customWidth="1"/>
    <col min="8467" max="8467" width="41.19921875" style="24" customWidth="1"/>
    <col min="8468" max="8468" width="14.19921875" style="24" customWidth="1"/>
    <col min="8469" max="8469" width="48.69921875" style="24" customWidth="1"/>
    <col min="8470" max="8704" width="9" style="24"/>
    <col min="8705" max="8705" width="5" style="24" customWidth="1"/>
    <col min="8706" max="8706" width="20.09765625" style="24" customWidth="1"/>
    <col min="8707" max="8707" width="6.19921875" style="24" customWidth="1"/>
    <col min="8708" max="8712" width="11.8984375" style="24" customWidth="1"/>
    <col min="8713" max="8713" width="13" style="24" customWidth="1"/>
    <col min="8714" max="8714" width="15.19921875" style="24" customWidth="1"/>
    <col min="8715" max="8715" width="13.8984375" style="24" customWidth="1"/>
    <col min="8716" max="8716" width="12.5" style="24" bestFit="1" customWidth="1"/>
    <col min="8717" max="8717" width="15" style="24" bestFit="1" customWidth="1"/>
    <col min="8718" max="8718" width="16.09765625" style="24" customWidth="1"/>
    <col min="8719" max="8719" width="9.59765625" style="24" customWidth="1"/>
    <col min="8720" max="8720" width="0" style="24" hidden="1" customWidth="1"/>
    <col min="8721" max="8721" width="10" style="24" customWidth="1"/>
    <col min="8722" max="8722" width="14.19921875" style="24" customWidth="1"/>
    <col min="8723" max="8723" width="41.19921875" style="24" customWidth="1"/>
    <col min="8724" max="8724" width="14.19921875" style="24" customWidth="1"/>
    <col min="8725" max="8725" width="48.69921875" style="24" customWidth="1"/>
    <col min="8726" max="8960" width="9" style="24"/>
    <col min="8961" max="8961" width="5" style="24" customWidth="1"/>
    <col min="8962" max="8962" width="20.09765625" style="24" customWidth="1"/>
    <col min="8963" max="8963" width="6.19921875" style="24" customWidth="1"/>
    <col min="8964" max="8968" width="11.8984375" style="24" customWidth="1"/>
    <col min="8969" max="8969" width="13" style="24" customWidth="1"/>
    <col min="8970" max="8970" width="15.19921875" style="24" customWidth="1"/>
    <col min="8971" max="8971" width="13.8984375" style="24" customWidth="1"/>
    <col min="8972" max="8972" width="12.5" style="24" bestFit="1" customWidth="1"/>
    <col min="8973" max="8973" width="15" style="24" bestFit="1" customWidth="1"/>
    <col min="8974" max="8974" width="16.09765625" style="24" customWidth="1"/>
    <col min="8975" max="8975" width="9.59765625" style="24" customWidth="1"/>
    <col min="8976" max="8976" width="0" style="24" hidden="1" customWidth="1"/>
    <col min="8977" max="8977" width="10" style="24" customWidth="1"/>
    <col min="8978" max="8978" width="14.19921875" style="24" customWidth="1"/>
    <col min="8979" max="8979" width="41.19921875" style="24" customWidth="1"/>
    <col min="8980" max="8980" width="14.19921875" style="24" customWidth="1"/>
    <col min="8981" max="8981" width="48.69921875" style="24" customWidth="1"/>
    <col min="8982" max="9216" width="9" style="24"/>
    <col min="9217" max="9217" width="5" style="24" customWidth="1"/>
    <col min="9218" max="9218" width="20.09765625" style="24" customWidth="1"/>
    <col min="9219" max="9219" width="6.19921875" style="24" customWidth="1"/>
    <col min="9220" max="9224" width="11.8984375" style="24" customWidth="1"/>
    <col min="9225" max="9225" width="13" style="24" customWidth="1"/>
    <col min="9226" max="9226" width="15.19921875" style="24" customWidth="1"/>
    <col min="9227" max="9227" width="13.8984375" style="24" customWidth="1"/>
    <col min="9228" max="9228" width="12.5" style="24" bestFit="1" customWidth="1"/>
    <col min="9229" max="9229" width="15" style="24" bestFit="1" customWidth="1"/>
    <col min="9230" max="9230" width="16.09765625" style="24" customWidth="1"/>
    <col min="9231" max="9231" width="9.59765625" style="24" customWidth="1"/>
    <col min="9232" max="9232" width="0" style="24" hidden="1" customWidth="1"/>
    <col min="9233" max="9233" width="10" style="24" customWidth="1"/>
    <col min="9234" max="9234" width="14.19921875" style="24" customWidth="1"/>
    <col min="9235" max="9235" width="41.19921875" style="24" customWidth="1"/>
    <col min="9236" max="9236" width="14.19921875" style="24" customWidth="1"/>
    <col min="9237" max="9237" width="48.69921875" style="24" customWidth="1"/>
    <col min="9238" max="9472" width="9" style="24"/>
    <col min="9473" max="9473" width="5" style="24" customWidth="1"/>
    <col min="9474" max="9474" width="20.09765625" style="24" customWidth="1"/>
    <col min="9475" max="9475" width="6.19921875" style="24" customWidth="1"/>
    <col min="9476" max="9480" width="11.8984375" style="24" customWidth="1"/>
    <col min="9481" max="9481" width="13" style="24" customWidth="1"/>
    <col min="9482" max="9482" width="15.19921875" style="24" customWidth="1"/>
    <col min="9483" max="9483" width="13.8984375" style="24" customWidth="1"/>
    <col min="9484" max="9484" width="12.5" style="24" bestFit="1" customWidth="1"/>
    <col min="9485" max="9485" width="15" style="24" bestFit="1" customWidth="1"/>
    <col min="9486" max="9486" width="16.09765625" style="24" customWidth="1"/>
    <col min="9487" max="9487" width="9.59765625" style="24" customWidth="1"/>
    <col min="9488" max="9488" width="0" style="24" hidden="1" customWidth="1"/>
    <col min="9489" max="9489" width="10" style="24" customWidth="1"/>
    <col min="9490" max="9490" width="14.19921875" style="24" customWidth="1"/>
    <col min="9491" max="9491" width="41.19921875" style="24" customWidth="1"/>
    <col min="9492" max="9492" width="14.19921875" style="24" customWidth="1"/>
    <col min="9493" max="9493" width="48.69921875" style="24" customWidth="1"/>
    <col min="9494" max="9728" width="9" style="24"/>
    <col min="9729" max="9729" width="5" style="24" customWidth="1"/>
    <col min="9730" max="9730" width="20.09765625" style="24" customWidth="1"/>
    <col min="9731" max="9731" width="6.19921875" style="24" customWidth="1"/>
    <col min="9732" max="9736" width="11.8984375" style="24" customWidth="1"/>
    <col min="9737" max="9737" width="13" style="24" customWidth="1"/>
    <col min="9738" max="9738" width="15.19921875" style="24" customWidth="1"/>
    <col min="9739" max="9739" width="13.8984375" style="24" customWidth="1"/>
    <col min="9740" max="9740" width="12.5" style="24" bestFit="1" customWidth="1"/>
    <col min="9741" max="9741" width="15" style="24" bestFit="1" customWidth="1"/>
    <col min="9742" max="9742" width="16.09765625" style="24" customWidth="1"/>
    <col min="9743" max="9743" width="9.59765625" style="24" customWidth="1"/>
    <col min="9744" max="9744" width="0" style="24" hidden="1" customWidth="1"/>
    <col min="9745" max="9745" width="10" style="24" customWidth="1"/>
    <col min="9746" max="9746" width="14.19921875" style="24" customWidth="1"/>
    <col min="9747" max="9747" width="41.19921875" style="24" customWidth="1"/>
    <col min="9748" max="9748" width="14.19921875" style="24" customWidth="1"/>
    <col min="9749" max="9749" width="48.69921875" style="24" customWidth="1"/>
    <col min="9750" max="9984" width="9" style="24"/>
    <col min="9985" max="9985" width="5" style="24" customWidth="1"/>
    <col min="9986" max="9986" width="20.09765625" style="24" customWidth="1"/>
    <col min="9987" max="9987" width="6.19921875" style="24" customWidth="1"/>
    <col min="9988" max="9992" width="11.8984375" style="24" customWidth="1"/>
    <col min="9993" max="9993" width="13" style="24" customWidth="1"/>
    <col min="9994" max="9994" width="15.19921875" style="24" customWidth="1"/>
    <col min="9995" max="9995" width="13.8984375" style="24" customWidth="1"/>
    <col min="9996" max="9996" width="12.5" style="24" bestFit="1" customWidth="1"/>
    <col min="9997" max="9997" width="15" style="24" bestFit="1" customWidth="1"/>
    <col min="9998" max="9998" width="16.09765625" style="24" customWidth="1"/>
    <col min="9999" max="9999" width="9.59765625" style="24" customWidth="1"/>
    <col min="10000" max="10000" width="0" style="24" hidden="1" customWidth="1"/>
    <col min="10001" max="10001" width="10" style="24" customWidth="1"/>
    <col min="10002" max="10002" width="14.19921875" style="24" customWidth="1"/>
    <col min="10003" max="10003" width="41.19921875" style="24" customWidth="1"/>
    <col min="10004" max="10004" width="14.19921875" style="24" customWidth="1"/>
    <col min="10005" max="10005" width="48.69921875" style="24" customWidth="1"/>
    <col min="10006" max="10240" width="9" style="24"/>
    <col min="10241" max="10241" width="5" style="24" customWidth="1"/>
    <col min="10242" max="10242" width="20.09765625" style="24" customWidth="1"/>
    <col min="10243" max="10243" width="6.19921875" style="24" customWidth="1"/>
    <col min="10244" max="10248" width="11.8984375" style="24" customWidth="1"/>
    <col min="10249" max="10249" width="13" style="24" customWidth="1"/>
    <col min="10250" max="10250" width="15.19921875" style="24" customWidth="1"/>
    <col min="10251" max="10251" width="13.8984375" style="24" customWidth="1"/>
    <col min="10252" max="10252" width="12.5" style="24" bestFit="1" customWidth="1"/>
    <col min="10253" max="10253" width="15" style="24" bestFit="1" customWidth="1"/>
    <col min="10254" max="10254" width="16.09765625" style="24" customWidth="1"/>
    <col min="10255" max="10255" width="9.59765625" style="24" customWidth="1"/>
    <col min="10256" max="10256" width="0" style="24" hidden="1" customWidth="1"/>
    <col min="10257" max="10257" width="10" style="24" customWidth="1"/>
    <col min="10258" max="10258" width="14.19921875" style="24" customWidth="1"/>
    <col min="10259" max="10259" width="41.19921875" style="24" customWidth="1"/>
    <col min="10260" max="10260" width="14.19921875" style="24" customWidth="1"/>
    <col min="10261" max="10261" width="48.69921875" style="24" customWidth="1"/>
    <col min="10262" max="10496" width="9" style="24"/>
    <col min="10497" max="10497" width="5" style="24" customWidth="1"/>
    <col min="10498" max="10498" width="20.09765625" style="24" customWidth="1"/>
    <col min="10499" max="10499" width="6.19921875" style="24" customWidth="1"/>
    <col min="10500" max="10504" width="11.8984375" style="24" customWidth="1"/>
    <col min="10505" max="10505" width="13" style="24" customWidth="1"/>
    <col min="10506" max="10506" width="15.19921875" style="24" customWidth="1"/>
    <col min="10507" max="10507" width="13.8984375" style="24" customWidth="1"/>
    <col min="10508" max="10508" width="12.5" style="24" bestFit="1" customWidth="1"/>
    <col min="10509" max="10509" width="15" style="24" bestFit="1" customWidth="1"/>
    <col min="10510" max="10510" width="16.09765625" style="24" customWidth="1"/>
    <col min="10511" max="10511" width="9.59765625" style="24" customWidth="1"/>
    <col min="10512" max="10512" width="0" style="24" hidden="1" customWidth="1"/>
    <col min="10513" max="10513" width="10" style="24" customWidth="1"/>
    <col min="10514" max="10514" width="14.19921875" style="24" customWidth="1"/>
    <col min="10515" max="10515" width="41.19921875" style="24" customWidth="1"/>
    <col min="10516" max="10516" width="14.19921875" style="24" customWidth="1"/>
    <col min="10517" max="10517" width="48.69921875" style="24" customWidth="1"/>
    <col min="10518" max="10752" width="9" style="24"/>
    <col min="10753" max="10753" width="5" style="24" customWidth="1"/>
    <col min="10754" max="10754" width="20.09765625" style="24" customWidth="1"/>
    <col min="10755" max="10755" width="6.19921875" style="24" customWidth="1"/>
    <col min="10756" max="10760" width="11.8984375" style="24" customWidth="1"/>
    <col min="10761" max="10761" width="13" style="24" customWidth="1"/>
    <col min="10762" max="10762" width="15.19921875" style="24" customWidth="1"/>
    <col min="10763" max="10763" width="13.8984375" style="24" customWidth="1"/>
    <col min="10764" max="10764" width="12.5" style="24" bestFit="1" customWidth="1"/>
    <col min="10765" max="10765" width="15" style="24" bestFit="1" customWidth="1"/>
    <col min="10766" max="10766" width="16.09765625" style="24" customWidth="1"/>
    <col min="10767" max="10767" width="9.59765625" style="24" customWidth="1"/>
    <col min="10768" max="10768" width="0" style="24" hidden="1" customWidth="1"/>
    <col min="10769" max="10769" width="10" style="24" customWidth="1"/>
    <col min="10770" max="10770" width="14.19921875" style="24" customWidth="1"/>
    <col min="10771" max="10771" width="41.19921875" style="24" customWidth="1"/>
    <col min="10772" max="10772" width="14.19921875" style="24" customWidth="1"/>
    <col min="10773" max="10773" width="48.69921875" style="24" customWidth="1"/>
    <col min="10774" max="11008" width="9" style="24"/>
    <col min="11009" max="11009" width="5" style="24" customWidth="1"/>
    <col min="11010" max="11010" width="20.09765625" style="24" customWidth="1"/>
    <col min="11011" max="11011" width="6.19921875" style="24" customWidth="1"/>
    <col min="11012" max="11016" width="11.8984375" style="24" customWidth="1"/>
    <col min="11017" max="11017" width="13" style="24" customWidth="1"/>
    <col min="11018" max="11018" width="15.19921875" style="24" customWidth="1"/>
    <col min="11019" max="11019" width="13.8984375" style="24" customWidth="1"/>
    <col min="11020" max="11020" width="12.5" style="24" bestFit="1" customWidth="1"/>
    <col min="11021" max="11021" width="15" style="24" bestFit="1" customWidth="1"/>
    <col min="11022" max="11022" width="16.09765625" style="24" customWidth="1"/>
    <col min="11023" max="11023" width="9.59765625" style="24" customWidth="1"/>
    <col min="11024" max="11024" width="0" style="24" hidden="1" customWidth="1"/>
    <col min="11025" max="11025" width="10" style="24" customWidth="1"/>
    <col min="11026" max="11026" width="14.19921875" style="24" customWidth="1"/>
    <col min="11027" max="11027" width="41.19921875" style="24" customWidth="1"/>
    <col min="11028" max="11028" width="14.19921875" style="24" customWidth="1"/>
    <col min="11029" max="11029" width="48.69921875" style="24" customWidth="1"/>
    <col min="11030" max="11264" width="9" style="24"/>
    <col min="11265" max="11265" width="5" style="24" customWidth="1"/>
    <col min="11266" max="11266" width="20.09765625" style="24" customWidth="1"/>
    <col min="11267" max="11267" width="6.19921875" style="24" customWidth="1"/>
    <col min="11268" max="11272" width="11.8984375" style="24" customWidth="1"/>
    <col min="11273" max="11273" width="13" style="24" customWidth="1"/>
    <col min="11274" max="11274" width="15.19921875" style="24" customWidth="1"/>
    <col min="11275" max="11275" width="13.8984375" style="24" customWidth="1"/>
    <col min="11276" max="11276" width="12.5" style="24" bestFit="1" customWidth="1"/>
    <col min="11277" max="11277" width="15" style="24" bestFit="1" customWidth="1"/>
    <col min="11278" max="11278" width="16.09765625" style="24" customWidth="1"/>
    <col min="11279" max="11279" width="9.59765625" style="24" customWidth="1"/>
    <col min="11280" max="11280" width="0" style="24" hidden="1" customWidth="1"/>
    <col min="11281" max="11281" width="10" style="24" customWidth="1"/>
    <col min="11282" max="11282" width="14.19921875" style="24" customWidth="1"/>
    <col min="11283" max="11283" width="41.19921875" style="24" customWidth="1"/>
    <col min="11284" max="11284" width="14.19921875" style="24" customWidth="1"/>
    <col min="11285" max="11285" width="48.69921875" style="24" customWidth="1"/>
    <col min="11286" max="11520" width="9" style="24"/>
    <col min="11521" max="11521" width="5" style="24" customWidth="1"/>
    <col min="11522" max="11522" width="20.09765625" style="24" customWidth="1"/>
    <col min="11523" max="11523" width="6.19921875" style="24" customWidth="1"/>
    <col min="11524" max="11528" width="11.8984375" style="24" customWidth="1"/>
    <col min="11529" max="11529" width="13" style="24" customWidth="1"/>
    <col min="11530" max="11530" width="15.19921875" style="24" customWidth="1"/>
    <col min="11531" max="11531" width="13.8984375" style="24" customWidth="1"/>
    <col min="11532" max="11532" width="12.5" style="24" bestFit="1" customWidth="1"/>
    <col min="11533" max="11533" width="15" style="24" bestFit="1" customWidth="1"/>
    <col min="11534" max="11534" width="16.09765625" style="24" customWidth="1"/>
    <col min="11535" max="11535" width="9.59765625" style="24" customWidth="1"/>
    <col min="11536" max="11536" width="0" style="24" hidden="1" customWidth="1"/>
    <col min="11537" max="11537" width="10" style="24" customWidth="1"/>
    <col min="11538" max="11538" width="14.19921875" style="24" customWidth="1"/>
    <col min="11539" max="11539" width="41.19921875" style="24" customWidth="1"/>
    <col min="11540" max="11540" width="14.19921875" style="24" customWidth="1"/>
    <col min="11541" max="11541" width="48.69921875" style="24" customWidth="1"/>
    <col min="11542" max="11776" width="9" style="24"/>
    <col min="11777" max="11777" width="5" style="24" customWidth="1"/>
    <col min="11778" max="11778" width="20.09765625" style="24" customWidth="1"/>
    <col min="11779" max="11779" width="6.19921875" style="24" customWidth="1"/>
    <col min="11780" max="11784" width="11.8984375" style="24" customWidth="1"/>
    <col min="11785" max="11785" width="13" style="24" customWidth="1"/>
    <col min="11786" max="11786" width="15.19921875" style="24" customWidth="1"/>
    <col min="11787" max="11787" width="13.8984375" style="24" customWidth="1"/>
    <col min="11788" max="11788" width="12.5" style="24" bestFit="1" customWidth="1"/>
    <col min="11789" max="11789" width="15" style="24" bestFit="1" customWidth="1"/>
    <col min="11790" max="11790" width="16.09765625" style="24" customWidth="1"/>
    <col min="11791" max="11791" width="9.59765625" style="24" customWidth="1"/>
    <col min="11792" max="11792" width="0" style="24" hidden="1" customWidth="1"/>
    <col min="11793" max="11793" width="10" style="24" customWidth="1"/>
    <col min="11794" max="11794" width="14.19921875" style="24" customWidth="1"/>
    <col min="11795" max="11795" width="41.19921875" style="24" customWidth="1"/>
    <col min="11796" max="11796" width="14.19921875" style="24" customWidth="1"/>
    <col min="11797" max="11797" width="48.69921875" style="24" customWidth="1"/>
    <col min="11798" max="12032" width="9" style="24"/>
    <col min="12033" max="12033" width="5" style="24" customWidth="1"/>
    <col min="12034" max="12034" width="20.09765625" style="24" customWidth="1"/>
    <col min="12035" max="12035" width="6.19921875" style="24" customWidth="1"/>
    <col min="12036" max="12040" width="11.8984375" style="24" customWidth="1"/>
    <col min="12041" max="12041" width="13" style="24" customWidth="1"/>
    <col min="12042" max="12042" width="15.19921875" style="24" customWidth="1"/>
    <col min="12043" max="12043" width="13.8984375" style="24" customWidth="1"/>
    <col min="12044" max="12044" width="12.5" style="24" bestFit="1" customWidth="1"/>
    <col min="12045" max="12045" width="15" style="24" bestFit="1" customWidth="1"/>
    <col min="12046" max="12046" width="16.09765625" style="24" customWidth="1"/>
    <col min="12047" max="12047" width="9.59765625" style="24" customWidth="1"/>
    <col min="12048" max="12048" width="0" style="24" hidden="1" customWidth="1"/>
    <col min="12049" max="12049" width="10" style="24" customWidth="1"/>
    <col min="12050" max="12050" width="14.19921875" style="24" customWidth="1"/>
    <col min="12051" max="12051" width="41.19921875" style="24" customWidth="1"/>
    <col min="12052" max="12052" width="14.19921875" style="24" customWidth="1"/>
    <col min="12053" max="12053" width="48.69921875" style="24" customWidth="1"/>
    <col min="12054" max="12288" width="9" style="24"/>
    <col min="12289" max="12289" width="5" style="24" customWidth="1"/>
    <col min="12290" max="12290" width="20.09765625" style="24" customWidth="1"/>
    <col min="12291" max="12291" width="6.19921875" style="24" customWidth="1"/>
    <col min="12292" max="12296" width="11.8984375" style="24" customWidth="1"/>
    <col min="12297" max="12297" width="13" style="24" customWidth="1"/>
    <col min="12298" max="12298" width="15.19921875" style="24" customWidth="1"/>
    <col min="12299" max="12299" width="13.8984375" style="24" customWidth="1"/>
    <col min="12300" max="12300" width="12.5" style="24" bestFit="1" customWidth="1"/>
    <col min="12301" max="12301" width="15" style="24" bestFit="1" customWidth="1"/>
    <col min="12302" max="12302" width="16.09765625" style="24" customWidth="1"/>
    <col min="12303" max="12303" width="9.59765625" style="24" customWidth="1"/>
    <col min="12304" max="12304" width="0" style="24" hidden="1" customWidth="1"/>
    <col min="12305" max="12305" width="10" style="24" customWidth="1"/>
    <col min="12306" max="12306" width="14.19921875" style="24" customWidth="1"/>
    <col min="12307" max="12307" width="41.19921875" style="24" customWidth="1"/>
    <col min="12308" max="12308" width="14.19921875" style="24" customWidth="1"/>
    <col min="12309" max="12309" width="48.69921875" style="24" customWidth="1"/>
    <col min="12310" max="12544" width="9" style="24"/>
    <col min="12545" max="12545" width="5" style="24" customWidth="1"/>
    <col min="12546" max="12546" width="20.09765625" style="24" customWidth="1"/>
    <col min="12547" max="12547" width="6.19921875" style="24" customWidth="1"/>
    <col min="12548" max="12552" width="11.8984375" style="24" customWidth="1"/>
    <col min="12553" max="12553" width="13" style="24" customWidth="1"/>
    <col min="12554" max="12554" width="15.19921875" style="24" customWidth="1"/>
    <col min="12555" max="12555" width="13.8984375" style="24" customWidth="1"/>
    <col min="12556" max="12556" width="12.5" style="24" bestFit="1" customWidth="1"/>
    <col min="12557" max="12557" width="15" style="24" bestFit="1" customWidth="1"/>
    <col min="12558" max="12558" width="16.09765625" style="24" customWidth="1"/>
    <col min="12559" max="12559" width="9.59765625" style="24" customWidth="1"/>
    <col min="12560" max="12560" width="0" style="24" hidden="1" customWidth="1"/>
    <col min="12561" max="12561" width="10" style="24" customWidth="1"/>
    <col min="12562" max="12562" width="14.19921875" style="24" customWidth="1"/>
    <col min="12563" max="12563" width="41.19921875" style="24" customWidth="1"/>
    <col min="12564" max="12564" width="14.19921875" style="24" customWidth="1"/>
    <col min="12565" max="12565" width="48.69921875" style="24" customWidth="1"/>
    <col min="12566" max="12800" width="9" style="24"/>
    <col min="12801" max="12801" width="5" style="24" customWidth="1"/>
    <col min="12802" max="12802" width="20.09765625" style="24" customWidth="1"/>
    <col min="12803" max="12803" width="6.19921875" style="24" customWidth="1"/>
    <col min="12804" max="12808" width="11.8984375" style="24" customWidth="1"/>
    <col min="12809" max="12809" width="13" style="24" customWidth="1"/>
    <col min="12810" max="12810" width="15.19921875" style="24" customWidth="1"/>
    <col min="12811" max="12811" width="13.8984375" style="24" customWidth="1"/>
    <col min="12812" max="12812" width="12.5" style="24" bestFit="1" customWidth="1"/>
    <col min="12813" max="12813" width="15" style="24" bestFit="1" customWidth="1"/>
    <col min="12814" max="12814" width="16.09765625" style="24" customWidth="1"/>
    <col min="12815" max="12815" width="9.59765625" style="24" customWidth="1"/>
    <col min="12816" max="12816" width="0" style="24" hidden="1" customWidth="1"/>
    <col min="12817" max="12817" width="10" style="24" customWidth="1"/>
    <col min="12818" max="12818" width="14.19921875" style="24" customWidth="1"/>
    <col min="12819" max="12819" width="41.19921875" style="24" customWidth="1"/>
    <col min="12820" max="12820" width="14.19921875" style="24" customWidth="1"/>
    <col min="12821" max="12821" width="48.69921875" style="24" customWidth="1"/>
    <col min="12822" max="13056" width="9" style="24"/>
    <col min="13057" max="13057" width="5" style="24" customWidth="1"/>
    <col min="13058" max="13058" width="20.09765625" style="24" customWidth="1"/>
    <col min="13059" max="13059" width="6.19921875" style="24" customWidth="1"/>
    <col min="13060" max="13064" width="11.8984375" style="24" customWidth="1"/>
    <col min="13065" max="13065" width="13" style="24" customWidth="1"/>
    <col min="13066" max="13066" width="15.19921875" style="24" customWidth="1"/>
    <col min="13067" max="13067" width="13.8984375" style="24" customWidth="1"/>
    <col min="13068" max="13068" width="12.5" style="24" bestFit="1" customWidth="1"/>
    <col min="13069" max="13069" width="15" style="24" bestFit="1" customWidth="1"/>
    <col min="13070" max="13070" width="16.09765625" style="24" customWidth="1"/>
    <col min="13071" max="13071" width="9.59765625" style="24" customWidth="1"/>
    <col min="13072" max="13072" width="0" style="24" hidden="1" customWidth="1"/>
    <col min="13073" max="13073" width="10" style="24" customWidth="1"/>
    <col min="13074" max="13074" width="14.19921875" style="24" customWidth="1"/>
    <col min="13075" max="13075" width="41.19921875" style="24" customWidth="1"/>
    <col min="13076" max="13076" width="14.19921875" style="24" customWidth="1"/>
    <col min="13077" max="13077" width="48.69921875" style="24" customWidth="1"/>
    <col min="13078" max="13312" width="9" style="24"/>
    <col min="13313" max="13313" width="5" style="24" customWidth="1"/>
    <col min="13314" max="13314" width="20.09765625" style="24" customWidth="1"/>
    <col min="13315" max="13315" width="6.19921875" style="24" customWidth="1"/>
    <col min="13316" max="13320" width="11.8984375" style="24" customWidth="1"/>
    <col min="13321" max="13321" width="13" style="24" customWidth="1"/>
    <col min="13322" max="13322" width="15.19921875" style="24" customWidth="1"/>
    <col min="13323" max="13323" width="13.8984375" style="24" customWidth="1"/>
    <col min="13324" max="13324" width="12.5" style="24" bestFit="1" customWidth="1"/>
    <col min="13325" max="13325" width="15" style="24" bestFit="1" customWidth="1"/>
    <col min="13326" max="13326" width="16.09765625" style="24" customWidth="1"/>
    <col min="13327" max="13327" width="9.59765625" style="24" customWidth="1"/>
    <col min="13328" max="13328" width="0" style="24" hidden="1" customWidth="1"/>
    <col min="13329" max="13329" width="10" style="24" customWidth="1"/>
    <col min="13330" max="13330" width="14.19921875" style="24" customWidth="1"/>
    <col min="13331" max="13331" width="41.19921875" style="24" customWidth="1"/>
    <col min="13332" max="13332" width="14.19921875" style="24" customWidth="1"/>
    <col min="13333" max="13333" width="48.69921875" style="24" customWidth="1"/>
    <col min="13334" max="13568" width="9" style="24"/>
    <col min="13569" max="13569" width="5" style="24" customWidth="1"/>
    <col min="13570" max="13570" width="20.09765625" style="24" customWidth="1"/>
    <col min="13571" max="13571" width="6.19921875" style="24" customWidth="1"/>
    <col min="13572" max="13576" width="11.8984375" style="24" customWidth="1"/>
    <col min="13577" max="13577" width="13" style="24" customWidth="1"/>
    <col min="13578" max="13578" width="15.19921875" style="24" customWidth="1"/>
    <col min="13579" max="13579" width="13.8984375" style="24" customWidth="1"/>
    <col min="13580" max="13580" width="12.5" style="24" bestFit="1" customWidth="1"/>
    <col min="13581" max="13581" width="15" style="24" bestFit="1" customWidth="1"/>
    <col min="13582" max="13582" width="16.09765625" style="24" customWidth="1"/>
    <col min="13583" max="13583" width="9.59765625" style="24" customWidth="1"/>
    <col min="13584" max="13584" width="0" style="24" hidden="1" customWidth="1"/>
    <col min="13585" max="13585" width="10" style="24" customWidth="1"/>
    <col min="13586" max="13586" width="14.19921875" style="24" customWidth="1"/>
    <col min="13587" max="13587" width="41.19921875" style="24" customWidth="1"/>
    <col min="13588" max="13588" width="14.19921875" style="24" customWidth="1"/>
    <col min="13589" max="13589" width="48.69921875" style="24" customWidth="1"/>
    <col min="13590" max="13824" width="9" style="24"/>
    <col min="13825" max="13825" width="5" style="24" customWidth="1"/>
    <col min="13826" max="13826" width="20.09765625" style="24" customWidth="1"/>
    <col min="13827" max="13827" width="6.19921875" style="24" customWidth="1"/>
    <col min="13828" max="13832" width="11.8984375" style="24" customWidth="1"/>
    <col min="13833" max="13833" width="13" style="24" customWidth="1"/>
    <col min="13834" max="13834" width="15.19921875" style="24" customWidth="1"/>
    <col min="13835" max="13835" width="13.8984375" style="24" customWidth="1"/>
    <col min="13836" max="13836" width="12.5" style="24" bestFit="1" customWidth="1"/>
    <col min="13837" max="13837" width="15" style="24" bestFit="1" customWidth="1"/>
    <col min="13838" max="13838" width="16.09765625" style="24" customWidth="1"/>
    <col min="13839" max="13839" width="9.59765625" style="24" customWidth="1"/>
    <col min="13840" max="13840" width="0" style="24" hidden="1" customWidth="1"/>
    <col min="13841" max="13841" width="10" style="24" customWidth="1"/>
    <col min="13842" max="13842" width="14.19921875" style="24" customWidth="1"/>
    <col min="13843" max="13843" width="41.19921875" style="24" customWidth="1"/>
    <col min="13844" max="13844" width="14.19921875" style="24" customWidth="1"/>
    <col min="13845" max="13845" width="48.69921875" style="24" customWidth="1"/>
    <col min="13846" max="14080" width="9" style="24"/>
    <col min="14081" max="14081" width="5" style="24" customWidth="1"/>
    <col min="14082" max="14082" width="20.09765625" style="24" customWidth="1"/>
    <col min="14083" max="14083" width="6.19921875" style="24" customWidth="1"/>
    <col min="14084" max="14088" width="11.8984375" style="24" customWidth="1"/>
    <col min="14089" max="14089" width="13" style="24" customWidth="1"/>
    <col min="14090" max="14090" width="15.19921875" style="24" customWidth="1"/>
    <col min="14091" max="14091" width="13.8984375" style="24" customWidth="1"/>
    <col min="14092" max="14092" width="12.5" style="24" bestFit="1" customWidth="1"/>
    <col min="14093" max="14093" width="15" style="24" bestFit="1" customWidth="1"/>
    <col min="14094" max="14094" width="16.09765625" style="24" customWidth="1"/>
    <col min="14095" max="14095" width="9.59765625" style="24" customWidth="1"/>
    <col min="14096" max="14096" width="0" style="24" hidden="1" customWidth="1"/>
    <col min="14097" max="14097" width="10" style="24" customWidth="1"/>
    <col min="14098" max="14098" width="14.19921875" style="24" customWidth="1"/>
    <col min="14099" max="14099" width="41.19921875" style="24" customWidth="1"/>
    <col min="14100" max="14100" width="14.19921875" style="24" customWidth="1"/>
    <col min="14101" max="14101" width="48.69921875" style="24" customWidth="1"/>
    <col min="14102" max="14336" width="9" style="24"/>
    <col min="14337" max="14337" width="5" style="24" customWidth="1"/>
    <col min="14338" max="14338" width="20.09765625" style="24" customWidth="1"/>
    <col min="14339" max="14339" width="6.19921875" style="24" customWidth="1"/>
    <col min="14340" max="14344" width="11.8984375" style="24" customWidth="1"/>
    <col min="14345" max="14345" width="13" style="24" customWidth="1"/>
    <col min="14346" max="14346" width="15.19921875" style="24" customWidth="1"/>
    <col min="14347" max="14347" width="13.8984375" style="24" customWidth="1"/>
    <col min="14348" max="14348" width="12.5" style="24" bestFit="1" customWidth="1"/>
    <col min="14349" max="14349" width="15" style="24" bestFit="1" customWidth="1"/>
    <col min="14350" max="14350" width="16.09765625" style="24" customWidth="1"/>
    <col min="14351" max="14351" width="9.59765625" style="24" customWidth="1"/>
    <col min="14352" max="14352" width="0" style="24" hidden="1" customWidth="1"/>
    <col min="14353" max="14353" width="10" style="24" customWidth="1"/>
    <col min="14354" max="14354" width="14.19921875" style="24" customWidth="1"/>
    <col min="14355" max="14355" width="41.19921875" style="24" customWidth="1"/>
    <col min="14356" max="14356" width="14.19921875" style="24" customWidth="1"/>
    <col min="14357" max="14357" width="48.69921875" style="24" customWidth="1"/>
    <col min="14358" max="14592" width="9" style="24"/>
    <col min="14593" max="14593" width="5" style="24" customWidth="1"/>
    <col min="14594" max="14594" width="20.09765625" style="24" customWidth="1"/>
    <col min="14595" max="14595" width="6.19921875" style="24" customWidth="1"/>
    <col min="14596" max="14600" width="11.8984375" style="24" customWidth="1"/>
    <col min="14601" max="14601" width="13" style="24" customWidth="1"/>
    <col min="14602" max="14602" width="15.19921875" style="24" customWidth="1"/>
    <col min="14603" max="14603" width="13.8984375" style="24" customWidth="1"/>
    <col min="14604" max="14604" width="12.5" style="24" bestFit="1" customWidth="1"/>
    <col min="14605" max="14605" width="15" style="24" bestFit="1" customWidth="1"/>
    <col min="14606" max="14606" width="16.09765625" style="24" customWidth="1"/>
    <col min="14607" max="14607" width="9.59765625" style="24" customWidth="1"/>
    <col min="14608" max="14608" width="0" style="24" hidden="1" customWidth="1"/>
    <col min="14609" max="14609" width="10" style="24" customWidth="1"/>
    <col min="14610" max="14610" width="14.19921875" style="24" customWidth="1"/>
    <col min="14611" max="14611" width="41.19921875" style="24" customWidth="1"/>
    <col min="14612" max="14612" width="14.19921875" style="24" customWidth="1"/>
    <col min="14613" max="14613" width="48.69921875" style="24" customWidth="1"/>
    <col min="14614" max="14848" width="9" style="24"/>
    <col min="14849" max="14849" width="5" style="24" customWidth="1"/>
    <col min="14850" max="14850" width="20.09765625" style="24" customWidth="1"/>
    <col min="14851" max="14851" width="6.19921875" style="24" customWidth="1"/>
    <col min="14852" max="14856" width="11.8984375" style="24" customWidth="1"/>
    <col min="14857" max="14857" width="13" style="24" customWidth="1"/>
    <col min="14858" max="14858" width="15.19921875" style="24" customWidth="1"/>
    <col min="14859" max="14859" width="13.8984375" style="24" customWidth="1"/>
    <col min="14860" max="14860" width="12.5" style="24" bestFit="1" customWidth="1"/>
    <col min="14861" max="14861" width="15" style="24" bestFit="1" customWidth="1"/>
    <col min="14862" max="14862" width="16.09765625" style="24" customWidth="1"/>
    <col min="14863" max="14863" width="9.59765625" style="24" customWidth="1"/>
    <col min="14864" max="14864" width="0" style="24" hidden="1" customWidth="1"/>
    <col min="14865" max="14865" width="10" style="24" customWidth="1"/>
    <col min="14866" max="14866" width="14.19921875" style="24" customWidth="1"/>
    <col min="14867" max="14867" width="41.19921875" style="24" customWidth="1"/>
    <col min="14868" max="14868" width="14.19921875" style="24" customWidth="1"/>
    <col min="14869" max="14869" width="48.69921875" style="24" customWidth="1"/>
    <col min="14870" max="15104" width="9" style="24"/>
    <col min="15105" max="15105" width="5" style="24" customWidth="1"/>
    <col min="15106" max="15106" width="20.09765625" style="24" customWidth="1"/>
    <col min="15107" max="15107" width="6.19921875" style="24" customWidth="1"/>
    <col min="15108" max="15112" width="11.8984375" style="24" customWidth="1"/>
    <col min="15113" max="15113" width="13" style="24" customWidth="1"/>
    <col min="15114" max="15114" width="15.19921875" style="24" customWidth="1"/>
    <col min="15115" max="15115" width="13.8984375" style="24" customWidth="1"/>
    <col min="15116" max="15116" width="12.5" style="24" bestFit="1" customWidth="1"/>
    <col min="15117" max="15117" width="15" style="24" bestFit="1" customWidth="1"/>
    <col min="15118" max="15118" width="16.09765625" style="24" customWidth="1"/>
    <col min="15119" max="15119" width="9.59765625" style="24" customWidth="1"/>
    <col min="15120" max="15120" width="0" style="24" hidden="1" customWidth="1"/>
    <col min="15121" max="15121" width="10" style="24" customWidth="1"/>
    <col min="15122" max="15122" width="14.19921875" style="24" customWidth="1"/>
    <col min="15123" max="15123" width="41.19921875" style="24" customWidth="1"/>
    <col min="15124" max="15124" width="14.19921875" style="24" customWidth="1"/>
    <col min="15125" max="15125" width="48.69921875" style="24" customWidth="1"/>
    <col min="15126" max="15360" width="9" style="24"/>
    <col min="15361" max="15361" width="5" style="24" customWidth="1"/>
    <col min="15362" max="15362" width="20.09765625" style="24" customWidth="1"/>
    <col min="15363" max="15363" width="6.19921875" style="24" customWidth="1"/>
    <col min="15364" max="15368" width="11.8984375" style="24" customWidth="1"/>
    <col min="15369" max="15369" width="13" style="24" customWidth="1"/>
    <col min="15370" max="15370" width="15.19921875" style="24" customWidth="1"/>
    <col min="15371" max="15371" width="13.8984375" style="24" customWidth="1"/>
    <col min="15372" max="15372" width="12.5" style="24" bestFit="1" customWidth="1"/>
    <col min="15373" max="15373" width="15" style="24" bestFit="1" customWidth="1"/>
    <col min="15374" max="15374" width="16.09765625" style="24" customWidth="1"/>
    <col min="15375" max="15375" width="9.59765625" style="24" customWidth="1"/>
    <col min="15376" max="15376" width="0" style="24" hidden="1" customWidth="1"/>
    <col min="15377" max="15377" width="10" style="24" customWidth="1"/>
    <col min="15378" max="15378" width="14.19921875" style="24" customWidth="1"/>
    <col min="15379" max="15379" width="41.19921875" style="24" customWidth="1"/>
    <col min="15380" max="15380" width="14.19921875" style="24" customWidth="1"/>
    <col min="15381" max="15381" width="48.69921875" style="24" customWidth="1"/>
    <col min="15382" max="15616" width="9" style="24"/>
    <col min="15617" max="15617" width="5" style="24" customWidth="1"/>
    <col min="15618" max="15618" width="20.09765625" style="24" customWidth="1"/>
    <col min="15619" max="15619" width="6.19921875" style="24" customWidth="1"/>
    <col min="15620" max="15624" width="11.8984375" style="24" customWidth="1"/>
    <col min="15625" max="15625" width="13" style="24" customWidth="1"/>
    <col min="15626" max="15626" width="15.19921875" style="24" customWidth="1"/>
    <col min="15627" max="15627" width="13.8984375" style="24" customWidth="1"/>
    <col min="15628" max="15628" width="12.5" style="24" bestFit="1" customWidth="1"/>
    <col min="15629" max="15629" width="15" style="24" bestFit="1" customWidth="1"/>
    <col min="15630" max="15630" width="16.09765625" style="24" customWidth="1"/>
    <col min="15631" max="15631" width="9.59765625" style="24" customWidth="1"/>
    <col min="15632" max="15632" width="0" style="24" hidden="1" customWidth="1"/>
    <col min="15633" max="15633" width="10" style="24" customWidth="1"/>
    <col min="15634" max="15634" width="14.19921875" style="24" customWidth="1"/>
    <col min="15635" max="15635" width="41.19921875" style="24" customWidth="1"/>
    <col min="15636" max="15636" width="14.19921875" style="24" customWidth="1"/>
    <col min="15637" max="15637" width="48.69921875" style="24" customWidth="1"/>
    <col min="15638" max="15872" width="9" style="24"/>
    <col min="15873" max="15873" width="5" style="24" customWidth="1"/>
    <col min="15874" max="15874" width="20.09765625" style="24" customWidth="1"/>
    <col min="15875" max="15875" width="6.19921875" style="24" customWidth="1"/>
    <col min="15876" max="15880" width="11.8984375" style="24" customWidth="1"/>
    <col min="15881" max="15881" width="13" style="24" customWidth="1"/>
    <col min="15882" max="15882" width="15.19921875" style="24" customWidth="1"/>
    <col min="15883" max="15883" width="13.8984375" style="24" customWidth="1"/>
    <col min="15884" max="15884" width="12.5" style="24" bestFit="1" customWidth="1"/>
    <col min="15885" max="15885" width="15" style="24" bestFit="1" customWidth="1"/>
    <col min="15886" max="15886" width="16.09765625" style="24" customWidth="1"/>
    <col min="15887" max="15887" width="9.59765625" style="24" customWidth="1"/>
    <col min="15888" max="15888" width="0" style="24" hidden="1" customWidth="1"/>
    <col min="15889" max="15889" width="10" style="24" customWidth="1"/>
    <col min="15890" max="15890" width="14.19921875" style="24" customWidth="1"/>
    <col min="15891" max="15891" width="41.19921875" style="24" customWidth="1"/>
    <col min="15892" max="15892" width="14.19921875" style="24" customWidth="1"/>
    <col min="15893" max="15893" width="48.69921875" style="24" customWidth="1"/>
    <col min="15894" max="16128" width="9" style="24"/>
    <col min="16129" max="16129" width="5" style="24" customWidth="1"/>
    <col min="16130" max="16130" width="20.09765625" style="24" customWidth="1"/>
    <col min="16131" max="16131" width="6.19921875" style="24" customWidth="1"/>
    <col min="16132" max="16136" width="11.8984375" style="24" customWidth="1"/>
    <col min="16137" max="16137" width="13" style="24" customWidth="1"/>
    <col min="16138" max="16138" width="15.19921875" style="24" customWidth="1"/>
    <col min="16139" max="16139" width="13.8984375" style="24" customWidth="1"/>
    <col min="16140" max="16140" width="12.5" style="24" bestFit="1" customWidth="1"/>
    <col min="16141" max="16141" width="15" style="24" bestFit="1" customWidth="1"/>
    <col min="16142" max="16142" width="16.09765625" style="24" customWidth="1"/>
    <col min="16143" max="16143" width="9.59765625" style="24" customWidth="1"/>
    <col min="16144" max="16144" width="0" style="24" hidden="1" customWidth="1"/>
    <col min="16145" max="16145" width="10" style="24" customWidth="1"/>
    <col min="16146" max="16146" width="14.19921875" style="24" customWidth="1"/>
    <col min="16147" max="16147" width="41.19921875" style="24" customWidth="1"/>
    <col min="16148" max="16148" width="14.19921875" style="24" customWidth="1"/>
    <col min="16149" max="16149" width="48.69921875" style="24" customWidth="1"/>
    <col min="16150" max="16384" width="9" style="24"/>
  </cols>
  <sheetData>
    <row r="2" spans="1:22" ht="31.5" customHeight="1">
      <c r="A2" s="57" t="s">
        <v>100</v>
      </c>
    </row>
    <row r="3" spans="1:22" ht="17.25" customHeight="1" thickBot="1">
      <c r="N3" s="24" t="s">
        <v>101</v>
      </c>
    </row>
    <row r="4" spans="1:22" s="26" customFormat="1" ht="8.25" customHeight="1">
      <c r="A4" s="125"/>
      <c r="B4" s="125"/>
      <c r="C4" s="125"/>
      <c r="D4" s="360"/>
      <c r="E4" s="424"/>
      <c r="F4" s="424"/>
      <c r="G4" s="424"/>
      <c r="H4" s="424"/>
      <c r="I4" s="424"/>
      <c r="J4" s="425"/>
      <c r="K4" s="126"/>
      <c r="L4" s="126"/>
      <c r="M4" s="127"/>
      <c r="N4" s="128"/>
      <c r="O4" s="129"/>
    </row>
    <row r="5" spans="1:22" s="26" customFormat="1" ht="25.5" customHeight="1">
      <c r="A5" s="275"/>
      <c r="B5" s="275"/>
      <c r="C5" s="275"/>
      <c r="D5" s="130"/>
      <c r="E5" s="131"/>
      <c r="F5" s="131"/>
      <c r="G5" s="131"/>
      <c r="H5" s="131"/>
      <c r="I5" s="132" t="s">
        <v>102</v>
      </c>
      <c r="J5" s="133"/>
      <c r="K5" s="134"/>
      <c r="L5" s="134" t="s">
        <v>103</v>
      </c>
      <c r="M5" s="135" t="s">
        <v>83</v>
      </c>
      <c r="N5" s="136"/>
      <c r="O5" s="30"/>
      <c r="R5" s="26" t="s">
        <v>184</v>
      </c>
      <c r="T5" s="26" t="s">
        <v>185</v>
      </c>
    </row>
    <row r="6" spans="1:22" s="26" customFormat="1" ht="25.5" customHeight="1" thickBot="1">
      <c r="A6" s="137" t="s">
        <v>36</v>
      </c>
      <c r="B6" s="137" t="s">
        <v>104</v>
      </c>
      <c r="C6" s="137" t="s">
        <v>39</v>
      </c>
      <c r="D6" s="138" t="s">
        <v>44</v>
      </c>
      <c r="E6" s="139" t="s">
        <v>105</v>
      </c>
      <c r="F6" s="139" t="s">
        <v>74</v>
      </c>
      <c r="G6" s="139" t="s">
        <v>106</v>
      </c>
      <c r="H6" s="139" t="s">
        <v>66</v>
      </c>
      <c r="I6" s="140" t="s">
        <v>107</v>
      </c>
      <c r="J6" s="141" t="s">
        <v>108</v>
      </c>
      <c r="K6" s="142" t="s">
        <v>109</v>
      </c>
      <c r="L6" s="142" t="s">
        <v>110</v>
      </c>
      <c r="M6" s="143" t="s">
        <v>111</v>
      </c>
      <c r="N6" s="144" t="s">
        <v>112</v>
      </c>
      <c r="O6" s="145" t="s">
        <v>19</v>
      </c>
      <c r="R6" s="26" t="s">
        <v>186</v>
      </c>
    </row>
    <row r="7" spans="1:22" s="48" customFormat="1" ht="25.5" customHeight="1" thickTop="1">
      <c r="A7" s="146">
        <f>IF(B7&gt;0,1,"")</f>
        <v>1</v>
      </c>
      <c r="B7" s="147" t="str">
        <f>단위장비1!C$1</f>
        <v>백래쉬시험기</v>
      </c>
      <c r="C7" s="146" t="s">
        <v>113</v>
      </c>
      <c r="D7" s="148">
        <f>단위장비1!H83</f>
        <v>171320000</v>
      </c>
      <c r="E7" s="149">
        <f>단위장비1!H84</f>
        <v>0</v>
      </c>
      <c r="F7" s="149">
        <f>단위장비1!H85+단위장비1!H86+단위장비1!H87+단위장비1!H91</f>
        <v>10000000</v>
      </c>
      <c r="G7" s="149">
        <f>단위장비1!H88+단위장비1!H89</f>
        <v>15600000</v>
      </c>
      <c r="H7" s="149">
        <f>단위장비1!H90</f>
        <v>0</v>
      </c>
      <c r="I7" s="150">
        <f>IF($B7&gt;0,'원가항목별(집계)'!I$38*$P7/$P$17,0)</f>
        <v>9212859.7612324767</v>
      </c>
      <c r="J7" s="151">
        <f>SUM(D7:I7)</f>
        <v>206132859.76123247</v>
      </c>
      <c r="K7" s="152">
        <f>IF(B7&gt;0,'원가항목별(집계)'!I$34*P7/P$17,0)</f>
        <v>45852403.031654038</v>
      </c>
      <c r="L7" s="152">
        <f>IF($B7&gt;0,'원가항목별(집계)'!I$39*$P7/$P$17,0)</f>
        <v>447419.82463961956</v>
      </c>
      <c r="M7" s="153">
        <f>단위장비1!H94+단위장비1!H95</f>
        <v>9846000</v>
      </c>
      <c r="N7" s="154">
        <f>SUM(J7:M7)</f>
        <v>262278682.61752611</v>
      </c>
      <c r="O7" s="155"/>
      <c r="P7" s="48">
        <f>D7+E7+F7+G7+H7+M7</f>
        <v>206766000</v>
      </c>
      <c r="R7" s="48">
        <v>192609000</v>
      </c>
      <c r="S7" s="48" t="s">
        <v>187</v>
      </c>
    </row>
    <row r="8" spans="1:22" s="48" customFormat="1" ht="25.5" customHeight="1">
      <c r="A8" s="156">
        <f t="shared" ref="A8:A16" si="0">IF(B8&gt;0,A7+1,"")</f>
        <v>2</v>
      </c>
      <c r="B8" s="157" t="str">
        <f>단위장비2!C$1</f>
        <v>비틀림내구시험기</v>
      </c>
      <c r="C8" s="156" t="s">
        <v>113</v>
      </c>
      <c r="D8" s="158">
        <f>단위장비2!H82</f>
        <v>365930000</v>
      </c>
      <c r="E8" s="159">
        <f>단위장비2!H83</f>
        <v>0</v>
      </c>
      <c r="F8" s="159">
        <f>단위장비2!H84+단위장비2!H85+단위장비2!H86+단위장비2!H90</f>
        <v>10000000</v>
      </c>
      <c r="G8" s="159">
        <f>단위장비2!H87+단위장비2!H88</f>
        <v>31200000</v>
      </c>
      <c r="H8" s="159">
        <f>단위장비2!H89</f>
        <v>0</v>
      </c>
      <c r="I8" s="160">
        <f>IF($B8&gt;0,'원가항목별(집계)'!I$38*$P8/$P$17,0)</f>
        <v>19047489.308300722</v>
      </c>
      <c r="J8" s="161">
        <f>SUM(D8:I8)</f>
        <v>426177489.30830073</v>
      </c>
      <c r="K8" s="162">
        <f>IF(B8&gt;0,'원가항목별(집계)'!I$34*P8/P$17,0)</f>
        <v>94799354.287412688</v>
      </c>
      <c r="L8" s="162">
        <f>IF($B8&gt;0,'원가항목별(집계)'!I$39*$P8/$P$17,0)</f>
        <v>925035.71605488681</v>
      </c>
      <c r="M8" s="163">
        <f>단위장비2!H93+단위장비2!H94</f>
        <v>20356500</v>
      </c>
      <c r="N8" s="164">
        <f t="shared" ref="N8:N16" si="1">SUM(J8:M8)</f>
        <v>542258379.31176829</v>
      </c>
      <c r="O8" s="165"/>
      <c r="P8" s="48">
        <f t="shared" ref="P8:P16" si="2">D8+E8+F8+G8+H8+M8</f>
        <v>427486500</v>
      </c>
      <c r="S8" s="48" t="s">
        <v>188</v>
      </c>
    </row>
    <row r="9" spans="1:22" s="48" customFormat="1" ht="25.5" customHeight="1">
      <c r="A9" s="156">
        <f t="shared" si="0"/>
        <v>3</v>
      </c>
      <c r="B9" s="157" t="str">
        <f>단위장비3!C$1</f>
        <v>비틀림 파단시험기</v>
      </c>
      <c r="C9" s="156" t="s">
        <v>114</v>
      </c>
      <c r="D9" s="158">
        <f>단위장비3!H78</f>
        <v>464430000</v>
      </c>
      <c r="E9" s="159">
        <f>단위장비3!H79</f>
        <v>0</v>
      </c>
      <c r="F9" s="159">
        <f>단위장비3!H80+단위장비3!H81+단위장비3!H82+단위장비3!H86</f>
        <v>10000000</v>
      </c>
      <c r="G9" s="159">
        <f>단위장비3!H83+단위장비3!H84</f>
        <v>31200000</v>
      </c>
      <c r="H9" s="159">
        <f>단위장비3!H85</f>
        <v>0</v>
      </c>
      <c r="I9" s="160">
        <f>IF($B9&gt;0,'원가항목별(집계)'!I$38*$P9/$P$17,0)</f>
        <v>23655790.580296449</v>
      </c>
      <c r="J9" s="161">
        <f t="shared" ref="J9:J17" si="3">SUM(D9:I9)</f>
        <v>529285790.58029646</v>
      </c>
      <c r="K9" s="162">
        <f>IF(B9&gt;0,'원가항목별(집계)'!I$34*P9/P$17,0)</f>
        <v>117734869.71813543</v>
      </c>
      <c r="L9" s="162">
        <f>IF($B9&gt;0,'원가항목별(집계)'!I$39*$P9/$P$17,0)</f>
        <v>1148836.5119466323</v>
      </c>
      <c r="M9" s="163">
        <f>단위장비3!H89+단위장비3!H90</f>
        <v>25281500</v>
      </c>
      <c r="N9" s="164">
        <f t="shared" si="1"/>
        <v>673450996.81037855</v>
      </c>
      <c r="O9" s="165"/>
      <c r="P9" s="48">
        <f t="shared" si="2"/>
        <v>530911500</v>
      </c>
      <c r="T9" s="48">
        <v>548000000</v>
      </c>
      <c r="U9" s="48" t="s">
        <v>189</v>
      </c>
    </row>
    <row r="10" spans="1:22" s="48" customFormat="1" ht="25.5" customHeight="1">
      <c r="A10" s="156">
        <f t="shared" si="0"/>
        <v>4</v>
      </c>
      <c r="B10" s="157" t="str">
        <f>단위장비4!C1</f>
        <v>회전 내구 시험기</v>
      </c>
      <c r="C10" s="156" t="s">
        <v>114</v>
      </c>
      <c r="D10" s="158">
        <f>단위장비4!H82</f>
        <v>665950000</v>
      </c>
      <c r="E10" s="159">
        <f>단위장비4!H83</f>
        <v>0</v>
      </c>
      <c r="F10" s="159">
        <f>단위장비4!H84+단위장비4!H85+단위장비4!H86+단위장비4!H90</f>
        <v>10000000</v>
      </c>
      <c r="G10" s="159">
        <f>단위장비4!H87+단위장비4!H88</f>
        <v>31200000</v>
      </c>
      <c r="H10" s="159">
        <f>단위장비4!H89</f>
        <v>0</v>
      </c>
      <c r="I10" s="160">
        <f>IF($B10&gt;0,'원가항목별(집계)'!I$38*$P10/$P$17,0)</f>
        <v>33083860.350170352</v>
      </c>
      <c r="J10" s="161">
        <f t="shared" si="3"/>
        <v>740233860.35017037</v>
      </c>
      <c r="K10" s="162">
        <f>IF(B10&gt;0,'원가항목별(집계)'!I$34*P10/P$17,0)</f>
        <v>164658372.96279785</v>
      </c>
      <c r="L10" s="162">
        <f>IF($B10&gt;0,'원가항목별(집계)'!I$39*$P10/$P$17,0)</f>
        <v>1606707.9473588613</v>
      </c>
      <c r="M10" s="163">
        <f>단위장비4!H93+단위장비4!H94</f>
        <v>35357500</v>
      </c>
      <c r="N10" s="164">
        <f t="shared" si="1"/>
        <v>941856441.2603271</v>
      </c>
      <c r="O10" s="165"/>
      <c r="P10" s="48">
        <f t="shared" si="2"/>
        <v>742507500</v>
      </c>
      <c r="S10" s="48" t="s">
        <v>188</v>
      </c>
      <c r="V10" s="48" t="s">
        <v>190</v>
      </c>
    </row>
    <row r="11" spans="1:22" s="48" customFormat="1" ht="25.5" customHeight="1">
      <c r="A11" s="156" t="str">
        <f t="shared" si="0"/>
        <v/>
      </c>
      <c r="B11" s="157">
        <f>단위장비5!C1</f>
        <v>0</v>
      </c>
      <c r="C11" s="156" t="s">
        <v>114</v>
      </c>
      <c r="D11" s="158">
        <f>단위장비5!H77</f>
        <v>0</v>
      </c>
      <c r="E11" s="159">
        <f>단위장비5!H78</f>
        <v>0</v>
      </c>
      <c r="F11" s="159">
        <f>단위장비5!H79+단위장비5!H80+단위장비5!H81+단위장비5!H85</f>
        <v>0</v>
      </c>
      <c r="G11" s="159">
        <f>단위장비5!H82+단위장비5!H83</f>
        <v>0</v>
      </c>
      <c r="H11" s="159">
        <f>단위장비5!H84</f>
        <v>0</v>
      </c>
      <c r="I11" s="160">
        <f>IF($B11&gt;0,'원가항목별(집계)'!I$38*$P11/$P$17,0)</f>
        <v>0</v>
      </c>
      <c r="J11" s="161">
        <f t="shared" si="3"/>
        <v>0</v>
      </c>
      <c r="K11" s="162">
        <f>IF(B11&gt;0,'원가항목별(집계)'!I$34*P11/P$17,0)</f>
        <v>0</v>
      </c>
      <c r="L11" s="162">
        <f>IF($B11&gt;0,'원가항목별(집계)'!I$39*$P11/$P$17,0)</f>
        <v>0</v>
      </c>
      <c r="M11" s="163">
        <f>단위장비5!H88+단위장비5!H89</f>
        <v>0</v>
      </c>
      <c r="N11" s="164">
        <f t="shared" si="1"/>
        <v>0</v>
      </c>
      <c r="O11" s="165"/>
      <c r="P11" s="48">
        <f t="shared" si="2"/>
        <v>0</v>
      </c>
    </row>
    <row r="12" spans="1:22" s="48" customFormat="1" ht="25.5" customHeight="1">
      <c r="A12" s="156" t="str">
        <f t="shared" si="0"/>
        <v/>
      </c>
      <c r="B12" s="157">
        <f>단위장비6!C$1</f>
        <v>0</v>
      </c>
      <c r="C12" s="156" t="s">
        <v>114</v>
      </c>
      <c r="D12" s="158">
        <f>단위장비6!H78</f>
        <v>0</v>
      </c>
      <c r="E12" s="159">
        <f>단위장비6!H79</f>
        <v>0</v>
      </c>
      <c r="F12" s="159">
        <f>단위장비6!H80+단위장비6!H81+단위장비6!H82+단위장비6!H86</f>
        <v>0</v>
      </c>
      <c r="G12" s="159">
        <f>단위장비6!H83+단위장비6!H84</f>
        <v>0</v>
      </c>
      <c r="H12" s="159">
        <f>단위장비6!H85</f>
        <v>0</v>
      </c>
      <c r="I12" s="160">
        <f>IF($B12&gt;0,'원가항목별(집계)'!I$38*$P12/$P$17,0)</f>
        <v>0</v>
      </c>
      <c r="J12" s="161">
        <f t="shared" si="3"/>
        <v>0</v>
      </c>
      <c r="K12" s="162">
        <f>IF(B12&gt;0,'원가항목별(집계)'!I$34*P12/P$17,0)</f>
        <v>0</v>
      </c>
      <c r="L12" s="162">
        <f>IF($B12&gt;0,'원가항목별(집계)'!I$39*$P12/$P$17,0)</f>
        <v>0</v>
      </c>
      <c r="M12" s="163">
        <f>단위장비6!H89+단위장비6!H90</f>
        <v>0</v>
      </c>
      <c r="N12" s="164">
        <f t="shared" si="1"/>
        <v>0</v>
      </c>
      <c r="O12" s="165"/>
      <c r="P12" s="48">
        <f t="shared" si="2"/>
        <v>0</v>
      </c>
    </row>
    <row r="13" spans="1:22" s="48" customFormat="1" ht="25.5" customHeight="1">
      <c r="A13" s="156" t="str">
        <f t="shared" si="0"/>
        <v/>
      </c>
      <c r="B13" s="157">
        <f>단위장비7!C$1</f>
        <v>0</v>
      </c>
      <c r="C13" s="156" t="s">
        <v>114</v>
      </c>
      <c r="D13" s="158">
        <f>단위장비7!H78</f>
        <v>0</v>
      </c>
      <c r="E13" s="159">
        <f>단위장비7!H79</f>
        <v>0</v>
      </c>
      <c r="F13" s="159">
        <f>단위장비7!H80+단위장비7!H81+단위장비7!H82+단위장비7!H86</f>
        <v>0</v>
      </c>
      <c r="G13" s="159">
        <f>단위장비7!H83+단위장비7!H84</f>
        <v>0</v>
      </c>
      <c r="H13" s="159">
        <f>단위장비7!H85</f>
        <v>0</v>
      </c>
      <c r="I13" s="160">
        <f>IF($B13&gt;0,'원가항목별(집계)'!I$38*$P13/$P$17,0)</f>
        <v>0</v>
      </c>
      <c r="J13" s="161">
        <f t="shared" si="3"/>
        <v>0</v>
      </c>
      <c r="K13" s="162">
        <f>IF(B13&gt;0,'원가항목별(집계)'!I$34*P13/P$17,0)</f>
        <v>0</v>
      </c>
      <c r="L13" s="162">
        <f>IF($B13&gt;0,'원가항목별(집계)'!I$39*$P13/$P$17,0)</f>
        <v>0</v>
      </c>
      <c r="M13" s="163">
        <f>단위장비7!H89+단위장비7!H90</f>
        <v>0</v>
      </c>
      <c r="N13" s="164">
        <f t="shared" si="1"/>
        <v>0</v>
      </c>
      <c r="O13" s="165"/>
      <c r="P13" s="48">
        <f t="shared" si="2"/>
        <v>0</v>
      </c>
    </row>
    <row r="14" spans="1:22" s="48" customFormat="1" ht="25.5" customHeight="1">
      <c r="A14" s="156" t="str">
        <f t="shared" si="0"/>
        <v/>
      </c>
      <c r="B14" s="157">
        <f>단위장비8!C$1</f>
        <v>0</v>
      </c>
      <c r="C14" s="156" t="s">
        <v>114</v>
      </c>
      <c r="D14" s="158">
        <f>단위장비8!H78</f>
        <v>0</v>
      </c>
      <c r="E14" s="159">
        <f>단위장비8!H79</f>
        <v>0</v>
      </c>
      <c r="F14" s="159">
        <f>단위장비8!H80+단위장비8!H81+단위장비8!H82+단위장비8!H86</f>
        <v>0</v>
      </c>
      <c r="G14" s="159">
        <f>단위장비8!H83+단위장비8!H84</f>
        <v>0</v>
      </c>
      <c r="H14" s="159">
        <f>단위장비8!H85</f>
        <v>0</v>
      </c>
      <c r="I14" s="160">
        <f>IF($B14&gt;0,'원가항목별(집계)'!I$38*$P14/$P$17,0)</f>
        <v>0</v>
      </c>
      <c r="J14" s="161">
        <f t="shared" si="3"/>
        <v>0</v>
      </c>
      <c r="K14" s="162">
        <f>IF(B14&gt;0,'원가항목별(집계)'!I$34*P14/P$17,0)</f>
        <v>0</v>
      </c>
      <c r="L14" s="162">
        <f>IF($B14&gt;0,'원가항목별(집계)'!I$39*$P14/$P$17,0)</f>
        <v>0</v>
      </c>
      <c r="M14" s="163">
        <f>단위장비8!H89+단위장비8!H90</f>
        <v>0</v>
      </c>
      <c r="N14" s="164">
        <f t="shared" si="1"/>
        <v>0</v>
      </c>
      <c r="O14" s="165"/>
      <c r="P14" s="48">
        <f t="shared" si="2"/>
        <v>0</v>
      </c>
    </row>
    <row r="15" spans="1:22" s="48" customFormat="1" ht="25.5" customHeight="1">
      <c r="A15" s="156" t="str">
        <f t="shared" si="0"/>
        <v/>
      </c>
      <c r="B15" s="157">
        <f>단위장비9!C$1</f>
        <v>0</v>
      </c>
      <c r="C15" s="156" t="s">
        <v>114</v>
      </c>
      <c r="D15" s="158">
        <f>단위장비9!H79</f>
        <v>0</v>
      </c>
      <c r="E15" s="159">
        <f>단위장비9!H80</f>
        <v>0</v>
      </c>
      <c r="F15" s="159">
        <f>단위장비9!H81+단위장비9!H82+단위장비9!H83+단위장비9!H87</f>
        <v>0</v>
      </c>
      <c r="G15" s="159">
        <f>단위장비9!H84+단위장비9!H85</f>
        <v>0</v>
      </c>
      <c r="H15" s="159">
        <f>단위장비9!H86</f>
        <v>0</v>
      </c>
      <c r="I15" s="160">
        <f>IF($B15&gt;0,'원가항목별(집계)'!I$38*$P15/$P$17,0)</f>
        <v>0</v>
      </c>
      <c r="J15" s="161">
        <f t="shared" si="3"/>
        <v>0</v>
      </c>
      <c r="K15" s="162">
        <f>IF(B15&gt;0,'원가항목별(집계)'!I$34*P15/P$17,0)</f>
        <v>0</v>
      </c>
      <c r="L15" s="162">
        <f>IF($B15&gt;0,'원가항목별(집계)'!I$39*$P15/$P$17,0)</f>
        <v>0</v>
      </c>
      <c r="M15" s="163">
        <f>단위장비9!H90+단위장비9!H91</f>
        <v>0</v>
      </c>
      <c r="N15" s="164">
        <f t="shared" si="1"/>
        <v>0</v>
      </c>
      <c r="O15" s="165"/>
      <c r="P15" s="48">
        <f t="shared" si="2"/>
        <v>0</v>
      </c>
    </row>
    <row r="16" spans="1:22" s="48" customFormat="1" ht="25.5" customHeight="1">
      <c r="A16" s="166" t="str">
        <f t="shared" si="0"/>
        <v/>
      </c>
      <c r="B16" s="167">
        <f>단위장비10!C$1</f>
        <v>0</v>
      </c>
      <c r="C16" s="166" t="s">
        <v>114</v>
      </c>
      <c r="D16" s="168">
        <f>단위장비10!H80</f>
        <v>0</v>
      </c>
      <c r="E16" s="169">
        <f>단위장비10!H81</f>
        <v>0</v>
      </c>
      <c r="F16" s="169">
        <f>단위장비10!H82+단위장비10!H83+단위장비10!H84+단위장비10!H88</f>
        <v>0</v>
      </c>
      <c r="G16" s="169">
        <f>단위장비10!H85+단위장비10!H86</f>
        <v>0</v>
      </c>
      <c r="H16" s="169">
        <f>단위장비10!H87</f>
        <v>0</v>
      </c>
      <c r="I16" s="170">
        <f>IF($B16&gt;0,'원가항목별(집계)'!I$38*$P16/$P$17,0)</f>
        <v>0</v>
      </c>
      <c r="J16" s="171">
        <f t="shared" si="3"/>
        <v>0</v>
      </c>
      <c r="K16" s="172">
        <f>IF(B16&gt;0,'원가항목별(집계)'!I$34*P16/P$17,0)</f>
        <v>0</v>
      </c>
      <c r="L16" s="172">
        <f>IF($B16&gt;0,'원가항목별(집계)'!I$39*$P16/$P$17,0)</f>
        <v>0</v>
      </c>
      <c r="M16" s="173">
        <f>단위장비10!H91+단위장비10!H92</f>
        <v>0</v>
      </c>
      <c r="N16" s="174">
        <f t="shared" si="1"/>
        <v>0</v>
      </c>
      <c r="O16" s="175"/>
      <c r="P16" s="48">
        <f t="shared" si="2"/>
        <v>0</v>
      </c>
    </row>
    <row r="17" spans="1:16" s="48" customFormat="1" ht="33" customHeight="1">
      <c r="A17" s="426" t="s">
        <v>115</v>
      </c>
      <c r="B17" s="427"/>
      <c r="C17" s="428"/>
      <c r="D17" s="177">
        <f t="shared" ref="D17:M17" si="4">SUM(D7:D16)</f>
        <v>1667630000</v>
      </c>
      <c r="E17" s="178">
        <f t="shared" si="4"/>
        <v>0</v>
      </c>
      <c r="F17" s="178">
        <f t="shared" si="4"/>
        <v>40000000</v>
      </c>
      <c r="G17" s="178">
        <f t="shared" si="4"/>
        <v>109200000</v>
      </c>
      <c r="H17" s="178">
        <f t="shared" si="4"/>
        <v>0</v>
      </c>
      <c r="I17" s="179">
        <f t="shared" si="4"/>
        <v>85000000</v>
      </c>
      <c r="J17" s="180">
        <f t="shared" si="3"/>
        <v>1901830000</v>
      </c>
      <c r="K17" s="181">
        <f>SUM(K7:K16)</f>
        <v>423045000</v>
      </c>
      <c r="L17" s="181">
        <f t="shared" si="4"/>
        <v>4128000</v>
      </c>
      <c r="M17" s="182">
        <f t="shared" si="4"/>
        <v>90841500</v>
      </c>
      <c r="N17" s="183">
        <f>SUM(N7:N14)</f>
        <v>2419844500</v>
      </c>
      <c r="O17" s="184"/>
      <c r="P17" s="48">
        <f>SUM(P7:P16)</f>
        <v>1907671500</v>
      </c>
    </row>
    <row r="18" spans="1:16" s="197" customFormat="1" ht="18.75" customHeight="1">
      <c r="A18" s="185"/>
      <c r="B18" s="186"/>
      <c r="C18" s="187"/>
      <c r="D18" s="188">
        <f t="shared" ref="D18:N18" si="5">IF(D17=0,"",D17/$N17)</f>
        <v>0.68914758778921537</v>
      </c>
      <c r="E18" s="189" t="str">
        <f t="shared" si="5"/>
        <v/>
      </c>
      <c r="F18" s="189">
        <f t="shared" si="5"/>
        <v>1.6529987774007791E-2</v>
      </c>
      <c r="G18" s="189">
        <f t="shared" si="5"/>
        <v>4.5126866623041273E-2</v>
      </c>
      <c r="H18" s="189" t="str">
        <f t="shared" si="5"/>
        <v/>
      </c>
      <c r="I18" s="190">
        <f t="shared" si="5"/>
        <v>3.5126224019766561E-2</v>
      </c>
      <c r="J18" s="191">
        <f t="shared" si="5"/>
        <v>0.78593066620603103</v>
      </c>
      <c r="K18" s="192">
        <f t="shared" si="5"/>
        <v>0.17482321694637817</v>
      </c>
      <c r="L18" s="193">
        <f t="shared" si="5"/>
        <v>1.7058947382776041E-3</v>
      </c>
      <c r="M18" s="194">
        <f t="shared" si="5"/>
        <v>3.7540222109313223E-2</v>
      </c>
      <c r="N18" s="195">
        <f t="shared" si="5"/>
        <v>1</v>
      </c>
      <c r="O18" s="196"/>
    </row>
    <row r="19" spans="1:16" ht="28.5" customHeight="1">
      <c r="A19" s="24" t="s">
        <v>116</v>
      </c>
      <c r="H19" s="53"/>
      <c r="I19" s="53"/>
      <c r="J19" s="53"/>
      <c r="K19" s="53"/>
      <c r="L19" s="53"/>
    </row>
    <row r="20" spans="1:16" ht="17.25" customHeight="1">
      <c r="H20" s="54"/>
      <c r="I20" s="54"/>
      <c r="J20" s="54"/>
      <c r="K20" s="54"/>
      <c r="L20" s="54"/>
      <c r="M20" s="198"/>
      <c r="N20" s="199" t="str">
        <f>IF('원가항목별(집계)'!I42='단위공사별(집계)'!N17,"","DATA오류입니다!")</f>
        <v/>
      </c>
    </row>
    <row r="21" spans="1:16" ht="17.25" customHeight="1">
      <c r="H21" s="200"/>
      <c r="I21" s="200"/>
      <c r="J21" s="200"/>
      <c r="K21" s="200"/>
      <c r="L21" s="200"/>
      <c r="N21" s="200"/>
    </row>
    <row r="22" spans="1:16" ht="17.25" customHeight="1">
      <c r="H22" s="48"/>
      <c r="I22" s="48"/>
      <c r="J22" s="48"/>
      <c r="L22" s="48"/>
    </row>
  </sheetData>
  <mergeCells count="2">
    <mergeCell ref="D4:J4"/>
    <mergeCell ref="A17:C17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r:id="rId1"/>
  <headerFooter alignWithMargins="0">
    <oddHeader>&amp;C&amp;G</oddHeader>
    <oddFooter>&amp;L_x000D_&amp;1#&amp;"Malgun Gothic"&amp;6&amp;K000000 외부 전송용(No Protection) 손철호 책임매니저 통합구매팀 son@hyundai-wia.com 2026-07-07T14:05:14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1BA73-EE22-4821-AB20-E3A87F8684F1}">
  <sheetPr>
    <tabColor rgb="FF00B050"/>
    <pageSetUpPr fitToPage="1"/>
  </sheetPr>
  <dimension ref="A1:K95"/>
  <sheetViews>
    <sheetView zoomScale="85" workbookViewId="0">
      <pane xSplit="3" ySplit="2" topLeftCell="D3" activePane="bottomRight" state="frozen"/>
      <selection activeCell="F18" sqref="F18:F27"/>
      <selection pane="topRight" activeCell="F18" sqref="F18:F27"/>
      <selection pane="bottomLeft" activeCell="F18" sqref="F18:F27"/>
      <selection pane="bottomRight" activeCell="F18" sqref="F18:F27"/>
    </sheetView>
  </sheetViews>
  <sheetFormatPr defaultColWidth="9" defaultRowHeight="14.4"/>
  <cols>
    <col min="1" max="1" width="5" style="24" customWidth="1"/>
    <col min="2" max="2" width="13" style="24" customWidth="1"/>
    <col min="3" max="3" width="27.69921875" style="24" customWidth="1"/>
    <col min="4" max="4" width="21" style="24" customWidth="1"/>
    <col min="5" max="5" width="5.19921875" style="26" bestFit="1" customWidth="1"/>
    <col min="6" max="6" width="6.69921875" style="47" customWidth="1"/>
    <col min="7" max="7" width="11.8984375" style="48" customWidth="1"/>
    <col min="8" max="8" width="13.59765625" style="48" customWidth="1"/>
    <col min="9" max="9" width="12.69921875" style="24" customWidth="1"/>
    <col min="10" max="10" width="9.19921875" style="24" customWidth="1"/>
    <col min="11" max="11" width="11.5" style="24" bestFit="1" customWidth="1"/>
    <col min="12" max="256" width="9" style="24"/>
    <col min="257" max="257" width="5" style="24" customWidth="1"/>
    <col min="258" max="258" width="13" style="24" customWidth="1"/>
    <col min="259" max="259" width="27.69921875" style="24" customWidth="1"/>
    <col min="260" max="260" width="21" style="24" customWidth="1"/>
    <col min="261" max="261" width="5.19921875" style="24" bestFit="1" customWidth="1"/>
    <col min="262" max="262" width="6.69921875" style="24" customWidth="1"/>
    <col min="263" max="263" width="11.8984375" style="24" customWidth="1"/>
    <col min="264" max="264" width="13.59765625" style="24" customWidth="1"/>
    <col min="265" max="265" width="12.69921875" style="24" customWidth="1"/>
    <col min="266" max="266" width="9.19921875" style="24" customWidth="1"/>
    <col min="267" max="267" width="11.5" style="24" bestFit="1" customWidth="1"/>
    <col min="268" max="512" width="9" style="24"/>
    <col min="513" max="513" width="5" style="24" customWidth="1"/>
    <col min="514" max="514" width="13" style="24" customWidth="1"/>
    <col min="515" max="515" width="27.69921875" style="24" customWidth="1"/>
    <col min="516" max="516" width="21" style="24" customWidth="1"/>
    <col min="517" max="517" width="5.19921875" style="24" bestFit="1" customWidth="1"/>
    <col min="518" max="518" width="6.69921875" style="24" customWidth="1"/>
    <col min="519" max="519" width="11.8984375" style="24" customWidth="1"/>
    <col min="520" max="520" width="13.59765625" style="24" customWidth="1"/>
    <col min="521" max="521" width="12.69921875" style="24" customWidth="1"/>
    <col min="522" max="522" width="9.19921875" style="24" customWidth="1"/>
    <col min="523" max="523" width="11.5" style="24" bestFit="1" customWidth="1"/>
    <col min="524" max="768" width="9" style="24"/>
    <col min="769" max="769" width="5" style="24" customWidth="1"/>
    <col min="770" max="770" width="13" style="24" customWidth="1"/>
    <col min="771" max="771" width="27.69921875" style="24" customWidth="1"/>
    <col min="772" max="772" width="21" style="24" customWidth="1"/>
    <col min="773" max="773" width="5.19921875" style="24" bestFit="1" customWidth="1"/>
    <col min="774" max="774" width="6.69921875" style="24" customWidth="1"/>
    <col min="775" max="775" width="11.8984375" style="24" customWidth="1"/>
    <col min="776" max="776" width="13.59765625" style="24" customWidth="1"/>
    <col min="777" max="777" width="12.69921875" style="24" customWidth="1"/>
    <col min="778" max="778" width="9.19921875" style="24" customWidth="1"/>
    <col min="779" max="779" width="11.5" style="24" bestFit="1" customWidth="1"/>
    <col min="780" max="1024" width="9" style="24"/>
    <col min="1025" max="1025" width="5" style="24" customWidth="1"/>
    <col min="1026" max="1026" width="13" style="24" customWidth="1"/>
    <col min="1027" max="1027" width="27.69921875" style="24" customWidth="1"/>
    <col min="1028" max="1028" width="21" style="24" customWidth="1"/>
    <col min="1029" max="1029" width="5.19921875" style="24" bestFit="1" customWidth="1"/>
    <col min="1030" max="1030" width="6.69921875" style="24" customWidth="1"/>
    <col min="1031" max="1031" width="11.8984375" style="24" customWidth="1"/>
    <col min="1032" max="1032" width="13.59765625" style="24" customWidth="1"/>
    <col min="1033" max="1033" width="12.69921875" style="24" customWidth="1"/>
    <col min="1034" max="1034" width="9.19921875" style="24" customWidth="1"/>
    <col min="1035" max="1035" width="11.5" style="24" bestFit="1" customWidth="1"/>
    <col min="1036" max="1280" width="9" style="24"/>
    <col min="1281" max="1281" width="5" style="24" customWidth="1"/>
    <col min="1282" max="1282" width="13" style="24" customWidth="1"/>
    <col min="1283" max="1283" width="27.69921875" style="24" customWidth="1"/>
    <col min="1284" max="1284" width="21" style="24" customWidth="1"/>
    <col min="1285" max="1285" width="5.19921875" style="24" bestFit="1" customWidth="1"/>
    <col min="1286" max="1286" width="6.69921875" style="24" customWidth="1"/>
    <col min="1287" max="1287" width="11.8984375" style="24" customWidth="1"/>
    <col min="1288" max="1288" width="13.59765625" style="24" customWidth="1"/>
    <col min="1289" max="1289" width="12.69921875" style="24" customWidth="1"/>
    <col min="1290" max="1290" width="9.19921875" style="24" customWidth="1"/>
    <col min="1291" max="1291" width="11.5" style="24" bestFit="1" customWidth="1"/>
    <col min="1292" max="1536" width="9" style="24"/>
    <col min="1537" max="1537" width="5" style="24" customWidth="1"/>
    <col min="1538" max="1538" width="13" style="24" customWidth="1"/>
    <col min="1539" max="1539" width="27.69921875" style="24" customWidth="1"/>
    <col min="1540" max="1540" width="21" style="24" customWidth="1"/>
    <col min="1541" max="1541" width="5.19921875" style="24" bestFit="1" customWidth="1"/>
    <col min="1542" max="1542" width="6.69921875" style="24" customWidth="1"/>
    <col min="1543" max="1543" width="11.8984375" style="24" customWidth="1"/>
    <col min="1544" max="1544" width="13.59765625" style="24" customWidth="1"/>
    <col min="1545" max="1545" width="12.69921875" style="24" customWidth="1"/>
    <col min="1546" max="1546" width="9.19921875" style="24" customWidth="1"/>
    <col min="1547" max="1547" width="11.5" style="24" bestFit="1" customWidth="1"/>
    <col min="1548" max="1792" width="9" style="24"/>
    <col min="1793" max="1793" width="5" style="24" customWidth="1"/>
    <col min="1794" max="1794" width="13" style="24" customWidth="1"/>
    <col min="1795" max="1795" width="27.69921875" style="24" customWidth="1"/>
    <col min="1796" max="1796" width="21" style="24" customWidth="1"/>
    <col min="1797" max="1797" width="5.19921875" style="24" bestFit="1" customWidth="1"/>
    <col min="1798" max="1798" width="6.69921875" style="24" customWidth="1"/>
    <col min="1799" max="1799" width="11.8984375" style="24" customWidth="1"/>
    <col min="1800" max="1800" width="13.59765625" style="24" customWidth="1"/>
    <col min="1801" max="1801" width="12.69921875" style="24" customWidth="1"/>
    <col min="1802" max="1802" width="9.19921875" style="24" customWidth="1"/>
    <col min="1803" max="1803" width="11.5" style="24" bestFit="1" customWidth="1"/>
    <col min="1804" max="2048" width="9" style="24"/>
    <col min="2049" max="2049" width="5" style="24" customWidth="1"/>
    <col min="2050" max="2050" width="13" style="24" customWidth="1"/>
    <col min="2051" max="2051" width="27.69921875" style="24" customWidth="1"/>
    <col min="2052" max="2052" width="21" style="24" customWidth="1"/>
    <col min="2053" max="2053" width="5.19921875" style="24" bestFit="1" customWidth="1"/>
    <col min="2054" max="2054" width="6.69921875" style="24" customWidth="1"/>
    <col min="2055" max="2055" width="11.8984375" style="24" customWidth="1"/>
    <col min="2056" max="2056" width="13.59765625" style="24" customWidth="1"/>
    <col min="2057" max="2057" width="12.69921875" style="24" customWidth="1"/>
    <col min="2058" max="2058" width="9.19921875" style="24" customWidth="1"/>
    <col min="2059" max="2059" width="11.5" style="24" bestFit="1" customWidth="1"/>
    <col min="2060" max="2304" width="9" style="24"/>
    <col min="2305" max="2305" width="5" style="24" customWidth="1"/>
    <col min="2306" max="2306" width="13" style="24" customWidth="1"/>
    <col min="2307" max="2307" width="27.69921875" style="24" customWidth="1"/>
    <col min="2308" max="2308" width="21" style="24" customWidth="1"/>
    <col min="2309" max="2309" width="5.19921875" style="24" bestFit="1" customWidth="1"/>
    <col min="2310" max="2310" width="6.69921875" style="24" customWidth="1"/>
    <col min="2311" max="2311" width="11.8984375" style="24" customWidth="1"/>
    <col min="2312" max="2312" width="13.59765625" style="24" customWidth="1"/>
    <col min="2313" max="2313" width="12.69921875" style="24" customWidth="1"/>
    <col min="2314" max="2314" width="9.19921875" style="24" customWidth="1"/>
    <col min="2315" max="2315" width="11.5" style="24" bestFit="1" customWidth="1"/>
    <col min="2316" max="2560" width="9" style="24"/>
    <col min="2561" max="2561" width="5" style="24" customWidth="1"/>
    <col min="2562" max="2562" width="13" style="24" customWidth="1"/>
    <col min="2563" max="2563" width="27.69921875" style="24" customWidth="1"/>
    <col min="2564" max="2564" width="21" style="24" customWidth="1"/>
    <col min="2565" max="2565" width="5.19921875" style="24" bestFit="1" customWidth="1"/>
    <col min="2566" max="2566" width="6.69921875" style="24" customWidth="1"/>
    <col min="2567" max="2567" width="11.8984375" style="24" customWidth="1"/>
    <col min="2568" max="2568" width="13.59765625" style="24" customWidth="1"/>
    <col min="2569" max="2569" width="12.69921875" style="24" customWidth="1"/>
    <col min="2570" max="2570" width="9.19921875" style="24" customWidth="1"/>
    <col min="2571" max="2571" width="11.5" style="24" bestFit="1" customWidth="1"/>
    <col min="2572" max="2816" width="9" style="24"/>
    <col min="2817" max="2817" width="5" style="24" customWidth="1"/>
    <col min="2818" max="2818" width="13" style="24" customWidth="1"/>
    <col min="2819" max="2819" width="27.69921875" style="24" customWidth="1"/>
    <col min="2820" max="2820" width="21" style="24" customWidth="1"/>
    <col min="2821" max="2821" width="5.19921875" style="24" bestFit="1" customWidth="1"/>
    <col min="2822" max="2822" width="6.69921875" style="24" customWidth="1"/>
    <col min="2823" max="2823" width="11.8984375" style="24" customWidth="1"/>
    <col min="2824" max="2824" width="13.59765625" style="24" customWidth="1"/>
    <col min="2825" max="2825" width="12.69921875" style="24" customWidth="1"/>
    <col min="2826" max="2826" width="9.19921875" style="24" customWidth="1"/>
    <col min="2827" max="2827" width="11.5" style="24" bestFit="1" customWidth="1"/>
    <col min="2828" max="3072" width="9" style="24"/>
    <col min="3073" max="3073" width="5" style="24" customWidth="1"/>
    <col min="3074" max="3074" width="13" style="24" customWidth="1"/>
    <col min="3075" max="3075" width="27.69921875" style="24" customWidth="1"/>
    <col min="3076" max="3076" width="21" style="24" customWidth="1"/>
    <col min="3077" max="3077" width="5.19921875" style="24" bestFit="1" customWidth="1"/>
    <col min="3078" max="3078" width="6.69921875" style="24" customWidth="1"/>
    <col min="3079" max="3079" width="11.8984375" style="24" customWidth="1"/>
    <col min="3080" max="3080" width="13.59765625" style="24" customWidth="1"/>
    <col min="3081" max="3081" width="12.69921875" style="24" customWidth="1"/>
    <col min="3082" max="3082" width="9.19921875" style="24" customWidth="1"/>
    <col min="3083" max="3083" width="11.5" style="24" bestFit="1" customWidth="1"/>
    <col min="3084" max="3328" width="9" style="24"/>
    <col min="3329" max="3329" width="5" style="24" customWidth="1"/>
    <col min="3330" max="3330" width="13" style="24" customWidth="1"/>
    <col min="3331" max="3331" width="27.69921875" style="24" customWidth="1"/>
    <col min="3332" max="3332" width="21" style="24" customWidth="1"/>
    <col min="3333" max="3333" width="5.19921875" style="24" bestFit="1" customWidth="1"/>
    <col min="3334" max="3334" width="6.69921875" style="24" customWidth="1"/>
    <col min="3335" max="3335" width="11.8984375" style="24" customWidth="1"/>
    <col min="3336" max="3336" width="13.59765625" style="24" customWidth="1"/>
    <col min="3337" max="3337" width="12.69921875" style="24" customWidth="1"/>
    <col min="3338" max="3338" width="9.19921875" style="24" customWidth="1"/>
    <col min="3339" max="3339" width="11.5" style="24" bestFit="1" customWidth="1"/>
    <col min="3340" max="3584" width="9" style="24"/>
    <col min="3585" max="3585" width="5" style="24" customWidth="1"/>
    <col min="3586" max="3586" width="13" style="24" customWidth="1"/>
    <col min="3587" max="3587" width="27.69921875" style="24" customWidth="1"/>
    <col min="3588" max="3588" width="21" style="24" customWidth="1"/>
    <col min="3589" max="3589" width="5.19921875" style="24" bestFit="1" customWidth="1"/>
    <col min="3590" max="3590" width="6.69921875" style="24" customWidth="1"/>
    <col min="3591" max="3591" width="11.8984375" style="24" customWidth="1"/>
    <col min="3592" max="3592" width="13.59765625" style="24" customWidth="1"/>
    <col min="3593" max="3593" width="12.69921875" style="24" customWidth="1"/>
    <col min="3594" max="3594" width="9.19921875" style="24" customWidth="1"/>
    <col min="3595" max="3595" width="11.5" style="24" bestFit="1" customWidth="1"/>
    <col min="3596" max="3840" width="9" style="24"/>
    <col min="3841" max="3841" width="5" style="24" customWidth="1"/>
    <col min="3842" max="3842" width="13" style="24" customWidth="1"/>
    <col min="3843" max="3843" width="27.69921875" style="24" customWidth="1"/>
    <col min="3844" max="3844" width="21" style="24" customWidth="1"/>
    <col min="3845" max="3845" width="5.19921875" style="24" bestFit="1" customWidth="1"/>
    <col min="3846" max="3846" width="6.69921875" style="24" customWidth="1"/>
    <col min="3847" max="3847" width="11.8984375" style="24" customWidth="1"/>
    <col min="3848" max="3848" width="13.59765625" style="24" customWidth="1"/>
    <col min="3849" max="3849" width="12.69921875" style="24" customWidth="1"/>
    <col min="3850" max="3850" width="9.19921875" style="24" customWidth="1"/>
    <col min="3851" max="3851" width="11.5" style="24" bestFit="1" customWidth="1"/>
    <col min="3852" max="4096" width="9" style="24"/>
    <col min="4097" max="4097" width="5" style="24" customWidth="1"/>
    <col min="4098" max="4098" width="13" style="24" customWidth="1"/>
    <col min="4099" max="4099" width="27.69921875" style="24" customWidth="1"/>
    <col min="4100" max="4100" width="21" style="24" customWidth="1"/>
    <col min="4101" max="4101" width="5.19921875" style="24" bestFit="1" customWidth="1"/>
    <col min="4102" max="4102" width="6.69921875" style="24" customWidth="1"/>
    <col min="4103" max="4103" width="11.8984375" style="24" customWidth="1"/>
    <col min="4104" max="4104" width="13.59765625" style="24" customWidth="1"/>
    <col min="4105" max="4105" width="12.69921875" style="24" customWidth="1"/>
    <col min="4106" max="4106" width="9.19921875" style="24" customWidth="1"/>
    <col min="4107" max="4107" width="11.5" style="24" bestFit="1" customWidth="1"/>
    <col min="4108" max="4352" width="9" style="24"/>
    <col min="4353" max="4353" width="5" style="24" customWidth="1"/>
    <col min="4354" max="4354" width="13" style="24" customWidth="1"/>
    <col min="4355" max="4355" width="27.69921875" style="24" customWidth="1"/>
    <col min="4356" max="4356" width="21" style="24" customWidth="1"/>
    <col min="4357" max="4357" width="5.19921875" style="24" bestFit="1" customWidth="1"/>
    <col min="4358" max="4358" width="6.69921875" style="24" customWidth="1"/>
    <col min="4359" max="4359" width="11.8984375" style="24" customWidth="1"/>
    <col min="4360" max="4360" width="13.59765625" style="24" customWidth="1"/>
    <col min="4361" max="4361" width="12.69921875" style="24" customWidth="1"/>
    <col min="4362" max="4362" width="9.19921875" style="24" customWidth="1"/>
    <col min="4363" max="4363" width="11.5" style="24" bestFit="1" customWidth="1"/>
    <col min="4364" max="4608" width="9" style="24"/>
    <col min="4609" max="4609" width="5" style="24" customWidth="1"/>
    <col min="4610" max="4610" width="13" style="24" customWidth="1"/>
    <col min="4611" max="4611" width="27.69921875" style="24" customWidth="1"/>
    <col min="4612" max="4612" width="21" style="24" customWidth="1"/>
    <col min="4613" max="4613" width="5.19921875" style="24" bestFit="1" customWidth="1"/>
    <col min="4614" max="4614" width="6.69921875" style="24" customWidth="1"/>
    <col min="4615" max="4615" width="11.8984375" style="24" customWidth="1"/>
    <col min="4616" max="4616" width="13.59765625" style="24" customWidth="1"/>
    <col min="4617" max="4617" width="12.69921875" style="24" customWidth="1"/>
    <col min="4618" max="4618" width="9.19921875" style="24" customWidth="1"/>
    <col min="4619" max="4619" width="11.5" style="24" bestFit="1" customWidth="1"/>
    <col min="4620" max="4864" width="9" style="24"/>
    <col min="4865" max="4865" width="5" style="24" customWidth="1"/>
    <col min="4866" max="4866" width="13" style="24" customWidth="1"/>
    <col min="4867" max="4867" width="27.69921875" style="24" customWidth="1"/>
    <col min="4868" max="4868" width="21" style="24" customWidth="1"/>
    <col min="4869" max="4869" width="5.19921875" style="24" bestFit="1" customWidth="1"/>
    <col min="4870" max="4870" width="6.69921875" style="24" customWidth="1"/>
    <col min="4871" max="4871" width="11.8984375" style="24" customWidth="1"/>
    <col min="4872" max="4872" width="13.59765625" style="24" customWidth="1"/>
    <col min="4873" max="4873" width="12.69921875" style="24" customWidth="1"/>
    <col min="4874" max="4874" width="9.19921875" style="24" customWidth="1"/>
    <col min="4875" max="4875" width="11.5" style="24" bestFit="1" customWidth="1"/>
    <col min="4876" max="5120" width="9" style="24"/>
    <col min="5121" max="5121" width="5" style="24" customWidth="1"/>
    <col min="5122" max="5122" width="13" style="24" customWidth="1"/>
    <col min="5123" max="5123" width="27.69921875" style="24" customWidth="1"/>
    <col min="5124" max="5124" width="21" style="24" customWidth="1"/>
    <col min="5125" max="5125" width="5.19921875" style="24" bestFit="1" customWidth="1"/>
    <col min="5126" max="5126" width="6.69921875" style="24" customWidth="1"/>
    <col min="5127" max="5127" width="11.8984375" style="24" customWidth="1"/>
    <col min="5128" max="5128" width="13.59765625" style="24" customWidth="1"/>
    <col min="5129" max="5129" width="12.69921875" style="24" customWidth="1"/>
    <col min="5130" max="5130" width="9.19921875" style="24" customWidth="1"/>
    <col min="5131" max="5131" width="11.5" style="24" bestFit="1" customWidth="1"/>
    <col min="5132" max="5376" width="9" style="24"/>
    <col min="5377" max="5377" width="5" style="24" customWidth="1"/>
    <col min="5378" max="5378" width="13" style="24" customWidth="1"/>
    <col min="5379" max="5379" width="27.69921875" style="24" customWidth="1"/>
    <col min="5380" max="5380" width="21" style="24" customWidth="1"/>
    <col min="5381" max="5381" width="5.19921875" style="24" bestFit="1" customWidth="1"/>
    <col min="5382" max="5382" width="6.69921875" style="24" customWidth="1"/>
    <col min="5383" max="5383" width="11.8984375" style="24" customWidth="1"/>
    <col min="5384" max="5384" width="13.59765625" style="24" customWidth="1"/>
    <col min="5385" max="5385" width="12.69921875" style="24" customWidth="1"/>
    <col min="5386" max="5386" width="9.19921875" style="24" customWidth="1"/>
    <col min="5387" max="5387" width="11.5" style="24" bestFit="1" customWidth="1"/>
    <col min="5388" max="5632" width="9" style="24"/>
    <col min="5633" max="5633" width="5" style="24" customWidth="1"/>
    <col min="5634" max="5634" width="13" style="24" customWidth="1"/>
    <col min="5635" max="5635" width="27.69921875" style="24" customWidth="1"/>
    <col min="5636" max="5636" width="21" style="24" customWidth="1"/>
    <col min="5637" max="5637" width="5.19921875" style="24" bestFit="1" customWidth="1"/>
    <col min="5638" max="5638" width="6.69921875" style="24" customWidth="1"/>
    <col min="5639" max="5639" width="11.8984375" style="24" customWidth="1"/>
    <col min="5640" max="5640" width="13.59765625" style="24" customWidth="1"/>
    <col min="5641" max="5641" width="12.69921875" style="24" customWidth="1"/>
    <col min="5642" max="5642" width="9.19921875" style="24" customWidth="1"/>
    <col min="5643" max="5643" width="11.5" style="24" bestFit="1" customWidth="1"/>
    <col min="5644" max="5888" width="9" style="24"/>
    <col min="5889" max="5889" width="5" style="24" customWidth="1"/>
    <col min="5890" max="5890" width="13" style="24" customWidth="1"/>
    <col min="5891" max="5891" width="27.69921875" style="24" customWidth="1"/>
    <col min="5892" max="5892" width="21" style="24" customWidth="1"/>
    <col min="5893" max="5893" width="5.19921875" style="24" bestFit="1" customWidth="1"/>
    <col min="5894" max="5894" width="6.69921875" style="24" customWidth="1"/>
    <col min="5895" max="5895" width="11.8984375" style="24" customWidth="1"/>
    <col min="5896" max="5896" width="13.59765625" style="24" customWidth="1"/>
    <col min="5897" max="5897" width="12.69921875" style="24" customWidth="1"/>
    <col min="5898" max="5898" width="9.19921875" style="24" customWidth="1"/>
    <col min="5899" max="5899" width="11.5" style="24" bestFit="1" customWidth="1"/>
    <col min="5900" max="6144" width="9" style="24"/>
    <col min="6145" max="6145" width="5" style="24" customWidth="1"/>
    <col min="6146" max="6146" width="13" style="24" customWidth="1"/>
    <col min="6147" max="6147" width="27.69921875" style="24" customWidth="1"/>
    <col min="6148" max="6148" width="21" style="24" customWidth="1"/>
    <col min="6149" max="6149" width="5.19921875" style="24" bestFit="1" customWidth="1"/>
    <col min="6150" max="6150" width="6.69921875" style="24" customWidth="1"/>
    <col min="6151" max="6151" width="11.8984375" style="24" customWidth="1"/>
    <col min="6152" max="6152" width="13.59765625" style="24" customWidth="1"/>
    <col min="6153" max="6153" width="12.69921875" style="24" customWidth="1"/>
    <col min="6154" max="6154" width="9.19921875" style="24" customWidth="1"/>
    <col min="6155" max="6155" width="11.5" style="24" bestFit="1" customWidth="1"/>
    <col min="6156" max="6400" width="9" style="24"/>
    <col min="6401" max="6401" width="5" style="24" customWidth="1"/>
    <col min="6402" max="6402" width="13" style="24" customWidth="1"/>
    <col min="6403" max="6403" width="27.69921875" style="24" customWidth="1"/>
    <col min="6404" max="6404" width="21" style="24" customWidth="1"/>
    <col min="6405" max="6405" width="5.19921875" style="24" bestFit="1" customWidth="1"/>
    <col min="6406" max="6406" width="6.69921875" style="24" customWidth="1"/>
    <col min="6407" max="6407" width="11.8984375" style="24" customWidth="1"/>
    <col min="6408" max="6408" width="13.59765625" style="24" customWidth="1"/>
    <col min="6409" max="6409" width="12.69921875" style="24" customWidth="1"/>
    <col min="6410" max="6410" width="9.19921875" style="24" customWidth="1"/>
    <col min="6411" max="6411" width="11.5" style="24" bestFit="1" customWidth="1"/>
    <col min="6412" max="6656" width="9" style="24"/>
    <col min="6657" max="6657" width="5" style="24" customWidth="1"/>
    <col min="6658" max="6658" width="13" style="24" customWidth="1"/>
    <col min="6659" max="6659" width="27.69921875" style="24" customWidth="1"/>
    <col min="6660" max="6660" width="21" style="24" customWidth="1"/>
    <col min="6661" max="6661" width="5.19921875" style="24" bestFit="1" customWidth="1"/>
    <col min="6662" max="6662" width="6.69921875" style="24" customWidth="1"/>
    <col min="6663" max="6663" width="11.8984375" style="24" customWidth="1"/>
    <col min="6664" max="6664" width="13.59765625" style="24" customWidth="1"/>
    <col min="6665" max="6665" width="12.69921875" style="24" customWidth="1"/>
    <col min="6666" max="6666" width="9.19921875" style="24" customWidth="1"/>
    <col min="6667" max="6667" width="11.5" style="24" bestFit="1" customWidth="1"/>
    <col min="6668" max="6912" width="9" style="24"/>
    <col min="6913" max="6913" width="5" style="24" customWidth="1"/>
    <col min="6914" max="6914" width="13" style="24" customWidth="1"/>
    <col min="6915" max="6915" width="27.69921875" style="24" customWidth="1"/>
    <col min="6916" max="6916" width="21" style="24" customWidth="1"/>
    <col min="6917" max="6917" width="5.19921875" style="24" bestFit="1" customWidth="1"/>
    <col min="6918" max="6918" width="6.69921875" style="24" customWidth="1"/>
    <col min="6919" max="6919" width="11.8984375" style="24" customWidth="1"/>
    <col min="6920" max="6920" width="13.59765625" style="24" customWidth="1"/>
    <col min="6921" max="6921" width="12.69921875" style="24" customWidth="1"/>
    <col min="6922" max="6922" width="9.19921875" style="24" customWidth="1"/>
    <col min="6923" max="6923" width="11.5" style="24" bestFit="1" customWidth="1"/>
    <col min="6924" max="7168" width="9" style="24"/>
    <col min="7169" max="7169" width="5" style="24" customWidth="1"/>
    <col min="7170" max="7170" width="13" style="24" customWidth="1"/>
    <col min="7171" max="7171" width="27.69921875" style="24" customWidth="1"/>
    <col min="7172" max="7172" width="21" style="24" customWidth="1"/>
    <col min="7173" max="7173" width="5.19921875" style="24" bestFit="1" customWidth="1"/>
    <col min="7174" max="7174" width="6.69921875" style="24" customWidth="1"/>
    <col min="7175" max="7175" width="11.8984375" style="24" customWidth="1"/>
    <col min="7176" max="7176" width="13.59765625" style="24" customWidth="1"/>
    <col min="7177" max="7177" width="12.69921875" style="24" customWidth="1"/>
    <col min="7178" max="7178" width="9.19921875" style="24" customWidth="1"/>
    <col min="7179" max="7179" width="11.5" style="24" bestFit="1" customWidth="1"/>
    <col min="7180" max="7424" width="9" style="24"/>
    <col min="7425" max="7425" width="5" style="24" customWidth="1"/>
    <col min="7426" max="7426" width="13" style="24" customWidth="1"/>
    <col min="7427" max="7427" width="27.69921875" style="24" customWidth="1"/>
    <col min="7428" max="7428" width="21" style="24" customWidth="1"/>
    <col min="7429" max="7429" width="5.19921875" style="24" bestFit="1" customWidth="1"/>
    <col min="7430" max="7430" width="6.69921875" style="24" customWidth="1"/>
    <col min="7431" max="7431" width="11.8984375" style="24" customWidth="1"/>
    <col min="7432" max="7432" width="13.59765625" style="24" customWidth="1"/>
    <col min="7433" max="7433" width="12.69921875" style="24" customWidth="1"/>
    <col min="7434" max="7434" width="9.19921875" style="24" customWidth="1"/>
    <col min="7435" max="7435" width="11.5" style="24" bestFit="1" customWidth="1"/>
    <col min="7436" max="7680" width="9" style="24"/>
    <col min="7681" max="7681" width="5" style="24" customWidth="1"/>
    <col min="7682" max="7682" width="13" style="24" customWidth="1"/>
    <col min="7683" max="7683" width="27.69921875" style="24" customWidth="1"/>
    <col min="7684" max="7684" width="21" style="24" customWidth="1"/>
    <col min="7685" max="7685" width="5.19921875" style="24" bestFit="1" customWidth="1"/>
    <col min="7686" max="7686" width="6.69921875" style="24" customWidth="1"/>
    <col min="7687" max="7687" width="11.8984375" style="24" customWidth="1"/>
    <col min="7688" max="7688" width="13.59765625" style="24" customWidth="1"/>
    <col min="7689" max="7689" width="12.69921875" style="24" customWidth="1"/>
    <col min="7690" max="7690" width="9.19921875" style="24" customWidth="1"/>
    <col min="7691" max="7691" width="11.5" style="24" bestFit="1" customWidth="1"/>
    <col min="7692" max="7936" width="9" style="24"/>
    <col min="7937" max="7937" width="5" style="24" customWidth="1"/>
    <col min="7938" max="7938" width="13" style="24" customWidth="1"/>
    <col min="7939" max="7939" width="27.69921875" style="24" customWidth="1"/>
    <col min="7940" max="7940" width="21" style="24" customWidth="1"/>
    <col min="7941" max="7941" width="5.19921875" style="24" bestFit="1" customWidth="1"/>
    <col min="7942" max="7942" width="6.69921875" style="24" customWidth="1"/>
    <col min="7943" max="7943" width="11.8984375" style="24" customWidth="1"/>
    <col min="7944" max="7944" width="13.59765625" style="24" customWidth="1"/>
    <col min="7945" max="7945" width="12.69921875" style="24" customWidth="1"/>
    <col min="7946" max="7946" width="9.19921875" style="24" customWidth="1"/>
    <col min="7947" max="7947" width="11.5" style="24" bestFit="1" customWidth="1"/>
    <col min="7948" max="8192" width="9" style="24"/>
    <col min="8193" max="8193" width="5" style="24" customWidth="1"/>
    <col min="8194" max="8194" width="13" style="24" customWidth="1"/>
    <col min="8195" max="8195" width="27.69921875" style="24" customWidth="1"/>
    <col min="8196" max="8196" width="21" style="24" customWidth="1"/>
    <col min="8197" max="8197" width="5.19921875" style="24" bestFit="1" customWidth="1"/>
    <col min="8198" max="8198" width="6.69921875" style="24" customWidth="1"/>
    <col min="8199" max="8199" width="11.8984375" style="24" customWidth="1"/>
    <col min="8200" max="8200" width="13.59765625" style="24" customWidth="1"/>
    <col min="8201" max="8201" width="12.69921875" style="24" customWidth="1"/>
    <col min="8202" max="8202" width="9.19921875" style="24" customWidth="1"/>
    <col min="8203" max="8203" width="11.5" style="24" bestFit="1" customWidth="1"/>
    <col min="8204" max="8448" width="9" style="24"/>
    <col min="8449" max="8449" width="5" style="24" customWidth="1"/>
    <col min="8450" max="8450" width="13" style="24" customWidth="1"/>
    <col min="8451" max="8451" width="27.69921875" style="24" customWidth="1"/>
    <col min="8452" max="8452" width="21" style="24" customWidth="1"/>
    <col min="8453" max="8453" width="5.19921875" style="24" bestFit="1" customWidth="1"/>
    <col min="8454" max="8454" width="6.69921875" style="24" customWidth="1"/>
    <col min="8455" max="8455" width="11.8984375" style="24" customWidth="1"/>
    <col min="8456" max="8456" width="13.59765625" style="24" customWidth="1"/>
    <col min="8457" max="8457" width="12.69921875" style="24" customWidth="1"/>
    <col min="8458" max="8458" width="9.19921875" style="24" customWidth="1"/>
    <col min="8459" max="8459" width="11.5" style="24" bestFit="1" customWidth="1"/>
    <col min="8460" max="8704" width="9" style="24"/>
    <col min="8705" max="8705" width="5" style="24" customWidth="1"/>
    <col min="8706" max="8706" width="13" style="24" customWidth="1"/>
    <col min="8707" max="8707" width="27.69921875" style="24" customWidth="1"/>
    <col min="8708" max="8708" width="21" style="24" customWidth="1"/>
    <col min="8709" max="8709" width="5.19921875" style="24" bestFit="1" customWidth="1"/>
    <col min="8710" max="8710" width="6.69921875" style="24" customWidth="1"/>
    <col min="8711" max="8711" width="11.8984375" style="24" customWidth="1"/>
    <col min="8712" max="8712" width="13.59765625" style="24" customWidth="1"/>
    <col min="8713" max="8713" width="12.69921875" style="24" customWidth="1"/>
    <col min="8714" max="8714" width="9.19921875" style="24" customWidth="1"/>
    <col min="8715" max="8715" width="11.5" style="24" bestFit="1" customWidth="1"/>
    <col min="8716" max="8960" width="9" style="24"/>
    <col min="8961" max="8961" width="5" style="24" customWidth="1"/>
    <col min="8962" max="8962" width="13" style="24" customWidth="1"/>
    <col min="8963" max="8963" width="27.69921875" style="24" customWidth="1"/>
    <col min="8964" max="8964" width="21" style="24" customWidth="1"/>
    <col min="8965" max="8965" width="5.19921875" style="24" bestFit="1" customWidth="1"/>
    <col min="8966" max="8966" width="6.69921875" style="24" customWidth="1"/>
    <col min="8967" max="8967" width="11.8984375" style="24" customWidth="1"/>
    <col min="8968" max="8968" width="13.59765625" style="24" customWidth="1"/>
    <col min="8969" max="8969" width="12.69921875" style="24" customWidth="1"/>
    <col min="8970" max="8970" width="9.19921875" style="24" customWidth="1"/>
    <col min="8971" max="8971" width="11.5" style="24" bestFit="1" customWidth="1"/>
    <col min="8972" max="9216" width="9" style="24"/>
    <col min="9217" max="9217" width="5" style="24" customWidth="1"/>
    <col min="9218" max="9218" width="13" style="24" customWidth="1"/>
    <col min="9219" max="9219" width="27.69921875" style="24" customWidth="1"/>
    <col min="9220" max="9220" width="21" style="24" customWidth="1"/>
    <col min="9221" max="9221" width="5.19921875" style="24" bestFit="1" customWidth="1"/>
    <col min="9222" max="9222" width="6.69921875" style="24" customWidth="1"/>
    <col min="9223" max="9223" width="11.8984375" style="24" customWidth="1"/>
    <col min="9224" max="9224" width="13.59765625" style="24" customWidth="1"/>
    <col min="9225" max="9225" width="12.69921875" style="24" customWidth="1"/>
    <col min="9226" max="9226" width="9.19921875" style="24" customWidth="1"/>
    <col min="9227" max="9227" width="11.5" style="24" bestFit="1" customWidth="1"/>
    <col min="9228" max="9472" width="9" style="24"/>
    <col min="9473" max="9473" width="5" style="24" customWidth="1"/>
    <col min="9474" max="9474" width="13" style="24" customWidth="1"/>
    <col min="9475" max="9475" width="27.69921875" style="24" customWidth="1"/>
    <col min="9476" max="9476" width="21" style="24" customWidth="1"/>
    <col min="9477" max="9477" width="5.19921875" style="24" bestFit="1" customWidth="1"/>
    <col min="9478" max="9478" width="6.69921875" style="24" customWidth="1"/>
    <col min="9479" max="9479" width="11.8984375" style="24" customWidth="1"/>
    <col min="9480" max="9480" width="13.59765625" style="24" customWidth="1"/>
    <col min="9481" max="9481" width="12.69921875" style="24" customWidth="1"/>
    <col min="9482" max="9482" width="9.19921875" style="24" customWidth="1"/>
    <col min="9483" max="9483" width="11.5" style="24" bestFit="1" customWidth="1"/>
    <col min="9484" max="9728" width="9" style="24"/>
    <col min="9729" max="9729" width="5" style="24" customWidth="1"/>
    <col min="9730" max="9730" width="13" style="24" customWidth="1"/>
    <col min="9731" max="9731" width="27.69921875" style="24" customWidth="1"/>
    <col min="9732" max="9732" width="21" style="24" customWidth="1"/>
    <col min="9733" max="9733" width="5.19921875" style="24" bestFit="1" customWidth="1"/>
    <col min="9734" max="9734" width="6.69921875" style="24" customWidth="1"/>
    <col min="9735" max="9735" width="11.8984375" style="24" customWidth="1"/>
    <col min="9736" max="9736" width="13.59765625" style="24" customWidth="1"/>
    <col min="9737" max="9737" width="12.69921875" style="24" customWidth="1"/>
    <col min="9738" max="9738" width="9.19921875" style="24" customWidth="1"/>
    <col min="9739" max="9739" width="11.5" style="24" bestFit="1" customWidth="1"/>
    <col min="9740" max="9984" width="9" style="24"/>
    <col min="9985" max="9985" width="5" style="24" customWidth="1"/>
    <col min="9986" max="9986" width="13" style="24" customWidth="1"/>
    <col min="9987" max="9987" width="27.69921875" style="24" customWidth="1"/>
    <col min="9988" max="9988" width="21" style="24" customWidth="1"/>
    <col min="9989" max="9989" width="5.19921875" style="24" bestFit="1" customWidth="1"/>
    <col min="9990" max="9990" width="6.69921875" style="24" customWidth="1"/>
    <col min="9991" max="9991" width="11.8984375" style="24" customWidth="1"/>
    <col min="9992" max="9992" width="13.59765625" style="24" customWidth="1"/>
    <col min="9993" max="9993" width="12.69921875" style="24" customWidth="1"/>
    <col min="9994" max="9994" width="9.19921875" style="24" customWidth="1"/>
    <col min="9995" max="9995" width="11.5" style="24" bestFit="1" customWidth="1"/>
    <col min="9996" max="10240" width="9" style="24"/>
    <col min="10241" max="10241" width="5" style="24" customWidth="1"/>
    <col min="10242" max="10242" width="13" style="24" customWidth="1"/>
    <col min="10243" max="10243" width="27.69921875" style="24" customWidth="1"/>
    <col min="10244" max="10244" width="21" style="24" customWidth="1"/>
    <col min="10245" max="10245" width="5.19921875" style="24" bestFit="1" customWidth="1"/>
    <col min="10246" max="10246" width="6.69921875" style="24" customWidth="1"/>
    <col min="10247" max="10247" width="11.8984375" style="24" customWidth="1"/>
    <col min="10248" max="10248" width="13.59765625" style="24" customWidth="1"/>
    <col min="10249" max="10249" width="12.69921875" style="24" customWidth="1"/>
    <col min="10250" max="10250" width="9.19921875" style="24" customWidth="1"/>
    <col min="10251" max="10251" width="11.5" style="24" bestFit="1" customWidth="1"/>
    <col min="10252" max="10496" width="9" style="24"/>
    <col min="10497" max="10497" width="5" style="24" customWidth="1"/>
    <col min="10498" max="10498" width="13" style="24" customWidth="1"/>
    <col min="10499" max="10499" width="27.69921875" style="24" customWidth="1"/>
    <col min="10500" max="10500" width="21" style="24" customWidth="1"/>
    <col min="10501" max="10501" width="5.19921875" style="24" bestFit="1" customWidth="1"/>
    <col min="10502" max="10502" width="6.69921875" style="24" customWidth="1"/>
    <col min="10503" max="10503" width="11.8984375" style="24" customWidth="1"/>
    <col min="10504" max="10504" width="13.59765625" style="24" customWidth="1"/>
    <col min="10505" max="10505" width="12.69921875" style="24" customWidth="1"/>
    <col min="10506" max="10506" width="9.19921875" style="24" customWidth="1"/>
    <col min="10507" max="10507" width="11.5" style="24" bestFit="1" customWidth="1"/>
    <col min="10508" max="10752" width="9" style="24"/>
    <col min="10753" max="10753" width="5" style="24" customWidth="1"/>
    <col min="10754" max="10754" width="13" style="24" customWidth="1"/>
    <col min="10755" max="10755" width="27.69921875" style="24" customWidth="1"/>
    <col min="10756" max="10756" width="21" style="24" customWidth="1"/>
    <col min="10757" max="10757" width="5.19921875" style="24" bestFit="1" customWidth="1"/>
    <col min="10758" max="10758" width="6.69921875" style="24" customWidth="1"/>
    <col min="10759" max="10759" width="11.8984375" style="24" customWidth="1"/>
    <col min="10760" max="10760" width="13.59765625" style="24" customWidth="1"/>
    <col min="10761" max="10761" width="12.69921875" style="24" customWidth="1"/>
    <col min="10762" max="10762" width="9.19921875" style="24" customWidth="1"/>
    <col min="10763" max="10763" width="11.5" style="24" bestFit="1" customWidth="1"/>
    <col min="10764" max="11008" width="9" style="24"/>
    <col min="11009" max="11009" width="5" style="24" customWidth="1"/>
    <col min="11010" max="11010" width="13" style="24" customWidth="1"/>
    <col min="11011" max="11011" width="27.69921875" style="24" customWidth="1"/>
    <col min="11012" max="11012" width="21" style="24" customWidth="1"/>
    <col min="11013" max="11013" width="5.19921875" style="24" bestFit="1" customWidth="1"/>
    <col min="11014" max="11014" width="6.69921875" style="24" customWidth="1"/>
    <col min="11015" max="11015" width="11.8984375" style="24" customWidth="1"/>
    <col min="11016" max="11016" width="13.59765625" style="24" customWidth="1"/>
    <col min="11017" max="11017" width="12.69921875" style="24" customWidth="1"/>
    <col min="11018" max="11018" width="9.19921875" style="24" customWidth="1"/>
    <col min="11019" max="11019" width="11.5" style="24" bestFit="1" customWidth="1"/>
    <col min="11020" max="11264" width="9" style="24"/>
    <col min="11265" max="11265" width="5" style="24" customWidth="1"/>
    <col min="11266" max="11266" width="13" style="24" customWidth="1"/>
    <col min="11267" max="11267" width="27.69921875" style="24" customWidth="1"/>
    <col min="11268" max="11268" width="21" style="24" customWidth="1"/>
    <col min="11269" max="11269" width="5.19921875" style="24" bestFit="1" customWidth="1"/>
    <col min="11270" max="11270" width="6.69921875" style="24" customWidth="1"/>
    <col min="11271" max="11271" width="11.8984375" style="24" customWidth="1"/>
    <col min="11272" max="11272" width="13.59765625" style="24" customWidth="1"/>
    <col min="11273" max="11273" width="12.69921875" style="24" customWidth="1"/>
    <col min="11274" max="11274" width="9.19921875" style="24" customWidth="1"/>
    <col min="11275" max="11275" width="11.5" style="24" bestFit="1" customWidth="1"/>
    <col min="11276" max="11520" width="9" style="24"/>
    <col min="11521" max="11521" width="5" style="24" customWidth="1"/>
    <col min="11522" max="11522" width="13" style="24" customWidth="1"/>
    <col min="11523" max="11523" width="27.69921875" style="24" customWidth="1"/>
    <col min="11524" max="11524" width="21" style="24" customWidth="1"/>
    <col min="11525" max="11525" width="5.19921875" style="24" bestFit="1" customWidth="1"/>
    <col min="11526" max="11526" width="6.69921875" style="24" customWidth="1"/>
    <col min="11527" max="11527" width="11.8984375" style="24" customWidth="1"/>
    <col min="11528" max="11528" width="13.59765625" style="24" customWidth="1"/>
    <col min="11529" max="11529" width="12.69921875" style="24" customWidth="1"/>
    <col min="11530" max="11530" width="9.19921875" style="24" customWidth="1"/>
    <col min="11531" max="11531" width="11.5" style="24" bestFit="1" customWidth="1"/>
    <col min="11532" max="11776" width="9" style="24"/>
    <col min="11777" max="11777" width="5" style="24" customWidth="1"/>
    <col min="11778" max="11778" width="13" style="24" customWidth="1"/>
    <col min="11779" max="11779" width="27.69921875" style="24" customWidth="1"/>
    <col min="11780" max="11780" width="21" style="24" customWidth="1"/>
    <col min="11781" max="11781" width="5.19921875" style="24" bestFit="1" customWidth="1"/>
    <col min="11782" max="11782" width="6.69921875" style="24" customWidth="1"/>
    <col min="11783" max="11783" width="11.8984375" style="24" customWidth="1"/>
    <col min="11784" max="11784" width="13.59765625" style="24" customWidth="1"/>
    <col min="11785" max="11785" width="12.69921875" style="24" customWidth="1"/>
    <col min="11786" max="11786" width="9.19921875" style="24" customWidth="1"/>
    <col min="11787" max="11787" width="11.5" style="24" bestFit="1" customWidth="1"/>
    <col min="11788" max="12032" width="9" style="24"/>
    <col min="12033" max="12033" width="5" style="24" customWidth="1"/>
    <col min="12034" max="12034" width="13" style="24" customWidth="1"/>
    <col min="12035" max="12035" width="27.69921875" style="24" customWidth="1"/>
    <col min="12036" max="12036" width="21" style="24" customWidth="1"/>
    <col min="12037" max="12037" width="5.19921875" style="24" bestFit="1" customWidth="1"/>
    <col min="12038" max="12038" width="6.69921875" style="24" customWidth="1"/>
    <col min="12039" max="12039" width="11.8984375" style="24" customWidth="1"/>
    <col min="12040" max="12040" width="13.59765625" style="24" customWidth="1"/>
    <col min="12041" max="12041" width="12.69921875" style="24" customWidth="1"/>
    <col min="12042" max="12042" width="9.19921875" style="24" customWidth="1"/>
    <col min="12043" max="12043" width="11.5" style="24" bestFit="1" customWidth="1"/>
    <col min="12044" max="12288" width="9" style="24"/>
    <col min="12289" max="12289" width="5" style="24" customWidth="1"/>
    <col min="12290" max="12290" width="13" style="24" customWidth="1"/>
    <col min="12291" max="12291" width="27.69921875" style="24" customWidth="1"/>
    <col min="12292" max="12292" width="21" style="24" customWidth="1"/>
    <col min="12293" max="12293" width="5.19921875" style="24" bestFit="1" customWidth="1"/>
    <col min="12294" max="12294" width="6.69921875" style="24" customWidth="1"/>
    <col min="12295" max="12295" width="11.8984375" style="24" customWidth="1"/>
    <col min="12296" max="12296" width="13.59765625" style="24" customWidth="1"/>
    <col min="12297" max="12297" width="12.69921875" style="24" customWidth="1"/>
    <col min="12298" max="12298" width="9.19921875" style="24" customWidth="1"/>
    <col min="12299" max="12299" width="11.5" style="24" bestFit="1" customWidth="1"/>
    <col min="12300" max="12544" width="9" style="24"/>
    <col min="12545" max="12545" width="5" style="24" customWidth="1"/>
    <col min="12546" max="12546" width="13" style="24" customWidth="1"/>
    <col min="12547" max="12547" width="27.69921875" style="24" customWidth="1"/>
    <col min="12548" max="12548" width="21" style="24" customWidth="1"/>
    <col min="12549" max="12549" width="5.19921875" style="24" bestFit="1" customWidth="1"/>
    <col min="12550" max="12550" width="6.69921875" style="24" customWidth="1"/>
    <col min="12551" max="12551" width="11.8984375" style="24" customWidth="1"/>
    <col min="12552" max="12552" width="13.59765625" style="24" customWidth="1"/>
    <col min="12553" max="12553" width="12.69921875" style="24" customWidth="1"/>
    <col min="12554" max="12554" width="9.19921875" style="24" customWidth="1"/>
    <col min="12555" max="12555" width="11.5" style="24" bestFit="1" customWidth="1"/>
    <col min="12556" max="12800" width="9" style="24"/>
    <col min="12801" max="12801" width="5" style="24" customWidth="1"/>
    <col min="12802" max="12802" width="13" style="24" customWidth="1"/>
    <col min="12803" max="12803" width="27.69921875" style="24" customWidth="1"/>
    <col min="12804" max="12804" width="21" style="24" customWidth="1"/>
    <col min="12805" max="12805" width="5.19921875" style="24" bestFit="1" customWidth="1"/>
    <col min="12806" max="12806" width="6.69921875" style="24" customWidth="1"/>
    <col min="12807" max="12807" width="11.8984375" style="24" customWidth="1"/>
    <col min="12808" max="12808" width="13.59765625" style="24" customWidth="1"/>
    <col min="12809" max="12809" width="12.69921875" style="24" customWidth="1"/>
    <col min="12810" max="12810" width="9.19921875" style="24" customWidth="1"/>
    <col min="12811" max="12811" width="11.5" style="24" bestFit="1" customWidth="1"/>
    <col min="12812" max="13056" width="9" style="24"/>
    <col min="13057" max="13057" width="5" style="24" customWidth="1"/>
    <col min="13058" max="13058" width="13" style="24" customWidth="1"/>
    <col min="13059" max="13059" width="27.69921875" style="24" customWidth="1"/>
    <col min="13060" max="13060" width="21" style="24" customWidth="1"/>
    <col min="13061" max="13061" width="5.19921875" style="24" bestFit="1" customWidth="1"/>
    <col min="13062" max="13062" width="6.69921875" style="24" customWidth="1"/>
    <col min="13063" max="13063" width="11.8984375" style="24" customWidth="1"/>
    <col min="13064" max="13064" width="13.59765625" style="24" customWidth="1"/>
    <col min="13065" max="13065" width="12.69921875" style="24" customWidth="1"/>
    <col min="13066" max="13066" width="9.19921875" style="24" customWidth="1"/>
    <col min="13067" max="13067" width="11.5" style="24" bestFit="1" customWidth="1"/>
    <col min="13068" max="13312" width="9" style="24"/>
    <col min="13313" max="13313" width="5" style="24" customWidth="1"/>
    <col min="13314" max="13314" width="13" style="24" customWidth="1"/>
    <col min="13315" max="13315" width="27.69921875" style="24" customWidth="1"/>
    <col min="13316" max="13316" width="21" style="24" customWidth="1"/>
    <col min="13317" max="13317" width="5.19921875" style="24" bestFit="1" customWidth="1"/>
    <col min="13318" max="13318" width="6.69921875" style="24" customWidth="1"/>
    <col min="13319" max="13319" width="11.8984375" style="24" customWidth="1"/>
    <col min="13320" max="13320" width="13.59765625" style="24" customWidth="1"/>
    <col min="13321" max="13321" width="12.69921875" style="24" customWidth="1"/>
    <col min="13322" max="13322" width="9.19921875" style="24" customWidth="1"/>
    <col min="13323" max="13323" width="11.5" style="24" bestFit="1" customWidth="1"/>
    <col min="13324" max="13568" width="9" style="24"/>
    <col min="13569" max="13569" width="5" style="24" customWidth="1"/>
    <col min="13570" max="13570" width="13" style="24" customWidth="1"/>
    <col min="13571" max="13571" width="27.69921875" style="24" customWidth="1"/>
    <col min="13572" max="13572" width="21" style="24" customWidth="1"/>
    <col min="13573" max="13573" width="5.19921875" style="24" bestFit="1" customWidth="1"/>
    <col min="13574" max="13574" width="6.69921875" style="24" customWidth="1"/>
    <col min="13575" max="13575" width="11.8984375" style="24" customWidth="1"/>
    <col min="13576" max="13576" width="13.59765625" style="24" customWidth="1"/>
    <col min="13577" max="13577" width="12.69921875" style="24" customWidth="1"/>
    <col min="13578" max="13578" width="9.19921875" style="24" customWidth="1"/>
    <col min="13579" max="13579" width="11.5" style="24" bestFit="1" customWidth="1"/>
    <col min="13580" max="13824" width="9" style="24"/>
    <col min="13825" max="13825" width="5" style="24" customWidth="1"/>
    <col min="13826" max="13826" width="13" style="24" customWidth="1"/>
    <col min="13827" max="13827" width="27.69921875" style="24" customWidth="1"/>
    <col min="13828" max="13828" width="21" style="24" customWidth="1"/>
    <col min="13829" max="13829" width="5.19921875" style="24" bestFit="1" customWidth="1"/>
    <col min="13830" max="13830" width="6.69921875" style="24" customWidth="1"/>
    <col min="13831" max="13831" width="11.8984375" style="24" customWidth="1"/>
    <col min="13832" max="13832" width="13.59765625" style="24" customWidth="1"/>
    <col min="13833" max="13833" width="12.69921875" style="24" customWidth="1"/>
    <col min="13834" max="13834" width="9.19921875" style="24" customWidth="1"/>
    <col min="13835" max="13835" width="11.5" style="24" bestFit="1" customWidth="1"/>
    <col min="13836" max="14080" width="9" style="24"/>
    <col min="14081" max="14081" width="5" style="24" customWidth="1"/>
    <col min="14082" max="14082" width="13" style="24" customWidth="1"/>
    <col min="14083" max="14083" width="27.69921875" style="24" customWidth="1"/>
    <col min="14084" max="14084" width="21" style="24" customWidth="1"/>
    <col min="14085" max="14085" width="5.19921875" style="24" bestFit="1" customWidth="1"/>
    <col min="14086" max="14086" width="6.69921875" style="24" customWidth="1"/>
    <col min="14087" max="14087" width="11.8984375" style="24" customWidth="1"/>
    <col min="14088" max="14088" width="13.59765625" style="24" customWidth="1"/>
    <col min="14089" max="14089" width="12.69921875" style="24" customWidth="1"/>
    <col min="14090" max="14090" width="9.19921875" style="24" customWidth="1"/>
    <col min="14091" max="14091" width="11.5" style="24" bestFit="1" customWidth="1"/>
    <col min="14092" max="14336" width="9" style="24"/>
    <col min="14337" max="14337" width="5" style="24" customWidth="1"/>
    <col min="14338" max="14338" width="13" style="24" customWidth="1"/>
    <col min="14339" max="14339" width="27.69921875" style="24" customWidth="1"/>
    <col min="14340" max="14340" width="21" style="24" customWidth="1"/>
    <col min="14341" max="14341" width="5.19921875" style="24" bestFit="1" customWidth="1"/>
    <col min="14342" max="14342" width="6.69921875" style="24" customWidth="1"/>
    <col min="14343" max="14343" width="11.8984375" style="24" customWidth="1"/>
    <col min="14344" max="14344" width="13.59765625" style="24" customWidth="1"/>
    <col min="14345" max="14345" width="12.69921875" style="24" customWidth="1"/>
    <col min="14346" max="14346" width="9.19921875" style="24" customWidth="1"/>
    <col min="14347" max="14347" width="11.5" style="24" bestFit="1" customWidth="1"/>
    <col min="14348" max="14592" width="9" style="24"/>
    <col min="14593" max="14593" width="5" style="24" customWidth="1"/>
    <col min="14594" max="14594" width="13" style="24" customWidth="1"/>
    <col min="14595" max="14595" width="27.69921875" style="24" customWidth="1"/>
    <col min="14596" max="14596" width="21" style="24" customWidth="1"/>
    <col min="14597" max="14597" width="5.19921875" style="24" bestFit="1" customWidth="1"/>
    <col min="14598" max="14598" width="6.69921875" style="24" customWidth="1"/>
    <col min="14599" max="14599" width="11.8984375" style="24" customWidth="1"/>
    <col min="14600" max="14600" width="13.59765625" style="24" customWidth="1"/>
    <col min="14601" max="14601" width="12.69921875" style="24" customWidth="1"/>
    <col min="14602" max="14602" width="9.19921875" style="24" customWidth="1"/>
    <col min="14603" max="14603" width="11.5" style="24" bestFit="1" customWidth="1"/>
    <col min="14604" max="14848" width="9" style="24"/>
    <col min="14849" max="14849" width="5" style="24" customWidth="1"/>
    <col min="14850" max="14850" width="13" style="24" customWidth="1"/>
    <col min="14851" max="14851" width="27.69921875" style="24" customWidth="1"/>
    <col min="14852" max="14852" width="21" style="24" customWidth="1"/>
    <col min="14853" max="14853" width="5.19921875" style="24" bestFit="1" customWidth="1"/>
    <col min="14854" max="14854" width="6.69921875" style="24" customWidth="1"/>
    <col min="14855" max="14855" width="11.8984375" style="24" customWidth="1"/>
    <col min="14856" max="14856" width="13.59765625" style="24" customWidth="1"/>
    <col min="14857" max="14857" width="12.69921875" style="24" customWidth="1"/>
    <col min="14858" max="14858" width="9.19921875" style="24" customWidth="1"/>
    <col min="14859" max="14859" width="11.5" style="24" bestFit="1" customWidth="1"/>
    <col min="14860" max="15104" width="9" style="24"/>
    <col min="15105" max="15105" width="5" style="24" customWidth="1"/>
    <col min="15106" max="15106" width="13" style="24" customWidth="1"/>
    <col min="15107" max="15107" width="27.69921875" style="24" customWidth="1"/>
    <col min="15108" max="15108" width="21" style="24" customWidth="1"/>
    <col min="15109" max="15109" width="5.19921875" style="24" bestFit="1" customWidth="1"/>
    <col min="15110" max="15110" width="6.69921875" style="24" customWidth="1"/>
    <col min="15111" max="15111" width="11.8984375" style="24" customWidth="1"/>
    <col min="15112" max="15112" width="13.59765625" style="24" customWidth="1"/>
    <col min="15113" max="15113" width="12.69921875" style="24" customWidth="1"/>
    <col min="15114" max="15114" width="9.19921875" style="24" customWidth="1"/>
    <col min="15115" max="15115" width="11.5" style="24" bestFit="1" customWidth="1"/>
    <col min="15116" max="15360" width="9" style="24"/>
    <col min="15361" max="15361" width="5" style="24" customWidth="1"/>
    <col min="15362" max="15362" width="13" style="24" customWidth="1"/>
    <col min="15363" max="15363" width="27.69921875" style="24" customWidth="1"/>
    <col min="15364" max="15364" width="21" style="24" customWidth="1"/>
    <col min="15365" max="15365" width="5.19921875" style="24" bestFit="1" customWidth="1"/>
    <col min="15366" max="15366" width="6.69921875" style="24" customWidth="1"/>
    <col min="15367" max="15367" width="11.8984375" style="24" customWidth="1"/>
    <col min="15368" max="15368" width="13.59765625" style="24" customWidth="1"/>
    <col min="15369" max="15369" width="12.69921875" style="24" customWidth="1"/>
    <col min="15370" max="15370" width="9.19921875" style="24" customWidth="1"/>
    <col min="15371" max="15371" width="11.5" style="24" bestFit="1" customWidth="1"/>
    <col min="15372" max="15616" width="9" style="24"/>
    <col min="15617" max="15617" width="5" style="24" customWidth="1"/>
    <col min="15618" max="15618" width="13" style="24" customWidth="1"/>
    <col min="15619" max="15619" width="27.69921875" style="24" customWidth="1"/>
    <col min="15620" max="15620" width="21" style="24" customWidth="1"/>
    <col min="15621" max="15621" width="5.19921875" style="24" bestFit="1" customWidth="1"/>
    <col min="15622" max="15622" width="6.69921875" style="24" customWidth="1"/>
    <col min="15623" max="15623" width="11.8984375" style="24" customWidth="1"/>
    <col min="15624" max="15624" width="13.59765625" style="24" customWidth="1"/>
    <col min="15625" max="15625" width="12.69921875" style="24" customWidth="1"/>
    <col min="15626" max="15626" width="9.19921875" style="24" customWidth="1"/>
    <col min="15627" max="15627" width="11.5" style="24" bestFit="1" customWidth="1"/>
    <col min="15628" max="15872" width="9" style="24"/>
    <col min="15873" max="15873" width="5" style="24" customWidth="1"/>
    <col min="15874" max="15874" width="13" style="24" customWidth="1"/>
    <col min="15875" max="15875" width="27.69921875" style="24" customWidth="1"/>
    <col min="15876" max="15876" width="21" style="24" customWidth="1"/>
    <col min="15877" max="15877" width="5.19921875" style="24" bestFit="1" customWidth="1"/>
    <col min="15878" max="15878" width="6.69921875" style="24" customWidth="1"/>
    <col min="15879" max="15879" width="11.8984375" style="24" customWidth="1"/>
    <col min="15880" max="15880" width="13.59765625" style="24" customWidth="1"/>
    <col min="15881" max="15881" width="12.69921875" style="24" customWidth="1"/>
    <col min="15882" max="15882" width="9.19921875" style="24" customWidth="1"/>
    <col min="15883" max="15883" width="11.5" style="24" bestFit="1" customWidth="1"/>
    <col min="15884" max="16128" width="9" style="24"/>
    <col min="16129" max="16129" width="5" style="24" customWidth="1"/>
    <col min="16130" max="16130" width="13" style="24" customWidth="1"/>
    <col min="16131" max="16131" width="27.69921875" style="24" customWidth="1"/>
    <col min="16132" max="16132" width="21" style="24" customWidth="1"/>
    <col min="16133" max="16133" width="5.19921875" style="24" bestFit="1" customWidth="1"/>
    <col min="16134" max="16134" width="6.69921875" style="24" customWidth="1"/>
    <col min="16135" max="16135" width="11.8984375" style="24" customWidth="1"/>
    <col min="16136" max="16136" width="13.59765625" style="24" customWidth="1"/>
    <col min="16137" max="16137" width="12.69921875" style="24" customWidth="1"/>
    <col min="16138" max="16138" width="9.19921875" style="24" customWidth="1"/>
    <col min="16139" max="16139" width="11.5" style="24" bestFit="1" customWidth="1"/>
    <col min="16140" max="16384" width="9" style="24"/>
  </cols>
  <sheetData>
    <row r="1" spans="1:9" ht="22.5" customHeight="1">
      <c r="B1" s="201" t="s">
        <v>117</v>
      </c>
      <c r="C1" s="442" t="s">
        <v>191</v>
      </c>
      <c r="D1" s="443"/>
      <c r="F1" s="202"/>
      <c r="I1" s="24" t="s">
        <v>118</v>
      </c>
    </row>
    <row r="2" spans="1:9" s="26" customFormat="1" ht="16.5" customHeight="1">
      <c r="A2" s="337" t="s">
        <v>119</v>
      </c>
      <c r="B2" s="339"/>
      <c r="C2" s="203" t="s">
        <v>120</v>
      </c>
      <c r="D2" s="204" t="s">
        <v>121</v>
      </c>
      <c r="E2" s="204" t="s">
        <v>38</v>
      </c>
      <c r="F2" s="205" t="s">
        <v>39</v>
      </c>
      <c r="G2" s="205" t="s">
        <v>122</v>
      </c>
      <c r="H2" s="205" t="s">
        <v>123</v>
      </c>
      <c r="I2" s="204" t="s">
        <v>124</v>
      </c>
    </row>
    <row r="3" spans="1:9" ht="15.9" customHeight="1">
      <c r="A3" s="429" t="s">
        <v>125</v>
      </c>
      <c r="B3" s="206" t="s">
        <v>126</v>
      </c>
      <c r="C3" s="207"/>
      <c r="D3" s="207"/>
      <c r="E3" s="208"/>
      <c r="F3" s="209"/>
      <c r="G3" s="210"/>
      <c r="H3" s="211">
        <f>IF(F3=0,G3,G3*F3)</f>
        <v>0</v>
      </c>
      <c r="I3" s="212"/>
    </row>
    <row r="4" spans="1:9" ht="15.9" customHeight="1">
      <c r="A4" s="430"/>
      <c r="B4" s="206"/>
      <c r="C4" s="213"/>
      <c r="D4" s="207"/>
      <c r="E4" s="208"/>
      <c r="F4" s="209"/>
      <c r="G4" s="210"/>
      <c r="H4" s="165">
        <f>IF(F4=0,G4,G4*F4)</f>
        <v>0</v>
      </c>
      <c r="I4" s="39"/>
    </row>
    <row r="5" spans="1:9" ht="15.9" customHeight="1">
      <c r="A5" s="430"/>
      <c r="B5" s="206"/>
      <c r="C5" s="217"/>
      <c r="D5" s="217"/>
      <c r="E5" s="218"/>
      <c r="F5" s="219"/>
      <c r="G5" s="220"/>
      <c r="H5" s="165">
        <f>IF(F5=0,G5,G5*F5)</f>
        <v>0</v>
      </c>
      <c r="I5" s="42"/>
    </row>
    <row r="6" spans="1:9" ht="15.9" customHeight="1">
      <c r="A6" s="430"/>
      <c r="B6" s="221"/>
      <c r="C6" s="222"/>
      <c r="D6" s="223"/>
      <c r="E6" s="203"/>
      <c r="F6" s="224"/>
      <c r="G6" s="225"/>
      <c r="H6" s="49">
        <f>SUM(H3:H5)</f>
        <v>0</v>
      </c>
      <c r="I6" s="46"/>
    </row>
    <row r="7" spans="1:9" ht="15.9" customHeight="1">
      <c r="A7" s="430"/>
      <c r="B7" s="226" t="s">
        <v>127</v>
      </c>
      <c r="C7" s="227"/>
      <c r="D7" s="227"/>
      <c r="E7" s="228"/>
      <c r="F7" s="229"/>
      <c r="G7" s="230"/>
      <c r="H7" s="231">
        <f>IF(F7=0,G7,G7*F7)</f>
        <v>0</v>
      </c>
      <c r="I7" s="232"/>
    </row>
    <row r="8" spans="1:9" ht="15.9" customHeight="1">
      <c r="A8" s="430"/>
      <c r="B8" s="233" t="s">
        <v>128</v>
      </c>
      <c r="C8" s="213"/>
      <c r="D8" s="213"/>
      <c r="E8" s="214"/>
      <c r="F8" s="215"/>
      <c r="G8" s="216"/>
      <c r="H8" s="165">
        <f>IF(F8=0,G8,G8*F8)</f>
        <v>0</v>
      </c>
      <c r="I8" s="39"/>
    </row>
    <row r="9" spans="1:9" ht="15.9" customHeight="1">
      <c r="A9" s="430"/>
      <c r="B9" s="206"/>
      <c r="C9" s="217" t="s">
        <v>146</v>
      </c>
      <c r="D9" s="234"/>
      <c r="E9" s="218" t="s">
        <v>146</v>
      </c>
      <c r="F9" s="235"/>
      <c r="G9" s="236"/>
      <c r="H9" s="237">
        <f>IF(F9=0,G9,G9*F9)</f>
        <v>0</v>
      </c>
      <c r="I9" s="238"/>
    </row>
    <row r="10" spans="1:9" ht="15.9" customHeight="1">
      <c r="A10" s="430"/>
      <c r="B10" s="206"/>
      <c r="C10" s="239"/>
      <c r="D10" s="240"/>
      <c r="E10" s="241"/>
      <c r="F10" s="242"/>
      <c r="G10" s="243"/>
      <c r="H10" s="244">
        <f>SUM(H7:H9)</f>
        <v>0</v>
      </c>
      <c r="I10" s="240"/>
    </row>
    <row r="11" spans="1:9" ht="15.9" customHeight="1">
      <c r="A11" s="430"/>
      <c r="B11" s="245" t="s">
        <v>192</v>
      </c>
      <c r="C11" s="292" t="s">
        <v>193</v>
      </c>
      <c r="D11" s="292" t="s">
        <v>194</v>
      </c>
      <c r="E11" s="444" t="s">
        <v>151</v>
      </c>
      <c r="F11" s="445">
        <v>1</v>
      </c>
      <c r="G11" s="446">
        <v>2800000</v>
      </c>
      <c r="H11" s="231">
        <f>IF(F11=0,G11,G11*F11)</f>
        <v>2800000</v>
      </c>
      <c r="I11" s="232" t="s">
        <v>195</v>
      </c>
    </row>
    <row r="12" spans="1:9" ht="15.9" customHeight="1">
      <c r="A12" s="430"/>
      <c r="B12" s="206"/>
      <c r="C12" s="271" t="s">
        <v>196</v>
      </c>
      <c r="D12" s="271"/>
      <c r="E12" s="272" t="s">
        <v>151</v>
      </c>
      <c r="F12" s="273">
        <v>1</v>
      </c>
      <c r="G12" s="274">
        <v>9000000</v>
      </c>
      <c r="H12" s="165">
        <f t="shared" ref="H12:H44" si="0">IF(F12=0,G12,G12*F12)</f>
        <v>9000000</v>
      </c>
      <c r="I12" s="39" t="s">
        <v>197</v>
      </c>
    </row>
    <row r="13" spans="1:9" ht="15.9" customHeight="1">
      <c r="A13" s="430"/>
      <c r="B13" s="206"/>
      <c r="C13" s="271" t="s">
        <v>198</v>
      </c>
      <c r="D13" s="271"/>
      <c r="E13" s="272" t="s">
        <v>199</v>
      </c>
      <c r="F13" s="273">
        <v>1</v>
      </c>
      <c r="G13" s="274">
        <v>7000000</v>
      </c>
      <c r="H13" s="165">
        <f t="shared" si="0"/>
        <v>7000000</v>
      </c>
      <c r="I13" s="39" t="s">
        <v>200</v>
      </c>
    </row>
    <row r="14" spans="1:9" ht="15.9" customHeight="1">
      <c r="A14" s="430"/>
      <c r="B14" s="206"/>
      <c r="C14" s="271" t="s">
        <v>201</v>
      </c>
      <c r="D14" s="271"/>
      <c r="E14" s="272" t="s">
        <v>199</v>
      </c>
      <c r="F14" s="273">
        <v>1</v>
      </c>
      <c r="G14" s="274">
        <v>6000000</v>
      </c>
      <c r="H14" s="165">
        <f t="shared" si="0"/>
        <v>6000000</v>
      </c>
      <c r="I14" s="39" t="s">
        <v>200</v>
      </c>
    </row>
    <row r="15" spans="1:9" ht="15.9" customHeight="1">
      <c r="A15" s="430"/>
      <c r="B15" s="206"/>
      <c r="C15" s="271" t="s">
        <v>202</v>
      </c>
      <c r="D15" s="271"/>
      <c r="E15" s="272" t="s">
        <v>199</v>
      </c>
      <c r="F15" s="273">
        <v>1</v>
      </c>
      <c r="G15" s="274">
        <v>3000000</v>
      </c>
      <c r="H15" s="165">
        <f t="shared" si="0"/>
        <v>3000000</v>
      </c>
      <c r="I15" s="39" t="s">
        <v>197</v>
      </c>
    </row>
    <row r="16" spans="1:9" ht="15.9" customHeight="1">
      <c r="A16" s="430"/>
      <c r="B16" s="206"/>
      <c r="C16" s="271" t="s">
        <v>203</v>
      </c>
      <c r="D16" s="271"/>
      <c r="E16" s="272" t="s">
        <v>199</v>
      </c>
      <c r="F16" s="273">
        <v>1</v>
      </c>
      <c r="G16" s="274">
        <v>2000000</v>
      </c>
      <c r="H16" s="165">
        <f t="shared" si="0"/>
        <v>2000000</v>
      </c>
      <c r="I16" s="39" t="s">
        <v>197</v>
      </c>
    </row>
    <row r="17" spans="1:9" ht="15.9" customHeight="1">
      <c r="A17" s="430"/>
      <c r="B17" s="206"/>
      <c r="C17" s="271" t="s">
        <v>204</v>
      </c>
      <c r="D17" s="271"/>
      <c r="E17" s="272" t="s">
        <v>199</v>
      </c>
      <c r="F17" s="273">
        <v>1</v>
      </c>
      <c r="G17" s="274">
        <v>1500000</v>
      </c>
      <c r="H17" s="165">
        <f t="shared" si="0"/>
        <v>1500000</v>
      </c>
      <c r="I17" s="39"/>
    </row>
    <row r="18" spans="1:9" ht="15.9" customHeight="1">
      <c r="A18" s="430"/>
      <c r="B18" s="206"/>
      <c r="C18" s="271" t="s">
        <v>205</v>
      </c>
      <c r="D18" s="268" t="s">
        <v>206</v>
      </c>
      <c r="E18" s="272" t="s">
        <v>207</v>
      </c>
      <c r="F18" s="272">
        <v>1</v>
      </c>
      <c r="G18" s="447">
        <v>9000000</v>
      </c>
      <c r="H18" s="165">
        <f t="shared" si="0"/>
        <v>9000000</v>
      </c>
      <c r="I18" s="39" t="s">
        <v>208</v>
      </c>
    </row>
    <row r="19" spans="1:9" ht="15.9" customHeight="1">
      <c r="A19" s="430"/>
      <c r="B19" s="206"/>
      <c r="C19" s="268" t="s">
        <v>209</v>
      </c>
      <c r="D19" s="271" t="s">
        <v>210</v>
      </c>
      <c r="E19" s="272" t="s">
        <v>199</v>
      </c>
      <c r="F19" s="273">
        <v>2</v>
      </c>
      <c r="G19" s="274">
        <v>4500000</v>
      </c>
      <c r="H19" s="165">
        <f t="shared" si="0"/>
        <v>9000000</v>
      </c>
      <c r="I19" s="39" t="s">
        <v>211</v>
      </c>
    </row>
    <row r="20" spans="1:9" ht="15.9" customHeight="1">
      <c r="A20" s="430"/>
      <c r="B20" s="206"/>
      <c r="C20" s="268" t="s">
        <v>212</v>
      </c>
      <c r="D20" s="268" t="s">
        <v>213</v>
      </c>
      <c r="E20" s="272" t="s">
        <v>199</v>
      </c>
      <c r="F20" s="272">
        <v>2</v>
      </c>
      <c r="G20" s="447">
        <v>1000000</v>
      </c>
      <c r="H20" s="165">
        <f t="shared" si="0"/>
        <v>2000000</v>
      </c>
      <c r="I20" s="39" t="s">
        <v>208</v>
      </c>
    </row>
    <row r="21" spans="1:9" ht="15.9" customHeight="1">
      <c r="A21" s="430"/>
      <c r="B21" s="206"/>
      <c r="C21" s="268"/>
      <c r="D21" s="268"/>
      <c r="E21" s="272"/>
      <c r="F21" s="448"/>
      <c r="G21" s="447"/>
      <c r="H21" s="165">
        <f t="shared" si="0"/>
        <v>0</v>
      </c>
      <c r="I21" s="39"/>
    </row>
    <row r="22" spans="1:9" ht="15.9" customHeight="1">
      <c r="A22" s="430"/>
      <c r="B22" s="206"/>
      <c r="C22" s="268" t="s">
        <v>214</v>
      </c>
      <c r="D22" s="268"/>
      <c r="E22" s="272"/>
      <c r="F22" s="448"/>
      <c r="G22" s="447"/>
      <c r="H22" s="165">
        <f t="shared" si="0"/>
        <v>0</v>
      </c>
      <c r="I22" s="39"/>
    </row>
    <row r="23" spans="1:9" ht="15.9" customHeight="1">
      <c r="A23" s="430"/>
      <c r="B23" s="206"/>
      <c r="C23" s="271" t="s">
        <v>215</v>
      </c>
      <c r="D23" s="271"/>
      <c r="E23" s="272"/>
      <c r="F23" s="283"/>
      <c r="G23" s="274"/>
      <c r="H23" s="165">
        <f t="shared" si="0"/>
        <v>0</v>
      </c>
      <c r="I23" s="39"/>
    </row>
    <row r="24" spans="1:9" ht="15.9" customHeight="1">
      <c r="A24" s="430"/>
      <c r="B24" s="206"/>
      <c r="C24" s="271" t="s">
        <v>216</v>
      </c>
      <c r="D24" s="271"/>
      <c r="E24" s="272"/>
      <c r="F24" s="448"/>
      <c r="G24" s="449"/>
      <c r="H24" s="165">
        <f t="shared" si="0"/>
        <v>0</v>
      </c>
      <c r="I24" s="39"/>
    </row>
    <row r="25" spans="1:9" ht="15.9" customHeight="1">
      <c r="A25" s="430"/>
      <c r="B25" s="206"/>
      <c r="C25" s="217"/>
      <c r="D25" s="217"/>
      <c r="E25" s="218"/>
      <c r="F25" s="219"/>
      <c r="G25" s="220"/>
      <c r="H25" s="175">
        <f t="shared" si="0"/>
        <v>0</v>
      </c>
      <c r="I25" s="42"/>
    </row>
    <row r="26" spans="1:9" ht="15.9" customHeight="1">
      <c r="A26" s="430"/>
      <c r="B26" s="450" t="s">
        <v>217</v>
      </c>
      <c r="C26" s="451" t="s">
        <v>218</v>
      </c>
      <c r="D26" s="292" t="s">
        <v>146</v>
      </c>
      <c r="E26" s="444" t="s">
        <v>146</v>
      </c>
      <c r="F26" s="444"/>
      <c r="G26" s="452"/>
      <c r="H26" s="231">
        <f t="shared" si="0"/>
        <v>0</v>
      </c>
      <c r="I26" s="232" t="s">
        <v>146</v>
      </c>
    </row>
    <row r="27" spans="1:9" ht="15.9" customHeight="1">
      <c r="A27" s="430"/>
      <c r="B27" s="206" t="s">
        <v>219</v>
      </c>
      <c r="C27" s="453" t="s">
        <v>220</v>
      </c>
      <c r="D27" s="271" t="s">
        <v>146</v>
      </c>
      <c r="E27" s="272" t="s">
        <v>151</v>
      </c>
      <c r="F27" s="272">
        <v>1</v>
      </c>
      <c r="G27" s="447">
        <v>2800000</v>
      </c>
      <c r="H27" s="165">
        <f t="shared" si="0"/>
        <v>2800000</v>
      </c>
      <c r="I27" s="39" t="s">
        <v>195</v>
      </c>
    </row>
    <row r="28" spans="1:9" ht="15.9" customHeight="1">
      <c r="A28" s="430"/>
      <c r="B28" s="206"/>
      <c r="C28" s="268" t="s">
        <v>221</v>
      </c>
      <c r="D28" s="271" t="s">
        <v>146</v>
      </c>
      <c r="E28" s="272" t="s">
        <v>199</v>
      </c>
      <c r="F28" s="273">
        <v>1</v>
      </c>
      <c r="G28" s="274">
        <v>25000000</v>
      </c>
      <c r="H28" s="165">
        <f t="shared" si="0"/>
        <v>25000000</v>
      </c>
      <c r="I28" s="39" t="s">
        <v>222</v>
      </c>
    </row>
    <row r="29" spans="1:9" ht="15.9" customHeight="1">
      <c r="A29" s="430"/>
      <c r="B29" s="206"/>
      <c r="C29" s="271" t="s">
        <v>223</v>
      </c>
      <c r="D29" s="268" t="s">
        <v>146</v>
      </c>
      <c r="E29" s="272" t="s">
        <v>146</v>
      </c>
      <c r="F29" s="272"/>
      <c r="G29" s="447"/>
      <c r="H29" s="165">
        <f t="shared" si="0"/>
        <v>0</v>
      </c>
      <c r="I29" s="39"/>
    </row>
    <row r="30" spans="1:9" ht="15.9" customHeight="1">
      <c r="A30" s="430"/>
      <c r="B30" s="206"/>
      <c r="C30" s="268" t="s">
        <v>224</v>
      </c>
      <c r="D30" s="268" t="s">
        <v>146</v>
      </c>
      <c r="E30" s="272" t="s">
        <v>146</v>
      </c>
      <c r="F30" s="272"/>
      <c r="G30" s="447"/>
      <c r="H30" s="165">
        <f t="shared" si="0"/>
        <v>0</v>
      </c>
      <c r="I30" s="39"/>
    </row>
    <row r="31" spans="1:9" ht="15.9" customHeight="1">
      <c r="A31" s="430"/>
      <c r="B31" s="206"/>
      <c r="C31" s="268" t="s">
        <v>225</v>
      </c>
      <c r="D31" s="271" t="s">
        <v>146</v>
      </c>
      <c r="E31" s="272" t="s">
        <v>146</v>
      </c>
      <c r="F31" s="272"/>
      <c r="G31" s="447"/>
      <c r="H31" s="165">
        <f t="shared" si="0"/>
        <v>0</v>
      </c>
      <c r="I31" s="39" t="s">
        <v>146</v>
      </c>
    </row>
    <row r="32" spans="1:9" ht="15.9" customHeight="1">
      <c r="A32" s="430"/>
      <c r="B32" s="206"/>
      <c r="C32" s="454" t="s">
        <v>226</v>
      </c>
      <c r="D32" s="455"/>
      <c r="E32" s="272" t="s">
        <v>207</v>
      </c>
      <c r="F32" s="273">
        <v>1</v>
      </c>
      <c r="G32" s="274">
        <v>12000000</v>
      </c>
      <c r="H32" s="165">
        <f t="shared" si="0"/>
        <v>12000000</v>
      </c>
      <c r="I32" s="39" t="s">
        <v>200</v>
      </c>
    </row>
    <row r="33" spans="1:9" ht="15.9" customHeight="1">
      <c r="A33" s="430"/>
      <c r="B33" s="206"/>
      <c r="C33" s="454" t="s">
        <v>227</v>
      </c>
      <c r="D33" s="325"/>
      <c r="E33" s="272" t="s">
        <v>207</v>
      </c>
      <c r="F33" s="272">
        <v>1</v>
      </c>
      <c r="G33" s="447">
        <v>8000000</v>
      </c>
      <c r="H33" s="165">
        <f t="shared" si="0"/>
        <v>8000000</v>
      </c>
      <c r="I33" s="39" t="s">
        <v>197</v>
      </c>
    </row>
    <row r="34" spans="1:9" ht="15.9" customHeight="1">
      <c r="A34" s="430"/>
      <c r="B34" s="206"/>
      <c r="C34" s="268" t="s">
        <v>228</v>
      </c>
      <c r="D34" s="268" t="s">
        <v>229</v>
      </c>
      <c r="E34" s="272" t="s">
        <v>207</v>
      </c>
      <c r="F34" s="272">
        <v>2</v>
      </c>
      <c r="G34" s="447">
        <v>8000000</v>
      </c>
      <c r="H34" s="165">
        <f t="shared" si="0"/>
        <v>16000000</v>
      </c>
      <c r="I34" s="39" t="s">
        <v>230</v>
      </c>
    </row>
    <row r="35" spans="1:9" ht="15.9" customHeight="1">
      <c r="A35" s="430"/>
      <c r="B35" s="206"/>
      <c r="C35" s="454" t="s">
        <v>231</v>
      </c>
      <c r="D35" s="325"/>
      <c r="E35" s="272" t="s">
        <v>207</v>
      </c>
      <c r="F35" s="272">
        <v>1</v>
      </c>
      <c r="G35" s="447">
        <v>4000000</v>
      </c>
      <c r="H35" s="165">
        <f t="shared" si="0"/>
        <v>4000000</v>
      </c>
      <c r="I35" s="39" t="s">
        <v>197</v>
      </c>
    </row>
    <row r="36" spans="1:9" ht="15.9" customHeight="1">
      <c r="A36" s="430"/>
      <c r="B36" s="206"/>
      <c r="C36" s="271" t="s">
        <v>232</v>
      </c>
      <c r="D36" s="268" t="s">
        <v>233</v>
      </c>
      <c r="E36" s="272" t="s">
        <v>199</v>
      </c>
      <c r="F36" s="272">
        <v>1</v>
      </c>
      <c r="G36" s="447">
        <v>2000000</v>
      </c>
      <c r="H36" s="165">
        <f t="shared" si="0"/>
        <v>2000000</v>
      </c>
      <c r="I36" s="39" t="s">
        <v>200</v>
      </c>
    </row>
    <row r="37" spans="1:9" ht="15.9" customHeight="1">
      <c r="A37" s="430"/>
      <c r="B37" s="206"/>
      <c r="C37" s="268" t="s">
        <v>234</v>
      </c>
      <c r="D37" s="268" t="s">
        <v>146</v>
      </c>
      <c r="E37" s="272" t="s">
        <v>49</v>
      </c>
      <c r="F37" s="272">
        <v>1</v>
      </c>
      <c r="G37" s="447">
        <v>2000000</v>
      </c>
      <c r="H37" s="165">
        <f>IF(F37=0,G37,G37*F37)</f>
        <v>2000000</v>
      </c>
      <c r="I37" s="39" t="s">
        <v>200</v>
      </c>
    </row>
    <row r="38" spans="1:9" ht="15.9" customHeight="1">
      <c r="A38" s="430"/>
      <c r="B38" s="206"/>
      <c r="C38" s="268" t="s">
        <v>235</v>
      </c>
      <c r="D38" s="268"/>
      <c r="E38" s="272" t="s">
        <v>207</v>
      </c>
      <c r="F38" s="272">
        <v>1</v>
      </c>
      <c r="G38" s="447">
        <v>25000000</v>
      </c>
      <c r="H38" s="165">
        <f t="shared" si="0"/>
        <v>25000000</v>
      </c>
      <c r="I38" s="39" t="s">
        <v>208</v>
      </c>
    </row>
    <row r="39" spans="1:9" ht="15.9" customHeight="1">
      <c r="A39" s="430"/>
      <c r="B39" s="206"/>
      <c r="C39" s="268"/>
      <c r="D39" s="268"/>
      <c r="E39" s="272"/>
      <c r="F39" s="272"/>
      <c r="G39" s="447"/>
      <c r="H39" s="165">
        <f t="shared" si="0"/>
        <v>0</v>
      </c>
      <c r="I39" s="39"/>
    </row>
    <row r="40" spans="1:9" ht="15.9" customHeight="1">
      <c r="A40" s="430"/>
      <c r="B40" s="206"/>
      <c r="C40" s="268" t="s">
        <v>214</v>
      </c>
      <c r="D40" s="268"/>
      <c r="E40" s="272"/>
      <c r="F40" s="448"/>
      <c r="G40" s="447"/>
      <c r="H40" s="165">
        <f t="shared" si="0"/>
        <v>0</v>
      </c>
      <c r="I40" s="39"/>
    </row>
    <row r="41" spans="1:9" ht="15.9" customHeight="1">
      <c r="A41" s="430"/>
      <c r="B41" s="206"/>
      <c r="C41" s="271" t="s">
        <v>236</v>
      </c>
      <c r="D41" s="271"/>
      <c r="E41" s="272"/>
      <c r="F41" s="283"/>
      <c r="G41" s="274"/>
      <c r="H41" s="165">
        <f t="shared" si="0"/>
        <v>0</v>
      </c>
      <c r="I41" s="39"/>
    </row>
    <row r="42" spans="1:9" ht="15.9" customHeight="1">
      <c r="A42" s="430"/>
      <c r="B42" s="206"/>
      <c r="C42" s="271" t="s">
        <v>237</v>
      </c>
      <c r="D42" s="271"/>
      <c r="E42" s="272"/>
      <c r="F42" s="448"/>
      <c r="G42" s="449"/>
      <c r="H42" s="165">
        <f t="shared" si="0"/>
        <v>0</v>
      </c>
      <c r="I42" s="39"/>
    </row>
    <row r="43" spans="1:9" ht="15.9" customHeight="1">
      <c r="A43" s="430"/>
      <c r="B43" s="206"/>
      <c r="C43" s="213" t="s">
        <v>238</v>
      </c>
      <c r="D43" s="213"/>
      <c r="E43" s="214"/>
      <c r="F43" s="215"/>
      <c r="G43" s="216"/>
      <c r="H43" s="165">
        <f t="shared" si="0"/>
        <v>0</v>
      </c>
      <c r="I43" s="39"/>
    </row>
    <row r="44" spans="1:9" ht="15.9" customHeight="1">
      <c r="A44" s="430"/>
      <c r="B44" s="206"/>
      <c r="C44" s="217"/>
      <c r="D44" s="217"/>
      <c r="E44" s="218"/>
      <c r="F44" s="219"/>
      <c r="G44" s="220"/>
      <c r="H44" s="175">
        <f t="shared" si="0"/>
        <v>0</v>
      </c>
      <c r="I44" s="42"/>
    </row>
    <row r="45" spans="1:9" ht="15.9" customHeight="1">
      <c r="A45" s="430"/>
      <c r="B45" s="245" t="s">
        <v>239</v>
      </c>
      <c r="C45" s="456" t="s">
        <v>240</v>
      </c>
      <c r="D45" s="457"/>
      <c r="E45" s="444" t="s">
        <v>146</v>
      </c>
      <c r="F45" s="458"/>
      <c r="G45" s="452"/>
      <c r="H45" s="231"/>
      <c r="I45" s="232" t="s">
        <v>146</v>
      </c>
    </row>
    <row r="46" spans="1:9" ht="15.9" customHeight="1">
      <c r="A46" s="430"/>
      <c r="B46" s="206" t="s">
        <v>219</v>
      </c>
      <c r="C46" s="268" t="s">
        <v>241</v>
      </c>
      <c r="D46" s="271" t="s">
        <v>229</v>
      </c>
      <c r="E46" s="272" t="s">
        <v>207</v>
      </c>
      <c r="F46" s="273">
        <v>2</v>
      </c>
      <c r="G46" s="274">
        <v>8000000</v>
      </c>
      <c r="H46" s="165">
        <f t="shared" ref="H46:H78" si="1">IF(F46=0,G46,G46*F46)</f>
        <v>16000000</v>
      </c>
      <c r="I46" s="39" t="s">
        <v>230</v>
      </c>
    </row>
    <row r="47" spans="1:9" ht="15.9" customHeight="1">
      <c r="A47" s="430"/>
      <c r="B47" s="206"/>
      <c r="C47" s="268" t="s">
        <v>242</v>
      </c>
      <c r="D47" s="271"/>
      <c r="E47" s="272" t="s">
        <v>207</v>
      </c>
      <c r="F47" s="273">
        <v>3</v>
      </c>
      <c r="G47" s="274">
        <v>4000000</v>
      </c>
      <c r="H47" s="165">
        <f t="shared" si="1"/>
        <v>12000000</v>
      </c>
      <c r="I47" s="39" t="s">
        <v>200</v>
      </c>
    </row>
    <row r="48" spans="1:9" ht="15.9" customHeight="1">
      <c r="A48" s="430"/>
      <c r="B48" s="206"/>
      <c r="C48" s="268" t="s">
        <v>243</v>
      </c>
      <c r="D48" s="271" t="s">
        <v>146</v>
      </c>
      <c r="E48" s="272" t="s">
        <v>207</v>
      </c>
      <c r="F48" s="273">
        <v>1</v>
      </c>
      <c r="G48" s="274">
        <v>5000000</v>
      </c>
      <c r="H48" s="165">
        <f t="shared" si="1"/>
        <v>5000000</v>
      </c>
      <c r="I48" s="39" t="s">
        <v>200</v>
      </c>
    </row>
    <row r="49" spans="1:9" ht="15.9" customHeight="1">
      <c r="A49" s="430"/>
      <c r="B49" s="206"/>
      <c r="C49" s="268" t="s">
        <v>244</v>
      </c>
      <c r="D49" s="271"/>
      <c r="E49" s="272" t="s">
        <v>151</v>
      </c>
      <c r="F49" s="273">
        <v>1</v>
      </c>
      <c r="G49" s="274">
        <v>9000000</v>
      </c>
      <c r="H49" s="165">
        <f t="shared" si="1"/>
        <v>9000000</v>
      </c>
      <c r="I49" s="39" t="s">
        <v>197</v>
      </c>
    </row>
    <row r="50" spans="1:9" ht="15.9" customHeight="1">
      <c r="A50" s="430"/>
      <c r="B50" s="206"/>
      <c r="C50" s="268" t="s">
        <v>245</v>
      </c>
      <c r="D50" s="271"/>
      <c r="E50" s="272" t="s">
        <v>151</v>
      </c>
      <c r="F50" s="273">
        <v>1</v>
      </c>
      <c r="G50" s="274">
        <v>7000000</v>
      </c>
      <c r="H50" s="165">
        <f t="shared" si="1"/>
        <v>7000000</v>
      </c>
      <c r="I50" s="39" t="s">
        <v>197</v>
      </c>
    </row>
    <row r="51" spans="1:9" ht="15.9" customHeight="1">
      <c r="A51" s="430"/>
      <c r="B51" s="206"/>
      <c r="C51" s="268" t="s">
        <v>246</v>
      </c>
      <c r="D51" s="271" t="s">
        <v>247</v>
      </c>
      <c r="E51" s="272" t="s">
        <v>207</v>
      </c>
      <c r="F51" s="273">
        <v>1</v>
      </c>
      <c r="G51" s="274">
        <v>2800000</v>
      </c>
      <c r="H51" s="165">
        <f t="shared" si="1"/>
        <v>2800000</v>
      </c>
      <c r="I51" s="39" t="s">
        <v>195</v>
      </c>
    </row>
    <row r="52" spans="1:9" ht="15.9" customHeight="1">
      <c r="A52" s="430"/>
      <c r="B52" s="206"/>
      <c r="C52" s="268" t="s">
        <v>248</v>
      </c>
      <c r="D52" s="268" t="s">
        <v>206</v>
      </c>
      <c r="E52" s="272" t="s">
        <v>207</v>
      </c>
      <c r="F52" s="272">
        <v>1</v>
      </c>
      <c r="G52" s="447">
        <v>3000000</v>
      </c>
      <c r="H52" s="165">
        <f t="shared" si="1"/>
        <v>3000000</v>
      </c>
      <c r="I52" s="39" t="s">
        <v>200</v>
      </c>
    </row>
    <row r="53" spans="1:9" ht="15.9" customHeight="1">
      <c r="A53" s="430"/>
      <c r="B53" s="206"/>
      <c r="C53" s="268" t="s">
        <v>234</v>
      </c>
      <c r="D53" s="268"/>
      <c r="E53" s="272" t="s">
        <v>207</v>
      </c>
      <c r="F53" s="272">
        <v>1</v>
      </c>
      <c r="G53" s="447">
        <v>2000000</v>
      </c>
      <c r="H53" s="165">
        <f t="shared" si="1"/>
        <v>2000000</v>
      </c>
      <c r="I53" s="39"/>
    </row>
    <row r="54" spans="1:9" ht="15.9" customHeight="1">
      <c r="A54" s="430"/>
      <c r="B54" s="206"/>
      <c r="C54" s="268" t="s">
        <v>249</v>
      </c>
      <c r="D54" s="268" t="s">
        <v>250</v>
      </c>
      <c r="E54" s="272" t="s">
        <v>199</v>
      </c>
      <c r="F54" s="272">
        <v>1</v>
      </c>
      <c r="G54" s="447">
        <v>20000000</v>
      </c>
      <c r="H54" s="165">
        <f t="shared" si="1"/>
        <v>20000000</v>
      </c>
      <c r="I54" s="39" t="s">
        <v>222</v>
      </c>
    </row>
    <row r="55" spans="1:9" ht="15.9" customHeight="1">
      <c r="A55" s="430"/>
      <c r="B55" s="206"/>
      <c r="C55" s="271" t="s">
        <v>251</v>
      </c>
      <c r="D55" s="268"/>
      <c r="E55" s="272" t="s">
        <v>207</v>
      </c>
      <c r="F55" s="272">
        <v>1</v>
      </c>
      <c r="G55" s="447">
        <v>25000000</v>
      </c>
      <c r="H55" s="165">
        <f t="shared" si="1"/>
        <v>25000000</v>
      </c>
      <c r="I55" s="39" t="s">
        <v>208</v>
      </c>
    </row>
    <row r="56" spans="1:9" ht="15.9" customHeight="1">
      <c r="A56" s="430"/>
      <c r="B56" s="206"/>
      <c r="C56" s="271"/>
      <c r="D56" s="268"/>
      <c r="E56" s="272"/>
      <c r="F56" s="272"/>
      <c r="G56" s="447"/>
      <c r="H56" s="165"/>
      <c r="I56" s="39"/>
    </row>
    <row r="57" spans="1:9" ht="15.9" customHeight="1">
      <c r="A57" s="430"/>
      <c r="B57" s="206"/>
      <c r="C57" s="268" t="s">
        <v>214</v>
      </c>
      <c r="D57" s="268"/>
      <c r="E57" s="272"/>
      <c r="F57" s="448"/>
      <c r="G57" s="447"/>
      <c r="H57" s="165">
        <f t="shared" si="1"/>
        <v>0</v>
      </c>
      <c r="I57" s="39"/>
    </row>
    <row r="58" spans="1:9" ht="15.9" customHeight="1">
      <c r="A58" s="430"/>
      <c r="B58" s="206"/>
      <c r="C58" s="271" t="s">
        <v>252</v>
      </c>
      <c r="D58" s="271"/>
      <c r="E58" s="272"/>
      <c r="F58" s="283"/>
      <c r="G58" s="274"/>
      <c r="H58" s="165">
        <f t="shared" si="1"/>
        <v>0</v>
      </c>
      <c r="I58" s="39"/>
    </row>
    <row r="59" spans="1:9" ht="15.9" customHeight="1">
      <c r="A59" s="430"/>
      <c r="B59" s="206"/>
      <c r="C59" s="271" t="s">
        <v>253</v>
      </c>
      <c r="D59" s="271"/>
      <c r="E59" s="272"/>
      <c r="F59" s="448"/>
      <c r="G59" s="449"/>
      <c r="H59" s="165">
        <f t="shared" si="1"/>
        <v>0</v>
      </c>
      <c r="I59" s="39"/>
    </row>
    <row r="60" spans="1:9" ht="15.9" customHeight="1">
      <c r="A60" s="430"/>
      <c r="B60" s="206"/>
      <c r="C60" s="217"/>
      <c r="D60" s="217"/>
      <c r="E60" s="218"/>
      <c r="F60" s="219"/>
      <c r="G60" s="220"/>
      <c r="H60" s="175">
        <f t="shared" si="1"/>
        <v>0</v>
      </c>
      <c r="I60" s="42"/>
    </row>
    <row r="61" spans="1:9" ht="15.9" customHeight="1">
      <c r="A61" s="430"/>
      <c r="B61" s="245" t="s">
        <v>254</v>
      </c>
      <c r="C61" s="459" t="s">
        <v>255</v>
      </c>
      <c r="D61" s="292" t="s">
        <v>229</v>
      </c>
      <c r="E61" s="444" t="s">
        <v>207</v>
      </c>
      <c r="F61" s="444">
        <v>2</v>
      </c>
      <c r="G61" s="452">
        <v>8000000</v>
      </c>
      <c r="H61" s="231">
        <f t="shared" si="1"/>
        <v>16000000</v>
      </c>
      <c r="I61" s="232" t="s">
        <v>230</v>
      </c>
    </row>
    <row r="62" spans="1:9" ht="15.9" customHeight="1">
      <c r="A62" s="430"/>
      <c r="B62" s="206" t="s">
        <v>219</v>
      </c>
      <c r="C62" s="268" t="s">
        <v>256</v>
      </c>
      <c r="D62" s="271" t="s">
        <v>146</v>
      </c>
      <c r="E62" s="272" t="s">
        <v>146</v>
      </c>
      <c r="F62" s="273">
        <v>0</v>
      </c>
      <c r="G62" s="274">
        <v>0</v>
      </c>
      <c r="H62" s="165">
        <f t="shared" si="1"/>
        <v>0</v>
      </c>
      <c r="I62" s="39" t="s">
        <v>146</v>
      </c>
    </row>
    <row r="63" spans="1:9" ht="15.9" customHeight="1">
      <c r="A63" s="430"/>
      <c r="B63" s="206"/>
      <c r="C63" s="271" t="s">
        <v>257</v>
      </c>
      <c r="D63" s="268" t="s">
        <v>247</v>
      </c>
      <c r="E63" s="272" t="s">
        <v>207</v>
      </c>
      <c r="F63" s="273">
        <v>1</v>
      </c>
      <c r="G63" s="274">
        <v>2800000</v>
      </c>
      <c r="H63" s="165">
        <f t="shared" si="1"/>
        <v>2800000</v>
      </c>
      <c r="I63" s="39" t="s">
        <v>258</v>
      </c>
    </row>
    <row r="64" spans="1:9" ht="15.9" customHeight="1">
      <c r="A64" s="430"/>
      <c r="B64" s="206"/>
      <c r="C64" s="268" t="s">
        <v>259</v>
      </c>
      <c r="D64" s="268" t="s">
        <v>250</v>
      </c>
      <c r="E64" s="272" t="s">
        <v>199</v>
      </c>
      <c r="F64" s="272">
        <v>1</v>
      </c>
      <c r="G64" s="274">
        <v>17000000</v>
      </c>
      <c r="H64" s="165">
        <f t="shared" si="1"/>
        <v>17000000</v>
      </c>
      <c r="I64" s="39" t="s">
        <v>197</v>
      </c>
    </row>
    <row r="65" spans="1:9" ht="15.9" customHeight="1">
      <c r="A65" s="430"/>
      <c r="B65" s="206"/>
      <c r="C65" s="268" t="s">
        <v>260</v>
      </c>
      <c r="D65" s="271" t="s">
        <v>210</v>
      </c>
      <c r="E65" s="272" t="s">
        <v>199</v>
      </c>
      <c r="F65" s="273">
        <v>2</v>
      </c>
      <c r="G65" s="274">
        <v>4500000</v>
      </c>
      <c r="H65" s="165">
        <f t="shared" si="1"/>
        <v>9000000</v>
      </c>
      <c r="I65" s="39" t="s">
        <v>211</v>
      </c>
    </row>
    <row r="66" spans="1:9" ht="15.9" customHeight="1">
      <c r="A66" s="430"/>
      <c r="B66" s="206"/>
      <c r="C66" s="268" t="s">
        <v>261</v>
      </c>
      <c r="D66" s="271" t="s">
        <v>146</v>
      </c>
      <c r="E66" s="272" t="s">
        <v>207</v>
      </c>
      <c r="F66" s="273">
        <v>1</v>
      </c>
      <c r="G66" s="274">
        <v>7000000</v>
      </c>
      <c r="H66" s="165">
        <f t="shared" si="1"/>
        <v>7000000</v>
      </c>
      <c r="I66" s="39" t="s">
        <v>262</v>
      </c>
    </row>
    <row r="67" spans="1:9" ht="15.9" customHeight="1">
      <c r="A67" s="430"/>
      <c r="B67" s="206"/>
      <c r="C67" s="454" t="s">
        <v>263</v>
      </c>
      <c r="D67" s="325"/>
      <c r="E67" s="272" t="s">
        <v>207</v>
      </c>
      <c r="F67" s="272">
        <v>1</v>
      </c>
      <c r="G67" s="447">
        <v>15000000</v>
      </c>
      <c r="H67" s="165">
        <f t="shared" si="1"/>
        <v>15000000</v>
      </c>
      <c r="I67" s="39" t="s">
        <v>262</v>
      </c>
    </row>
    <row r="68" spans="1:9" ht="15.9" customHeight="1">
      <c r="A68" s="430"/>
      <c r="B68" s="206"/>
      <c r="C68" s="268" t="s">
        <v>264</v>
      </c>
      <c r="D68" s="268"/>
      <c r="E68" s="272" t="s">
        <v>207</v>
      </c>
      <c r="F68" s="272">
        <v>1</v>
      </c>
      <c r="G68" s="447">
        <v>15000000</v>
      </c>
      <c r="H68" s="165">
        <f t="shared" si="1"/>
        <v>15000000</v>
      </c>
      <c r="I68" s="39" t="s">
        <v>262</v>
      </c>
    </row>
    <row r="69" spans="1:9" ht="15.9" customHeight="1">
      <c r="A69" s="430"/>
      <c r="B69" s="206"/>
      <c r="C69" s="454" t="s">
        <v>265</v>
      </c>
      <c r="D69" s="325"/>
      <c r="E69" s="272" t="s">
        <v>146</v>
      </c>
      <c r="F69" s="272"/>
      <c r="G69" s="447"/>
      <c r="H69" s="165">
        <f t="shared" si="1"/>
        <v>0</v>
      </c>
      <c r="I69" s="39" t="s">
        <v>146</v>
      </c>
    </row>
    <row r="70" spans="1:9" ht="15.9" customHeight="1">
      <c r="A70" s="430"/>
      <c r="B70" s="206"/>
      <c r="C70" s="271" t="s">
        <v>266</v>
      </c>
      <c r="D70" s="268" t="s">
        <v>146</v>
      </c>
      <c r="E70" s="272" t="s">
        <v>146</v>
      </c>
      <c r="F70" s="272"/>
      <c r="G70" s="447"/>
      <c r="H70" s="165">
        <f t="shared" si="1"/>
        <v>0</v>
      </c>
      <c r="I70" s="39" t="s">
        <v>146</v>
      </c>
    </row>
    <row r="71" spans="1:9" ht="15.9" customHeight="1">
      <c r="A71" s="430"/>
      <c r="B71" s="206"/>
      <c r="C71" s="268" t="s">
        <v>212</v>
      </c>
      <c r="D71" s="268" t="s">
        <v>213</v>
      </c>
      <c r="E71" s="272" t="s">
        <v>199</v>
      </c>
      <c r="F71" s="272">
        <v>2</v>
      </c>
      <c r="G71" s="447">
        <v>1000000</v>
      </c>
      <c r="H71" s="165">
        <f>IF(F71=0,G71,G71*F71)</f>
        <v>2000000</v>
      </c>
      <c r="I71" s="39" t="s">
        <v>208</v>
      </c>
    </row>
    <row r="72" spans="1:9" ht="15.9" customHeight="1">
      <c r="A72" s="430"/>
      <c r="B72" s="206"/>
      <c r="C72" s="268" t="s">
        <v>267</v>
      </c>
      <c r="D72" s="268" t="s">
        <v>268</v>
      </c>
      <c r="E72" s="272" t="s">
        <v>199</v>
      </c>
      <c r="F72" s="272">
        <v>1</v>
      </c>
      <c r="G72" s="447">
        <v>40000000</v>
      </c>
      <c r="H72" s="165">
        <f t="shared" si="1"/>
        <v>40000000</v>
      </c>
      <c r="I72" s="39" t="s">
        <v>208</v>
      </c>
    </row>
    <row r="73" spans="1:9" ht="15.9" customHeight="1">
      <c r="A73" s="430"/>
      <c r="B73" s="206"/>
      <c r="C73" s="268"/>
      <c r="D73" s="268"/>
      <c r="E73" s="272"/>
      <c r="F73" s="272"/>
      <c r="G73" s="447"/>
      <c r="H73" s="165">
        <f t="shared" si="1"/>
        <v>0</v>
      </c>
      <c r="I73" s="39"/>
    </row>
    <row r="74" spans="1:9" ht="15.9" customHeight="1">
      <c r="A74" s="430"/>
      <c r="B74" s="206"/>
      <c r="C74" s="268" t="s">
        <v>214</v>
      </c>
      <c r="D74" s="268"/>
      <c r="E74" s="272"/>
      <c r="F74" s="272"/>
      <c r="G74" s="447"/>
      <c r="H74" s="165">
        <f t="shared" si="1"/>
        <v>0</v>
      </c>
      <c r="I74" s="39"/>
    </row>
    <row r="75" spans="1:9" ht="15.9" customHeight="1">
      <c r="A75" s="430"/>
      <c r="B75" s="206"/>
      <c r="C75" s="271" t="s">
        <v>236</v>
      </c>
      <c r="D75" s="268"/>
      <c r="E75" s="272"/>
      <c r="F75" s="272"/>
      <c r="G75" s="447"/>
      <c r="H75" s="165">
        <f t="shared" si="1"/>
        <v>0</v>
      </c>
      <c r="I75" s="39"/>
    </row>
    <row r="76" spans="1:9" ht="15.9" customHeight="1">
      <c r="A76" s="430"/>
      <c r="B76" s="206"/>
      <c r="C76" s="271" t="s">
        <v>237</v>
      </c>
      <c r="D76" s="268"/>
      <c r="E76" s="272"/>
      <c r="F76" s="272"/>
      <c r="G76" s="447"/>
      <c r="H76" s="165">
        <f t="shared" si="1"/>
        <v>0</v>
      </c>
      <c r="I76" s="39"/>
    </row>
    <row r="77" spans="1:9" ht="15.9" customHeight="1">
      <c r="A77" s="430"/>
      <c r="B77" s="206"/>
      <c r="C77" s="213"/>
      <c r="D77" s="213"/>
      <c r="E77" s="214"/>
      <c r="F77" s="215"/>
      <c r="G77" s="216"/>
      <c r="H77" s="165">
        <f t="shared" si="1"/>
        <v>0</v>
      </c>
      <c r="I77" s="39"/>
    </row>
    <row r="78" spans="1:9" ht="15.9" customHeight="1">
      <c r="A78" s="430"/>
      <c r="B78" s="223"/>
      <c r="C78" s="217"/>
      <c r="D78" s="217"/>
      <c r="E78" s="218"/>
      <c r="F78" s="219"/>
      <c r="G78" s="220"/>
      <c r="H78" s="175">
        <f t="shared" si="1"/>
        <v>0</v>
      </c>
      <c r="I78" s="42"/>
    </row>
    <row r="79" spans="1:9" ht="15.9" customHeight="1">
      <c r="A79" s="430"/>
      <c r="B79" s="221"/>
      <c r="C79" s="222"/>
      <c r="D79" s="223"/>
      <c r="E79" s="203"/>
      <c r="F79" s="224"/>
      <c r="G79" s="225"/>
      <c r="H79" s="49">
        <f>SUM(H11:H78)</f>
        <v>373700000</v>
      </c>
      <c r="I79" s="46"/>
    </row>
    <row r="80" spans="1:9" ht="15.9" customHeight="1">
      <c r="A80" s="246"/>
      <c r="B80" s="247" t="s">
        <v>131</v>
      </c>
      <c r="C80" s="248"/>
      <c r="D80" s="46"/>
      <c r="E80" s="204"/>
      <c r="F80" s="249"/>
      <c r="G80" s="250"/>
      <c r="H80" s="49">
        <f>SUM(H79,H6,H10)</f>
        <v>373700000</v>
      </c>
      <c r="I80" s="46"/>
    </row>
    <row r="81" spans="1:11" ht="15.9" customHeight="1">
      <c r="A81" s="431" t="s">
        <v>132</v>
      </c>
      <c r="B81" s="251" t="s">
        <v>57</v>
      </c>
      <c r="C81" s="248"/>
      <c r="D81" s="46"/>
      <c r="E81" s="252" t="s">
        <v>58</v>
      </c>
      <c r="F81" s="253"/>
      <c r="G81" s="254"/>
      <c r="H81" s="255">
        <f t="shared" ref="H81:H89" si="2">F81*G81</f>
        <v>0</v>
      </c>
      <c r="I81" s="46"/>
    </row>
    <row r="82" spans="1:11" ht="15.9" customHeight="1">
      <c r="A82" s="432"/>
      <c r="B82" s="256" t="s">
        <v>133</v>
      </c>
      <c r="C82" s="257"/>
      <c r="D82" s="232"/>
      <c r="E82" s="50" t="s">
        <v>134</v>
      </c>
      <c r="F82" s="228"/>
      <c r="G82" s="230"/>
      <c r="H82" s="231">
        <f t="shared" si="2"/>
        <v>0</v>
      </c>
      <c r="I82" s="232"/>
    </row>
    <row r="83" spans="1:11" ht="15.9" customHeight="1">
      <c r="A83" s="432"/>
      <c r="B83" s="258" t="s">
        <v>135</v>
      </c>
      <c r="C83" s="259"/>
      <c r="D83" s="39"/>
      <c r="E83" s="40" t="s">
        <v>134</v>
      </c>
      <c r="F83" s="209"/>
      <c r="G83" s="216"/>
      <c r="H83" s="165">
        <f t="shared" si="2"/>
        <v>0</v>
      </c>
      <c r="I83" s="39"/>
    </row>
    <row r="84" spans="1:11" ht="15.9" customHeight="1">
      <c r="A84" s="432"/>
      <c r="B84" s="258" t="s">
        <v>136</v>
      </c>
      <c r="C84" s="259"/>
      <c r="D84" s="39"/>
      <c r="E84" s="40" t="s">
        <v>134</v>
      </c>
      <c r="F84" s="215"/>
      <c r="G84" s="216"/>
      <c r="H84" s="165">
        <f>F84*G84</f>
        <v>0</v>
      </c>
      <c r="I84" s="39"/>
    </row>
    <row r="85" spans="1:11" ht="15.9" customHeight="1">
      <c r="A85" s="432"/>
      <c r="B85" s="258" t="s">
        <v>137</v>
      </c>
      <c r="C85" s="259"/>
      <c r="D85" s="39"/>
      <c r="E85" s="40" t="s">
        <v>134</v>
      </c>
      <c r="F85" s="215"/>
      <c r="G85" s="216"/>
      <c r="H85" s="165">
        <f t="shared" si="2"/>
        <v>0</v>
      </c>
      <c r="I85" s="39"/>
    </row>
    <row r="86" spans="1:11" ht="15.9" customHeight="1">
      <c r="A86" s="432"/>
      <c r="B86" s="258" t="s">
        <v>138</v>
      </c>
      <c r="C86" s="259"/>
      <c r="D86" s="39"/>
      <c r="E86" s="40" t="s">
        <v>134</v>
      </c>
      <c r="F86" s="235"/>
      <c r="G86" s="236"/>
      <c r="H86" s="165">
        <f t="shared" si="2"/>
        <v>0</v>
      </c>
      <c r="I86" s="39"/>
    </row>
    <row r="87" spans="1:11" ht="15.9" customHeight="1">
      <c r="A87" s="432"/>
      <c r="B87" s="460" t="s">
        <v>139</v>
      </c>
      <c r="C87" s="289"/>
      <c r="D87" s="238"/>
      <c r="E87" s="40" t="s">
        <v>134</v>
      </c>
      <c r="F87" s="235"/>
      <c r="G87" s="236"/>
      <c r="H87" s="165">
        <f t="shared" si="2"/>
        <v>0</v>
      </c>
      <c r="I87" s="238"/>
    </row>
    <row r="88" spans="1:11" ht="15.9" customHeight="1">
      <c r="A88" s="432"/>
      <c r="B88" s="460" t="s">
        <v>269</v>
      </c>
      <c r="C88" s="289"/>
      <c r="D88" s="238" t="s">
        <v>146</v>
      </c>
      <c r="E88" s="40" t="s">
        <v>134</v>
      </c>
      <c r="F88" s="235">
        <v>6</v>
      </c>
      <c r="G88" s="236">
        <v>3500000</v>
      </c>
      <c r="H88" s="165">
        <f t="shared" si="2"/>
        <v>21000000</v>
      </c>
      <c r="I88" s="238"/>
    </row>
    <row r="89" spans="1:11" ht="15.9" customHeight="1">
      <c r="A89" s="432"/>
      <c r="B89" s="260" t="s">
        <v>270</v>
      </c>
      <c r="C89" s="261"/>
      <c r="D89" s="42" t="s">
        <v>271</v>
      </c>
      <c r="E89" s="41" t="s">
        <v>134</v>
      </c>
      <c r="F89" s="219">
        <v>150</v>
      </c>
      <c r="G89" s="220">
        <v>188000</v>
      </c>
      <c r="H89" s="175">
        <f t="shared" si="2"/>
        <v>28200000</v>
      </c>
      <c r="I89" s="42"/>
    </row>
    <row r="90" spans="1:11" ht="15.9" customHeight="1">
      <c r="A90" s="246"/>
      <c r="B90" s="262" t="s">
        <v>140</v>
      </c>
      <c r="C90" s="248"/>
      <c r="D90" s="46"/>
      <c r="E90" s="204"/>
      <c r="F90" s="224"/>
      <c r="G90" s="225"/>
      <c r="H90" s="49">
        <f>SUM(H81:H89)</f>
        <v>49200000</v>
      </c>
      <c r="I90" s="46"/>
    </row>
    <row r="91" spans="1:11" ht="15.9" customHeight="1">
      <c r="A91" s="252"/>
      <c r="B91" s="262" t="s">
        <v>141</v>
      </c>
      <c r="C91" s="248"/>
      <c r="D91" s="46"/>
      <c r="E91" s="204"/>
      <c r="F91" s="205"/>
      <c r="G91" s="263" t="s">
        <v>142</v>
      </c>
      <c r="H91" s="250">
        <v>0</v>
      </c>
      <c r="I91" s="46"/>
    </row>
    <row r="92" spans="1:11" ht="15.9" customHeight="1">
      <c r="A92" s="252"/>
      <c r="B92" s="262" t="s">
        <v>83</v>
      </c>
      <c r="C92" s="248"/>
      <c r="D92" s="46"/>
      <c r="E92" s="204"/>
      <c r="F92" s="461">
        <v>0.02</v>
      </c>
      <c r="G92" s="264"/>
      <c r="H92" s="265">
        <f>(H90+H80)*0.02</f>
        <v>8458000</v>
      </c>
      <c r="I92" s="248"/>
    </row>
    <row r="93" spans="1:11" ht="15.9" customHeight="1">
      <c r="A93" s="252"/>
      <c r="B93" s="262" t="s">
        <v>143</v>
      </c>
      <c r="C93" s="248"/>
      <c r="D93" s="46"/>
      <c r="E93" s="204"/>
      <c r="F93" s="461">
        <v>0.03</v>
      </c>
      <c r="G93" s="264"/>
      <c r="H93" s="265">
        <f>(H90+H80)*0.03</f>
        <v>12687000</v>
      </c>
      <c r="I93" s="248"/>
    </row>
    <row r="94" spans="1:11" ht="15.9" customHeight="1">
      <c r="A94" s="252"/>
      <c r="B94" s="262" t="s">
        <v>144</v>
      </c>
      <c r="C94" s="248"/>
      <c r="D94" s="46"/>
      <c r="E94" s="204"/>
      <c r="F94" s="205"/>
      <c r="G94" s="49"/>
      <c r="H94" s="225">
        <f>H80+H90+H91+H92+H93</f>
        <v>444045000</v>
      </c>
      <c r="I94" s="46"/>
      <c r="K94" s="48"/>
    </row>
    <row r="95" spans="1:11">
      <c r="A95" s="26"/>
    </row>
  </sheetData>
  <mergeCells count="10">
    <mergeCell ref="A81:A89"/>
    <mergeCell ref="C1:D1"/>
    <mergeCell ref="A2:B2"/>
    <mergeCell ref="A3:A79"/>
    <mergeCell ref="C32:D32"/>
    <mergeCell ref="C33:D33"/>
    <mergeCell ref="C35:D35"/>
    <mergeCell ref="C45:D45"/>
    <mergeCell ref="C67:D67"/>
    <mergeCell ref="C69:D69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67" orientation="portrait" horizontalDpi="4294967292" r:id="rId1"/>
  <headerFooter alignWithMargins="0">
    <oddHeader>&amp;C&amp;G</oddHeader>
    <oddFooter>&amp;L_x000D_&amp;1#&amp;"Malgun Gothic"&amp;6&amp;K000000 외부 전송용(No Protection) 손철호 책임매니저 통합구매팀 son@hyundai-wia.com 2026-07-07T14:05:14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76B74-F7DF-4FF5-9109-321158177109}">
  <sheetPr>
    <tabColor rgb="FF00B050"/>
    <pageSetUpPr fitToPage="1"/>
  </sheetPr>
  <dimension ref="A1:K97"/>
  <sheetViews>
    <sheetView zoomScale="85" zoomScaleNormal="85" workbookViewId="0">
      <pane xSplit="2" ySplit="2" topLeftCell="C3" activePane="bottomRight" state="frozen"/>
      <selection activeCell="F18" sqref="F18:F27"/>
      <selection pane="topRight" activeCell="F18" sqref="F18:F27"/>
      <selection pane="bottomLeft" activeCell="F18" sqref="F18:F27"/>
      <selection pane="bottomRight" activeCell="F18" sqref="F18:F27"/>
    </sheetView>
  </sheetViews>
  <sheetFormatPr defaultColWidth="9" defaultRowHeight="14.4"/>
  <cols>
    <col min="1" max="1" width="5" style="24" customWidth="1"/>
    <col min="2" max="2" width="17.8984375" style="24" bestFit="1" customWidth="1"/>
    <col min="3" max="3" width="22.5" style="24" customWidth="1"/>
    <col min="4" max="4" width="26.19921875" style="24" customWidth="1"/>
    <col min="5" max="5" width="5.19921875" style="24" bestFit="1" customWidth="1"/>
    <col min="6" max="6" width="9" style="47"/>
    <col min="7" max="7" width="11.8984375" style="48" customWidth="1"/>
    <col min="8" max="8" width="13.59765625" style="48" customWidth="1"/>
    <col min="9" max="9" width="12.69921875" style="24" customWidth="1"/>
    <col min="10" max="10" width="9" style="24"/>
    <col min="11" max="11" width="10" style="24" bestFit="1" customWidth="1"/>
    <col min="12" max="256" width="9" style="24"/>
    <col min="257" max="257" width="5" style="24" customWidth="1"/>
    <col min="258" max="258" width="17.8984375" style="24" bestFit="1" customWidth="1"/>
    <col min="259" max="259" width="22.5" style="24" customWidth="1"/>
    <col min="260" max="260" width="26.19921875" style="24" customWidth="1"/>
    <col min="261" max="261" width="5.19921875" style="24" bestFit="1" customWidth="1"/>
    <col min="262" max="262" width="9" style="24"/>
    <col min="263" max="263" width="11.8984375" style="24" customWidth="1"/>
    <col min="264" max="264" width="13.59765625" style="24" customWidth="1"/>
    <col min="265" max="265" width="12.69921875" style="24" customWidth="1"/>
    <col min="266" max="266" width="9" style="24"/>
    <col min="267" max="267" width="10" style="24" bestFit="1" customWidth="1"/>
    <col min="268" max="512" width="9" style="24"/>
    <col min="513" max="513" width="5" style="24" customWidth="1"/>
    <col min="514" max="514" width="17.8984375" style="24" bestFit="1" customWidth="1"/>
    <col min="515" max="515" width="22.5" style="24" customWidth="1"/>
    <col min="516" max="516" width="26.19921875" style="24" customWidth="1"/>
    <col min="517" max="517" width="5.19921875" style="24" bestFit="1" customWidth="1"/>
    <col min="518" max="518" width="9" style="24"/>
    <col min="519" max="519" width="11.8984375" style="24" customWidth="1"/>
    <col min="520" max="520" width="13.59765625" style="24" customWidth="1"/>
    <col min="521" max="521" width="12.69921875" style="24" customWidth="1"/>
    <col min="522" max="522" width="9" style="24"/>
    <col min="523" max="523" width="10" style="24" bestFit="1" customWidth="1"/>
    <col min="524" max="768" width="9" style="24"/>
    <col min="769" max="769" width="5" style="24" customWidth="1"/>
    <col min="770" max="770" width="17.8984375" style="24" bestFit="1" customWidth="1"/>
    <col min="771" max="771" width="22.5" style="24" customWidth="1"/>
    <col min="772" max="772" width="26.19921875" style="24" customWidth="1"/>
    <col min="773" max="773" width="5.19921875" style="24" bestFit="1" customWidth="1"/>
    <col min="774" max="774" width="9" style="24"/>
    <col min="775" max="775" width="11.8984375" style="24" customWidth="1"/>
    <col min="776" max="776" width="13.59765625" style="24" customWidth="1"/>
    <col min="777" max="777" width="12.69921875" style="24" customWidth="1"/>
    <col min="778" max="778" width="9" style="24"/>
    <col min="779" max="779" width="10" style="24" bestFit="1" customWidth="1"/>
    <col min="780" max="1024" width="9" style="24"/>
    <col min="1025" max="1025" width="5" style="24" customWidth="1"/>
    <col min="1026" max="1026" width="17.8984375" style="24" bestFit="1" customWidth="1"/>
    <col min="1027" max="1027" width="22.5" style="24" customWidth="1"/>
    <col min="1028" max="1028" width="26.19921875" style="24" customWidth="1"/>
    <col min="1029" max="1029" width="5.19921875" style="24" bestFit="1" customWidth="1"/>
    <col min="1030" max="1030" width="9" style="24"/>
    <col min="1031" max="1031" width="11.8984375" style="24" customWidth="1"/>
    <col min="1032" max="1032" width="13.59765625" style="24" customWidth="1"/>
    <col min="1033" max="1033" width="12.69921875" style="24" customWidth="1"/>
    <col min="1034" max="1034" width="9" style="24"/>
    <col min="1035" max="1035" width="10" style="24" bestFit="1" customWidth="1"/>
    <col min="1036" max="1280" width="9" style="24"/>
    <col min="1281" max="1281" width="5" style="24" customWidth="1"/>
    <col min="1282" max="1282" width="17.8984375" style="24" bestFit="1" customWidth="1"/>
    <col min="1283" max="1283" width="22.5" style="24" customWidth="1"/>
    <col min="1284" max="1284" width="26.19921875" style="24" customWidth="1"/>
    <col min="1285" max="1285" width="5.19921875" style="24" bestFit="1" customWidth="1"/>
    <col min="1286" max="1286" width="9" style="24"/>
    <col min="1287" max="1287" width="11.8984375" style="24" customWidth="1"/>
    <col min="1288" max="1288" width="13.59765625" style="24" customWidth="1"/>
    <col min="1289" max="1289" width="12.69921875" style="24" customWidth="1"/>
    <col min="1290" max="1290" width="9" style="24"/>
    <col min="1291" max="1291" width="10" style="24" bestFit="1" customWidth="1"/>
    <col min="1292" max="1536" width="9" style="24"/>
    <col min="1537" max="1537" width="5" style="24" customWidth="1"/>
    <col min="1538" max="1538" width="17.8984375" style="24" bestFit="1" customWidth="1"/>
    <col min="1539" max="1539" width="22.5" style="24" customWidth="1"/>
    <col min="1540" max="1540" width="26.19921875" style="24" customWidth="1"/>
    <col min="1541" max="1541" width="5.19921875" style="24" bestFit="1" customWidth="1"/>
    <col min="1542" max="1542" width="9" style="24"/>
    <col min="1543" max="1543" width="11.8984375" style="24" customWidth="1"/>
    <col min="1544" max="1544" width="13.59765625" style="24" customWidth="1"/>
    <col min="1545" max="1545" width="12.69921875" style="24" customWidth="1"/>
    <col min="1546" max="1546" width="9" style="24"/>
    <col min="1547" max="1547" width="10" style="24" bestFit="1" customWidth="1"/>
    <col min="1548" max="1792" width="9" style="24"/>
    <col min="1793" max="1793" width="5" style="24" customWidth="1"/>
    <col min="1794" max="1794" width="17.8984375" style="24" bestFit="1" customWidth="1"/>
    <col min="1795" max="1795" width="22.5" style="24" customWidth="1"/>
    <col min="1796" max="1796" width="26.19921875" style="24" customWidth="1"/>
    <col min="1797" max="1797" width="5.19921875" style="24" bestFit="1" customWidth="1"/>
    <col min="1798" max="1798" width="9" style="24"/>
    <col min="1799" max="1799" width="11.8984375" style="24" customWidth="1"/>
    <col min="1800" max="1800" width="13.59765625" style="24" customWidth="1"/>
    <col min="1801" max="1801" width="12.69921875" style="24" customWidth="1"/>
    <col min="1802" max="1802" width="9" style="24"/>
    <col min="1803" max="1803" width="10" style="24" bestFit="1" customWidth="1"/>
    <col min="1804" max="2048" width="9" style="24"/>
    <col min="2049" max="2049" width="5" style="24" customWidth="1"/>
    <col min="2050" max="2050" width="17.8984375" style="24" bestFit="1" customWidth="1"/>
    <col min="2051" max="2051" width="22.5" style="24" customWidth="1"/>
    <col min="2052" max="2052" width="26.19921875" style="24" customWidth="1"/>
    <col min="2053" max="2053" width="5.19921875" style="24" bestFit="1" customWidth="1"/>
    <col min="2054" max="2054" width="9" style="24"/>
    <col min="2055" max="2055" width="11.8984375" style="24" customWidth="1"/>
    <col min="2056" max="2056" width="13.59765625" style="24" customWidth="1"/>
    <col min="2057" max="2057" width="12.69921875" style="24" customWidth="1"/>
    <col min="2058" max="2058" width="9" style="24"/>
    <col min="2059" max="2059" width="10" style="24" bestFit="1" customWidth="1"/>
    <col min="2060" max="2304" width="9" style="24"/>
    <col min="2305" max="2305" width="5" style="24" customWidth="1"/>
    <col min="2306" max="2306" width="17.8984375" style="24" bestFit="1" customWidth="1"/>
    <col min="2307" max="2307" width="22.5" style="24" customWidth="1"/>
    <col min="2308" max="2308" width="26.19921875" style="24" customWidth="1"/>
    <col min="2309" max="2309" width="5.19921875" style="24" bestFit="1" customWidth="1"/>
    <col min="2310" max="2310" width="9" style="24"/>
    <col min="2311" max="2311" width="11.8984375" style="24" customWidth="1"/>
    <col min="2312" max="2312" width="13.59765625" style="24" customWidth="1"/>
    <col min="2313" max="2313" width="12.69921875" style="24" customWidth="1"/>
    <col min="2314" max="2314" width="9" style="24"/>
    <col min="2315" max="2315" width="10" style="24" bestFit="1" customWidth="1"/>
    <col min="2316" max="2560" width="9" style="24"/>
    <col min="2561" max="2561" width="5" style="24" customWidth="1"/>
    <col min="2562" max="2562" width="17.8984375" style="24" bestFit="1" customWidth="1"/>
    <col min="2563" max="2563" width="22.5" style="24" customWidth="1"/>
    <col min="2564" max="2564" width="26.19921875" style="24" customWidth="1"/>
    <col min="2565" max="2565" width="5.19921875" style="24" bestFit="1" customWidth="1"/>
    <col min="2566" max="2566" width="9" style="24"/>
    <col min="2567" max="2567" width="11.8984375" style="24" customWidth="1"/>
    <col min="2568" max="2568" width="13.59765625" style="24" customWidth="1"/>
    <col min="2569" max="2569" width="12.69921875" style="24" customWidth="1"/>
    <col min="2570" max="2570" width="9" style="24"/>
    <col min="2571" max="2571" width="10" style="24" bestFit="1" customWidth="1"/>
    <col min="2572" max="2816" width="9" style="24"/>
    <col min="2817" max="2817" width="5" style="24" customWidth="1"/>
    <col min="2818" max="2818" width="17.8984375" style="24" bestFit="1" customWidth="1"/>
    <col min="2819" max="2819" width="22.5" style="24" customWidth="1"/>
    <col min="2820" max="2820" width="26.19921875" style="24" customWidth="1"/>
    <col min="2821" max="2821" width="5.19921875" style="24" bestFit="1" customWidth="1"/>
    <col min="2822" max="2822" width="9" style="24"/>
    <col min="2823" max="2823" width="11.8984375" style="24" customWidth="1"/>
    <col min="2824" max="2824" width="13.59765625" style="24" customWidth="1"/>
    <col min="2825" max="2825" width="12.69921875" style="24" customWidth="1"/>
    <col min="2826" max="2826" width="9" style="24"/>
    <col min="2827" max="2827" width="10" style="24" bestFit="1" customWidth="1"/>
    <col min="2828" max="3072" width="9" style="24"/>
    <col min="3073" max="3073" width="5" style="24" customWidth="1"/>
    <col min="3074" max="3074" width="17.8984375" style="24" bestFit="1" customWidth="1"/>
    <col min="3075" max="3075" width="22.5" style="24" customWidth="1"/>
    <col min="3076" max="3076" width="26.19921875" style="24" customWidth="1"/>
    <col min="3077" max="3077" width="5.19921875" style="24" bestFit="1" customWidth="1"/>
    <col min="3078" max="3078" width="9" style="24"/>
    <col min="3079" max="3079" width="11.8984375" style="24" customWidth="1"/>
    <col min="3080" max="3080" width="13.59765625" style="24" customWidth="1"/>
    <col min="3081" max="3081" width="12.69921875" style="24" customWidth="1"/>
    <col min="3082" max="3082" width="9" style="24"/>
    <col min="3083" max="3083" width="10" style="24" bestFit="1" customWidth="1"/>
    <col min="3084" max="3328" width="9" style="24"/>
    <col min="3329" max="3329" width="5" style="24" customWidth="1"/>
    <col min="3330" max="3330" width="17.8984375" style="24" bestFit="1" customWidth="1"/>
    <col min="3331" max="3331" width="22.5" style="24" customWidth="1"/>
    <col min="3332" max="3332" width="26.19921875" style="24" customWidth="1"/>
    <col min="3333" max="3333" width="5.19921875" style="24" bestFit="1" customWidth="1"/>
    <col min="3334" max="3334" width="9" style="24"/>
    <col min="3335" max="3335" width="11.8984375" style="24" customWidth="1"/>
    <col min="3336" max="3336" width="13.59765625" style="24" customWidth="1"/>
    <col min="3337" max="3337" width="12.69921875" style="24" customWidth="1"/>
    <col min="3338" max="3338" width="9" style="24"/>
    <col min="3339" max="3339" width="10" style="24" bestFit="1" customWidth="1"/>
    <col min="3340" max="3584" width="9" style="24"/>
    <col min="3585" max="3585" width="5" style="24" customWidth="1"/>
    <col min="3586" max="3586" width="17.8984375" style="24" bestFit="1" customWidth="1"/>
    <col min="3587" max="3587" width="22.5" style="24" customWidth="1"/>
    <col min="3588" max="3588" width="26.19921875" style="24" customWidth="1"/>
    <col min="3589" max="3589" width="5.19921875" style="24" bestFit="1" customWidth="1"/>
    <col min="3590" max="3590" width="9" style="24"/>
    <col min="3591" max="3591" width="11.8984375" style="24" customWidth="1"/>
    <col min="3592" max="3592" width="13.59765625" style="24" customWidth="1"/>
    <col min="3593" max="3593" width="12.69921875" style="24" customWidth="1"/>
    <col min="3594" max="3594" width="9" style="24"/>
    <col min="3595" max="3595" width="10" style="24" bestFit="1" customWidth="1"/>
    <col min="3596" max="3840" width="9" style="24"/>
    <col min="3841" max="3841" width="5" style="24" customWidth="1"/>
    <col min="3842" max="3842" width="17.8984375" style="24" bestFit="1" customWidth="1"/>
    <col min="3843" max="3843" width="22.5" style="24" customWidth="1"/>
    <col min="3844" max="3844" width="26.19921875" style="24" customWidth="1"/>
    <col min="3845" max="3845" width="5.19921875" style="24" bestFit="1" customWidth="1"/>
    <col min="3846" max="3846" width="9" style="24"/>
    <col min="3847" max="3847" width="11.8984375" style="24" customWidth="1"/>
    <col min="3848" max="3848" width="13.59765625" style="24" customWidth="1"/>
    <col min="3849" max="3849" width="12.69921875" style="24" customWidth="1"/>
    <col min="3850" max="3850" width="9" style="24"/>
    <col min="3851" max="3851" width="10" style="24" bestFit="1" customWidth="1"/>
    <col min="3852" max="4096" width="9" style="24"/>
    <col min="4097" max="4097" width="5" style="24" customWidth="1"/>
    <col min="4098" max="4098" width="17.8984375" style="24" bestFit="1" customWidth="1"/>
    <col min="4099" max="4099" width="22.5" style="24" customWidth="1"/>
    <col min="4100" max="4100" width="26.19921875" style="24" customWidth="1"/>
    <col min="4101" max="4101" width="5.19921875" style="24" bestFit="1" customWidth="1"/>
    <col min="4102" max="4102" width="9" style="24"/>
    <col min="4103" max="4103" width="11.8984375" style="24" customWidth="1"/>
    <col min="4104" max="4104" width="13.59765625" style="24" customWidth="1"/>
    <col min="4105" max="4105" width="12.69921875" style="24" customWidth="1"/>
    <col min="4106" max="4106" width="9" style="24"/>
    <col min="4107" max="4107" width="10" style="24" bestFit="1" customWidth="1"/>
    <col min="4108" max="4352" width="9" style="24"/>
    <col min="4353" max="4353" width="5" style="24" customWidth="1"/>
    <col min="4354" max="4354" width="17.8984375" style="24" bestFit="1" customWidth="1"/>
    <col min="4355" max="4355" width="22.5" style="24" customWidth="1"/>
    <col min="4356" max="4356" width="26.19921875" style="24" customWidth="1"/>
    <col min="4357" max="4357" width="5.19921875" style="24" bestFit="1" customWidth="1"/>
    <col min="4358" max="4358" width="9" style="24"/>
    <col min="4359" max="4359" width="11.8984375" style="24" customWidth="1"/>
    <col min="4360" max="4360" width="13.59765625" style="24" customWidth="1"/>
    <col min="4361" max="4361" width="12.69921875" style="24" customWidth="1"/>
    <col min="4362" max="4362" width="9" style="24"/>
    <col min="4363" max="4363" width="10" style="24" bestFit="1" customWidth="1"/>
    <col min="4364" max="4608" width="9" style="24"/>
    <col min="4609" max="4609" width="5" style="24" customWidth="1"/>
    <col min="4610" max="4610" width="17.8984375" style="24" bestFit="1" customWidth="1"/>
    <col min="4611" max="4611" width="22.5" style="24" customWidth="1"/>
    <col min="4612" max="4612" width="26.19921875" style="24" customWidth="1"/>
    <col min="4613" max="4613" width="5.19921875" style="24" bestFit="1" customWidth="1"/>
    <col min="4614" max="4614" width="9" style="24"/>
    <col min="4615" max="4615" width="11.8984375" style="24" customWidth="1"/>
    <col min="4616" max="4616" width="13.59765625" style="24" customWidth="1"/>
    <col min="4617" max="4617" width="12.69921875" style="24" customWidth="1"/>
    <col min="4618" max="4618" width="9" style="24"/>
    <col min="4619" max="4619" width="10" style="24" bestFit="1" customWidth="1"/>
    <col min="4620" max="4864" width="9" style="24"/>
    <col min="4865" max="4865" width="5" style="24" customWidth="1"/>
    <col min="4866" max="4866" width="17.8984375" style="24" bestFit="1" customWidth="1"/>
    <col min="4867" max="4867" width="22.5" style="24" customWidth="1"/>
    <col min="4868" max="4868" width="26.19921875" style="24" customWidth="1"/>
    <col min="4869" max="4869" width="5.19921875" style="24" bestFit="1" customWidth="1"/>
    <col min="4870" max="4870" width="9" style="24"/>
    <col min="4871" max="4871" width="11.8984375" style="24" customWidth="1"/>
    <col min="4872" max="4872" width="13.59765625" style="24" customWidth="1"/>
    <col min="4873" max="4873" width="12.69921875" style="24" customWidth="1"/>
    <col min="4874" max="4874" width="9" style="24"/>
    <col min="4875" max="4875" width="10" style="24" bestFit="1" customWidth="1"/>
    <col min="4876" max="5120" width="9" style="24"/>
    <col min="5121" max="5121" width="5" style="24" customWidth="1"/>
    <col min="5122" max="5122" width="17.8984375" style="24" bestFit="1" customWidth="1"/>
    <col min="5123" max="5123" width="22.5" style="24" customWidth="1"/>
    <col min="5124" max="5124" width="26.19921875" style="24" customWidth="1"/>
    <col min="5125" max="5125" width="5.19921875" style="24" bestFit="1" customWidth="1"/>
    <col min="5126" max="5126" width="9" style="24"/>
    <col min="5127" max="5127" width="11.8984375" style="24" customWidth="1"/>
    <col min="5128" max="5128" width="13.59765625" style="24" customWidth="1"/>
    <col min="5129" max="5129" width="12.69921875" style="24" customWidth="1"/>
    <col min="5130" max="5130" width="9" style="24"/>
    <col min="5131" max="5131" width="10" style="24" bestFit="1" customWidth="1"/>
    <col min="5132" max="5376" width="9" style="24"/>
    <col min="5377" max="5377" width="5" style="24" customWidth="1"/>
    <col min="5378" max="5378" width="17.8984375" style="24" bestFit="1" customWidth="1"/>
    <col min="5379" max="5379" width="22.5" style="24" customWidth="1"/>
    <col min="5380" max="5380" width="26.19921875" style="24" customWidth="1"/>
    <col min="5381" max="5381" width="5.19921875" style="24" bestFit="1" customWidth="1"/>
    <col min="5382" max="5382" width="9" style="24"/>
    <col min="5383" max="5383" width="11.8984375" style="24" customWidth="1"/>
    <col min="5384" max="5384" width="13.59765625" style="24" customWidth="1"/>
    <col min="5385" max="5385" width="12.69921875" style="24" customWidth="1"/>
    <col min="5386" max="5386" width="9" style="24"/>
    <col min="5387" max="5387" width="10" style="24" bestFit="1" customWidth="1"/>
    <col min="5388" max="5632" width="9" style="24"/>
    <col min="5633" max="5633" width="5" style="24" customWidth="1"/>
    <col min="5634" max="5634" width="17.8984375" style="24" bestFit="1" customWidth="1"/>
    <col min="5635" max="5635" width="22.5" style="24" customWidth="1"/>
    <col min="5636" max="5636" width="26.19921875" style="24" customWidth="1"/>
    <col min="5637" max="5637" width="5.19921875" style="24" bestFit="1" customWidth="1"/>
    <col min="5638" max="5638" width="9" style="24"/>
    <col min="5639" max="5639" width="11.8984375" style="24" customWidth="1"/>
    <col min="5640" max="5640" width="13.59765625" style="24" customWidth="1"/>
    <col min="5641" max="5641" width="12.69921875" style="24" customWidth="1"/>
    <col min="5642" max="5642" width="9" style="24"/>
    <col min="5643" max="5643" width="10" style="24" bestFit="1" customWidth="1"/>
    <col min="5644" max="5888" width="9" style="24"/>
    <col min="5889" max="5889" width="5" style="24" customWidth="1"/>
    <col min="5890" max="5890" width="17.8984375" style="24" bestFit="1" customWidth="1"/>
    <col min="5891" max="5891" width="22.5" style="24" customWidth="1"/>
    <col min="5892" max="5892" width="26.19921875" style="24" customWidth="1"/>
    <col min="5893" max="5893" width="5.19921875" style="24" bestFit="1" customWidth="1"/>
    <col min="5894" max="5894" width="9" style="24"/>
    <col min="5895" max="5895" width="11.8984375" style="24" customWidth="1"/>
    <col min="5896" max="5896" width="13.59765625" style="24" customWidth="1"/>
    <col min="5897" max="5897" width="12.69921875" style="24" customWidth="1"/>
    <col min="5898" max="5898" width="9" style="24"/>
    <col min="5899" max="5899" width="10" style="24" bestFit="1" customWidth="1"/>
    <col min="5900" max="6144" width="9" style="24"/>
    <col min="6145" max="6145" width="5" style="24" customWidth="1"/>
    <col min="6146" max="6146" width="17.8984375" style="24" bestFit="1" customWidth="1"/>
    <col min="6147" max="6147" width="22.5" style="24" customWidth="1"/>
    <col min="6148" max="6148" width="26.19921875" style="24" customWidth="1"/>
    <col min="6149" max="6149" width="5.19921875" style="24" bestFit="1" customWidth="1"/>
    <col min="6150" max="6150" width="9" style="24"/>
    <col min="6151" max="6151" width="11.8984375" style="24" customWidth="1"/>
    <col min="6152" max="6152" width="13.59765625" style="24" customWidth="1"/>
    <col min="6153" max="6153" width="12.69921875" style="24" customWidth="1"/>
    <col min="6154" max="6154" width="9" style="24"/>
    <col min="6155" max="6155" width="10" style="24" bestFit="1" customWidth="1"/>
    <col min="6156" max="6400" width="9" style="24"/>
    <col min="6401" max="6401" width="5" style="24" customWidth="1"/>
    <col min="6402" max="6402" width="17.8984375" style="24" bestFit="1" customWidth="1"/>
    <col min="6403" max="6403" width="22.5" style="24" customWidth="1"/>
    <col min="6404" max="6404" width="26.19921875" style="24" customWidth="1"/>
    <col min="6405" max="6405" width="5.19921875" style="24" bestFit="1" customWidth="1"/>
    <col min="6406" max="6406" width="9" style="24"/>
    <col min="6407" max="6407" width="11.8984375" style="24" customWidth="1"/>
    <col min="6408" max="6408" width="13.59765625" style="24" customWidth="1"/>
    <col min="6409" max="6409" width="12.69921875" style="24" customWidth="1"/>
    <col min="6410" max="6410" width="9" style="24"/>
    <col min="6411" max="6411" width="10" style="24" bestFit="1" customWidth="1"/>
    <col min="6412" max="6656" width="9" style="24"/>
    <col min="6657" max="6657" width="5" style="24" customWidth="1"/>
    <col min="6658" max="6658" width="17.8984375" style="24" bestFit="1" customWidth="1"/>
    <col min="6659" max="6659" width="22.5" style="24" customWidth="1"/>
    <col min="6660" max="6660" width="26.19921875" style="24" customWidth="1"/>
    <col min="6661" max="6661" width="5.19921875" style="24" bestFit="1" customWidth="1"/>
    <col min="6662" max="6662" width="9" style="24"/>
    <col min="6663" max="6663" width="11.8984375" style="24" customWidth="1"/>
    <col min="6664" max="6664" width="13.59765625" style="24" customWidth="1"/>
    <col min="6665" max="6665" width="12.69921875" style="24" customWidth="1"/>
    <col min="6666" max="6666" width="9" style="24"/>
    <col min="6667" max="6667" width="10" style="24" bestFit="1" customWidth="1"/>
    <col min="6668" max="6912" width="9" style="24"/>
    <col min="6913" max="6913" width="5" style="24" customWidth="1"/>
    <col min="6914" max="6914" width="17.8984375" style="24" bestFit="1" customWidth="1"/>
    <col min="6915" max="6915" width="22.5" style="24" customWidth="1"/>
    <col min="6916" max="6916" width="26.19921875" style="24" customWidth="1"/>
    <col min="6917" max="6917" width="5.19921875" style="24" bestFit="1" customWidth="1"/>
    <col min="6918" max="6918" width="9" style="24"/>
    <col min="6919" max="6919" width="11.8984375" style="24" customWidth="1"/>
    <col min="6920" max="6920" width="13.59765625" style="24" customWidth="1"/>
    <col min="6921" max="6921" width="12.69921875" style="24" customWidth="1"/>
    <col min="6922" max="6922" width="9" style="24"/>
    <col min="6923" max="6923" width="10" style="24" bestFit="1" customWidth="1"/>
    <col min="6924" max="7168" width="9" style="24"/>
    <col min="7169" max="7169" width="5" style="24" customWidth="1"/>
    <col min="7170" max="7170" width="17.8984375" style="24" bestFit="1" customWidth="1"/>
    <col min="7171" max="7171" width="22.5" style="24" customWidth="1"/>
    <col min="7172" max="7172" width="26.19921875" style="24" customWidth="1"/>
    <col min="7173" max="7173" width="5.19921875" style="24" bestFit="1" customWidth="1"/>
    <col min="7174" max="7174" width="9" style="24"/>
    <col min="7175" max="7175" width="11.8984375" style="24" customWidth="1"/>
    <col min="7176" max="7176" width="13.59765625" style="24" customWidth="1"/>
    <col min="7177" max="7177" width="12.69921875" style="24" customWidth="1"/>
    <col min="7178" max="7178" width="9" style="24"/>
    <col min="7179" max="7179" width="10" style="24" bestFit="1" customWidth="1"/>
    <col min="7180" max="7424" width="9" style="24"/>
    <col min="7425" max="7425" width="5" style="24" customWidth="1"/>
    <col min="7426" max="7426" width="17.8984375" style="24" bestFit="1" customWidth="1"/>
    <col min="7427" max="7427" width="22.5" style="24" customWidth="1"/>
    <col min="7428" max="7428" width="26.19921875" style="24" customWidth="1"/>
    <col min="7429" max="7429" width="5.19921875" style="24" bestFit="1" customWidth="1"/>
    <col min="7430" max="7430" width="9" style="24"/>
    <col min="7431" max="7431" width="11.8984375" style="24" customWidth="1"/>
    <col min="7432" max="7432" width="13.59765625" style="24" customWidth="1"/>
    <col min="7433" max="7433" width="12.69921875" style="24" customWidth="1"/>
    <col min="7434" max="7434" width="9" style="24"/>
    <col min="7435" max="7435" width="10" style="24" bestFit="1" customWidth="1"/>
    <col min="7436" max="7680" width="9" style="24"/>
    <col min="7681" max="7681" width="5" style="24" customWidth="1"/>
    <col min="7682" max="7682" width="17.8984375" style="24" bestFit="1" customWidth="1"/>
    <col min="7683" max="7683" width="22.5" style="24" customWidth="1"/>
    <col min="7684" max="7684" width="26.19921875" style="24" customWidth="1"/>
    <col min="7685" max="7685" width="5.19921875" style="24" bestFit="1" customWidth="1"/>
    <col min="7686" max="7686" width="9" style="24"/>
    <col min="7687" max="7687" width="11.8984375" style="24" customWidth="1"/>
    <col min="7688" max="7688" width="13.59765625" style="24" customWidth="1"/>
    <col min="7689" max="7689" width="12.69921875" style="24" customWidth="1"/>
    <col min="7690" max="7690" width="9" style="24"/>
    <col min="7691" max="7691" width="10" style="24" bestFit="1" customWidth="1"/>
    <col min="7692" max="7936" width="9" style="24"/>
    <col min="7937" max="7937" width="5" style="24" customWidth="1"/>
    <col min="7938" max="7938" width="17.8984375" style="24" bestFit="1" customWidth="1"/>
    <col min="7939" max="7939" width="22.5" style="24" customWidth="1"/>
    <col min="7940" max="7940" width="26.19921875" style="24" customWidth="1"/>
    <col min="7941" max="7941" width="5.19921875" style="24" bestFit="1" customWidth="1"/>
    <col min="7942" max="7942" width="9" style="24"/>
    <col min="7943" max="7943" width="11.8984375" style="24" customWidth="1"/>
    <col min="7944" max="7944" width="13.59765625" style="24" customWidth="1"/>
    <col min="7945" max="7945" width="12.69921875" style="24" customWidth="1"/>
    <col min="7946" max="7946" width="9" style="24"/>
    <col min="7947" max="7947" width="10" style="24" bestFit="1" customWidth="1"/>
    <col min="7948" max="8192" width="9" style="24"/>
    <col min="8193" max="8193" width="5" style="24" customWidth="1"/>
    <col min="8194" max="8194" width="17.8984375" style="24" bestFit="1" customWidth="1"/>
    <col min="8195" max="8195" width="22.5" style="24" customWidth="1"/>
    <col min="8196" max="8196" width="26.19921875" style="24" customWidth="1"/>
    <col min="8197" max="8197" width="5.19921875" style="24" bestFit="1" customWidth="1"/>
    <col min="8198" max="8198" width="9" style="24"/>
    <col min="8199" max="8199" width="11.8984375" style="24" customWidth="1"/>
    <col min="8200" max="8200" width="13.59765625" style="24" customWidth="1"/>
    <col min="8201" max="8201" width="12.69921875" style="24" customWidth="1"/>
    <col min="8202" max="8202" width="9" style="24"/>
    <col min="8203" max="8203" width="10" style="24" bestFit="1" customWidth="1"/>
    <col min="8204" max="8448" width="9" style="24"/>
    <col min="8449" max="8449" width="5" style="24" customWidth="1"/>
    <col min="8450" max="8450" width="17.8984375" style="24" bestFit="1" customWidth="1"/>
    <col min="8451" max="8451" width="22.5" style="24" customWidth="1"/>
    <col min="8452" max="8452" width="26.19921875" style="24" customWidth="1"/>
    <col min="8453" max="8453" width="5.19921875" style="24" bestFit="1" customWidth="1"/>
    <col min="8454" max="8454" width="9" style="24"/>
    <col min="8455" max="8455" width="11.8984375" style="24" customWidth="1"/>
    <col min="8456" max="8456" width="13.59765625" style="24" customWidth="1"/>
    <col min="8457" max="8457" width="12.69921875" style="24" customWidth="1"/>
    <col min="8458" max="8458" width="9" style="24"/>
    <col min="8459" max="8459" width="10" style="24" bestFit="1" customWidth="1"/>
    <col min="8460" max="8704" width="9" style="24"/>
    <col min="8705" max="8705" width="5" style="24" customWidth="1"/>
    <col min="8706" max="8706" width="17.8984375" style="24" bestFit="1" customWidth="1"/>
    <col min="8707" max="8707" width="22.5" style="24" customWidth="1"/>
    <col min="8708" max="8708" width="26.19921875" style="24" customWidth="1"/>
    <col min="8709" max="8709" width="5.19921875" style="24" bestFit="1" customWidth="1"/>
    <col min="8710" max="8710" width="9" style="24"/>
    <col min="8711" max="8711" width="11.8984375" style="24" customWidth="1"/>
    <col min="8712" max="8712" width="13.59765625" style="24" customWidth="1"/>
    <col min="8713" max="8713" width="12.69921875" style="24" customWidth="1"/>
    <col min="8714" max="8714" width="9" style="24"/>
    <col min="8715" max="8715" width="10" style="24" bestFit="1" customWidth="1"/>
    <col min="8716" max="8960" width="9" style="24"/>
    <col min="8961" max="8961" width="5" style="24" customWidth="1"/>
    <col min="8962" max="8962" width="17.8984375" style="24" bestFit="1" customWidth="1"/>
    <col min="8963" max="8963" width="22.5" style="24" customWidth="1"/>
    <col min="8964" max="8964" width="26.19921875" style="24" customWidth="1"/>
    <col min="8965" max="8965" width="5.19921875" style="24" bestFit="1" customWidth="1"/>
    <col min="8966" max="8966" width="9" style="24"/>
    <col min="8967" max="8967" width="11.8984375" style="24" customWidth="1"/>
    <col min="8968" max="8968" width="13.59765625" style="24" customWidth="1"/>
    <col min="8969" max="8969" width="12.69921875" style="24" customWidth="1"/>
    <col min="8970" max="8970" width="9" style="24"/>
    <col min="8971" max="8971" width="10" style="24" bestFit="1" customWidth="1"/>
    <col min="8972" max="9216" width="9" style="24"/>
    <col min="9217" max="9217" width="5" style="24" customWidth="1"/>
    <col min="9218" max="9218" width="17.8984375" style="24" bestFit="1" customWidth="1"/>
    <col min="9219" max="9219" width="22.5" style="24" customWidth="1"/>
    <col min="9220" max="9220" width="26.19921875" style="24" customWidth="1"/>
    <col min="9221" max="9221" width="5.19921875" style="24" bestFit="1" customWidth="1"/>
    <col min="9222" max="9222" width="9" style="24"/>
    <col min="9223" max="9223" width="11.8984375" style="24" customWidth="1"/>
    <col min="9224" max="9224" width="13.59765625" style="24" customWidth="1"/>
    <col min="9225" max="9225" width="12.69921875" style="24" customWidth="1"/>
    <col min="9226" max="9226" width="9" style="24"/>
    <col min="9227" max="9227" width="10" style="24" bestFit="1" customWidth="1"/>
    <col min="9228" max="9472" width="9" style="24"/>
    <col min="9473" max="9473" width="5" style="24" customWidth="1"/>
    <col min="9474" max="9474" width="17.8984375" style="24" bestFit="1" customWidth="1"/>
    <col min="9475" max="9475" width="22.5" style="24" customWidth="1"/>
    <col min="9476" max="9476" width="26.19921875" style="24" customWidth="1"/>
    <col min="9477" max="9477" width="5.19921875" style="24" bestFit="1" customWidth="1"/>
    <col min="9478" max="9478" width="9" style="24"/>
    <col min="9479" max="9479" width="11.8984375" style="24" customWidth="1"/>
    <col min="9480" max="9480" width="13.59765625" style="24" customWidth="1"/>
    <col min="9481" max="9481" width="12.69921875" style="24" customWidth="1"/>
    <col min="9482" max="9482" width="9" style="24"/>
    <col min="9483" max="9483" width="10" style="24" bestFit="1" customWidth="1"/>
    <col min="9484" max="9728" width="9" style="24"/>
    <col min="9729" max="9729" width="5" style="24" customWidth="1"/>
    <col min="9730" max="9730" width="17.8984375" style="24" bestFit="1" customWidth="1"/>
    <col min="9731" max="9731" width="22.5" style="24" customWidth="1"/>
    <col min="9732" max="9732" width="26.19921875" style="24" customWidth="1"/>
    <col min="9733" max="9733" width="5.19921875" style="24" bestFit="1" customWidth="1"/>
    <col min="9734" max="9734" width="9" style="24"/>
    <col min="9735" max="9735" width="11.8984375" style="24" customWidth="1"/>
    <col min="9736" max="9736" width="13.59765625" style="24" customWidth="1"/>
    <col min="9737" max="9737" width="12.69921875" style="24" customWidth="1"/>
    <col min="9738" max="9738" width="9" style="24"/>
    <col min="9739" max="9739" width="10" style="24" bestFit="1" customWidth="1"/>
    <col min="9740" max="9984" width="9" style="24"/>
    <col min="9985" max="9985" width="5" style="24" customWidth="1"/>
    <col min="9986" max="9986" width="17.8984375" style="24" bestFit="1" customWidth="1"/>
    <col min="9987" max="9987" width="22.5" style="24" customWidth="1"/>
    <col min="9988" max="9988" width="26.19921875" style="24" customWidth="1"/>
    <col min="9989" max="9989" width="5.19921875" style="24" bestFit="1" customWidth="1"/>
    <col min="9990" max="9990" width="9" style="24"/>
    <col min="9991" max="9991" width="11.8984375" style="24" customWidth="1"/>
    <col min="9992" max="9992" width="13.59765625" style="24" customWidth="1"/>
    <col min="9993" max="9993" width="12.69921875" style="24" customWidth="1"/>
    <col min="9994" max="9994" width="9" style="24"/>
    <col min="9995" max="9995" width="10" style="24" bestFit="1" customWidth="1"/>
    <col min="9996" max="10240" width="9" style="24"/>
    <col min="10241" max="10241" width="5" style="24" customWidth="1"/>
    <col min="10242" max="10242" width="17.8984375" style="24" bestFit="1" customWidth="1"/>
    <col min="10243" max="10243" width="22.5" style="24" customWidth="1"/>
    <col min="10244" max="10244" width="26.19921875" style="24" customWidth="1"/>
    <col min="10245" max="10245" width="5.19921875" style="24" bestFit="1" customWidth="1"/>
    <col min="10246" max="10246" width="9" style="24"/>
    <col min="10247" max="10247" width="11.8984375" style="24" customWidth="1"/>
    <col min="10248" max="10248" width="13.59765625" style="24" customWidth="1"/>
    <col min="10249" max="10249" width="12.69921875" style="24" customWidth="1"/>
    <col min="10250" max="10250" width="9" style="24"/>
    <col min="10251" max="10251" width="10" style="24" bestFit="1" customWidth="1"/>
    <col min="10252" max="10496" width="9" style="24"/>
    <col min="10497" max="10497" width="5" style="24" customWidth="1"/>
    <col min="10498" max="10498" width="17.8984375" style="24" bestFit="1" customWidth="1"/>
    <col min="10499" max="10499" width="22.5" style="24" customWidth="1"/>
    <col min="10500" max="10500" width="26.19921875" style="24" customWidth="1"/>
    <col min="10501" max="10501" width="5.19921875" style="24" bestFit="1" customWidth="1"/>
    <col min="10502" max="10502" width="9" style="24"/>
    <col min="10503" max="10503" width="11.8984375" style="24" customWidth="1"/>
    <col min="10504" max="10504" width="13.59765625" style="24" customWidth="1"/>
    <col min="10505" max="10505" width="12.69921875" style="24" customWidth="1"/>
    <col min="10506" max="10506" width="9" style="24"/>
    <col min="10507" max="10507" width="10" style="24" bestFit="1" customWidth="1"/>
    <col min="10508" max="10752" width="9" style="24"/>
    <col min="10753" max="10753" width="5" style="24" customWidth="1"/>
    <col min="10754" max="10754" width="17.8984375" style="24" bestFit="1" customWidth="1"/>
    <col min="10755" max="10755" width="22.5" style="24" customWidth="1"/>
    <col min="10756" max="10756" width="26.19921875" style="24" customWidth="1"/>
    <col min="10757" max="10757" width="5.19921875" style="24" bestFit="1" customWidth="1"/>
    <col min="10758" max="10758" width="9" style="24"/>
    <col min="10759" max="10759" width="11.8984375" style="24" customWidth="1"/>
    <col min="10760" max="10760" width="13.59765625" style="24" customWidth="1"/>
    <col min="10761" max="10761" width="12.69921875" style="24" customWidth="1"/>
    <col min="10762" max="10762" width="9" style="24"/>
    <col min="10763" max="10763" width="10" style="24" bestFit="1" customWidth="1"/>
    <col min="10764" max="11008" width="9" style="24"/>
    <col min="11009" max="11009" width="5" style="24" customWidth="1"/>
    <col min="11010" max="11010" width="17.8984375" style="24" bestFit="1" customWidth="1"/>
    <col min="11011" max="11011" width="22.5" style="24" customWidth="1"/>
    <col min="11012" max="11012" width="26.19921875" style="24" customWidth="1"/>
    <col min="11013" max="11013" width="5.19921875" style="24" bestFit="1" customWidth="1"/>
    <col min="11014" max="11014" width="9" style="24"/>
    <col min="11015" max="11015" width="11.8984375" style="24" customWidth="1"/>
    <col min="11016" max="11016" width="13.59765625" style="24" customWidth="1"/>
    <col min="11017" max="11017" width="12.69921875" style="24" customWidth="1"/>
    <col min="11018" max="11018" width="9" style="24"/>
    <col min="11019" max="11019" width="10" style="24" bestFit="1" customWidth="1"/>
    <col min="11020" max="11264" width="9" style="24"/>
    <col min="11265" max="11265" width="5" style="24" customWidth="1"/>
    <col min="11266" max="11266" width="17.8984375" style="24" bestFit="1" customWidth="1"/>
    <col min="11267" max="11267" width="22.5" style="24" customWidth="1"/>
    <col min="11268" max="11268" width="26.19921875" style="24" customWidth="1"/>
    <col min="11269" max="11269" width="5.19921875" style="24" bestFit="1" customWidth="1"/>
    <col min="11270" max="11270" width="9" style="24"/>
    <col min="11271" max="11271" width="11.8984375" style="24" customWidth="1"/>
    <col min="11272" max="11272" width="13.59765625" style="24" customWidth="1"/>
    <col min="11273" max="11273" width="12.69921875" style="24" customWidth="1"/>
    <col min="11274" max="11274" width="9" style="24"/>
    <col min="11275" max="11275" width="10" style="24" bestFit="1" customWidth="1"/>
    <col min="11276" max="11520" width="9" style="24"/>
    <col min="11521" max="11521" width="5" style="24" customWidth="1"/>
    <col min="11522" max="11522" width="17.8984375" style="24" bestFit="1" customWidth="1"/>
    <col min="11523" max="11523" width="22.5" style="24" customWidth="1"/>
    <col min="11524" max="11524" width="26.19921875" style="24" customWidth="1"/>
    <col min="11525" max="11525" width="5.19921875" style="24" bestFit="1" customWidth="1"/>
    <col min="11526" max="11526" width="9" style="24"/>
    <col min="11527" max="11527" width="11.8984375" style="24" customWidth="1"/>
    <col min="11528" max="11528" width="13.59765625" style="24" customWidth="1"/>
    <col min="11529" max="11529" width="12.69921875" style="24" customWidth="1"/>
    <col min="11530" max="11530" width="9" style="24"/>
    <col min="11531" max="11531" width="10" style="24" bestFit="1" customWidth="1"/>
    <col min="11532" max="11776" width="9" style="24"/>
    <col min="11777" max="11777" width="5" style="24" customWidth="1"/>
    <col min="11778" max="11778" width="17.8984375" style="24" bestFit="1" customWidth="1"/>
    <col min="11779" max="11779" width="22.5" style="24" customWidth="1"/>
    <col min="11780" max="11780" width="26.19921875" style="24" customWidth="1"/>
    <col min="11781" max="11781" width="5.19921875" style="24" bestFit="1" customWidth="1"/>
    <col min="11782" max="11782" width="9" style="24"/>
    <col min="11783" max="11783" width="11.8984375" style="24" customWidth="1"/>
    <col min="11784" max="11784" width="13.59765625" style="24" customWidth="1"/>
    <col min="11785" max="11785" width="12.69921875" style="24" customWidth="1"/>
    <col min="11786" max="11786" width="9" style="24"/>
    <col min="11787" max="11787" width="10" style="24" bestFit="1" customWidth="1"/>
    <col min="11788" max="12032" width="9" style="24"/>
    <col min="12033" max="12033" width="5" style="24" customWidth="1"/>
    <col min="12034" max="12034" width="17.8984375" style="24" bestFit="1" customWidth="1"/>
    <col min="12035" max="12035" width="22.5" style="24" customWidth="1"/>
    <col min="12036" max="12036" width="26.19921875" style="24" customWidth="1"/>
    <col min="12037" max="12037" width="5.19921875" style="24" bestFit="1" customWidth="1"/>
    <col min="12038" max="12038" width="9" style="24"/>
    <col min="12039" max="12039" width="11.8984375" style="24" customWidth="1"/>
    <col min="12040" max="12040" width="13.59765625" style="24" customWidth="1"/>
    <col min="12041" max="12041" width="12.69921875" style="24" customWidth="1"/>
    <col min="12042" max="12042" width="9" style="24"/>
    <col min="12043" max="12043" width="10" style="24" bestFit="1" customWidth="1"/>
    <col min="12044" max="12288" width="9" style="24"/>
    <col min="12289" max="12289" width="5" style="24" customWidth="1"/>
    <col min="12290" max="12290" width="17.8984375" style="24" bestFit="1" customWidth="1"/>
    <col min="12291" max="12291" width="22.5" style="24" customWidth="1"/>
    <col min="12292" max="12292" width="26.19921875" style="24" customWidth="1"/>
    <col min="12293" max="12293" width="5.19921875" style="24" bestFit="1" customWidth="1"/>
    <col min="12294" max="12294" width="9" style="24"/>
    <col min="12295" max="12295" width="11.8984375" style="24" customWidth="1"/>
    <col min="12296" max="12296" width="13.59765625" style="24" customWidth="1"/>
    <col min="12297" max="12297" width="12.69921875" style="24" customWidth="1"/>
    <col min="12298" max="12298" width="9" style="24"/>
    <col min="12299" max="12299" width="10" style="24" bestFit="1" customWidth="1"/>
    <col min="12300" max="12544" width="9" style="24"/>
    <col min="12545" max="12545" width="5" style="24" customWidth="1"/>
    <col min="12546" max="12546" width="17.8984375" style="24" bestFit="1" customWidth="1"/>
    <col min="12547" max="12547" width="22.5" style="24" customWidth="1"/>
    <col min="12548" max="12548" width="26.19921875" style="24" customWidth="1"/>
    <col min="12549" max="12549" width="5.19921875" style="24" bestFit="1" customWidth="1"/>
    <col min="12550" max="12550" width="9" style="24"/>
    <col min="12551" max="12551" width="11.8984375" style="24" customWidth="1"/>
    <col min="12552" max="12552" width="13.59765625" style="24" customWidth="1"/>
    <col min="12553" max="12553" width="12.69921875" style="24" customWidth="1"/>
    <col min="12554" max="12554" width="9" style="24"/>
    <col min="12555" max="12555" width="10" style="24" bestFit="1" customWidth="1"/>
    <col min="12556" max="12800" width="9" style="24"/>
    <col min="12801" max="12801" width="5" style="24" customWidth="1"/>
    <col min="12802" max="12802" width="17.8984375" style="24" bestFit="1" customWidth="1"/>
    <col min="12803" max="12803" width="22.5" style="24" customWidth="1"/>
    <col min="12804" max="12804" width="26.19921875" style="24" customWidth="1"/>
    <col min="12805" max="12805" width="5.19921875" style="24" bestFit="1" customWidth="1"/>
    <col min="12806" max="12806" width="9" style="24"/>
    <col min="12807" max="12807" width="11.8984375" style="24" customWidth="1"/>
    <col min="12808" max="12808" width="13.59765625" style="24" customWidth="1"/>
    <col min="12809" max="12809" width="12.69921875" style="24" customWidth="1"/>
    <col min="12810" max="12810" width="9" style="24"/>
    <col min="12811" max="12811" width="10" style="24" bestFit="1" customWidth="1"/>
    <col min="12812" max="13056" width="9" style="24"/>
    <col min="13057" max="13057" width="5" style="24" customWidth="1"/>
    <col min="13058" max="13058" width="17.8984375" style="24" bestFit="1" customWidth="1"/>
    <col min="13059" max="13059" width="22.5" style="24" customWidth="1"/>
    <col min="13060" max="13060" width="26.19921875" style="24" customWidth="1"/>
    <col min="13061" max="13061" width="5.19921875" style="24" bestFit="1" customWidth="1"/>
    <col min="13062" max="13062" width="9" style="24"/>
    <col min="13063" max="13063" width="11.8984375" style="24" customWidth="1"/>
    <col min="13064" max="13064" width="13.59765625" style="24" customWidth="1"/>
    <col min="13065" max="13065" width="12.69921875" style="24" customWidth="1"/>
    <col min="13066" max="13066" width="9" style="24"/>
    <col min="13067" max="13067" width="10" style="24" bestFit="1" customWidth="1"/>
    <col min="13068" max="13312" width="9" style="24"/>
    <col min="13313" max="13313" width="5" style="24" customWidth="1"/>
    <col min="13314" max="13314" width="17.8984375" style="24" bestFit="1" customWidth="1"/>
    <col min="13315" max="13315" width="22.5" style="24" customWidth="1"/>
    <col min="13316" max="13316" width="26.19921875" style="24" customWidth="1"/>
    <col min="13317" max="13317" width="5.19921875" style="24" bestFit="1" customWidth="1"/>
    <col min="13318" max="13318" width="9" style="24"/>
    <col min="13319" max="13319" width="11.8984375" style="24" customWidth="1"/>
    <col min="13320" max="13320" width="13.59765625" style="24" customWidth="1"/>
    <col min="13321" max="13321" width="12.69921875" style="24" customWidth="1"/>
    <col min="13322" max="13322" width="9" style="24"/>
    <col min="13323" max="13323" width="10" style="24" bestFit="1" customWidth="1"/>
    <col min="13324" max="13568" width="9" style="24"/>
    <col min="13569" max="13569" width="5" style="24" customWidth="1"/>
    <col min="13570" max="13570" width="17.8984375" style="24" bestFit="1" customWidth="1"/>
    <col min="13571" max="13571" width="22.5" style="24" customWidth="1"/>
    <col min="13572" max="13572" width="26.19921875" style="24" customWidth="1"/>
    <col min="13573" max="13573" width="5.19921875" style="24" bestFit="1" customWidth="1"/>
    <col min="13574" max="13574" width="9" style="24"/>
    <col min="13575" max="13575" width="11.8984375" style="24" customWidth="1"/>
    <col min="13576" max="13576" width="13.59765625" style="24" customWidth="1"/>
    <col min="13577" max="13577" width="12.69921875" style="24" customWidth="1"/>
    <col min="13578" max="13578" width="9" style="24"/>
    <col min="13579" max="13579" width="10" style="24" bestFit="1" customWidth="1"/>
    <col min="13580" max="13824" width="9" style="24"/>
    <col min="13825" max="13825" width="5" style="24" customWidth="1"/>
    <col min="13826" max="13826" width="17.8984375" style="24" bestFit="1" customWidth="1"/>
    <col min="13827" max="13827" width="22.5" style="24" customWidth="1"/>
    <col min="13828" max="13828" width="26.19921875" style="24" customWidth="1"/>
    <col min="13829" max="13829" width="5.19921875" style="24" bestFit="1" customWidth="1"/>
    <col min="13830" max="13830" width="9" style="24"/>
    <col min="13831" max="13831" width="11.8984375" style="24" customWidth="1"/>
    <col min="13832" max="13832" width="13.59765625" style="24" customWidth="1"/>
    <col min="13833" max="13833" width="12.69921875" style="24" customWidth="1"/>
    <col min="13834" max="13834" width="9" style="24"/>
    <col min="13835" max="13835" width="10" style="24" bestFit="1" customWidth="1"/>
    <col min="13836" max="14080" width="9" style="24"/>
    <col min="14081" max="14081" width="5" style="24" customWidth="1"/>
    <col min="14082" max="14082" width="17.8984375" style="24" bestFit="1" customWidth="1"/>
    <col min="14083" max="14083" width="22.5" style="24" customWidth="1"/>
    <col min="14084" max="14084" width="26.19921875" style="24" customWidth="1"/>
    <col min="14085" max="14085" width="5.19921875" style="24" bestFit="1" customWidth="1"/>
    <col min="14086" max="14086" width="9" style="24"/>
    <col min="14087" max="14087" width="11.8984375" style="24" customWidth="1"/>
    <col min="14088" max="14088" width="13.59765625" style="24" customWidth="1"/>
    <col min="14089" max="14089" width="12.69921875" style="24" customWidth="1"/>
    <col min="14090" max="14090" width="9" style="24"/>
    <col min="14091" max="14091" width="10" style="24" bestFit="1" customWidth="1"/>
    <col min="14092" max="14336" width="9" style="24"/>
    <col min="14337" max="14337" width="5" style="24" customWidth="1"/>
    <col min="14338" max="14338" width="17.8984375" style="24" bestFit="1" customWidth="1"/>
    <col min="14339" max="14339" width="22.5" style="24" customWidth="1"/>
    <col min="14340" max="14340" width="26.19921875" style="24" customWidth="1"/>
    <col min="14341" max="14341" width="5.19921875" style="24" bestFit="1" customWidth="1"/>
    <col min="14342" max="14342" width="9" style="24"/>
    <col min="14343" max="14343" width="11.8984375" style="24" customWidth="1"/>
    <col min="14344" max="14344" width="13.59765625" style="24" customWidth="1"/>
    <col min="14345" max="14345" width="12.69921875" style="24" customWidth="1"/>
    <col min="14346" max="14346" width="9" style="24"/>
    <col min="14347" max="14347" width="10" style="24" bestFit="1" customWidth="1"/>
    <col min="14348" max="14592" width="9" style="24"/>
    <col min="14593" max="14593" width="5" style="24" customWidth="1"/>
    <col min="14594" max="14594" width="17.8984375" style="24" bestFit="1" customWidth="1"/>
    <col min="14595" max="14595" width="22.5" style="24" customWidth="1"/>
    <col min="14596" max="14596" width="26.19921875" style="24" customWidth="1"/>
    <col min="14597" max="14597" width="5.19921875" style="24" bestFit="1" customWidth="1"/>
    <col min="14598" max="14598" width="9" style="24"/>
    <col min="14599" max="14599" width="11.8984375" style="24" customWidth="1"/>
    <col min="14600" max="14600" width="13.59765625" style="24" customWidth="1"/>
    <col min="14601" max="14601" width="12.69921875" style="24" customWidth="1"/>
    <col min="14602" max="14602" width="9" style="24"/>
    <col min="14603" max="14603" width="10" style="24" bestFit="1" customWidth="1"/>
    <col min="14604" max="14848" width="9" style="24"/>
    <col min="14849" max="14849" width="5" style="24" customWidth="1"/>
    <col min="14850" max="14850" width="17.8984375" style="24" bestFit="1" customWidth="1"/>
    <col min="14851" max="14851" width="22.5" style="24" customWidth="1"/>
    <col min="14852" max="14852" width="26.19921875" style="24" customWidth="1"/>
    <col min="14853" max="14853" width="5.19921875" style="24" bestFit="1" customWidth="1"/>
    <col min="14854" max="14854" width="9" style="24"/>
    <col min="14855" max="14855" width="11.8984375" style="24" customWidth="1"/>
    <col min="14856" max="14856" width="13.59765625" style="24" customWidth="1"/>
    <col min="14857" max="14857" width="12.69921875" style="24" customWidth="1"/>
    <col min="14858" max="14858" width="9" style="24"/>
    <col min="14859" max="14859" width="10" style="24" bestFit="1" customWidth="1"/>
    <col min="14860" max="15104" width="9" style="24"/>
    <col min="15105" max="15105" width="5" style="24" customWidth="1"/>
    <col min="15106" max="15106" width="17.8984375" style="24" bestFit="1" customWidth="1"/>
    <col min="15107" max="15107" width="22.5" style="24" customWidth="1"/>
    <col min="15108" max="15108" width="26.19921875" style="24" customWidth="1"/>
    <col min="15109" max="15109" width="5.19921875" style="24" bestFit="1" customWidth="1"/>
    <col min="15110" max="15110" width="9" style="24"/>
    <col min="15111" max="15111" width="11.8984375" style="24" customWidth="1"/>
    <col min="15112" max="15112" width="13.59765625" style="24" customWidth="1"/>
    <col min="15113" max="15113" width="12.69921875" style="24" customWidth="1"/>
    <col min="15114" max="15114" width="9" style="24"/>
    <col min="15115" max="15115" width="10" style="24" bestFit="1" customWidth="1"/>
    <col min="15116" max="15360" width="9" style="24"/>
    <col min="15361" max="15361" width="5" style="24" customWidth="1"/>
    <col min="15362" max="15362" width="17.8984375" style="24" bestFit="1" customWidth="1"/>
    <col min="15363" max="15363" width="22.5" style="24" customWidth="1"/>
    <col min="15364" max="15364" width="26.19921875" style="24" customWidth="1"/>
    <col min="15365" max="15365" width="5.19921875" style="24" bestFit="1" customWidth="1"/>
    <col min="15366" max="15366" width="9" style="24"/>
    <col min="15367" max="15367" width="11.8984375" style="24" customWidth="1"/>
    <col min="15368" max="15368" width="13.59765625" style="24" customWidth="1"/>
    <col min="15369" max="15369" width="12.69921875" style="24" customWidth="1"/>
    <col min="15370" max="15370" width="9" style="24"/>
    <col min="15371" max="15371" width="10" style="24" bestFit="1" customWidth="1"/>
    <col min="15372" max="15616" width="9" style="24"/>
    <col min="15617" max="15617" width="5" style="24" customWidth="1"/>
    <col min="15618" max="15618" width="17.8984375" style="24" bestFit="1" customWidth="1"/>
    <col min="15619" max="15619" width="22.5" style="24" customWidth="1"/>
    <col min="15620" max="15620" width="26.19921875" style="24" customWidth="1"/>
    <col min="15621" max="15621" width="5.19921875" style="24" bestFit="1" customWidth="1"/>
    <col min="15622" max="15622" width="9" style="24"/>
    <col min="15623" max="15623" width="11.8984375" style="24" customWidth="1"/>
    <col min="15624" max="15624" width="13.59765625" style="24" customWidth="1"/>
    <col min="15625" max="15625" width="12.69921875" style="24" customWidth="1"/>
    <col min="15626" max="15626" width="9" style="24"/>
    <col min="15627" max="15627" width="10" style="24" bestFit="1" customWidth="1"/>
    <col min="15628" max="15872" width="9" style="24"/>
    <col min="15873" max="15873" width="5" style="24" customWidth="1"/>
    <col min="15874" max="15874" width="17.8984375" style="24" bestFit="1" customWidth="1"/>
    <col min="15875" max="15875" width="22.5" style="24" customWidth="1"/>
    <col min="15876" max="15876" width="26.19921875" style="24" customWidth="1"/>
    <col min="15877" max="15877" width="5.19921875" style="24" bestFit="1" customWidth="1"/>
    <col min="15878" max="15878" width="9" style="24"/>
    <col min="15879" max="15879" width="11.8984375" style="24" customWidth="1"/>
    <col min="15880" max="15880" width="13.59765625" style="24" customWidth="1"/>
    <col min="15881" max="15881" width="12.69921875" style="24" customWidth="1"/>
    <col min="15882" max="15882" width="9" style="24"/>
    <col min="15883" max="15883" width="10" style="24" bestFit="1" customWidth="1"/>
    <col min="15884" max="16128" width="9" style="24"/>
    <col min="16129" max="16129" width="5" style="24" customWidth="1"/>
    <col min="16130" max="16130" width="17.8984375" style="24" bestFit="1" customWidth="1"/>
    <col min="16131" max="16131" width="22.5" style="24" customWidth="1"/>
    <col min="16132" max="16132" width="26.19921875" style="24" customWidth="1"/>
    <col min="16133" max="16133" width="5.19921875" style="24" bestFit="1" customWidth="1"/>
    <col min="16134" max="16134" width="9" style="24"/>
    <col min="16135" max="16135" width="11.8984375" style="24" customWidth="1"/>
    <col min="16136" max="16136" width="13.59765625" style="24" customWidth="1"/>
    <col min="16137" max="16137" width="12.69921875" style="24" customWidth="1"/>
    <col min="16138" max="16138" width="9" style="24"/>
    <col min="16139" max="16139" width="10" style="24" bestFit="1" customWidth="1"/>
    <col min="16140" max="16384" width="9" style="24"/>
  </cols>
  <sheetData>
    <row r="1" spans="1:11" ht="22.5" customHeight="1">
      <c r="B1" s="201" t="s">
        <v>145</v>
      </c>
      <c r="C1" s="266" t="s">
        <v>272</v>
      </c>
      <c r="F1" s="202"/>
      <c r="I1" s="24" t="s">
        <v>118</v>
      </c>
      <c r="K1" s="267"/>
    </row>
    <row r="2" spans="1:11" s="26" customFormat="1" ht="16.5" customHeight="1">
      <c r="A2" s="337" t="s">
        <v>119</v>
      </c>
      <c r="B2" s="339"/>
      <c r="C2" s="275" t="s">
        <v>120</v>
      </c>
      <c r="D2" s="125" t="s">
        <v>121</v>
      </c>
      <c r="E2" s="125" t="s">
        <v>38</v>
      </c>
      <c r="F2" s="249" t="s">
        <v>39</v>
      </c>
      <c r="G2" s="249" t="s">
        <v>122</v>
      </c>
      <c r="H2" s="249" t="s">
        <v>123</v>
      </c>
      <c r="I2" s="125" t="s">
        <v>124</v>
      </c>
    </row>
    <row r="3" spans="1:11" ht="15.9" customHeight="1">
      <c r="A3" s="429" t="s">
        <v>125</v>
      </c>
      <c r="B3" s="206" t="s">
        <v>126</v>
      </c>
      <c r="C3" s="213" t="s">
        <v>273</v>
      </c>
      <c r="D3" s="268" t="s">
        <v>274</v>
      </c>
      <c r="E3" s="214" t="s">
        <v>151</v>
      </c>
      <c r="F3" s="215">
        <v>1</v>
      </c>
      <c r="G3" s="216">
        <v>32000000</v>
      </c>
      <c r="H3" s="165">
        <f>IF(F3=0,G3,G3*F3)</f>
        <v>32000000</v>
      </c>
      <c r="I3" s="232" t="s">
        <v>275</v>
      </c>
    </row>
    <row r="4" spans="1:11" ht="15.9" customHeight="1">
      <c r="A4" s="430"/>
      <c r="B4" s="206"/>
      <c r="C4" s="271" t="s">
        <v>276</v>
      </c>
      <c r="D4" s="268" t="s">
        <v>146</v>
      </c>
      <c r="E4" s="272" t="s">
        <v>207</v>
      </c>
      <c r="F4" s="273">
        <v>1</v>
      </c>
      <c r="G4" s="274">
        <v>9000000</v>
      </c>
      <c r="H4" s="165">
        <f>F4*G4</f>
        <v>9000000</v>
      </c>
      <c r="I4" s="39" t="s">
        <v>277</v>
      </c>
    </row>
    <row r="5" spans="1:11" ht="15.9" customHeight="1">
      <c r="A5" s="430"/>
      <c r="B5" s="206"/>
      <c r="C5" s="271" t="s">
        <v>278</v>
      </c>
      <c r="D5" s="268" t="s">
        <v>279</v>
      </c>
      <c r="E5" s="272" t="s">
        <v>199</v>
      </c>
      <c r="F5" s="273">
        <v>2</v>
      </c>
      <c r="G5" s="274">
        <v>8000000</v>
      </c>
      <c r="H5" s="165">
        <f>F5*G5</f>
        <v>16000000</v>
      </c>
      <c r="I5" s="39" t="s">
        <v>280</v>
      </c>
    </row>
    <row r="6" spans="1:11" ht="15.9" customHeight="1">
      <c r="A6" s="433"/>
      <c r="B6" s="206"/>
      <c r="C6" s="271" t="s">
        <v>281</v>
      </c>
      <c r="D6" s="268"/>
      <c r="E6" s="272" t="s">
        <v>207</v>
      </c>
      <c r="F6" s="273">
        <v>3</v>
      </c>
      <c r="G6" s="274">
        <v>2350000</v>
      </c>
      <c r="H6" s="165">
        <f>F6*G6</f>
        <v>7050000</v>
      </c>
      <c r="I6" s="39" t="s">
        <v>277</v>
      </c>
    </row>
    <row r="7" spans="1:11" ht="15.9" customHeight="1">
      <c r="A7" s="433"/>
      <c r="B7" s="206"/>
      <c r="C7" s="271" t="s">
        <v>282</v>
      </c>
      <c r="D7" s="268"/>
      <c r="E7" s="272" t="s">
        <v>207</v>
      </c>
      <c r="F7" s="273">
        <v>2</v>
      </c>
      <c r="G7" s="274">
        <v>2500000</v>
      </c>
      <c r="H7" s="165">
        <f>F7*G7</f>
        <v>5000000</v>
      </c>
      <c r="I7" s="39" t="s">
        <v>283</v>
      </c>
    </row>
    <row r="8" spans="1:11" ht="15.9" customHeight="1">
      <c r="A8" s="433"/>
      <c r="B8" s="206"/>
      <c r="C8" s="213" t="s">
        <v>284</v>
      </c>
      <c r="D8" s="268"/>
      <c r="E8" s="213" t="s">
        <v>207</v>
      </c>
      <c r="F8" s="215">
        <v>1</v>
      </c>
      <c r="G8" s="216">
        <v>2000000</v>
      </c>
      <c r="H8" s="165">
        <f>IF(F8=0,G8,G8*F8)</f>
        <v>2000000</v>
      </c>
      <c r="I8" s="39" t="s">
        <v>283</v>
      </c>
    </row>
    <row r="9" spans="1:11" ht="15.9" customHeight="1">
      <c r="A9" s="433"/>
      <c r="B9" s="206"/>
      <c r="C9" s="213" t="s">
        <v>204</v>
      </c>
      <c r="D9" s="268"/>
      <c r="E9" s="213" t="s">
        <v>49</v>
      </c>
      <c r="F9" s="215">
        <v>1</v>
      </c>
      <c r="G9" s="216">
        <v>1500000</v>
      </c>
      <c r="H9" s="165">
        <f>IF(F9=0,G9,G9*F9)</f>
        <v>1500000</v>
      </c>
      <c r="I9" s="39"/>
    </row>
    <row r="10" spans="1:11" ht="15.9" customHeight="1">
      <c r="A10" s="433"/>
      <c r="B10" s="206"/>
      <c r="C10" s="287"/>
      <c r="D10" s="268"/>
      <c r="E10" s="300"/>
      <c r="F10" s="462"/>
      <c r="G10" s="301"/>
      <c r="H10" s="165">
        <f>F10*G10</f>
        <v>0</v>
      </c>
      <c r="I10" s="39"/>
    </row>
    <row r="11" spans="1:11" ht="15.9" customHeight="1">
      <c r="A11" s="433"/>
      <c r="B11" s="206"/>
      <c r="C11" s="287"/>
      <c r="D11" s="268"/>
      <c r="E11" s="300"/>
      <c r="F11" s="462"/>
      <c r="G11" s="301"/>
      <c r="H11" s="165">
        <f>F11*G11</f>
        <v>0</v>
      </c>
      <c r="I11" s="39"/>
    </row>
    <row r="12" spans="1:11" ht="15.9" customHeight="1">
      <c r="A12" s="433"/>
      <c r="B12" s="206"/>
      <c r="C12" s="287"/>
      <c r="D12" s="268"/>
      <c r="E12" s="300"/>
      <c r="F12" s="462"/>
      <c r="G12" s="301"/>
      <c r="H12" s="165">
        <f>IF(F12=0,G12,G12*F12)</f>
        <v>0</v>
      </c>
      <c r="I12" s="39"/>
    </row>
    <row r="13" spans="1:11" ht="15.9" customHeight="1">
      <c r="A13" s="433"/>
      <c r="B13" s="206"/>
      <c r="C13" s="287"/>
      <c r="D13" s="268"/>
      <c r="E13" s="300"/>
      <c r="F13" s="462"/>
      <c r="G13" s="301"/>
      <c r="H13" s="165">
        <v>0</v>
      </c>
      <c r="I13" s="39"/>
    </row>
    <row r="14" spans="1:11" ht="15.9" customHeight="1">
      <c r="A14" s="433"/>
      <c r="B14" s="206"/>
      <c r="C14" s="287"/>
      <c r="D14" s="268"/>
      <c r="E14" s="300"/>
      <c r="F14" s="462"/>
      <c r="G14" s="301"/>
      <c r="H14" s="165">
        <f>F14*G14</f>
        <v>0</v>
      </c>
      <c r="I14" s="39"/>
    </row>
    <row r="15" spans="1:11" ht="15.9" customHeight="1">
      <c r="A15" s="433"/>
      <c r="B15" s="206"/>
      <c r="C15" s="287"/>
      <c r="D15" s="268"/>
      <c r="E15" s="300"/>
      <c r="F15" s="462"/>
      <c r="G15" s="301"/>
      <c r="H15" s="165">
        <f>F15*G15</f>
        <v>0</v>
      </c>
      <c r="I15" s="39"/>
    </row>
    <row r="16" spans="1:11" ht="15.9" customHeight="1">
      <c r="A16" s="433"/>
      <c r="B16" s="206"/>
      <c r="C16" s="287"/>
      <c r="D16" s="268"/>
      <c r="E16" s="300"/>
      <c r="F16" s="462"/>
      <c r="G16" s="301"/>
      <c r="H16" s="165">
        <f>IF(F16=0,G16,G16*F16)</f>
        <v>0</v>
      </c>
      <c r="I16" s="39"/>
    </row>
    <row r="17" spans="1:9" ht="15.9" customHeight="1">
      <c r="A17" s="433"/>
      <c r="B17" s="206"/>
      <c r="C17" s="287"/>
      <c r="D17" s="268"/>
      <c r="E17" s="300"/>
      <c r="F17" s="462"/>
      <c r="G17" s="301"/>
      <c r="H17" s="165">
        <v>0</v>
      </c>
      <c r="I17" s="39"/>
    </row>
    <row r="18" spans="1:9" ht="15.9" customHeight="1">
      <c r="A18" s="433"/>
      <c r="B18" s="206"/>
      <c r="C18" s="271"/>
      <c r="D18" s="268"/>
      <c r="E18" s="272"/>
      <c r="F18" s="273"/>
      <c r="G18" s="274"/>
      <c r="H18" s="165">
        <f>F18*G18</f>
        <v>0</v>
      </c>
      <c r="I18" s="39"/>
    </row>
    <row r="19" spans="1:9" ht="15.9" customHeight="1">
      <c r="A19" s="433"/>
      <c r="B19" s="206"/>
      <c r="C19" s="271"/>
      <c r="D19" s="268"/>
      <c r="E19" s="272"/>
      <c r="F19" s="273"/>
      <c r="G19" s="274"/>
      <c r="H19" s="165">
        <f>F19*G19</f>
        <v>0</v>
      </c>
      <c r="I19" s="39"/>
    </row>
    <row r="20" spans="1:9" ht="15.9" customHeight="1">
      <c r="A20" s="433"/>
      <c r="B20" s="206"/>
      <c r="C20" s="213"/>
      <c r="D20" s="268"/>
      <c r="E20" s="213"/>
      <c r="F20" s="215"/>
      <c r="G20" s="216"/>
      <c r="H20" s="165">
        <f>IF(F20=0,G20,G20*F20)</f>
        <v>0</v>
      </c>
      <c r="I20" s="39"/>
    </row>
    <row r="21" spans="1:9" ht="15.9" customHeight="1">
      <c r="A21" s="433"/>
      <c r="B21" s="206"/>
      <c r="C21" s="271"/>
      <c r="D21" s="268"/>
      <c r="E21" s="271"/>
      <c r="F21" s="273"/>
      <c r="G21" s="274"/>
      <c r="H21" s="165">
        <f>IF(F21=0,G21,G21*F21)</f>
        <v>0</v>
      </c>
      <c r="I21" s="39"/>
    </row>
    <row r="22" spans="1:9" ht="15.9" customHeight="1">
      <c r="A22" s="433"/>
      <c r="B22" s="206"/>
      <c r="C22" s="217"/>
      <c r="D22" s="463"/>
      <c r="E22" s="218"/>
      <c r="F22" s="219"/>
      <c r="G22" s="220"/>
      <c r="H22" s="175">
        <f>IF(F22=0,G22,G22*F22)</f>
        <v>0</v>
      </c>
      <c r="I22" s="42"/>
    </row>
    <row r="23" spans="1:9" ht="15.9" customHeight="1">
      <c r="A23" s="433"/>
      <c r="B23" s="221"/>
      <c r="C23" s="240"/>
      <c r="D23" s="464"/>
      <c r="E23" s="240"/>
      <c r="F23" s="242"/>
      <c r="G23" s="243"/>
      <c r="H23" s="244">
        <f>SUM(H3:H22)</f>
        <v>72550000</v>
      </c>
      <c r="I23" s="240"/>
    </row>
    <row r="24" spans="1:9" ht="15.9" customHeight="1">
      <c r="A24" s="433"/>
      <c r="B24" s="206" t="s">
        <v>147</v>
      </c>
      <c r="C24" s="227"/>
      <c r="D24" s="465"/>
      <c r="E24" s="228"/>
      <c r="F24" s="229"/>
      <c r="G24" s="230"/>
      <c r="H24" s="231">
        <f t="shared" ref="H24:H33" si="0">IF(F24=0,G24,G24*F24)</f>
        <v>0</v>
      </c>
      <c r="I24" s="232"/>
    </row>
    <row r="25" spans="1:9" ht="15.9" customHeight="1">
      <c r="A25" s="433"/>
      <c r="B25" s="206" t="s">
        <v>148</v>
      </c>
      <c r="C25" s="213"/>
      <c r="D25" s="268"/>
      <c r="E25" s="213"/>
      <c r="F25" s="215"/>
      <c r="G25" s="216"/>
      <c r="H25" s="165">
        <f t="shared" si="0"/>
        <v>0</v>
      </c>
      <c r="I25" s="39"/>
    </row>
    <row r="26" spans="1:9" ht="15.9" customHeight="1">
      <c r="A26" s="433"/>
      <c r="B26" s="206"/>
      <c r="C26" s="213"/>
      <c r="D26" s="268"/>
      <c r="E26" s="213"/>
      <c r="F26" s="215"/>
      <c r="G26" s="216"/>
      <c r="H26" s="165">
        <f t="shared" si="0"/>
        <v>0</v>
      </c>
      <c r="I26" s="39"/>
    </row>
    <row r="27" spans="1:9" ht="15.9" customHeight="1">
      <c r="A27" s="433"/>
      <c r="B27" s="206"/>
      <c r="C27" s="213"/>
      <c r="D27" s="268"/>
      <c r="E27" s="213"/>
      <c r="F27" s="215"/>
      <c r="G27" s="216"/>
      <c r="H27" s="165">
        <f t="shared" si="0"/>
        <v>0</v>
      </c>
      <c r="I27" s="39"/>
    </row>
    <row r="28" spans="1:9" ht="15.9" customHeight="1">
      <c r="A28" s="433"/>
      <c r="B28" s="206"/>
      <c r="C28" s="213"/>
      <c r="D28" s="268"/>
      <c r="E28" s="213"/>
      <c r="F28" s="215"/>
      <c r="G28" s="216"/>
      <c r="H28" s="165">
        <f t="shared" si="0"/>
        <v>0</v>
      </c>
      <c r="I28" s="39"/>
    </row>
    <row r="29" spans="1:9" ht="15.9" customHeight="1">
      <c r="A29" s="433"/>
      <c r="B29" s="206"/>
      <c r="C29" s="213"/>
      <c r="D29" s="268"/>
      <c r="E29" s="213"/>
      <c r="F29" s="215"/>
      <c r="G29" s="216"/>
      <c r="H29" s="165">
        <f t="shared" si="0"/>
        <v>0</v>
      </c>
      <c r="I29" s="39"/>
    </row>
    <row r="30" spans="1:9" ht="15.9" customHeight="1">
      <c r="A30" s="433"/>
      <c r="B30" s="206"/>
      <c r="C30" s="213"/>
      <c r="D30" s="268"/>
      <c r="E30" s="213"/>
      <c r="F30" s="215"/>
      <c r="G30" s="216"/>
      <c r="H30" s="165">
        <f t="shared" si="0"/>
        <v>0</v>
      </c>
      <c r="I30" s="39"/>
    </row>
    <row r="31" spans="1:9" ht="15.9" customHeight="1">
      <c r="A31" s="433"/>
      <c r="B31" s="206"/>
      <c r="C31" s="213"/>
      <c r="D31" s="268"/>
      <c r="E31" s="213"/>
      <c r="F31" s="215"/>
      <c r="G31" s="216"/>
      <c r="H31" s="165">
        <f t="shared" si="0"/>
        <v>0</v>
      </c>
      <c r="I31" s="39"/>
    </row>
    <row r="32" spans="1:9" ht="15.9" customHeight="1">
      <c r="A32" s="433"/>
      <c r="B32" s="206"/>
      <c r="C32" s="213"/>
      <c r="D32" s="268"/>
      <c r="E32" s="213"/>
      <c r="F32" s="215"/>
      <c r="G32" s="216"/>
      <c r="H32" s="165">
        <f t="shared" si="0"/>
        <v>0</v>
      </c>
      <c r="I32" s="39"/>
    </row>
    <row r="33" spans="1:9" ht="15.9" customHeight="1">
      <c r="A33" s="433"/>
      <c r="B33" s="206"/>
      <c r="C33" s="217"/>
      <c r="D33" s="463"/>
      <c r="E33" s="218"/>
      <c r="F33" s="219"/>
      <c r="G33" s="220"/>
      <c r="H33" s="175">
        <f t="shared" si="0"/>
        <v>0</v>
      </c>
      <c r="I33" s="42"/>
    </row>
    <row r="34" spans="1:9" ht="15.9" customHeight="1">
      <c r="A34" s="433"/>
      <c r="B34" s="221"/>
      <c r="C34" s="222"/>
      <c r="D34" s="466"/>
      <c r="E34" s="223"/>
      <c r="F34" s="276"/>
      <c r="G34" s="225"/>
      <c r="H34" s="49">
        <f>SUM(H24:H33)</f>
        <v>0</v>
      </c>
      <c r="I34" s="46"/>
    </row>
    <row r="35" spans="1:9" ht="15.9" customHeight="1">
      <c r="A35" s="433"/>
      <c r="B35" s="245" t="s">
        <v>149</v>
      </c>
      <c r="C35" s="292" t="s">
        <v>285</v>
      </c>
      <c r="D35" s="465" t="s">
        <v>286</v>
      </c>
      <c r="E35" s="444" t="s">
        <v>199</v>
      </c>
      <c r="F35" s="467">
        <v>1</v>
      </c>
      <c r="G35" s="446">
        <v>7000000</v>
      </c>
      <c r="H35" s="231">
        <f t="shared" ref="H35:H60" si="1">IF(F35=0,G35,G35*F35)</f>
        <v>7000000</v>
      </c>
      <c r="I35" s="468" t="s">
        <v>287</v>
      </c>
    </row>
    <row r="36" spans="1:9" ht="15.9" customHeight="1">
      <c r="A36" s="433"/>
      <c r="B36" s="206" t="s">
        <v>150</v>
      </c>
      <c r="C36" s="271" t="s">
        <v>288</v>
      </c>
      <c r="D36" s="268" t="s">
        <v>289</v>
      </c>
      <c r="E36" s="272" t="s">
        <v>151</v>
      </c>
      <c r="F36" s="277">
        <v>1</v>
      </c>
      <c r="G36" s="274">
        <v>9500000</v>
      </c>
      <c r="H36" s="165">
        <f t="shared" si="1"/>
        <v>9500000</v>
      </c>
      <c r="I36" s="469" t="s">
        <v>290</v>
      </c>
    </row>
    <row r="37" spans="1:9" ht="15.9" customHeight="1">
      <c r="A37" s="433"/>
      <c r="B37" s="206"/>
      <c r="C37" s="271" t="s">
        <v>291</v>
      </c>
      <c r="D37" s="268" t="s">
        <v>292</v>
      </c>
      <c r="E37" s="272" t="s">
        <v>151</v>
      </c>
      <c r="F37" s="277">
        <v>1</v>
      </c>
      <c r="G37" s="274">
        <v>8500000</v>
      </c>
      <c r="H37" s="165">
        <f t="shared" si="1"/>
        <v>8500000</v>
      </c>
      <c r="I37" s="469" t="s">
        <v>293</v>
      </c>
    </row>
    <row r="38" spans="1:9" ht="15.9" customHeight="1">
      <c r="A38" s="433"/>
      <c r="B38" s="206"/>
      <c r="C38" s="271" t="s">
        <v>294</v>
      </c>
      <c r="D38" s="268"/>
      <c r="E38" s="272" t="s">
        <v>199</v>
      </c>
      <c r="F38" s="277">
        <v>1</v>
      </c>
      <c r="G38" s="274">
        <v>3000000</v>
      </c>
      <c r="H38" s="165">
        <f t="shared" si="1"/>
        <v>3000000</v>
      </c>
      <c r="I38" s="469" t="s">
        <v>295</v>
      </c>
    </row>
    <row r="39" spans="1:9" ht="15.9" customHeight="1">
      <c r="A39" s="433"/>
      <c r="B39" s="206"/>
      <c r="C39" s="271" t="s">
        <v>296</v>
      </c>
      <c r="D39" s="268"/>
      <c r="E39" s="272" t="s">
        <v>199</v>
      </c>
      <c r="F39" s="277">
        <v>3</v>
      </c>
      <c r="G39" s="274">
        <v>1500000</v>
      </c>
      <c r="H39" s="165">
        <f t="shared" si="1"/>
        <v>4500000</v>
      </c>
      <c r="I39" s="469" t="s">
        <v>297</v>
      </c>
    </row>
    <row r="40" spans="1:9" ht="15.9" customHeight="1">
      <c r="A40" s="433"/>
      <c r="B40" s="206"/>
      <c r="C40" s="268" t="s">
        <v>298</v>
      </c>
      <c r="D40" s="268" t="s">
        <v>299</v>
      </c>
      <c r="E40" s="272" t="s">
        <v>199</v>
      </c>
      <c r="F40" s="277">
        <v>2</v>
      </c>
      <c r="G40" s="283">
        <v>2000000</v>
      </c>
      <c r="H40" s="165">
        <f t="shared" si="1"/>
        <v>4000000</v>
      </c>
      <c r="I40" s="469" t="s">
        <v>297</v>
      </c>
    </row>
    <row r="41" spans="1:9" ht="15.9" customHeight="1">
      <c r="A41" s="433"/>
      <c r="B41" s="206"/>
      <c r="C41" s="271" t="s">
        <v>300</v>
      </c>
      <c r="D41" s="271" t="s">
        <v>301</v>
      </c>
      <c r="E41" s="272" t="s">
        <v>199</v>
      </c>
      <c r="F41" s="272">
        <v>2</v>
      </c>
      <c r="G41" s="449">
        <v>4500000</v>
      </c>
      <c r="H41" s="165">
        <f t="shared" si="1"/>
        <v>9000000</v>
      </c>
      <c r="I41" s="39" t="s">
        <v>302</v>
      </c>
    </row>
    <row r="42" spans="1:9" ht="15.9" customHeight="1">
      <c r="A42" s="433"/>
      <c r="B42" s="206"/>
      <c r="C42" s="268" t="s">
        <v>303</v>
      </c>
      <c r="D42" s="268" t="s">
        <v>304</v>
      </c>
      <c r="E42" s="272" t="s">
        <v>199</v>
      </c>
      <c r="F42" s="272">
        <v>1</v>
      </c>
      <c r="G42" s="447">
        <v>3000000</v>
      </c>
      <c r="H42" s="165">
        <f t="shared" si="1"/>
        <v>3000000</v>
      </c>
      <c r="I42" s="39" t="s">
        <v>197</v>
      </c>
    </row>
    <row r="43" spans="1:9" ht="15.9" customHeight="1">
      <c r="A43" s="433"/>
      <c r="B43" s="206"/>
      <c r="C43" s="268" t="s">
        <v>305</v>
      </c>
      <c r="D43" s="268" t="s">
        <v>306</v>
      </c>
      <c r="E43" s="272" t="s">
        <v>207</v>
      </c>
      <c r="F43" s="272">
        <v>2</v>
      </c>
      <c r="G43" s="447">
        <v>1000000</v>
      </c>
      <c r="H43" s="165">
        <f t="shared" si="1"/>
        <v>2000000</v>
      </c>
      <c r="I43" s="39" t="s">
        <v>208</v>
      </c>
    </row>
    <row r="44" spans="1:9" ht="15.9" customHeight="1">
      <c r="A44" s="433"/>
      <c r="B44" s="206"/>
      <c r="C44" s="271" t="s">
        <v>307</v>
      </c>
      <c r="D44" s="213"/>
      <c r="E44" s="214" t="s">
        <v>151</v>
      </c>
      <c r="F44" s="215">
        <v>1</v>
      </c>
      <c r="G44" s="216">
        <v>2500000</v>
      </c>
      <c r="H44" s="165">
        <f t="shared" si="1"/>
        <v>2500000</v>
      </c>
      <c r="I44" s="39" t="s">
        <v>308</v>
      </c>
    </row>
    <row r="45" spans="1:9" ht="15.9" customHeight="1">
      <c r="A45" s="433"/>
      <c r="B45" s="206"/>
      <c r="C45" s="271" t="s">
        <v>309</v>
      </c>
      <c r="D45" s="213"/>
      <c r="E45" s="214" t="s">
        <v>151</v>
      </c>
      <c r="F45" s="215">
        <v>1</v>
      </c>
      <c r="G45" s="216">
        <v>140000</v>
      </c>
      <c r="H45" s="165">
        <f t="shared" si="1"/>
        <v>140000</v>
      </c>
      <c r="I45" s="39" t="s">
        <v>310</v>
      </c>
    </row>
    <row r="46" spans="1:9" ht="15.9" customHeight="1">
      <c r="A46" s="433"/>
      <c r="B46" s="206"/>
      <c r="C46" s="271" t="s">
        <v>311</v>
      </c>
      <c r="D46" s="213"/>
      <c r="E46" s="214" t="s">
        <v>151</v>
      </c>
      <c r="F46" s="215">
        <v>1</v>
      </c>
      <c r="G46" s="216">
        <v>150000</v>
      </c>
      <c r="H46" s="165">
        <f t="shared" si="1"/>
        <v>150000</v>
      </c>
      <c r="I46" s="39" t="s">
        <v>312</v>
      </c>
    </row>
    <row r="47" spans="1:9" ht="15.9" customHeight="1">
      <c r="A47" s="433"/>
      <c r="B47" s="206"/>
      <c r="C47" s="271" t="s">
        <v>313</v>
      </c>
      <c r="D47" s="213"/>
      <c r="E47" s="214" t="s">
        <v>199</v>
      </c>
      <c r="F47" s="215">
        <v>1</v>
      </c>
      <c r="G47" s="216">
        <v>400000</v>
      </c>
      <c r="H47" s="165">
        <f t="shared" si="1"/>
        <v>400000</v>
      </c>
      <c r="I47" s="39" t="s">
        <v>314</v>
      </c>
    </row>
    <row r="48" spans="1:9" ht="15.9" customHeight="1">
      <c r="A48" s="433"/>
      <c r="B48" s="206"/>
      <c r="C48" s="271" t="s">
        <v>315</v>
      </c>
      <c r="D48" s="213"/>
      <c r="E48" s="214" t="s">
        <v>151</v>
      </c>
      <c r="F48" s="215">
        <v>1</v>
      </c>
      <c r="G48" s="216">
        <v>400000</v>
      </c>
      <c r="H48" s="165">
        <f t="shared" si="1"/>
        <v>400000</v>
      </c>
      <c r="I48" s="39" t="s">
        <v>316</v>
      </c>
    </row>
    <row r="49" spans="1:9" ht="15.9" customHeight="1">
      <c r="A49" s="433"/>
      <c r="B49" s="206"/>
      <c r="C49" s="271" t="s">
        <v>317</v>
      </c>
      <c r="D49" s="213"/>
      <c r="E49" s="214" t="s">
        <v>151</v>
      </c>
      <c r="F49" s="215">
        <v>2</v>
      </c>
      <c r="G49" s="216">
        <v>300000</v>
      </c>
      <c r="H49" s="165">
        <f t="shared" si="1"/>
        <v>600000</v>
      </c>
      <c r="I49" s="39" t="s">
        <v>316</v>
      </c>
    </row>
    <row r="50" spans="1:9" ht="15.9" customHeight="1">
      <c r="A50" s="433"/>
      <c r="B50" s="206"/>
      <c r="C50" s="271" t="s">
        <v>318</v>
      </c>
      <c r="D50" s="297"/>
      <c r="E50" s="214" t="s">
        <v>151</v>
      </c>
      <c r="F50" s="215">
        <v>1</v>
      </c>
      <c r="G50" s="216">
        <v>380000</v>
      </c>
      <c r="H50" s="165">
        <f t="shared" si="1"/>
        <v>380000</v>
      </c>
      <c r="I50" s="39" t="s">
        <v>316</v>
      </c>
    </row>
    <row r="51" spans="1:9" ht="15.9" customHeight="1">
      <c r="A51" s="433"/>
      <c r="B51" s="206"/>
      <c r="C51" s="271" t="s">
        <v>319</v>
      </c>
      <c r="D51" s="271"/>
      <c r="E51" s="214" t="s">
        <v>199</v>
      </c>
      <c r="F51" s="215">
        <v>1</v>
      </c>
      <c r="G51" s="216">
        <v>550000</v>
      </c>
      <c r="H51" s="165">
        <f t="shared" si="1"/>
        <v>550000</v>
      </c>
      <c r="I51" s="39" t="s">
        <v>320</v>
      </c>
    </row>
    <row r="52" spans="1:9" ht="15.9" customHeight="1">
      <c r="A52" s="433"/>
      <c r="B52" s="206"/>
      <c r="C52" s="271" t="s">
        <v>321</v>
      </c>
      <c r="D52" s="213"/>
      <c r="E52" s="213" t="s">
        <v>199</v>
      </c>
      <c r="F52" s="215">
        <v>1</v>
      </c>
      <c r="G52" s="216">
        <v>150000</v>
      </c>
      <c r="H52" s="165">
        <f t="shared" si="1"/>
        <v>150000</v>
      </c>
      <c r="I52" s="39" t="s">
        <v>322</v>
      </c>
    </row>
    <row r="53" spans="1:9" ht="15.9" customHeight="1">
      <c r="A53" s="433"/>
      <c r="B53" s="206"/>
      <c r="C53" s="271"/>
      <c r="D53" s="268"/>
      <c r="E53" s="272"/>
      <c r="F53" s="277"/>
      <c r="G53" s="274"/>
      <c r="H53" s="165">
        <f t="shared" si="1"/>
        <v>0</v>
      </c>
      <c r="I53" s="35"/>
    </row>
    <row r="54" spans="1:9" ht="15.9" customHeight="1">
      <c r="A54" s="433"/>
      <c r="B54" s="206"/>
      <c r="C54" s="271"/>
      <c r="D54" s="268"/>
      <c r="E54" s="272"/>
      <c r="F54" s="277"/>
      <c r="G54" s="274"/>
      <c r="H54" s="165">
        <f t="shared" si="1"/>
        <v>0</v>
      </c>
      <c r="I54" s="35"/>
    </row>
    <row r="55" spans="1:9" ht="15.9" customHeight="1">
      <c r="A55" s="433"/>
      <c r="B55" s="206"/>
      <c r="C55" s="271"/>
      <c r="D55" s="268"/>
      <c r="E55" s="272"/>
      <c r="F55" s="277"/>
      <c r="G55" s="274"/>
      <c r="H55" s="165">
        <f t="shared" si="1"/>
        <v>0</v>
      </c>
      <c r="I55" s="35"/>
    </row>
    <row r="56" spans="1:9" ht="15.9" customHeight="1">
      <c r="A56" s="433"/>
      <c r="B56" s="206"/>
      <c r="C56" s="271"/>
      <c r="D56" s="268"/>
      <c r="E56" s="272"/>
      <c r="F56" s="277"/>
      <c r="G56" s="274"/>
      <c r="H56" s="165">
        <f t="shared" si="1"/>
        <v>0</v>
      </c>
      <c r="I56" s="35"/>
    </row>
    <row r="57" spans="1:9" ht="15.9" customHeight="1">
      <c r="A57" s="433"/>
      <c r="B57" s="206"/>
      <c r="C57" s="271"/>
      <c r="D57" s="268"/>
      <c r="E57" s="272"/>
      <c r="F57" s="277"/>
      <c r="G57" s="274"/>
      <c r="H57" s="165">
        <f t="shared" si="1"/>
        <v>0</v>
      </c>
      <c r="I57" s="35"/>
    </row>
    <row r="58" spans="1:9" ht="15.9" customHeight="1">
      <c r="A58" s="433"/>
      <c r="B58" s="206"/>
      <c r="C58" s="213" t="s">
        <v>146</v>
      </c>
      <c r="D58" s="268"/>
      <c r="E58" s="272" t="s">
        <v>146</v>
      </c>
      <c r="F58" s="273"/>
      <c r="G58" s="216"/>
      <c r="H58" s="165">
        <f t="shared" si="1"/>
        <v>0</v>
      </c>
      <c r="I58" s="39"/>
    </row>
    <row r="59" spans="1:9" ht="15.9" customHeight="1">
      <c r="A59" s="433"/>
      <c r="B59" s="206"/>
      <c r="C59" s="213"/>
      <c r="D59" s="268"/>
      <c r="E59" s="272"/>
      <c r="F59" s="273"/>
      <c r="G59" s="216"/>
      <c r="H59" s="165">
        <f t="shared" si="1"/>
        <v>0</v>
      </c>
      <c r="I59" s="39"/>
    </row>
    <row r="60" spans="1:9" ht="15.9" customHeight="1">
      <c r="A60" s="433"/>
      <c r="B60" s="206"/>
      <c r="C60" s="217"/>
      <c r="D60" s="470"/>
      <c r="E60" s="307"/>
      <c r="F60" s="471"/>
      <c r="G60" s="220"/>
      <c r="H60" s="175">
        <f t="shared" si="1"/>
        <v>0</v>
      </c>
      <c r="I60" s="42"/>
    </row>
    <row r="61" spans="1:9" ht="15.9" customHeight="1">
      <c r="A61" s="433"/>
      <c r="B61" s="221"/>
      <c r="C61" s="248"/>
      <c r="D61" s="46"/>
      <c r="E61" s="46"/>
      <c r="F61" s="205"/>
      <c r="G61" s="49"/>
      <c r="H61" s="49">
        <f>SUM(H35:H60)</f>
        <v>55770000</v>
      </c>
      <c r="I61" s="46"/>
    </row>
    <row r="62" spans="1:9" ht="15.9" customHeight="1">
      <c r="A62" s="433"/>
      <c r="B62" s="245" t="s">
        <v>51</v>
      </c>
      <c r="C62" s="227" t="s">
        <v>323</v>
      </c>
      <c r="D62" s="465"/>
      <c r="E62" s="444" t="s">
        <v>151</v>
      </c>
      <c r="F62" s="445">
        <v>30</v>
      </c>
      <c r="G62" s="230">
        <v>400000</v>
      </c>
      <c r="H62" s="231">
        <f t="shared" ref="H62:H67" si="2">IF(F62=0,G62,G62*F62)</f>
        <v>12000000</v>
      </c>
      <c r="I62" s="468" t="s">
        <v>283</v>
      </c>
    </row>
    <row r="63" spans="1:9" ht="15.9" customHeight="1">
      <c r="A63" s="433"/>
      <c r="B63" s="206"/>
      <c r="C63" s="213" t="s">
        <v>324</v>
      </c>
      <c r="D63" s="268"/>
      <c r="E63" s="272" t="s">
        <v>207</v>
      </c>
      <c r="F63" s="273">
        <v>1</v>
      </c>
      <c r="G63" s="216">
        <v>3000000</v>
      </c>
      <c r="H63" s="165">
        <f t="shared" si="2"/>
        <v>3000000</v>
      </c>
      <c r="I63" s="469" t="s">
        <v>283</v>
      </c>
    </row>
    <row r="64" spans="1:9" ht="15.9" customHeight="1">
      <c r="A64" s="433"/>
      <c r="B64" s="206"/>
      <c r="C64" s="271" t="s">
        <v>325</v>
      </c>
      <c r="D64" s="268" t="s">
        <v>326</v>
      </c>
      <c r="E64" s="272" t="s">
        <v>207</v>
      </c>
      <c r="F64" s="272">
        <v>1</v>
      </c>
      <c r="G64" s="447">
        <v>25000000</v>
      </c>
      <c r="H64" s="165">
        <f t="shared" si="2"/>
        <v>25000000</v>
      </c>
      <c r="I64" s="39" t="s">
        <v>327</v>
      </c>
    </row>
    <row r="65" spans="1:9" ht="15.9" customHeight="1">
      <c r="A65" s="433"/>
      <c r="B65" s="206"/>
      <c r="C65" s="271"/>
      <c r="D65" s="268" t="s">
        <v>328</v>
      </c>
      <c r="E65" s="272"/>
      <c r="F65" s="272"/>
      <c r="G65" s="447"/>
      <c r="H65" s="165">
        <f t="shared" si="2"/>
        <v>0</v>
      </c>
      <c r="I65" s="39"/>
    </row>
    <row r="66" spans="1:9" ht="15.9" customHeight="1">
      <c r="A66" s="433"/>
      <c r="B66" s="206"/>
      <c r="C66" s="271"/>
      <c r="D66" s="268" t="s">
        <v>329</v>
      </c>
      <c r="E66" s="272"/>
      <c r="F66" s="272"/>
      <c r="G66" s="447"/>
      <c r="H66" s="165">
        <f t="shared" si="2"/>
        <v>0</v>
      </c>
      <c r="I66" s="39"/>
    </row>
    <row r="67" spans="1:9" ht="15.9" customHeight="1">
      <c r="A67" s="433"/>
      <c r="B67" s="206"/>
      <c r="C67" s="213" t="s">
        <v>330</v>
      </c>
      <c r="D67" s="213" t="s">
        <v>331</v>
      </c>
      <c r="E67" s="214" t="s">
        <v>332</v>
      </c>
      <c r="F67" s="215">
        <v>1</v>
      </c>
      <c r="G67" s="216">
        <v>3000000</v>
      </c>
      <c r="H67" s="165">
        <f t="shared" si="2"/>
        <v>3000000</v>
      </c>
      <c r="I67" s="39" t="s">
        <v>333</v>
      </c>
    </row>
    <row r="68" spans="1:9" ht="15.9" customHeight="1">
      <c r="A68" s="433"/>
      <c r="B68" s="206"/>
      <c r="C68" s="213"/>
      <c r="D68" s="213"/>
      <c r="E68" s="214"/>
      <c r="F68" s="215"/>
      <c r="G68" s="216"/>
      <c r="H68" s="165"/>
      <c r="I68" s="39"/>
    </row>
    <row r="69" spans="1:9" ht="15.9" customHeight="1">
      <c r="A69" s="433"/>
      <c r="B69" s="206"/>
      <c r="C69" s="213"/>
      <c r="D69" s="213"/>
      <c r="E69" s="214"/>
      <c r="F69" s="215"/>
      <c r="G69" s="216"/>
      <c r="H69" s="165"/>
      <c r="I69" s="39"/>
    </row>
    <row r="70" spans="1:9" ht="15.9" customHeight="1">
      <c r="A70" s="433"/>
      <c r="B70" s="206"/>
      <c r="C70" s="213"/>
      <c r="D70" s="213"/>
      <c r="E70" s="214"/>
      <c r="F70" s="215"/>
      <c r="G70" s="216"/>
      <c r="H70" s="165"/>
      <c r="I70" s="39"/>
    </row>
    <row r="71" spans="1:9" ht="15.9" customHeight="1">
      <c r="A71" s="433"/>
      <c r="B71" s="206"/>
      <c r="C71" s="213"/>
      <c r="D71" s="213"/>
      <c r="E71" s="214"/>
      <c r="F71" s="215"/>
      <c r="G71" s="216"/>
      <c r="H71" s="165"/>
      <c r="I71" s="39"/>
    </row>
    <row r="72" spans="1:9" ht="15.9" customHeight="1">
      <c r="A72" s="433"/>
      <c r="B72" s="206"/>
      <c r="C72" s="213"/>
      <c r="D72" s="213"/>
      <c r="E72" s="214"/>
      <c r="F72" s="215"/>
      <c r="G72" s="216"/>
      <c r="H72" s="165"/>
      <c r="I72" s="39"/>
    </row>
    <row r="73" spans="1:9" ht="15.9" customHeight="1">
      <c r="A73" s="433"/>
      <c r="B73" s="206"/>
      <c r="C73" s="213"/>
      <c r="D73" s="213"/>
      <c r="E73" s="214"/>
      <c r="F73" s="215"/>
      <c r="G73" s="216"/>
      <c r="H73" s="165"/>
      <c r="I73" s="39"/>
    </row>
    <row r="74" spans="1:9" ht="15.9" customHeight="1">
      <c r="A74" s="433"/>
      <c r="B74" s="206"/>
      <c r="C74" s="213"/>
      <c r="D74" s="213"/>
      <c r="E74" s="214"/>
      <c r="F74" s="215"/>
      <c r="G74" s="216"/>
      <c r="H74" s="165"/>
      <c r="I74" s="39"/>
    </row>
    <row r="75" spans="1:9" ht="15.9" customHeight="1">
      <c r="A75" s="433"/>
      <c r="B75" s="206"/>
      <c r="C75" s="213"/>
      <c r="D75" s="213"/>
      <c r="E75" s="214"/>
      <c r="F75" s="215"/>
      <c r="G75" s="216"/>
      <c r="H75" s="165"/>
      <c r="I75" s="39"/>
    </row>
    <row r="76" spans="1:9" ht="15.9" customHeight="1">
      <c r="A76" s="433"/>
      <c r="B76" s="206"/>
      <c r="C76" s="213"/>
      <c r="D76" s="297"/>
      <c r="E76" s="214"/>
      <c r="F76" s="215"/>
      <c r="G76" s="216"/>
      <c r="H76" s="165"/>
      <c r="I76" s="39"/>
    </row>
    <row r="77" spans="1:9" ht="15.9" customHeight="1">
      <c r="A77" s="433"/>
      <c r="B77" s="206"/>
      <c r="C77" s="213"/>
      <c r="D77" s="271"/>
      <c r="E77" s="214"/>
      <c r="F77" s="215"/>
      <c r="G77" s="216"/>
      <c r="H77" s="165"/>
      <c r="I77" s="39"/>
    </row>
    <row r="78" spans="1:9" ht="15.9" customHeight="1">
      <c r="A78" s="433"/>
      <c r="B78" s="206"/>
      <c r="C78" s="213"/>
      <c r="D78" s="213"/>
      <c r="E78" s="213"/>
      <c r="F78" s="215"/>
      <c r="G78" s="216"/>
      <c r="H78" s="165"/>
      <c r="I78" s="39"/>
    </row>
    <row r="79" spans="1:9" ht="15.9" customHeight="1">
      <c r="A79" s="433"/>
      <c r="B79" s="206"/>
      <c r="C79" s="213"/>
      <c r="D79" s="268"/>
      <c r="E79" s="272"/>
      <c r="F79" s="273"/>
      <c r="G79" s="216"/>
      <c r="H79" s="165">
        <f>IF(F79=0,G79,G79*F79)</f>
        <v>0</v>
      </c>
      <c r="I79" s="39"/>
    </row>
    <row r="80" spans="1:9" ht="15.9" customHeight="1">
      <c r="A80" s="433"/>
      <c r="B80" s="206"/>
      <c r="C80" s="213"/>
      <c r="D80" s="268" t="s">
        <v>146</v>
      </c>
      <c r="E80" s="272"/>
      <c r="F80" s="215"/>
      <c r="G80" s="216"/>
      <c r="H80" s="165">
        <f>IF(F80=0,G80,G80*F80)</f>
        <v>0</v>
      </c>
      <c r="I80" s="39"/>
    </row>
    <row r="81" spans="1:9" ht="15.9" customHeight="1">
      <c r="A81" s="433"/>
      <c r="B81" s="206"/>
      <c r="C81" s="217"/>
      <c r="D81" s="463"/>
      <c r="E81" s="217"/>
      <c r="F81" s="219"/>
      <c r="G81" s="220"/>
      <c r="H81" s="175">
        <f>IF(F81=0,G81,G81*F81)</f>
        <v>0</v>
      </c>
      <c r="I81" s="42"/>
    </row>
    <row r="82" spans="1:9" ht="15.9" customHeight="1">
      <c r="A82" s="433"/>
      <c r="B82" s="221"/>
      <c r="C82" s="222"/>
      <c r="D82" s="223"/>
      <c r="E82" s="223"/>
      <c r="F82" s="224"/>
      <c r="G82" s="225"/>
      <c r="H82" s="49">
        <f>SUM(H62:H81)</f>
        <v>43000000</v>
      </c>
      <c r="I82" s="46"/>
    </row>
    <row r="83" spans="1:9" ht="15.9" customHeight="1">
      <c r="A83" s="246"/>
      <c r="B83" s="247" t="s">
        <v>131</v>
      </c>
      <c r="C83" s="248"/>
      <c r="D83" s="46"/>
      <c r="E83" s="46"/>
      <c r="F83" s="249"/>
      <c r="G83" s="250"/>
      <c r="H83" s="49">
        <f>SUM(H82,H61,H34,H23)</f>
        <v>171320000</v>
      </c>
      <c r="I83" s="46"/>
    </row>
    <row r="84" spans="1:9" ht="15.9" customHeight="1">
      <c r="A84" s="429" t="s">
        <v>132</v>
      </c>
      <c r="B84" s="251" t="s">
        <v>57</v>
      </c>
      <c r="C84" s="248"/>
      <c r="D84" s="46"/>
      <c r="E84" s="251" t="s">
        <v>58</v>
      </c>
      <c r="F84" s="278"/>
      <c r="G84" s="254"/>
      <c r="H84" s="255">
        <f>F84*G84</f>
        <v>0</v>
      </c>
      <c r="I84" s="46"/>
    </row>
    <row r="85" spans="1:9" ht="15.9" customHeight="1">
      <c r="A85" s="433"/>
      <c r="B85" s="256" t="s">
        <v>152</v>
      </c>
      <c r="C85" s="257"/>
      <c r="D85" s="232"/>
      <c r="E85" s="256" t="s">
        <v>134</v>
      </c>
      <c r="F85" s="279">
        <v>10</v>
      </c>
      <c r="G85" s="230">
        <v>500000</v>
      </c>
      <c r="H85" s="231">
        <f>F85*G85</f>
        <v>5000000</v>
      </c>
      <c r="I85" s="232"/>
    </row>
    <row r="86" spans="1:9" ht="15.9" customHeight="1">
      <c r="A86" s="433"/>
      <c r="B86" s="258" t="s">
        <v>153</v>
      </c>
      <c r="C86" s="259"/>
      <c r="D86" s="39"/>
      <c r="E86" s="258" t="s">
        <v>134</v>
      </c>
      <c r="F86" s="280"/>
      <c r="G86" s="216"/>
      <c r="H86" s="165">
        <f t="shared" ref="H86:H91" si="3">F86*G86</f>
        <v>0</v>
      </c>
      <c r="I86" s="39"/>
    </row>
    <row r="87" spans="1:9" ht="15.9" customHeight="1">
      <c r="A87" s="433"/>
      <c r="B87" s="258" t="s">
        <v>154</v>
      </c>
      <c r="C87" s="259"/>
      <c r="D87" s="39"/>
      <c r="E87" s="258" t="s">
        <v>134</v>
      </c>
      <c r="F87" s="280">
        <v>10</v>
      </c>
      <c r="G87" s="216">
        <v>500000</v>
      </c>
      <c r="H87" s="165">
        <f>F87*G87</f>
        <v>5000000</v>
      </c>
      <c r="I87" s="39"/>
    </row>
    <row r="88" spans="1:9" ht="15.9" customHeight="1">
      <c r="A88" s="433"/>
      <c r="B88" s="258" t="s">
        <v>155</v>
      </c>
      <c r="C88" s="259" t="s">
        <v>334</v>
      </c>
      <c r="D88" s="39" t="s">
        <v>335</v>
      </c>
      <c r="E88" s="258" t="s">
        <v>134</v>
      </c>
      <c r="F88" s="280">
        <v>24</v>
      </c>
      <c r="G88" s="216">
        <v>650000</v>
      </c>
      <c r="H88" s="165">
        <f>SUM(F88*G88)</f>
        <v>15600000</v>
      </c>
      <c r="I88" s="39"/>
    </row>
    <row r="89" spans="1:9" ht="15.9" customHeight="1">
      <c r="A89" s="433"/>
      <c r="B89" s="258" t="s">
        <v>156</v>
      </c>
      <c r="C89" s="259"/>
      <c r="D89" s="39"/>
      <c r="E89" s="258"/>
      <c r="F89" s="280"/>
      <c r="G89" s="216">
        <v>0</v>
      </c>
      <c r="H89" s="165">
        <f t="shared" si="3"/>
        <v>0</v>
      </c>
      <c r="I89" s="39"/>
    </row>
    <row r="90" spans="1:9" ht="15.9" customHeight="1">
      <c r="A90" s="433"/>
      <c r="B90" s="258" t="s">
        <v>157</v>
      </c>
      <c r="C90" s="259"/>
      <c r="D90" s="39"/>
      <c r="E90" s="258"/>
      <c r="F90" s="280"/>
      <c r="G90" s="216"/>
      <c r="H90" s="165">
        <f>F90*G90</f>
        <v>0</v>
      </c>
      <c r="I90" s="39"/>
    </row>
    <row r="91" spans="1:9" ht="15.9" customHeight="1">
      <c r="A91" s="433"/>
      <c r="B91" s="281" t="s">
        <v>158</v>
      </c>
      <c r="C91" s="261"/>
      <c r="D91" s="42"/>
      <c r="E91" s="260" t="s">
        <v>58</v>
      </c>
      <c r="F91" s="282"/>
      <c r="G91" s="220"/>
      <c r="H91" s="175">
        <f t="shared" si="3"/>
        <v>0</v>
      </c>
      <c r="I91" s="42"/>
    </row>
    <row r="92" spans="1:9" ht="15.9" customHeight="1">
      <c r="A92" s="246"/>
      <c r="B92" s="262" t="s">
        <v>140</v>
      </c>
      <c r="C92" s="248"/>
      <c r="D92" s="46"/>
      <c r="E92" s="46"/>
      <c r="F92" s="205"/>
      <c r="G92" s="49"/>
      <c r="H92" s="49">
        <f>SUM(H84:H91)</f>
        <v>25600000</v>
      </c>
      <c r="I92" s="223"/>
    </row>
    <row r="93" spans="1:9" ht="15.9" customHeight="1">
      <c r="A93" s="252"/>
      <c r="B93" s="262" t="s">
        <v>159</v>
      </c>
      <c r="C93" s="248"/>
      <c r="D93" s="46"/>
      <c r="E93" s="204" t="s">
        <v>146</v>
      </c>
      <c r="F93" s="205" t="s">
        <v>146</v>
      </c>
      <c r="G93" s="49" t="s">
        <v>146</v>
      </c>
      <c r="H93" s="250"/>
      <c r="I93" s="46"/>
    </row>
    <row r="94" spans="1:9" ht="15.9" customHeight="1">
      <c r="A94" s="252"/>
      <c r="B94" s="262" t="s">
        <v>83</v>
      </c>
      <c r="C94" s="248"/>
      <c r="D94" s="46"/>
      <c r="E94" s="204"/>
      <c r="F94" s="461">
        <v>0.02</v>
      </c>
      <c r="G94" s="264"/>
      <c r="H94" s="265">
        <f>(H92+H83)*0.02</f>
        <v>3938400</v>
      </c>
      <c r="I94" s="248"/>
    </row>
    <row r="95" spans="1:9" ht="15.9" customHeight="1">
      <c r="A95" s="252"/>
      <c r="B95" s="262" t="s">
        <v>143</v>
      </c>
      <c r="C95" s="248"/>
      <c r="D95" s="46"/>
      <c r="E95" s="204"/>
      <c r="F95" s="461">
        <v>0.03</v>
      </c>
      <c r="G95" s="264"/>
      <c r="H95" s="265">
        <f>(H92+H83)*0.03</f>
        <v>5907600</v>
      </c>
      <c r="I95" s="248"/>
    </row>
    <row r="96" spans="1:9" ht="15.9" customHeight="1">
      <c r="A96" s="252"/>
      <c r="B96" s="262" t="s">
        <v>144</v>
      </c>
      <c r="C96" s="248"/>
      <c r="D96" s="46"/>
      <c r="E96" s="46"/>
      <c r="F96" s="205"/>
      <c r="G96" s="49"/>
      <c r="H96" s="225">
        <f>H83+H92+H93+H94+H95</f>
        <v>206766000</v>
      </c>
      <c r="I96" s="46"/>
    </row>
    <row r="97" spans="1:1">
      <c r="A97" s="26"/>
    </row>
  </sheetData>
  <mergeCells count="3">
    <mergeCell ref="A2:B2"/>
    <mergeCell ref="A3:A82"/>
    <mergeCell ref="A84:A91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3" orientation="portrait" horizontalDpi="4294967292" verticalDpi="1200" r:id="rId1"/>
  <headerFooter alignWithMargins="0">
    <oddHeader>&amp;C&amp;G</oddHeader>
    <oddFooter>&amp;L_x000D_&amp;1#&amp;"Malgun Gothic"&amp;6&amp;K000000 외부 전송용(No Protection) 손철호 책임매니저 통합구매팀 son@hyundai-wia.com 2026-07-07T14:05:14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0D2A-0184-4DCE-A02D-FEA6F5898256}">
  <sheetPr>
    <tabColor rgb="FF00B050"/>
    <pageSetUpPr fitToPage="1"/>
  </sheetPr>
  <dimension ref="A1:I96"/>
  <sheetViews>
    <sheetView zoomScale="85" workbookViewId="0">
      <pane xSplit="2" ySplit="2" topLeftCell="C3" activePane="bottomRight" state="frozen"/>
      <selection activeCell="F18" sqref="F18:F27"/>
      <selection pane="topRight" activeCell="F18" sqref="F18:F27"/>
      <selection pane="bottomLeft" activeCell="F18" sqref="F18:F27"/>
      <selection pane="bottomRight" activeCell="F18" sqref="F18:F27"/>
    </sheetView>
  </sheetViews>
  <sheetFormatPr defaultColWidth="9" defaultRowHeight="14.4"/>
  <cols>
    <col min="1" max="1" width="5" style="24" customWidth="1"/>
    <col min="2" max="2" width="17.8984375" style="24" bestFit="1" customWidth="1"/>
    <col min="3" max="3" width="23.59765625" style="24" customWidth="1"/>
    <col min="4" max="4" width="18.19921875" style="24" customWidth="1"/>
    <col min="5" max="5" width="5.19921875" style="24" bestFit="1" customWidth="1"/>
    <col min="6" max="6" width="9" style="48"/>
    <col min="7" max="7" width="11.8984375" style="48" customWidth="1"/>
    <col min="8" max="8" width="13.59765625" style="48" customWidth="1"/>
    <col min="9" max="9" width="12.69921875" style="24" customWidth="1"/>
    <col min="10" max="256" width="9" style="24"/>
    <col min="257" max="257" width="5" style="24" customWidth="1"/>
    <col min="258" max="258" width="17.8984375" style="24" bestFit="1" customWidth="1"/>
    <col min="259" max="259" width="23.59765625" style="24" customWidth="1"/>
    <col min="260" max="260" width="18.19921875" style="24" customWidth="1"/>
    <col min="261" max="261" width="5.19921875" style="24" bestFit="1" customWidth="1"/>
    <col min="262" max="262" width="9" style="24"/>
    <col min="263" max="263" width="11.8984375" style="24" customWidth="1"/>
    <col min="264" max="264" width="13.59765625" style="24" customWidth="1"/>
    <col min="265" max="265" width="12.69921875" style="24" customWidth="1"/>
    <col min="266" max="512" width="9" style="24"/>
    <col min="513" max="513" width="5" style="24" customWidth="1"/>
    <col min="514" max="514" width="17.8984375" style="24" bestFit="1" customWidth="1"/>
    <col min="515" max="515" width="23.59765625" style="24" customWidth="1"/>
    <col min="516" max="516" width="18.19921875" style="24" customWidth="1"/>
    <col min="517" max="517" width="5.19921875" style="24" bestFit="1" customWidth="1"/>
    <col min="518" max="518" width="9" style="24"/>
    <col min="519" max="519" width="11.8984375" style="24" customWidth="1"/>
    <col min="520" max="520" width="13.59765625" style="24" customWidth="1"/>
    <col min="521" max="521" width="12.69921875" style="24" customWidth="1"/>
    <col min="522" max="768" width="9" style="24"/>
    <col min="769" max="769" width="5" style="24" customWidth="1"/>
    <col min="770" max="770" width="17.8984375" style="24" bestFit="1" customWidth="1"/>
    <col min="771" max="771" width="23.59765625" style="24" customWidth="1"/>
    <col min="772" max="772" width="18.19921875" style="24" customWidth="1"/>
    <col min="773" max="773" width="5.19921875" style="24" bestFit="1" customWidth="1"/>
    <col min="774" max="774" width="9" style="24"/>
    <col min="775" max="775" width="11.8984375" style="24" customWidth="1"/>
    <col min="776" max="776" width="13.59765625" style="24" customWidth="1"/>
    <col min="777" max="777" width="12.69921875" style="24" customWidth="1"/>
    <col min="778" max="1024" width="9" style="24"/>
    <col min="1025" max="1025" width="5" style="24" customWidth="1"/>
    <col min="1026" max="1026" width="17.8984375" style="24" bestFit="1" customWidth="1"/>
    <col min="1027" max="1027" width="23.59765625" style="24" customWidth="1"/>
    <col min="1028" max="1028" width="18.19921875" style="24" customWidth="1"/>
    <col min="1029" max="1029" width="5.19921875" style="24" bestFit="1" customWidth="1"/>
    <col min="1030" max="1030" width="9" style="24"/>
    <col min="1031" max="1031" width="11.8984375" style="24" customWidth="1"/>
    <col min="1032" max="1032" width="13.59765625" style="24" customWidth="1"/>
    <col min="1033" max="1033" width="12.69921875" style="24" customWidth="1"/>
    <col min="1034" max="1280" width="9" style="24"/>
    <col min="1281" max="1281" width="5" style="24" customWidth="1"/>
    <col min="1282" max="1282" width="17.8984375" style="24" bestFit="1" customWidth="1"/>
    <col min="1283" max="1283" width="23.59765625" style="24" customWidth="1"/>
    <col min="1284" max="1284" width="18.19921875" style="24" customWidth="1"/>
    <col min="1285" max="1285" width="5.19921875" style="24" bestFit="1" customWidth="1"/>
    <col min="1286" max="1286" width="9" style="24"/>
    <col min="1287" max="1287" width="11.8984375" style="24" customWidth="1"/>
    <col min="1288" max="1288" width="13.59765625" style="24" customWidth="1"/>
    <col min="1289" max="1289" width="12.69921875" style="24" customWidth="1"/>
    <col min="1290" max="1536" width="9" style="24"/>
    <col min="1537" max="1537" width="5" style="24" customWidth="1"/>
    <col min="1538" max="1538" width="17.8984375" style="24" bestFit="1" customWidth="1"/>
    <col min="1539" max="1539" width="23.59765625" style="24" customWidth="1"/>
    <col min="1540" max="1540" width="18.19921875" style="24" customWidth="1"/>
    <col min="1541" max="1541" width="5.19921875" style="24" bestFit="1" customWidth="1"/>
    <col min="1542" max="1542" width="9" style="24"/>
    <col min="1543" max="1543" width="11.8984375" style="24" customWidth="1"/>
    <col min="1544" max="1544" width="13.59765625" style="24" customWidth="1"/>
    <col min="1545" max="1545" width="12.69921875" style="24" customWidth="1"/>
    <col min="1546" max="1792" width="9" style="24"/>
    <col min="1793" max="1793" width="5" style="24" customWidth="1"/>
    <col min="1794" max="1794" width="17.8984375" style="24" bestFit="1" customWidth="1"/>
    <col min="1795" max="1795" width="23.59765625" style="24" customWidth="1"/>
    <col min="1796" max="1796" width="18.19921875" style="24" customWidth="1"/>
    <col min="1797" max="1797" width="5.19921875" style="24" bestFit="1" customWidth="1"/>
    <col min="1798" max="1798" width="9" style="24"/>
    <col min="1799" max="1799" width="11.8984375" style="24" customWidth="1"/>
    <col min="1800" max="1800" width="13.59765625" style="24" customWidth="1"/>
    <col min="1801" max="1801" width="12.69921875" style="24" customWidth="1"/>
    <col min="1802" max="2048" width="9" style="24"/>
    <col min="2049" max="2049" width="5" style="24" customWidth="1"/>
    <col min="2050" max="2050" width="17.8984375" style="24" bestFit="1" customWidth="1"/>
    <col min="2051" max="2051" width="23.59765625" style="24" customWidth="1"/>
    <col min="2052" max="2052" width="18.19921875" style="24" customWidth="1"/>
    <col min="2053" max="2053" width="5.19921875" style="24" bestFit="1" customWidth="1"/>
    <col min="2054" max="2054" width="9" style="24"/>
    <col min="2055" max="2055" width="11.8984375" style="24" customWidth="1"/>
    <col min="2056" max="2056" width="13.59765625" style="24" customWidth="1"/>
    <col min="2057" max="2057" width="12.69921875" style="24" customWidth="1"/>
    <col min="2058" max="2304" width="9" style="24"/>
    <col min="2305" max="2305" width="5" style="24" customWidth="1"/>
    <col min="2306" max="2306" width="17.8984375" style="24" bestFit="1" customWidth="1"/>
    <col min="2307" max="2307" width="23.59765625" style="24" customWidth="1"/>
    <col min="2308" max="2308" width="18.19921875" style="24" customWidth="1"/>
    <col min="2309" max="2309" width="5.19921875" style="24" bestFit="1" customWidth="1"/>
    <col min="2310" max="2310" width="9" style="24"/>
    <col min="2311" max="2311" width="11.8984375" style="24" customWidth="1"/>
    <col min="2312" max="2312" width="13.59765625" style="24" customWidth="1"/>
    <col min="2313" max="2313" width="12.69921875" style="24" customWidth="1"/>
    <col min="2314" max="2560" width="9" style="24"/>
    <col min="2561" max="2561" width="5" style="24" customWidth="1"/>
    <col min="2562" max="2562" width="17.8984375" style="24" bestFit="1" customWidth="1"/>
    <col min="2563" max="2563" width="23.59765625" style="24" customWidth="1"/>
    <col min="2564" max="2564" width="18.19921875" style="24" customWidth="1"/>
    <col min="2565" max="2565" width="5.19921875" style="24" bestFit="1" customWidth="1"/>
    <col min="2566" max="2566" width="9" style="24"/>
    <col min="2567" max="2567" width="11.8984375" style="24" customWidth="1"/>
    <col min="2568" max="2568" width="13.59765625" style="24" customWidth="1"/>
    <col min="2569" max="2569" width="12.69921875" style="24" customWidth="1"/>
    <col min="2570" max="2816" width="9" style="24"/>
    <col min="2817" max="2817" width="5" style="24" customWidth="1"/>
    <col min="2818" max="2818" width="17.8984375" style="24" bestFit="1" customWidth="1"/>
    <col min="2819" max="2819" width="23.59765625" style="24" customWidth="1"/>
    <col min="2820" max="2820" width="18.19921875" style="24" customWidth="1"/>
    <col min="2821" max="2821" width="5.19921875" style="24" bestFit="1" customWidth="1"/>
    <col min="2822" max="2822" width="9" style="24"/>
    <col min="2823" max="2823" width="11.8984375" style="24" customWidth="1"/>
    <col min="2824" max="2824" width="13.59765625" style="24" customWidth="1"/>
    <col min="2825" max="2825" width="12.69921875" style="24" customWidth="1"/>
    <col min="2826" max="3072" width="9" style="24"/>
    <col min="3073" max="3073" width="5" style="24" customWidth="1"/>
    <col min="3074" max="3074" width="17.8984375" style="24" bestFit="1" customWidth="1"/>
    <col min="3075" max="3075" width="23.59765625" style="24" customWidth="1"/>
    <col min="3076" max="3076" width="18.19921875" style="24" customWidth="1"/>
    <col min="3077" max="3077" width="5.19921875" style="24" bestFit="1" customWidth="1"/>
    <col min="3078" max="3078" width="9" style="24"/>
    <col min="3079" max="3079" width="11.8984375" style="24" customWidth="1"/>
    <col min="3080" max="3080" width="13.59765625" style="24" customWidth="1"/>
    <col min="3081" max="3081" width="12.69921875" style="24" customWidth="1"/>
    <col min="3082" max="3328" width="9" style="24"/>
    <col min="3329" max="3329" width="5" style="24" customWidth="1"/>
    <col min="3330" max="3330" width="17.8984375" style="24" bestFit="1" customWidth="1"/>
    <col min="3331" max="3331" width="23.59765625" style="24" customWidth="1"/>
    <col min="3332" max="3332" width="18.19921875" style="24" customWidth="1"/>
    <col min="3333" max="3333" width="5.19921875" style="24" bestFit="1" customWidth="1"/>
    <col min="3334" max="3334" width="9" style="24"/>
    <col min="3335" max="3335" width="11.8984375" style="24" customWidth="1"/>
    <col min="3336" max="3336" width="13.59765625" style="24" customWidth="1"/>
    <col min="3337" max="3337" width="12.69921875" style="24" customWidth="1"/>
    <col min="3338" max="3584" width="9" style="24"/>
    <col min="3585" max="3585" width="5" style="24" customWidth="1"/>
    <col min="3586" max="3586" width="17.8984375" style="24" bestFit="1" customWidth="1"/>
    <col min="3587" max="3587" width="23.59765625" style="24" customWidth="1"/>
    <col min="3588" max="3588" width="18.19921875" style="24" customWidth="1"/>
    <col min="3589" max="3589" width="5.19921875" style="24" bestFit="1" customWidth="1"/>
    <col min="3590" max="3590" width="9" style="24"/>
    <col min="3591" max="3591" width="11.8984375" style="24" customWidth="1"/>
    <col min="3592" max="3592" width="13.59765625" style="24" customWidth="1"/>
    <col min="3593" max="3593" width="12.69921875" style="24" customWidth="1"/>
    <col min="3594" max="3840" width="9" style="24"/>
    <col min="3841" max="3841" width="5" style="24" customWidth="1"/>
    <col min="3842" max="3842" width="17.8984375" style="24" bestFit="1" customWidth="1"/>
    <col min="3843" max="3843" width="23.59765625" style="24" customWidth="1"/>
    <col min="3844" max="3844" width="18.19921875" style="24" customWidth="1"/>
    <col min="3845" max="3845" width="5.19921875" style="24" bestFit="1" customWidth="1"/>
    <col min="3846" max="3846" width="9" style="24"/>
    <col min="3847" max="3847" width="11.8984375" style="24" customWidth="1"/>
    <col min="3848" max="3848" width="13.59765625" style="24" customWidth="1"/>
    <col min="3849" max="3849" width="12.69921875" style="24" customWidth="1"/>
    <col min="3850" max="4096" width="9" style="24"/>
    <col min="4097" max="4097" width="5" style="24" customWidth="1"/>
    <col min="4098" max="4098" width="17.8984375" style="24" bestFit="1" customWidth="1"/>
    <col min="4099" max="4099" width="23.59765625" style="24" customWidth="1"/>
    <col min="4100" max="4100" width="18.19921875" style="24" customWidth="1"/>
    <col min="4101" max="4101" width="5.19921875" style="24" bestFit="1" customWidth="1"/>
    <col min="4102" max="4102" width="9" style="24"/>
    <col min="4103" max="4103" width="11.8984375" style="24" customWidth="1"/>
    <col min="4104" max="4104" width="13.59765625" style="24" customWidth="1"/>
    <col min="4105" max="4105" width="12.69921875" style="24" customWidth="1"/>
    <col min="4106" max="4352" width="9" style="24"/>
    <col min="4353" max="4353" width="5" style="24" customWidth="1"/>
    <col min="4354" max="4354" width="17.8984375" style="24" bestFit="1" customWidth="1"/>
    <col min="4355" max="4355" width="23.59765625" style="24" customWidth="1"/>
    <col min="4356" max="4356" width="18.19921875" style="24" customWidth="1"/>
    <col min="4357" max="4357" width="5.19921875" style="24" bestFit="1" customWidth="1"/>
    <col min="4358" max="4358" width="9" style="24"/>
    <col min="4359" max="4359" width="11.8984375" style="24" customWidth="1"/>
    <col min="4360" max="4360" width="13.59765625" style="24" customWidth="1"/>
    <col min="4361" max="4361" width="12.69921875" style="24" customWidth="1"/>
    <col min="4362" max="4608" width="9" style="24"/>
    <col min="4609" max="4609" width="5" style="24" customWidth="1"/>
    <col min="4610" max="4610" width="17.8984375" style="24" bestFit="1" customWidth="1"/>
    <col min="4611" max="4611" width="23.59765625" style="24" customWidth="1"/>
    <col min="4612" max="4612" width="18.19921875" style="24" customWidth="1"/>
    <col min="4613" max="4613" width="5.19921875" style="24" bestFit="1" customWidth="1"/>
    <col min="4614" max="4614" width="9" style="24"/>
    <col min="4615" max="4615" width="11.8984375" style="24" customWidth="1"/>
    <col min="4616" max="4616" width="13.59765625" style="24" customWidth="1"/>
    <col min="4617" max="4617" width="12.69921875" style="24" customWidth="1"/>
    <col min="4618" max="4864" width="9" style="24"/>
    <col min="4865" max="4865" width="5" style="24" customWidth="1"/>
    <col min="4866" max="4866" width="17.8984375" style="24" bestFit="1" customWidth="1"/>
    <col min="4867" max="4867" width="23.59765625" style="24" customWidth="1"/>
    <col min="4868" max="4868" width="18.19921875" style="24" customWidth="1"/>
    <col min="4869" max="4869" width="5.19921875" style="24" bestFit="1" customWidth="1"/>
    <col min="4870" max="4870" width="9" style="24"/>
    <col min="4871" max="4871" width="11.8984375" style="24" customWidth="1"/>
    <col min="4872" max="4872" width="13.59765625" style="24" customWidth="1"/>
    <col min="4873" max="4873" width="12.69921875" style="24" customWidth="1"/>
    <col min="4874" max="5120" width="9" style="24"/>
    <col min="5121" max="5121" width="5" style="24" customWidth="1"/>
    <col min="5122" max="5122" width="17.8984375" style="24" bestFit="1" customWidth="1"/>
    <col min="5123" max="5123" width="23.59765625" style="24" customWidth="1"/>
    <col min="5124" max="5124" width="18.19921875" style="24" customWidth="1"/>
    <col min="5125" max="5125" width="5.19921875" style="24" bestFit="1" customWidth="1"/>
    <col min="5126" max="5126" width="9" style="24"/>
    <col min="5127" max="5127" width="11.8984375" style="24" customWidth="1"/>
    <col min="5128" max="5128" width="13.59765625" style="24" customWidth="1"/>
    <col min="5129" max="5129" width="12.69921875" style="24" customWidth="1"/>
    <col min="5130" max="5376" width="9" style="24"/>
    <col min="5377" max="5377" width="5" style="24" customWidth="1"/>
    <col min="5378" max="5378" width="17.8984375" style="24" bestFit="1" customWidth="1"/>
    <col min="5379" max="5379" width="23.59765625" style="24" customWidth="1"/>
    <col min="5380" max="5380" width="18.19921875" style="24" customWidth="1"/>
    <col min="5381" max="5381" width="5.19921875" style="24" bestFit="1" customWidth="1"/>
    <col min="5382" max="5382" width="9" style="24"/>
    <col min="5383" max="5383" width="11.8984375" style="24" customWidth="1"/>
    <col min="5384" max="5384" width="13.59765625" style="24" customWidth="1"/>
    <col min="5385" max="5385" width="12.69921875" style="24" customWidth="1"/>
    <col min="5386" max="5632" width="9" style="24"/>
    <col min="5633" max="5633" width="5" style="24" customWidth="1"/>
    <col min="5634" max="5634" width="17.8984375" style="24" bestFit="1" customWidth="1"/>
    <col min="5635" max="5635" width="23.59765625" style="24" customWidth="1"/>
    <col min="5636" max="5636" width="18.19921875" style="24" customWidth="1"/>
    <col min="5637" max="5637" width="5.19921875" style="24" bestFit="1" customWidth="1"/>
    <col min="5638" max="5638" width="9" style="24"/>
    <col min="5639" max="5639" width="11.8984375" style="24" customWidth="1"/>
    <col min="5640" max="5640" width="13.59765625" style="24" customWidth="1"/>
    <col min="5641" max="5641" width="12.69921875" style="24" customWidth="1"/>
    <col min="5642" max="5888" width="9" style="24"/>
    <col min="5889" max="5889" width="5" style="24" customWidth="1"/>
    <col min="5890" max="5890" width="17.8984375" style="24" bestFit="1" customWidth="1"/>
    <col min="5891" max="5891" width="23.59765625" style="24" customWidth="1"/>
    <col min="5892" max="5892" width="18.19921875" style="24" customWidth="1"/>
    <col min="5893" max="5893" width="5.19921875" style="24" bestFit="1" customWidth="1"/>
    <col min="5894" max="5894" width="9" style="24"/>
    <col min="5895" max="5895" width="11.8984375" style="24" customWidth="1"/>
    <col min="5896" max="5896" width="13.59765625" style="24" customWidth="1"/>
    <col min="5897" max="5897" width="12.69921875" style="24" customWidth="1"/>
    <col min="5898" max="6144" width="9" style="24"/>
    <col min="6145" max="6145" width="5" style="24" customWidth="1"/>
    <col min="6146" max="6146" width="17.8984375" style="24" bestFit="1" customWidth="1"/>
    <col min="6147" max="6147" width="23.59765625" style="24" customWidth="1"/>
    <col min="6148" max="6148" width="18.19921875" style="24" customWidth="1"/>
    <col min="6149" max="6149" width="5.19921875" style="24" bestFit="1" customWidth="1"/>
    <col min="6150" max="6150" width="9" style="24"/>
    <col min="6151" max="6151" width="11.8984375" style="24" customWidth="1"/>
    <col min="6152" max="6152" width="13.59765625" style="24" customWidth="1"/>
    <col min="6153" max="6153" width="12.69921875" style="24" customWidth="1"/>
    <col min="6154" max="6400" width="9" style="24"/>
    <col min="6401" max="6401" width="5" style="24" customWidth="1"/>
    <col min="6402" max="6402" width="17.8984375" style="24" bestFit="1" customWidth="1"/>
    <col min="6403" max="6403" width="23.59765625" style="24" customWidth="1"/>
    <col min="6404" max="6404" width="18.19921875" style="24" customWidth="1"/>
    <col min="6405" max="6405" width="5.19921875" style="24" bestFit="1" customWidth="1"/>
    <col min="6406" max="6406" width="9" style="24"/>
    <col min="6407" max="6407" width="11.8984375" style="24" customWidth="1"/>
    <col min="6408" max="6408" width="13.59765625" style="24" customWidth="1"/>
    <col min="6409" max="6409" width="12.69921875" style="24" customWidth="1"/>
    <col min="6410" max="6656" width="9" style="24"/>
    <col min="6657" max="6657" width="5" style="24" customWidth="1"/>
    <col min="6658" max="6658" width="17.8984375" style="24" bestFit="1" customWidth="1"/>
    <col min="6659" max="6659" width="23.59765625" style="24" customWidth="1"/>
    <col min="6660" max="6660" width="18.19921875" style="24" customWidth="1"/>
    <col min="6661" max="6661" width="5.19921875" style="24" bestFit="1" customWidth="1"/>
    <col min="6662" max="6662" width="9" style="24"/>
    <col min="6663" max="6663" width="11.8984375" style="24" customWidth="1"/>
    <col min="6664" max="6664" width="13.59765625" style="24" customWidth="1"/>
    <col min="6665" max="6665" width="12.69921875" style="24" customWidth="1"/>
    <col min="6666" max="6912" width="9" style="24"/>
    <col min="6913" max="6913" width="5" style="24" customWidth="1"/>
    <col min="6914" max="6914" width="17.8984375" style="24" bestFit="1" customWidth="1"/>
    <col min="6915" max="6915" width="23.59765625" style="24" customWidth="1"/>
    <col min="6916" max="6916" width="18.19921875" style="24" customWidth="1"/>
    <col min="6917" max="6917" width="5.19921875" style="24" bestFit="1" customWidth="1"/>
    <col min="6918" max="6918" width="9" style="24"/>
    <col min="6919" max="6919" width="11.8984375" style="24" customWidth="1"/>
    <col min="6920" max="6920" width="13.59765625" style="24" customWidth="1"/>
    <col min="6921" max="6921" width="12.69921875" style="24" customWidth="1"/>
    <col min="6922" max="7168" width="9" style="24"/>
    <col min="7169" max="7169" width="5" style="24" customWidth="1"/>
    <col min="7170" max="7170" width="17.8984375" style="24" bestFit="1" customWidth="1"/>
    <col min="7171" max="7171" width="23.59765625" style="24" customWidth="1"/>
    <col min="7172" max="7172" width="18.19921875" style="24" customWidth="1"/>
    <col min="7173" max="7173" width="5.19921875" style="24" bestFit="1" customWidth="1"/>
    <col min="7174" max="7174" width="9" style="24"/>
    <col min="7175" max="7175" width="11.8984375" style="24" customWidth="1"/>
    <col min="7176" max="7176" width="13.59765625" style="24" customWidth="1"/>
    <col min="7177" max="7177" width="12.69921875" style="24" customWidth="1"/>
    <col min="7178" max="7424" width="9" style="24"/>
    <col min="7425" max="7425" width="5" style="24" customWidth="1"/>
    <col min="7426" max="7426" width="17.8984375" style="24" bestFit="1" customWidth="1"/>
    <col min="7427" max="7427" width="23.59765625" style="24" customWidth="1"/>
    <col min="7428" max="7428" width="18.19921875" style="24" customWidth="1"/>
    <col min="7429" max="7429" width="5.19921875" style="24" bestFit="1" customWidth="1"/>
    <col min="7430" max="7430" width="9" style="24"/>
    <col min="7431" max="7431" width="11.8984375" style="24" customWidth="1"/>
    <col min="7432" max="7432" width="13.59765625" style="24" customWidth="1"/>
    <col min="7433" max="7433" width="12.69921875" style="24" customWidth="1"/>
    <col min="7434" max="7680" width="9" style="24"/>
    <col min="7681" max="7681" width="5" style="24" customWidth="1"/>
    <col min="7682" max="7682" width="17.8984375" style="24" bestFit="1" customWidth="1"/>
    <col min="7683" max="7683" width="23.59765625" style="24" customWidth="1"/>
    <col min="7684" max="7684" width="18.19921875" style="24" customWidth="1"/>
    <col min="7685" max="7685" width="5.19921875" style="24" bestFit="1" customWidth="1"/>
    <col min="7686" max="7686" width="9" style="24"/>
    <col min="7687" max="7687" width="11.8984375" style="24" customWidth="1"/>
    <col min="7688" max="7688" width="13.59765625" style="24" customWidth="1"/>
    <col min="7689" max="7689" width="12.69921875" style="24" customWidth="1"/>
    <col min="7690" max="7936" width="9" style="24"/>
    <col min="7937" max="7937" width="5" style="24" customWidth="1"/>
    <col min="7938" max="7938" width="17.8984375" style="24" bestFit="1" customWidth="1"/>
    <col min="7939" max="7939" width="23.59765625" style="24" customWidth="1"/>
    <col min="7940" max="7940" width="18.19921875" style="24" customWidth="1"/>
    <col min="7941" max="7941" width="5.19921875" style="24" bestFit="1" customWidth="1"/>
    <col min="7942" max="7942" width="9" style="24"/>
    <col min="7943" max="7943" width="11.8984375" style="24" customWidth="1"/>
    <col min="7944" max="7944" width="13.59765625" style="24" customWidth="1"/>
    <col min="7945" max="7945" width="12.69921875" style="24" customWidth="1"/>
    <col min="7946" max="8192" width="9" style="24"/>
    <col min="8193" max="8193" width="5" style="24" customWidth="1"/>
    <col min="8194" max="8194" width="17.8984375" style="24" bestFit="1" customWidth="1"/>
    <col min="8195" max="8195" width="23.59765625" style="24" customWidth="1"/>
    <col min="8196" max="8196" width="18.19921875" style="24" customWidth="1"/>
    <col min="8197" max="8197" width="5.19921875" style="24" bestFit="1" customWidth="1"/>
    <col min="8198" max="8198" width="9" style="24"/>
    <col min="8199" max="8199" width="11.8984375" style="24" customWidth="1"/>
    <col min="8200" max="8200" width="13.59765625" style="24" customWidth="1"/>
    <col min="8201" max="8201" width="12.69921875" style="24" customWidth="1"/>
    <col min="8202" max="8448" width="9" style="24"/>
    <col min="8449" max="8449" width="5" style="24" customWidth="1"/>
    <col min="8450" max="8450" width="17.8984375" style="24" bestFit="1" customWidth="1"/>
    <col min="8451" max="8451" width="23.59765625" style="24" customWidth="1"/>
    <col min="8452" max="8452" width="18.19921875" style="24" customWidth="1"/>
    <col min="8453" max="8453" width="5.19921875" style="24" bestFit="1" customWidth="1"/>
    <col min="8454" max="8454" width="9" style="24"/>
    <col min="8455" max="8455" width="11.8984375" style="24" customWidth="1"/>
    <col min="8456" max="8456" width="13.59765625" style="24" customWidth="1"/>
    <col min="8457" max="8457" width="12.69921875" style="24" customWidth="1"/>
    <col min="8458" max="8704" width="9" style="24"/>
    <col min="8705" max="8705" width="5" style="24" customWidth="1"/>
    <col min="8706" max="8706" width="17.8984375" style="24" bestFit="1" customWidth="1"/>
    <col min="8707" max="8707" width="23.59765625" style="24" customWidth="1"/>
    <col min="8708" max="8708" width="18.19921875" style="24" customWidth="1"/>
    <col min="8709" max="8709" width="5.19921875" style="24" bestFit="1" customWidth="1"/>
    <col min="8710" max="8710" width="9" style="24"/>
    <col min="8711" max="8711" width="11.8984375" style="24" customWidth="1"/>
    <col min="8712" max="8712" width="13.59765625" style="24" customWidth="1"/>
    <col min="8713" max="8713" width="12.69921875" style="24" customWidth="1"/>
    <col min="8714" max="8960" width="9" style="24"/>
    <col min="8961" max="8961" width="5" style="24" customWidth="1"/>
    <col min="8962" max="8962" width="17.8984375" style="24" bestFit="1" customWidth="1"/>
    <col min="8963" max="8963" width="23.59765625" style="24" customWidth="1"/>
    <col min="8964" max="8964" width="18.19921875" style="24" customWidth="1"/>
    <col min="8965" max="8965" width="5.19921875" style="24" bestFit="1" customWidth="1"/>
    <col min="8966" max="8966" width="9" style="24"/>
    <col min="8967" max="8967" width="11.8984375" style="24" customWidth="1"/>
    <col min="8968" max="8968" width="13.59765625" style="24" customWidth="1"/>
    <col min="8969" max="8969" width="12.69921875" style="24" customWidth="1"/>
    <col min="8970" max="9216" width="9" style="24"/>
    <col min="9217" max="9217" width="5" style="24" customWidth="1"/>
    <col min="9218" max="9218" width="17.8984375" style="24" bestFit="1" customWidth="1"/>
    <col min="9219" max="9219" width="23.59765625" style="24" customWidth="1"/>
    <col min="9220" max="9220" width="18.19921875" style="24" customWidth="1"/>
    <col min="9221" max="9221" width="5.19921875" style="24" bestFit="1" customWidth="1"/>
    <col min="9222" max="9222" width="9" style="24"/>
    <col min="9223" max="9223" width="11.8984375" style="24" customWidth="1"/>
    <col min="9224" max="9224" width="13.59765625" style="24" customWidth="1"/>
    <col min="9225" max="9225" width="12.69921875" style="24" customWidth="1"/>
    <col min="9226" max="9472" width="9" style="24"/>
    <col min="9473" max="9473" width="5" style="24" customWidth="1"/>
    <col min="9474" max="9474" width="17.8984375" style="24" bestFit="1" customWidth="1"/>
    <col min="9475" max="9475" width="23.59765625" style="24" customWidth="1"/>
    <col min="9476" max="9476" width="18.19921875" style="24" customWidth="1"/>
    <col min="9477" max="9477" width="5.19921875" style="24" bestFit="1" customWidth="1"/>
    <col min="9478" max="9478" width="9" style="24"/>
    <col min="9479" max="9479" width="11.8984375" style="24" customWidth="1"/>
    <col min="9480" max="9480" width="13.59765625" style="24" customWidth="1"/>
    <col min="9481" max="9481" width="12.69921875" style="24" customWidth="1"/>
    <col min="9482" max="9728" width="9" style="24"/>
    <col min="9729" max="9729" width="5" style="24" customWidth="1"/>
    <col min="9730" max="9730" width="17.8984375" style="24" bestFit="1" customWidth="1"/>
    <col min="9731" max="9731" width="23.59765625" style="24" customWidth="1"/>
    <col min="9732" max="9732" width="18.19921875" style="24" customWidth="1"/>
    <col min="9733" max="9733" width="5.19921875" style="24" bestFit="1" customWidth="1"/>
    <col min="9734" max="9734" width="9" style="24"/>
    <col min="9735" max="9735" width="11.8984375" style="24" customWidth="1"/>
    <col min="9736" max="9736" width="13.59765625" style="24" customWidth="1"/>
    <col min="9737" max="9737" width="12.69921875" style="24" customWidth="1"/>
    <col min="9738" max="9984" width="9" style="24"/>
    <col min="9985" max="9985" width="5" style="24" customWidth="1"/>
    <col min="9986" max="9986" width="17.8984375" style="24" bestFit="1" customWidth="1"/>
    <col min="9987" max="9987" width="23.59765625" style="24" customWidth="1"/>
    <col min="9988" max="9988" width="18.19921875" style="24" customWidth="1"/>
    <col min="9989" max="9989" width="5.19921875" style="24" bestFit="1" customWidth="1"/>
    <col min="9990" max="9990" width="9" style="24"/>
    <col min="9991" max="9991" width="11.8984375" style="24" customWidth="1"/>
    <col min="9992" max="9992" width="13.59765625" style="24" customWidth="1"/>
    <col min="9993" max="9993" width="12.69921875" style="24" customWidth="1"/>
    <col min="9994" max="10240" width="9" style="24"/>
    <col min="10241" max="10241" width="5" style="24" customWidth="1"/>
    <col min="10242" max="10242" width="17.8984375" style="24" bestFit="1" customWidth="1"/>
    <col min="10243" max="10243" width="23.59765625" style="24" customWidth="1"/>
    <col min="10244" max="10244" width="18.19921875" style="24" customWidth="1"/>
    <col min="10245" max="10245" width="5.19921875" style="24" bestFit="1" customWidth="1"/>
    <col min="10246" max="10246" width="9" style="24"/>
    <col min="10247" max="10247" width="11.8984375" style="24" customWidth="1"/>
    <col min="10248" max="10248" width="13.59765625" style="24" customWidth="1"/>
    <col min="10249" max="10249" width="12.69921875" style="24" customWidth="1"/>
    <col min="10250" max="10496" width="9" style="24"/>
    <col min="10497" max="10497" width="5" style="24" customWidth="1"/>
    <col min="10498" max="10498" width="17.8984375" style="24" bestFit="1" customWidth="1"/>
    <col min="10499" max="10499" width="23.59765625" style="24" customWidth="1"/>
    <col min="10500" max="10500" width="18.19921875" style="24" customWidth="1"/>
    <col min="10501" max="10501" width="5.19921875" style="24" bestFit="1" customWidth="1"/>
    <col min="10502" max="10502" width="9" style="24"/>
    <col min="10503" max="10503" width="11.8984375" style="24" customWidth="1"/>
    <col min="10504" max="10504" width="13.59765625" style="24" customWidth="1"/>
    <col min="10505" max="10505" width="12.69921875" style="24" customWidth="1"/>
    <col min="10506" max="10752" width="9" style="24"/>
    <col min="10753" max="10753" width="5" style="24" customWidth="1"/>
    <col min="10754" max="10754" width="17.8984375" style="24" bestFit="1" customWidth="1"/>
    <col min="10755" max="10755" width="23.59765625" style="24" customWidth="1"/>
    <col min="10756" max="10756" width="18.19921875" style="24" customWidth="1"/>
    <col min="10757" max="10757" width="5.19921875" style="24" bestFit="1" customWidth="1"/>
    <col min="10758" max="10758" width="9" style="24"/>
    <col min="10759" max="10759" width="11.8984375" style="24" customWidth="1"/>
    <col min="10760" max="10760" width="13.59765625" style="24" customWidth="1"/>
    <col min="10761" max="10761" width="12.69921875" style="24" customWidth="1"/>
    <col min="10762" max="11008" width="9" style="24"/>
    <col min="11009" max="11009" width="5" style="24" customWidth="1"/>
    <col min="11010" max="11010" width="17.8984375" style="24" bestFit="1" customWidth="1"/>
    <col min="11011" max="11011" width="23.59765625" style="24" customWidth="1"/>
    <col min="11012" max="11012" width="18.19921875" style="24" customWidth="1"/>
    <col min="11013" max="11013" width="5.19921875" style="24" bestFit="1" customWidth="1"/>
    <col min="11014" max="11014" width="9" style="24"/>
    <col min="11015" max="11015" width="11.8984375" style="24" customWidth="1"/>
    <col min="11016" max="11016" width="13.59765625" style="24" customWidth="1"/>
    <col min="11017" max="11017" width="12.69921875" style="24" customWidth="1"/>
    <col min="11018" max="11264" width="9" style="24"/>
    <col min="11265" max="11265" width="5" style="24" customWidth="1"/>
    <col min="11266" max="11266" width="17.8984375" style="24" bestFit="1" customWidth="1"/>
    <col min="11267" max="11267" width="23.59765625" style="24" customWidth="1"/>
    <col min="11268" max="11268" width="18.19921875" style="24" customWidth="1"/>
    <col min="11269" max="11269" width="5.19921875" style="24" bestFit="1" customWidth="1"/>
    <col min="11270" max="11270" width="9" style="24"/>
    <col min="11271" max="11271" width="11.8984375" style="24" customWidth="1"/>
    <col min="11272" max="11272" width="13.59765625" style="24" customWidth="1"/>
    <col min="11273" max="11273" width="12.69921875" style="24" customWidth="1"/>
    <col min="11274" max="11520" width="9" style="24"/>
    <col min="11521" max="11521" width="5" style="24" customWidth="1"/>
    <col min="11522" max="11522" width="17.8984375" style="24" bestFit="1" customWidth="1"/>
    <col min="11523" max="11523" width="23.59765625" style="24" customWidth="1"/>
    <col min="11524" max="11524" width="18.19921875" style="24" customWidth="1"/>
    <col min="11525" max="11525" width="5.19921875" style="24" bestFit="1" customWidth="1"/>
    <col min="11526" max="11526" width="9" style="24"/>
    <col min="11527" max="11527" width="11.8984375" style="24" customWidth="1"/>
    <col min="11528" max="11528" width="13.59765625" style="24" customWidth="1"/>
    <col min="11529" max="11529" width="12.69921875" style="24" customWidth="1"/>
    <col min="11530" max="11776" width="9" style="24"/>
    <col min="11777" max="11777" width="5" style="24" customWidth="1"/>
    <col min="11778" max="11778" width="17.8984375" style="24" bestFit="1" customWidth="1"/>
    <col min="11779" max="11779" width="23.59765625" style="24" customWidth="1"/>
    <col min="11780" max="11780" width="18.19921875" style="24" customWidth="1"/>
    <col min="11781" max="11781" width="5.19921875" style="24" bestFit="1" customWidth="1"/>
    <col min="11782" max="11782" width="9" style="24"/>
    <col min="11783" max="11783" width="11.8984375" style="24" customWidth="1"/>
    <col min="11784" max="11784" width="13.59765625" style="24" customWidth="1"/>
    <col min="11785" max="11785" width="12.69921875" style="24" customWidth="1"/>
    <col min="11786" max="12032" width="9" style="24"/>
    <col min="12033" max="12033" width="5" style="24" customWidth="1"/>
    <col min="12034" max="12034" width="17.8984375" style="24" bestFit="1" customWidth="1"/>
    <col min="12035" max="12035" width="23.59765625" style="24" customWidth="1"/>
    <col min="12036" max="12036" width="18.19921875" style="24" customWidth="1"/>
    <col min="12037" max="12037" width="5.19921875" style="24" bestFit="1" customWidth="1"/>
    <col min="12038" max="12038" width="9" style="24"/>
    <col min="12039" max="12039" width="11.8984375" style="24" customWidth="1"/>
    <col min="12040" max="12040" width="13.59765625" style="24" customWidth="1"/>
    <col min="12041" max="12041" width="12.69921875" style="24" customWidth="1"/>
    <col min="12042" max="12288" width="9" style="24"/>
    <col min="12289" max="12289" width="5" style="24" customWidth="1"/>
    <col min="12290" max="12290" width="17.8984375" style="24" bestFit="1" customWidth="1"/>
    <col min="12291" max="12291" width="23.59765625" style="24" customWidth="1"/>
    <col min="12292" max="12292" width="18.19921875" style="24" customWidth="1"/>
    <col min="12293" max="12293" width="5.19921875" style="24" bestFit="1" customWidth="1"/>
    <col min="12294" max="12294" width="9" style="24"/>
    <col min="12295" max="12295" width="11.8984375" style="24" customWidth="1"/>
    <col min="12296" max="12296" width="13.59765625" style="24" customWidth="1"/>
    <col min="12297" max="12297" width="12.69921875" style="24" customWidth="1"/>
    <col min="12298" max="12544" width="9" style="24"/>
    <col min="12545" max="12545" width="5" style="24" customWidth="1"/>
    <col min="12546" max="12546" width="17.8984375" style="24" bestFit="1" customWidth="1"/>
    <col min="12547" max="12547" width="23.59765625" style="24" customWidth="1"/>
    <col min="12548" max="12548" width="18.19921875" style="24" customWidth="1"/>
    <col min="12549" max="12549" width="5.19921875" style="24" bestFit="1" customWidth="1"/>
    <col min="12550" max="12550" width="9" style="24"/>
    <col min="12551" max="12551" width="11.8984375" style="24" customWidth="1"/>
    <col min="12552" max="12552" width="13.59765625" style="24" customWidth="1"/>
    <col min="12553" max="12553" width="12.69921875" style="24" customWidth="1"/>
    <col min="12554" max="12800" width="9" style="24"/>
    <col min="12801" max="12801" width="5" style="24" customWidth="1"/>
    <col min="12802" max="12802" width="17.8984375" style="24" bestFit="1" customWidth="1"/>
    <col min="12803" max="12803" width="23.59765625" style="24" customWidth="1"/>
    <col min="12804" max="12804" width="18.19921875" style="24" customWidth="1"/>
    <col min="12805" max="12805" width="5.19921875" style="24" bestFit="1" customWidth="1"/>
    <col min="12806" max="12806" width="9" style="24"/>
    <col min="12807" max="12807" width="11.8984375" style="24" customWidth="1"/>
    <col min="12808" max="12808" width="13.59765625" style="24" customWidth="1"/>
    <col min="12809" max="12809" width="12.69921875" style="24" customWidth="1"/>
    <col min="12810" max="13056" width="9" style="24"/>
    <col min="13057" max="13057" width="5" style="24" customWidth="1"/>
    <col min="13058" max="13058" width="17.8984375" style="24" bestFit="1" customWidth="1"/>
    <col min="13059" max="13059" width="23.59765625" style="24" customWidth="1"/>
    <col min="13060" max="13060" width="18.19921875" style="24" customWidth="1"/>
    <col min="13061" max="13061" width="5.19921875" style="24" bestFit="1" customWidth="1"/>
    <col min="13062" max="13062" width="9" style="24"/>
    <col min="13063" max="13063" width="11.8984375" style="24" customWidth="1"/>
    <col min="13064" max="13064" width="13.59765625" style="24" customWidth="1"/>
    <col min="13065" max="13065" width="12.69921875" style="24" customWidth="1"/>
    <col min="13066" max="13312" width="9" style="24"/>
    <col min="13313" max="13313" width="5" style="24" customWidth="1"/>
    <col min="13314" max="13314" width="17.8984375" style="24" bestFit="1" customWidth="1"/>
    <col min="13315" max="13315" width="23.59765625" style="24" customWidth="1"/>
    <col min="13316" max="13316" width="18.19921875" style="24" customWidth="1"/>
    <col min="13317" max="13317" width="5.19921875" style="24" bestFit="1" customWidth="1"/>
    <col min="13318" max="13318" width="9" style="24"/>
    <col min="13319" max="13319" width="11.8984375" style="24" customWidth="1"/>
    <col min="13320" max="13320" width="13.59765625" style="24" customWidth="1"/>
    <col min="13321" max="13321" width="12.69921875" style="24" customWidth="1"/>
    <col min="13322" max="13568" width="9" style="24"/>
    <col min="13569" max="13569" width="5" style="24" customWidth="1"/>
    <col min="13570" max="13570" width="17.8984375" style="24" bestFit="1" customWidth="1"/>
    <col min="13571" max="13571" width="23.59765625" style="24" customWidth="1"/>
    <col min="13572" max="13572" width="18.19921875" style="24" customWidth="1"/>
    <col min="13573" max="13573" width="5.19921875" style="24" bestFit="1" customWidth="1"/>
    <col min="13574" max="13574" width="9" style="24"/>
    <col min="13575" max="13575" width="11.8984375" style="24" customWidth="1"/>
    <col min="13576" max="13576" width="13.59765625" style="24" customWidth="1"/>
    <col min="13577" max="13577" width="12.69921875" style="24" customWidth="1"/>
    <col min="13578" max="13824" width="9" style="24"/>
    <col min="13825" max="13825" width="5" style="24" customWidth="1"/>
    <col min="13826" max="13826" width="17.8984375" style="24" bestFit="1" customWidth="1"/>
    <col min="13827" max="13827" width="23.59765625" style="24" customWidth="1"/>
    <col min="13828" max="13828" width="18.19921875" style="24" customWidth="1"/>
    <col min="13829" max="13829" width="5.19921875" style="24" bestFit="1" customWidth="1"/>
    <col min="13830" max="13830" width="9" style="24"/>
    <col min="13831" max="13831" width="11.8984375" style="24" customWidth="1"/>
    <col min="13832" max="13832" width="13.59765625" style="24" customWidth="1"/>
    <col min="13833" max="13833" width="12.69921875" style="24" customWidth="1"/>
    <col min="13834" max="14080" width="9" style="24"/>
    <col min="14081" max="14081" width="5" style="24" customWidth="1"/>
    <col min="14082" max="14082" width="17.8984375" style="24" bestFit="1" customWidth="1"/>
    <col min="14083" max="14083" width="23.59765625" style="24" customWidth="1"/>
    <col min="14084" max="14084" width="18.19921875" style="24" customWidth="1"/>
    <col min="14085" max="14085" width="5.19921875" style="24" bestFit="1" customWidth="1"/>
    <col min="14086" max="14086" width="9" style="24"/>
    <col min="14087" max="14087" width="11.8984375" style="24" customWidth="1"/>
    <col min="14088" max="14088" width="13.59765625" style="24" customWidth="1"/>
    <col min="14089" max="14089" width="12.69921875" style="24" customWidth="1"/>
    <col min="14090" max="14336" width="9" style="24"/>
    <col min="14337" max="14337" width="5" style="24" customWidth="1"/>
    <col min="14338" max="14338" width="17.8984375" style="24" bestFit="1" customWidth="1"/>
    <col min="14339" max="14339" width="23.59765625" style="24" customWidth="1"/>
    <col min="14340" max="14340" width="18.19921875" style="24" customWidth="1"/>
    <col min="14341" max="14341" width="5.19921875" style="24" bestFit="1" customWidth="1"/>
    <col min="14342" max="14342" width="9" style="24"/>
    <col min="14343" max="14343" width="11.8984375" style="24" customWidth="1"/>
    <col min="14344" max="14344" width="13.59765625" style="24" customWidth="1"/>
    <col min="14345" max="14345" width="12.69921875" style="24" customWidth="1"/>
    <col min="14346" max="14592" width="9" style="24"/>
    <col min="14593" max="14593" width="5" style="24" customWidth="1"/>
    <col min="14594" max="14594" width="17.8984375" style="24" bestFit="1" customWidth="1"/>
    <col min="14595" max="14595" width="23.59765625" style="24" customWidth="1"/>
    <col min="14596" max="14596" width="18.19921875" style="24" customWidth="1"/>
    <col min="14597" max="14597" width="5.19921875" style="24" bestFit="1" customWidth="1"/>
    <col min="14598" max="14598" width="9" style="24"/>
    <col min="14599" max="14599" width="11.8984375" style="24" customWidth="1"/>
    <col min="14600" max="14600" width="13.59765625" style="24" customWidth="1"/>
    <col min="14601" max="14601" width="12.69921875" style="24" customWidth="1"/>
    <col min="14602" max="14848" width="9" style="24"/>
    <col min="14849" max="14849" width="5" style="24" customWidth="1"/>
    <col min="14850" max="14850" width="17.8984375" style="24" bestFit="1" customWidth="1"/>
    <col min="14851" max="14851" width="23.59765625" style="24" customWidth="1"/>
    <col min="14852" max="14852" width="18.19921875" style="24" customWidth="1"/>
    <col min="14853" max="14853" width="5.19921875" style="24" bestFit="1" customWidth="1"/>
    <col min="14854" max="14854" width="9" style="24"/>
    <col min="14855" max="14855" width="11.8984375" style="24" customWidth="1"/>
    <col min="14856" max="14856" width="13.59765625" style="24" customWidth="1"/>
    <col min="14857" max="14857" width="12.69921875" style="24" customWidth="1"/>
    <col min="14858" max="15104" width="9" style="24"/>
    <col min="15105" max="15105" width="5" style="24" customWidth="1"/>
    <col min="15106" max="15106" width="17.8984375" style="24" bestFit="1" customWidth="1"/>
    <col min="15107" max="15107" width="23.59765625" style="24" customWidth="1"/>
    <col min="15108" max="15108" width="18.19921875" style="24" customWidth="1"/>
    <col min="15109" max="15109" width="5.19921875" style="24" bestFit="1" customWidth="1"/>
    <col min="15110" max="15110" width="9" style="24"/>
    <col min="15111" max="15111" width="11.8984375" style="24" customWidth="1"/>
    <col min="15112" max="15112" width="13.59765625" style="24" customWidth="1"/>
    <col min="15113" max="15113" width="12.69921875" style="24" customWidth="1"/>
    <col min="15114" max="15360" width="9" style="24"/>
    <col min="15361" max="15361" width="5" style="24" customWidth="1"/>
    <col min="15362" max="15362" width="17.8984375" style="24" bestFit="1" customWidth="1"/>
    <col min="15363" max="15363" width="23.59765625" style="24" customWidth="1"/>
    <col min="15364" max="15364" width="18.19921875" style="24" customWidth="1"/>
    <col min="15365" max="15365" width="5.19921875" style="24" bestFit="1" customWidth="1"/>
    <col min="15366" max="15366" width="9" style="24"/>
    <col min="15367" max="15367" width="11.8984375" style="24" customWidth="1"/>
    <col min="15368" max="15368" width="13.59765625" style="24" customWidth="1"/>
    <col min="15369" max="15369" width="12.69921875" style="24" customWidth="1"/>
    <col min="15370" max="15616" width="9" style="24"/>
    <col min="15617" max="15617" width="5" style="24" customWidth="1"/>
    <col min="15618" max="15618" width="17.8984375" style="24" bestFit="1" customWidth="1"/>
    <col min="15619" max="15619" width="23.59765625" style="24" customWidth="1"/>
    <col min="15620" max="15620" width="18.19921875" style="24" customWidth="1"/>
    <col min="15621" max="15621" width="5.19921875" style="24" bestFit="1" customWidth="1"/>
    <col min="15622" max="15622" width="9" style="24"/>
    <col min="15623" max="15623" width="11.8984375" style="24" customWidth="1"/>
    <col min="15624" max="15624" width="13.59765625" style="24" customWidth="1"/>
    <col min="15625" max="15625" width="12.69921875" style="24" customWidth="1"/>
    <col min="15626" max="15872" width="9" style="24"/>
    <col min="15873" max="15873" width="5" style="24" customWidth="1"/>
    <col min="15874" max="15874" width="17.8984375" style="24" bestFit="1" customWidth="1"/>
    <col min="15875" max="15875" width="23.59765625" style="24" customWidth="1"/>
    <col min="15876" max="15876" width="18.19921875" style="24" customWidth="1"/>
    <col min="15877" max="15877" width="5.19921875" style="24" bestFit="1" customWidth="1"/>
    <col min="15878" max="15878" width="9" style="24"/>
    <col min="15879" max="15879" width="11.8984375" style="24" customWidth="1"/>
    <col min="15880" max="15880" width="13.59765625" style="24" customWidth="1"/>
    <col min="15881" max="15881" width="12.69921875" style="24" customWidth="1"/>
    <col min="15882" max="16128" width="9" style="24"/>
    <col min="16129" max="16129" width="5" style="24" customWidth="1"/>
    <col min="16130" max="16130" width="17.8984375" style="24" bestFit="1" customWidth="1"/>
    <col min="16131" max="16131" width="23.59765625" style="24" customWidth="1"/>
    <col min="16132" max="16132" width="18.19921875" style="24" customWidth="1"/>
    <col min="16133" max="16133" width="5.19921875" style="24" bestFit="1" customWidth="1"/>
    <col min="16134" max="16134" width="9" style="24"/>
    <col min="16135" max="16135" width="11.8984375" style="24" customWidth="1"/>
    <col min="16136" max="16136" width="13.59765625" style="24" customWidth="1"/>
    <col min="16137" max="16137" width="12.69921875" style="24" customWidth="1"/>
    <col min="16138" max="16384" width="9" style="24"/>
  </cols>
  <sheetData>
    <row r="1" spans="1:9" ht="22.5" customHeight="1">
      <c r="B1" s="201" t="s">
        <v>145</v>
      </c>
      <c r="C1" s="266" t="s">
        <v>336</v>
      </c>
      <c r="F1" s="290"/>
      <c r="I1" s="24" t="s">
        <v>118</v>
      </c>
    </row>
    <row r="2" spans="1:9" s="26" customFormat="1" ht="16.5" customHeight="1">
      <c r="A2" s="337" t="s">
        <v>119</v>
      </c>
      <c r="B2" s="339"/>
      <c r="C2" s="275" t="s">
        <v>120</v>
      </c>
      <c r="D2" s="125" t="s">
        <v>121</v>
      </c>
      <c r="E2" s="125" t="s">
        <v>38</v>
      </c>
      <c r="F2" s="249" t="s">
        <v>39</v>
      </c>
      <c r="G2" s="249" t="s">
        <v>122</v>
      </c>
      <c r="H2" s="249" t="s">
        <v>123</v>
      </c>
      <c r="I2" s="125" t="s">
        <v>124</v>
      </c>
    </row>
    <row r="3" spans="1:9" ht="15.9" customHeight="1">
      <c r="A3" s="429" t="s">
        <v>125</v>
      </c>
      <c r="B3" s="206" t="s">
        <v>126</v>
      </c>
      <c r="C3" s="227" t="s">
        <v>337</v>
      </c>
      <c r="D3" s="465" t="s">
        <v>146</v>
      </c>
      <c r="E3" s="228" t="s">
        <v>146</v>
      </c>
      <c r="F3" s="229"/>
      <c r="G3" s="230"/>
      <c r="H3" s="231"/>
      <c r="I3" s="232"/>
    </row>
    <row r="4" spans="1:9" ht="15.9" customHeight="1">
      <c r="A4" s="433"/>
      <c r="B4" s="206"/>
      <c r="C4" s="213" t="s">
        <v>338</v>
      </c>
      <c r="D4" s="268" t="s">
        <v>339</v>
      </c>
      <c r="E4" s="272" t="s">
        <v>207</v>
      </c>
      <c r="F4" s="215">
        <v>1</v>
      </c>
      <c r="G4" s="216">
        <v>70000000</v>
      </c>
      <c r="H4" s="165">
        <f t="shared" ref="H4:H19" si="0">F4*G4</f>
        <v>70000000</v>
      </c>
      <c r="I4" s="39" t="s">
        <v>275</v>
      </c>
    </row>
    <row r="5" spans="1:9" ht="15.9" customHeight="1">
      <c r="A5" s="433"/>
      <c r="B5" s="206"/>
      <c r="C5" s="271" t="s">
        <v>340</v>
      </c>
      <c r="D5" s="268" t="s">
        <v>341</v>
      </c>
      <c r="E5" s="272" t="s">
        <v>199</v>
      </c>
      <c r="F5" s="215">
        <v>4</v>
      </c>
      <c r="G5" s="216">
        <v>9000000</v>
      </c>
      <c r="H5" s="165">
        <f t="shared" si="0"/>
        <v>36000000</v>
      </c>
      <c r="I5" s="39" t="s">
        <v>277</v>
      </c>
    </row>
    <row r="6" spans="1:9" ht="15.9" customHeight="1">
      <c r="A6" s="433"/>
      <c r="B6" s="206"/>
      <c r="C6" s="271" t="s">
        <v>146</v>
      </c>
      <c r="D6" s="268" t="s">
        <v>342</v>
      </c>
      <c r="E6" s="272" t="s">
        <v>146</v>
      </c>
      <c r="F6" s="215"/>
      <c r="G6" s="216"/>
      <c r="H6" s="165">
        <f t="shared" si="0"/>
        <v>0</v>
      </c>
      <c r="I6" s="39" t="s">
        <v>146</v>
      </c>
    </row>
    <row r="7" spans="1:9" ht="15.9" customHeight="1">
      <c r="A7" s="433"/>
      <c r="B7" s="206"/>
      <c r="C7" s="472" t="s">
        <v>343</v>
      </c>
      <c r="D7" s="268" t="s">
        <v>344</v>
      </c>
      <c r="E7" s="214" t="s">
        <v>199</v>
      </c>
      <c r="F7" s="215">
        <v>4</v>
      </c>
      <c r="G7" s="216">
        <v>3750000</v>
      </c>
      <c r="H7" s="165">
        <f t="shared" si="0"/>
        <v>15000000</v>
      </c>
      <c r="I7" s="39" t="s">
        <v>345</v>
      </c>
    </row>
    <row r="8" spans="1:9" ht="15.9" customHeight="1">
      <c r="A8" s="433"/>
      <c r="B8" s="206"/>
      <c r="C8" s="271" t="s">
        <v>346</v>
      </c>
      <c r="D8" s="268"/>
      <c r="E8" s="272" t="s">
        <v>207</v>
      </c>
      <c r="F8" s="273">
        <v>1</v>
      </c>
      <c r="G8" s="274">
        <v>2000000</v>
      </c>
      <c r="H8" s="165">
        <f t="shared" si="0"/>
        <v>2000000</v>
      </c>
      <c r="I8" s="39" t="s">
        <v>347</v>
      </c>
    </row>
    <row r="9" spans="1:9" ht="15.9" customHeight="1">
      <c r="A9" s="433"/>
      <c r="B9" s="206"/>
      <c r="C9" s="213" t="s">
        <v>348</v>
      </c>
      <c r="D9" s="268"/>
      <c r="E9" s="214" t="s">
        <v>207</v>
      </c>
      <c r="F9" s="215">
        <v>1</v>
      </c>
      <c r="G9" s="216">
        <v>8000000</v>
      </c>
      <c r="H9" s="165">
        <f t="shared" si="0"/>
        <v>8000000</v>
      </c>
      <c r="I9" s="39" t="s">
        <v>277</v>
      </c>
    </row>
    <row r="10" spans="1:9" ht="15.9" customHeight="1">
      <c r="A10" s="433"/>
      <c r="B10" s="206"/>
      <c r="C10" s="271"/>
      <c r="D10" s="271"/>
      <c r="E10" s="272"/>
      <c r="F10" s="284"/>
      <c r="G10" s="274"/>
      <c r="H10" s="165">
        <f t="shared" si="0"/>
        <v>0</v>
      </c>
      <c r="I10" s="39"/>
    </row>
    <row r="11" spans="1:9" ht="15.9" customHeight="1">
      <c r="A11" s="433"/>
      <c r="B11" s="206"/>
      <c r="C11" s="271"/>
      <c r="D11" s="271"/>
      <c r="E11" s="272"/>
      <c r="F11" s="284"/>
      <c r="G11" s="274"/>
      <c r="H11" s="165">
        <f t="shared" si="0"/>
        <v>0</v>
      </c>
      <c r="I11" s="39"/>
    </row>
    <row r="12" spans="1:9" ht="15.9" customHeight="1">
      <c r="A12" s="433"/>
      <c r="B12" s="206"/>
      <c r="C12" s="271"/>
      <c r="D12" s="271"/>
      <c r="E12" s="272"/>
      <c r="F12" s="284"/>
      <c r="G12" s="274"/>
      <c r="H12" s="165">
        <f t="shared" si="0"/>
        <v>0</v>
      </c>
      <c r="I12" s="39"/>
    </row>
    <row r="13" spans="1:9" ht="15.9" customHeight="1">
      <c r="A13" s="433"/>
      <c r="B13" s="206"/>
      <c r="C13" s="271"/>
      <c r="D13" s="271"/>
      <c r="E13" s="272"/>
      <c r="F13" s="284"/>
      <c r="G13" s="274"/>
      <c r="H13" s="165">
        <f t="shared" si="0"/>
        <v>0</v>
      </c>
      <c r="I13" s="39"/>
    </row>
    <row r="14" spans="1:9" ht="15.9" customHeight="1">
      <c r="A14" s="433"/>
      <c r="B14" s="206"/>
      <c r="C14" s="271"/>
      <c r="D14" s="271"/>
      <c r="E14" s="272"/>
      <c r="F14" s="284"/>
      <c r="G14" s="274"/>
      <c r="H14" s="165">
        <f t="shared" si="0"/>
        <v>0</v>
      </c>
      <c r="I14" s="39"/>
    </row>
    <row r="15" spans="1:9" ht="15.9" customHeight="1">
      <c r="A15" s="433"/>
      <c r="B15" s="206"/>
      <c r="C15" s="271"/>
      <c r="D15" s="271"/>
      <c r="E15" s="272"/>
      <c r="F15" s="284"/>
      <c r="G15" s="274"/>
      <c r="H15" s="165">
        <f t="shared" si="0"/>
        <v>0</v>
      </c>
      <c r="I15" s="39"/>
    </row>
    <row r="16" spans="1:9" ht="15.9" customHeight="1">
      <c r="A16" s="433"/>
      <c r="B16" s="206"/>
      <c r="C16" s="271"/>
      <c r="D16" s="271"/>
      <c r="E16" s="272"/>
      <c r="F16" s="284"/>
      <c r="G16" s="274"/>
      <c r="H16" s="165">
        <f t="shared" si="0"/>
        <v>0</v>
      </c>
      <c r="I16" s="39"/>
    </row>
    <row r="17" spans="1:9" ht="15.9" customHeight="1">
      <c r="A17" s="433"/>
      <c r="B17" s="206"/>
      <c r="C17" s="271"/>
      <c r="D17" s="271"/>
      <c r="E17" s="272"/>
      <c r="F17" s="284"/>
      <c r="G17" s="274"/>
      <c r="H17" s="165">
        <f t="shared" si="0"/>
        <v>0</v>
      </c>
      <c r="I17" s="39"/>
    </row>
    <row r="18" spans="1:9" ht="15.9" customHeight="1">
      <c r="A18" s="433"/>
      <c r="B18" s="206"/>
      <c r="C18" s="213"/>
      <c r="D18" s="213"/>
      <c r="E18" s="213"/>
      <c r="F18" s="216"/>
      <c r="G18" s="216"/>
      <c r="H18" s="165">
        <f t="shared" si="0"/>
        <v>0</v>
      </c>
      <c r="I18" s="39"/>
    </row>
    <row r="19" spans="1:9" ht="15.9" customHeight="1">
      <c r="A19" s="433"/>
      <c r="B19" s="206"/>
      <c r="C19" s="213"/>
      <c r="D19" s="213"/>
      <c r="E19" s="213"/>
      <c r="F19" s="216"/>
      <c r="G19" s="216"/>
      <c r="H19" s="165">
        <f t="shared" si="0"/>
        <v>0</v>
      </c>
      <c r="I19" s="39"/>
    </row>
    <row r="20" spans="1:9" ht="15.9" customHeight="1">
      <c r="A20" s="433"/>
      <c r="B20" s="206"/>
      <c r="C20" s="213"/>
      <c r="D20" s="213"/>
      <c r="E20" s="213"/>
      <c r="F20" s="216"/>
      <c r="G20" s="216"/>
      <c r="H20" s="165">
        <f t="shared" ref="H20:H80" si="1">IF(F20=0,G20,G20*F20)</f>
        <v>0</v>
      </c>
      <c r="I20" s="39"/>
    </row>
    <row r="21" spans="1:9" ht="15.9" customHeight="1">
      <c r="A21" s="433"/>
      <c r="B21" s="206"/>
      <c r="C21" s="213"/>
      <c r="D21" s="213"/>
      <c r="E21" s="213"/>
      <c r="F21" s="216"/>
      <c r="G21" s="216"/>
      <c r="H21" s="165">
        <f t="shared" si="1"/>
        <v>0</v>
      </c>
      <c r="I21" s="39"/>
    </row>
    <row r="22" spans="1:9" ht="15.9" customHeight="1">
      <c r="A22" s="433"/>
      <c r="B22" s="206"/>
      <c r="C22" s="217"/>
      <c r="D22" s="218"/>
      <c r="E22" s="218"/>
      <c r="F22" s="219"/>
      <c r="G22" s="220"/>
      <c r="H22" s="175">
        <f t="shared" si="1"/>
        <v>0</v>
      </c>
      <c r="I22" s="42"/>
    </row>
    <row r="23" spans="1:9" ht="15.9" customHeight="1">
      <c r="A23" s="433"/>
      <c r="B23" s="221"/>
      <c r="C23" s="240"/>
      <c r="D23" s="240"/>
      <c r="E23" s="240"/>
      <c r="F23" s="243"/>
      <c r="G23" s="243"/>
      <c r="H23" s="244">
        <f>SUM(H3:H22)</f>
        <v>131000000</v>
      </c>
      <c r="I23" s="240"/>
    </row>
    <row r="24" spans="1:9" ht="15.9" customHeight="1">
      <c r="A24" s="433"/>
      <c r="B24" s="206" t="s">
        <v>147</v>
      </c>
      <c r="C24" s="227"/>
      <c r="D24" s="227"/>
      <c r="E24" s="228"/>
      <c r="F24" s="229"/>
      <c r="G24" s="230"/>
      <c r="H24" s="231">
        <f t="shared" si="1"/>
        <v>0</v>
      </c>
      <c r="I24" s="232"/>
    </row>
    <row r="25" spans="1:9" ht="15.9" customHeight="1">
      <c r="A25" s="433"/>
      <c r="B25" s="206" t="s">
        <v>148</v>
      </c>
      <c r="C25" s="213"/>
      <c r="D25" s="213"/>
      <c r="E25" s="213"/>
      <c r="F25" s="216"/>
      <c r="G25" s="216"/>
      <c r="H25" s="165">
        <f t="shared" si="1"/>
        <v>0</v>
      </c>
      <c r="I25" s="39"/>
    </row>
    <row r="26" spans="1:9" ht="15.9" customHeight="1">
      <c r="A26" s="433"/>
      <c r="B26" s="206"/>
      <c r="C26" s="213"/>
      <c r="D26" s="213"/>
      <c r="E26" s="213"/>
      <c r="F26" s="216"/>
      <c r="G26" s="216"/>
      <c r="H26" s="165">
        <f t="shared" si="1"/>
        <v>0</v>
      </c>
      <c r="I26" s="39"/>
    </row>
    <row r="27" spans="1:9" ht="15.9" customHeight="1">
      <c r="A27" s="433"/>
      <c r="B27" s="206"/>
      <c r="C27" s="213"/>
      <c r="D27" s="213"/>
      <c r="E27" s="213"/>
      <c r="F27" s="216"/>
      <c r="G27" s="216"/>
      <c r="H27" s="165">
        <f t="shared" si="1"/>
        <v>0</v>
      </c>
      <c r="I27" s="39"/>
    </row>
    <row r="28" spans="1:9" ht="15.9" customHeight="1">
      <c r="A28" s="433"/>
      <c r="B28" s="206"/>
      <c r="C28" s="213"/>
      <c r="D28" s="213"/>
      <c r="E28" s="213"/>
      <c r="F28" s="216"/>
      <c r="G28" s="216"/>
      <c r="H28" s="165">
        <f t="shared" si="1"/>
        <v>0</v>
      </c>
      <c r="I28" s="39"/>
    </row>
    <row r="29" spans="1:9" ht="15.9" customHeight="1">
      <c r="A29" s="433"/>
      <c r="B29" s="206"/>
      <c r="C29" s="213"/>
      <c r="D29" s="213"/>
      <c r="E29" s="213"/>
      <c r="F29" s="216"/>
      <c r="G29" s="216"/>
      <c r="H29" s="165">
        <f t="shared" si="1"/>
        <v>0</v>
      </c>
      <c r="I29" s="39"/>
    </row>
    <row r="30" spans="1:9" ht="15.9" customHeight="1">
      <c r="A30" s="433"/>
      <c r="B30" s="206"/>
      <c r="C30" s="213"/>
      <c r="D30" s="213"/>
      <c r="E30" s="213"/>
      <c r="F30" s="216"/>
      <c r="G30" s="216"/>
      <c r="H30" s="165">
        <f t="shared" si="1"/>
        <v>0</v>
      </c>
      <c r="I30" s="39"/>
    </row>
    <row r="31" spans="1:9" ht="15.9" customHeight="1">
      <c r="A31" s="433"/>
      <c r="B31" s="206"/>
      <c r="C31" s="213"/>
      <c r="D31" s="213"/>
      <c r="E31" s="213"/>
      <c r="F31" s="216"/>
      <c r="G31" s="216"/>
      <c r="H31" s="165">
        <f t="shared" si="1"/>
        <v>0</v>
      </c>
      <c r="I31" s="39"/>
    </row>
    <row r="32" spans="1:9" ht="15.9" customHeight="1">
      <c r="A32" s="433"/>
      <c r="B32" s="206"/>
      <c r="C32" s="213"/>
      <c r="D32" s="213"/>
      <c r="E32" s="213"/>
      <c r="F32" s="216"/>
      <c r="G32" s="216"/>
      <c r="H32" s="165">
        <f t="shared" si="1"/>
        <v>0</v>
      </c>
      <c r="I32" s="39"/>
    </row>
    <row r="33" spans="1:9" ht="15.9" customHeight="1">
      <c r="A33" s="433"/>
      <c r="B33" s="206"/>
      <c r="C33" s="217"/>
      <c r="D33" s="217"/>
      <c r="E33" s="217"/>
      <c r="F33" s="220"/>
      <c r="G33" s="220"/>
      <c r="H33" s="175">
        <f t="shared" si="1"/>
        <v>0</v>
      </c>
      <c r="I33" s="42"/>
    </row>
    <row r="34" spans="1:9" ht="15.9" customHeight="1">
      <c r="A34" s="433"/>
      <c r="B34" s="221"/>
      <c r="C34" s="222"/>
      <c r="D34" s="223"/>
      <c r="E34" s="223"/>
      <c r="F34" s="291"/>
      <c r="G34" s="225"/>
      <c r="H34" s="49">
        <f>SUM(H24:H33)</f>
        <v>0</v>
      </c>
      <c r="I34" s="46"/>
    </row>
    <row r="35" spans="1:9" ht="15.9" customHeight="1">
      <c r="A35" s="433"/>
      <c r="B35" s="245" t="s">
        <v>149</v>
      </c>
      <c r="C35" s="271" t="s">
        <v>349</v>
      </c>
      <c r="D35" s="268" t="s">
        <v>146</v>
      </c>
      <c r="E35" s="272" t="s">
        <v>146</v>
      </c>
      <c r="F35" s="215"/>
      <c r="G35" s="216"/>
      <c r="H35" s="165"/>
      <c r="I35" s="473" t="s">
        <v>146</v>
      </c>
    </row>
    <row r="36" spans="1:9" ht="15.9" customHeight="1">
      <c r="A36" s="433"/>
      <c r="B36" s="206" t="s">
        <v>150</v>
      </c>
      <c r="C36" s="271" t="s">
        <v>350</v>
      </c>
      <c r="D36" s="268" t="s">
        <v>351</v>
      </c>
      <c r="E36" s="272" t="s">
        <v>151</v>
      </c>
      <c r="F36" s="277">
        <v>1</v>
      </c>
      <c r="G36" s="274">
        <v>95000000</v>
      </c>
      <c r="H36" s="474">
        <f t="shared" ref="H36:H43" si="2">IF(F36=0,G36,G36*F36)</f>
        <v>95000000</v>
      </c>
      <c r="I36" s="475" t="s">
        <v>352</v>
      </c>
    </row>
    <row r="37" spans="1:9" ht="15.9" customHeight="1">
      <c r="A37" s="433"/>
      <c r="B37" s="206"/>
      <c r="C37" s="271" t="s">
        <v>353</v>
      </c>
      <c r="D37" s="268" t="s">
        <v>354</v>
      </c>
      <c r="E37" s="272" t="s">
        <v>151</v>
      </c>
      <c r="F37" s="273">
        <v>1</v>
      </c>
      <c r="G37" s="216">
        <v>15000000</v>
      </c>
      <c r="H37" s="165">
        <f t="shared" si="2"/>
        <v>15000000</v>
      </c>
      <c r="I37" s="469" t="s">
        <v>352</v>
      </c>
    </row>
    <row r="38" spans="1:9" ht="15.9" customHeight="1">
      <c r="A38" s="433"/>
      <c r="B38" s="206"/>
      <c r="C38" s="271" t="s">
        <v>355</v>
      </c>
      <c r="D38" s="268" t="s">
        <v>356</v>
      </c>
      <c r="E38" s="272" t="s">
        <v>151</v>
      </c>
      <c r="F38" s="277">
        <v>1</v>
      </c>
      <c r="G38" s="274">
        <v>12000000</v>
      </c>
      <c r="H38" s="165">
        <f t="shared" si="2"/>
        <v>12000000</v>
      </c>
      <c r="I38" s="469" t="s">
        <v>357</v>
      </c>
    </row>
    <row r="39" spans="1:9" ht="15.9" customHeight="1">
      <c r="A39" s="433"/>
      <c r="B39" s="206"/>
      <c r="C39" s="271" t="s">
        <v>358</v>
      </c>
      <c r="D39" s="268" t="s">
        <v>359</v>
      </c>
      <c r="E39" s="272" t="s">
        <v>151</v>
      </c>
      <c r="F39" s="273">
        <v>1</v>
      </c>
      <c r="G39" s="216">
        <v>30000000</v>
      </c>
      <c r="H39" s="165">
        <f t="shared" si="2"/>
        <v>30000000</v>
      </c>
      <c r="I39" s="469" t="s">
        <v>360</v>
      </c>
    </row>
    <row r="40" spans="1:9" ht="15.9" customHeight="1">
      <c r="A40" s="433"/>
      <c r="B40" s="206"/>
      <c r="C40" s="271" t="s">
        <v>361</v>
      </c>
      <c r="D40" s="268"/>
      <c r="E40" s="272" t="s">
        <v>146</v>
      </c>
      <c r="F40" s="273"/>
      <c r="G40" s="216"/>
      <c r="H40" s="165">
        <f t="shared" si="2"/>
        <v>0</v>
      </c>
      <c r="I40" s="469" t="s">
        <v>362</v>
      </c>
    </row>
    <row r="41" spans="1:9" ht="15.9" customHeight="1">
      <c r="A41" s="433"/>
      <c r="B41" s="206"/>
      <c r="C41" s="271" t="s">
        <v>363</v>
      </c>
      <c r="D41" s="268" t="s">
        <v>364</v>
      </c>
      <c r="E41" s="272" t="s">
        <v>151</v>
      </c>
      <c r="F41" s="273">
        <v>1</v>
      </c>
      <c r="G41" s="283">
        <v>1500000</v>
      </c>
      <c r="H41" s="165">
        <f t="shared" si="2"/>
        <v>1500000</v>
      </c>
      <c r="I41" s="469" t="s">
        <v>365</v>
      </c>
    </row>
    <row r="42" spans="1:9" ht="15.9" customHeight="1">
      <c r="A42" s="433"/>
      <c r="B42" s="206"/>
      <c r="C42" s="213" t="s">
        <v>366</v>
      </c>
      <c r="D42" s="268" t="s">
        <v>367</v>
      </c>
      <c r="E42" s="272" t="s">
        <v>151</v>
      </c>
      <c r="F42" s="273">
        <v>4</v>
      </c>
      <c r="G42" s="216">
        <v>2000000</v>
      </c>
      <c r="H42" s="165">
        <f t="shared" si="2"/>
        <v>8000000</v>
      </c>
      <c r="I42" s="469" t="s">
        <v>297</v>
      </c>
    </row>
    <row r="43" spans="1:9" ht="15.9" customHeight="1">
      <c r="A43" s="433"/>
      <c r="B43" s="206"/>
      <c r="C43" s="213" t="s">
        <v>368</v>
      </c>
      <c r="D43" s="268"/>
      <c r="E43" s="272" t="s">
        <v>151</v>
      </c>
      <c r="F43" s="273">
        <v>6</v>
      </c>
      <c r="G43" s="216">
        <v>1000000</v>
      </c>
      <c r="H43" s="165">
        <f t="shared" si="2"/>
        <v>6000000</v>
      </c>
      <c r="I43" s="469" t="s">
        <v>369</v>
      </c>
    </row>
    <row r="44" spans="1:9" ht="15.9" customHeight="1">
      <c r="A44" s="433"/>
      <c r="B44" s="206"/>
      <c r="C44" s="271" t="s">
        <v>370</v>
      </c>
      <c r="D44" s="271" t="s">
        <v>146</v>
      </c>
      <c r="E44" s="272" t="s">
        <v>146</v>
      </c>
      <c r="F44" s="277"/>
      <c r="G44" s="274"/>
      <c r="H44" s="165"/>
      <c r="I44" s="39" t="s">
        <v>146</v>
      </c>
    </row>
    <row r="45" spans="1:9" ht="15.9" customHeight="1">
      <c r="A45" s="433"/>
      <c r="B45" s="206"/>
      <c r="C45" s="271" t="s">
        <v>371</v>
      </c>
      <c r="D45" s="271" t="s">
        <v>372</v>
      </c>
      <c r="E45" s="272" t="s">
        <v>199</v>
      </c>
      <c r="F45" s="272">
        <v>2</v>
      </c>
      <c r="G45" s="447">
        <v>4500000</v>
      </c>
      <c r="H45" s="165">
        <f>IF(F45=0,G45,G45*F45)</f>
        <v>9000000</v>
      </c>
      <c r="I45" s="39" t="s">
        <v>302</v>
      </c>
    </row>
    <row r="46" spans="1:9" ht="15.9" customHeight="1">
      <c r="A46" s="433"/>
      <c r="B46" s="206"/>
      <c r="C46" s="268" t="s">
        <v>373</v>
      </c>
      <c r="D46" s="268" t="s">
        <v>374</v>
      </c>
      <c r="E46" s="272" t="s">
        <v>151</v>
      </c>
      <c r="F46" s="277">
        <v>2</v>
      </c>
      <c r="G46" s="283">
        <v>1000000</v>
      </c>
      <c r="H46" s="165">
        <f>IF(F46=0,G46,G46*F46)</f>
        <v>2000000</v>
      </c>
      <c r="I46" s="39" t="s">
        <v>208</v>
      </c>
    </row>
    <row r="47" spans="1:9" ht="15.9" customHeight="1">
      <c r="A47" s="433"/>
      <c r="B47" s="206"/>
      <c r="C47" s="213" t="s">
        <v>330</v>
      </c>
      <c r="D47" s="213" t="s">
        <v>331</v>
      </c>
      <c r="E47" s="214" t="s">
        <v>332</v>
      </c>
      <c r="F47" s="215">
        <v>1</v>
      </c>
      <c r="G47" s="216">
        <v>5000000</v>
      </c>
      <c r="H47" s="165">
        <f t="shared" ref="H47:H56" si="3">IF(F47=0,G47,G47*F47)</f>
        <v>5000000</v>
      </c>
      <c r="I47" s="39"/>
    </row>
    <row r="48" spans="1:9" ht="15.9" customHeight="1">
      <c r="A48" s="433"/>
      <c r="B48" s="206"/>
      <c r="C48" s="213" t="s">
        <v>375</v>
      </c>
      <c r="D48" s="213"/>
      <c r="E48" s="214" t="s">
        <v>151</v>
      </c>
      <c r="F48" s="216">
        <v>1</v>
      </c>
      <c r="G48" s="216">
        <v>3000000</v>
      </c>
      <c r="H48" s="165">
        <f t="shared" si="3"/>
        <v>3000000</v>
      </c>
      <c r="I48" s="39" t="s">
        <v>376</v>
      </c>
    </row>
    <row r="49" spans="1:9" ht="15.9" customHeight="1">
      <c r="A49" s="433"/>
      <c r="B49" s="206"/>
      <c r="C49" s="213" t="s">
        <v>311</v>
      </c>
      <c r="D49" s="213"/>
      <c r="E49" s="214" t="s">
        <v>151</v>
      </c>
      <c r="F49" s="216">
        <v>1</v>
      </c>
      <c r="G49" s="216">
        <v>150000</v>
      </c>
      <c r="H49" s="165">
        <f t="shared" si="3"/>
        <v>150000</v>
      </c>
      <c r="I49" s="39" t="s">
        <v>377</v>
      </c>
    </row>
    <row r="50" spans="1:9" ht="15.9" customHeight="1">
      <c r="A50" s="433"/>
      <c r="B50" s="206"/>
      <c r="C50" s="213" t="s">
        <v>313</v>
      </c>
      <c r="D50" s="213"/>
      <c r="E50" s="214" t="s">
        <v>199</v>
      </c>
      <c r="F50" s="216">
        <v>1</v>
      </c>
      <c r="G50" s="216">
        <v>400000</v>
      </c>
      <c r="H50" s="165">
        <f t="shared" si="3"/>
        <v>400000</v>
      </c>
      <c r="I50" s="39" t="s">
        <v>314</v>
      </c>
    </row>
    <row r="51" spans="1:9" ht="15.9" customHeight="1">
      <c r="A51" s="433"/>
      <c r="B51" s="206"/>
      <c r="C51" s="213" t="s">
        <v>315</v>
      </c>
      <c r="D51" s="213"/>
      <c r="E51" s="214" t="s">
        <v>151</v>
      </c>
      <c r="F51" s="216">
        <v>1</v>
      </c>
      <c r="G51" s="216">
        <v>400000</v>
      </c>
      <c r="H51" s="165">
        <f t="shared" si="3"/>
        <v>400000</v>
      </c>
      <c r="I51" s="39" t="s">
        <v>316</v>
      </c>
    </row>
    <row r="52" spans="1:9" ht="15.9" customHeight="1">
      <c r="A52" s="433"/>
      <c r="B52" s="206"/>
      <c r="C52" s="213" t="s">
        <v>317</v>
      </c>
      <c r="D52" s="213"/>
      <c r="E52" s="214" t="s">
        <v>151</v>
      </c>
      <c r="F52" s="216">
        <v>2</v>
      </c>
      <c r="G52" s="216">
        <v>300000</v>
      </c>
      <c r="H52" s="165">
        <f t="shared" si="3"/>
        <v>600000</v>
      </c>
      <c r="I52" s="39" t="s">
        <v>316</v>
      </c>
    </row>
    <row r="53" spans="1:9" ht="15.9" customHeight="1">
      <c r="A53" s="433"/>
      <c r="B53" s="206"/>
      <c r="C53" s="213" t="s">
        <v>318</v>
      </c>
      <c r="D53" s="213"/>
      <c r="E53" s="214" t="s">
        <v>151</v>
      </c>
      <c r="F53" s="216">
        <v>1</v>
      </c>
      <c r="G53" s="216">
        <v>380000</v>
      </c>
      <c r="H53" s="165">
        <f t="shared" si="3"/>
        <v>380000</v>
      </c>
      <c r="I53" s="39" t="s">
        <v>316</v>
      </c>
    </row>
    <row r="54" spans="1:9" ht="15.9" customHeight="1">
      <c r="A54" s="433"/>
      <c r="B54" s="206"/>
      <c r="C54" s="213" t="s">
        <v>319</v>
      </c>
      <c r="D54" s="297"/>
      <c r="E54" s="214" t="s">
        <v>151</v>
      </c>
      <c r="F54" s="216">
        <v>1</v>
      </c>
      <c r="G54" s="216">
        <v>550000</v>
      </c>
      <c r="H54" s="165">
        <f t="shared" si="3"/>
        <v>550000</v>
      </c>
      <c r="I54" s="39" t="s">
        <v>320</v>
      </c>
    </row>
    <row r="55" spans="1:9" ht="15.9" customHeight="1">
      <c r="A55" s="433"/>
      <c r="B55" s="206"/>
      <c r="C55" s="213" t="s">
        <v>378</v>
      </c>
      <c r="D55" s="271"/>
      <c r="E55" s="214" t="s">
        <v>151</v>
      </c>
      <c r="F55" s="216">
        <v>1</v>
      </c>
      <c r="G55" s="216">
        <v>150000</v>
      </c>
      <c r="H55" s="165">
        <f t="shared" si="3"/>
        <v>150000</v>
      </c>
      <c r="I55" s="39" t="s">
        <v>322</v>
      </c>
    </row>
    <row r="56" spans="1:9" ht="15.9" customHeight="1">
      <c r="A56" s="433"/>
      <c r="B56" s="206"/>
      <c r="C56" s="213" t="s">
        <v>379</v>
      </c>
      <c r="D56" s="213"/>
      <c r="E56" s="214" t="s">
        <v>151</v>
      </c>
      <c r="F56" s="216">
        <v>1</v>
      </c>
      <c r="G56" s="216">
        <v>800000</v>
      </c>
      <c r="H56" s="165">
        <f t="shared" si="3"/>
        <v>800000</v>
      </c>
      <c r="I56" s="39" t="s">
        <v>380</v>
      </c>
    </row>
    <row r="57" spans="1:9" ht="15.9" customHeight="1">
      <c r="A57" s="433"/>
      <c r="B57" s="206"/>
      <c r="C57" s="213"/>
      <c r="D57" s="213"/>
      <c r="E57" s="213"/>
      <c r="F57" s="216"/>
      <c r="G57" s="216"/>
      <c r="H57" s="165">
        <f t="shared" si="1"/>
        <v>0</v>
      </c>
      <c r="I57" s="39"/>
    </row>
    <row r="58" spans="1:9" ht="15.9" customHeight="1">
      <c r="A58" s="433"/>
      <c r="B58" s="206"/>
      <c r="C58" s="271"/>
      <c r="D58" s="271"/>
      <c r="E58" s="271"/>
      <c r="F58" s="274"/>
      <c r="G58" s="274"/>
      <c r="H58" s="165">
        <f t="shared" si="1"/>
        <v>0</v>
      </c>
      <c r="I58" s="39"/>
    </row>
    <row r="59" spans="1:9" ht="15.9" customHeight="1">
      <c r="A59" s="433"/>
      <c r="B59" s="206"/>
      <c r="C59" s="217"/>
      <c r="D59" s="217"/>
      <c r="E59" s="218"/>
      <c r="F59" s="219"/>
      <c r="G59" s="220"/>
      <c r="H59" s="175">
        <f t="shared" si="1"/>
        <v>0</v>
      </c>
      <c r="I59" s="42"/>
    </row>
    <row r="60" spans="1:9" ht="15.9" customHeight="1">
      <c r="A60" s="433"/>
      <c r="B60" s="221"/>
      <c r="C60" s="222"/>
      <c r="D60" s="223"/>
      <c r="E60" s="223"/>
      <c r="F60" s="225"/>
      <c r="G60" s="225"/>
      <c r="H60" s="49">
        <f>SUM(H35:H59)</f>
        <v>189930000</v>
      </c>
      <c r="I60" s="46"/>
    </row>
    <row r="61" spans="1:9" ht="15.9" customHeight="1">
      <c r="A61" s="433"/>
      <c r="B61" s="245" t="s">
        <v>51</v>
      </c>
      <c r="C61" s="227" t="s">
        <v>381</v>
      </c>
      <c r="D61" s="465" t="s">
        <v>146</v>
      </c>
      <c r="E61" s="444" t="s">
        <v>151</v>
      </c>
      <c r="F61" s="229">
        <v>40</v>
      </c>
      <c r="G61" s="230">
        <v>300000</v>
      </c>
      <c r="H61" s="231">
        <f t="shared" ref="H61:H66" si="4">IF(F61=0,G61,G61*F61)</f>
        <v>12000000</v>
      </c>
      <c r="I61" s="468" t="s">
        <v>283</v>
      </c>
    </row>
    <row r="62" spans="1:9" ht="15.9" customHeight="1">
      <c r="A62" s="433"/>
      <c r="B62" s="206"/>
      <c r="C62" s="213" t="s">
        <v>382</v>
      </c>
      <c r="D62" s="268"/>
      <c r="E62" s="272" t="s">
        <v>199</v>
      </c>
      <c r="F62" s="273">
        <v>1</v>
      </c>
      <c r="G62" s="216">
        <v>8000000</v>
      </c>
      <c r="H62" s="165">
        <f t="shared" si="4"/>
        <v>8000000</v>
      </c>
      <c r="I62" s="469" t="s">
        <v>283</v>
      </c>
    </row>
    <row r="63" spans="1:9" ht="15.9" customHeight="1">
      <c r="A63" s="433"/>
      <c r="B63" s="206"/>
      <c r="C63" s="271" t="s">
        <v>325</v>
      </c>
      <c r="D63" s="268" t="s">
        <v>383</v>
      </c>
      <c r="E63" s="272" t="s">
        <v>199</v>
      </c>
      <c r="F63" s="272">
        <v>1</v>
      </c>
      <c r="G63" s="447">
        <v>25000000</v>
      </c>
      <c r="H63" s="165">
        <f t="shared" si="4"/>
        <v>25000000</v>
      </c>
      <c r="I63" s="39" t="s">
        <v>327</v>
      </c>
    </row>
    <row r="64" spans="1:9" ht="15.9" customHeight="1">
      <c r="A64" s="433"/>
      <c r="B64" s="206"/>
      <c r="C64" s="271"/>
      <c r="D64" s="268" t="s">
        <v>384</v>
      </c>
      <c r="E64" s="272"/>
      <c r="F64" s="448"/>
      <c r="G64" s="447"/>
      <c r="H64" s="165">
        <f t="shared" si="4"/>
        <v>0</v>
      </c>
      <c r="I64" s="39"/>
    </row>
    <row r="65" spans="1:9" ht="15.9" customHeight="1">
      <c r="A65" s="433"/>
      <c r="B65" s="206"/>
      <c r="C65" s="271"/>
      <c r="D65" s="268" t="s">
        <v>385</v>
      </c>
      <c r="E65" s="272"/>
      <c r="F65" s="448"/>
      <c r="G65" s="447"/>
      <c r="H65" s="165">
        <f t="shared" si="4"/>
        <v>0</v>
      </c>
      <c r="I65" s="39"/>
    </row>
    <row r="66" spans="1:9" ht="15.9" customHeight="1">
      <c r="A66" s="433"/>
      <c r="B66" s="206"/>
      <c r="C66" s="213"/>
      <c r="D66" s="213" t="s">
        <v>386</v>
      </c>
      <c r="E66" s="214"/>
      <c r="F66" s="215"/>
      <c r="G66" s="216"/>
      <c r="H66" s="165">
        <f t="shared" si="4"/>
        <v>0</v>
      </c>
      <c r="I66" s="39"/>
    </row>
    <row r="67" spans="1:9" ht="15.9" customHeight="1">
      <c r="A67" s="433"/>
      <c r="B67" s="206"/>
      <c r="C67" s="213"/>
      <c r="D67" s="272"/>
      <c r="E67" s="272"/>
      <c r="F67" s="273"/>
      <c r="G67" s="216"/>
      <c r="H67" s="165">
        <f t="shared" si="1"/>
        <v>0</v>
      </c>
      <c r="I67" s="39"/>
    </row>
    <row r="68" spans="1:9" ht="15.9" customHeight="1">
      <c r="A68" s="433"/>
      <c r="B68" s="206"/>
      <c r="C68" s="213"/>
      <c r="D68" s="272"/>
      <c r="E68" s="272"/>
      <c r="F68" s="273"/>
      <c r="G68" s="216"/>
      <c r="H68" s="165">
        <f t="shared" si="1"/>
        <v>0</v>
      </c>
      <c r="I68" s="39"/>
    </row>
    <row r="69" spans="1:9" ht="15.9" customHeight="1">
      <c r="A69" s="433"/>
      <c r="B69" s="206"/>
      <c r="C69" s="213"/>
      <c r="D69" s="272"/>
      <c r="E69" s="272"/>
      <c r="F69" s="273"/>
      <c r="G69" s="216"/>
      <c r="H69" s="165">
        <f t="shared" si="1"/>
        <v>0</v>
      </c>
      <c r="I69" s="39"/>
    </row>
    <row r="70" spans="1:9" ht="15.9" customHeight="1">
      <c r="A70" s="433"/>
      <c r="B70" s="206"/>
      <c r="C70" s="213"/>
      <c r="D70" s="272"/>
      <c r="E70" s="272"/>
      <c r="F70" s="273"/>
      <c r="G70" s="216"/>
      <c r="H70" s="165">
        <f t="shared" si="1"/>
        <v>0</v>
      </c>
      <c r="I70" s="39"/>
    </row>
    <row r="71" spans="1:9" ht="15.9" customHeight="1">
      <c r="A71" s="433"/>
      <c r="B71" s="206"/>
      <c r="C71" s="213"/>
      <c r="D71" s="272"/>
      <c r="E71" s="272"/>
      <c r="F71" s="273"/>
      <c r="G71" s="216"/>
      <c r="H71" s="165">
        <f t="shared" si="1"/>
        <v>0</v>
      </c>
      <c r="I71" s="39"/>
    </row>
    <row r="72" spans="1:9" ht="15.9" customHeight="1">
      <c r="A72" s="433"/>
      <c r="B72" s="206"/>
      <c r="C72" s="213"/>
      <c r="D72" s="272"/>
      <c r="E72" s="272"/>
      <c r="F72" s="273"/>
      <c r="G72" s="216"/>
      <c r="H72" s="165">
        <f t="shared" si="1"/>
        <v>0</v>
      </c>
      <c r="I72" s="39"/>
    </row>
    <row r="73" spans="1:9" ht="15.9" customHeight="1">
      <c r="A73" s="433"/>
      <c r="B73" s="206"/>
      <c r="C73" s="213"/>
      <c r="D73" s="272"/>
      <c r="E73" s="272"/>
      <c r="F73" s="273"/>
      <c r="G73" s="216"/>
      <c r="H73" s="165">
        <f t="shared" si="1"/>
        <v>0</v>
      </c>
      <c r="I73" s="39"/>
    </row>
    <row r="74" spans="1:9" ht="15.9" customHeight="1">
      <c r="A74" s="433"/>
      <c r="B74" s="206"/>
      <c r="C74" s="213"/>
      <c r="D74" s="272"/>
      <c r="E74" s="272"/>
      <c r="F74" s="273"/>
      <c r="G74" s="216"/>
      <c r="H74" s="165">
        <f t="shared" si="1"/>
        <v>0</v>
      </c>
      <c r="I74" s="39"/>
    </row>
    <row r="75" spans="1:9" ht="15.9" customHeight="1">
      <c r="A75" s="433"/>
      <c r="B75" s="206"/>
      <c r="C75" s="213"/>
      <c r="D75" s="272"/>
      <c r="E75" s="272"/>
      <c r="F75" s="273"/>
      <c r="G75" s="216"/>
      <c r="H75" s="165">
        <f t="shared" si="1"/>
        <v>0</v>
      </c>
      <c r="I75" s="39"/>
    </row>
    <row r="76" spans="1:9" ht="15.9" customHeight="1">
      <c r="A76" s="433"/>
      <c r="B76" s="206"/>
      <c r="C76" s="213"/>
      <c r="D76" s="272"/>
      <c r="E76" s="272"/>
      <c r="F76" s="273"/>
      <c r="G76" s="216"/>
      <c r="H76" s="165">
        <f t="shared" si="1"/>
        <v>0</v>
      </c>
      <c r="I76" s="39"/>
    </row>
    <row r="77" spans="1:9" ht="15.9" customHeight="1">
      <c r="A77" s="433"/>
      <c r="B77" s="206"/>
      <c r="C77" s="213"/>
      <c r="D77" s="272"/>
      <c r="E77" s="272"/>
      <c r="F77" s="273"/>
      <c r="G77" s="216"/>
      <c r="H77" s="165">
        <f t="shared" si="1"/>
        <v>0</v>
      </c>
      <c r="I77" s="39"/>
    </row>
    <row r="78" spans="1:9" ht="15.9" customHeight="1">
      <c r="A78" s="433"/>
      <c r="B78" s="206"/>
      <c r="C78" s="213"/>
      <c r="D78" s="272"/>
      <c r="E78" s="272"/>
      <c r="F78" s="273"/>
      <c r="G78" s="216"/>
      <c r="H78" s="165">
        <f t="shared" si="1"/>
        <v>0</v>
      </c>
      <c r="I78" s="39"/>
    </row>
    <row r="79" spans="1:9" ht="15.9" customHeight="1">
      <c r="A79" s="433"/>
      <c r="B79" s="206"/>
      <c r="C79" s="213"/>
      <c r="D79" s="213"/>
      <c r="E79" s="214"/>
      <c r="F79" s="215"/>
      <c r="G79" s="216"/>
      <c r="H79" s="165">
        <f t="shared" si="1"/>
        <v>0</v>
      </c>
      <c r="I79" s="39"/>
    </row>
    <row r="80" spans="1:9" ht="15.9" customHeight="1">
      <c r="A80" s="433"/>
      <c r="B80" s="206"/>
      <c r="C80" s="217"/>
      <c r="D80" s="217"/>
      <c r="E80" s="217"/>
      <c r="F80" s="220"/>
      <c r="G80" s="220"/>
      <c r="H80" s="175">
        <f t="shared" si="1"/>
        <v>0</v>
      </c>
      <c r="I80" s="42"/>
    </row>
    <row r="81" spans="1:9" ht="15.9" customHeight="1">
      <c r="A81" s="433"/>
      <c r="B81" s="221"/>
      <c r="C81" s="222"/>
      <c r="D81" s="223"/>
      <c r="E81" s="223"/>
      <c r="F81" s="225"/>
      <c r="G81" s="225"/>
      <c r="H81" s="49">
        <f>SUM(H61:H80)</f>
        <v>45000000</v>
      </c>
      <c r="I81" s="46"/>
    </row>
    <row r="82" spans="1:9" ht="15.9" customHeight="1">
      <c r="A82" s="246"/>
      <c r="B82" s="285" t="s">
        <v>131</v>
      </c>
      <c r="C82" s="286"/>
      <c r="D82" s="269"/>
      <c r="E82" s="269"/>
      <c r="F82" s="250"/>
      <c r="G82" s="250"/>
      <c r="H82" s="250">
        <f>SUM(H81,H60,H34,H23)</f>
        <v>365930000</v>
      </c>
      <c r="I82" s="269"/>
    </row>
    <row r="83" spans="1:9" ht="15.9" customHeight="1">
      <c r="A83" s="429" t="s">
        <v>132</v>
      </c>
      <c r="B83" s="256" t="s">
        <v>57</v>
      </c>
      <c r="C83" s="232"/>
      <c r="D83" s="232"/>
      <c r="E83" s="256" t="s">
        <v>58</v>
      </c>
      <c r="F83" s="476"/>
      <c r="G83" s="230"/>
      <c r="H83" s="231">
        <f>F83*G83</f>
        <v>0</v>
      </c>
      <c r="I83" s="232"/>
    </row>
    <row r="84" spans="1:9" ht="15.9" customHeight="1">
      <c r="A84" s="433"/>
      <c r="B84" s="258" t="s">
        <v>152</v>
      </c>
      <c r="C84" s="39"/>
      <c r="D84" s="39"/>
      <c r="E84" s="258" t="s">
        <v>134</v>
      </c>
      <c r="F84" s="280">
        <v>10</v>
      </c>
      <c r="G84" s="216">
        <v>500000</v>
      </c>
      <c r="H84" s="165">
        <f t="shared" ref="H84:H90" si="5">F84*G84</f>
        <v>5000000</v>
      </c>
      <c r="I84" s="39"/>
    </row>
    <row r="85" spans="1:9" ht="15.9" customHeight="1">
      <c r="A85" s="433"/>
      <c r="B85" s="258" t="s">
        <v>153</v>
      </c>
      <c r="C85" s="39"/>
      <c r="D85" s="39"/>
      <c r="E85" s="258" t="s">
        <v>134</v>
      </c>
      <c r="F85" s="280"/>
      <c r="G85" s="216"/>
      <c r="H85" s="165">
        <f t="shared" si="5"/>
        <v>0</v>
      </c>
      <c r="I85" s="39"/>
    </row>
    <row r="86" spans="1:9" ht="15.9" customHeight="1">
      <c r="A86" s="433"/>
      <c r="B86" s="258" t="s">
        <v>154</v>
      </c>
      <c r="C86" s="39"/>
      <c r="D86" s="39"/>
      <c r="E86" s="258" t="s">
        <v>134</v>
      </c>
      <c r="F86" s="280">
        <v>10</v>
      </c>
      <c r="G86" s="216">
        <v>500000</v>
      </c>
      <c r="H86" s="165">
        <f t="shared" si="5"/>
        <v>5000000</v>
      </c>
      <c r="I86" s="39"/>
    </row>
    <row r="87" spans="1:9" ht="15.9" customHeight="1">
      <c r="A87" s="433"/>
      <c r="B87" s="258" t="s">
        <v>155</v>
      </c>
      <c r="C87" s="39" t="s">
        <v>334</v>
      </c>
      <c r="D87" s="39" t="s">
        <v>387</v>
      </c>
      <c r="E87" s="258" t="s">
        <v>134</v>
      </c>
      <c r="F87" s="280">
        <v>48</v>
      </c>
      <c r="G87" s="216">
        <v>650000</v>
      </c>
      <c r="H87" s="165">
        <f t="shared" si="5"/>
        <v>31200000</v>
      </c>
      <c r="I87" s="39"/>
    </row>
    <row r="88" spans="1:9" ht="15.9" customHeight="1">
      <c r="A88" s="433"/>
      <c r="B88" s="258" t="s">
        <v>156</v>
      </c>
      <c r="C88" s="39"/>
      <c r="D88" s="39"/>
      <c r="E88" s="258" t="s">
        <v>134</v>
      </c>
      <c r="F88" s="280"/>
      <c r="G88" s="216"/>
      <c r="H88" s="165">
        <f t="shared" si="5"/>
        <v>0</v>
      </c>
      <c r="I88" s="39"/>
    </row>
    <row r="89" spans="1:9" ht="15.9" customHeight="1">
      <c r="A89" s="433"/>
      <c r="B89" s="287" t="s">
        <v>160</v>
      </c>
      <c r="C89" s="39"/>
      <c r="D89" s="39"/>
      <c r="E89" s="258" t="s">
        <v>134</v>
      </c>
      <c r="F89" s="280"/>
      <c r="G89" s="216"/>
      <c r="H89" s="165">
        <f t="shared" si="5"/>
        <v>0</v>
      </c>
      <c r="I89" s="39"/>
    </row>
    <row r="90" spans="1:9" ht="15.9" customHeight="1">
      <c r="A90" s="433"/>
      <c r="B90" s="288" t="s">
        <v>158</v>
      </c>
      <c r="C90" s="42"/>
      <c r="D90" s="42"/>
      <c r="E90" s="260" t="s">
        <v>134</v>
      </c>
      <c r="F90" s="282"/>
      <c r="G90" s="220"/>
      <c r="H90" s="175">
        <f t="shared" si="5"/>
        <v>0</v>
      </c>
      <c r="I90" s="42"/>
    </row>
    <row r="91" spans="1:9" ht="15.9" customHeight="1">
      <c r="A91" s="246"/>
      <c r="B91" s="262" t="s">
        <v>140</v>
      </c>
      <c r="C91" s="248"/>
      <c r="D91" s="46"/>
      <c r="E91" s="46"/>
      <c r="F91" s="49"/>
      <c r="G91" s="49"/>
      <c r="H91" s="49">
        <f>SUM(H83:H90)</f>
        <v>41200000</v>
      </c>
      <c r="I91" s="46"/>
    </row>
    <row r="92" spans="1:9" ht="15.9" customHeight="1">
      <c r="A92" s="252"/>
      <c r="B92" s="262" t="s">
        <v>159</v>
      </c>
      <c r="C92" s="248"/>
      <c r="D92" s="46"/>
      <c r="E92" s="46"/>
      <c r="F92" s="49"/>
      <c r="G92" s="49"/>
      <c r="H92" s="250">
        <f>'단위공사별(집계)'!L8+'단위공사별(집계)'!I8</f>
        <v>19972525.024355609</v>
      </c>
      <c r="I92" s="46"/>
    </row>
    <row r="93" spans="1:9" ht="15.9" customHeight="1">
      <c r="A93" s="252"/>
      <c r="B93" s="262" t="s">
        <v>83</v>
      </c>
      <c r="C93" s="248"/>
      <c r="D93" s="46"/>
      <c r="E93" s="46"/>
      <c r="F93" s="49"/>
      <c r="G93" s="264"/>
      <c r="H93" s="265">
        <f>(H91+H82)*0.03</f>
        <v>12213900</v>
      </c>
      <c r="I93" s="248"/>
    </row>
    <row r="94" spans="1:9" ht="15.9" customHeight="1">
      <c r="A94" s="252"/>
      <c r="B94" s="262" t="s">
        <v>143</v>
      </c>
      <c r="C94" s="248"/>
      <c r="D94" s="46"/>
      <c r="E94" s="46"/>
      <c r="F94" s="49"/>
      <c r="G94" s="264"/>
      <c r="H94" s="265">
        <f>(H91+H82)*0.02</f>
        <v>8142600</v>
      </c>
      <c r="I94" s="248"/>
    </row>
    <row r="95" spans="1:9" ht="15.9" customHeight="1">
      <c r="A95" s="252"/>
      <c r="B95" s="262" t="s">
        <v>144</v>
      </c>
      <c r="C95" s="248"/>
      <c r="D95" s="46"/>
      <c r="E95" s="46"/>
      <c r="F95" s="49"/>
      <c r="G95" s="49"/>
      <c r="H95" s="225">
        <f>H82+H91+H92+H93+H94</f>
        <v>447459025.02435559</v>
      </c>
      <c r="I95" s="46"/>
    </row>
    <row r="96" spans="1:9">
      <c r="A96" s="26"/>
    </row>
  </sheetData>
  <mergeCells count="3">
    <mergeCell ref="A2:B2"/>
    <mergeCell ref="A3:A81"/>
    <mergeCell ref="A83:A90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손철호 책임매니저 통합구매팀 son@hyundai-wia.com 2026-07-07T14:05:14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F9132-4056-4BCA-9212-5D2AB7D11E33}">
  <sheetPr>
    <tabColor rgb="FF00B050"/>
    <pageSetUpPr fitToPage="1"/>
  </sheetPr>
  <dimension ref="A1:I92"/>
  <sheetViews>
    <sheetView zoomScale="85" workbookViewId="0">
      <pane xSplit="2" ySplit="2" topLeftCell="C3" activePane="bottomRight" state="frozen"/>
      <selection activeCell="F18" sqref="F18:F27"/>
      <selection pane="topRight" activeCell="F18" sqref="F18:F27"/>
      <selection pane="bottomLeft" activeCell="F18" sqref="F18:F27"/>
      <selection pane="bottomRight" activeCell="F18" sqref="F18:F27"/>
    </sheetView>
  </sheetViews>
  <sheetFormatPr defaultColWidth="9" defaultRowHeight="14.4"/>
  <cols>
    <col min="1" max="1" width="5" style="24" customWidth="1"/>
    <col min="2" max="2" width="17.8984375" style="24" bestFit="1" customWidth="1"/>
    <col min="3" max="3" width="23.59765625" style="24" customWidth="1"/>
    <col min="4" max="4" width="18.19921875" style="24" customWidth="1"/>
    <col min="5" max="5" width="5.19921875" style="24" bestFit="1" customWidth="1"/>
    <col min="6" max="6" width="9" style="48"/>
    <col min="7" max="7" width="11.8984375" style="48" customWidth="1"/>
    <col min="8" max="8" width="13.59765625" style="48" customWidth="1"/>
    <col min="9" max="9" width="12.69921875" style="24" customWidth="1"/>
    <col min="10" max="256" width="9" style="24"/>
    <col min="257" max="257" width="5" style="24" customWidth="1"/>
    <col min="258" max="258" width="17.8984375" style="24" bestFit="1" customWidth="1"/>
    <col min="259" max="259" width="23.59765625" style="24" customWidth="1"/>
    <col min="260" max="260" width="18.19921875" style="24" customWidth="1"/>
    <col min="261" max="261" width="5.19921875" style="24" bestFit="1" customWidth="1"/>
    <col min="262" max="262" width="9" style="24"/>
    <col min="263" max="263" width="11.8984375" style="24" customWidth="1"/>
    <col min="264" max="264" width="13.59765625" style="24" customWidth="1"/>
    <col min="265" max="265" width="12.69921875" style="24" customWidth="1"/>
    <col min="266" max="512" width="9" style="24"/>
    <col min="513" max="513" width="5" style="24" customWidth="1"/>
    <col min="514" max="514" width="17.8984375" style="24" bestFit="1" customWidth="1"/>
    <col min="515" max="515" width="23.59765625" style="24" customWidth="1"/>
    <col min="516" max="516" width="18.19921875" style="24" customWidth="1"/>
    <col min="517" max="517" width="5.19921875" style="24" bestFit="1" customWidth="1"/>
    <col min="518" max="518" width="9" style="24"/>
    <col min="519" max="519" width="11.8984375" style="24" customWidth="1"/>
    <col min="520" max="520" width="13.59765625" style="24" customWidth="1"/>
    <col min="521" max="521" width="12.69921875" style="24" customWidth="1"/>
    <col min="522" max="768" width="9" style="24"/>
    <col min="769" max="769" width="5" style="24" customWidth="1"/>
    <col min="770" max="770" width="17.8984375" style="24" bestFit="1" customWidth="1"/>
    <col min="771" max="771" width="23.59765625" style="24" customWidth="1"/>
    <col min="772" max="772" width="18.19921875" style="24" customWidth="1"/>
    <col min="773" max="773" width="5.19921875" style="24" bestFit="1" customWidth="1"/>
    <col min="774" max="774" width="9" style="24"/>
    <col min="775" max="775" width="11.8984375" style="24" customWidth="1"/>
    <col min="776" max="776" width="13.59765625" style="24" customWidth="1"/>
    <col min="777" max="777" width="12.69921875" style="24" customWidth="1"/>
    <col min="778" max="1024" width="9" style="24"/>
    <col min="1025" max="1025" width="5" style="24" customWidth="1"/>
    <col min="1026" max="1026" width="17.8984375" style="24" bestFit="1" customWidth="1"/>
    <col min="1027" max="1027" width="23.59765625" style="24" customWidth="1"/>
    <col min="1028" max="1028" width="18.19921875" style="24" customWidth="1"/>
    <col min="1029" max="1029" width="5.19921875" style="24" bestFit="1" customWidth="1"/>
    <col min="1030" max="1030" width="9" style="24"/>
    <col min="1031" max="1031" width="11.8984375" style="24" customWidth="1"/>
    <col min="1032" max="1032" width="13.59765625" style="24" customWidth="1"/>
    <col min="1033" max="1033" width="12.69921875" style="24" customWidth="1"/>
    <col min="1034" max="1280" width="9" style="24"/>
    <col min="1281" max="1281" width="5" style="24" customWidth="1"/>
    <col min="1282" max="1282" width="17.8984375" style="24" bestFit="1" customWidth="1"/>
    <col min="1283" max="1283" width="23.59765625" style="24" customWidth="1"/>
    <col min="1284" max="1284" width="18.19921875" style="24" customWidth="1"/>
    <col min="1285" max="1285" width="5.19921875" style="24" bestFit="1" customWidth="1"/>
    <col min="1286" max="1286" width="9" style="24"/>
    <col min="1287" max="1287" width="11.8984375" style="24" customWidth="1"/>
    <col min="1288" max="1288" width="13.59765625" style="24" customWidth="1"/>
    <col min="1289" max="1289" width="12.69921875" style="24" customWidth="1"/>
    <col min="1290" max="1536" width="9" style="24"/>
    <col min="1537" max="1537" width="5" style="24" customWidth="1"/>
    <col min="1538" max="1538" width="17.8984375" style="24" bestFit="1" customWidth="1"/>
    <col min="1539" max="1539" width="23.59765625" style="24" customWidth="1"/>
    <col min="1540" max="1540" width="18.19921875" style="24" customWidth="1"/>
    <col min="1541" max="1541" width="5.19921875" style="24" bestFit="1" customWidth="1"/>
    <col min="1542" max="1542" width="9" style="24"/>
    <col min="1543" max="1543" width="11.8984375" style="24" customWidth="1"/>
    <col min="1544" max="1544" width="13.59765625" style="24" customWidth="1"/>
    <col min="1545" max="1545" width="12.69921875" style="24" customWidth="1"/>
    <col min="1546" max="1792" width="9" style="24"/>
    <col min="1793" max="1793" width="5" style="24" customWidth="1"/>
    <col min="1794" max="1794" width="17.8984375" style="24" bestFit="1" customWidth="1"/>
    <col min="1795" max="1795" width="23.59765625" style="24" customWidth="1"/>
    <col min="1796" max="1796" width="18.19921875" style="24" customWidth="1"/>
    <col min="1797" max="1797" width="5.19921875" style="24" bestFit="1" customWidth="1"/>
    <col min="1798" max="1798" width="9" style="24"/>
    <col min="1799" max="1799" width="11.8984375" style="24" customWidth="1"/>
    <col min="1800" max="1800" width="13.59765625" style="24" customWidth="1"/>
    <col min="1801" max="1801" width="12.69921875" style="24" customWidth="1"/>
    <col min="1802" max="2048" width="9" style="24"/>
    <col min="2049" max="2049" width="5" style="24" customWidth="1"/>
    <col min="2050" max="2050" width="17.8984375" style="24" bestFit="1" customWidth="1"/>
    <col min="2051" max="2051" width="23.59765625" style="24" customWidth="1"/>
    <col min="2052" max="2052" width="18.19921875" style="24" customWidth="1"/>
    <col min="2053" max="2053" width="5.19921875" style="24" bestFit="1" customWidth="1"/>
    <col min="2054" max="2054" width="9" style="24"/>
    <col min="2055" max="2055" width="11.8984375" style="24" customWidth="1"/>
    <col min="2056" max="2056" width="13.59765625" style="24" customWidth="1"/>
    <col min="2057" max="2057" width="12.69921875" style="24" customWidth="1"/>
    <col min="2058" max="2304" width="9" style="24"/>
    <col min="2305" max="2305" width="5" style="24" customWidth="1"/>
    <col min="2306" max="2306" width="17.8984375" style="24" bestFit="1" customWidth="1"/>
    <col min="2307" max="2307" width="23.59765625" style="24" customWidth="1"/>
    <col min="2308" max="2308" width="18.19921875" style="24" customWidth="1"/>
    <col min="2309" max="2309" width="5.19921875" style="24" bestFit="1" customWidth="1"/>
    <col min="2310" max="2310" width="9" style="24"/>
    <col min="2311" max="2311" width="11.8984375" style="24" customWidth="1"/>
    <col min="2312" max="2312" width="13.59765625" style="24" customWidth="1"/>
    <col min="2313" max="2313" width="12.69921875" style="24" customWidth="1"/>
    <col min="2314" max="2560" width="9" style="24"/>
    <col min="2561" max="2561" width="5" style="24" customWidth="1"/>
    <col min="2562" max="2562" width="17.8984375" style="24" bestFit="1" customWidth="1"/>
    <col min="2563" max="2563" width="23.59765625" style="24" customWidth="1"/>
    <col min="2564" max="2564" width="18.19921875" style="24" customWidth="1"/>
    <col min="2565" max="2565" width="5.19921875" style="24" bestFit="1" customWidth="1"/>
    <col min="2566" max="2566" width="9" style="24"/>
    <col min="2567" max="2567" width="11.8984375" style="24" customWidth="1"/>
    <col min="2568" max="2568" width="13.59765625" style="24" customWidth="1"/>
    <col min="2569" max="2569" width="12.69921875" style="24" customWidth="1"/>
    <col min="2570" max="2816" width="9" style="24"/>
    <col min="2817" max="2817" width="5" style="24" customWidth="1"/>
    <col min="2818" max="2818" width="17.8984375" style="24" bestFit="1" customWidth="1"/>
    <col min="2819" max="2819" width="23.59765625" style="24" customWidth="1"/>
    <col min="2820" max="2820" width="18.19921875" style="24" customWidth="1"/>
    <col min="2821" max="2821" width="5.19921875" style="24" bestFit="1" customWidth="1"/>
    <col min="2822" max="2822" width="9" style="24"/>
    <col min="2823" max="2823" width="11.8984375" style="24" customWidth="1"/>
    <col min="2824" max="2824" width="13.59765625" style="24" customWidth="1"/>
    <col min="2825" max="2825" width="12.69921875" style="24" customWidth="1"/>
    <col min="2826" max="3072" width="9" style="24"/>
    <col min="3073" max="3073" width="5" style="24" customWidth="1"/>
    <col min="3074" max="3074" width="17.8984375" style="24" bestFit="1" customWidth="1"/>
    <col min="3075" max="3075" width="23.59765625" style="24" customWidth="1"/>
    <col min="3076" max="3076" width="18.19921875" style="24" customWidth="1"/>
    <col min="3077" max="3077" width="5.19921875" style="24" bestFit="1" customWidth="1"/>
    <col min="3078" max="3078" width="9" style="24"/>
    <col min="3079" max="3079" width="11.8984375" style="24" customWidth="1"/>
    <col min="3080" max="3080" width="13.59765625" style="24" customWidth="1"/>
    <col min="3081" max="3081" width="12.69921875" style="24" customWidth="1"/>
    <col min="3082" max="3328" width="9" style="24"/>
    <col min="3329" max="3329" width="5" style="24" customWidth="1"/>
    <col min="3330" max="3330" width="17.8984375" style="24" bestFit="1" customWidth="1"/>
    <col min="3331" max="3331" width="23.59765625" style="24" customWidth="1"/>
    <col min="3332" max="3332" width="18.19921875" style="24" customWidth="1"/>
    <col min="3333" max="3333" width="5.19921875" style="24" bestFit="1" customWidth="1"/>
    <col min="3334" max="3334" width="9" style="24"/>
    <col min="3335" max="3335" width="11.8984375" style="24" customWidth="1"/>
    <col min="3336" max="3336" width="13.59765625" style="24" customWidth="1"/>
    <col min="3337" max="3337" width="12.69921875" style="24" customWidth="1"/>
    <col min="3338" max="3584" width="9" style="24"/>
    <col min="3585" max="3585" width="5" style="24" customWidth="1"/>
    <col min="3586" max="3586" width="17.8984375" style="24" bestFit="1" customWidth="1"/>
    <col min="3587" max="3587" width="23.59765625" style="24" customWidth="1"/>
    <col min="3588" max="3588" width="18.19921875" style="24" customWidth="1"/>
    <col min="3589" max="3589" width="5.19921875" style="24" bestFit="1" customWidth="1"/>
    <col min="3590" max="3590" width="9" style="24"/>
    <col min="3591" max="3591" width="11.8984375" style="24" customWidth="1"/>
    <col min="3592" max="3592" width="13.59765625" style="24" customWidth="1"/>
    <col min="3593" max="3593" width="12.69921875" style="24" customWidth="1"/>
    <col min="3594" max="3840" width="9" style="24"/>
    <col min="3841" max="3841" width="5" style="24" customWidth="1"/>
    <col min="3842" max="3842" width="17.8984375" style="24" bestFit="1" customWidth="1"/>
    <col min="3843" max="3843" width="23.59765625" style="24" customWidth="1"/>
    <col min="3844" max="3844" width="18.19921875" style="24" customWidth="1"/>
    <col min="3845" max="3845" width="5.19921875" style="24" bestFit="1" customWidth="1"/>
    <col min="3846" max="3846" width="9" style="24"/>
    <col min="3847" max="3847" width="11.8984375" style="24" customWidth="1"/>
    <col min="3848" max="3848" width="13.59765625" style="24" customWidth="1"/>
    <col min="3849" max="3849" width="12.69921875" style="24" customWidth="1"/>
    <col min="3850" max="4096" width="9" style="24"/>
    <col min="4097" max="4097" width="5" style="24" customWidth="1"/>
    <col min="4098" max="4098" width="17.8984375" style="24" bestFit="1" customWidth="1"/>
    <col min="4099" max="4099" width="23.59765625" style="24" customWidth="1"/>
    <col min="4100" max="4100" width="18.19921875" style="24" customWidth="1"/>
    <col min="4101" max="4101" width="5.19921875" style="24" bestFit="1" customWidth="1"/>
    <col min="4102" max="4102" width="9" style="24"/>
    <col min="4103" max="4103" width="11.8984375" style="24" customWidth="1"/>
    <col min="4104" max="4104" width="13.59765625" style="24" customWidth="1"/>
    <col min="4105" max="4105" width="12.69921875" style="24" customWidth="1"/>
    <col min="4106" max="4352" width="9" style="24"/>
    <col min="4353" max="4353" width="5" style="24" customWidth="1"/>
    <col min="4354" max="4354" width="17.8984375" style="24" bestFit="1" customWidth="1"/>
    <col min="4355" max="4355" width="23.59765625" style="24" customWidth="1"/>
    <col min="4356" max="4356" width="18.19921875" style="24" customWidth="1"/>
    <col min="4357" max="4357" width="5.19921875" style="24" bestFit="1" customWidth="1"/>
    <col min="4358" max="4358" width="9" style="24"/>
    <col min="4359" max="4359" width="11.8984375" style="24" customWidth="1"/>
    <col min="4360" max="4360" width="13.59765625" style="24" customWidth="1"/>
    <col min="4361" max="4361" width="12.69921875" style="24" customWidth="1"/>
    <col min="4362" max="4608" width="9" style="24"/>
    <col min="4609" max="4609" width="5" style="24" customWidth="1"/>
    <col min="4610" max="4610" width="17.8984375" style="24" bestFit="1" customWidth="1"/>
    <col min="4611" max="4611" width="23.59765625" style="24" customWidth="1"/>
    <col min="4612" max="4612" width="18.19921875" style="24" customWidth="1"/>
    <col min="4613" max="4613" width="5.19921875" style="24" bestFit="1" customWidth="1"/>
    <col min="4614" max="4614" width="9" style="24"/>
    <col min="4615" max="4615" width="11.8984375" style="24" customWidth="1"/>
    <col min="4616" max="4616" width="13.59765625" style="24" customWidth="1"/>
    <col min="4617" max="4617" width="12.69921875" style="24" customWidth="1"/>
    <col min="4618" max="4864" width="9" style="24"/>
    <col min="4865" max="4865" width="5" style="24" customWidth="1"/>
    <col min="4866" max="4866" width="17.8984375" style="24" bestFit="1" customWidth="1"/>
    <col min="4867" max="4867" width="23.59765625" style="24" customWidth="1"/>
    <col min="4868" max="4868" width="18.19921875" style="24" customWidth="1"/>
    <col min="4869" max="4869" width="5.19921875" style="24" bestFit="1" customWidth="1"/>
    <col min="4870" max="4870" width="9" style="24"/>
    <col min="4871" max="4871" width="11.8984375" style="24" customWidth="1"/>
    <col min="4872" max="4872" width="13.59765625" style="24" customWidth="1"/>
    <col min="4873" max="4873" width="12.69921875" style="24" customWidth="1"/>
    <col min="4874" max="5120" width="9" style="24"/>
    <col min="5121" max="5121" width="5" style="24" customWidth="1"/>
    <col min="5122" max="5122" width="17.8984375" style="24" bestFit="1" customWidth="1"/>
    <col min="5123" max="5123" width="23.59765625" style="24" customWidth="1"/>
    <col min="5124" max="5124" width="18.19921875" style="24" customWidth="1"/>
    <col min="5125" max="5125" width="5.19921875" style="24" bestFit="1" customWidth="1"/>
    <col min="5126" max="5126" width="9" style="24"/>
    <col min="5127" max="5127" width="11.8984375" style="24" customWidth="1"/>
    <col min="5128" max="5128" width="13.59765625" style="24" customWidth="1"/>
    <col min="5129" max="5129" width="12.69921875" style="24" customWidth="1"/>
    <col min="5130" max="5376" width="9" style="24"/>
    <col min="5377" max="5377" width="5" style="24" customWidth="1"/>
    <col min="5378" max="5378" width="17.8984375" style="24" bestFit="1" customWidth="1"/>
    <col min="5379" max="5379" width="23.59765625" style="24" customWidth="1"/>
    <col min="5380" max="5380" width="18.19921875" style="24" customWidth="1"/>
    <col min="5381" max="5381" width="5.19921875" style="24" bestFit="1" customWidth="1"/>
    <col min="5382" max="5382" width="9" style="24"/>
    <col min="5383" max="5383" width="11.8984375" style="24" customWidth="1"/>
    <col min="5384" max="5384" width="13.59765625" style="24" customWidth="1"/>
    <col min="5385" max="5385" width="12.69921875" style="24" customWidth="1"/>
    <col min="5386" max="5632" width="9" style="24"/>
    <col min="5633" max="5633" width="5" style="24" customWidth="1"/>
    <col min="5634" max="5634" width="17.8984375" style="24" bestFit="1" customWidth="1"/>
    <col min="5635" max="5635" width="23.59765625" style="24" customWidth="1"/>
    <col min="5636" max="5636" width="18.19921875" style="24" customWidth="1"/>
    <col min="5637" max="5637" width="5.19921875" style="24" bestFit="1" customWidth="1"/>
    <col min="5638" max="5638" width="9" style="24"/>
    <col min="5639" max="5639" width="11.8984375" style="24" customWidth="1"/>
    <col min="5640" max="5640" width="13.59765625" style="24" customWidth="1"/>
    <col min="5641" max="5641" width="12.69921875" style="24" customWidth="1"/>
    <col min="5642" max="5888" width="9" style="24"/>
    <col min="5889" max="5889" width="5" style="24" customWidth="1"/>
    <col min="5890" max="5890" width="17.8984375" style="24" bestFit="1" customWidth="1"/>
    <col min="5891" max="5891" width="23.59765625" style="24" customWidth="1"/>
    <col min="5892" max="5892" width="18.19921875" style="24" customWidth="1"/>
    <col min="5893" max="5893" width="5.19921875" style="24" bestFit="1" customWidth="1"/>
    <col min="5894" max="5894" width="9" style="24"/>
    <col min="5895" max="5895" width="11.8984375" style="24" customWidth="1"/>
    <col min="5896" max="5896" width="13.59765625" style="24" customWidth="1"/>
    <col min="5897" max="5897" width="12.69921875" style="24" customWidth="1"/>
    <col min="5898" max="6144" width="9" style="24"/>
    <col min="6145" max="6145" width="5" style="24" customWidth="1"/>
    <col min="6146" max="6146" width="17.8984375" style="24" bestFit="1" customWidth="1"/>
    <col min="6147" max="6147" width="23.59765625" style="24" customWidth="1"/>
    <col min="6148" max="6148" width="18.19921875" style="24" customWidth="1"/>
    <col min="6149" max="6149" width="5.19921875" style="24" bestFit="1" customWidth="1"/>
    <col min="6150" max="6150" width="9" style="24"/>
    <col min="6151" max="6151" width="11.8984375" style="24" customWidth="1"/>
    <col min="6152" max="6152" width="13.59765625" style="24" customWidth="1"/>
    <col min="6153" max="6153" width="12.69921875" style="24" customWidth="1"/>
    <col min="6154" max="6400" width="9" style="24"/>
    <col min="6401" max="6401" width="5" style="24" customWidth="1"/>
    <col min="6402" max="6402" width="17.8984375" style="24" bestFit="1" customWidth="1"/>
    <col min="6403" max="6403" width="23.59765625" style="24" customWidth="1"/>
    <col min="6404" max="6404" width="18.19921875" style="24" customWidth="1"/>
    <col min="6405" max="6405" width="5.19921875" style="24" bestFit="1" customWidth="1"/>
    <col min="6406" max="6406" width="9" style="24"/>
    <col min="6407" max="6407" width="11.8984375" style="24" customWidth="1"/>
    <col min="6408" max="6408" width="13.59765625" style="24" customWidth="1"/>
    <col min="6409" max="6409" width="12.69921875" style="24" customWidth="1"/>
    <col min="6410" max="6656" width="9" style="24"/>
    <col min="6657" max="6657" width="5" style="24" customWidth="1"/>
    <col min="6658" max="6658" width="17.8984375" style="24" bestFit="1" customWidth="1"/>
    <col min="6659" max="6659" width="23.59765625" style="24" customWidth="1"/>
    <col min="6660" max="6660" width="18.19921875" style="24" customWidth="1"/>
    <col min="6661" max="6661" width="5.19921875" style="24" bestFit="1" customWidth="1"/>
    <col min="6662" max="6662" width="9" style="24"/>
    <col min="6663" max="6663" width="11.8984375" style="24" customWidth="1"/>
    <col min="6664" max="6664" width="13.59765625" style="24" customWidth="1"/>
    <col min="6665" max="6665" width="12.69921875" style="24" customWidth="1"/>
    <col min="6666" max="6912" width="9" style="24"/>
    <col min="6913" max="6913" width="5" style="24" customWidth="1"/>
    <col min="6914" max="6914" width="17.8984375" style="24" bestFit="1" customWidth="1"/>
    <col min="6915" max="6915" width="23.59765625" style="24" customWidth="1"/>
    <col min="6916" max="6916" width="18.19921875" style="24" customWidth="1"/>
    <col min="6917" max="6917" width="5.19921875" style="24" bestFit="1" customWidth="1"/>
    <col min="6918" max="6918" width="9" style="24"/>
    <col min="6919" max="6919" width="11.8984375" style="24" customWidth="1"/>
    <col min="6920" max="6920" width="13.59765625" style="24" customWidth="1"/>
    <col min="6921" max="6921" width="12.69921875" style="24" customWidth="1"/>
    <col min="6922" max="7168" width="9" style="24"/>
    <col min="7169" max="7169" width="5" style="24" customWidth="1"/>
    <col min="7170" max="7170" width="17.8984375" style="24" bestFit="1" customWidth="1"/>
    <col min="7171" max="7171" width="23.59765625" style="24" customWidth="1"/>
    <col min="7172" max="7172" width="18.19921875" style="24" customWidth="1"/>
    <col min="7173" max="7173" width="5.19921875" style="24" bestFit="1" customWidth="1"/>
    <col min="7174" max="7174" width="9" style="24"/>
    <col min="7175" max="7175" width="11.8984375" style="24" customWidth="1"/>
    <col min="7176" max="7176" width="13.59765625" style="24" customWidth="1"/>
    <col min="7177" max="7177" width="12.69921875" style="24" customWidth="1"/>
    <col min="7178" max="7424" width="9" style="24"/>
    <col min="7425" max="7425" width="5" style="24" customWidth="1"/>
    <col min="7426" max="7426" width="17.8984375" style="24" bestFit="1" customWidth="1"/>
    <col min="7427" max="7427" width="23.59765625" style="24" customWidth="1"/>
    <col min="7428" max="7428" width="18.19921875" style="24" customWidth="1"/>
    <col min="7429" max="7429" width="5.19921875" style="24" bestFit="1" customWidth="1"/>
    <col min="7430" max="7430" width="9" style="24"/>
    <col min="7431" max="7431" width="11.8984375" style="24" customWidth="1"/>
    <col min="7432" max="7432" width="13.59765625" style="24" customWidth="1"/>
    <col min="7433" max="7433" width="12.69921875" style="24" customWidth="1"/>
    <col min="7434" max="7680" width="9" style="24"/>
    <col min="7681" max="7681" width="5" style="24" customWidth="1"/>
    <col min="7682" max="7682" width="17.8984375" style="24" bestFit="1" customWidth="1"/>
    <col min="7683" max="7683" width="23.59765625" style="24" customWidth="1"/>
    <col min="7684" max="7684" width="18.19921875" style="24" customWidth="1"/>
    <col min="7685" max="7685" width="5.19921875" style="24" bestFit="1" customWidth="1"/>
    <col min="7686" max="7686" width="9" style="24"/>
    <col min="7687" max="7687" width="11.8984375" style="24" customWidth="1"/>
    <col min="7688" max="7688" width="13.59765625" style="24" customWidth="1"/>
    <col min="7689" max="7689" width="12.69921875" style="24" customWidth="1"/>
    <col min="7690" max="7936" width="9" style="24"/>
    <col min="7937" max="7937" width="5" style="24" customWidth="1"/>
    <col min="7938" max="7938" width="17.8984375" style="24" bestFit="1" customWidth="1"/>
    <col min="7939" max="7939" width="23.59765625" style="24" customWidth="1"/>
    <col min="7940" max="7940" width="18.19921875" style="24" customWidth="1"/>
    <col min="7941" max="7941" width="5.19921875" style="24" bestFit="1" customWidth="1"/>
    <col min="7942" max="7942" width="9" style="24"/>
    <col min="7943" max="7943" width="11.8984375" style="24" customWidth="1"/>
    <col min="7944" max="7944" width="13.59765625" style="24" customWidth="1"/>
    <col min="7945" max="7945" width="12.69921875" style="24" customWidth="1"/>
    <col min="7946" max="8192" width="9" style="24"/>
    <col min="8193" max="8193" width="5" style="24" customWidth="1"/>
    <col min="8194" max="8194" width="17.8984375" style="24" bestFit="1" customWidth="1"/>
    <col min="8195" max="8195" width="23.59765625" style="24" customWidth="1"/>
    <col min="8196" max="8196" width="18.19921875" style="24" customWidth="1"/>
    <col min="8197" max="8197" width="5.19921875" style="24" bestFit="1" customWidth="1"/>
    <col min="8198" max="8198" width="9" style="24"/>
    <col min="8199" max="8199" width="11.8984375" style="24" customWidth="1"/>
    <col min="8200" max="8200" width="13.59765625" style="24" customWidth="1"/>
    <col min="8201" max="8201" width="12.69921875" style="24" customWidth="1"/>
    <col min="8202" max="8448" width="9" style="24"/>
    <col min="8449" max="8449" width="5" style="24" customWidth="1"/>
    <col min="8450" max="8450" width="17.8984375" style="24" bestFit="1" customWidth="1"/>
    <col min="8451" max="8451" width="23.59765625" style="24" customWidth="1"/>
    <col min="8452" max="8452" width="18.19921875" style="24" customWidth="1"/>
    <col min="8453" max="8453" width="5.19921875" style="24" bestFit="1" customWidth="1"/>
    <col min="8454" max="8454" width="9" style="24"/>
    <col min="8455" max="8455" width="11.8984375" style="24" customWidth="1"/>
    <col min="8456" max="8456" width="13.59765625" style="24" customWidth="1"/>
    <col min="8457" max="8457" width="12.69921875" style="24" customWidth="1"/>
    <col min="8458" max="8704" width="9" style="24"/>
    <col min="8705" max="8705" width="5" style="24" customWidth="1"/>
    <col min="8706" max="8706" width="17.8984375" style="24" bestFit="1" customWidth="1"/>
    <col min="8707" max="8707" width="23.59765625" style="24" customWidth="1"/>
    <col min="8708" max="8708" width="18.19921875" style="24" customWidth="1"/>
    <col min="8709" max="8709" width="5.19921875" style="24" bestFit="1" customWidth="1"/>
    <col min="8710" max="8710" width="9" style="24"/>
    <col min="8711" max="8711" width="11.8984375" style="24" customWidth="1"/>
    <col min="8712" max="8712" width="13.59765625" style="24" customWidth="1"/>
    <col min="8713" max="8713" width="12.69921875" style="24" customWidth="1"/>
    <col min="8714" max="8960" width="9" style="24"/>
    <col min="8961" max="8961" width="5" style="24" customWidth="1"/>
    <col min="8962" max="8962" width="17.8984375" style="24" bestFit="1" customWidth="1"/>
    <col min="8963" max="8963" width="23.59765625" style="24" customWidth="1"/>
    <col min="8964" max="8964" width="18.19921875" style="24" customWidth="1"/>
    <col min="8965" max="8965" width="5.19921875" style="24" bestFit="1" customWidth="1"/>
    <col min="8966" max="8966" width="9" style="24"/>
    <col min="8967" max="8967" width="11.8984375" style="24" customWidth="1"/>
    <col min="8968" max="8968" width="13.59765625" style="24" customWidth="1"/>
    <col min="8969" max="8969" width="12.69921875" style="24" customWidth="1"/>
    <col min="8970" max="9216" width="9" style="24"/>
    <col min="9217" max="9217" width="5" style="24" customWidth="1"/>
    <col min="9218" max="9218" width="17.8984375" style="24" bestFit="1" customWidth="1"/>
    <col min="9219" max="9219" width="23.59765625" style="24" customWidth="1"/>
    <col min="9220" max="9220" width="18.19921875" style="24" customWidth="1"/>
    <col min="9221" max="9221" width="5.19921875" style="24" bestFit="1" customWidth="1"/>
    <col min="9222" max="9222" width="9" style="24"/>
    <col min="9223" max="9223" width="11.8984375" style="24" customWidth="1"/>
    <col min="9224" max="9224" width="13.59765625" style="24" customWidth="1"/>
    <col min="9225" max="9225" width="12.69921875" style="24" customWidth="1"/>
    <col min="9226" max="9472" width="9" style="24"/>
    <col min="9473" max="9473" width="5" style="24" customWidth="1"/>
    <col min="9474" max="9474" width="17.8984375" style="24" bestFit="1" customWidth="1"/>
    <col min="9475" max="9475" width="23.59765625" style="24" customWidth="1"/>
    <col min="9476" max="9476" width="18.19921875" style="24" customWidth="1"/>
    <col min="9477" max="9477" width="5.19921875" style="24" bestFit="1" customWidth="1"/>
    <col min="9478" max="9478" width="9" style="24"/>
    <col min="9479" max="9479" width="11.8984375" style="24" customWidth="1"/>
    <col min="9480" max="9480" width="13.59765625" style="24" customWidth="1"/>
    <col min="9481" max="9481" width="12.69921875" style="24" customWidth="1"/>
    <col min="9482" max="9728" width="9" style="24"/>
    <col min="9729" max="9729" width="5" style="24" customWidth="1"/>
    <col min="9730" max="9730" width="17.8984375" style="24" bestFit="1" customWidth="1"/>
    <col min="9731" max="9731" width="23.59765625" style="24" customWidth="1"/>
    <col min="9732" max="9732" width="18.19921875" style="24" customWidth="1"/>
    <col min="9733" max="9733" width="5.19921875" style="24" bestFit="1" customWidth="1"/>
    <col min="9734" max="9734" width="9" style="24"/>
    <col min="9735" max="9735" width="11.8984375" style="24" customWidth="1"/>
    <col min="9736" max="9736" width="13.59765625" style="24" customWidth="1"/>
    <col min="9737" max="9737" width="12.69921875" style="24" customWidth="1"/>
    <col min="9738" max="9984" width="9" style="24"/>
    <col min="9985" max="9985" width="5" style="24" customWidth="1"/>
    <col min="9986" max="9986" width="17.8984375" style="24" bestFit="1" customWidth="1"/>
    <col min="9987" max="9987" width="23.59765625" style="24" customWidth="1"/>
    <col min="9988" max="9988" width="18.19921875" style="24" customWidth="1"/>
    <col min="9989" max="9989" width="5.19921875" style="24" bestFit="1" customWidth="1"/>
    <col min="9990" max="9990" width="9" style="24"/>
    <col min="9991" max="9991" width="11.8984375" style="24" customWidth="1"/>
    <col min="9992" max="9992" width="13.59765625" style="24" customWidth="1"/>
    <col min="9993" max="9993" width="12.69921875" style="24" customWidth="1"/>
    <col min="9994" max="10240" width="9" style="24"/>
    <col min="10241" max="10241" width="5" style="24" customWidth="1"/>
    <col min="10242" max="10242" width="17.8984375" style="24" bestFit="1" customWidth="1"/>
    <col min="10243" max="10243" width="23.59765625" style="24" customWidth="1"/>
    <col min="10244" max="10244" width="18.19921875" style="24" customWidth="1"/>
    <col min="10245" max="10245" width="5.19921875" style="24" bestFit="1" customWidth="1"/>
    <col min="10246" max="10246" width="9" style="24"/>
    <col min="10247" max="10247" width="11.8984375" style="24" customWidth="1"/>
    <col min="10248" max="10248" width="13.59765625" style="24" customWidth="1"/>
    <col min="10249" max="10249" width="12.69921875" style="24" customWidth="1"/>
    <col min="10250" max="10496" width="9" style="24"/>
    <col min="10497" max="10497" width="5" style="24" customWidth="1"/>
    <col min="10498" max="10498" width="17.8984375" style="24" bestFit="1" customWidth="1"/>
    <col min="10499" max="10499" width="23.59765625" style="24" customWidth="1"/>
    <col min="10500" max="10500" width="18.19921875" style="24" customWidth="1"/>
    <col min="10501" max="10501" width="5.19921875" style="24" bestFit="1" customWidth="1"/>
    <col min="10502" max="10502" width="9" style="24"/>
    <col min="10503" max="10503" width="11.8984375" style="24" customWidth="1"/>
    <col min="10504" max="10504" width="13.59765625" style="24" customWidth="1"/>
    <col min="10505" max="10505" width="12.69921875" style="24" customWidth="1"/>
    <col min="10506" max="10752" width="9" style="24"/>
    <col min="10753" max="10753" width="5" style="24" customWidth="1"/>
    <col min="10754" max="10754" width="17.8984375" style="24" bestFit="1" customWidth="1"/>
    <col min="10755" max="10755" width="23.59765625" style="24" customWidth="1"/>
    <col min="10756" max="10756" width="18.19921875" style="24" customWidth="1"/>
    <col min="10757" max="10757" width="5.19921875" style="24" bestFit="1" customWidth="1"/>
    <col min="10758" max="10758" width="9" style="24"/>
    <col min="10759" max="10759" width="11.8984375" style="24" customWidth="1"/>
    <col min="10760" max="10760" width="13.59765625" style="24" customWidth="1"/>
    <col min="10761" max="10761" width="12.69921875" style="24" customWidth="1"/>
    <col min="10762" max="11008" width="9" style="24"/>
    <col min="11009" max="11009" width="5" style="24" customWidth="1"/>
    <col min="11010" max="11010" width="17.8984375" style="24" bestFit="1" customWidth="1"/>
    <col min="11011" max="11011" width="23.59765625" style="24" customWidth="1"/>
    <col min="11012" max="11012" width="18.19921875" style="24" customWidth="1"/>
    <col min="11013" max="11013" width="5.19921875" style="24" bestFit="1" customWidth="1"/>
    <col min="11014" max="11014" width="9" style="24"/>
    <col min="11015" max="11015" width="11.8984375" style="24" customWidth="1"/>
    <col min="11016" max="11016" width="13.59765625" style="24" customWidth="1"/>
    <col min="11017" max="11017" width="12.69921875" style="24" customWidth="1"/>
    <col min="11018" max="11264" width="9" style="24"/>
    <col min="11265" max="11265" width="5" style="24" customWidth="1"/>
    <col min="11266" max="11266" width="17.8984375" style="24" bestFit="1" customWidth="1"/>
    <col min="11267" max="11267" width="23.59765625" style="24" customWidth="1"/>
    <col min="11268" max="11268" width="18.19921875" style="24" customWidth="1"/>
    <col min="11269" max="11269" width="5.19921875" style="24" bestFit="1" customWidth="1"/>
    <col min="11270" max="11270" width="9" style="24"/>
    <col min="11271" max="11271" width="11.8984375" style="24" customWidth="1"/>
    <col min="11272" max="11272" width="13.59765625" style="24" customWidth="1"/>
    <col min="11273" max="11273" width="12.69921875" style="24" customWidth="1"/>
    <col min="11274" max="11520" width="9" style="24"/>
    <col min="11521" max="11521" width="5" style="24" customWidth="1"/>
    <col min="11522" max="11522" width="17.8984375" style="24" bestFit="1" customWidth="1"/>
    <col min="11523" max="11523" width="23.59765625" style="24" customWidth="1"/>
    <col min="11524" max="11524" width="18.19921875" style="24" customWidth="1"/>
    <col min="11525" max="11525" width="5.19921875" style="24" bestFit="1" customWidth="1"/>
    <col min="11526" max="11526" width="9" style="24"/>
    <col min="11527" max="11527" width="11.8984375" style="24" customWidth="1"/>
    <col min="11528" max="11528" width="13.59765625" style="24" customWidth="1"/>
    <col min="11529" max="11529" width="12.69921875" style="24" customWidth="1"/>
    <col min="11530" max="11776" width="9" style="24"/>
    <col min="11777" max="11777" width="5" style="24" customWidth="1"/>
    <col min="11778" max="11778" width="17.8984375" style="24" bestFit="1" customWidth="1"/>
    <col min="11779" max="11779" width="23.59765625" style="24" customWidth="1"/>
    <col min="11780" max="11780" width="18.19921875" style="24" customWidth="1"/>
    <col min="11781" max="11781" width="5.19921875" style="24" bestFit="1" customWidth="1"/>
    <col min="11782" max="11782" width="9" style="24"/>
    <col min="11783" max="11783" width="11.8984375" style="24" customWidth="1"/>
    <col min="11784" max="11784" width="13.59765625" style="24" customWidth="1"/>
    <col min="11785" max="11785" width="12.69921875" style="24" customWidth="1"/>
    <col min="11786" max="12032" width="9" style="24"/>
    <col min="12033" max="12033" width="5" style="24" customWidth="1"/>
    <col min="12034" max="12034" width="17.8984375" style="24" bestFit="1" customWidth="1"/>
    <col min="12035" max="12035" width="23.59765625" style="24" customWidth="1"/>
    <col min="12036" max="12036" width="18.19921875" style="24" customWidth="1"/>
    <col min="12037" max="12037" width="5.19921875" style="24" bestFit="1" customWidth="1"/>
    <col min="12038" max="12038" width="9" style="24"/>
    <col min="12039" max="12039" width="11.8984375" style="24" customWidth="1"/>
    <col min="12040" max="12040" width="13.59765625" style="24" customWidth="1"/>
    <col min="12041" max="12041" width="12.69921875" style="24" customWidth="1"/>
    <col min="12042" max="12288" width="9" style="24"/>
    <col min="12289" max="12289" width="5" style="24" customWidth="1"/>
    <col min="12290" max="12290" width="17.8984375" style="24" bestFit="1" customWidth="1"/>
    <col min="12291" max="12291" width="23.59765625" style="24" customWidth="1"/>
    <col min="12292" max="12292" width="18.19921875" style="24" customWidth="1"/>
    <col min="12293" max="12293" width="5.19921875" style="24" bestFit="1" customWidth="1"/>
    <col min="12294" max="12294" width="9" style="24"/>
    <col min="12295" max="12295" width="11.8984375" style="24" customWidth="1"/>
    <col min="12296" max="12296" width="13.59765625" style="24" customWidth="1"/>
    <col min="12297" max="12297" width="12.69921875" style="24" customWidth="1"/>
    <col min="12298" max="12544" width="9" style="24"/>
    <col min="12545" max="12545" width="5" style="24" customWidth="1"/>
    <col min="12546" max="12546" width="17.8984375" style="24" bestFit="1" customWidth="1"/>
    <col min="12547" max="12547" width="23.59765625" style="24" customWidth="1"/>
    <col min="12548" max="12548" width="18.19921875" style="24" customWidth="1"/>
    <col min="12549" max="12549" width="5.19921875" style="24" bestFit="1" customWidth="1"/>
    <col min="12550" max="12550" width="9" style="24"/>
    <col min="12551" max="12551" width="11.8984375" style="24" customWidth="1"/>
    <col min="12552" max="12552" width="13.59765625" style="24" customWidth="1"/>
    <col min="12553" max="12553" width="12.69921875" style="24" customWidth="1"/>
    <col min="12554" max="12800" width="9" style="24"/>
    <col min="12801" max="12801" width="5" style="24" customWidth="1"/>
    <col min="12802" max="12802" width="17.8984375" style="24" bestFit="1" customWidth="1"/>
    <col min="12803" max="12803" width="23.59765625" style="24" customWidth="1"/>
    <col min="12804" max="12804" width="18.19921875" style="24" customWidth="1"/>
    <col min="12805" max="12805" width="5.19921875" style="24" bestFit="1" customWidth="1"/>
    <col min="12806" max="12806" width="9" style="24"/>
    <col min="12807" max="12807" width="11.8984375" style="24" customWidth="1"/>
    <col min="12808" max="12808" width="13.59765625" style="24" customWidth="1"/>
    <col min="12809" max="12809" width="12.69921875" style="24" customWidth="1"/>
    <col min="12810" max="13056" width="9" style="24"/>
    <col min="13057" max="13057" width="5" style="24" customWidth="1"/>
    <col min="13058" max="13058" width="17.8984375" style="24" bestFit="1" customWidth="1"/>
    <col min="13059" max="13059" width="23.59765625" style="24" customWidth="1"/>
    <col min="13060" max="13060" width="18.19921875" style="24" customWidth="1"/>
    <col min="13061" max="13061" width="5.19921875" style="24" bestFit="1" customWidth="1"/>
    <col min="13062" max="13062" width="9" style="24"/>
    <col min="13063" max="13063" width="11.8984375" style="24" customWidth="1"/>
    <col min="13064" max="13064" width="13.59765625" style="24" customWidth="1"/>
    <col min="13065" max="13065" width="12.69921875" style="24" customWidth="1"/>
    <col min="13066" max="13312" width="9" style="24"/>
    <col min="13313" max="13313" width="5" style="24" customWidth="1"/>
    <col min="13314" max="13314" width="17.8984375" style="24" bestFit="1" customWidth="1"/>
    <col min="13315" max="13315" width="23.59765625" style="24" customWidth="1"/>
    <col min="13316" max="13316" width="18.19921875" style="24" customWidth="1"/>
    <col min="13317" max="13317" width="5.19921875" style="24" bestFit="1" customWidth="1"/>
    <col min="13318" max="13318" width="9" style="24"/>
    <col min="13319" max="13319" width="11.8984375" style="24" customWidth="1"/>
    <col min="13320" max="13320" width="13.59765625" style="24" customWidth="1"/>
    <col min="13321" max="13321" width="12.69921875" style="24" customWidth="1"/>
    <col min="13322" max="13568" width="9" style="24"/>
    <col min="13569" max="13569" width="5" style="24" customWidth="1"/>
    <col min="13570" max="13570" width="17.8984375" style="24" bestFit="1" customWidth="1"/>
    <col min="13571" max="13571" width="23.59765625" style="24" customWidth="1"/>
    <col min="13572" max="13572" width="18.19921875" style="24" customWidth="1"/>
    <col min="13573" max="13573" width="5.19921875" style="24" bestFit="1" customWidth="1"/>
    <col min="13574" max="13574" width="9" style="24"/>
    <col min="13575" max="13575" width="11.8984375" style="24" customWidth="1"/>
    <col min="13576" max="13576" width="13.59765625" style="24" customWidth="1"/>
    <col min="13577" max="13577" width="12.69921875" style="24" customWidth="1"/>
    <col min="13578" max="13824" width="9" style="24"/>
    <col min="13825" max="13825" width="5" style="24" customWidth="1"/>
    <col min="13826" max="13826" width="17.8984375" style="24" bestFit="1" customWidth="1"/>
    <col min="13827" max="13827" width="23.59765625" style="24" customWidth="1"/>
    <col min="13828" max="13828" width="18.19921875" style="24" customWidth="1"/>
    <col min="13829" max="13829" width="5.19921875" style="24" bestFit="1" customWidth="1"/>
    <col min="13830" max="13830" width="9" style="24"/>
    <col min="13831" max="13831" width="11.8984375" style="24" customWidth="1"/>
    <col min="13832" max="13832" width="13.59765625" style="24" customWidth="1"/>
    <col min="13833" max="13833" width="12.69921875" style="24" customWidth="1"/>
    <col min="13834" max="14080" width="9" style="24"/>
    <col min="14081" max="14081" width="5" style="24" customWidth="1"/>
    <col min="14082" max="14082" width="17.8984375" style="24" bestFit="1" customWidth="1"/>
    <col min="14083" max="14083" width="23.59765625" style="24" customWidth="1"/>
    <col min="14084" max="14084" width="18.19921875" style="24" customWidth="1"/>
    <col min="14085" max="14085" width="5.19921875" style="24" bestFit="1" customWidth="1"/>
    <col min="14086" max="14086" width="9" style="24"/>
    <col min="14087" max="14087" width="11.8984375" style="24" customWidth="1"/>
    <col min="14088" max="14088" width="13.59765625" style="24" customWidth="1"/>
    <col min="14089" max="14089" width="12.69921875" style="24" customWidth="1"/>
    <col min="14090" max="14336" width="9" style="24"/>
    <col min="14337" max="14337" width="5" style="24" customWidth="1"/>
    <col min="14338" max="14338" width="17.8984375" style="24" bestFit="1" customWidth="1"/>
    <col min="14339" max="14339" width="23.59765625" style="24" customWidth="1"/>
    <col min="14340" max="14340" width="18.19921875" style="24" customWidth="1"/>
    <col min="14341" max="14341" width="5.19921875" style="24" bestFit="1" customWidth="1"/>
    <col min="14342" max="14342" width="9" style="24"/>
    <col min="14343" max="14343" width="11.8984375" style="24" customWidth="1"/>
    <col min="14344" max="14344" width="13.59765625" style="24" customWidth="1"/>
    <col min="14345" max="14345" width="12.69921875" style="24" customWidth="1"/>
    <col min="14346" max="14592" width="9" style="24"/>
    <col min="14593" max="14593" width="5" style="24" customWidth="1"/>
    <col min="14594" max="14594" width="17.8984375" style="24" bestFit="1" customWidth="1"/>
    <col min="14595" max="14595" width="23.59765625" style="24" customWidth="1"/>
    <col min="14596" max="14596" width="18.19921875" style="24" customWidth="1"/>
    <col min="14597" max="14597" width="5.19921875" style="24" bestFit="1" customWidth="1"/>
    <col min="14598" max="14598" width="9" style="24"/>
    <col min="14599" max="14599" width="11.8984375" style="24" customWidth="1"/>
    <col min="14600" max="14600" width="13.59765625" style="24" customWidth="1"/>
    <col min="14601" max="14601" width="12.69921875" style="24" customWidth="1"/>
    <col min="14602" max="14848" width="9" style="24"/>
    <col min="14849" max="14849" width="5" style="24" customWidth="1"/>
    <col min="14850" max="14850" width="17.8984375" style="24" bestFit="1" customWidth="1"/>
    <col min="14851" max="14851" width="23.59765625" style="24" customWidth="1"/>
    <col min="14852" max="14852" width="18.19921875" style="24" customWidth="1"/>
    <col min="14853" max="14853" width="5.19921875" style="24" bestFit="1" customWidth="1"/>
    <col min="14854" max="14854" width="9" style="24"/>
    <col min="14855" max="14855" width="11.8984375" style="24" customWidth="1"/>
    <col min="14856" max="14856" width="13.59765625" style="24" customWidth="1"/>
    <col min="14857" max="14857" width="12.69921875" style="24" customWidth="1"/>
    <col min="14858" max="15104" width="9" style="24"/>
    <col min="15105" max="15105" width="5" style="24" customWidth="1"/>
    <col min="15106" max="15106" width="17.8984375" style="24" bestFit="1" customWidth="1"/>
    <col min="15107" max="15107" width="23.59765625" style="24" customWidth="1"/>
    <col min="15108" max="15108" width="18.19921875" style="24" customWidth="1"/>
    <col min="15109" max="15109" width="5.19921875" style="24" bestFit="1" customWidth="1"/>
    <col min="15110" max="15110" width="9" style="24"/>
    <col min="15111" max="15111" width="11.8984375" style="24" customWidth="1"/>
    <col min="15112" max="15112" width="13.59765625" style="24" customWidth="1"/>
    <col min="15113" max="15113" width="12.69921875" style="24" customWidth="1"/>
    <col min="15114" max="15360" width="9" style="24"/>
    <col min="15361" max="15361" width="5" style="24" customWidth="1"/>
    <col min="15362" max="15362" width="17.8984375" style="24" bestFit="1" customWidth="1"/>
    <col min="15363" max="15363" width="23.59765625" style="24" customWidth="1"/>
    <col min="15364" max="15364" width="18.19921875" style="24" customWidth="1"/>
    <col min="15365" max="15365" width="5.19921875" style="24" bestFit="1" customWidth="1"/>
    <col min="15366" max="15366" width="9" style="24"/>
    <col min="15367" max="15367" width="11.8984375" style="24" customWidth="1"/>
    <col min="15368" max="15368" width="13.59765625" style="24" customWidth="1"/>
    <col min="15369" max="15369" width="12.69921875" style="24" customWidth="1"/>
    <col min="15370" max="15616" width="9" style="24"/>
    <col min="15617" max="15617" width="5" style="24" customWidth="1"/>
    <col min="15618" max="15618" width="17.8984375" style="24" bestFit="1" customWidth="1"/>
    <col min="15619" max="15619" width="23.59765625" style="24" customWidth="1"/>
    <col min="15620" max="15620" width="18.19921875" style="24" customWidth="1"/>
    <col min="15621" max="15621" width="5.19921875" style="24" bestFit="1" customWidth="1"/>
    <col min="15622" max="15622" width="9" style="24"/>
    <col min="15623" max="15623" width="11.8984375" style="24" customWidth="1"/>
    <col min="15624" max="15624" width="13.59765625" style="24" customWidth="1"/>
    <col min="15625" max="15625" width="12.69921875" style="24" customWidth="1"/>
    <col min="15626" max="15872" width="9" style="24"/>
    <col min="15873" max="15873" width="5" style="24" customWidth="1"/>
    <col min="15874" max="15874" width="17.8984375" style="24" bestFit="1" customWidth="1"/>
    <col min="15875" max="15875" width="23.59765625" style="24" customWidth="1"/>
    <col min="15876" max="15876" width="18.19921875" style="24" customWidth="1"/>
    <col min="15877" max="15877" width="5.19921875" style="24" bestFit="1" customWidth="1"/>
    <col min="15878" max="15878" width="9" style="24"/>
    <col min="15879" max="15879" width="11.8984375" style="24" customWidth="1"/>
    <col min="15880" max="15880" width="13.59765625" style="24" customWidth="1"/>
    <col min="15881" max="15881" width="12.69921875" style="24" customWidth="1"/>
    <col min="15882" max="16128" width="9" style="24"/>
    <col min="16129" max="16129" width="5" style="24" customWidth="1"/>
    <col min="16130" max="16130" width="17.8984375" style="24" bestFit="1" customWidth="1"/>
    <col min="16131" max="16131" width="23.59765625" style="24" customWidth="1"/>
    <col min="16132" max="16132" width="18.19921875" style="24" customWidth="1"/>
    <col min="16133" max="16133" width="5.19921875" style="24" bestFit="1" customWidth="1"/>
    <col min="16134" max="16134" width="9" style="24"/>
    <col min="16135" max="16135" width="11.8984375" style="24" customWidth="1"/>
    <col min="16136" max="16136" width="13.59765625" style="24" customWidth="1"/>
    <col min="16137" max="16137" width="12.69921875" style="24" customWidth="1"/>
    <col min="16138" max="16384" width="9" style="24"/>
  </cols>
  <sheetData>
    <row r="1" spans="1:9" ht="22.5" customHeight="1">
      <c r="B1" s="201" t="s">
        <v>145</v>
      </c>
      <c r="C1" s="266" t="s">
        <v>388</v>
      </c>
      <c r="F1" s="290"/>
      <c r="I1" s="24" t="s">
        <v>118</v>
      </c>
    </row>
    <row r="2" spans="1:9" s="26" customFormat="1" ht="16.5" customHeight="1">
      <c r="A2" s="337" t="s">
        <v>119</v>
      </c>
      <c r="B2" s="339"/>
      <c r="C2" s="275" t="s">
        <v>120</v>
      </c>
      <c r="D2" s="125" t="s">
        <v>121</v>
      </c>
      <c r="E2" s="125" t="s">
        <v>38</v>
      </c>
      <c r="F2" s="249" t="s">
        <v>39</v>
      </c>
      <c r="G2" s="249" t="s">
        <v>122</v>
      </c>
      <c r="H2" s="249" t="s">
        <v>123</v>
      </c>
      <c r="I2" s="125" t="s">
        <v>124</v>
      </c>
    </row>
    <row r="3" spans="1:9" ht="15.9" customHeight="1">
      <c r="A3" s="429" t="s">
        <v>125</v>
      </c>
      <c r="B3" s="206" t="s">
        <v>126</v>
      </c>
      <c r="C3" s="227" t="s">
        <v>389</v>
      </c>
      <c r="D3" s="465" t="s">
        <v>390</v>
      </c>
      <c r="E3" s="228" t="s">
        <v>207</v>
      </c>
      <c r="F3" s="229">
        <v>1</v>
      </c>
      <c r="G3" s="230">
        <v>95000000</v>
      </c>
      <c r="H3" s="231">
        <f>IF(F3=0,G3,G3*F3)</f>
        <v>95000000</v>
      </c>
      <c r="I3" s="232" t="s">
        <v>275</v>
      </c>
    </row>
    <row r="4" spans="1:9" ht="15.9" customHeight="1">
      <c r="A4" s="433"/>
      <c r="B4" s="206"/>
      <c r="C4" s="271" t="s">
        <v>391</v>
      </c>
      <c r="D4" s="268" t="s">
        <v>392</v>
      </c>
      <c r="E4" s="272" t="s">
        <v>146</v>
      </c>
      <c r="F4" s="215"/>
      <c r="G4" s="216"/>
      <c r="H4" s="165">
        <f>F4*G4</f>
        <v>0</v>
      </c>
      <c r="I4" s="39"/>
    </row>
    <row r="5" spans="1:9" ht="15.9" customHeight="1">
      <c r="A5" s="433"/>
      <c r="B5" s="206"/>
      <c r="C5" s="271" t="s">
        <v>393</v>
      </c>
      <c r="D5" s="268" t="s">
        <v>394</v>
      </c>
      <c r="E5" s="272" t="s">
        <v>199</v>
      </c>
      <c r="F5" s="273">
        <v>1</v>
      </c>
      <c r="G5" s="274">
        <v>30000000</v>
      </c>
      <c r="H5" s="165">
        <f>F5*G5</f>
        <v>30000000</v>
      </c>
      <c r="I5" s="39" t="s">
        <v>395</v>
      </c>
    </row>
    <row r="6" spans="1:9" ht="15.9" customHeight="1">
      <c r="A6" s="433"/>
      <c r="B6" s="206"/>
      <c r="C6" s="477" t="s">
        <v>396</v>
      </c>
      <c r="D6" s="478"/>
      <c r="E6" s="455"/>
      <c r="F6" s="215"/>
      <c r="G6" s="216"/>
      <c r="H6" s="165">
        <f>F6*G6</f>
        <v>0</v>
      </c>
      <c r="I6" s="39"/>
    </row>
    <row r="7" spans="1:9" ht="15.9" customHeight="1">
      <c r="A7" s="433"/>
      <c r="B7" s="206"/>
      <c r="C7" s="271" t="s">
        <v>397</v>
      </c>
      <c r="D7" s="268"/>
      <c r="E7" s="272" t="s">
        <v>146</v>
      </c>
      <c r="F7" s="273">
        <v>1</v>
      </c>
      <c r="G7" s="274">
        <v>3500000</v>
      </c>
      <c r="H7" s="165">
        <f>F7*G7</f>
        <v>3500000</v>
      </c>
      <c r="I7" s="39"/>
    </row>
    <row r="8" spans="1:9" ht="15.9" customHeight="1">
      <c r="A8" s="433"/>
      <c r="B8" s="206"/>
      <c r="C8" s="213"/>
      <c r="D8" s="213"/>
      <c r="E8" s="213"/>
      <c r="F8" s="216"/>
      <c r="G8" s="216"/>
      <c r="H8" s="165">
        <f t="shared" ref="H8:H76" si="0">IF(F8=0,G8,G8*F8)</f>
        <v>0</v>
      </c>
      <c r="I8" s="39"/>
    </row>
    <row r="9" spans="1:9" ht="15.9" customHeight="1">
      <c r="A9" s="433"/>
      <c r="B9" s="206"/>
      <c r="C9" s="213"/>
      <c r="D9" s="213"/>
      <c r="E9" s="213"/>
      <c r="F9" s="216"/>
      <c r="G9" s="216"/>
      <c r="H9" s="165">
        <f t="shared" si="0"/>
        <v>0</v>
      </c>
      <c r="I9" s="39"/>
    </row>
    <row r="10" spans="1:9" ht="15.9" customHeight="1">
      <c r="A10" s="433"/>
      <c r="B10" s="206"/>
      <c r="C10" s="213"/>
      <c r="D10" s="213"/>
      <c r="E10" s="213"/>
      <c r="F10" s="216"/>
      <c r="G10" s="216"/>
      <c r="H10" s="165">
        <f t="shared" si="0"/>
        <v>0</v>
      </c>
      <c r="I10" s="39"/>
    </row>
    <row r="11" spans="1:9" ht="15.9" customHeight="1">
      <c r="A11" s="433"/>
      <c r="B11" s="206"/>
      <c r="C11" s="213"/>
      <c r="D11" s="213"/>
      <c r="E11" s="213"/>
      <c r="F11" s="216"/>
      <c r="G11" s="216"/>
      <c r="H11" s="165">
        <f t="shared" si="0"/>
        <v>0</v>
      </c>
      <c r="I11" s="39"/>
    </row>
    <row r="12" spans="1:9" ht="15.9" customHeight="1">
      <c r="A12" s="433"/>
      <c r="B12" s="206"/>
      <c r="C12" s="213"/>
      <c r="D12" s="213"/>
      <c r="E12" s="213"/>
      <c r="F12" s="216"/>
      <c r="G12" s="216"/>
      <c r="H12" s="165">
        <f t="shared" si="0"/>
        <v>0</v>
      </c>
      <c r="I12" s="39"/>
    </row>
    <row r="13" spans="1:9" ht="15.9" customHeight="1">
      <c r="A13" s="433"/>
      <c r="B13" s="206"/>
      <c r="C13" s="213"/>
      <c r="D13" s="213"/>
      <c r="E13" s="213"/>
      <c r="F13" s="216"/>
      <c r="G13" s="216"/>
      <c r="H13" s="165">
        <f t="shared" si="0"/>
        <v>0</v>
      </c>
      <c r="I13" s="39"/>
    </row>
    <row r="14" spans="1:9" ht="15.9" customHeight="1">
      <c r="A14" s="433"/>
      <c r="B14" s="206"/>
      <c r="C14" s="213"/>
      <c r="D14" s="213"/>
      <c r="E14" s="213"/>
      <c r="F14" s="216"/>
      <c r="G14" s="216"/>
      <c r="H14" s="165">
        <f t="shared" si="0"/>
        <v>0</v>
      </c>
      <c r="I14" s="39"/>
    </row>
    <row r="15" spans="1:9" ht="15.9" customHeight="1">
      <c r="A15" s="433"/>
      <c r="B15" s="206"/>
      <c r="C15" s="213"/>
      <c r="D15" s="213"/>
      <c r="E15" s="213"/>
      <c r="F15" s="216"/>
      <c r="G15" s="216"/>
      <c r="H15" s="165">
        <f t="shared" si="0"/>
        <v>0</v>
      </c>
      <c r="I15" s="39"/>
    </row>
    <row r="16" spans="1:9" ht="15.9" customHeight="1">
      <c r="A16" s="433"/>
      <c r="B16" s="206"/>
      <c r="C16" s="213"/>
      <c r="D16" s="213"/>
      <c r="E16" s="213"/>
      <c r="F16" s="216"/>
      <c r="G16" s="216"/>
      <c r="H16" s="165">
        <f t="shared" si="0"/>
        <v>0</v>
      </c>
      <c r="I16" s="39"/>
    </row>
    <row r="17" spans="1:9" ht="15.9" customHeight="1">
      <c r="A17" s="433"/>
      <c r="B17" s="206"/>
      <c r="C17" s="213"/>
      <c r="D17" s="213"/>
      <c r="E17" s="213"/>
      <c r="F17" s="216"/>
      <c r="G17" s="216"/>
      <c r="H17" s="165">
        <f t="shared" si="0"/>
        <v>0</v>
      </c>
      <c r="I17" s="39"/>
    </row>
    <row r="18" spans="1:9" ht="15.9" customHeight="1">
      <c r="A18" s="433"/>
      <c r="B18" s="206"/>
      <c r="C18" s="213"/>
      <c r="D18" s="213"/>
      <c r="E18" s="213"/>
      <c r="F18" s="216"/>
      <c r="G18" s="216"/>
      <c r="H18" s="165">
        <f t="shared" si="0"/>
        <v>0</v>
      </c>
      <c r="I18" s="39"/>
    </row>
    <row r="19" spans="1:9" ht="15.9" customHeight="1">
      <c r="A19" s="433"/>
      <c r="B19" s="206"/>
      <c r="C19" s="213"/>
      <c r="D19" s="213"/>
      <c r="E19" s="213"/>
      <c r="F19" s="216"/>
      <c r="G19" s="216"/>
      <c r="H19" s="165">
        <f t="shared" si="0"/>
        <v>0</v>
      </c>
      <c r="I19" s="39"/>
    </row>
    <row r="20" spans="1:9" ht="15.9" customHeight="1">
      <c r="A20" s="433"/>
      <c r="B20" s="206"/>
      <c r="C20" s="213"/>
      <c r="D20" s="213"/>
      <c r="E20" s="213"/>
      <c r="F20" s="216"/>
      <c r="G20" s="216"/>
      <c r="H20" s="165">
        <f t="shared" si="0"/>
        <v>0</v>
      </c>
      <c r="I20" s="39"/>
    </row>
    <row r="21" spans="1:9" ht="15.9" customHeight="1">
      <c r="A21" s="433"/>
      <c r="B21" s="206"/>
      <c r="C21" s="213"/>
      <c r="D21" s="213"/>
      <c r="E21" s="213"/>
      <c r="F21" s="216"/>
      <c r="G21" s="216"/>
      <c r="H21" s="165">
        <f t="shared" si="0"/>
        <v>0</v>
      </c>
      <c r="I21" s="39"/>
    </row>
    <row r="22" spans="1:9" ht="15.9" customHeight="1">
      <c r="A22" s="433"/>
      <c r="B22" s="206"/>
      <c r="C22" s="213"/>
      <c r="D22" s="213"/>
      <c r="E22" s="213"/>
      <c r="F22" s="216"/>
      <c r="G22" s="216"/>
      <c r="H22" s="165">
        <f t="shared" si="0"/>
        <v>0</v>
      </c>
      <c r="I22" s="39"/>
    </row>
    <row r="23" spans="1:9" ht="15.9" customHeight="1">
      <c r="A23" s="433"/>
      <c r="B23" s="206"/>
      <c r="C23" s="217"/>
      <c r="D23" s="218"/>
      <c r="E23" s="218"/>
      <c r="F23" s="219"/>
      <c r="G23" s="220"/>
      <c r="H23" s="175">
        <f t="shared" si="0"/>
        <v>0</v>
      </c>
      <c r="I23" s="42"/>
    </row>
    <row r="24" spans="1:9" ht="15.9" customHeight="1">
      <c r="A24" s="433"/>
      <c r="B24" s="221"/>
      <c r="C24" s="240"/>
      <c r="D24" s="240"/>
      <c r="E24" s="240"/>
      <c r="F24" s="243"/>
      <c r="G24" s="243"/>
      <c r="H24" s="244">
        <f>SUM(H3:H23)</f>
        <v>128500000</v>
      </c>
      <c r="I24" s="240"/>
    </row>
    <row r="25" spans="1:9" ht="15.9" customHeight="1">
      <c r="A25" s="433"/>
      <c r="B25" s="206" t="s">
        <v>147</v>
      </c>
      <c r="C25" s="227"/>
      <c r="D25" s="227"/>
      <c r="E25" s="228"/>
      <c r="F25" s="229"/>
      <c r="G25" s="230"/>
      <c r="H25" s="231">
        <f t="shared" si="0"/>
        <v>0</v>
      </c>
      <c r="I25" s="232"/>
    </row>
    <row r="26" spans="1:9" ht="15.9" customHeight="1">
      <c r="A26" s="433"/>
      <c r="B26" s="206" t="s">
        <v>148</v>
      </c>
      <c r="C26" s="213"/>
      <c r="D26" s="213"/>
      <c r="E26" s="213"/>
      <c r="F26" s="216"/>
      <c r="G26" s="216"/>
      <c r="H26" s="165">
        <f t="shared" si="0"/>
        <v>0</v>
      </c>
      <c r="I26" s="39"/>
    </row>
    <row r="27" spans="1:9" ht="15.9" customHeight="1">
      <c r="A27" s="433"/>
      <c r="B27" s="206"/>
      <c r="C27" s="213"/>
      <c r="D27" s="213"/>
      <c r="E27" s="213"/>
      <c r="F27" s="216"/>
      <c r="G27" s="216"/>
      <c r="H27" s="165">
        <f t="shared" si="0"/>
        <v>0</v>
      </c>
      <c r="I27" s="39"/>
    </row>
    <row r="28" spans="1:9" ht="15.9" customHeight="1">
      <c r="A28" s="433"/>
      <c r="B28" s="206"/>
      <c r="C28" s="213"/>
      <c r="D28" s="213"/>
      <c r="E28" s="213"/>
      <c r="F28" s="216"/>
      <c r="G28" s="216"/>
      <c r="H28" s="165">
        <f t="shared" si="0"/>
        <v>0</v>
      </c>
      <c r="I28" s="39"/>
    </row>
    <row r="29" spans="1:9" ht="15.9" customHeight="1">
      <c r="A29" s="433"/>
      <c r="B29" s="206"/>
      <c r="C29" s="213"/>
      <c r="D29" s="213"/>
      <c r="E29" s="213"/>
      <c r="F29" s="216"/>
      <c r="G29" s="216"/>
      <c r="H29" s="165">
        <f t="shared" si="0"/>
        <v>0</v>
      </c>
      <c r="I29" s="39"/>
    </row>
    <row r="30" spans="1:9" ht="15.9" customHeight="1">
      <c r="A30" s="433"/>
      <c r="B30" s="206"/>
      <c r="C30" s="213"/>
      <c r="D30" s="213"/>
      <c r="E30" s="213"/>
      <c r="F30" s="216"/>
      <c r="G30" s="216"/>
      <c r="H30" s="165">
        <f t="shared" si="0"/>
        <v>0</v>
      </c>
      <c r="I30" s="39"/>
    </row>
    <row r="31" spans="1:9" ht="15.9" customHeight="1">
      <c r="A31" s="433"/>
      <c r="B31" s="206"/>
      <c r="C31" s="213"/>
      <c r="D31" s="213"/>
      <c r="E31" s="213"/>
      <c r="F31" s="216"/>
      <c r="G31" s="216"/>
      <c r="H31" s="165">
        <f t="shared" si="0"/>
        <v>0</v>
      </c>
      <c r="I31" s="39"/>
    </row>
    <row r="32" spans="1:9" ht="15.9" customHeight="1">
      <c r="A32" s="433"/>
      <c r="B32" s="206"/>
      <c r="C32" s="213"/>
      <c r="D32" s="213"/>
      <c r="E32" s="213"/>
      <c r="F32" s="216"/>
      <c r="G32" s="216"/>
      <c r="H32" s="165">
        <f t="shared" si="0"/>
        <v>0</v>
      </c>
      <c r="I32" s="39"/>
    </row>
    <row r="33" spans="1:9" ht="15.9" customHeight="1">
      <c r="A33" s="433"/>
      <c r="B33" s="206"/>
      <c r="C33" s="213"/>
      <c r="D33" s="213"/>
      <c r="E33" s="213"/>
      <c r="F33" s="216"/>
      <c r="G33" s="216"/>
      <c r="H33" s="165">
        <f t="shared" si="0"/>
        <v>0</v>
      </c>
      <c r="I33" s="39"/>
    </row>
    <row r="34" spans="1:9" ht="15.9" customHeight="1">
      <c r="A34" s="433"/>
      <c r="B34" s="206"/>
      <c r="C34" s="217"/>
      <c r="D34" s="217"/>
      <c r="E34" s="217"/>
      <c r="F34" s="220"/>
      <c r="G34" s="220"/>
      <c r="H34" s="175">
        <f t="shared" si="0"/>
        <v>0</v>
      </c>
      <c r="I34" s="42"/>
    </row>
    <row r="35" spans="1:9" ht="15.9" customHeight="1">
      <c r="A35" s="433"/>
      <c r="B35" s="221"/>
      <c r="C35" s="222"/>
      <c r="D35" s="223"/>
      <c r="E35" s="223"/>
      <c r="F35" s="291"/>
      <c r="G35" s="225"/>
      <c r="H35" s="49">
        <f>SUM(H25:H34)</f>
        <v>0</v>
      </c>
      <c r="I35" s="46"/>
    </row>
    <row r="36" spans="1:9" ht="15.9" customHeight="1">
      <c r="A36" s="433"/>
      <c r="B36" s="245" t="s">
        <v>149</v>
      </c>
      <c r="C36" s="292" t="s">
        <v>398</v>
      </c>
      <c r="D36" s="479" t="s">
        <v>146</v>
      </c>
      <c r="E36" s="444" t="s">
        <v>199</v>
      </c>
      <c r="F36" s="467">
        <v>2</v>
      </c>
      <c r="G36" s="446">
        <v>45000000</v>
      </c>
      <c r="H36" s="231">
        <f t="shared" ref="H36:H42" si="1">IF(F36=0,G36,G36*F36)</f>
        <v>90000000</v>
      </c>
      <c r="I36" s="468" t="s">
        <v>352</v>
      </c>
    </row>
    <row r="37" spans="1:9" ht="15.9" customHeight="1">
      <c r="A37" s="433"/>
      <c r="B37" s="206" t="s">
        <v>150</v>
      </c>
      <c r="C37" s="271" t="s">
        <v>399</v>
      </c>
      <c r="D37" s="268" t="s">
        <v>146</v>
      </c>
      <c r="E37" s="272" t="s">
        <v>146</v>
      </c>
      <c r="F37" s="273"/>
      <c r="G37" s="216"/>
      <c r="H37" s="165" t="s">
        <v>146</v>
      </c>
      <c r="I37" s="469" t="s">
        <v>146</v>
      </c>
    </row>
    <row r="38" spans="1:9" ht="15.9" customHeight="1">
      <c r="A38" s="433"/>
      <c r="B38" s="206"/>
      <c r="C38" s="271" t="s">
        <v>400</v>
      </c>
      <c r="D38" s="480" t="s">
        <v>146</v>
      </c>
      <c r="E38" s="272" t="s">
        <v>199</v>
      </c>
      <c r="F38" s="277">
        <v>2</v>
      </c>
      <c r="G38" s="274">
        <v>30000000</v>
      </c>
      <c r="H38" s="165">
        <f t="shared" si="1"/>
        <v>60000000</v>
      </c>
      <c r="I38" s="469" t="s">
        <v>401</v>
      </c>
    </row>
    <row r="39" spans="1:9" ht="15.9" customHeight="1">
      <c r="A39" s="433"/>
      <c r="B39" s="206"/>
      <c r="C39" s="271" t="s">
        <v>402</v>
      </c>
      <c r="D39" s="268"/>
      <c r="E39" s="272" t="s">
        <v>199</v>
      </c>
      <c r="F39" s="277">
        <v>2</v>
      </c>
      <c r="G39" s="274">
        <v>33000000</v>
      </c>
      <c r="H39" s="165">
        <f t="shared" si="1"/>
        <v>66000000</v>
      </c>
      <c r="I39" s="469" t="s">
        <v>360</v>
      </c>
    </row>
    <row r="40" spans="1:9" ht="15.9" customHeight="1">
      <c r="A40" s="433"/>
      <c r="B40" s="206"/>
      <c r="C40" s="271" t="s">
        <v>403</v>
      </c>
      <c r="D40" s="268"/>
      <c r="E40" s="272" t="s">
        <v>199</v>
      </c>
      <c r="F40" s="277">
        <v>2</v>
      </c>
      <c r="G40" s="274">
        <v>1500000</v>
      </c>
      <c r="H40" s="165">
        <f t="shared" si="1"/>
        <v>3000000</v>
      </c>
      <c r="I40" s="469" t="s">
        <v>365</v>
      </c>
    </row>
    <row r="41" spans="1:9" ht="15.9" customHeight="1">
      <c r="A41" s="433"/>
      <c r="B41" s="206"/>
      <c r="C41" s="271" t="s">
        <v>404</v>
      </c>
      <c r="D41" s="268"/>
      <c r="E41" s="272" t="s">
        <v>199</v>
      </c>
      <c r="F41" s="277">
        <v>3</v>
      </c>
      <c r="G41" s="274">
        <v>1500000</v>
      </c>
      <c r="H41" s="165">
        <f t="shared" si="1"/>
        <v>4500000</v>
      </c>
      <c r="I41" s="469" t="s">
        <v>405</v>
      </c>
    </row>
    <row r="42" spans="1:9" ht="15.9" customHeight="1">
      <c r="A42" s="433"/>
      <c r="B42" s="206"/>
      <c r="C42" s="268" t="s">
        <v>406</v>
      </c>
      <c r="D42" s="268" t="s">
        <v>299</v>
      </c>
      <c r="E42" s="272" t="s">
        <v>199</v>
      </c>
      <c r="F42" s="277">
        <v>4</v>
      </c>
      <c r="G42" s="283">
        <v>2000000</v>
      </c>
      <c r="H42" s="165">
        <f t="shared" si="1"/>
        <v>8000000</v>
      </c>
      <c r="I42" s="39" t="s">
        <v>297</v>
      </c>
    </row>
    <row r="43" spans="1:9" ht="15.9" customHeight="1">
      <c r="A43" s="433"/>
      <c r="B43" s="206"/>
      <c r="C43" s="271" t="s">
        <v>407</v>
      </c>
      <c r="D43" s="271" t="s">
        <v>146</v>
      </c>
      <c r="E43" s="272" t="s">
        <v>146</v>
      </c>
      <c r="F43" s="277"/>
      <c r="G43" s="274"/>
      <c r="H43" s="165">
        <f t="shared" si="0"/>
        <v>0</v>
      </c>
      <c r="I43" s="35"/>
    </row>
    <row r="44" spans="1:9" ht="15.9" customHeight="1">
      <c r="A44" s="433"/>
      <c r="B44" s="206"/>
      <c r="C44" s="271" t="s">
        <v>408</v>
      </c>
      <c r="D44" s="271" t="s">
        <v>409</v>
      </c>
      <c r="E44" s="272" t="s">
        <v>199</v>
      </c>
      <c r="F44" s="272">
        <v>2</v>
      </c>
      <c r="G44" s="449">
        <v>4500000</v>
      </c>
      <c r="H44" s="165">
        <f t="shared" si="0"/>
        <v>9000000</v>
      </c>
      <c r="I44" s="35"/>
    </row>
    <row r="45" spans="1:9" ht="15.9" customHeight="1">
      <c r="A45" s="433"/>
      <c r="B45" s="206"/>
      <c r="C45" s="268" t="s">
        <v>410</v>
      </c>
      <c r="D45" s="268" t="s">
        <v>146</v>
      </c>
      <c r="E45" s="272" t="s">
        <v>146</v>
      </c>
      <c r="F45" s="277"/>
      <c r="G45" s="274"/>
      <c r="H45" s="165">
        <f t="shared" si="0"/>
        <v>0</v>
      </c>
      <c r="I45" s="35"/>
    </row>
    <row r="46" spans="1:9" ht="15.9" customHeight="1">
      <c r="A46" s="433"/>
      <c r="B46" s="206"/>
      <c r="C46" s="268" t="s">
        <v>411</v>
      </c>
      <c r="D46" s="268" t="s">
        <v>304</v>
      </c>
      <c r="E46" s="272" t="s">
        <v>199</v>
      </c>
      <c r="F46" s="277">
        <v>1</v>
      </c>
      <c r="G46" s="274">
        <v>8000000</v>
      </c>
      <c r="H46" s="165">
        <f t="shared" si="0"/>
        <v>8000000</v>
      </c>
      <c r="I46" s="35"/>
    </row>
    <row r="47" spans="1:9" ht="15.9" customHeight="1">
      <c r="A47" s="433"/>
      <c r="B47" s="206"/>
      <c r="C47" s="268" t="s">
        <v>412</v>
      </c>
      <c r="D47" s="268" t="s">
        <v>306</v>
      </c>
      <c r="E47" s="272" t="s">
        <v>207</v>
      </c>
      <c r="F47" s="272">
        <v>2</v>
      </c>
      <c r="G47" s="447">
        <v>1000000</v>
      </c>
      <c r="H47" s="165">
        <f t="shared" si="0"/>
        <v>2000000</v>
      </c>
      <c r="I47" s="35"/>
    </row>
    <row r="48" spans="1:9" ht="15.9" customHeight="1">
      <c r="A48" s="433"/>
      <c r="B48" s="206"/>
      <c r="C48" s="213"/>
      <c r="D48" s="213"/>
      <c r="E48" s="213"/>
      <c r="F48" s="216"/>
      <c r="G48" s="216"/>
      <c r="H48" s="165">
        <f t="shared" si="0"/>
        <v>0</v>
      </c>
      <c r="I48" s="39"/>
    </row>
    <row r="49" spans="1:9" ht="15.9" customHeight="1">
      <c r="A49" s="433"/>
      <c r="B49" s="206"/>
      <c r="C49" s="213"/>
      <c r="D49" s="213"/>
      <c r="E49" s="214"/>
      <c r="F49" s="215"/>
      <c r="G49" s="216"/>
      <c r="H49" s="165">
        <f t="shared" si="0"/>
        <v>0</v>
      </c>
      <c r="I49" s="39"/>
    </row>
    <row r="50" spans="1:9" ht="15.9" customHeight="1">
      <c r="A50" s="433"/>
      <c r="B50" s="206"/>
      <c r="C50" s="213"/>
      <c r="D50" s="271"/>
      <c r="E50" s="214"/>
      <c r="F50" s="273"/>
      <c r="G50" s="216"/>
      <c r="H50" s="165">
        <f t="shared" si="0"/>
        <v>0</v>
      </c>
      <c r="I50" s="39"/>
    </row>
    <row r="51" spans="1:9" ht="15.9" customHeight="1">
      <c r="A51" s="433"/>
      <c r="B51" s="206"/>
      <c r="C51" s="213"/>
      <c r="D51" s="271"/>
      <c r="E51" s="214"/>
      <c r="F51" s="273"/>
      <c r="G51" s="216"/>
      <c r="H51" s="165">
        <f t="shared" si="0"/>
        <v>0</v>
      </c>
      <c r="I51" s="39"/>
    </row>
    <row r="52" spans="1:9" ht="15.9" customHeight="1">
      <c r="A52" s="433"/>
      <c r="B52" s="206"/>
      <c r="C52" s="213"/>
      <c r="D52" s="271"/>
      <c r="E52" s="214"/>
      <c r="F52" s="273"/>
      <c r="G52" s="216"/>
      <c r="H52" s="165">
        <f t="shared" si="0"/>
        <v>0</v>
      </c>
      <c r="I52" s="39"/>
    </row>
    <row r="53" spans="1:9" ht="15.9" customHeight="1">
      <c r="A53" s="433"/>
      <c r="B53" s="206"/>
      <c r="C53" s="213"/>
      <c r="D53" s="213"/>
      <c r="E53" s="213"/>
      <c r="F53" s="216"/>
      <c r="G53" s="216"/>
      <c r="H53" s="165">
        <f t="shared" si="0"/>
        <v>0</v>
      </c>
      <c r="I53" s="39"/>
    </row>
    <row r="54" spans="1:9" ht="15.9" customHeight="1">
      <c r="A54" s="433"/>
      <c r="B54" s="206"/>
      <c r="C54" s="213"/>
      <c r="D54" s="213"/>
      <c r="E54" s="213"/>
      <c r="F54" s="216"/>
      <c r="G54" s="216"/>
      <c r="H54" s="165">
        <f t="shared" si="0"/>
        <v>0</v>
      </c>
      <c r="I54" s="39"/>
    </row>
    <row r="55" spans="1:9" ht="15.9" customHeight="1">
      <c r="A55" s="433"/>
      <c r="B55" s="206"/>
      <c r="C55" s="217"/>
      <c r="D55" s="217"/>
      <c r="E55" s="218"/>
      <c r="F55" s="219"/>
      <c r="G55" s="220"/>
      <c r="H55" s="175">
        <f t="shared" si="0"/>
        <v>0</v>
      </c>
      <c r="I55" s="42"/>
    </row>
    <row r="56" spans="1:9" ht="15.9" customHeight="1">
      <c r="A56" s="433"/>
      <c r="B56" s="221"/>
      <c r="C56" s="222"/>
      <c r="D56" s="223"/>
      <c r="E56" s="223"/>
      <c r="F56" s="225"/>
      <c r="G56" s="225"/>
      <c r="H56" s="49">
        <f>SUM(H36:H55)</f>
        <v>250500000</v>
      </c>
      <c r="I56" s="46"/>
    </row>
    <row r="57" spans="1:9" ht="15.9" customHeight="1">
      <c r="A57" s="433"/>
      <c r="B57" s="245" t="s">
        <v>51</v>
      </c>
      <c r="C57" s="227" t="s">
        <v>413</v>
      </c>
      <c r="D57" s="465"/>
      <c r="E57" s="444" t="s">
        <v>199</v>
      </c>
      <c r="F57" s="445">
        <v>1</v>
      </c>
      <c r="G57" s="230">
        <v>10000000</v>
      </c>
      <c r="H57" s="231">
        <f>IF(F57=0,G57,G57*F57)</f>
        <v>10000000</v>
      </c>
      <c r="I57" s="468" t="s">
        <v>283</v>
      </c>
    </row>
    <row r="58" spans="1:9" ht="15.9" customHeight="1">
      <c r="A58" s="433"/>
      <c r="B58" s="206"/>
      <c r="C58" s="213" t="s">
        <v>414</v>
      </c>
      <c r="D58" s="268" t="s">
        <v>415</v>
      </c>
      <c r="E58" s="272" t="s">
        <v>199</v>
      </c>
      <c r="F58" s="273">
        <v>2</v>
      </c>
      <c r="G58" s="216">
        <v>10000000</v>
      </c>
      <c r="H58" s="165">
        <f>IF(F58=0,G58,G58*F58)</f>
        <v>20000000</v>
      </c>
      <c r="I58" s="469" t="s">
        <v>416</v>
      </c>
    </row>
    <row r="59" spans="1:9" ht="15.9" customHeight="1">
      <c r="A59" s="433"/>
      <c r="B59" s="206"/>
      <c r="C59" s="213" t="s">
        <v>323</v>
      </c>
      <c r="D59" s="268"/>
      <c r="E59" s="214" t="s">
        <v>151</v>
      </c>
      <c r="F59" s="215">
        <v>40</v>
      </c>
      <c r="G59" s="216">
        <v>300000</v>
      </c>
      <c r="H59" s="165">
        <f>IF(F59=0,G59,G59*F59)</f>
        <v>12000000</v>
      </c>
      <c r="I59" s="469" t="s">
        <v>283</v>
      </c>
    </row>
    <row r="60" spans="1:9" ht="15.9" customHeight="1">
      <c r="A60" s="433"/>
      <c r="B60" s="206"/>
      <c r="C60" s="271" t="s">
        <v>325</v>
      </c>
      <c r="D60" s="268" t="s">
        <v>417</v>
      </c>
      <c r="E60" s="272" t="s">
        <v>207</v>
      </c>
      <c r="F60" s="272">
        <v>1</v>
      </c>
      <c r="G60" s="447">
        <v>35000000</v>
      </c>
      <c r="H60" s="165">
        <f t="shared" si="0"/>
        <v>35000000</v>
      </c>
      <c r="I60" s="39"/>
    </row>
    <row r="61" spans="1:9" ht="15.9" customHeight="1">
      <c r="A61" s="433"/>
      <c r="B61" s="206"/>
      <c r="C61" s="271"/>
      <c r="D61" s="268" t="s">
        <v>418</v>
      </c>
      <c r="E61" s="272"/>
      <c r="F61" s="272"/>
      <c r="G61" s="447"/>
      <c r="H61" s="165">
        <f t="shared" si="0"/>
        <v>0</v>
      </c>
      <c r="I61" s="39"/>
    </row>
    <row r="62" spans="1:9" ht="15.9" customHeight="1">
      <c r="A62" s="433"/>
      <c r="B62" s="206"/>
      <c r="C62" s="271"/>
      <c r="D62" s="268" t="s">
        <v>419</v>
      </c>
      <c r="E62" s="272"/>
      <c r="F62" s="272"/>
      <c r="G62" s="447"/>
      <c r="H62" s="165">
        <f t="shared" si="0"/>
        <v>0</v>
      </c>
      <c r="I62" s="39"/>
    </row>
    <row r="63" spans="1:9" ht="15.9" customHeight="1">
      <c r="A63" s="433"/>
      <c r="B63" s="206"/>
      <c r="C63" s="213"/>
      <c r="D63" s="213" t="s">
        <v>420</v>
      </c>
      <c r="E63" s="214"/>
      <c r="F63" s="215"/>
      <c r="G63" s="216"/>
      <c r="H63" s="165">
        <f t="shared" si="0"/>
        <v>0</v>
      </c>
      <c r="I63" s="39"/>
    </row>
    <row r="64" spans="1:9" ht="15.9" customHeight="1">
      <c r="A64" s="433"/>
      <c r="B64" s="206"/>
      <c r="C64" s="213" t="s">
        <v>330</v>
      </c>
      <c r="D64" s="213" t="s">
        <v>331</v>
      </c>
      <c r="E64" s="214" t="s">
        <v>332</v>
      </c>
      <c r="F64" s="215">
        <v>1</v>
      </c>
      <c r="G64" s="216">
        <v>5000000</v>
      </c>
      <c r="H64" s="165">
        <f t="shared" si="0"/>
        <v>5000000</v>
      </c>
      <c r="I64" s="39"/>
    </row>
    <row r="65" spans="1:9" ht="15.9" customHeight="1">
      <c r="A65" s="433"/>
      <c r="B65" s="206"/>
      <c r="C65" s="213" t="s">
        <v>421</v>
      </c>
      <c r="D65" s="213"/>
      <c r="E65" s="214" t="s">
        <v>151</v>
      </c>
      <c r="F65" s="215">
        <v>1</v>
      </c>
      <c r="G65" s="216">
        <v>800000</v>
      </c>
      <c r="H65" s="165">
        <f t="shared" si="0"/>
        <v>800000</v>
      </c>
      <c r="I65" s="39" t="s">
        <v>380</v>
      </c>
    </row>
    <row r="66" spans="1:9" ht="15.9" customHeight="1">
      <c r="A66" s="433"/>
      <c r="B66" s="206"/>
      <c r="C66" s="213" t="s">
        <v>311</v>
      </c>
      <c r="D66" s="213"/>
      <c r="E66" s="214" t="s">
        <v>151</v>
      </c>
      <c r="F66" s="215">
        <v>1</v>
      </c>
      <c r="G66" s="216">
        <v>150000</v>
      </c>
      <c r="H66" s="165">
        <f t="shared" si="0"/>
        <v>150000</v>
      </c>
      <c r="I66" s="39" t="s">
        <v>377</v>
      </c>
    </row>
    <row r="67" spans="1:9" ht="15.9" customHeight="1">
      <c r="A67" s="433"/>
      <c r="B67" s="206"/>
      <c r="C67" s="213" t="s">
        <v>313</v>
      </c>
      <c r="D67" s="213"/>
      <c r="E67" s="214" t="s">
        <v>199</v>
      </c>
      <c r="F67" s="215">
        <v>1</v>
      </c>
      <c r="G67" s="216">
        <v>400000</v>
      </c>
      <c r="H67" s="165">
        <f t="shared" si="0"/>
        <v>400000</v>
      </c>
      <c r="I67" s="39" t="s">
        <v>314</v>
      </c>
    </row>
    <row r="68" spans="1:9" ht="15.9" customHeight="1">
      <c r="A68" s="433"/>
      <c r="B68" s="206"/>
      <c r="C68" s="213" t="s">
        <v>315</v>
      </c>
      <c r="D68" s="213"/>
      <c r="E68" s="214" t="s">
        <v>151</v>
      </c>
      <c r="F68" s="215">
        <v>1</v>
      </c>
      <c r="G68" s="216">
        <v>400000</v>
      </c>
      <c r="H68" s="165">
        <f t="shared" si="0"/>
        <v>400000</v>
      </c>
      <c r="I68" s="39" t="s">
        <v>316</v>
      </c>
    </row>
    <row r="69" spans="1:9" ht="15.9" customHeight="1">
      <c r="A69" s="433"/>
      <c r="B69" s="206"/>
      <c r="C69" s="213" t="s">
        <v>317</v>
      </c>
      <c r="D69" s="213"/>
      <c r="E69" s="214" t="s">
        <v>151</v>
      </c>
      <c r="F69" s="215">
        <v>2</v>
      </c>
      <c r="G69" s="216">
        <v>300000</v>
      </c>
      <c r="H69" s="165">
        <f t="shared" si="0"/>
        <v>600000</v>
      </c>
      <c r="I69" s="39" t="s">
        <v>316</v>
      </c>
    </row>
    <row r="70" spans="1:9" ht="15.9" customHeight="1">
      <c r="A70" s="433"/>
      <c r="B70" s="206"/>
      <c r="C70" s="213" t="s">
        <v>318</v>
      </c>
      <c r="D70" s="213"/>
      <c r="E70" s="214" t="s">
        <v>151</v>
      </c>
      <c r="F70" s="215">
        <v>1</v>
      </c>
      <c r="G70" s="216">
        <v>380000</v>
      </c>
      <c r="H70" s="165">
        <f t="shared" si="0"/>
        <v>380000</v>
      </c>
      <c r="I70" s="39" t="s">
        <v>316</v>
      </c>
    </row>
    <row r="71" spans="1:9" ht="15.9" customHeight="1">
      <c r="A71" s="433"/>
      <c r="B71" s="206"/>
      <c r="C71" s="213" t="s">
        <v>319</v>
      </c>
      <c r="D71" s="297"/>
      <c r="E71" s="214" t="s">
        <v>151</v>
      </c>
      <c r="F71" s="215">
        <v>1</v>
      </c>
      <c r="G71" s="216">
        <v>550000</v>
      </c>
      <c r="H71" s="165">
        <f t="shared" si="0"/>
        <v>550000</v>
      </c>
      <c r="I71" s="39" t="s">
        <v>320</v>
      </c>
    </row>
    <row r="72" spans="1:9" ht="15.9" customHeight="1">
      <c r="A72" s="433"/>
      <c r="B72" s="206"/>
      <c r="C72" s="213" t="s">
        <v>378</v>
      </c>
      <c r="D72" s="271"/>
      <c r="E72" s="214" t="s">
        <v>151</v>
      </c>
      <c r="F72" s="215">
        <v>1</v>
      </c>
      <c r="G72" s="216">
        <v>150000</v>
      </c>
      <c r="H72" s="165">
        <f t="shared" si="0"/>
        <v>150000</v>
      </c>
      <c r="I72" s="39" t="s">
        <v>322</v>
      </c>
    </row>
    <row r="73" spans="1:9" ht="15.9" customHeight="1">
      <c r="A73" s="433"/>
      <c r="B73" s="206"/>
      <c r="C73" s="213"/>
      <c r="D73" s="213"/>
      <c r="E73" s="214"/>
      <c r="F73" s="215"/>
      <c r="G73" s="216"/>
      <c r="H73" s="165">
        <f t="shared" si="0"/>
        <v>0</v>
      </c>
      <c r="I73" s="39"/>
    </row>
    <row r="74" spans="1:9" ht="15.9" customHeight="1">
      <c r="A74" s="433"/>
      <c r="B74" s="206"/>
      <c r="C74" s="213"/>
      <c r="D74" s="272"/>
      <c r="E74" s="272"/>
      <c r="F74" s="273"/>
      <c r="G74" s="216"/>
      <c r="H74" s="165">
        <f t="shared" si="0"/>
        <v>0</v>
      </c>
      <c r="I74" s="39"/>
    </row>
    <row r="75" spans="1:9" ht="15.9" customHeight="1">
      <c r="A75" s="433"/>
      <c r="B75" s="206"/>
      <c r="C75" s="213"/>
      <c r="D75" s="213"/>
      <c r="E75" s="214"/>
      <c r="F75" s="215"/>
      <c r="G75" s="216"/>
      <c r="H75" s="165">
        <f t="shared" si="0"/>
        <v>0</v>
      </c>
      <c r="I75" s="39"/>
    </row>
    <row r="76" spans="1:9" ht="15.9" customHeight="1">
      <c r="A76" s="433"/>
      <c r="B76" s="206"/>
      <c r="C76" s="217"/>
      <c r="D76" s="217"/>
      <c r="E76" s="217"/>
      <c r="F76" s="220"/>
      <c r="G76" s="220"/>
      <c r="H76" s="175">
        <f t="shared" si="0"/>
        <v>0</v>
      </c>
      <c r="I76" s="42"/>
    </row>
    <row r="77" spans="1:9" ht="15.9" customHeight="1">
      <c r="A77" s="433"/>
      <c r="B77" s="221"/>
      <c r="C77" s="222"/>
      <c r="D77" s="223"/>
      <c r="E77" s="223"/>
      <c r="F77" s="225"/>
      <c r="G77" s="225"/>
      <c r="H77" s="49">
        <f>SUM(H57:H76)</f>
        <v>85430000</v>
      </c>
      <c r="I77" s="46"/>
    </row>
    <row r="78" spans="1:9" ht="15.9" customHeight="1">
      <c r="A78" s="246"/>
      <c r="B78" s="247" t="s">
        <v>131</v>
      </c>
      <c r="C78" s="248"/>
      <c r="D78" s="46"/>
      <c r="E78" s="46"/>
      <c r="F78" s="250"/>
      <c r="G78" s="250"/>
      <c r="H78" s="49">
        <f>SUM(H77,H56,H35,H24)</f>
        <v>464430000</v>
      </c>
      <c r="I78" s="46"/>
    </row>
    <row r="79" spans="1:9" ht="15.9" customHeight="1">
      <c r="A79" s="429" t="s">
        <v>132</v>
      </c>
      <c r="B79" s="251" t="s">
        <v>57</v>
      </c>
      <c r="C79" s="248"/>
      <c r="D79" s="46"/>
      <c r="E79" s="251" t="s">
        <v>58</v>
      </c>
      <c r="F79" s="265"/>
      <c r="G79" s="254"/>
      <c r="H79" s="255">
        <f>F79*G79</f>
        <v>0</v>
      </c>
      <c r="I79" s="46"/>
    </row>
    <row r="80" spans="1:9" ht="15.9" customHeight="1">
      <c r="A80" s="433"/>
      <c r="B80" s="256" t="s">
        <v>152</v>
      </c>
      <c r="C80" s="292"/>
      <c r="D80" s="292"/>
      <c r="E80" s="293" t="s">
        <v>134</v>
      </c>
      <c r="F80" s="279">
        <v>10</v>
      </c>
      <c r="G80" s="230">
        <v>500000</v>
      </c>
      <c r="H80" s="231">
        <f t="shared" ref="H80:H86" si="2">F80*G80</f>
        <v>5000000</v>
      </c>
      <c r="I80" s="232"/>
    </row>
    <row r="81" spans="1:9" ht="15.9" customHeight="1">
      <c r="A81" s="433"/>
      <c r="B81" s="258" t="s">
        <v>153</v>
      </c>
      <c r="C81" s="271"/>
      <c r="D81" s="271"/>
      <c r="E81" s="287" t="s">
        <v>134</v>
      </c>
      <c r="F81" s="280"/>
      <c r="G81" s="216"/>
      <c r="H81" s="165">
        <f t="shared" si="2"/>
        <v>0</v>
      </c>
      <c r="I81" s="39"/>
    </row>
    <row r="82" spans="1:9" ht="15.9" customHeight="1">
      <c r="A82" s="433"/>
      <c r="B82" s="258" t="s">
        <v>154</v>
      </c>
      <c r="C82" s="271"/>
      <c r="D82" s="271"/>
      <c r="E82" s="287" t="s">
        <v>134</v>
      </c>
      <c r="F82" s="280">
        <v>10</v>
      </c>
      <c r="G82" s="216">
        <v>500000</v>
      </c>
      <c r="H82" s="165">
        <f t="shared" si="2"/>
        <v>5000000</v>
      </c>
      <c r="I82" s="39"/>
    </row>
    <row r="83" spans="1:9" ht="15.9" customHeight="1">
      <c r="A83" s="433"/>
      <c r="B83" s="258" t="s">
        <v>155</v>
      </c>
      <c r="C83" s="271" t="s">
        <v>334</v>
      </c>
      <c r="D83" s="271" t="s">
        <v>387</v>
      </c>
      <c r="E83" s="287" t="s">
        <v>134</v>
      </c>
      <c r="F83" s="280">
        <v>48</v>
      </c>
      <c r="G83" s="216">
        <v>650000</v>
      </c>
      <c r="H83" s="165">
        <f>SUM(F83*G83)</f>
        <v>31200000</v>
      </c>
      <c r="I83" s="39"/>
    </row>
    <row r="84" spans="1:9" ht="15.9" customHeight="1">
      <c r="A84" s="433"/>
      <c r="B84" s="258" t="s">
        <v>156</v>
      </c>
      <c r="C84" s="271"/>
      <c r="D84" s="271"/>
      <c r="E84" s="287" t="s">
        <v>134</v>
      </c>
      <c r="F84" s="280"/>
      <c r="G84" s="216"/>
      <c r="H84" s="165">
        <f t="shared" si="2"/>
        <v>0</v>
      </c>
      <c r="I84" s="39"/>
    </row>
    <row r="85" spans="1:9" ht="15.9" customHeight="1">
      <c r="A85" s="433"/>
      <c r="B85" s="258" t="s">
        <v>157</v>
      </c>
      <c r="C85" s="271"/>
      <c r="D85" s="271"/>
      <c r="E85" s="287" t="s">
        <v>134</v>
      </c>
      <c r="F85" s="294"/>
      <c r="G85" s="216"/>
      <c r="H85" s="165">
        <f t="shared" si="2"/>
        <v>0</v>
      </c>
      <c r="I85" s="39"/>
    </row>
    <row r="86" spans="1:9" ht="15.9" customHeight="1">
      <c r="A86" s="433"/>
      <c r="B86" s="260" t="s">
        <v>161</v>
      </c>
      <c r="C86" s="295"/>
      <c r="D86" s="295"/>
      <c r="E86" s="281" t="s">
        <v>134</v>
      </c>
      <c r="F86" s="296"/>
      <c r="G86" s="220"/>
      <c r="H86" s="175">
        <f t="shared" si="2"/>
        <v>0</v>
      </c>
      <c r="I86" s="42"/>
    </row>
    <row r="87" spans="1:9" ht="15.9" customHeight="1">
      <c r="A87" s="246"/>
      <c r="B87" s="262" t="s">
        <v>140</v>
      </c>
      <c r="C87" s="248"/>
      <c r="D87" s="46"/>
      <c r="E87" s="46"/>
      <c r="F87" s="225"/>
      <c r="G87" s="225"/>
      <c r="H87" s="225">
        <f>SUM(H79:H86)</f>
        <v>41200000</v>
      </c>
      <c r="I87" s="223"/>
    </row>
    <row r="88" spans="1:9" ht="15.9" customHeight="1">
      <c r="A88" s="252"/>
      <c r="B88" s="262" t="s">
        <v>159</v>
      </c>
      <c r="C88" s="248"/>
      <c r="D88" s="46"/>
      <c r="E88" s="46"/>
      <c r="F88" s="49"/>
      <c r="G88" s="49"/>
      <c r="H88" s="250">
        <f>'단위공사별(집계)'!L9+'단위공사별(집계)'!I9</f>
        <v>24804627.092243083</v>
      </c>
      <c r="I88" s="46"/>
    </row>
    <row r="89" spans="1:9" ht="15.9" customHeight="1">
      <c r="A89" s="252"/>
      <c r="B89" s="262" t="s">
        <v>83</v>
      </c>
      <c r="C89" s="248"/>
      <c r="D89" s="46"/>
      <c r="E89" s="46"/>
      <c r="F89" s="461">
        <v>0.02</v>
      </c>
      <c r="G89" s="264"/>
      <c r="H89" s="265">
        <f>(H87+H78)*0.02</f>
        <v>10112600</v>
      </c>
      <c r="I89" s="248"/>
    </row>
    <row r="90" spans="1:9" ht="15.9" customHeight="1">
      <c r="A90" s="252"/>
      <c r="B90" s="262" t="s">
        <v>143</v>
      </c>
      <c r="C90" s="248"/>
      <c r="D90" s="46"/>
      <c r="E90" s="46"/>
      <c r="F90" s="461">
        <v>0.03</v>
      </c>
      <c r="G90" s="264"/>
      <c r="H90" s="265">
        <f>(H87+H78)*0.03</f>
        <v>15168900</v>
      </c>
      <c r="I90" s="248"/>
    </row>
    <row r="91" spans="1:9" ht="15.9" customHeight="1">
      <c r="A91" s="252"/>
      <c r="B91" s="262" t="s">
        <v>144</v>
      </c>
      <c r="C91" s="248"/>
      <c r="D91" s="46"/>
      <c r="E91" s="46"/>
      <c r="F91" s="49"/>
      <c r="G91" s="49"/>
      <c r="H91" s="225">
        <f>H78+H87+H88+H89+H90</f>
        <v>555716127.09224308</v>
      </c>
      <c r="I91" s="46"/>
    </row>
    <row r="92" spans="1:9">
      <c r="A92" s="26"/>
    </row>
  </sheetData>
  <mergeCells count="4">
    <mergeCell ref="A2:B2"/>
    <mergeCell ref="A3:A77"/>
    <mergeCell ref="C6:E6"/>
    <mergeCell ref="A79:A8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손철호 책임매니저 통합구매팀 son@hyundai-wia.com 2026-07-07T14:05:14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F3557-B68D-441F-8F7F-CE3C6B711B87}">
  <sheetPr>
    <tabColor rgb="FF00B050"/>
    <pageSetUpPr fitToPage="1"/>
  </sheetPr>
  <dimension ref="A1:I96"/>
  <sheetViews>
    <sheetView zoomScale="85" workbookViewId="0">
      <pane xSplit="2" ySplit="2" topLeftCell="C3" activePane="bottomRight" state="frozen"/>
      <selection activeCell="F18" sqref="F18:F27"/>
      <selection pane="topRight" activeCell="F18" sqref="F18:F27"/>
      <selection pane="bottomLeft" activeCell="F18" sqref="F18:F27"/>
      <selection pane="bottomRight" activeCell="F18" sqref="F18:F27"/>
    </sheetView>
  </sheetViews>
  <sheetFormatPr defaultColWidth="9" defaultRowHeight="14.4"/>
  <cols>
    <col min="1" max="1" width="5" style="24" customWidth="1"/>
    <col min="2" max="2" width="17.8984375" style="24" bestFit="1" customWidth="1"/>
    <col min="3" max="3" width="23.59765625" style="24" customWidth="1"/>
    <col min="4" max="4" width="18.19921875" style="24" customWidth="1"/>
    <col min="5" max="5" width="5.19921875" style="24" bestFit="1" customWidth="1"/>
    <col min="6" max="6" width="9" style="48"/>
    <col min="7" max="7" width="11.8984375" style="48" customWidth="1"/>
    <col min="8" max="8" width="13.59765625" style="48" customWidth="1"/>
    <col min="9" max="9" width="12.69921875" style="24" customWidth="1"/>
    <col min="10" max="256" width="9" style="24"/>
    <col min="257" max="257" width="5" style="24" customWidth="1"/>
    <col min="258" max="258" width="17.8984375" style="24" bestFit="1" customWidth="1"/>
    <col min="259" max="259" width="23.59765625" style="24" customWidth="1"/>
    <col min="260" max="260" width="18.19921875" style="24" customWidth="1"/>
    <col min="261" max="261" width="5.19921875" style="24" bestFit="1" customWidth="1"/>
    <col min="262" max="262" width="9" style="24"/>
    <col min="263" max="263" width="11.8984375" style="24" customWidth="1"/>
    <col min="264" max="264" width="13.59765625" style="24" customWidth="1"/>
    <col min="265" max="265" width="12.69921875" style="24" customWidth="1"/>
    <col min="266" max="512" width="9" style="24"/>
    <col min="513" max="513" width="5" style="24" customWidth="1"/>
    <col min="514" max="514" width="17.8984375" style="24" bestFit="1" customWidth="1"/>
    <col min="515" max="515" width="23.59765625" style="24" customWidth="1"/>
    <col min="516" max="516" width="18.19921875" style="24" customWidth="1"/>
    <col min="517" max="517" width="5.19921875" style="24" bestFit="1" customWidth="1"/>
    <col min="518" max="518" width="9" style="24"/>
    <col min="519" max="519" width="11.8984375" style="24" customWidth="1"/>
    <col min="520" max="520" width="13.59765625" style="24" customWidth="1"/>
    <col min="521" max="521" width="12.69921875" style="24" customWidth="1"/>
    <col min="522" max="768" width="9" style="24"/>
    <col min="769" max="769" width="5" style="24" customWidth="1"/>
    <col min="770" max="770" width="17.8984375" style="24" bestFit="1" customWidth="1"/>
    <col min="771" max="771" width="23.59765625" style="24" customWidth="1"/>
    <col min="772" max="772" width="18.19921875" style="24" customWidth="1"/>
    <col min="773" max="773" width="5.19921875" style="24" bestFit="1" customWidth="1"/>
    <col min="774" max="774" width="9" style="24"/>
    <col min="775" max="775" width="11.8984375" style="24" customWidth="1"/>
    <col min="776" max="776" width="13.59765625" style="24" customWidth="1"/>
    <col min="777" max="777" width="12.69921875" style="24" customWidth="1"/>
    <col min="778" max="1024" width="9" style="24"/>
    <col min="1025" max="1025" width="5" style="24" customWidth="1"/>
    <col min="1026" max="1026" width="17.8984375" style="24" bestFit="1" customWidth="1"/>
    <col min="1027" max="1027" width="23.59765625" style="24" customWidth="1"/>
    <col min="1028" max="1028" width="18.19921875" style="24" customWidth="1"/>
    <col min="1029" max="1029" width="5.19921875" style="24" bestFit="1" customWidth="1"/>
    <col min="1030" max="1030" width="9" style="24"/>
    <col min="1031" max="1031" width="11.8984375" style="24" customWidth="1"/>
    <col min="1032" max="1032" width="13.59765625" style="24" customWidth="1"/>
    <col min="1033" max="1033" width="12.69921875" style="24" customWidth="1"/>
    <col min="1034" max="1280" width="9" style="24"/>
    <col min="1281" max="1281" width="5" style="24" customWidth="1"/>
    <col min="1282" max="1282" width="17.8984375" style="24" bestFit="1" customWidth="1"/>
    <col min="1283" max="1283" width="23.59765625" style="24" customWidth="1"/>
    <col min="1284" max="1284" width="18.19921875" style="24" customWidth="1"/>
    <col min="1285" max="1285" width="5.19921875" style="24" bestFit="1" customWidth="1"/>
    <col min="1286" max="1286" width="9" style="24"/>
    <col min="1287" max="1287" width="11.8984375" style="24" customWidth="1"/>
    <col min="1288" max="1288" width="13.59765625" style="24" customWidth="1"/>
    <col min="1289" max="1289" width="12.69921875" style="24" customWidth="1"/>
    <col min="1290" max="1536" width="9" style="24"/>
    <col min="1537" max="1537" width="5" style="24" customWidth="1"/>
    <col min="1538" max="1538" width="17.8984375" style="24" bestFit="1" customWidth="1"/>
    <col min="1539" max="1539" width="23.59765625" style="24" customWidth="1"/>
    <col min="1540" max="1540" width="18.19921875" style="24" customWidth="1"/>
    <col min="1541" max="1541" width="5.19921875" style="24" bestFit="1" customWidth="1"/>
    <col min="1542" max="1542" width="9" style="24"/>
    <col min="1543" max="1543" width="11.8984375" style="24" customWidth="1"/>
    <col min="1544" max="1544" width="13.59765625" style="24" customWidth="1"/>
    <col min="1545" max="1545" width="12.69921875" style="24" customWidth="1"/>
    <col min="1546" max="1792" width="9" style="24"/>
    <col min="1793" max="1793" width="5" style="24" customWidth="1"/>
    <col min="1794" max="1794" width="17.8984375" style="24" bestFit="1" customWidth="1"/>
    <col min="1795" max="1795" width="23.59765625" style="24" customWidth="1"/>
    <col min="1796" max="1796" width="18.19921875" style="24" customWidth="1"/>
    <col min="1797" max="1797" width="5.19921875" style="24" bestFit="1" customWidth="1"/>
    <col min="1798" max="1798" width="9" style="24"/>
    <col min="1799" max="1799" width="11.8984375" style="24" customWidth="1"/>
    <col min="1800" max="1800" width="13.59765625" style="24" customWidth="1"/>
    <col min="1801" max="1801" width="12.69921875" style="24" customWidth="1"/>
    <col min="1802" max="2048" width="9" style="24"/>
    <col min="2049" max="2049" width="5" style="24" customWidth="1"/>
    <col min="2050" max="2050" width="17.8984375" style="24" bestFit="1" customWidth="1"/>
    <col min="2051" max="2051" width="23.59765625" style="24" customWidth="1"/>
    <col min="2052" max="2052" width="18.19921875" style="24" customWidth="1"/>
    <col min="2053" max="2053" width="5.19921875" style="24" bestFit="1" customWidth="1"/>
    <col min="2054" max="2054" width="9" style="24"/>
    <col min="2055" max="2055" width="11.8984375" style="24" customWidth="1"/>
    <col min="2056" max="2056" width="13.59765625" style="24" customWidth="1"/>
    <col min="2057" max="2057" width="12.69921875" style="24" customWidth="1"/>
    <col min="2058" max="2304" width="9" style="24"/>
    <col min="2305" max="2305" width="5" style="24" customWidth="1"/>
    <col min="2306" max="2306" width="17.8984375" style="24" bestFit="1" customWidth="1"/>
    <col min="2307" max="2307" width="23.59765625" style="24" customWidth="1"/>
    <col min="2308" max="2308" width="18.19921875" style="24" customWidth="1"/>
    <col min="2309" max="2309" width="5.19921875" style="24" bestFit="1" customWidth="1"/>
    <col min="2310" max="2310" width="9" style="24"/>
    <col min="2311" max="2311" width="11.8984375" style="24" customWidth="1"/>
    <col min="2312" max="2312" width="13.59765625" style="24" customWidth="1"/>
    <col min="2313" max="2313" width="12.69921875" style="24" customWidth="1"/>
    <col min="2314" max="2560" width="9" style="24"/>
    <col min="2561" max="2561" width="5" style="24" customWidth="1"/>
    <col min="2562" max="2562" width="17.8984375" style="24" bestFit="1" customWidth="1"/>
    <col min="2563" max="2563" width="23.59765625" style="24" customWidth="1"/>
    <col min="2564" max="2564" width="18.19921875" style="24" customWidth="1"/>
    <col min="2565" max="2565" width="5.19921875" style="24" bestFit="1" customWidth="1"/>
    <col min="2566" max="2566" width="9" style="24"/>
    <col min="2567" max="2567" width="11.8984375" style="24" customWidth="1"/>
    <col min="2568" max="2568" width="13.59765625" style="24" customWidth="1"/>
    <col min="2569" max="2569" width="12.69921875" style="24" customWidth="1"/>
    <col min="2570" max="2816" width="9" style="24"/>
    <col min="2817" max="2817" width="5" style="24" customWidth="1"/>
    <col min="2818" max="2818" width="17.8984375" style="24" bestFit="1" customWidth="1"/>
    <col min="2819" max="2819" width="23.59765625" style="24" customWidth="1"/>
    <col min="2820" max="2820" width="18.19921875" style="24" customWidth="1"/>
    <col min="2821" max="2821" width="5.19921875" style="24" bestFit="1" customWidth="1"/>
    <col min="2822" max="2822" width="9" style="24"/>
    <col min="2823" max="2823" width="11.8984375" style="24" customWidth="1"/>
    <col min="2824" max="2824" width="13.59765625" style="24" customWidth="1"/>
    <col min="2825" max="2825" width="12.69921875" style="24" customWidth="1"/>
    <col min="2826" max="3072" width="9" style="24"/>
    <col min="3073" max="3073" width="5" style="24" customWidth="1"/>
    <col min="3074" max="3074" width="17.8984375" style="24" bestFit="1" customWidth="1"/>
    <col min="3075" max="3075" width="23.59765625" style="24" customWidth="1"/>
    <col min="3076" max="3076" width="18.19921875" style="24" customWidth="1"/>
    <col min="3077" max="3077" width="5.19921875" style="24" bestFit="1" customWidth="1"/>
    <col min="3078" max="3078" width="9" style="24"/>
    <col min="3079" max="3079" width="11.8984375" style="24" customWidth="1"/>
    <col min="3080" max="3080" width="13.59765625" style="24" customWidth="1"/>
    <col min="3081" max="3081" width="12.69921875" style="24" customWidth="1"/>
    <col min="3082" max="3328" width="9" style="24"/>
    <col min="3329" max="3329" width="5" style="24" customWidth="1"/>
    <col min="3330" max="3330" width="17.8984375" style="24" bestFit="1" customWidth="1"/>
    <col min="3331" max="3331" width="23.59765625" style="24" customWidth="1"/>
    <col min="3332" max="3332" width="18.19921875" style="24" customWidth="1"/>
    <col min="3333" max="3333" width="5.19921875" style="24" bestFit="1" customWidth="1"/>
    <col min="3334" max="3334" width="9" style="24"/>
    <col min="3335" max="3335" width="11.8984375" style="24" customWidth="1"/>
    <col min="3336" max="3336" width="13.59765625" style="24" customWidth="1"/>
    <col min="3337" max="3337" width="12.69921875" style="24" customWidth="1"/>
    <col min="3338" max="3584" width="9" style="24"/>
    <col min="3585" max="3585" width="5" style="24" customWidth="1"/>
    <col min="3586" max="3586" width="17.8984375" style="24" bestFit="1" customWidth="1"/>
    <col min="3587" max="3587" width="23.59765625" style="24" customWidth="1"/>
    <col min="3588" max="3588" width="18.19921875" style="24" customWidth="1"/>
    <col min="3589" max="3589" width="5.19921875" style="24" bestFit="1" customWidth="1"/>
    <col min="3590" max="3590" width="9" style="24"/>
    <col min="3591" max="3591" width="11.8984375" style="24" customWidth="1"/>
    <col min="3592" max="3592" width="13.59765625" style="24" customWidth="1"/>
    <col min="3593" max="3593" width="12.69921875" style="24" customWidth="1"/>
    <col min="3594" max="3840" width="9" style="24"/>
    <col min="3841" max="3841" width="5" style="24" customWidth="1"/>
    <col min="3842" max="3842" width="17.8984375" style="24" bestFit="1" customWidth="1"/>
    <col min="3843" max="3843" width="23.59765625" style="24" customWidth="1"/>
    <col min="3844" max="3844" width="18.19921875" style="24" customWidth="1"/>
    <col min="3845" max="3845" width="5.19921875" style="24" bestFit="1" customWidth="1"/>
    <col min="3846" max="3846" width="9" style="24"/>
    <col min="3847" max="3847" width="11.8984375" style="24" customWidth="1"/>
    <col min="3848" max="3848" width="13.59765625" style="24" customWidth="1"/>
    <col min="3849" max="3849" width="12.69921875" style="24" customWidth="1"/>
    <col min="3850" max="4096" width="9" style="24"/>
    <col min="4097" max="4097" width="5" style="24" customWidth="1"/>
    <col min="4098" max="4098" width="17.8984375" style="24" bestFit="1" customWidth="1"/>
    <col min="4099" max="4099" width="23.59765625" style="24" customWidth="1"/>
    <col min="4100" max="4100" width="18.19921875" style="24" customWidth="1"/>
    <col min="4101" max="4101" width="5.19921875" style="24" bestFit="1" customWidth="1"/>
    <col min="4102" max="4102" width="9" style="24"/>
    <col min="4103" max="4103" width="11.8984375" style="24" customWidth="1"/>
    <col min="4104" max="4104" width="13.59765625" style="24" customWidth="1"/>
    <col min="4105" max="4105" width="12.69921875" style="24" customWidth="1"/>
    <col min="4106" max="4352" width="9" style="24"/>
    <col min="4353" max="4353" width="5" style="24" customWidth="1"/>
    <col min="4354" max="4354" width="17.8984375" style="24" bestFit="1" customWidth="1"/>
    <col min="4355" max="4355" width="23.59765625" style="24" customWidth="1"/>
    <col min="4356" max="4356" width="18.19921875" style="24" customWidth="1"/>
    <col min="4357" max="4357" width="5.19921875" style="24" bestFit="1" customWidth="1"/>
    <col min="4358" max="4358" width="9" style="24"/>
    <col min="4359" max="4359" width="11.8984375" style="24" customWidth="1"/>
    <col min="4360" max="4360" width="13.59765625" style="24" customWidth="1"/>
    <col min="4361" max="4361" width="12.69921875" style="24" customWidth="1"/>
    <col min="4362" max="4608" width="9" style="24"/>
    <col min="4609" max="4609" width="5" style="24" customWidth="1"/>
    <col min="4610" max="4610" width="17.8984375" style="24" bestFit="1" customWidth="1"/>
    <col min="4611" max="4611" width="23.59765625" style="24" customWidth="1"/>
    <col min="4612" max="4612" width="18.19921875" style="24" customWidth="1"/>
    <col min="4613" max="4613" width="5.19921875" style="24" bestFit="1" customWidth="1"/>
    <col min="4614" max="4614" width="9" style="24"/>
    <col min="4615" max="4615" width="11.8984375" style="24" customWidth="1"/>
    <col min="4616" max="4616" width="13.59765625" style="24" customWidth="1"/>
    <col min="4617" max="4617" width="12.69921875" style="24" customWidth="1"/>
    <col min="4618" max="4864" width="9" style="24"/>
    <col min="4865" max="4865" width="5" style="24" customWidth="1"/>
    <col min="4866" max="4866" width="17.8984375" style="24" bestFit="1" customWidth="1"/>
    <col min="4867" max="4867" width="23.59765625" style="24" customWidth="1"/>
    <col min="4868" max="4868" width="18.19921875" style="24" customWidth="1"/>
    <col min="4869" max="4869" width="5.19921875" style="24" bestFit="1" customWidth="1"/>
    <col min="4870" max="4870" width="9" style="24"/>
    <col min="4871" max="4871" width="11.8984375" style="24" customWidth="1"/>
    <col min="4872" max="4872" width="13.59765625" style="24" customWidth="1"/>
    <col min="4873" max="4873" width="12.69921875" style="24" customWidth="1"/>
    <col min="4874" max="5120" width="9" style="24"/>
    <col min="5121" max="5121" width="5" style="24" customWidth="1"/>
    <col min="5122" max="5122" width="17.8984375" style="24" bestFit="1" customWidth="1"/>
    <col min="5123" max="5123" width="23.59765625" style="24" customWidth="1"/>
    <col min="5124" max="5124" width="18.19921875" style="24" customWidth="1"/>
    <col min="5125" max="5125" width="5.19921875" style="24" bestFit="1" customWidth="1"/>
    <col min="5126" max="5126" width="9" style="24"/>
    <col min="5127" max="5127" width="11.8984375" style="24" customWidth="1"/>
    <col min="5128" max="5128" width="13.59765625" style="24" customWidth="1"/>
    <col min="5129" max="5129" width="12.69921875" style="24" customWidth="1"/>
    <col min="5130" max="5376" width="9" style="24"/>
    <col min="5377" max="5377" width="5" style="24" customWidth="1"/>
    <col min="5378" max="5378" width="17.8984375" style="24" bestFit="1" customWidth="1"/>
    <col min="5379" max="5379" width="23.59765625" style="24" customWidth="1"/>
    <col min="5380" max="5380" width="18.19921875" style="24" customWidth="1"/>
    <col min="5381" max="5381" width="5.19921875" style="24" bestFit="1" customWidth="1"/>
    <col min="5382" max="5382" width="9" style="24"/>
    <col min="5383" max="5383" width="11.8984375" style="24" customWidth="1"/>
    <col min="5384" max="5384" width="13.59765625" style="24" customWidth="1"/>
    <col min="5385" max="5385" width="12.69921875" style="24" customWidth="1"/>
    <col min="5386" max="5632" width="9" style="24"/>
    <col min="5633" max="5633" width="5" style="24" customWidth="1"/>
    <col min="5634" max="5634" width="17.8984375" style="24" bestFit="1" customWidth="1"/>
    <col min="5635" max="5635" width="23.59765625" style="24" customWidth="1"/>
    <col min="5636" max="5636" width="18.19921875" style="24" customWidth="1"/>
    <col min="5637" max="5637" width="5.19921875" style="24" bestFit="1" customWidth="1"/>
    <col min="5638" max="5638" width="9" style="24"/>
    <col min="5639" max="5639" width="11.8984375" style="24" customWidth="1"/>
    <col min="5640" max="5640" width="13.59765625" style="24" customWidth="1"/>
    <col min="5641" max="5641" width="12.69921875" style="24" customWidth="1"/>
    <col min="5642" max="5888" width="9" style="24"/>
    <col min="5889" max="5889" width="5" style="24" customWidth="1"/>
    <col min="5890" max="5890" width="17.8984375" style="24" bestFit="1" customWidth="1"/>
    <col min="5891" max="5891" width="23.59765625" style="24" customWidth="1"/>
    <col min="5892" max="5892" width="18.19921875" style="24" customWidth="1"/>
    <col min="5893" max="5893" width="5.19921875" style="24" bestFit="1" customWidth="1"/>
    <col min="5894" max="5894" width="9" style="24"/>
    <col min="5895" max="5895" width="11.8984375" style="24" customWidth="1"/>
    <col min="5896" max="5896" width="13.59765625" style="24" customWidth="1"/>
    <col min="5897" max="5897" width="12.69921875" style="24" customWidth="1"/>
    <col min="5898" max="6144" width="9" style="24"/>
    <col min="6145" max="6145" width="5" style="24" customWidth="1"/>
    <col min="6146" max="6146" width="17.8984375" style="24" bestFit="1" customWidth="1"/>
    <col min="6147" max="6147" width="23.59765625" style="24" customWidth="1"/>
    <col min="6148" max="6148" width="18.19921875" style="24" customWidth="1"/>
    <col min="6149" max="6149" width="5.19921875" style="24" bestFit="1" customWidth="1"/>
    <col min="6150" max="6150" width="9" style="24"/>
    <col min="6151" max="6151" width="11.8984375" style="24" customWidth="1"/>
    <col min="6152" max="6152" width="13.59765625" style="24" customWidth="1"/>
    <col min="6153" max="6153" width="12.69921875" style="24" customWidth="1"/>
    <col min="6154" max="6400" width="9" style="24"/>
    <col min="6401" max="6401" width="5" style="24" customWidth="1"/>
    <col min="6402" max="6402" width="17.8984375" style="24" bestFit="1" customWidth="1"/>
    <col min="6403" max="6403" width="23.59765625" style="24" customWidth="1"/>
    <col min="6404" max="6404" width="18.19921875" style="24" customWidth="1"/>
    <col min="6405" max="6405" width="5.19921875" style="24" bestFit="1" customWidth="1"/>
    <col min="6406" max="6406" width="9" style="24"/>
    <col min="6407" max="6407" width="11.8984375" style="24" customWidth="1"/>
    <col min="6408" max="6408" width="13.59765625" style="24" customWidth="1"/>
    <col min="6409" max="6409" width="12.69921875" style="24" customWidth="1"/>
    <col min="6410" max="6656" width="9" style="24"/>
    <col min="6657" max="6657" width="5" style="24" customWidth="1"/>
    <col min="6658" max="6658" width="17.8984375" style="24" bestFit="1" customWidth="1"/>
    <col min="6659" max="6659" width="23.59765625" style="24" customWidth="1"/>
    <col min="6660" max="6660" width="18.19921875" style="24" customWidth="1"/>
    <col min="6661" max="6661" width="5.19921875" style="24" bestFit="1" customWidth="1"/>
    <col min="6662" max="6662" width="9" style="24"/>
    <col min="6663" max="6663" width="11.8984375" style="24" customWidth="1"/>
    <col min="6664" max="6664" width="13.59765625" style="24" customWidth="1"/>
    <col min="6665" max="6665" width="12.69921875" style="24" customWidth="1"/>
    <col min="6666" max="6912" width="9" style="24"/>
    <col min="6913" max="6913" width="5" style="24" customWidth="1"/>
    <col min="6914" max="6914" width="17.8984375" style="24" bestFit="1" customWidth="1"/>
    <col min="6915" max="6915" width="23.59765625" style="24" customWidth="1"/>
    <col min="6916" max="6916" width="18.19921875" style="24" customWidth="1"/>
    <col min="6917" max="6917" width="5.19921875" style="24" bestFit="1" customWidth="1"/>
    <col min="6918" max="6918" width="9" style="24"/>
    <col min="6919" max="6919" width="11.8984375" style="24" customWidth="1"/>
    <col min="6920" max="6920" width="13.59765625" style="24" customWidth="1"/>
    <col min="6921" max="6921" width="12.69921875" style="24" customWidth="1"/>
    <col min="6922" max="7168" width="9" style="24"/>
    <col min="7169" max="7169" width="5" style="24" customWidth="1"/>
    <col min="7170" max="7170" width="17.8984375" style="24" bestFit="1" customWidth="1"/>
    <col min="7171" max="7171" width="23.59765625" style="24" customWidth="1"/>
    <col min="7172" max="7172" width="18.19921875" style="24" customWidth="1"/>
    <col min="7173" max="7173" width="5.19921875" style="24" bestFit="1" customWidth="1"/>
    <col min="7174" max="7174" width="9" style="24"/>
    <col min="7175" max="7175" width="11.8984375" style="24" customWidth="1"/>
    <col min="7176" max="7176" width="13.59765625" style="24" customWidth="1"/>
    <col min="7177" max="7177" width="12.69921875" style="24" customWidth="1"/>
    <col min="7178" max="7424" width="9" style="24"/>
    <col min="7425" max="7425" width="5" style="24" customWidth="1"/>
    <col min="7426" max="7426" width="17.8984375" style="24" bestFit="1" customWidth="1"/>
    <col min="7427" max="7427" width="23.59765625" style="24" customWidth="1"/>
    <col min="7428" max="7428" width="18.19921875" style="24" customWidth="1"/>
    <col min="7429" max="7429" width="5.19921875" style="24" bestFit="1" customWidth="1"/>
    <col min="7430" max="7430" width="9" style="24"/>
    <col min="7431" max="7431" width="11.8984375" style="24" customWidth="1"/>
    <col min="7432" max="7432" width="13.59765625" style="24" customWidth="1"/>
    <col min="7433" max="7433" width="12.69921875" style="24" customWidth="1"/>
    <col min="7434" max="7680" width="9" style="24"/>
    <col min="7681" max="7681" width="5" style="24" customWidth="1"/>
    <col min="7682" max="7682" width="17.8984375" style="24" bestFit="1" customWidth="1"/>
    <col min="7683" max="7683" width="23.59765625" style="24" customWidth="1"/>
    <col min="7684" max="7684" width="18.19921875" style="24" customWidth="1"/>
    <col min="7685" max="7685" width="5.19921875" style="24" bestFit="1" customWidth="1"/>
    <col min="7686" max="7686" width="9" style="24"/>
    <col min="7687" max="7687" width="11.8984375" style="24" customWidth="1"/>
    <col min="7688" max="7688" width="13.59765625" style="24" customWidth="1"/>
    <col min="7689" max="7689" width="12.69921875" style="24" customWidth="1"/>
    <col min="7690" max="7936" width="9" style="24"/>
    <col min="7937" max="7937" width="5" style="24" customWidth="1"/>
    <col min="7938" max="7938" width="17.8984375" style="24" bestFit="1" customWidth="1"/>
    <col min="7939" max="7939" width="23.59765625" style="24" customWidth="1"/>
    <col min="7940" max="7940" width="18.19921875" style="24" customWidth="1"/>
    <col min="7941" max="7941" width="5.19921875" style="24" bestFit="1" customWidth="1"/>
    <col min="7942" max="7942" width="9" style="24"/>
    <col min="7943" max="7943" width="11.8984375" style="24" customWidth="1"/>
    <col min="7944" max="7944" width="13.59765625" style="24" customWidth="1"/>
    <col min="7945" max="7945" width="12.69921875" style="24" customWidth="1"/>
    <col min="7946" max="8192" width="9" style="24"/>
    <col min="8193" max="8193" width="5" style="24" customWidth="1"/>
    <col min="8194" max="8194" width="17.8984375" style="24" bestFit="1" customWidth="1"/>
    <col min="8195" max="8195" width="23.59765625" style="24" customWidth="1"/>
    <col min="8196" max="8196" width="18.19921875" style="24" customWidth="1"/>
    <col min="8197" max="8197" width="5.19921875" style="24" bestFit="1" customWidth="1"/>
    <col min="8198" max="8198" width="9" style="24"/>
    <col min="8199" max="8199" width="11.8984375" style="24" customWidth="1"/>
    <col min="8200" max="8200" width="13.59765625" style="24" customWidth="1"/>
    <col min="8201" max="8201" width="12.69921875" style="24" customWidth="1"/>
    <col min="8202" max="8448" width="9" style="24"/>
    <col min="8449" max="8449" width="5" style="24" customWidth="1"/>
    <col min="8450" max="8450" width="17.8984375" style="24" bestFit="1" customWidth="1"/>
    <col min="8451" max="8451" width="23.59765625" style="24" customWidth="1"/>
    <col min="8452" max="8452" width="18.19921875" style="24" customWidth="1"/>
    <col min="8453" max="8453" width="5.19921875" style="24" bestFit="1" customWidth="1"/>
    <col min="8454" max="8454" width="9" style="24"/>
    <col min="8455" max="8455" width="11.8984375" style="24" customWidth="1"/>
    <col min="8456" max="8456" width="13.59765625" style="24" customWidth="1"/>
    <col min="8457" max="8457" width="12.69921875" style="24" customWidth="1"/>
    <col min="8458" max="8704" width="9" style="24"/>
    <col min="8705" max="8705" width="5" style="24" customWidth="1"/>
    <col min="8706" max="8706" width="17.8984375" style="24" bestFit="1" customWidth="1"/>
    <col min="8707" max="8707" width="23.59765625" style="24" customWidth="1"/>
    <col min="8708" max="8708" width="18.19921875" style="24" customWidth="1"/>
    <col min="8709" max="8709" width="5.19921875" style="24" bestFit="1" customWidth="1"/>
    <col min="8710" max="8710" width="9" style="24"/>
    <col min="8711" max="8711" width="11.8984375" style="24" customWidth="1"/>
    <col min="8712" max="8712" width="13.59765625" style="24" customWidth="1"/>
    <col min="8713" max="8713" width="12.69921875" style="24" customWidth="1"/>
    <col min="8714" max="8960" width="9" style="24"/>
    <col min="8961" max="8961" width="5" style="24" customWidth="1"/>
    <col min="8962" max="8962" width="17.8984375" style="24" bestFit="1" customWidth="1"/>
    <col min="8963" max="8963" width="23.59765625" style="24" customWidth="1"/>
    <col min="8964" max="8964" width="18.19921875" style="24" customWidth="1"/>
    <col min="8965" max="8965" width="5.19921875" style="24" bestFit="1" customWidth="1"/>
    <col min="8966" max="8966" width="9" style="24"/>
    <col min="8967" max="8967" width="11.8984375" style="24" customWidth="1"/>
    <col min="8968" max="8968" width="13.59765625" style="24" customWidth="1"/>
    <col min="8969" max="8969" width="12.69921875" style="24" customWidth="1"/>
    <col min="8970" max="9216" width="9" style="24"/>
    <col min="9217" max="9217" width="5" style="24" customWidth="1"/>
    <col min="9218" max="9218" width="17.8984375" style="24" bestFit="1" customWidth="1"/>
    <col min="9219" max="9219" width="23.59765625" style="24" customWidth="1"/>
    <col min="9220" max="9220" width="18.19921875" style="24" customWidth="1"/>
    <col min="9221" max="9221" width="5.19921875" style="24" bestFit="1" customWidth="1"/>
    <col min="9222" max="9222" width="9" style="24"/>
    <col min="9223" max="9223" width="11.8984375" style="24" customWidth="1"/>
    <col min="9224" max="9224" width="13.59765625" style="24" customWidth="1"/>
    <col min="9225" max="9225" width="12.69921875" style="24" customWidth="1"/>
    <col min="9226" max="9472" width="9" style="24"/>
    <col min="9473" max="9473" width="5" style="24" customWidth="1"/>
    <col min="9474" max="9474" width="17.8984375" style="24" bestFit="1" customWidth="1"/>
    <col min="9475" max="9475" width="23.59765625" style="24" customWidth="1"/>
    <col min="9476" max="9476" width="18.19921875" style="24" customWidth="1"/>
    <col min="9477" max="9477" width="5.19921875" style="24" bestFit="1" customWidth="1"/>
    <col min="9478" max="9478" width="9" style="24"/>
    <col min="9479" max="9479" width="11.8984375" style="24" customWidth="1"/>
    <col min="9480" max="9480" width="13.59765625" style="24" customWidth="1"/>
    <col min="9481" max="9481" width="12.69921875" style="24" customWidth="1"/>
    <col min="9482" max="9728" width="9" style="24"/>
    <col min="9729" max="9729" width="5" style="24" customWidth="1"/>
    <col min="9730" max="9730" width="17.8984375" style="24" bestFit="1" customWidth="1"/>
    <col min="9731" max="9731" width="23.59765625" style="24" customWidth="1"/>
    <col min="9732" max="9732" width="18.19921875" style="24" customWidth="1"/>
    <col min="9733" max="9733" width="5.19921875" style="24" bestFit="1" customWidth="1"/>
    <col min="9734" max="9734" width="9" style="24"/>
    <col min="9735" max="9735" width="11.8984375" style="24" customWidth="1"/>
    <col min="9736" max="9736" width="13.59765625" style="24" customWidth="1"/>
    <col min="9737" max="9737" width="12.69921875" style="24" customWidth="1"/>
    <col min="9738" max="9984" width="9" style="24"/>
    <col min="9985" max="9985" width="5" style="24" customWidth="1"/>
    <col min="9986" max="9986" width="17.8984375" style="24" bestFit="1" customWidth="1"/>
    <col min="9987" max="9987" width="23.59765625" style="24" customWidth="1"/>
    <col min="9988" max="9988" width="18.19921875" style="24" customWidth="1"/>
    <col min="9989" max="9989" width="5.19921875" style="24" bestFit="1" customWidth="1"/>
    <col min="9990" max="9990" width="9" style="24"/>
    <col min="9991" max="9991" width="11.8984375" style="24" customWidth="1"/>
    <col min="9992" max="9992" width="13.59765625" style="24" customWidth="1"/>
    <col min="9993" max="9993" width="12.69921875" style="24" customWidth="1"/>
    <col min="9994" max="10240" width="9" style="24"/>
    <col min="10241" max="10241" width="5" style="24" customWidth="1"/>
    <col min="10242" max="10242" width="17.8984375" style="24" bestFit="1" customWidth="1"/>
    <col min="10243" max="10243" width="23.59765625" style="24" customWidth="1"/>
    <col min="10244" max="10244" width="18.19921875" style="24" customWidth="1"/>
    <col min="10245" max="10245" width="5.19921875" style="24" bestFit="1" customWidth="1"/>
    <col min="10246" max="10246" width="9" style="24"/>
    <col min="10247" max="10247" width="11.8984375" style="24" customWidth="1"/>
    <col min="10248" max="10248" width="13.59765625" style="24" customWidth="1"/>
    <col min="10249" max="10249" width="12.69921875" style="24" customWidth="1"/>
    <col min="10250" max="10496" width="9" style="24"/>
    <col min="10497" max="10497" width="5" style="24" customWidth="1"/>
    <col min="10498" max="10498" width="17.8984375" style="24" bestFit="1" customWidth="1"/>
    <col min="10499" max="10499" width="23.59765625" style="24" customWidth="1"/>
    <col min="10500" max="10500" width="18.19921875" style="24" customWidth="1"/>
    <col min="10501" max="10501" width="5.19921875" style="24" bestFit="1" customWidth="1"/>
    <col min="10502" max="10502" width="9" style="24"/>
    <col min="10503" max="10503" width="11.8984375" style="24" customWidth="1"/>
    <col min="10504" max="10504" width="13.59765625" style="24" customWidth="1"/>
    <col min="10505" max="10505" width="12.69921875" style="24" customWidth="1"/>
    <col min="10506" max="10752" width="9" style="24"/>
    <col min="10753" max="10753" width="5" style="24" customWidth="1"/>
    <col min="10754" max="10754" width="17.8984375" style="24" bestFit="1" customWidth="1"/>
    <col min="10755" max="10755" width="23.59765625" style="24" customWidth="1"/>
    <col min="10756" max="10756" width="18.19921875" style="24" customWidth="1"/>
    <col min="10757" max="10757" width="5.19921875" style="24" bestFit="1" customWidth="1"/>
    <col min="10758" max="10758" width="9" style="24"/>
    <col min="10759" max="10759" width="11.8984375" style="24" customWidth="1"/>
    <col min="10760" max="10760" width="13.59765625" style="24" customWidth="1"/>
    <col min="10761" max="10761" width="12.69921875" style="24" customWidth="1"/>
    <col min="10762" max="11008" width="9" style="24"/>
    <col min="11009" max="11009" width="5" style="24" customWidth="1"/>
    <col min="11010" max="11010" width="17.8984375" style="24" bestFit="1" customWidth="1"/>
    <col min="11011" max="11011" width="23.59765625" style="24" customWidth="1"/>
    <col min="11012" max="11012" width="18.19921875" style="24" customWidth="1"/>
    <col min="11013" max="11013" width="5.19921875" style="24" bestFit="1" customWidth="1"/>
    <col min="11014" max="11014" width="9" style="24"/>
    <col min="11015" max="11015" width="11.8984375" style="24" customWidth="1"/>
    <col min="11016" max="11016" width="13.59765625" style="24" customWidth="1"/>
    <col min="11017" max="11017" width="12.69921875" style="24" customWidth="1"/>
    <col min="11018" max="11264" width="9" style="24"/>
    <col min="11265" max="11265" width="5" style="24" customWidth="1"/>
    <col min="11266" max="11266" width="17.8984375" style="24" bestFit="1" customWidth="1"/>
    <col min="11267" max="11267" width="23.59765625" style="24" customWidth="1"/>
    <col min="11268" max="11268" width="18.19921875" style="24" customWidth="1"/>
    <col min="11269" max="11269" width="5.19921875" style="24" bestFit="1" customWidth="1"/>
    <col min="11270" max="11270" width="9" style="24"/>
    <col min="11271" max="11271" width="11.8984375" style="24" customWidth="1"/>
    <col min="11272" max="11272" width="13.59765625" style="24" customWidth="1"/>
    <col min="11273" max="11273" width="12.69921875" style="24" customWidth="1"/>
    <col min="11274" max="11520" width="9" style="24"/>
    <col min="11521" max="11521" width="5" style="24" customWidth="1"/>
    <col min="11522" max="11522" width="17.8984375" style="24" bestFit="1" customWidth="1"/>
    <col min="11523" max="11523" width="23.59765625" style="24" customWidth="1"/>
    <col min="11524" max="11524" width="18.19921875" style="24" customWidth="1"/>
    <col min="11525" max="11525" width="5.19921875" style="24" bestFit="1" customWidth="1"/>
    <col min="11526" max="11526" width="9" style="24"/>
    <col min="11527" max="11527" width="11.8984375" style="24" customWidth="1"/>
    <col min="11528" max="11528" width="13.59765625" style="24" customWidth="1"/>
    <col min="11529" max="11529" width="12.69921875" style="24" customWidth="1"/>
    <col min="11530" max="11776" width="9" style="24"/>
    <col min="11777" max="11777" width="5" style="24" customWidth="1"/>
    <col min="11778" max="11778" width="17.8984375" style="24" bestFit="1" customWidth="1"/>
    <col min="11779" max="11779" width="23.59765625" style="24" customWidth="1"/>
    <col min="11780" max="11780" width="18.19921875" style="24" customWidth="1"/>
    <col min="11781" max="11781" width="5.19921875" style="24" bestFit="1" customWidth="1"/>
    <col min="11782" max="11782" width="9" style="24"/>
    <col min="11783" max="11783" width="11.8984375" style="24" customWidth="1"/>
    <col min="11784" max="11784" width="13.59765625" style="24" customWidth="1"/>
    <col min="11785" max="11785" width="12.69921875" style="24" customWidth="1"/>
    <col min="11786" max="12032" width="9" style="24"/>
    <col min="12033" max="12033" width="5" style="24" customWidth="1"/>
    <col min="12034" max="12034" width="17.8984375" style="24" bestFit="1" customWidth="1"/>
    <col min="12035" max="12035" width="23.59765625" style="24" customWidth="1"/>
    <col min="12036" max="12036" width="18.19921875" style="24" customWidth="1"/>
    <col min="12037" max="12037" width="5.19921875" style="24" bestFit="1" customWidth="1"/>
    <col min="12038" max="12038" width="9" style="24"/>
    <col min="12039" max="12039" width="11.8984375" style="24" customWidth="1"/>
    <col min="12040" max="12040" width="13.59765625" style="24" customWidth="1"/>
    <col min="12041" max="12041" width="12.69921875" style="24" customWidth="1"/>
    <col min="12042" max="12288" width="9" style="24"/>
    <col min="12289" max="12289" width="5" style="24" customWidth="1"/>
    <col min="12290" max="12290" width="17.8984375" style="24" bestFit="1" customWidth="1"/>
    <col min="12291" max="12291" width="23.59765625" style="24" customWidth="1"/>
    <col min="12292" max="12292" width="18.19921875" style="24" customWidth="1"/>
    <col min="12293" max="12293" width="5.19921875" style="24" bestFit="1" customWidth="1"/>
    <col min="12294" max="12294" width="9" style="24"/>
    <col min="12295" max="12295" width="11.8984375" style="24" customWidth="1"/>
    <col min="12296" max="12296" width="13.59765625" style="24" customWidth="1"/>
    <col min="12297" max="12297" width="12.69921875" style="24" customWidth="1"/>
    <col min="12298" max="12544" width="9" style="24"/>
    <col min="12545" max="12545" width="5" style="24" customWidth="1"/>
    <col min="12546" max="12546" width="17.8984375" style="24" bestFit="1" customWidth="1"/>
    <col min="12547" max="12547" width="23.59765625" style="24" customWidth="1"/>
    <col min="12548" max="12548" width="18.19921875" style="24" customWidth="1"/>
    <col min="12549" max="12549" width="5.19921875" style="24" bestFit="1" customWidth="1"/>
    <col min="12550" max="12550" width="9" style="24"/>
    <col min="12551" max="12551" width="11.8984375" style="24" customWidth="1"/>
    <col min="12552" max="12552" width="13.59765625" style="24" customWidth="1"/>
    <col min="12553" max="12553" width="12.69921875" style="24" customWidth="1"/>
    <col min="12554" max="12800" width="9" style="24"/>
    <col min="12801" max="12801" width="5" style="24" customWidth="1"/>
    <col min="12802" max="12802" width="17.8984375" style="24" bestFit="1" customWidth="1"/>
    <col min="12803" max="12803" width="23.59765625" style="24" customWidth="1"/>
    <col min="12804" max="12804" width="18.19921875" style="24" customWidth="1"/>
    <col min="12805" max="12805" width="5.19921875" style="24" bestFit="1" customWidth="1"/>
    <col min="12806" max="12806" width="9" style="24"/>
    <col min="12807" max="12807" width="11.8984375" style="24" customWidth="1"/>
    <col min="12808" max="12808" width="13.59765625" style="24" customWidth="1"/>
    <col min="12809" max="12809" width="12.69921875" style="24" customWidth="1"/>
    <col min="12810" max="13056" width="9" style="24"/>
    <col min="13057" max="13057" width="5" style="24" customWidth="1"/>
    <col min="13058" max="13058" width="17.8984375" style="24" bestFit="1" customWidth="1"/>
    <col min="13059" max="13059" width="23.59765625" style="24" customWidth="1"/>
    <col min="13060" max="13060" width="18.19921875" style="24" customWidth="1"/>
    <col min="13061" max="13061" width="5.19921875" style="24" bestFit="1" customWidth="1"/>
    <col min="13062" max="13062" width="9" style="24"/>
    <col min="13063" max="13063" width="11.8984375" style="24" customWidth="1"/>
    <col min="13064" max="13064" width="13.59765625" style="24" customWidth="1"/>
    <col min="13065" max="13065" width="12.69921875" style="24" customWidth="1"/>
    <col min="13066" max="13312" width="9" style="24"/>
    <col min="13313" max="13313" width="5" style="24" customWidth="1"/>
    <col min="13314" max="13314" width="17.8984375" style="24" bestFit="1" customWidth="1"/>
    <col min="13315" max="13315" width="23.59765625" style="24" customWidth="1"/>
    <col min="13316" max="13316" width="18.19921875" style="24" customWidth="1"/>
    <col min="13317" max="13317" width="5.19921875" style="24" bestFit="1" customWidth="1"/>
    <col min="13318" max="13318" width="9" style="24"/>
    <col min="13319" max="13319" width="11.8984375" style="24" customWidth="1"/>
    <col min="13320" max="13320" width="13.59765625" style="24" customWidth="1"/>
    <col min="13321" max="13321" width="12.69921875" style="24" customWidth="1"/>
    <col min="13322" max="13568" width="9" style="24"/>
    <col min="13569" max="13569" width="5" style="24" customWidth="1"/>
    <col min="13570" max="13570" width="17.8984375" style="24" bestFit="1" customWidth="1"/>
    <col min="13571" max="13571" width="23.59765625" style="24" customWidth="1"/>
    <col min="13572" max="13572" width="18.19921875" style="24" customWidth="1"/>
    <col min="13573" max="13573" width="5.19921875" style="24" bestFit="1" customWidth="1"/>
    <col min="13574" max="13574" width="9" style="24"/>
    <col min="13575" max="13575" width="11.8984375" style="24" customWidth="1"/>
    <col min="13576" max="13576" width="13.59765625" style="24" customWidth="1"/>
    <col min="13577" max="13577" width="12.69921875" style="24" customWidth="1"/>
    <col min="13578" max="13824" width="9" style="24"/>
    <col min="13825" max="13825" width="5" style="24" customWidth="1"/>
    <col min="13826" max="13826" width="17.8984375" style="24" bestFit="1" customWidth="1"/>
    <col min="13827" max="13827" width="23.59765625" style="24" customWidth="1"/>
    <col min="13828" max="13828" width="18.19921875" style="24" customWidth="1"/>
    <col min="13829" max="13829" width="5.19921875" style="24" bestFit="1" customWidth="1"/>
    <col min="13830" max="13830" width="9" style="24"/>
    <col min="13831" max="13831" width="11.8984375" style="24" customWidth="1"/>
    <col min="13832" max="13832" width="13.59765625" style="24" customWidth="1"/>
    <col min="13833" max="13833" width="12.69921875" style="24" customWidth="1"/>
    <col min="13834" max="14080" width="9" style="24"/>
    <col min="14081" max="14081" width="5" style="24" customWidth="1"/>
    <col min="14082" max="14082" width="17.8984375" style="24" bestFit="1" customWidth="1"/>
    <col min="14083" max="14083" width="23.59765625" style="24" customWidth="1"/>
    <col min="14084" max="14084" width="18.19921875" style="24" customWidth="1"/>
    <col min="14085" max="14085" width="5.19921875" style="24" bestFit="1" customWidth="1"/>
    <col min="14086" max="14086" width="9" style="24"/>
    <col min="14087" max="14087" width="11.8984375" style="24" customWidth="1"/>
    <col min="14088" max="14088" width="13.59765625" style="24" customWidth="1"/>
    <col min="14089" max="14089" width="12.69921875" style="24" customWidth="1"/>
    <col min="14090" max="14336" width="9" style="24"/>
    <col min="14337" max="14337" width="5" style="24" customWidth="1"/>
    <col min="14338" max="14338" width="17.8984375" style="24" bestFit="1" customWidth="1"/>
    <col min="14339" max="14339" width="23.59765625" style="24" customWidth="1"/>
    <col min="14340" max="14340" width="18.19921875" style="24" customWidth="1"/>
    <col min="14341" max="14341" width="5.19921875" style="24" bestFit="1" customWidth="1"/>
    <col min="14342" max="14342" width="9" style="24"/>
    <col min="14343" max="14343" width="11.8984375" style="24" customWidth="1"/>
    <col min="14344" max="14344" width="13.59765625" style="24" customWidth="1"/>
    <col min="14345" max="14345" width="12.69921875" style="24" customWidth="1"/>
    <col min="14346" max="14592" width="9" style="24"/>
    <col min="14593" max="14593" width="5" style="24" customWidth="1"/>
    <col min="14594" max="14594" width="17.8984375" style="24" bestFit="1" customWidth="1"/>
    <col min="14595" max="14595" width="23.59765625" style="24" customWidth="1"/>
    <col min="14596" max="14596" width="18.19921875" style="24" customWidth="1"/>
    <col min="14597" max="14597" width="5.19921875" style="24" bestFit="1" customWidth="1"/>
    <col min="14598" max="14598" width="9" style="24"/>
    <col min="14599" max="14599" width="11.8984375" style="24" customWidth="1"/>
    <col min="14600" max="14600" width="13.59765625" style="24" customWidth="1"/>
    <col min="14601" max="14601" width="12.69921875" style="24" customWidth="1"/>
    <col min="14602" max="14848" width="9" style="24"/>
    <col min="14849" max="14849" width="5" style="24" customWidth="1"/>
    <col min="14850" max="14850" width="17.8984375" style="24" bestFit="1" customWidth="1"/>
    <col min="14851" max="14851" width="23.59765625" style="24" customWidth="1"/>
    <col min="14852" max="14852" width="18.19921875" style="24" customWidth="1"/>
    <col min="14853" max="14853" width="5.19921875" style="24" bestFit="1" customWidth="1"/>
    <col min="14854" max="14854" width="9" style="24"/>
    <col min="14855" max="14855" width="11.8984375" style="24" customWidth="1"/>
    <col min="14856" max="14856" width="13.59765625" style="24" customWidth="1"/>
    <col min="14857" max="14857" width="12.69921875" style="24" customWidth="1"/>
    <col min="14858" max="15104" width="9" style="24"/>
    <col min="15105" max="15105" width="5" style="24" customWidth="1"/>
    <col min="15106" max="15106" width="17.8984375" style="24" bestFit="1" customWidth="1"/>
    <col min="15107" max="15107" width="23.59765625" style="24" customWidth="1"/>
    <col min="15108" max="15108" width="18.19921875" style="24" customWidth="1"/>
    <col min="15109" max="15109" width="5.19921875" style="24" bestFit="1" customWidth="1"/>
    <col min="15110" max="15110" width="9" style="24"/>
    <col min="15111" max="15111" width="11.8984375" style="24" customWidth="1"/>
    <col min="15112" max="15112" width="13.59765625" style="24" customWidth="1"/>
    <col min="15113" max="15113" width="12.69921875" style="24" customWidth="1"/>
    <col min="15114" max="15360" width="9" style="24"/>
    <col min="15361" max="15361" width="5" style="24" customWidth="1"/>
    <col min="15362" max="15362" width="17.8984375" style="24" bestFit="1" customWidth="1"/>
    <col min="15363" max="15363" width="23.59765625" style="24" customWidth="1"/>
    <col min="15364" max="15364" width="18.19921875" style="24" customWidth="1"/>
    <col min="15365" max="15365" width="5.19921875" style="24" bestFit="1" customWidth="1"/>
    <col min="15366" max="15366" width="9" style="24"/>
    <col min="15367" max="15367" width="11.8984375" style="24" customWidth="1"/>
    <col min="15368" max="15368" width="13.59765625" style="24" customWidth="1"/>
    <col min="15369" max="15369" width="12.69921875" style="24" customWidth="1"/>
    <col min="15370" max="15616" width="9" style="24"/>
    <col min="15617" max="15617" width="5" style="24" customWidth="1"/>
    <col min="15618" max="15618" width="17.8984375" style="24" bestFit="1" customWidth="1"/>
    <col min="15619" max="15619" width="23.59765625" style="24" customWidth="1"/>
    <col min="15620" max="15620" width="18.19921875" style="24" customWidth="1"/>
    <col min="15621" max="15621" width="5.19921875" style="24" bestFit="1" customWidth="1"/>
    <col min="15622" max="15622" width="9" style="24"/>
    <col min="15623" max="15623" width="11.8984375" style="24" customWidth="1"/>
    <col min="15624" max="15624" width="13.59765625" style="24" customWidth="1"/>
    <col min="15625" max="15625" width="12.69921875" style="24" customWidth="1"/>
    <col min="15626" max="15872" width="9" style="24"/>
    <col min="15873" max="15873" width="5" style="24" customWidth="1"/>
    <col min="15874" max="15874" width="17.8984375" style="24" bestFit="1" customWidth="1"/>
    <col min="15875" max="15875" width="23.59765625" style="24" customWidth="1"/>
    <col min="15876" max="15876" width="18.19921875" style="24" customWidth="1"/>
    <col min="15877" max="15877" width="5.19921875" style="24" bestFit="1" customWidth="1"/>
    <col min="15878" max="15878" width="9" style="24"/>
    <col min="15879" max="15879" width="11.8984375" style="24" customWidth="1"/>
    <col min="15880" max="15880" width="13.59765625" style="24" customWidth="1"/>
    <col min="15881" max="15881" width="12.69921875" style="24" customWidth="1"/>
    <col min="15882" max="16128" width="9" style="24"/>
    <col min="16129" max="16129" width="5" style="24" customWidth="1"/>
    <col min="16130" max="16130" width="17.8984375" style="24" bestFit="1" customWidth="1"/>
    <col min="16131" max="16131" width="23.59765625" style="24" customWidth="1"/>
    <col min="16132" max="16132" width="18.19921875" style="24" customWidth="1"/>
    <col min="16133" max="16133" width="5.19921875" style="24" bestFit="1" customWidth="1"/>
    <col min="16134" max="16134" width="9" style="24"/>
    <col min="16135" max="16135" width="11.8984375" style="24" customWidth="1"/>
    <col min="16136" max="16136" width="13.59765625" style="24" customWidth="1"/>
    <col min="16137" max="16137" width="12.69921875" style="24" customWidth="1"/>
    <col min="16138" max="16384" width="9" style="24"/>
  </cols>
  <sheetData>
    <row r="1" spans="1:9" ht="22.5" customHeight="1">
      <c r="B1" s="201" t="s">
        <v>145</v>
      </c>
      <c r="C1" s="266" t="s">
        <v>422</v>
      </c>
      <c r="F1" s="290"/>
      <c r="I1" s="24" t="s">
        <v>118</v>
      </c>
    </row>
    <row r="2" spans="1:9" s="26" customFormat="1" ht="16.5" customHeight="1">
      <c r="A2" s="337" t="s">
        <v>119</v>
      </c>
      <c r="B2" s="339"/>
      <c r="C2" s="275" t="s">
        <v>120</v>
      </c>
      <c r="D2" s="125" t="s">
        <v>121</v>
      </c>
      <c r="E2" s="125" t="s">
        <v>38</v>
      </c>
      <c r="F2" s="249" t="s">
        <v>39</v>
      </c>
      <c r="G2" s="249" t="s">
        <v>122</v>
      </c>
      <c r="H2" s="249" t="s">
        <v>123</v>
      </c>
      <c r="I2" s="125" t="s">
        <v>124</v>
      </c>
    </row>
    <row r="3" spans="1:9" ht="15.9" customHeight="1">
      <c r="A3" s="429" t="s">
        <v>125</v>
      </c>
      <c r="B3" s="206" t="s">
        <v>126</v>
      </c>
      <c r="C3" s="227" t="s">
        <v>337</v>
      </c>
      <c r="D3" s="465" t="s">
        <v>146</v>
      </c>
      <c r="E3" s="228" t="s">
        <v>146</v>
      </c>
      <c r="F3" s="229"/>
      <c r="G3" s="230"/>
      <c r="H3" s="231"/>
      <c r="I3" s="232"/>
    </row>
    <row r="4" spans="1:9" ht="15.9" customHeight="1">
      <c r="A4" s="433"/>
      <c r="B4" s="206"/>
      <c r="C4" s="213" t="s">
        <v>423</v>
      </c>
      <c r="D4" s="268" t="s">
        <v>424</v>
      </c>
      <c r="E4" s="272" t="s">
        <v>207</v>
      </c>
      <c r="F4" s="215">
        <v>1</v>
      </c>
      <c r="G4" s="216">
        <v>150000000</v>
      </c>
      <c r="H4" s="165">
        <f t="shared" ref="H4:H9" si="0">F4*G4</f>
        <v>150000000</v>
      </c>
      <c r="I4" s="39" t="s">
        <v>275</v>
      </c>
    </row>
    <row r="5" spans="1:9" ht="15.9" customHeight="1">
      <c r="A5" s="433"/>
      <c r="B5" s="206"/>
      <c r="C5" s="271" t="s">
        <v>425</v>
      </c>
      <c r="D5" s="268" t="s">
        <v>426</v>
      </c>
      <c r="E5" s="272" t="s">
        <v>199</v>
      </c>
      <c r="F5" s="215">
        <v>3</v>
      </c>
      <c r="G5" s="216">
        <v>10000000</v>
      </c>
      <c r="H5" s="165">
        <f t="shared" si="0"/>
        <v>30000000</v>
      </c>
      <c r="I5" s="39" t="s">
        <v>277</v>
      </c>
    </row>
    <row r="6" spans="1:9" ht="15.9" customHeight="1">
      <c r="A6" s="433"/>
      <c r="B6" s="206"/>
      <c r="C6" s="271" t="s">
        <v>146</v>
      </c>
      <c r="D6" s="268" t="s">
        <v>427</v>
      </c>
      <c r="E6" s="272" t="s">
        <v>146</v>
      </c>
      <c r="F6" s="215"/>
      <c r="G6" s="216"/>
      <c r="H6" s="165">
        <f t="shared" si="0"/>
        <v>0</v>
      </c>
      <c r="I6" s="39" t="s">
        <v>146</v>
      </c>
    </row>
    <row r="7" spans="1:9" ht="15.9" customHeight="1">
      <c r="A7" s="433"/>
      <c r="B7" s="206"/>
      <c r="C7" s="472" t="s">
        <v>428</v>
      </c>
      <c r="D7" s="268" t="s">
        <v>429</v>
      </c>
      <c r="E7" s="214" t="s">
        <v>199</v>
      </c>
      <c r="F7" s="215">
        <v>2</v>
      </c>
      <c r="G7" s="216">
        <v>10000000</v>
      </c>
      <c r="H7" s="165">
        <f t="shared" si="0"/>
        <v>20000000</v>
      </c>
      <c r="I7" s="39" t="s">
        <v>430</v>
      </c>
    </row>
    <row r="8" spans="1:9" ht="15.9" customHeight="1">
      <c r="A8" s="433"/>
      <c r="B8" s="206"/>
      <c r="C8" s="271" t="s">
        <v>431</v>
      </c>
      <c r="D8" s="268"/>
      <c r="E8" s="272" t="s">
        <v>199</v>
      </c>
      <c r="F8" s="273">
        <v>1</v>
      </c>
      <c r="G8" s="274">
        <v>10000000</v>
      </c>
      <c r="H8" s="165">
        <f t="shared" si="0"/>
        <v>10000000</v>
      </c>
      <c r="I8" s="39" t="s">
        <v>277</v>
      </c>
    </row>
    <row r="9" spans="1:9" ht="15.9" customHeight="1">
      <c r="A9" s="433"/>
      <c r="B9" s="206"/>
      <c r="C9" s="213" t="s">
        <v>432</v>
      </c>
      <c r="D9" s="268"/>
      <c r="E9" s="214" t="s">
        <v>199</v>
      </c>
      <c r="F9" s="215">
        <v>8</v>
      </c>
      <c r="G9" s="216">
        <v>2000000</v>
      </c>
      <c r="H9" s="165">
        <f t="shared" si="0"/>
        <v>16000000</v>
      </c>
      <c r="I9" s="39" t="s">
        <v>283</v>
      </c>
    </row>
    <row r="10" spans="1:9" ht="15.9" customHeight="1">
      <c r="A10" s="433"/>
      <c r="B10" s="206"/>
      <c r="C10" s="213"/>
      <c r="D10" s="213"/>
      <c r="E10" s="213"/>
      <c r="F10" s="216"/>
      <c r="G10" s="216"/>
      <c r="H10" s="165">
        <f t="shared" ref="H10:H23" si="1">IF(F10=0,G10,G10*F10)</f>
        <v>0</v>
      </c>
      <c r="I10" s="39"/>
    </row>
    <row r="11" spans="1:9" ht="15.9" customHeight="1">
      <c r="A11" s="433"/>
      <c r="B11" s="206"/>
      <c r="C11" s="213"/>
      <c r="D11" s="213"/>
      <c r="E11" s="213"/>
      <c r="F11" s="216"/>
      <c r="G11" s="216"/>
      <c r="H11" s="165">
        <f t="shared" si="1"/>
        <v>0</v>
      </c>
      <c r="I11" s="39"/>
    </row>
    <row r="12" spans="1:9" ht="15.9" customHeight="1">
      <c r="A12" s="433"/>
      <c r="B12" s="206"/>
      <c r="C12" s="213"/>
      <c r="D12" s="213"/>
      <c r="E12" s="213"/>
      <c r="F12" s="216"/>
      <c r="G12" s="216"/>
      <c r="H12" s="165">
        <f t="shared" si="1"/>
        <v>0</v>
      </c>
      <c r="I12" s="39"/>
    </row>
    <row r="13" spans="1:9" ht="15.9" customHeight="1">
      <c r="A13" s="433"/>
      <c r="B13" s="206"/>
      <c r="C13" s="213"/>
      <c r="D13" s="213"/>
      <c r="E13" s="213"/>
      <c r="F13" s="216"/>
      <c r="G13" s="216"/>
      <c r="H13" s="165">
        <f t="shared" si="1"/>
        <v>0</v>
      </c>
      <c r="I13" s="39"/>
    </row>
    <row r="14" spans="1:9" ht="15.9" customHeight="1">
      <c r="A14" s="433"/>
      <c r="B14" s="206"/>
      <c r="C14" s="213"/>
      <c r="D14" s="213"/>
      <c r="E14" s="213"/>
      <c r="F14" s="216"/>
      <c r="G14" s="216"/>
      <c r="H14" s="165">
        <f t="shared" si="1"/>
        <v>0</v>
      </c>
      <c r="I14" s="39"/>
    </row>
    <row r="15" spans="1:9" ht="15.9" customHeight="1">
      <c r="A15" s="433"/>
      <c r="B15" s="206"/>
      <c r="C15" s="213"/>
      <c r="D15" s="213"/>
      <c r="E15" s="213"/>
      <c r="F15" s="216"/>
      <c r="G15" s="216"/>
      <c r="H15" s="165">
        <f t="shared" si="1"/>
        <v>0</v>
      </c>
      <c r="I15" s="39"/>
    </row>
    <row r="16" spans="1:9" ht="15.9" customHeight="1">
      <c r="A16" s="433"/>
      <c r="B16" s="206"/>
      <c r="C16" s="213"/>
      <c r="D16" s="213"/>
      <c r="E16" s="213"/>
      <c r="F16" s="216"/>
      <c r="G16" s="216"/>
      <c r="H16" s="165">
        <f t="shared" si="1"/>
        <v>0</v>
      </c>
      <c r="I16" s="39"/>
    </row>
    <row r="17" spans="1:9" ht="15.9" customHeight="1">
      <c r="A17" s="433"/>
      <c r="B17" s="206"/>
      <c r="C17" s="213"/>
      <c r="D17" s="213"/>
      <c r="E17" s="213"/>
      <c r="F17" s="216"/>
      <c r="G17" s="216"/>
      <c r="H17" s="165">
        <f t="shared" si="1"/>
        <v>0</v>
      </c>
      <c r="I17" s="39"/>
    </row>
    <row r="18" spans="1:9" ht="15.9" customHeight="1">
      <c r="A18" s="433"/>
      <c r="B18" s="206"/>
      <c r="C18" s="213"/>
      <c r="D18" s="213"/>
      <c r="E18" s="213"/>
      <c r="F18" s="216"/>
      <c r="G18" s="216"/>
      <c r="H18" s="165">
        <f t="shared" si="1"/>
        <v>0</v>
      </c>
      <c r="I18" s="39"/>
    </row>
    <row r="19" spans="1:9" ht="15.9" customHeight="1">
      <c r="A19" s="433"/>
      <c r="B19" s="206"/>
      <c r="C19" s="213"/>
      <c r="D19" s="213"/>
      <c r="E19" s="213"/>
      <c r="F19" s="216"/>
      <c r="G19" s="216"/>
      <c r="H19" s="165">
        <f t="shared" si="1"/>
        <v>0</v>
      </c>
      <c r="I19" s="39"/>
    </row>
    <row r="20" spans="1:9" ht="15.9" customHeight="1">
      <c r="A20" s="433"/>
      <c r="B20" s="206"/>
      <c r="C20" s="213"/>
      <c r="D20" s="213"/>
      <c r="E20" s="213"/>
      <c r="F20" s="216"/>
      <c r="G20" s="216"/>
      <c r="H20" s="165">
        <f t="shared" si="1"/>
        <v>0</v>
      </c>
      <c r="I20" s="39"/>
    </row>
    <row r="21" spans="1:9" ht="15.9" customHeight="1">
      <c r="A21" s="433"/>
      <c r="B21" s="206"/>
      <c r="C21" s="213"/>
      <c r="D21" s="213"/>
      <c r="E21" s="213"/>
      <c r="F21" s="216"/>
      <c r="G21" s="216"/>
      <c r="H21" s="165">
        <f t="shared" si="1"/>
        <v>0</v>
      </c>
      <c r="I21" s="39"/>
    </row>
    <row r="22" spans="1:9" ht="15.9" customHeight="1">
      <c r="A22" s="433"/>
      <c r="B22" s="206"/>
      <c r="C22" s="213"/>
      <c r="D22" s="213"/>
      <c r="E22" s="213"/>
      <c r="F22" s="216"/>
      <c r="G22" s="216"/>
      <c r="H22" s="165">
        <f t="shared" si="1"/>
        <v>0</v>
      </c>
      <c r="I22" s="39"/>
    </row>
    <row r="23" spans="1:9" ht="15.9" customHeight="1">
      <c r="A23" s="433"/>
      <c r="B23" s="206"/>
      <c r="C23" s="217"/>
      <c r="D23" s="218"/>
      <c r="E23" s="218"/>
      <c r="F23" s="219"/>
      <c r="G23" s="220"/>
      <c r="H23" s="175">
        <f t="shared" si="1"/>
        <v>0</v>
      </c>
      <c r="I23" s="42"/>
    </row>
    <row r="24" spans="1:9" ht="15.9" customHeight="1">
      <c r="A24" s="433"/>
      <c r="B24" s="221"/>
      <c r="C24" s="240"/>
      <c r="D24" s="240"/>
      <c r="E24" s="240"/>
      <c r="F24" s="243"/>
      <c r="G24" s="243"/>
      <c r="H24" s="244">
        <f>SUM(H3:H23)</f>
        <v>226000000</v>
      </c>
      <c r="I24" s="240"/>
    </row>
    <row r="25" spans="1:9" ht="15.9" customHeight="1">
      <c r="A25" s="433"/>
      <c r="B25" s="206" t="s">
        <v>147</v>
      </c>
      <c r="C25" s="207"/>
      <c r="D25" s="207"/>
      <c r="E25" s="207"/>
      <c r="F25" s="210"/>
      <c r="G25" s="210"/>
      <c r="H25" s="211">
        <f t="shared" ref="H25:H34" si="2">IF(F25=0,G25,G25*F25)</f>
        <v>0</v>
      </c>
      <c r="I25" s="212"/>
    </row>
    <row r="26" spans="1:9" ht="15.9" customHeight="1">
      <c r="A26" s="433"/>
      <c r="B26" s="206" t="s">
        <v>148</v>
      </c>
      <c r="C26" s="213"/>
      <c r="D26" s="213"/>
      <c r="E26" s="213"/>
      <c r="F26" s="216"/>
      <c r="G26" s="216"/>
      <c r="H26" s="165">
        <f t="shared" si="2"/>
        <v>0</v>
      </c>
      <c r="I26" s="39"/>
    </row>
    <row r="27" spans="1:9" ht="15.9" customHeight="1">
      <c r="A27" s="433"/>
      <c r="B27" s="206"/>
      <c r="C27" s="213"/>
      <c r="D27" s="213"/>
      <c r="E27" s="213"/>
      <c r="F27" s="216"/>
      <c r="G27" s="216"/>
      <c r="H27" s="165">
        <f t="shared" si="2"/>
        <v>0</v>
      </c>
      <c r="I27" s="39"/>
    </row>
    <row r="28" spans="1:9" ht="15.9" customHeight="1">
      <c r="A28" s="433"/>
      <c r="B28" s="206"/>
      <c r="C28" s="213"/>
      <c r="D28" s="213"/>
      <c r="E28" s="213"/>
      <c r="F28" s="216"/>
      <c r="G28" s="216"/>
      <c r="H28" s="165">
        <f t="shared" si="2"/>
        <v>0</v>
      </c>
      <c r="I28" s="39"/>
    </row>
    <row r="29" spans="1:9" ht="15.9" customHeight="1">
      <c r="A29" s="433"/>
      <c r="B29" s="206"/>
      <c r="C29" s="234"/>
      <c r="D29" s="234"/>
      <c r="E29" s="234"/>
      <c r="F29" s="236"/>
      <c r="G29" s="236"/>
      <c r="H29" s="165">
        <f t="shared" si="2"/>
        <v>0</v>
      </c>
      <c r="I29" s="238"/>
    </row>
    <row r="30" spans="1:9" ht="15.9" customHeight="1">
      <c r="A30" s="433"/>
      <c r="B30" s="206"/>
      <c r="C30" s="234"/>
      <c r="D30" s="234"/>
      <c r="E30" s="234"/>
      <c r="F30" s="236"/>
      <c r="G30" s="236"/>
      <c r="H30" s="165">
        <f t="shared" si="2"/>
        <v>0</v>
      </c>
      <c r="I30" s="238"/>
    </row>
    <row r="31" spans="1:9" ht="15.9" customHeight="1">
      <c r="A31" s="433"/>
      <c r="B31" s="206"/>
      <c r="C31" s="234"/>
      <c r="D31" s="234"/>
      <c r="E31" s="234"/>
      <c r="F31" s="236"/>
      <c r="G31" s="236"/>
      <c r="H31" s="165">
        <f t="shared" si="2"/>
        <v>0</v>
      </c>
      <c r="I31" s="238"/>
    </row>
    <row r="32" spans="1:9" ht="15.9" customHeight="1">
      <c r="A32" s="433"/>
      <c r="B32" s="206"/>
      <c r="C32" s="234"/>
      <c r="D32" s="234"/>
      <c r="E32" s="234"/>
      <c r="F32" s="236"/>
      <c r="G32" s="236"/>
      <c r="H32" s="165">
        <f t="shared" si="2"/>
        <v>0</v>
      </c>
      <c r="I32" s="238"/>
    </row>
    <row r="33" spans="1:9" ht="15.9" customHeight="1">
      <c r="A33" s="433"/>
      <c r="B33" s="206"/>
      <c r="C33" s="234"/>
      <c r="D33" s="234"/>
      <c r="E33" s="234"/>
      <c r="F33" s="236"/>
      <c r="G33" s="236"/>
      <c r="H33" s="165">
        <f t="shared" si="2"/>
        <v>0</v>
      </c>
      <c r="I33" s="238"/>
    </row>
    <row r="34" spans="1:9" ht="15.9" customHeight="1">
      <c r="A34" s="433"/>
      <c r="B34" s="206"/>
      <c r="C34" s="217"/>
      <c r="D34" s="217"/>
      <c r="E34" s="217"/>
      <c r="F34" s="220"/>
      <c r="G34" s="220"/>
      <c r="H34" s="165">
        <f t="shared" si="2"/>
        <v>0</v>
      </c>
      <c r="I34" s="42"/>
    </row>
    <row r="35" spans="1:9" ht="15.9" customHeight="1">
      <c r="A35" s="433"/>
      <c r="B35" s="221"/>
      <c r="C35" s="222"/>
      <c r="D35" s="223"/>
      <c r="E35" s="223"/>
      <c r="F35" s="291"/>
      <c r="G35" s="225"/>
      <c r="H35" s="49">
        <f>SUM(H25:H34)</f>
        <v>0</v>
      </c>
      <c r="I35" s="46"/>
    </row>
    <row r="36" spans="1:9" ht="15.9" customHeight="1">
      <c r="A36" s="433"/>
      <c r="B36" s="245" t="s">
        <v>149</v>
      </c>
      <c r="C36" s="292" t="s">
        <v>433</v>
      </c>
      <c r="D36" s="465" t="s">
        <v>146</v>
      </c>
      <c r="E36" s="444" t="s">
        <v>146</v>
      </c>
      <c r="F36" s="229"/>
      <c r="G36" s="230"/>
      <c r="H36" s="231"/>
      <c r="I36" s="468" t="s">
        <v>146</v>
      </c>
    </row>
    <row r="37" spans="1:9" ht="15.9" customHeight="1">
      <c r="A37" s="433"/>
      <c r="B37" s="206" t="s">
        <v>150</v>
      </c>
      <c r="C37" s="271" t="s">
        <v>434</v>
      </c>
      <c r="D37" s="268" t="s">
        <v>435</v>
      </c>
      <c r="E37" s="272" t="s">
        <v>207</v>
      </c>
      <c r="F37" s="277">
        <v>1</v>
      </c>
      <c r="G37" s="274">
        <v>85000000</v>
      </c>
      <c r="H37" s="474">
        <f t="shared" ref="H37:H42" si="3">IF(F37=0,G37,G37*F37)</f>
        <v>85000000</v>
      </c>
      <c r="I37" s="469" t="s">
        <v>352</v>
      </c>
    </row>
    <row r="38" spans="1:9" ht="15.9" customHeight="1">
      <c r="A38" s="433"/>
      <c r="B38" s="206"/>
      <c r="C38" s="271" t="s">
        <v>436</v>
      </c>
      <c r="D38" s="268" t="s">
        <v>354</v>
      </c>
      <c r="E38" s="272" t="s">
        <v>207</v>
      </c>
      <c r="F38" s="273">
        <v>1</v>
      </c>
      <c r="G38" s="216">
        <v>12000000</v>
      </c>
      <c r="H38" s="165">
        <f t="shared" si="3"/>
        <v>12000000</v>
      </c>
      <c r="I38" s="469" t="s">
        <v>352</v>
      </c>
    </row>
    <row r="39" spans="1:9" ht="15.9" customHeight="1">
      <c r="A39" s="433"/>
      <c r="B39" s="206"/>
      <c r="C39" s="271" t="s">
        <v>437</v>
      </c>
      <c r="D39" s="268" t="s">
        <v>146</v>
      </c>
      <c r="E39" s="272" t="s">
        <v>199</v>
      </c>
      <c r="F39" s="277">
        <v>1</v>
      </c>
      <c r="G39" s="274">
        <v>15000000</v>
      </c>
      <c r="H39" s="165">
        <f t="shared" si="3"/>
        <v>15000000</v>
      </c>
      <c r="I39" s="469" t="s">
        <v>438</v>
      </c>
    </row>
    <row r="40" spans="1:9" ht="15.9" customHeight="1">
      <c r="A40" s="433"/>
      <c r="B40" s="206"/>
      <c r="C40" s="271" t="s">
        <v>439</v>
      </c>
      <c r="D40" s="268"/>
      <c r="E40" s="272"/>
      <c r="F40" s="273"/>
      <c r="G40" s="216"/>
      <c r="H40" s="165"/>
      <c r="I40" s="481" t="s">
        <v>146</v>
      </c>
    </row>
    <row r="41" spans="1:9" ht="15.9" customHeight="1">
      <c r="A41" s="433"/>
      <c r="B41" s="206"/>
      <c r="C41" s="271" t="s">
        <v>440</v>
      </c>
      <c r="D41" s="268"/>
      <c r="E41" s="272" t="s">
        <v>199</v>
      </c>
      <c r="F41" s="273">
        <v>2</v>
      </c>
      <c r="G41" s="283">
        <v>5000000</v>
      </c>
      <c r="H41" s="165">
        <f t="shared" si="3"/>
        <v>10000000</v>
      </c>
      <c r="I41" s="469" t="s">
        <v>441</v>
      </c>
    </row>
    <row r="42" spans="1:9" ht="15.9" customHeight="1">
      <c r="A42" s="433"/>
      <c r="B42" s="206"/>
      <c r="C42" s="271" t="s">
        <v>442</v>
      </c>
      <c r="D42" s="268" t="s">
        <v>443</v>
      </c>
      <c r="E42" s="272" t="s">
        <v>199</v>
      </c>
      <c r="F42" s="273">
        <v>8</v>
      </c>
      <c r="G42" s="283">
        <v>2000000</v>
      </c>
      <c r="H42" s="165">
        <f t="shared" si="3"/>
        <v>16000000</v>
      </c>
      <c r="I42" s="469" t="s">
        <v>444</v>
      </c>
    </row>
    <row r="43" spans="1:9" ht="15.9" customHeight="1">
      <c r="A43" s="433"/>
      <c r="B43" s="206"/>
      <c r="C43" s="271" t="s">
        <v>445</v>
      </c>
      <c r="D43" s="271" t="s">
        <v>146</v>
      </c>
      <c r="E43" s="272" t="s">
        <v>146</v>
      </c>
      <c r="F43" s="277"/>
      <c r="G43" s="274"/>
      <c r="H43" s="165"/>
      <c r="I43" s="39" t="s">
        <v>146</v>
      </c>
    </row>
    <row r="44" spans="1:9" ht="15.9" customHeight="1">
      <c r="A44" s="433"/>
      <c r="B44" s="206"/>
      <c r="C44" s="271" t="s">
        <v>446</v>
      </c>
      <c r="D44" s="271" t="s">
        <v>447</v>
      </c>
      <c r="E44" s="272" t="s">
        <v>199</v>
      </c>
      <c r="F44" s="272">
        <v>2</v>
      </c>
      <c r="G44" s="447">
        <v>47000000</v>
      </c>
      <c r="H44" s="165">
        <f>IF(F44=0,G44,G44*F44)</f>
        <v>94000000</v>
      </c>
      <c r="I44" s="39" t="s">
        <v>448</v>
      </c>
    </row>
    <row r="45" spans="1:9" ht="15.9" customHeight="1">
      <c r="A45" s="433"/>
      <c r="B45" s="206"/>
      <c r="C45" s="268" t="s">
        <v>449</v>
      </c>
      <c r="D45" s="268" t="s">
        <v>299</v>
      </c>
      <c r="E45" s="272" t="s">
        <v>199</v>
      </c>
      <c r="F45" s="277">
        <v>10</v>
      </c>
      <c r="G45" s="283">
        <v>2000000</v>
      </c>
      <c r="H45" s="165">
        <f>IF(F45=0,G45,G45*F45)</f>
        <v>20000000</v>
      </c>
      <c r="I45" s="39" t="s">
        <v>297</v>
      </c>
    </row>
    <row r="46" spans="1:9" ht="15.9" customHeight="1">
      <c r="A46" s="433"/>
      <c r="B46" s="206"/>
      <c r="C46" s="268" t="s">
        <v>450</v>
      </c>
      <c r="D46" s="268" t="s">
        <v>146</v>
      </c>
      <c r="E46" s="272" t="s">
        <v>199</v>
      </c>
      <c r="F46" s="277">
        <v>6</v>
      </c>
      <c r="G46" s="283">
        <v>3000000</v>
      </c>
      <c r="H46" s="165">
        <f>IF(F46=0,G46,G46*F46)</f>
        <v>18000000</v>
      </c>
      <c r="I46" s="39" t="s">
        <v>297</v>
      </c>
    </row>
    <row r="47" spans="1:9" ht="15.9" customHeight="1">
      <c r="A47" s="433"/>
      <c r="B47" s="206"/>
      <c r="C47" s="482" t="s">
        <v>451</v>
      </c>
      <c r="D47" s="213"/>
      <c r="E47" s="214" t="s">
        <v>151</v>
      </c>
      <c r="F47" s="216">
        <v>1</v>
      </c>
      <c r="G47" s="216">
        <v>300000</v>
      </c>
      <c r="H47" s="165">
        <f t="shared" ref="H47:H57" si="4">IF(F47=0,G47,G47*F47)</f>
        <v>300000</v>
      </c>
      <c r="I47" s="39" t="s">
        <v>452</v>
      </c>
    </row>
    <row r="48" spans="1:9" ht="15.9" customHeight="1">
      <c r="A48" s="433"/>
      <c r="B48" s="206"/>
      <c r="C48" s="482" t="s">
        <v>453</v>
      </c>
      <c r="D48" s="213"/>
      <c r="E48" s="214" t="s">
        <v>151</v>
      </c>
      <c r="F48" s="216">
        <v>1</v>
      </c>
      <c r="G48" s="216">
        <v>1000000</v>
      </c>
      <c r="H48" s="165">
        <f t="shared" si="4"/>
        <v>1000000</v>
      </c>
      <c r="I48" s="39" t="s">
        <v>454</v>
      </c>
    </row>
    <row r="49" spans="1:9" ht="15.9" customHeight="1">
      <c r="A49" s="433"/>
      <c r="B49" s="206"/>
      <c r="C49" s="482" t="s">
        <v>455</v>
      </c>
      <c r="D49" s="213"/>
      <c r="E49" s="214" t="s">
        <v>151</v>
      </c>
      <c r="F49" s="216">
        <v>1</v>
      </c>
      <c r="G49" s="216">
        <v>220000</v>
      </c>
      <c r="H49" s="165">
        <f t="shared" si="4"/>
        <v>220000</v>
      </c>
      <c r="I49" s="39" t="s">
        <v>456</v>
      </c>
    </row>
    <row r="50" spans="1:9" ht="15.9" customHeight="1">
      <c r="A50" s="433"/>
      <c r="B50" s="206"/>
      <c r="C50" s="482" t="s">
        <v>311</v>
      </c>
      <c r="D50" s="213"/>
      <c r="E50" s="214" t="s">
        <v>151</v>
      </c>
      <c r="F50" s="216">
        <v>1</v>
      </c>
      <c r="G50" s="216">
        <v>150000</v>
      </c>
      <c r="H50" s="165">
        <f t="shared" si="4"/>
        <v>150000</v>
      </c>
      <c r="I50" s="39" t="s">
        <v>377</v>
      </c>
    </row>
    <row r="51" spans="1:9" ht="15.9" customHeight="1">
      <c r="A51" s="433"/>
      <c r="B51" s="206"/>
      <c r="C51" s="482" t="s">
        <v>313</v>
      </c>
      <c r="D51" s="213"/>
      <c r="E51" s="214" t="s">
        <v>199</v>
      </c>
      <c r="F51" s="216">
        <v>1</v>
      </c>
      <c r="G51" s="216">
        <v>400000</v>
      </c>
      <c r="H51" s="165">
        <f t="shared" si="4"/>
        <v>400000</v>
      </c>
      <c r="I51" s="39" t="s">
        <v>314</v>
      </c>
    </row>
    <row r="52" spans="1:9" ht="15.9" customHeight="1">
      <c r="A52" s="433"/>
      <c r="B52" s="206"/>
      <c r="C52" s="482" t="s">
        <v>315</v>
      </c>
      <c r="D52" s="213"/>
      <c r="E52" s="214" t="s">
        <v>151</v>
      </c>
      <c r="F52" s="216">
        <v>1</v>
      </c>
      <c r="G52" s="216">
        <v>400000</v>
      </c>
      <c r="H52" s="165">
        <f t="shared" si="4"/>
        <v>400000</v>
      </c>
      <c r="I52" s="39" t="s">
        <v>316</v>
      </c>
    </row>
    <row r="53" spans="1:9" ht="15.9" customHeight="1">
      <c r="A53" s="433"/>
      <c r="B53" s="206"/>
      <c r="C53" s="482" t="s">
        <v>317</v>
      </c>
      <c r="D53" s="213"/>
      <c r="E53" s="214" t="s">
        <v>151</v>
      </c>
      <c r="F53" s="216">
        <v>2</v>
      </c>
      <c r="G53" s="216">
        <v>300000</v>
      </c>
      <c r="H53" s="165">
        <f t="shared" si="4"/>
        <v>600000</v>
      </c>
      <c r="I53" s="39" t="s">
        <v>316</v>
      </c>
    </row>
    <row r="54" spans="1:9" ht="15.9" customHeight="1">
      <c r="A54" s="433"/>
      <c r="B54" s="206"/>
      <c r="C54" s="482" t="s">
        <v>318</v>
      </c>
      <c r="D54" s="213"/>
      <c r="E54" s="214" t="s">
        <v>151</v>
      </c>
      <c r="F54" s="216">
        <v>1</v>
      </c>
      <c r="G54" s="216">
        <v>380000</v>
      </c>
      <c r="H54" s="165">
        <f t="shared" si="4"/>
        <v>380000</v>
      </c>
      <c r="I54" s="39" t="s">
        <v>316</v>
      </c>
    </row>
    <row r="55" spans="1:9" ht="15.9" customHeight="1">
      <c r="A55" s="433"/>
      <c r="B55" s="206"/>
      <c r="C55" s="482" t="s">
        <v>319</v>
      </c>
      <c r="D55" s="297"/>
      <c r="E55" s="214" t="s">
        <v>151</v>
      </c>
      <c r="F55" s="216">
        <v>1</v>
      </c>
      <c r="G55" s="216">
        <v>550000</v>
      </c>
      <c r="H55" s="165">
        <f t="shared" si="4"/>
        <v>550000</v>
      </c>
      <c r="I55" s="39" t="s">
        <v>320</v>
      </c>
    </row>
    <row r="56" spans="1:9" ht="15.9" customHeight="1">
      <c r="A56" s="433"/>
      <c r="B56" s="206"/>
      <c r="C56" s="482" t="s">
        <v>378</v>
      </c>
      <c r="D56" s="271"/>
      <c r="E56" s="214" t="s">
        <v>151</v>
      </c>
      <c r="F56" s="216">
        <v>1</v>
      </c>
      <c r="G56" s="216">
        <v>150000</v>
      </c>
      <c r="H56" s="165">
        <f t="shared" si="4"/>
        <v>150000</v>
      </c>
      <c r="I56" s="39" t="s">
        <v>322</v>
      </c>
    </row>
    <row r="57" spans="1:9" ht="15.9" customHeight="1">
      <c r="A57" s="433"/>
      <c r="B57" s="206"/>
      <c r="C57" s="213" t="s">
        <v>421</v>
      </c>
      <c r="D57" s="213"/>
      <c r="E57" s="214" t="s">
        <v>151</v>
      </c>
      <c r="F57" s="216">
        <v>1</v>
      </c>
      <c r="G57" s="216">
        <v>800000</v>
      </c>
      <c r="H57" s="165">
        <f t="shared" si="4"/>
        <v>800000</v>
      </c>
      <c r="I57" s="39" t="s">
        <v>380</v>
      </c>
    </row>
    <row r="58" spans="1:9" ht="15.9" customHeight="1">
      <c r="A58" s="433"/>
      <c r="B58" s="206"/>
      <c r="C58" s="213"/>
      <c r="D58" s="213"/>
      <c r="E58" s="214"/>
      <c r="F58" s="216"/>
      <c r="G58" s="216"/>
      <c r="H58" s="165">
        <f>IF(F58=0,G58,G58*F58)</f>
        <v>0</v>
      </c>
      <c r="I58" s="39"/>
    </row>
    <row r="59" spans="1:9" ht="15.9" customHeight="1">
      <c r="A59" s="433"/>
      <c r="B59" s="206"/>
      <c r="C59" s="217"/>
      <c r="D59" s="217"/>
      <c r="E59" s="218"/>
      <c r="F59" s="219"/>
      <c r="G59" s="220"/>
      <c r="H59" s="175">
        <f>IF(F59=0,G59,G59*F59)</f>
        <v>0</v>
      </c>
      <c r="I59" s="42"/>
    </row>
    <row r="60" spans="1:9" ht="15.9" customHeight="1">
      <c r="A60" s="433"/>
      <c r="B60" s="221"/>
      <c r="C60" s="222"/>
      <c r="D60" s="223"/>
      <c r="E60" s="223"/>
      <c r="F60" s="225"/>
      <c r="G60" s="225"/>
      <c r="H60" s="49">
        <f>SUM(H36:H59)</f>
        <v>274950000</v>
      </c>
      <c r="I60" s="46"/>
    </row>
    <row r="61" spans="1:9" ht="15.9" customHeight="1">
      <c r="A61" s="433"/>
      <c r="B61" s="245" t="s">
        <v>51</v>
      </c>
      <c r="C61" s="227" t="s">
        <v>457</v>
      </c>
      <c r="D61" s="465" t="s">
        <v>146</v>
      </c>
      <c r="E61" s="444" t="s">
        <v>146</v>
      </c>
      <c r="F61" s="229"/>
      <c r="G61" s="230"/>
      <c r="H61" s="231">
        <f t="shared" ref="H61:H80" si="5">IF(F61=0,G61,G61*F61)</f>
        <v>0</v>
      </c>
      <c r="I61" s="468" t="s">
        <v>146</v>
      </c>
    </row>
    <row r="62" spans="1:9" ht="15.9" customHeight="1">
      <c r="A62" s="433"/>
      <c r="B62" s="206"/>
      <c r="C62" s="213" t="s">
        <v>458</v>
      </c>
      <c r="D62" s="268" t="s">
        <v>459</v>
      </c>
      <c r="E62" s="272" t="s">
        <v>199</v>
      </c>
      <c r="F62" s="273">
        <v>2</v>
      </c>
      <c r="G62" s="216">
        <v>45000000</v>
      </c>
      <c r="H62" s="165">
        <f t="shared" si="5"/>
        <v>90000000</v>
      </c>
      <c r="I62" s="469" t="s">
        <v>460</v>
      </c>
    </row>
    <row r="63" spans="1:9" ht="15.9" customHeight="1">
      <c r="A63" s="433"/>
      <c r="B63" s="206"/>
      <c r="C63" s="213" t="s">
        <v>461</v>
      </c>
      <c r="D63" s="268" t="s">
        <v>146</v>
      </c>
      <c r="E63" s="272" t="s">
        <v>199</v>
      </c>
      <c r="F63" s="273">
        <v>1</v>
      </c>
      <c r="G63" s="216">
        <v>4000000</v>
      </c>
      <c r="H63" s="165">
        <f t="shared" si="5"/>
        <v>4000000</v>
      </c>
      <c r="I63" s="469" t="s">
        <v>460</v>
      </c>
    </row>
    <row r="64" spans="1:9" ht="15.9" customHeight="1">
      <c r="A64" s="433"/>
      <c r="B64" s="206"/>
      <c r="C64" s="213" t="s">
        <v>462</v>
      </c>
      <c r="D64" s="268" t="s">
        <v>463</v>
      </c>
      <c r="E64" s="214" t="s">
        <v>199</v>
      </c>
      <c r="F64" s="273">
        <v>1</v>
      </c>
      <c r="G64" s="216">
        <v>15000000</v>
      </c>
      <c r="H64" s="165">
        <f t="shared" si="5"/>
        <v>15000000</v>
      </c>
      <c r="I64" s="469" t="s">
        <v>464</v>
      </c>
    </row>
    <row r="65" spans="1:9" ht="15.9" customHeight="1">
      <c r="A65" s="433"/>
      <c r="B65" s="206"/>
      <c r="C65" s="213" t="s">
        <v>465</v>
      </c>
      <c r="D65" s="268" t="s">
        <v>466</v>
      </c>
      <c r="E65" s="214" t="s">
        <v>199</v>
      </c>
      <c r="F65" s="215">
        <v>1</v>
      </c>
      <c r="G65" s="216">
        <v>5000000</v>
      </c>
      <c r="H65" s="165">
        <f t="shared" si="5"/>
        <v>5000000</v>
      </c>
      <c r="I65" s="469" t="s">
        <v>467</v>
      </c>
    </row>
    <row r="66" spans="1:9" ht="15.9" customHeight="1">
      <c r="A66" s="433"/>
      <c r="B66" s="206"/>
      <c r="C66" s="213" t="s">
        <v>204</v>
      </c>
      <c r="D66" s="268" t="s">
        <v>146</v>
      </c>
      <c r="E66" s="214" t="s">
        <v>199</v>
      </c>
      <c r="F66" s="215">
        <v>1</v>
      </c>
      <c r="G66" s="216">
        <v>2000000</v>
      </c>
      <c r="H66" s="165">
        <f t="shared" si="5"/>
        <v>2000000</v>
      </c>
      <c r="I66" s="469"/>
    </row>
    <row r="67" spans="1:9" ht="15.9" customHeight="1">
      <c r="A67" s="433"/>
      <c r="B67" s="206"/>
      <c r="C67" s="213" t="s">
        <v>468</v>
      </c>
      <c r="D67" s="268"/>
      <c r="E67" s="272" t="s">
        <v>199</v>
      </c>
      <c r="F67" s="273">
        <v>1</v>
      </c>
      <c r="G67" s="216">
        <v>12000000</v>
      </c>
      <c r="H67" s="165">
        <f t="shared" si="5"/>
        <v>12000000</v>
      </c>
      <c r="I67" s="469" t="s">
        <v>357</v>
      </c>
    </row>
    <row r="68" spans="1:9" ht="15.9" customHeight="1">
      <c r="A68" s="433"/>
      <c r="B68" s="206"/>
      <c r="C68" s="213" t="s">
        <v>323</v>
      </c>
      <c r="D68" s="268"/>
      <c r="E68" s="272" t="s">
        <v>151</v>
      </c>
      <c r="F68" s="273">
        <v>40</v>
      </c>
      <c r="G68" s="216">
        <v>300000</v>
      </c>
      <c r="H68" s="165">
        <f t="shared" si="5"/>
        <v>12000000</v>
      </c>
      <c r="I68" s="469" t="s">
        <v>283</v>
      </c>
    </row>
    <row r="69" spans="1:9" ht="15.9" customHeight="1">
      <c r="A69" s="433"/>
      <c r="B69" s="206"/>
      <c r="C69" s="271" t="s">
        <v>325</v>
      </c>
      <c r="D69" s="268" t="s">
        <v>469</v>
      </c>
      <c r="E69" s="272" t="s">
        <v>207</v>
      </c>
      <c r="F69" s="272">
        <v>1</v>
      </c>
      <c r="G69" s="447">
        <v>20000000</v>
      </c>
      <c r="H69" s="165">
        <f t="shared" si="5"/>
        <v>20000000</v>
      </c>
      <c r="I69" s="39" t="s">
        <v>470</v>
      </c>
    </row>
    <row r="70" spans="1:9" ht="15.9" customHeight="1">
      <c r="A70" s="433"/>
      <c r="B70" s="206"/>
      <c r="C70" s="271"/>
      <c r="D70" s="268" t="s">
        <v>471</v>
      </c>
      <c r="E70" s="272"/>
      <c r="F70" s="448"/>
      <c r="G70" s="447"/>
      <c r="H70" s="165">
        <f t="shared" si="5"/>
        <v>0</v>
      </c>
      <c r="I70" s="39"/>
    </row>
    <row r="71" spans="1:9" ht="15.9" customHeight="1">
      <c r="A71" s="433"/>
      <c r="B71" s="206"/>
      <c r="C71" s="271"/>
      <c r="D71" s="268" t="s">
        <v>472</v>
      </c>
      <c r="E71" s="272"/>
      <c r="F71" s="448"/>
      <c r="G71" s="447"/>
      <c r="H71" s="165">
        <f t="shared" si="5"/>
        <v>0</v>
      </c>
      <c r="I71" s="39"/>
    </row>
    <row r="72" spans="1:9" ht="15.9" customHeight="1">
      <c r="A72" s="433"/>
      <c r="B72" s="206"/>
      <c r="C72" s="213"/>
      <c r="D72" s="213" t="s">
        <v>473</v>
      </c>
      <c r="E72" s="214"/>
      <c r="F72" s="215"/>
      <c r="G72" s="216"/>
      <c r="H72" s="165">
        <f t="shared" si="5"/>
        <v>0</v>
      </c>
      <c r="I72" s="39"/>
    </row>
    <row r="73" spans="1:9" ht="15.9" customHeight="1">
      <c r="A73" s="433"/>
      <c r="B73" s="206"/>
      <c r="C73" s="213"/>
      <c r="D73" s="213" t="s">
        <v>383</v>
      </c>
      <c r="E73" s="272"/>
      <c r="F73" s="273"/>
      <c r="G73" s="216"/>
      <c r="H73" s="165">
        <f t="shared" si="5"/>
        <v>0</v>
      </c>
      <c r="I73" s="39"/>
    </row>
    <row r="74" spans="1:9" ht="15.9" customHeight="1">
      <c r="A74" s="433"/>
      <c r="B74" s="206"/>
      <c r="C74" s="213"/>
      <c r="D74" s="213" t="s">
        <v>474</v>
      </c>
      <c r="E74" s="214"/>
      <c r="F74" s="215"/>
      <c r="G74" s="216"/>
      <c r="H74" s="165">
        <f t="shared" si="5"/>
        <v>0</v>
      </c>
      <c r="I74" s="39"/>
    </row>
    <row r="75" spans="1:9" ht="15.9" customHeight="1">
      <c r="A75" s="433"/>
      <c r="B75" s="206"/>
      <c r="C75" s="213" t="s">
        <v>330</v>
      </c>
      <c r="D75" s="213" t="s">
        <v>331</v>
      </c>
      <c r="E75" s="214" t="s">
        <v>332</v>
      </c>
      <c r="F75" s="215">
        <v>1</v>
      </c>
      <c r="G75" s="216">
        <v>5000000</v>
      </c>
      <c r="H75" s="165">
        <f t="shared" si="5"/>
        <v>5000000</v>
      </c>
      <c r="I75" s="39" t="s">
        <v>333</v>
      </c>
    </row>
    <row r="76" spans="1:9" ht="15.9" customHeight="1">
      <c r="A76" s="433"/>
      <c r="B76" s="206"/>
      <c r="C76" s="213"/>
      <c r="D76" s="213"/>
      <c r="E76" s="213"/>
      <c r="F76" s="216"/>
      <c r="G76" s="216"/>
      <c r="H76" s="165">
        <f t="shared" si="5"/>
        <v>0</v>
      </c>
      <c r="I76" s="39"/>
    </row>
    <row r="77" spans="1:9" ht="15.9" customHeight="1">
      <c r="A77" s="433"/>
      <c r="B77" s="206"/>
      <c r="C77" s="213"/>
      <c r="D77" s="213"/>
      <c r="E77" s="213"/>
      <c r="F77" s="216"/>
      <c r="G77" s="216"/>
      <c r="H77" s="165">
        <f t="shared" si="5"/>
        <v>0</v>
      </c>
      <c r="I77" s="39"/>
    </row>
    <row r="78" spans="1:9" ht="15.9" customHeight="1">
      <c r="A78" s="433"/>
      <c r="B78" s="206"/>
      <c r="C78" s="213"/>
      <c r="D78" s="213"/>
      <c r="E78" s="213"/>
      <c r="F78" s="216"/>
      <c r="G78" s="216"/>
      <c r="H78" s="165">
        <f t="shared" si="5"/>
        <v>0</v>
      </c>
      <c r="I78" s="39"/>
    </row>
    <row r="79" spans="1:9" ht="15.9" customHeight="1">
      <c r="A79" s="433"/>
      <c r="B79" s="206"/>
      <c r="C79" s="213"/>
      <c r="D79" s="213"/>
      <c r="E79" s="213"/>
      <c r="F79" s="216"/>
      <c r="G79" s="216"/>
      <c r="H79" s="165">
        <f t="shared" si="5"/>
        <v>0</v>
      </c>
      <c r="I79" s="39"/>
    </row>
    <row r="80" spans="1:9" ht="15.9" customHeight="1">
      <c r="A80" s="433"/>
      <c r="B80" s="206"/>
      <c r="C80" s="217"/>
      <c r="D80" s="217"/>
      <c r="E80" s="217"/>
      <c r="F80" s="220"/>
      <c r="G80" s="220"/>
      <c r="H80" s="175">
        <f t="shared" si="5"/>
        <v>0</v>
      </c>
      <c r="I80" s="42"/>
    </row>
    <row r="81" spans="1:9" ht="15.9" customHeight="1">
      <c r="A81" s="433"/>
      <c r="B81" s="221"/>
      <c r="C81" s="222"/>
      <c r="D81" s="223"/>
      <c r="E81" s="223"/>
      <c r="F81" s="225"/>
      <c r="G81" s="225"/>
      <c r="H81" s="49">
        <f>SUM(H61:H80)</f>
        <v>165000000</v>
      </c>
      <c r="I81" s="46"/>
    </row>
    <row r="82" spans="1:9" ht="15.9" customHeight="1">
      <c r="A82" s="246"/>
      <c r="B82" s="247" t="s">
        <v>131</v>
      </c>
      <c r="C82" s="248"/>
      <c r="D82" s="46"/>
      <c r="E82" s="46"/>
      <c r="F82" s="250"/>
      <c r="G82" s="250"/>
      <c r="H82" s="49">
        <f>SUM(H81,H60,H35,H24)</f>
        <v>665950000</v>
      </c>
      <c r="I82" s="46"/>
    </row>
    <row r="83" spans="1:9" ht="15.9" customHeight="1">
      <c r="A83" s="429" t="s">
        <v>132</v>
      </c>
      <c r="B83" s="251" t="s">
        <v>57</v>
      </c>
      <c r="C83" s="248"/>
      <c r="D83" s="46"/>
      <c r="E83" s="251" t="s">
        <v>58</v>
      </c>
      <c r="F83" s="265"/>
      <c r="G83" s="254"/>
      <c r="H83" s="255">
        <f>F83*G83</f>
        <v>0</v>
      </c>
      <c r="I83" s="46"/>
    </row>
    <row r="84" spans="1:9" ht="15.9" customHeight="1">
      <c r="A84" s="433"/>
      <c r="B84" s="256" t="s">
        <v>152</v>
      </c>
      <c r="C84" s="232"/>
      <c r="D84" s="232"/>
      <c r="E84" s="256" t="s">
        <v>134</v>
      </c>
      <c r="F84" s="279">
        <v>10</v>
      </c>
      <c r="G84" s="230">
        <v>500000</v>
      </c>
      <c r="H84" s="231">
        <f t="shared" ref="H84:H90" si="6">F84*G84</f>
        <v>5000000</v>
      </c>
      <c r="I84" s="232"/>
    </row>
    <row r="85" spans="1:9" ht="15.9" customHeight="1">
      <c r="A85" s="433"/>
      <c r="B85" s="258" t="s">
        <v>153</v>
      </c>
      <c r="C85" s="39"/>
      <c r="D85" s="39"/>
      <c r="E85" s="258" t="s">
        <v>134</v>
      </c>
      <c r="F85" s="280"/>
      <c r="G85" s="216"/>
      <c r="H85" s="165">
        <f t="shared" si="6"/>
        <v>0</v>
      </c>
      <c r="I85" s="39"/>
    </row>
    <row r="86" spans="1:9" ht="15.9" customHeight="1">
      <c r="A86" s="433"/>
      <c r="B86" s="258" t="s">
        <v>154</v>
      </c>
      <c r="C86" s="39"/>
      <c r="D86" s="39"/>
      <c r="E86" s="258" t="s">
        <v>134</v>
      </c>
      <c r="F86" s="280">
        <v>10</v>
      </c>
      <c r="G86" s="216">
        <v>500000</v>
      </c>
      <c r="H86" s="165">
        <f t="shared" si="6"/>
        <v>5000000</v>
      </c>
      <c r="I86" s="39"/>
    </row>
    <row r="87" spans="1:9" ht="15.9" customHeight="1">
      <c r="A87" s="433"/>
      <c r="B87" s="258" t="s">
        <v>155</v>
      </c>
      <c r="C87" s="39" t="s">
        <v>334</v>
      </c>
      <c r="D87" s="39" t="s">
        <v>387</v>
      </c>
      <c r="E87" s="258" t="s">
        <v>134</v>
      </c>
      <c r="F87" s="215">
        <v>48</v>
      </c>
      <c r="G87" s="216">
        <v>650000</v>
      </c>
      <c r="H87" s="165">
        <f t="shared" si="6"/>
        <v>31200000</v>
      </c>
      <c r="I87" s="39"/>
    </row>
    <row r="88" spans="1:9" ht="15.9" customHeight="1">
      <c r="A88" s="433"/>
      <c r="B88" s="258" t="s">
        <v>156</v>
      </c>
      <c r="C88" s="39"/>
      <c r="D88" s="39"/>
      <c r="E88" s="258" t="s">
        <v>134</v>
      </c>
      <c r="F88" s="216"/>
      <c r="G88" s="216"/>
      <c r="H88" s="165">
        <f t="shared" si="6"/>
        <v>0</v>
      </c>
      <c r="I88" s="39"/>
    </row>
    <row r="89" spans="1:9" ht="15.9" customHeight="1">
      <c r="A89" s="433"/>
      <c r="B89" s="258" t="s">
        <v>157</v>
      </c>
      <c r="C89" s="39"/>
      <c r="D89" s="39"/>
      <c r="E89" s="258" t="s">
        <v>134</v>
      </c>
      <c r="F89" s="216"/>
      <c r="G89" s="216"/>
      <c r="H89" s="165">
        <f t="shared" si="6"/>
        <v>0</v>
      </c>
      <c r="I89" s="39"/>
    </row>
    <row r="90" spans="1:9" ht="15.9" customHeight="1">
      <c r="A90" s="433"/>
      <c r="B90" s="260" t="s">
        <v>161</v>
      </c>
      <c r="C90" s="42"/>
      <c r="D90" s="42"/>
      <c r="E90" s="260" t="s">
        <v>134</v>
      </c>
      <c r="F90" s="220"/>
      <c r="G90" s="220"/>
      <c r="H90" s="175">
        <f t="shared" si="6"/>
        <v>0</v>
      </c>
      <c r="I90" s="42"/>
    </row>
    <row r="91" spans="1:9" ht="15.9" customHeight="1">
      <c r="A91" s="246"/>
      <c r="B91" s="262" t="s">
        <v>140</v>
      </c>
      <c r="C91" s="248"/>
      <c r="D91" s="46"/>
      <c r="E91" s="46"/>
      <c r="F91" s="225"/>
      <c r="G91" s="225"/>
      <c r="H91" s="225">
        <f>SUM(H83:H90)</f>
        <v>41200000</v>
      </c>
      <c r="I91" s="223"/>
    </row>
    <row r="92" spans="1:9" ht="15.9" customHeight="1">
      <c r="A92" s="252"/>
      <c r="B92" s="262" t="s">
        <v>159</v>
      </c>
      <c r="C92" s="248"/>
      <c r="D92" s="46"/>
      <c r="E92" s="46"/>
      <c r="F92" s="49"/>
      <c r="G92" s="49"/>
      <c r="H92" s="250">
        <f>'단위공사별(집계)'!I11+'단위공사별(집계)'!L11</f>
        <v>0</v>
      </c>
      <c r="I92" s="46"/>
    </row>
    <row r="93" spans="1:9" ht="15.9" customHeight="1">
      <c r="A93" s="252"/>
      <c r="B93" s="262" t="s">
        <v>83</v>
      </c>
      <c r="C93" s="248"/>
      <c r="D93" s="46"/>
      <c r="E93" s="46"/>
      <c r="F93" s="461">
        <v>0.02</v>
      </c>
      <c r="G93" s="264"/>
      <c r="H93" s="265">
        <f>(H91+H82)*0.02</f>
        <v>14143000</v>
      </c>
      <c r="I93" s="248"/>
    </row>
    <row r="94" spans="1:9" ht="15.9" customHeight="1">
      <c r="A94" s="252"/>
      <c r="B94" s="262" t="s">
        <v>143</v>
      </c>
      <c r="C94" s="248"/>
      <c r="D94" s="46"/>
      <c r="E94" s="46"/>
      <c r="F94" s="461">
        <v>0.03</v>
      </c>
      <c r="G94" s="264"/>
      <c r="H94" s="265">
        <f>(H91+H82)*0.03</f>
        <v>21214500</v>
      </c>
      <c r="I94" s="248"/>
    </row>
    <row r="95" spans="1:9" ht="15.9" customHeight="1">
      <c r="A95" s="252"/>
      <c r="B95" s="262" t="s">
        <v>144</v>
      </c>
      <c r="C95" s="248"/>
      <c r="D95" s="46"/>
      <c r="E95" s="46"/>
      <c r="F95" s="49"/>
      <c r="G95" s="49"/>
      <c r="H95" s="225">
        <f>H82+H91+H92+H93+H94</f>
        <v>742507500</v>
      </c>
      <c r="I95" s="46"/>
    </row>
    <row r="96" spans="1:9">
      <c r="A96" s="26"/>
    </row>
  </sheetData>
  <mergeCells count="3">
    <mergeCell ref="A2:B2"/>
    <mergeCell ref="A3:A81"/>
    <mergeCell ref="A83:A90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4" orientation="portrait" horizontalDpi="4294967292" r:id="rId1"/>
  <headerFooter alignWithMargins="0">
    <oddHeader>&amp;C&amp;G</oddHeader>
    <oddFooter>&amp;L_x000D_&amp;1#&amp;"Malgun Gothic"&amp;6&amp;K000000 외부 전송용(No Protection) 손철호 책임매니저 통합구매팀 son@hyundai-wia.com 2026-07-07T14:05:14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DA929-AF9B-4109-AA46-7110BE180F2B}">
  <sheetPr>
    <tabColor rgb="FF00B050"/>
    <pageSetUpPr fitToPage="1"/>
  </sheetPr>
  <dimension ref="A1:I91"/>
  <sheetViews>
    <sheetView zoomScale="85" zoomScaleNormal="85" workbookViewId="0">
      <pane xSplit="2" ySplit="2" topLeftCell="C3" activePane="bottomRight" state="frozen"/>
      <selection activeCell="F18" sqref="F18:F27"/>
      <selection pane="topRight" activeCell="F18" sqref="F18:F27"/>
      <selection pane="bottomLeft" activeCell="F18" sqref="F18:F27"/>
      <selection pane="bottomRight" activeCell="F18" sqref="F18:F27"/>
    </sheetView>
  </sheetViews>
  <sheetFormatPr defaultColWidth="9" defaultRowHeight="14.4"/>
  <cols>
    <col min="1" max="1" width="5" style="24" customWidth="1"/>
    <col min="2" max="2" width="17.8984375" style="24" bestFit="1" customWidth="1"/>
    <col min="3" max="3" width="30.19921875" style="24" customWidth="1"/>
    <col min="4" max="4" width="14" style="24" customWidth="1"/>
    <col min="5" max="5" width="5.19921875" style="24" bestFit="1" customWidth="1"/>
    <col min="6" max="6" width="9" style="48"/>
    <col min="7" max="7" width="11.8984375" style="48" customWidth="1"/>
    <col min="8" max="8" width="13.59765625" style="48" customWidth="1"/>
    <col min="9" max="9" width="12.69921875" style="24" customWidth="1"/>
    <col min="10" max="256" width="9" style="24"/>
    <col min="257" max="257" width="5" style="24" customWidth="1"/>
    <col min="258" max="258" width="17.8984375" style="24" bestFit="1" customWidth="1"/>
    <col min="259" max="259" width="30.19921875" style="24" customWidth="1"/>
    <col min="260" max="260" width="14" style="24" customWidth="1"/>
    <col min="261" max="261" width="5.19921875" style="24" bestFit="1" customWidth="1"/>
    <col min="262" max="262" width="9" style="24"/>
    <col min="263" max="263" width="11.8984375" style="24" customWidth="1"/>
    <col min="264" max="264" width="13.59765625" style="24" customWidth="1"/>
    <col min="265" max="265" width="12.69921875" style="24" customWidth="1"/>
    <col min="266" max="512" width="9" style="24"/>
    <col min="513" max="513" width="5" style="24" customWidth="1"/>
    <col min="514" max="514" width="17.8984375" style="24" bestFit="1" customWidth="1"/>
    <col min="515" max="515" width="30.19921875" style="24" customWidth="1"/>
    <col min="516" max="516" width="14" style="24" customWidth="1"/>
    <col min="517" max="517" width="5.19921875" style="24" bestFit="1" customWidth="1"/>
    <col min="518" max="518" width="9" style="24"/>
    <col min="519" max="519" width="11.8984375" style="24" customWidth="1"/>
    <col min="520" max="520" width="13.59765625" style="24" customWidth="1"/>
    <col min="521" max="521" width="12.69921875" style="24" customWidth="1"/>
    <col min="522" max="768" width="9" style="24"/>
    <col min="769" max="769" width="5" style="24" customWidth="1"/>
    <col min="770" max="770" width="17.8984375" style="24" bestFit="1" customWidth="1"/>
    <col min="771" max="771" width="30.19921875" style="24" customWidth="1"/>
    <col min="772" max="772" width="14" style="24" customWidth="1"/>
    <col min="773" max="773" width="5.19921875" style="24" bestFit="1" customWidth="1"/>
    <col min="774" max="774" width="9" style="24"/>
    <col min="775" max="775" width="11.8984375" style="24" customWidth="1"/>
    <col min="776" max="776" width="13.59765625" style="24" customWidth="1"/>
    <col min="777" max="777" width="12.69921875" style="24" customWidth="1"/>
    <col min="778" max="1024" width="9" style="24"/>
    <col min="1025" max="1025" width="5" style="24" customWidth="1"/>
    <col min="1026" max="1026" width="17.8984375" style="24" bestFit="1" customWidth="1"/>
    <col min="1027" max="1027" width="30.19921875" style="24" customWidth="1"/>
    <col min="1028" max="1028" width="14" style="24" customWidth="1"/>
    <col min="1029" max="1029" width="5.19921875" style="24" bestFit="1" customWidth="1"/>
    <col min="1030" max="1030" width="9" style="24"/>
    <col min="1031" max="1031" width="11.8984375" style="24" customWidth="1"/>
    <col min="1032" max="1032" width="13.59765625" style="24" customWidth="1"/>
    <col min="1033" max="1033" width="12.69921875" style="24" customWidth="1"/>
    <col min="1034" max="1280" width="9" style="24"/>
    <col min="1281" max="1281" width="5" style="24" customWidth="1"/>
    <col min="1282" max="1282" width="17.8984375" style="24" bestFit="1" customWidth="1"/>
    <col min="1283" max="1283" width="30.19921875" style="24" customWidth="1"/>
    <col min="1284" max="1284" width="14" style="24" customWidth="1"/>
    <col min="1285" max="1285" width="5.19921875" style="24" bestFit="1" customWidth="1"/>
    <col min="1286" max="1286" width="9" style="24"/>
    <col min="1287" max="1287" width="11.8984375" style="24" customWidth="1"/>
    <col min="1288" max="1288" width="13.59765625" style="24" customWidth="1"/>
    <col min="1289" max="1289" width="12.69921875" style="24" customWidth="1"/>
    <col min="1290" max="1536" width="9" style="24"/>
    <col min="1537" max="1537" width="5" style="24" customWidth="1"/>
    <col min="1538" max="1538" width="17.8984375" style="24" bestFit="1" customWidth="1"/>
    <col min="1539" max="1539" width="30.19921875" style="24" customWidth="1"/>
    <col min="1540" max="1540" width="14" style="24" customWidth="1"/>
    <col min="1541" max="1541" width="5.19921875" style="24" bestFit="1" customWidth="1"/>
    <col min="1542" max="1542" width="9" style="24"/>
    <col min="1543" max="1543" width="11.8984375" style="24" customWidth="1"/>
    <col min="1544" max="1544" width="13.59765625" style="24" customWidth="1"/>
    <col min="1545" max="1545" width="12.69921875" style="24" customWidth="1"/>
    <col min="1546" max="1792" width="9" style="24"/>
    <col min="1793" max="1793" width="5" style="24" customWidth="1"/>
    <col min="1794" max="1794" width="17.8984375" style="24" bestFit="1" customWidth="1"/>
    <col min="1795" max="1795" width="30.19921875" style="24" customWidth="1"/>
    <col min="1796" max="1796" width="14" style="24" customWidth="1"/>
    <col min="1797" max="1797" width="5.19921875" style="24" bestFit="1" customWidth="1"/>
    <col min="1798" max="1798" width="9" style="24"/>
    <col min="1799" max="1799" width="11.8984375" style="24" customWidth="1"/>
    <col min="1800" max="1800" width="13.59765625" style="24" customWidth="1"/>
    <col min="1801" max="1801" width="12.69921875" style="24" customWidth="1"/>
    <col min="1802" max="2048" width="9" style="24"/>
    <col min="2049" max="2049" width="5" style="24" customWidth="1"/>
    <col min="2050" max="2050" width="17.8984375" style="24" bestFit="1" customWidth="1"/>
    <col min="2051" max="2051" width="30.19921875" style="24" customWidth="1"/>
    <col min="2052" max="2052" width="14" style="24" customWidth="1"/>
    <col min="2053" max="2053" width="5.19921875" style="24" bestFit="1" customWidth="1"/>
    <col min="2054" max="2054" width="9" style="24"/>
    <col min="2055" max="2055" width="11.8984375" style="24" customWidth="1"/>
    <col min="2056" max="2056" width="13.59765625" style="24" customWidth="1"/>
    <col min="2057" max="2057" width="12.69921875" style="24" customWidth="1"/>
    <col min="2058" max="2304" width="9" style="24"/>
    <col min="2305" max="2305" width="5" style="24" customWidth="1"/>
    <col min="2306" max="2306" width="17.8984375" style="24" bestFit="1" customWidth="1"/>
    <col min="2307" max="2307" width="30.19921875" style="24" customWidth="1"/>
    <col min="2308" max="2308" width="14" style="24" customWidth="1"/>
    <col min="2309" max="2309" width="5.19921875" style="24" bestFit="1" customWidth="1"/>
    <col min="2310" max="2310" width="9" style="24"/>
    <col min="2311" max="2311" width="11.8984375" style="24" customWidth="1"/>
    <col min="2312" max="2312" width="13.59765625" style="24" customWidth="1"/>
    <col min="2313" max="2313" width="12.69921875" style="24" customWidth="1"/>
    <col min="2314" max="2560" width="9" style="24"/>
    <col min="2561" max="2561" width="5" style="24" customWidth="1"/>
    <col min="2562" max="2562" width="17.8984375" style="24" bestFit="1" customWidth="1"/>
    <col min="2563" max="2563" width="30.19921875" style="24" customWidth="1"/>
    <col min="2564" max="2564" width="14" style="24" customWidth="1"/>
    <col min="2565" max="2565" width="5.19921875" style="24" bestFit="1" customWidth="1"/>
    <col min="2566" max="2566" width="9" style="24"/>
    <col min="2567" max="2567" width="11.8984375" style="24" customWidth="1"/>
    <col min="2568" max="2568" width="13.59765625" style="24" customWidth="1"/>
    <col min="2569" max="2569" width="12.69921875" style="24" customWidth="1"/>
    <col min="2570" max="2816" width="9" style="24"/>
    <col min="2817" max="2817" width="5" style="24" customWidth="1"/>
    <col min="2818" max="2818" width="17.8984375" style="24" bestFit="1" customWidth="1"/>
    <col min="2819" max="2819" width="30.19921875" style="24" customWidth="1"/>
    <col min="2820" max="2820" width="14" style="24" customWidth="1"/>
    <col min="2821" max="2821" width="5.19921875" style="24" bestFit="1" customWidth="1"/>
    <col min="2822" max="2822" width="9" style="24"/>
    <col min="2823" max="2823" width="11.8984375" style="24" customWidth="1"/>
    <col min="2824" max="2824" width="13.59765625" style="24" customWidth="1"/>
    <col min="2825" max="2825" width="12.69921875" style="24" customWidth="1"/>
    <col min="2826" max="3072" width="9" style="24"/>
    <col min="3073" max="3073" width="5" style="24" customWidth="1"/>
    <col min="3074" max="3074" width="17.8984375" style="24" bestFit="1" customWidth="1"/>
    <col min="3075" max="3075" width="30.19921875" style="24" customWidth="1"/>
    <col min="3076" max="3076" width="14" style="24" customWidth="1"/>
    <col min="3077" max="3077" width="5.19921875" style="24" bestFit="1" customWidth="1"/>
    <col min="3078" max="3078" width="9" style="24"/>
    <col min="3079" max="3079" width="11.8984375" style="24" customWidth="1"/>
    <col min="3080" max="3080" width="13.59765625" style="24" customWidth="1"/>
    <col min="3081" max="3081" width="12.69921875" style="24" customWidth="1"/>
    <col min="3082" max="3328" width="9" style="24"/>
    <col min="3329" max="3329" width="5" style="24" customWidth="1"/>
    <col min="3330" max="3330" width="17.8984375" style="24" bestFit="1" customWidth="1"/>
    <col min="3331" max="3331" width="30.19921875" style="24" customWidth="1"/>
    <col min="3332" max="3332" width="14" style="24" customWidth="1"/>
    <col min="3333" max="3333" width="5.19921875" style="24" bestFit="1" customWidth="1"/>
    <col min="3334" max="3334" width="9" style="24"/>
    <col min="3335" max="3335" width="11.8984375" style="24" customWidth="1"/>
    <col min="3336" max="3336" width="13.59765625" style="24" customWidth="1"/>
    <col min="3337" max="3337" width="12.69921875" style="24" customWidth="1"/>
    <col min="3338" max="3584" width="9" style="24"/>
    <col min="3585" max="3585" width="5" style="24" customWidth="1"/>
    <col min="3586" max="3586" width="17.8984375" style="24" bestFit="1" customWidth="1"/>
    <col min="3587" max="3587" width="30.19921875" style="24" customWidth="1"/>
    <col min="3588" max="3588" width="14" style="24" customWidth="1"/>
    <col min="3589" max="3589" width="5.19921875" style="24" bestFit="1" customWidth="1"/>
    <col min="3590" max="3590" width="9" style="24"/>
    <col min="3591" max="3591" width="11.8984375" style="24" customWidth="1"/>
    <col min="3592" max="3592" width="13.59765625" style="24" customWidth="1"/>
    <col min="3593" max="3593" width="12.69921875" style="24" customWidth="1"/>
    <col min="3594" max="3840" width="9" style="24"/>
    <col min="3841" max="3841" width="5" style="24" customWidth="1"/>
    <col min="3842" max="3842" width="17.8984375" style="24" bestFit="1" customWidth="1"/>
    <col min="3843" max="3843" width="30.19921875" style="24" customWidth="1"/>
    <col min="3844" max="3844" width="14" style="24" customWidth="1"/>
    <col min="3845" max="3845" width="5.19921875" style="24" bestFit="1" customWidth="1"/>
    <col min="3846" max="3846" width="9" style="24"/>
    <col min="3847" max="3847" width="11.8984375" style="24" customWidth="1"/>
    <col min="3848" max="3848" width="13.59765625" style="24" customWidth="1"/>
    <col min="3849" max="3849" width="12.69921875" style="24" customWidth="1"/>
    <col min="3850" max="4096" width="9" style="24"/>
    <col min="4097" max="4097" width="5" style="24" customWidth="1"/>
    <col min="4098" max="4098" width="17.8984375" style="24" bestFit="1" customWidth="1"/>
    <col min="4099" max="4099" width="30.19921875" style="24" customWidth="1"/>
    <col min="4100" max="4100" width="14" style="24" customWidth="1"/>
    <col min="4101" max="4101" width="5.19921875" style="24" bestFit="1" customWidth="1"/>
    <col min="4102" max="4102" width="9" style="24"/>
    <col min="4103" max="4103" width="11.8984375" style="24" customWidth="1"/>
    <col min="4104" max="4104" width="13.59765625" style="24" customWidth="1"/>
    <col min="4105" max="4105" width="12.69921875" style="24" customWidth="1"/>
    <col min="4106" max="4352" width="9" style="24"/>
    <col min="4353" max="4353" width="5" style="24" customWidth="1"/>
    <col min="4354" max="4354" width="17.8984375" style="24" bestFit="1" customWidth="1"/>
    <col min="4355" max="4355" width="30.19921875" style="24" customWidth="1"/>
    <col min="4356" max="4356" width="14" style="24" customWidth="1"/>
    <col min="4357" max="4357" width="5.19921875" style="24" bestFit="1" customWidth="1"/>
    <col min="4358" max="4358" width="9" style="24"/>
    <col min="4359" max="4359" width="11.8984375" style="24" customWidth="1"/>
    <col min="4360" max="4360" width="13.59765625" style="24" customWidth="1"/>
    <col min="4361" max="4361" width="12.69921875" style="24" customWidth="1"/>
    <col min="4362" max="4608" width="9" style="24"/>
    <col min="4609" max="4609" width="5" style="24" customWidth="1"/>
    <col min="4610" max="4610" width="17.8984375" style="24" bestFit="1" customWidth="1"/>
    <col min="4611" max="4611" width="30.19921875" style="24" customWidth="1"/>
    <col min="4612" max="4612" width="14" style="24" customWidth="1"/>
    <col min="4613" max="4613" width="5.19921875" style="24" bestFit="1" customWidth="1"/>
    <col min="4614" max="4614" width="9" style="24"/>
    <col min="4615" max="4615" width="11.8984375" style="24" customWidth="1"/>
    <col min="4616" max="4616" width="13.59765625" style="24" customWidth="1"/>
    <col min="4617" max="4617" width="12.69921875" style="24" customWidth="1"/>
    <col min="4618" max="4864" width="9" style="24"/>
    <col min="4865" max="4865" width="5" style="24" customWidth="1"/>
    <col min="4866" max="4866" width="17.8984375" style="24" bestFit="1" customWidth="1"/>
    <col min="4867" max="4867" width="30.19921875" style="24" customWidth="1"/>
    <col min="4868" max="4868" width="14" style="24" customWidth="1"/>
    <col min="4869" max="4869" width="5.19921875" style="24" bestFit="1" customWidth="1"/>
    <col min="4870" max="4870" width="9" style="24"/>
    <col min="4871" max="4871" width="11.8984375" style="24" customWidth="1"/>
    <col min="4872" max="4872" width="13.59765625" style="24" customWidth="1"/>
    <col min="4873" max="4873" width="12.69921875" style="24" customWidth="1"/>
    <col min="4874" max="5120" width="9" style="24"/>
    <col min="5121" max="5121" width="5" style="24" customWidth="1"/>
    <col min="5122" max="5122" width="17.8984375" style="24" bestFit="1" customWidth="1"/>
    <col min="5123" max="5123" width="30.19921875" style="24" customWidth="1"/>
    <col min="5124" max="5124" width="14" style="24" customWidth="1"/>
    <col min="5125" max="5125" width="5.19921875" style="24" bestFit="1" customWidth="1"/>
    <col min="5126" max="5126" width="9" style="24"/>
    <col min="5127" max="5127" width="11.8984375" style="24" customWidth="1"/>
    <col min="5128" max="5128" width="13.59765625" style="24" customWidth="1"/>
    <col min="5129" max="5129" width="12.69921875" style="24" customWidth="1"/>
    <col min="5130" max="5376" width="9" style="24"/>
    <col min="5377" max="5377" width="5" style="24" customWidth="1"/>
    <col min="5378" max="5378" width="17.8984375" style="24" bestFit="1" customWidth="1"/>
    <col min="5379" max="5379" width="30.19921875" style="24" customWidth="1"/>
    <col min="5380" max="5380" width="14" style="24" customWidth="1"/>
    <col min="5381" max="5381" width="5.19921875" style="24" bestFit="1" customWidth="1"/>
    <col min="5382" max="5382" width="9" style="24"/>
    <col min="5383" max="5383" width="11.8984375" style="24" customWidth="1"/>
    <col min="5384" max="5384" width="13.59765625" style="24" customWidth="1"/>
    <col min="5385" max="5385" width="12.69921875" style="24" customWidth="1"/>
    <col min="5386" max="5632" width="9" style="24"/>
    <col min="5633" max="5633" width="5" style="24" customWidth="1"/>
    <col min="5634" max="5634" width="17.8984375" style="24" bestFit="1" customWidth="1"/>
    <col min="5635" max="5635" width="30.19921875" style="24" customWidth="1"/>
    <col min="5636" max="5636" width="14" style="24" customWidth="1"/>
    <col min="5637" max="5637" width="5.19921875" style="24" bestFit="1" customWidth="1"/>
    <col min="5638" max="5638" width="9" style="24"/>
    <col min="5639" max="5639" width="11.8984375" style="24" customWidth="1"/>
    <col min="5640" max="5640" width="13.59765625" style="24" customWidth="1"/>
    <col min="5641" max="5641" width="12.69921875" style="24" customWidth="1"/>
    <col min="5642" max="5888" width="9" style="24"/>
    <col min="5889" max="5889" width="5" style="24" customWidth="1"/>
    <col min="5890" max="5890" width="17.8984375" style="24" bestFit="1" customWidth="1"/>
    <col min="5891" max="5891" width="30.19921875" style="24" customWidth="1"/>
    <col min="5892" max="5892" width="14" style="24" customWidth="1"/>
    <col min="5893" max="5893" width="5.19921875" style="24" bestFit="1" customWidth="1"/>
    <col min="5894" max="5894" width="9" style="24"/>
    <col min="5895" max="5895" width="11.8984375" style="24" customWidth="1"/>
    <col min="5896" max="5896" width="13.59765625" style="24" customWidth="1"/>
    <col min="5897" max="5897" width="12.69921875" style="24" customWidth="1"/>
    <col min="5898" max="6144" width="9" style="24"/>
    <col min="6145" max="6145" width="5" style="24" customWidth="1"/>
    <col min="6146" max="6146" width="17.8984375" style="24" bestFit="1" customWidth="1"/>
    <col min="6147" max="6147" width="30.19921875" style="24" customWidth="1"/>
    <col min="6148" max="6148" width="14" style="24" customWidth="1"/>
    <col min="6149" max="6149" width="5.19921875" style="24" bestFit="1" customWidth="1"/>
    <col min="6150" max="6150" width="9" style="24"/>
    <col min="6151" max="6151" width="11.8984375" style="24" customWidth="1"/>
    <col min="6152" max="6152" width="13.59765625" style="24" customWidth="1"/>
    <col min="6153" max="6153" width="12.69921875" style="24" customWidth="1"/>
    <col min="6154" max="6400" width="9" style="24"/>
    <col min="6401" max="6401" width="5" style="24" customWidth="1"/>
    <col min="6402" max="6402" width="17.8984375" style="24" bestFit="1" customWidth="1"/>
    <col min="6403" max="6403" width="30.19921875" style="24" customWidth="1"/>
    <col min="6404" max="6404" width="14" style="24" customWidth="1"/>
    <col min="6405" max="6405" width="5.19921875" style="24" bestFit="1" customWidth="1"/>
    <col min="6406" max="6406" width="9" style="24"/>
    <col min="6407" max="6407" width="11.8984375" style="24" customWidth="1"/>
    <col min="6408" max="6408" width="13.59765625" style="24" customWidth="1"/>
    <col min="6409" max="6409" width="12.69921875" style="24" customWidth="1"/>
    <col min="6410" max="6656" width="9" style="24"/>
    <col min="6657" max="6657" width="5" style="24" customWidth="1"/>
    <col min="6658" max="6658" width="17.8984375" style="24" bestFit="1" customWidth="1"/>
    <col min="6659" max="6659" width="30.19921875" style="24" customWidth="1"/>
    <col min="6660" max="6660" width="14" style="24" customWidth="1"/>
    <col min="6661" max="6661" width="5.19921875" style="24" bestFit="1" customWidth="1"/>
    <col min="6662" max="6662" width="9" style="24"/>
    <col min="6663" max="6663" width="11.8984375" style="24" customWidth="1"/>
    <col min="6664" max="6664" width="13.59765625" style="24" customWidth="1"/>
    <col min="6665" max="6665" width="12.69921875" style="24" customWidth="1"/>
    <col min="6666" max="6912" width="9" style="24"/>
    <col min="6913" max="6913" width="5" style="24" customWidth="1"/>
    <col min="6914" max="6914" width="17.8984375" style="24" bestFit="1" customWidth="1"/>
    <col min="6915" max="6915" width="30.19921875" style="24" customWidth="1"/>
    <col min="6916" max="6916" width="14" style="24" customWidth="1"/>
    <col min="6917" max="6917" width="5.19921875" style="24" bestFit="1" customWidth="1"/>
    <col min="6918" max="6918" width="9" style="24"/>
    <col min="6919" max="6919" width="11.8984375" style="24" customWidth="1"/>
    <col min="6920" max="6920" width="13.59765625" style="24" customWidth="1"/>
    <col min="6921" max="6921" width="12.69921875" style="24" customWidth="1"/>
    <col min="6922" max="7168" width="9" style="24"/>
    <col min="7169" max="7169" width="5" style="24" customWidth="1"/>
    <col min="7170" max="7170" width="17.8984375" style="24" bestFit="1" customWidth="1"/>
    <col min="7171" max="7171" width="30.19921875" style="24" customWidth="1"/>
    <col min="7172" max="7172" width="14" style="24" customWidth="1"/>
    <col min="7173" max="7173" width="5.19921875" style="24" bestFit="1" customWidth="1"/>
    <col min="7174" max="7174" width="9" style="24"/>
    <col min="7175" max="7175" width="11.8984375" style="24" customWidth="1"/>
    <col min="7176" max="7176" width="13.59765625" style="24" customWidth="1"/>
    <col min="7177" max="7177" width="12.69921875" style="24" customWidth="1"/>
    <col min="7178" max="7424" width="9" style="24"/>
    <col min="7425" max="7425" width="5" style="24" customWidth="1"/>
    <col min="7426" max="7426" width="17.8984375" style="24" bestFit="1" customWidth="1"/>
    <col min="7427" max="7427" width="30.19921875" style="24" customWidth="1"/>
    <col min="7428" max="7428" width="14" style="24" customWidth="1"/>
    <col min="7429" max="7429" width="5.19921875" style="24" bestFit="1" customWidth="1"/>
    <col min="7430" max="7430" width="9" style="24"/>
    <col min="7431" max="7431" width="11.8984375" style="24" customWidth="1"/>
    <col min="7432" max="7432" width="13.59765625" style="24" customWidth="1"/>
    <col min="7433" max="7433" width="12.69921875" style="24" customWidth="1"/>
    <col min="7434" max="7680" width="9" style="24"/>
    <col min="7681" max="7681" width="5" style="24" customWidth="1"/>
    <col min="7682" max="7682" width="17.8984375" style="24" bestFit="1" customWidth="1"/>
    <col min="7683" max="7683" width="30.19921875" style="24" customWidth="1"/>
    <col min="7684" max="7684" width="14" style="24" customWidth="1"/>
    <col min="7685" max="7685" width="5.19921875" style="24" bestFit="1" customWidth="1"/>
    <col min="7686" max="7686" width="9" style="24"/>
    <col min="7687" max="7687" width="11.8984375" style="24" customWidth="1"/>
    <col min="7688" max="7688" width="13.59765625" style="24" customWidth="1"/>
    <col min="7689" max="7689" width="12.69921875" style="24" customWidth="1"/>
    <col min="7690" max="7936" width="9" style="24"/>
    <col min="7937" max="7937" width="5" style="24" customWidth="1"/>
    <col min="7938" max="7938" width="17.8984375" style="24" bestFit="1" customWidth="1"/>
    <col min="7939" max="7939" width="30.19921875" style="24" customWidth="1"/>
    <col min="7940" max="7940" width="14" style="24" customWidth="1"/>
    <col min="7941" max="7941" width="5.19921875" style="24" bestFit="1" customWidth="1"/>
    <col min="7942" max="7942" width="9" style="24"/>
    <col min="7943" max="7943" width="11.8984375" style="24" customWidth="1"/>
    <col min="7944" max="7944" width="13.59765625" style="24" customWidth="1"/>
    <col min="7945" max="7945" width="12.69921875" style="24" customWidth="1"/>
    <col min="7946" max="8192" width="9" style="24"/>
    <col min="8193" max="8193" width="5" style="24" customWidth="1"/>
    <col min="8194" max="8194" width="17.8984375" style="24" bestFit="1" customWidth="1"/>
    <col min="8195" max="8195" width="30.19921875" style="24" customWidth="1"/>
    <col min="8196" max="8196" width="14" style="24" customWidth="1"/>
    <col min="8197" max="8197" width="5.19921875" style="24" bestFit="1" customWidth="1"/>
    <col min="8198" max="8198" width="9" style="24"/>
    <col min="8199" max="8199" width="11.8984375" style="24" customWidth="1"/>
    <col min="8200" max="8200" width="13.59765625" style="24" customWidth="1"/>
    <col min="8201" max="8201" width="12.69921875" style="24" customWidth="1"/>
    <col min="8202" max="8448" width="9" style="24"/>
    <col min="8449" max="8449" width="5" style="24" customWidth="1"/>
    <col min="8450" max="8450" width="17.8984375" style="24" bestFit="1" customWidth="1"/>
    <col min="8451" max="8451" width="30.19921875" style="24" customWidth="1"/>
    <col min="8452" max="8452" width="14" style="24" customWidth="1"/>
    <col min="8453" max="8453" width="5.19921875" style="24" bestFit="1" customWidth="1"/>
    <col min="8454" max="8454" width="9" style="24"/>
    <col min="8455" max="8455" width="11.8984375" style="24" customWidth="1"/>
    <col min="8456" max="8456" width="13.59765625" style="24" customWidth="1"/>
    <col min="8457" max="8457" width="12.69921875" style="24" customWidth="1"/>
    <col min="8458" max="8704" width="9" style="24"/>
    <col min="8705" max="8705" width="5" style="24" customWidth="1"/>
    <col min="8706" max="8706" width="17.8984375" style="24" bestFit="1" customWidth="1"/>
    <col min="8707" max="8707" width="30.19921875" style="24" customWidth="1"/>
    <col min="8708" max="8708" width="14" style="24" customWidth="1"/>
    <col min="8709" max="8709" width="5.19921875" style="24" bestFit="1" customWidth="1"/>
    <col min="8710" max="8710" width="9" style="24"/>
    <col min="8711" max="8711" width="11.8984375" style="24" customWidth="1"/>
    <col min="8712" max="8712" width="13.59765625" style="24" customWidth="1"/>
    <col min="8713" max="8713" width="12.69921875" style="24" customWidth="1"/>
    <col min="8714" max="8960" width="9" style="24"/>
    <col min="8961" max="8961" width="5" style="24" customWidth="1"/>
    <col min="8962" max="8962" width="17.8984375" style="24" bestFit="1" customWidth="1"/>
    <col min="8963" max="8963" width="30.19921875" style="24" customWidth="1"/>
    <col min="8964" max="8964" width="14" style="24" customWidth="1"/>
    <col min="8965" max="8965" width="5.19921875" style="24" bestFit="1" customWidth="1"/>
    <col min="8966" max="8966" width="9" style="24"/>
    <col min="8967" max="8967" width="11.8984375" style="24" customWidth="1"/>
    <col min="8968" max="8968" width="13.59765625" style="24" customWidth="1"/>
    <col min="8969" max="8969" width="12.69921875" style="24" customWidth="1"/>
    <col min="8970" max="9216" width="9" style="24"/>
    <col min="9217" max="9217" width="5" style="24" customWidth="1"/>
    <col min="9218" max="9218" width="17.8984375" style="24" bestFit="1" customWidth="1"/>
    <col min="9219" max="9219" width="30.19921875" style="24" customWidth="1"/>
    <col min="9220" max="9220" width="14" style="24" customWidth="1"/>
    <col min="9221" max="9221" width="5.19921875" style="24" bestFit="1" customWidth="1"/>
    <col min="9222" max="9222" width="9" style="24"/>
    <col min="9223" max="9223" width="11.8984375" style="24" customWidth="1"/>
    <col min="9224" max="9224" width="13.59765625" style="24" customWidth="1"/>
    <col min="9225" max="9225" width="12.69921875" style="24" customWidth="1"/>
    <col min="9226" max="9472" width="9" style="24"/>
    <col min="9473" max="9473" width="5" style="24" customWidth="1"/>
    <col min="9474" max="9474" width="17.8984375" style="24" bestFit="1" customWidth="1"/>
    <col min="9475" max="9475" width="30.19921875" style="24" customWidth="1"/>
    <col min="9476" max="9476" width="14" style="24" customWidth="1"/>
    <col min="9477" max="9477" width="5.19921875" style="24" bestFit="1" customWidth="1"/>
    <col min="9478" max="9478" width="9" style="24"/>
    <col min="9479" max="9479" width="11.8984375" style="24" customWidth="1"/>
    <col min="9480" max="9480" width="13.59765625" style="24" customWidth="1"/>
    <col min="9481" max="9481" width="12.69921875" style="24" customWidth="1"/>
    <col min="9482" max="9728" width="9" style="24"/>
    <col min="9729" max="9729" width="5" style="24" customWidth="1"/>
    <col min="9730" max="9730" width="17.8984375" style="24" bestFit="1" customWidth="1"/>
    <col min="9731" max="9731" width="30.19921875" style="24" customWidth="1"/>
    <col min="9732" max="9732" width="14" style="24" customWidth="1"/>
    <col min="9733" max="9733" width="5.19921875" style="24" bestFit="1" customWidth="1"/>
    <col min="9734" max="9734" width="9" style="24"/>
    <col min="9735" max="9735" width="11.8984375" style="24" customWidth="1"/>
    <col min="9736" max="9736" width="13.59765625" style="24" customWidth="1"/>
    <col min="9737" max="9737" width="12.69921875" style="24" customWidth="1"/>
    <col min="9738" max="9984" width="9" style="24"/>
    <col min="9985" max="9985" width="5" style="24" customWidth="1"/>
    <col min="9986" max="9986" width="17.8984375" style="24" bestFit="1" customWidth="1"/>
    <col min="9987" max="9987" width="30.19921875" style="24" customWidth="1"/>
    <col min="9988" max="9988" width="14" style="24" customWidth="1"/>
    <col min="9989" max="9989" width="5.19921875" style="24" bestFit="1" customWidth="1"/>
    <col min="9990" max="9990" width="9" style="24"/>
    <col min="9991" max="9991" width="11.8984375" style="24" customWidth="1"/>
    <col min="9992" max="9992" width="13.59765625" style="24" customWidth="1"/>
    <col min="9993" max="9993" width="12.69921875" style="24" customWidth="1"/>
    <col min="9994" max="10240" width="9" style="24"/>
    <col min="10241" max="10241" width="5" style="24" customWidth="1"/>
    <col min="10242" max="10242" width="17.8984375" style="24" bestFit="1" customWidth="1"/>
    <col min="10243" max="10243" width="30.19921875" style="24" customWidth="1"/>
    <col min="10244" max="10244" width="14" style="24" customWidth="1"/>
    <col min="10245" max="10245" width="5.19921875" style="24" bestFit="1" customWidth="1"/>
    <col min="10246" max="10246" width="9" style="24"/>
    <col min="10247" max="10247" width="11.8984375" style="24" customWidth="1"/>
    <col min="10248" max="10248" width="13.59765625" style="24" customWidth="1"/>
    <col min="10249" max="10249" width="12.69921875" style="24" customWidth="1"/>
    <col min="10250" max="10496" width="9" style="24"/>
    <col min="10497" max="10497" width="5" style="24" customWidth="1"/>
    <col min="10498" max="10498" width="17.8984375" style="24" bestFit="1" customWidth="1"/>
    <col min="10499" max="10499" width="30.19921875" style="24" customWidth="1"/>
    <col min="10500" max="10500" width="14" style="24" customWidth="1"/>
    <col min="10501" max="10501" width="5.19921875" style="24" bestFit="1" customWidth="1"/>
    <col min="10502" max="10502" width="9" style="24"/>
    <col min="10503" max="10503" width="11.8984375" style="24" customWidth="1"/>
    <col min="10504" max="10504" width="13.59765625" style="24" customWidth="1"/>
    <col min="10505" max="10505" width="12.69921875" style="24" customWidth="1"/>
    <col min="10506" max="10752" width="9" style="24"/>
    <col min="10753" max="10753" width="5" style="24" customWidth="1"/>
    <col min="10754" max="10754" width="17.8984375" style="24" bestFit="1" customWidth="1"/>
    <col min="10755" max="10755" width="30.19921875" style="24" customWidth="1"/>
    <col min="10756" max="10756" width="14" style="24" customWidth="1"/>
    <col min="10757" max="10757" width="5.19921875" style="24" bestFit="1" customWidth="1"/>
    <col min="10758" max="10758" width="9" style="24"/>
    <col min="10759" max="10759" width="11.8984375" style="24" customWidth="1"/>
    <col min="10760" max="10760" width="13.59765625" style="24" customWidth="1"/>
    <col min="10761" max="10761" width="12.69921875" style="24" customWidth="1"/>
    <col min="10762" max="11008" width="9" style="24"/>
    <col min="11009" max="11009" width="5" style="24" customWidth="1"/>
    <col min="11010" max="11010" width="17.8984375" style="24" bestFit="1" customWidth="1"/>
    <col min="11011" max="11011" width="30.19921875" style="24" customWidth="1"/>
    <col min="11012" max="11012" width="14" style="24" customWidth="1"/>
    <col min="11013" max="11013" width="5.19921875" style="24" bestFit="1" customWidth="1"/>
    <col min="11014" max="11014" width="9" style="24"/>
    <col min="11015" max="11015" width="11.8984375" style="24" customWidth="1"/>
    <col min="11016" max="11016" width="13.59765625" style="24" customWidth="1"/>
    <col min="11017" max="11017" width="12.69921875" style="24" customWidth="1"/>
    <col min="11018" max="11264" width="9" style="24"/>
    <col min="11265" max="11265" width="5" style="24" customWidth="1"/>
    <col min="11266" max="11266" width="17.8984375" style="24" bestFit="1" customWidth="1"/>
    <col min="11267" max="11267" width="30.19921875" style="24" customWidth="1"/>
    <col min="11268" max="11268" width="14" style="24" customWidth="1"/>
    <col min="11269" max="11269" width="5.19921875" style="24" bestFit="1" customWidth="1"/>
    <col min="11270" max="11270" width="9" style="24"/>
    <col min="11271" max="11271" width="11.8984375" style="24" customWidth="1"/>
    <col min="11272" max="11272" width="13.59765625" style="24" customWidth="1"/>
    <col min="11273" max="11273" width="12.69921875" style="24" customWidth="1"/>
    <col min="11274" max="11520" width="9" style="24"/>
    <col min="11521" max="11521" width="5" style="24" customWidth="1"/>
    <col min="11522" max="11522" width="17.8984375" style="24" bestFit="1" customWidth="1"/>
    <col min="11523" max="11523" width="30.19921875" style="24" customWidth="1"/>
    <col min="11524" max="11524" width="14" style="24" customWidth="1"/>
    <col min="11525" max="11525" width="5.19921875" style="24" bestFit="1" customWidth="1"/>
    <col min="11526" max="11526" width="9" style="24"/>
    <col min="11527" max="11527" width="11.8984375" style="24" customWidth="1"/>
    <col min="11528" max="11528" width="13.59765625" style="24" customWidth="1"/>
    <col min="11529" max="11529" width="12.69921875" style="24" customWidth="1"/>
    <col min="11530" max="11776" width="9" style="24"/>
    <col min="11777" max="11777" width="5" style="24" customWidth="1"/>
    <col min="11778" max="11778" width="17.8984375" style="24" bestFit="1" customWidth="1"/>
    <col min="11779" max="11779" width="30.19921875" style="24" customWidth="1"/>
    <col min="11780" max="11780" width="14" style="24" customWidth="1"/>
    <col min="11781" max="11781" width="5.19921875" style="24" bestFit="1" customWidth="1"/>
    <col min="11782" max="11782" width="9" style="24"/>
    <col min="11783" max="11783" width="11.8984375" style="24" customWidth="1"/>
    <col min="11784" max="11784" width="13.59765625" style="24" customWidth="1"/>
    <col min="11785" max="11785" width="12.69921875" style="24" customWidth="1"/>
    <col min="11786" max="12032" width="9" style="24"/>
    <col min="12033" max="12033" width="5" style="24" customWidth="1"/>
    <col min="12034" max="12034" width="17.8984375" style="24" bestFit="1" customWidth="1"/>
    <col min="12035" max="12035" width="30.19921875" style="24" customWidth="1"/>
    <col min="12036" max="12036" width="14" style="24" customWidth="1"/>
    <col min="12037" max="12037" width="5.19921875" style="24" bestFit="1" customWidth="1"/>
    <col min="12038" max="12038" width="9" style="24"/>
    <col min="12039" max="12039" width="11.8984375" style="24" customWidth="1"/>
    <col min="12040" max="12040" width="13.59765625" style="24" customWidth="1"/>
    <col min="12041" max="12041" width="12.69921875" style="24" customWidth="1"/>
    <col min="12042" max="12288" width="9" style="24"/>
    <col min="12289" max="12289" width="5" style="24" customWidth="1"/>
    <col min="12290" max="12290" width="17.8984375" style="24" bestFit="1" customWidth="1"/>
    <col min="12291" max="12291" width="30.19921875" style="24" customWidth="1"/>
    <col min="12292" max="12292" width="14" style="24" customWidth="1"/>
    <col min="12293" max="12293" width="5.19921875" style="24" bestFit="1" customWidth="1"/>
    <col min="12294" max="12294" width="9" style="24"/>
    <col min="12295" max="12295" width="11.8984375" style="24" customWidth="1"/>
    <col min="12296" max="12296" width="13.59765625" style="24" customWidth="1"/>
    <col min="12297" max="12297" width="12.69921875" style="24" customWidth="1"/>
    <col min="12298" max="12544" width="9" style="24"/>
    <col min="12545" max="12545" width="5" style="24" customWidth="1"/>
    <col min="12546" max="12546" width="17.8984375" style="24" bestFit="1" customWidth="1"/>
    <col min="12547" max="12547" width="30.19921875" style="24" customWidth="1"/>
    <col min="12548" max="12548" width="14" style="24" customWidth="1"/>
    <col min="12549" max="12549" width="5.19921875" style="24" bestFit="1" customWidth="1"/>
    <col min="12550" max="12550" width="9" style="24"/>
    <col min="12551" max="12551" width="11.8984375" style="24" customWidth="1"/>
    <col min="12552" max="12552" width="13.59765625" style="24" customWidth="1"/>
    <col min="12553" max="12553" width="12.69921875" style="24" customWidth="1"/>
    <col min="12554" max="12800" width="9" style="24"/>
    <col min="12801" max="12801" width="5" style="24" customWidth="1"/>
    <col min="12802" max="12802" width="17.8984375" style="24" bestFit="1" customWidth="1"/>
    <col min="12803" max="12803" width="30.19921875" style="24" customWidth="1"/>
    <col min="12804" max="12804" width="14" style="24" customWidth="1"/>
    <col min="12805" max="12805" width="5.19921875" style="24" bestFit="1" customWidth="1"/>
    <col min="12806" max="12806" width="9" style="24"/>
    <col min="12807" max="12807" width="11.8984375" style="24" customWidth="1"/>
    <col min="12808" max="12808" width="13.59765625" style="24" customWidth="1"/>
    <col min="12809" max="12809" width="12.69921875" style="24" customWidth="1"/>
    <col min="12810" max="13056" width="9" style="24"/>
    <col min="13057" max="13057" width="5" style="24" customWidth="1"/>
    <col min="13058" max="13058" width="17.8984375" style="24" bestFit="1" customWidth="1"/>
    <col min="13059" max="13059" width="30.19921875" style="24" customWidth="1"/>
    <col min="13060" max="13060" width="14" style="24" customWidth="1"/>
    <col min="13061" max="13061" width="5.19921875" style="24" bestFit="1" customWidth="1"/>
    <col min="13062" max="13062" width="9" style="24"/>
    <col min="13063" max="13063" width="11.8984375" style="24" customWidth="1"/>
    <col min="13064" max="13064" width="13.59765625" style="24" customWidth="1"/>
    <col min="13065" max="13065" width="12.69921875" style="24" customWidth="1"/>
    <col min="13066" max="13312" width="9" style="24"/>
    <col min="13313" max="13313" width="5" style="24" customWidth="1"/>
    <col min="13314" max="13314" width="17.8984375" style="24" bestFit="1" customWidth="1"/>
    <col min="13315" max="13315" width="30.19921875" style="24" customWidth="1"/>
    <col min="13316" max="13316" width="14" style="24" customWidth="1"/>
    <col min="13317" max="13317" width="5.19921875" style="24" bestFit="1" customWidth="1"/>
    <col min="13318" max="13318" width="9" style="24"/>
    <col min="13319" max="13319" width="11.8984375" style="24" customWidth="1"/>
    <col min="13320" max="13320" width="13.59765625" style="24" customWidth="1"/>
    <col min="13321" max="13321" width="12.69921875" style="24" customWidth="1"/>
    <col min="13322" max="13568" width="9" style="24"/>
    <col min="13569" max="13569" width="5" style="24" customWidth="1"/>
    <col min="13570" max="13570" width="17.8984375" style="24" bestFit="1" customWidth="1"/>
    <col min="13571" max="13571" width="30.19921875" style="24" customWidth="1"/>
    <col min="13572" max="13572" width="14" style="24" customWidth="1"/>
    <col min="13573" max="13573" width="5.19921875" style="24" bestFit="1" customWidth="1"/>
    <col min="13574" max="13574" width="9" style="24"/>
    <col min="13575" max="13575" width="11.8984375" style="24" customWidth="1"/>
    <col min="13576" max="13576" width="13.59765625" style="24" customWidth="1"/>
    <col min="13577" max="13577" width="12.69921875" style="24" customWidth="1"/>
    <col min="13578" max="13824" width="9" style="24"/>
    <col min="13825" max="13825" width="5" style="24" customWidth="1"/>
    <col min="13826" max="13826" width="17.8984375" style="24" bestFit="1" customWidth="1"/>
    <col min="13827" max="13827" width="30.19921875" style="24" customWidth="1"/>
    <col min="13828" max="13828" width="14" style="24" customWidth="1"/>
    <col min="13829" max="13829" width="5.19921875" style="24" bestFit="1" customWidth="1"/>
    <col min="13830" max="13830" width="9" style="24"/>
    <col min="13831" max="13831" width="11.8984375" style="24" customWidth="1"/>
    <col min="13832" max="13832" width="13.59765625" style="24" customWidth="1"/>
    <col min="13833" max="13833" width="12.69921875" style="24" customWidth="1"/>
    <col min="13834" max="14080" width="9" style="24"/>
    <col min="14081" max="14081" width="5" style="24" customWidth="1"/>
    <col min="14082" max="14082" width="17.8984375" style="24" bestFit="1" customWidth="1"/>
    <col min="14083" max="14083" width="30.19921875" style="24" customWidth="1"/>
    <col min="14084" max="14084" width="14" style="24" customWidth="1"/>
    <col min="14085" max="14085" width="5.19921875" style="24" bestFit="1" customWidth="1"/>
    <col min="14086" max="14086" width="9" style="24"/>
    <col min="14087" max="14087" width="11.8984375" style="24" customWidth="1"/>
    <col min="14088" max="14088" width="13.59765625" style="24" customWidth="1"/>
    <col min="14089" max="14089" width="12.69921875" style="24" customWidth="1"/>
    <col min="14090" max="14336" width="9" style="24"/>
    <col min="14337" max="14337" width="5" style="24" customWidth="1"/>
    <col min="14338" max="14338" width="17.8984375" style="24" bestFit="1" customWidth="1"/>
    <col min="14339" max="14339" width="30.19921875" style="24" customWidth="1"/>
    <col min="14340" max="14340" width="14" style="24" customWidth="1"/>
    <col min="14341" max="14341" width="5.19921875" style="24" bestFit="1" customWidth="1"/>
    <col min="14342" max="14342" width="9" style="24"/>
    <col min="14343" max="14343" width="11.8984375" style="24" customWidth="1"/>
    <col min="14344" max="14344" width="13.59765625" style="24" customWidth="1"/>
    <col min="14345" max="14345" width="12.69921875" style="24" customWidth="1"/>
    <col min="14346" max="14592" width="9" style="24"/>
    <col min="14593" max="14593" width="5" style="24" customWidth="1"/>
    <col min="14594" max="14594" width="17.8984375" style="24" bestFit="1" customWidth="1"/>
    <col min="14595" max="14595" width="30.19921875" style="24" customWidth="1"/>
    <col min="14596" max="14596" width="14" style="24" customWidth="1"/>
    <col min="14597" max="14597" width="5.19921875" style="24" bestFit="1" customWidth="1"/>
    <col min="14598" max="14598" width="9" style="24"/>
    <col min="14599" max="14599" width="11.8984375" style="24" customWidth="1"/>
    <col min="14600" max="14600" width="13.59765625" style="24" customWidth="1"/>
    <col min="14601" max="14601" width="12.69921875" style="24" customWidth="1"/>
    <col min="14602" max="14848" width="9" style="24"/>
    <col min="14849" max="14849" width="5" style="24" customWidth="1"/>
    <col min="14850" max="14850" width="17.8984375" style="24" bestFit="1" customWidth="1"/>
    <col min="14851" max="14851" width="30.19921875" style="24" customWidth="1"/>
    <col min="14852" max="14852" width="14" style="24" customWidth="1"/>
    <col min="14853" max="14853" width="5.19921875" style="24" bestFit="1" customWidth="1"/>
    <col min="14854" max="14854" width="9" style="24"/>
    <col min="14855" max="14855" width="11.8984375" style="24" customWidth="1"/>
    <col min="14856" max="14856" width="13.59765625" style="24" customWidth="1"/>
    <col min="14857" max="14857" width="12.69921875" style="24" customWidth="1"/>
    <col min="14858" max="15104" width="9" style="24"/>
    <col min="15105" max="15105" width="5" style="24" customWidth="1"/>
    <col min="15106" max="15106" width="17.8984375" style="24" bestFit="1" customWidth="1"/>
    <col min="15107" max="15107" width="30.19921875" style="24" customWidth="1"/>
    <col min="15108" max="15108" width="14" style="24" customWidth="1"/>
    <col min="15109" max="15109" width="5.19921875" style="24" bestFit="1" customWidth="1"/>
    <col min="15110" max="15110" width="9" style="24"/>
    <col min="15111" max="15111" width="11.8984375" style="24" customWidth="1"/>
    <col min="15112" max="15112" width="13.59765625" style="24" customWidth="1"/>
    <col min="15113" max="15113" width="12.69921875" style="24" customWidth="1"/>
    <col min="15114" max="15360" width="9" style="24"/>
    <col min="15361" max="15361" width="5" style="24" customWidth="1"/>
    <col min="15362" max="15362" width="17.8984375" style="24" bestFit="1" customWidth="1"/>
    <col min="15363" max="15363" width="30.19921875" style="24" customWidth="1"/>
    <col min="15364" max="15364" width="14" style="24" customWidth="1"/>
    <col min="15365" max="15365" width="5.19921875" style="24" bestFit="1" customWidth="1"/>
    <col min="15366" max="15366" width="9" style="24"/>
    <col min="15367" max="15367" width="11.8984375" style="24" customWidth="1"/>
    <col min="15368" max="15368" width="13.59765625" style="24" customWidth="1"/>
    <col min="15369" max="15369" width="12.69921875" style="24" customWidth="1"/>
    <col min="15370" max="15616" width="9" style="24"/>
    <col min="15617" max="15617" width="5" style="24" customWidth="1"/>
    <col min="15618" max="15618" width="17.8984375" style="24" bestFit="1" customWidth="1"/>
    <col min="15619" max="15619" width="30.19921875" style="24" customWidth="1"/>
    <col min="15620" max="15620" width="14" style="24" customWidth="1"/>
    <col min="15621" max="15621" width="5.19921875" style="24" bestFit="1" customWidth="1"/>
    <col min="15622" max="15622" width="9" style="24"/>
    <col min="15623" max="15623" width="11.8984375" style="24" customWidth="1"/>
    <col min="15624" max="15624" width="13.59765625" style="24" customWidth="1"/>
    <col min="15625" max="15625" width="12.69921875" style="24" customWidth="1"/>
    <col min="15626" max="15872" width="9" style="24"/>
    <col min="15873" max="15873" width="5" style="24" customWidth="1"/>
    <col min="15874" max="15874" width="17.8984375" style="24" bestFit="1" customWidth="1"/>
    <col min="15875" max="15875" width="30.19921875" style="24" customWidth="1"/>
    <col min="15876" max="15876" width="14" style="24" customWidth="1"/>
    <col min="15877" max="15877" width="5.19921875" style="24" bestFit="1" customWidth="1"/>
    <col min="15878" max="15878" width="9" style="24"/>
    <col min="15879" max="15879" width="11.8984375" style="24" customWidth="1"/>
    <col min="15880" max="15880" width="13.59765625" style="24" customWidth="1"/>
    <col min="15881" max="15881" width="12.69921875" style="24" customWidth="1"/>
    <col min="15882" max="16128" width="9" style="24"/>
    <col min="16129" max="16129" width="5" style="24" customWidth="1"/>
    <col min="16130" max="16130" width="17.8984375" style="24" bestFit="1" customWidth="1"/>
    <col min="16131" max="16131" width="30.19921875" style="24" customWidth="1"/>
    <col min="16132" max="16132" width="14" style="24" customWidth="1"/>
    <col min="16133" max="16133" width="5.19921875" style="24" bestFit="1" customWidth="1"/>
    <col min="16134" max="16134" width="9" style="24"/>
    <col min="16135" max="16135" width="11.8984375" style="24" customWidth="1"/>
    <col min="16136" max="16136" width="13.59765625" style="24" customWidth="1"/>
    <col min="16137" max="16137" width="12.69921875" style="24" customWidth="1"/>
    <col min="16138" max="16384" width="9" style="24"/>
  </cols>
  <sheetData>
    <row r="1" spans="1:9" ht="22.5" customHeight="1">
      <c r="B1" s="201" t="s">
        <v>145</v>
      </c>
      <c r="C1" s="266"/>
      <c r="F1" s="290"/>
      <c r="I1" s="24" t="s">
        <v>118</v>
      </c>
    </row>
    <row r="2" spans="1:9" s="26" customFormat="1" ht="16.5" customHeight="1">
      <c r="A2" s="337" t="s">
        <v>119</v>
      </c>
      <c r="B2" s="339"/>
      <c r="C2" s="275" t="s">
        <v>120</v>
      </c>
      <c r="D2" s="125" t="s">
        <v>121</v>
      </c>
      <c r="E2" s="125" t="s">
        <v>38</v>
      </c>
      <c r="F2" s="249" t="s">
        <v>39</v>
      </c>
      <c r="G2" s="249" t="s">
        <v>122</v>
      </c>
      <c r="H2" s="249" t="s">
        <v>123</v>
      </c>
      <c r="I2" s="125" t="s">
        <v>124</v>
      </c>
    </row>
    <row r="3" spans="1:9" ht="15.9" customHeight="1">
      <c r="A3" s="429" t="s">
        <v>125</v>
      </c>
      <c r="B3" s="206" t="s">
        <v>126</v>
      </c>
      <c r="C3" s="287"/>
      <c r="D3" s="299"/>
      <c r="E3" s="300"/>
      <c r="F3" s="301"/>
      <c r="G3" s="301"/>
      <c r="H3" s="231">
        <f>IF(F3=0,G3,G3*F3)</f>
        <v>0</v>
      </c>
      <c r="I3" s="232"/>
    </row>
    <row r="4" spans="1:9" ht="15.9" customHeight="1">
      <c r="A4" s="433"/>
      <c r="B4" s="206"/>
      <c r="C4" s="287"/>
      <c r="D4" s="299"/>
      <c r="E4" s="300"/>
      <c r="F4" s="301"/>
      <c r="G4" s="301"/>
      <c r="H4" s="165">
        <f>IF(F4=0,G4,G4*F4)</f>
        <v>0</v>
      </c>
      <c r="I4" s="39"/>
    </row>
    <row r="5" spans="1:9" ht="15.9" customHeight="1">
      <c r="A5" s="433"/>
      <c r="B5" s="206"/>
      <c r="C5" s="287"/>
      <c r="D5" s="299"/>
      <c r="E5" s="300"/>
      <c r="F5" s="301"/>
      <c r="G5" s="301"/>
      <c r="H5" s="165">
        <f t="shared" ref="H5:H68" si="0">IF(F5=0,G5,G5*F5)</f>
        <v>0</v>
      </c>
      <c r="I5" s="39"/>
    </row>
    <row r="6" spans="1:9" ht="15.9" customHeight="1">
      <c r="A6" s="433"/>
      <c r="B6" s="206"/>
      <c r="C6" s="287"/>
      <c r="D6" s="299"/>
      <c r="E6" s="300"/>
      <c r="F6" s="301"/>
      <c r="G6" s="301"/>
      <c r="H6" s="165">
        <f t="shared" si="0"/>
        <v>0</v>
      </c>
      <c r="I6" s="39"/>
    </row>
    <row r="7" spans="1:9" ht="15.9" customHeight="1">
      <c r="A7" s="433"/>
      <c r="B7" s="206"/>
      <c r="C7" s="287"/>
      <c r="D7" s="299"/>
      <c r="E7" s="300"/>
      <c r="F7" s="301"/>
      <c r="G7" s="301"/>
      <c r="H7" s="165">
        <f t="shared" si="0"/>
        <v>0</v>
      </c>
      <c r="I7" s="39"/>
    </row>
    <row r="8" spans="1:9" ht="15.9" customHeight="1">
      <c r="A8" s="433"/>
      <c r="B8" s="206"/>
      <c r="C8" s="287"/>
      <c r="D8" s="299"/>
      <c r="E8" s="300"/>
      <c r="F8" s="301"/>
      <c r="G8" s="301"/>
      <c r="H8" s="165">
        <f t="shared" si="0"/>
        <v>0</v>
      </c>
      <c r="I8" s="39"/>
    </row>
    <row r="9" spans="1:9" ht="15.9" customHeight="1">
      <c r="A9" s="433"/>
      <c r="B9" s="206"/>
      <c r="C9" s="287"/>
      <c r="D9" s="299"/>
      <c r="E9" s="300"/>
      <c r="F9" s="301"/>
      <c r="G9" s="301"/>
      <c r="H9" s="165">
        <f t="shared" si="0"/>
        <v>0</v>
      </c>
      <c r="I9" s="39"/>
    </row>
    <row r="10" spans="1:9" ht="15.9" customHeight="1">
      <c r="A10" s="433"/>
      <c r="B10" s="206"/>
      <c r="C10" s="287"/>
      <c r="D10" s="299"/>
      <c r="E10" s="300"/>
      <c r="F10" s="301"/>
      <c r="G10" s="301"/>
      <c r="H10" s="165">
        <f t="shared" si="0"/>
        <v>0</v>
      </c>
      <c r="I10" s="39"/>
    </row>
    <row r="11" spans="1:9" ht="15.9" customHeight="1">
      <c r="A11" s="433"/>
      <c r="B11" s="206"/>
      <c r="C11" s="287"/>
      <c r="D11" s="299"/>
      <c r="E11" s="300"/>
      <c r="F11" s="301"/>
      <c r="G11" s="301"/>
      <c r="H11" s="165">
        <f t="shared" si="0"/>
        <v>0</v>
      </c>
      <c r="I11" s="39"/>
    </row>
    <row r="12" spans="1:9" ht="15.9" customHeight="1">
      <c r="A12" s="433"/>
      <c r="B12" s="206"/>
      <c r="C12" s="287"/>
      <c r="D12" s="299"/>
      <c r="E12" s="300"/>
      <c r="F12" s="301"/>
      <c r="G12" s="301"/>
      <c r="H12" s="165">
        <f t="shared" si="0"/>
        <v>0</v>
      </c>
      <c r="I12" s="39"/>
    </row>
    <row r="13" spans="1:9" ht="15.9" customHeight="1">
      <c r="A13" s="433"/>
      <c r="B13" s="206"/>
      <c r="C13" s="287"/>
      <c r="D13" s="299"/>
      <c r="E13" s="300"/>
      <c r="F13" s="301"/>
      <c r="G13" s="301"/>
      <c r="H13" s="165">
        <f t="shared" si="0"/>
        <v>0</v>
      </c>
      <c r="I13" s="39"/>
    </row>
    <row r="14" spans="1:9" ht="15.9" customHeight="1">
      <c r="A14" s="433"/>
      <c r="B14" s="206"/>
      <c r="C14" s="287"/>
      <c r="D14" s="299"/>
      <c r="E14" s="300"/>
      <c r="F14" s="301"/>
      <c r="G14" s="301"/>
      <c r="H14" s="165">
        <f t="shared" si="0"/>
        <v>0</v>
      </c>
      <c r="I14" s="39"/>
    </row>
    <row r="15" spans="1:9" ht="15.9" customHeight="1">
      <c r="A15" s="433"/>
      <c r="B15" s="206"/>
      <c r="C15" s="287"/>
      <c r="D15" s="299"/>
      <c r="E15" s="300"/>
      <c r="F15" s="301"/>
      <c r="G15" s="301"/>
      <c r="H15" s="165">
        <f t="shared" si="0"/>
        <v>0</v>
      </c>
      <c r="I15" s="39"/>
    </row>
    <row r="16" spans="1:9" ht="15.9" customHeight="1">
      <c r="A16" s="433"/>
      <c r="B16" s="206"/>
      <c r="C16" s="287"/>
      <c r="D16" s="299"/>
      <c r="E16" s="300"/>
      <c r="F16" s="301"/>
      <c r="G16" s="301"/>
      <c r="H16" s="165">
        <f t="shared" si="0"/>
        <v>0</v>
      </c>
      <c r="I16" s="39"/>
    </row>
    <row r="17" spans="1:9" ht="15.9" customHeight="1">
      <c r="A17" s="433"/>
      <c r="B17" s="206"/>
      <c r="C17" s="271"/>
      <c r="D17" s="271"/>
      <c r="E17" s="271"/>
      <c r="F17" s="216"/>
      <c r="G17" s="216"/>
      <c r="H17" s="165">
        <f t="shared" si="0"/>
        <v>0</v>
      </c>
      <c r="I17" s="39"/>
    </row>
    <row r="18" spans="1:9" ht="15.9" customHeight="1">
      <c r="A18" s="433"/>
      <c r="B18" s="206"/>
      <c r="C18" s="271"/>
      <c r="D18" s="271"/>
      <c r="E18" s="271"/>
      <c r="F18" s="216"/>
      <c r="G18" s="216"/>
      <c r="H18" s="165">
        <f t="shared" si="0"/>
        <v>0</v>
      </c>
      <c r="I18" s="39"/>
    </row>
    <row r="19" spans="1:9" ht="15.9" customHeight="1">
      <c r="A19" s="433"/>
      <c r="B19" s="206"/>
      <c r="C19" s="271"/>
      <c r="D19" s="271"/>
      <c r="E19" s="271"/>
      <c r="F19" s="216"/>
      <c r="G19" s="216"/>
      <c r="H19" s="165">
        <f t="shared" si="0"/>
        <v>0</v>
      </c>
      <c r="I19" s="39"/>
    </row>
    <row r="20" spans="1:9" ht="15.9" customHeight="1">
      <c r="A20" s="433"/>
      <c r="B20" s="206"/>
      <c r="C20" s="213"/>
      <c r="D20" s="213"/>
      <c r="E20" s="213"/>
      <c r="F20" s="216"/>
      <c r="G20" s="216"/>
      <c r="H20" s="165">
        <f t="shared" si="0"/>
        <v>0</v>
      </c>
      <c r="I20" s="39"/>
    </row>
    <row r="21" spans="1:9" ht="15.9" customHeight="1">
      <c r="A21" s="433"/>
      <c r="B21" s="206"/>
      <c r="C21" s="213"/>
      <c r="D21" s="213"/>
      <c r="E21" s="213"/>
      <c r="F21" s="216"/>
      <c r="G21" s="216"/>
      <c r="H21" s="165">
        <f t="shared" si="0"/>
        <v>0</v>
      </c>
      <c r="I21" s="39"/>
    </row>
    <row r="22" spans="1:9" ht="15.9" customHeight="1">
      <c r="A22" s="433"/>
      <c r="B22" s="206"/>
      <c r="C22" s="217"/>
      <c r="D22" s="218"/>
      <c r="E22" s="218"/>
      <c r="F22" s="219"/>
      <c r="G22" s="220"/>
      <c r="H22" s="237">
        <f t="shared" si="0"/>
        <v>0</v>
      </c>
      <c r="I22" s="238"/>
    </row>
    <row r="23" spans="1:9" ht="15.9" customHeight="1">
      <c r="A23" s="433"/>
      <c r="B23" s="221"/>
      <c r="C23" s="240"/>
      <c r="D23" s="240"/>
      <c r="E23" s="240"/>
      <c r="F23" s="243"/>
      <c r="G23" s="243"/>
      <c r="H23" s="244">
        <f>SUM(H3:H22)</f>
        <v>0</v>
      </c>
      <c r="I23" s="240"/>
    </row>
    <row r="24" spans="1:9" ht="15.9" customHeight="1">
      <c r="A24" s="433"/>
      <c r="B24" s="206" t="s">
        <v>147</v>
      </c>
      <c r="C24" s="207"/>
      <c r="D24" s="207"/>
      <c r="E24" s="207"/>
      <c r="F24" s="210"/>
      <c r="G24" s="210"/>
      <c r="H24" s="211">
        <f t="shared" si="0"/>
        <v>0</v>
      </c>
      <c r="I24" s="212"/>
    </row>
    <row r="25" spans="1:9" ht="15.9" customHeight="1">
      <c r="A25" s="433"/>
      <c r="B25" s="206" t="s">
        <v>148</v>
      </c>
      <c r="C25" s="213"/>
      <c r="D25" s="213"/>
      <c r="E25" s="213"/>
      <c r="F25" s="216"/>
      <c r="G25" s="216"/>
      <c r="H25" s="165">
        <f t="shared" si="0"/>
        <v>0</v>
      </c>
      <c r="I25" s="39"/>
    </row>
    <row r="26" spans="1:9" ht="15.9" customHeight="1">
      <c r="A26" s="433"/>
      <c r="B26" s="206"/>
      <c r="C26" s="213"/>
      <c r="D26" s="213"/>
      <c r="E26" s="213"/>
      <c r="F26" s="216"/>
      <c r="G26" s="216"/>
      <c r="H26" s="165">
        <f t="shared" si="0"/>
        <v>0</v>
      </c>
      <c r="I26" s="39"/>
    </row>
    <row r="27" spans="1:9" ht="15.9" customHeight="1">
      <c r="A27" s="433"/>
      <c r="B27" s="206"/>
      <c r="C27" s="213"/>
      <c r="D27" s="213"/>
      <c r="E27" s="213"/>
      <c r="F27" s="216"/>
      <c r="G27" s="216"/>
      <c r="H27" s="165">
        <f t="shared" si="0"/>
        <v>0</v>
      </c>
      <c r="I27" s="39"/>
    </row>
    <row r="28" spans="1:9" ht="15.9" customHeight="1">
      <c r="A28" s="433"/>
      <c r="B28" s="206"/>
      <c r="C28" s="234"/>
      <c r="D28" s="234"/>
      <c r="E28" s="234"/>
      <c r="F28" s="236"/>
      <c r="G28" s="236"/>
      <c r="H28" s="165">
        <f t="shared" si="0"/>
        <v>0</v>
      </c>
      <c r="I28" s="238"/>
    </row>
    <row r="29" spans="1:9" ht="15.9" customHeight="1">
      <c r="A29" s="433"/>
      <c r="B29" s="206"/>
      <c r="C29" s="234"/>
      <c r="D29" s="234"/>
      <c r="E29" s="234"/>
      <c r="F29" s="236"/>
      <c r="G29" s="236"/>
      <c r="H29" s="165">
        <f t="shared" si="0"/>
        <v>0</v>
      </c>
      <c r="I29" s="238"/>
    </row>
    <row r="30" spans="1:9" ht="15.9" customHeight="1">
      <c r="A30" s="433"/>
      <c r="B30" s="206"/>
      <c r="C30" s="234"/>
      <c r="D30" s="234"/>
      <c r="E30" s="234"/>
      <c r="F30" s="236"/>
      <c r="G30" s="236"/>
      <c r="H30" s="165">
        <f t="shared" si="0"/>
        <v>0</v>
      </c>
      <c r="I30" s="238"/>
    </row>
    <row r="31" spans="1:9" ht="15.9" customHeight="1">
      <c r="A31" s="433"/>
      <c r="B31" s="206"/>
      <c r="C31" s="234"/>
      <c r="D31" s="234"/>
      <c r="E31" s="234"/>
      <c r="F31" s="236"/>
      <c r="G31" s="236"/>
      <c r="H31" s="165">
        <f t="shared" si="0"/>
        <v>0</v>
      </c>
      <c r="I31" s="238"/>
    </row>
    <row r="32" spans="1:9" ht="15.9" customHeight="1">
      <c r="A32" s="433"/>
      <c r="B32" s="206"/>
      <c r="C32" s="234"/>
      <c r="D32" s="234"/>
      <c r="E32" s="234"/>
      <c r="F32" s="236"/>
      <c r="G32" s="236"/>
      <c r="H32" s="165">
        <f t="shared" si="0"/>
        <v>0</v>
      </c>
      <c r="I32" s="238"/>
    </row>
    <row r="33" spans="1:9" ht="15.9" customHeight="1">
      <c r="A33" s="433"/>
      <c r="B33" s="206"/>
      <c r="C33" s="217"/>
      <c r="D33" s="217"/>
      <c r="E33" s="217"/>
      <c r="F33" s="220"/>
      <c r="G33" s="220"/>
      <c r="H33" s="165">
        <f t="shared" si="0"/>
        <v>0</v>
      </c>
      <c r="I33" s="42"/>
    </row>
    <row r="34" spans="1:9" ht="15.9" customHeight="1">
      <c r="A34" s="433"/>
      <c r="B34" s="221"/>
      <c r="C34" s="222"/>
      <c r="D34" s="223"/>
      <c r="E34" s="223"/>
      <c r="F34" s="291"/>
      <c r="G34" s="225"/>
      <c r="H34" s="49">
        <f>SUM(H24:H33)</f>
        <v>0</v>
      </c>
      <c r="I34" s="46"/>
    </row>
    <row r="35" spans="1:9" ht="15.9" customHeight="1">
      <c r="A35" s="433"/>
      <c r="B35" s="245" t="s">
        <v>149</v>
      </c>
      <c r="C35" s="305"/>
      <c r="D35" s="299"/>
      <c r="E35" s="300"/>
      <c r="F35" s="301"/>
      <c r="G35" s="301"/>
      <c r="H35" s="231">
        <f t="shared" si="0"/>
        <v>0</v>
      </c>
      <c r="I35" s="232"/>
    </row>
    <row r="36" spans="1:9" ht="15.9" customHeight="1">
      <c r="A36" s="433"/>
      <c r="B36" s="206" t="s">
        <v>150</v>
      </c>
      <c r="C36" s="213"/>
      <c r="D36" s="213"/>
      <c r="E36" s="214"/>
      <c r="F36" s="216"/>
      <c r="G36" s="216"/>
      <c r="H36" s="165">
        <f t="shared" si="0"/>
        <v>0</v>
      </c>
      <c r="I36" s="39"/>
    </row>
    <row r="37" spans="1:9" ht="15.9" customHeight="1">
      <c r="A37" s="433"/>
      <c r="B37" s="206"/>
      <c r="C37" s="213"/>
      <c r="D37" s="213"/>
      <c r="E37" s="214"/>
      <c r="F37" s="216"/>
      <c r="G37" s="216"/>
      <c r="H37" s="165">
        <f t="shared" si="0"/>
        <v>0</v>
      </c>
      <c r="I37" s="39"/>
    </row>
    <row r="38" spans="1:9" ht="15.9" customHeight="1">
      <c r="A38" s="433"/>
      <c r="B38" s="206"/>
      <c r="C38" s="213"/>
      <c r="D38" s="213"/>
      <c r="E38" s="214"/>
      <c r="F38" s="216"/>
      <c r="G38" s="216"/>
      <c r="H38" s="165">
        <f t="shared" si="0"/>
        <v>0</v>
      </c>
      <c r="I38" s="39"/>
    </row>
    <row r="39" spans="1:9" ht="15.9" customHeight="1">
      <c r="A39" s="433"/>
      <c r="B39" s="206"/>
      <c r="C39" s="213"/>
      <c r="D39" s="213"/>
      <c r="E39" s="214"/>
      <c r="F39" s="216"/>
      <c r="G39" s="216"/>
      <c r="H39" s="165">
        <f t="shared" si="0"/>
        <v>0</v>
      </c>
      <c r="I39" s="39"/>
    </row>
    <row r="40" spans="1:9" ht="15.9" customHeight="1">
      <c r="A40" s="433"/>
      <c r="B40" s="206"/>
      <c r="C40" s="213"/>
      <c r="D40" s="213"/>
      <c r="E40" s="214"/>
      <c r="F40" s="216"/>
      <c r="G40" s="216"/>
      <c r="H40" s="165">
        <f t="shared" si="0"/>
        <v>0</v>
      </c>
      <c r="I40" s="39"/>
    </row>
    <row r="41" spans="1:9" ht="15.9" customHeight="1">
      <c r="A41" s="433"/>
      <c r="B41" s="206"/>
      <c r="C41" s="213"/>
      <c r="D41" s="213"/>
      <c r="E41" s="214"/>
      <c r="F41" s="216"/>
      <c r="G41" s="216"/>
      <c r="H41" s="165">
        <f t="shared" si="0"/>
        <v>0</v>
      </c>
      <c r="I41" s="39"/>
    </row>
    <row r="42" spans="1:9" ht="15.9" customHeight="1">
      <c r="A42" s="433"/>
      <c r="B42" s="206"/>
      <c r="C42" s="213"/>
      <c r="D42" s="213"/>
      <c r="E42" s="214"/>
      <c r="F42" s="216"/>
      <c r="G42" s="216"/>
      <c r="H42" s="165">
        <f t="shared" si="0"/>
        <v>0</v>
      </c>
      <c r="I42" s="39"/>
    </row>
    <row r="43" spans="1:9" ht="15.9" customHeight="1">
      <c r="A43" s="433"/>
      <c r="B43" s="206"/>
      <c r="C43" s="213"/>
      <c r="D43" s="213"/>
      <c r="E43" s="214"/>
      <c r="F43" s="216"/>
      <c r="G43" s="216"/>
      <c r="H43" s="165">
        <f t="shared" si="0"/>
        <v>0</v>
      </c>
      <c r="I43" s="39"/>
    </row>
    <row r="44" spans="1:9" ht="15.9" customHeight="1">
      <c r="A44" s="433"/>
      <c r="B44" s="206"/>
      <c r="C44" s="213"/>
      <c r="D44" s="213"/>
      <c r="E44" s="214"/>
      <c r="F44" s="216"/>
      <c r="G44" s="216"/>
      <c r="H44" s="165">
        <f t="shared" si="0"/>
        <v>0</v>
      </c>
      <c r="I44" s="39"/>
    </row>
    <row r="45" spans="1:9" ht="15.9" customHeight="1">
      <c r="A45" s="433"/>
      <c r="B45" s="206"/>
      <c r="C45" s="213"/>
      <c r="D45" s="213"/>
      <c r="E45" s="214"/>
      <c r="F45" s="216"/>
      <c r="G45" s="216"/>
      <c r="H45" s="165">
        <f t="shared" si="0"/>
        <v>0</v>
      </c>
      <c r="I45" s="39"/>
    </row>
    <row r="46" spans="1:9" ht="15.9" customHeight="1">
      <c r="A46" s="433"/>
      <c r="B46" s="206"/>
      <c r="C46" s="213"/>
      <c r="D46" s="213"/>
      <c r="E46" s="214"/>
      <c r="F46" s="216"/>
      <c r="G46" s="216"/>
      <c r="H46" s="165">
        <f t="shared" si="0"/>
        <v>0</v>
      </c>
      <c r="I46" s="39"/>
    </row>
    <row r="47" spans="1:9" ht="15.9" customHeight="1">
      <c r="A47" s="433"/>
      <c r="B47" s="206"/>
      <c r="C47" s="213"/>
      <c r="D47" s="213"/>
      <c r="E47" s="214"/>
      <c r="F47" s="216"/>
      <c r="G47" s="216"/>
      <c r="H47" s="165">
        <f t="shared" si="0"/>
        <v>0</v>
      </c>
      <c r="I47" s="39"/>
    </row>
    <row r="48" spans="1:9" ht="15.9" customHeight="1">
      <c r="A48" s="433"/>
      <c r="B48" s="206"/>
      <c r="C48" s="213"/>
      <c r="D48" s="213"/>
      <c r="E48" s="214"/>
      <c r="F48" s="216"/>
      <c r="G48" s="216"/>
      <c r="H48" s="165">
        <f t="shared" si="0"/>
        <v>0</v>
      </c>
      <c r="I48" s="39"/>
    </row>
    <row r="49" spans="1:9" ht="15.9" customHeight="1">
      <c r="A49" s="433"/>
      <c r="B49" s="206"/>
      <c r="C49" s="213"/>
      <c r="D49" s="213"/>
      <c r="E49" s="214"/>
      <c r="F49" s="216"/>
      <c r="G49" s="216"/>
      <c r="H49" s="165">
        <f t="shared" si="0"/>
        <v>0</v>
      </c>
      <c r="I49" s="39"/>
    </row>
    <row r="50" spans="1:9" ht="15.9" customHeight="1">
      <c r="A50" s="433"/>
      <c r="B50" s="206"/>
      <c r="C50" s="213"/>
      <c r="D50" s="213"/>
      <c r="E50" s="214"/>
      <c r="F50" s="216"/>
      <c r="G50" s="216"/>
      <c r="H50" s="165">
        <f t="shared" si="0"/>
        <v>0</v>
      </c>
      <c r="I50" s="39"/>
    </row>
    <row r="51" spans="1:9" ht="15.9" customHeight="1">
      <c r="A51" s="433"/>
      <c r="B51" s="206"/>
      <c r="C51" s="213"/>
      <c r="D51" s="213"/>
      <c r="E51" s="214"/>
      <c r="F51" s="216"/>
      <c r="G51" s="216"/>
      <c r="H51" s="165">
        <f t="shared" si="0"/>
        <v>0</v>
      </c>
      <c r="I51" s="39"/>
    </row>
    <row r="52" spans="1:9" ht="15.9" customHeight="1">
      <c r="A52" s="433"/>
      <c r="B52" s="206"/>
      <c r="C52" s="213"/>
      <c r="D52" s="213"/>
      <c r="E52" s="214"/>
      <c r="F52" s="216"/>
      <c r="G52" s="216"/>
      <c r="H52" s="165">
        <f t="shared" si="0"/>
        <v>0</v>
      </c>
      <c r="I52" s="39"/>
    </row>
    <row r="53" spans="1:9" ht="15.9" customHeight="1">
      <c r="A53" s="433"/>
      <c r="B53" s="206"/>
      <c r="C53" s="213"/>
      <c r="D53" s="213"/>
      <c r="E53" s="214"/>
      <c r="F53" s="216"/>
      <c r="G53" s="216"/>
      <c r="H53" s="165">
        <f t="shared" si="0"/>
        <v>0</v>
      </c>
      <c r="I53" s="39"/>
    </row>
    <row r="54" spans="1:9" ht="15.9" customHeight="1">
      <c r="A54" s="433"/>
      <c r="B54" s="206"/>
      <c r="C54" s="217"/>
      <c r="D54" s="218"/>
      <c r="E54" s="218"/>
      <c r="F54" s="219"/>
      <c r="G54" s="220"/>
      <c r="H54" s="175">
        <f t="shared" si="0"/>
        <v>0</v>
      </c>
      <c r="I54" s="42"/>
    </row>
    <row r="55" spans="1:9" ht="15.9" customHeight="1">
      <c r="A55" s="433"/>
      <c r="B55" s="221"/>
      <c r="C55" s="222"/>
      <c r="D55" s="223"/>
      <c r="E55" s="223"/>
      <c r="F55" s="225"/>
      <c r="G55" s="225"/>
      <c r="H55" s="49">
        <f>SUM(H35:H54)</f>
        <v>0</v>
      </c>
      <c r="I55" s="46"/>
    </row>
    <row r="56" spans="1:9" ht="15.9" customHeight="1">
      <c r="A56" s="433"/>
      <c r="B56" s="245" t="s">
        <v>51</v>
      </c>
      <c r="C56" s="213"/>
      <c r="D56" s="272"/>
      <c r="E56" s="272"/>
      <c r="F56" s="273"/>
      <c r="G56" s="216"/>
      <c r="H56" s="231">
        <f t="shared" si="0"/>
        <v>0</v>
      </c>
      <c r="I56" s="232"/>
    </row>
    <row r="57" spans="1:9" ht="15.9" customHeight="1">
      <c r="A57" s="433"/>
      <c r="B57" s="206"/>
      <c r="C57" s="213"/>
      <c r="D57" s="302"/>
      <c r="E57" s="272"/>
      <c r="F57" s="273"/>
      <c r="G57" s="216"/>
      <c r="H57" s="165">
        <f t="shared" si="0"/>
        <v>0</v>
      </c>
      <c r="I57" s="39"/>
    </row>
    <row r="58" spans="1:9" ht="15.9" customHeight="1">
      <c r="A58" s="433"/>
      <c r="B58" s="206"/>
      <c r="C58" s="213"/>
      <c r="D58" s="272"/>
      <c r="E58" s="272"/>
      <c r="F58" s="273"/>
      <c r="G58" s="216"/>
      <c r="H58" s="165">
        <f t="shared" si="0"/>
        <v>0</v>
      </c>
      <c r="I58" s="39"/>
    </row>
    <row r="59" spans="1:9" ht="15.9" customHeight="1">
      <c r="A59" s="433"/>
      <c r="B59" s="206"/>
      <c r="C59" s="213"/>
      <c r="D59" s="213"/>
      <c r="E59" s="213"/>
      <c r="F59" s="216"/>
      <c r="G59" s="216"/>
      <c r="H59" s="165">
        <f t="shared" si="0"/>
        <v>0</v>
      </c>
      <c r="I59" s="39"/>
    </row>
    <row r="60" spans="1:9" ht="15.9" customHeight="1">
      <c r="A60" s="433"/>
      <c r="B60" s="206"/>
      <c r="C60" s="213"/>
      <c r="D60" s="213"/>
      <c r="E60" s="213"/>
      <c r="F60" s="216"/>
      <c r="G60" s="216"/>
      <c r="H60" s="165">
        <f t="shared" si="0"/>
        <v>0</v>
      </c>
      <c r="I60" s="39"/>
    </row>
    <row r="61" spans="1:9" ht="15.9" customHeight="1">
      <c r="A61" s="433"/>
      <c r="B61" s="206"/>
      <c r="C61" s="213"/>
      <c r="D61" s="213"/>
      <c r="E61" s="213"/>
      <c r="F61" s="216"/>
      <c r="G61" s="216"/>
      <c r="H61" s="165">
        <f t="shared" si="0"/>
        <v>0</v>
      </c>
      <c r="I61" s="39"/>
    </row>
    <row r="62" spans="1:9" ht="15.9" customHeight="1">
      <c r="A62" s="433"/>
      <c r="B62" s="206"/>
      <c r="C62" s="234"/>
      <c r="D62" s="234"/>
      <c r="E62" s="234"/>
      <c r="F62" s="236"/>
      <c r="G62" s="236"/>
      <c r="H62" s="165">
        <f t="shared" si="0"/>
        <v>0</v>
      </c>
      <c r="I62" s="238"/>
    </row>
    <row r="63" spans="1:9" ht="15.9" customHeight="1">
      <c r="A63" s="433"/>
      <c r="B63" s="206"/>
      <c r="C63" s="234"/>
      <c r="D63" s="234"/>
      <c r="E63" s="234"/>
      <c r="F63" s="236"/>
      <c r="G63" s="236"/>
      <c r="H63" s="165">
        <f t="shared" si="0"/>
        <v>0</v>
      </c>
      <c r="I63" s="238"/>
    </row>
    <row r="64" spans="1:9" ht="15.9" customHeight="1">
      <c r="A64" s="433"/>
      <c r="B64" s="206"/>
      <c r="C64" s="234"/>
      <c r="D64" s="234"/>
      <c r="E64" s="234"/>
      <c r="F64" s="236"/>
      <c r="G64" s="236"/>
      <c r="H64" s="165">
        <f t="shared" si="0"/>
        <v>0</v>
      </c>
      <c r="I64" s="238"/>
    </row>
    <row r="65" spans="1:9" ht="15.9" customHeight="1">
      <c r="A65" s="433"/>
      <c r="B65" s="206"/>
      <c r="C65" s="234"/>
      <c r="D65" s="234"/>
      <c r="E65" s="234"/>
      <c r="F65" s="236"/>
      <c r="G65" s="236"/>
      <c r="H65" s="165">
        <f t="shared" si="0"/>
        <v>0</v>
      </c>
      <c r="I65" s="238"/>
    </row>
    <row r="66" spans="1:9" ht="15.9" customHeight="1">
      <c r="A66" s="433"/>
      <c r="B66" s="206"/>
      <c r="C66" s="234"/>
      <c r="D66" s="234"/>
      <c r="E66" s="234"/>
      <c r="F66" s="236"/>
      <c r="G66" s="236"/>
      <c r="H66" s="165">
        <f t="shared" si="0"/>
        <v>0</v>
      </c>
      <c r="I66" s="238"/>
    </row>
    <row r="67" spans="1:9" ht="15.9" customHeight="1">
      <c r="A67" s="433"/>
      <c r="B67" s="206"/>
      <c r="C67" s="234"/>
      <c r="D67" s="234"/>
      <c r="E67" s="234"/>
      <c r="F67" s="236"/>
      <c r="G67" s="236"/>
      <c r="H67" s="165">
        <f t="shared" si="0"/>
        <v>0</v>
      </c>
      <c r="I67" s="238"/>
    </row>
    <row r="68" spans="1:9" ht="15.9" customHeight="1">
      <c r="A68" s="433"/>
      <c r="B68" s="206"/>
      <c r="C68" s="234"/>
      <c r="D68" s="234"/>
      <c r="E68" s="234"/>
      <c r="F68" s="236"/>
      <c r="G68" s="236"/>
      <c r="H68" s="165">
        <f t="shared" si="0"/>
        <v>0</v>
      </c>
      <c r="I68" s="238"/>
    </row>
    <row r="69" spans="1:9" ht="15.9" customHeight="1">
      <c r="A69" s="433"/>
      <c r="B69" s="206"/>
      <c r="C69" s="234"/>
      <c r="D69" s="234"/>
      <c r="E69" s="234"/>
      <c r="F69" s="236"/>
      <c r="G69" s="236"/>
      <c r="H69" s="165">
        <f t="shared" ref="H69:H129" si="1">IF(F69=0,G69,G69*F69)</f>
        <v>0</v>
      </c>
      <c r="I69" s="238"/>
    </row>
    <row r="70" spans="1:9" ht="15.9" customHeight="1">
      <c r="A70" s="433"/>
      <c r="B70" s="206"/>
      <c r="C70" s="234"/>
      <c r="D70" s="234"/>
      <c r="E70" s="234"/>
      <c r="F70" s="236"/>
      <c r="G70" s="236"/>
      <c r="H70" s="165">
        <f t="shared" si="1"/>
        <v>0</v>
      </c>
      <c r="I70" s="238"/>
    </row>
    <row r="71" spans="1:9" ht="15.9" customHeight="1">
      <c r="A71" s="433"/>
      <c r="B71" s="206"/>
      <c r="C71" s="234"/>
      <c r="D71" s="234"/>
      <c r="E71" s="234"/>
      <c r="F71" s="236"/>
      <c r="G71" s="236"/>
      <c r="H71" s="165">
        <f t="shared" si="1"/>
        <v>0</v>
      </c>
      <c r="I71" s="238"/>
    </row>
    <row r="72" spans="1:9" ht="15.9" customHeight="1">
      <c r="A72" s="433"/>
      <c r="B72" s="206"/>
      <c r="C72" s="234"/>
      <c r="D72" s="234"/>
      <c r="E72" s="234"/>
      <c r="F72" s="236"/>
      <c r="G72" s="236"/>
      <c r="H72" s="165">
        <f t="shared" si="1"/>
        <v>0</v>
      </c>
      <c r="I72" s="238"/>
    </row>
    <row r="73" spans="1:9" ht="15.9" customHeight="1">
      <c r="A73" s="433"/>
      <c r="B73" s="206"/>
      <c r="C73" s="234"/>
      <c r="D73" s="234"/>
      <c r="E73" s="234"/>
      <c r="F73" s="236"/>
      <c r="G73" s="236"/>
      <c r="H73" s="165">
        <f t="shared" si="1"/>
        <v>0</v>
      </c>
      <c r="I73" s="238"/>
    </row>
    <row r="74" spans="1:9" ht="15.9" customHeight="1">
      <c r="A74" s="433"/>
      <c r="B74" s="206"/>
      <c r="C74" s="234"/>
      <c r="D74" s="234"/>
      <c r="E74" s="234"/>
      <c r="F74" s="236"/>
      <c r="G74" s="236"/>
      <c r="H74" s="165">
        <f t="shared" si="1"/>
        <v>0</v>
      </c>
      <c r="I74" s="238"/>
    </row>
    <row r="75" spans="1:9" ht="15.9" customHeight="1">
      <c r="A75" s="433"/>
      <c r="B75" s="206"/>
      <c r="C75" s="217"/>
      <c r="D75" s="217"/>
      <c r="E75" s="217"/>
      <c r="F75" s="220"/>
      <c r="G75" s="220"/>
      <c r="H75" s="175">
        <f t="shared" si="1"/>
        <v>0</v>
      </c>
      <c r="I75" s="42"/>
    </row>
    <row r="76" spans="1:9" ht="15.9" customHeight="1">
      <c r="A76" s="433"/>
      <c r="B76" s="221"/>
      <c r="C76" s="222"/>
      <c r="D76" s="223"/>
      <c r="E76" s="223"/>
      <c r="F76" s="225"/>
      <c r="G76" s="225"/>
      <c r="H76" s="49">
        <f>SUM(H56:H75)</f>
        <v>0</v>
      </c>
      <c r="I76" s="46"/>
    </row>
    <row r="77" spans="1:9" ht="15.9" customHeight="1">
      <c r="A77" s="246"/>
      <c r="B77" s="247" t="s">
        <v>131</v>
      </c>
      <c r="C77" s="248"/>
      <c r="D77" s="46"/>
      <c r="E77" s="46"/>
      <c r="F77" s="250"/>
      <c r="G77" s="250"/>
      <c r="H77" s="49">
        <f>SUM(H76,H55,H34,H23)</f>
        <v>0</v>
      </c>
      <c r="I77" s="46"/>
    </row>
    <row r="78" spans="1:9" ht="15.9" customHeight="1">
      <c r="A78" s="429" t="s">
        <v>132</v>
      </c>
      <c r="B78" s="251" t="s">
        <v>57</v>
      </c>
      <c r="C78" s="248"/>
      <c r="D78" s="46"/>
      <c r="E78" s="251" t="s">
        <v>58</v>
      </c>
      <c r="F78" s="265"/>
      <c r="G78" s="254"/>
      <c r="H78" s="255">
        <f>F78*G78</f>
        <v>0</v>
      </c>
      <c r="I78" s="46"/>
    </row>
    <row r="79" spans="1:9" ht="15.9" customHeight="1">
      <c r="A79" s="433"/>
      <c r="B79" s="256" t="s">
        <v>152</v>
      </c>
      <c r="C79" s="257"/>
      <c r="D79" s="232"/>
      <c r="E79" s="256" t="s">
        <v>134</v>
      </c>
      <c r="F79" s="230"/>
      <c r="G79" s="230"/>
      <c r="H79" s="231">
        <f t="shared" ref="H79:H85" si="2">F79*G79</f>
        <v>0</v>
      </c>
      <c r="I79" s="232"/>
    </row>
    <row r="80" spans="1:9" ht="15.9" customHeight="1">
      <c r="A80" s="433"/>
      <c r="B80" s="258" t="s">
        <v>153</v>
      </c>
      <c r="C80" s="259"/>
      <c r="D80" s="39"/>
      <c r="E80" s="258" t="s">
        <v>134</v>
      </c>
      <c r="F80" s="303"/>
      <c r="G80" s="216"/>
      <c r="H80" s="165">
        <f t="shared" si="2"/>
        <v>0</v>
      </c>
      <c r="I80" s="39"/>
    </row>
    <row r="81" spans="1:9" ht="15.9" customHeight="1">
      <c r="A81" s="433"/>
      <c r="B81" s="258" t="s">
        <v>154</v>
      </c>
      <c r="C81" s="259"/>
      <c r="D81" s="39"/>
      <c r="E81" s="258" t="s">
        <v>134</v>
      </c>
      <c r="F81" s="303"/>
      <c r="G81" s="216"/>
      <c r="H81" s="165">
        <f t="shared" si="2"/>
        <v>0</v>
      </c>
      <c r="I81" s="39"/>
    </row>
    <row r="82" spans="1:9" ht="15.9" customHeight="1">
      <c r="A82" s="433"/>
      <c r="B82" s="258" t="s">
        <v>155</v>
      </c>
      <c r="C82" s="259"/>
      <c r="D82" s="39"/>
      <c r="E82" s="258" t="s">
        <v>134</v>
      </c>
      <c r="F82" s="303"/>
      <c r="G82" s="216"/>
      <c r="H82" s="165">
        <f t="shared" si="2"/>
        <v>0</v>
      </c>
      <c r="I82" s="39"/>
    </row>
    <row r="83" spans="1:9" ht="15.9" customHeight="1">
      <c r="A83" s="433"/>
      <c r="B83" s="258" t="s">
        <v>156</v>
      </c>
      <c r="C83" s="259"/>
      <c r="D83" s="39"/>
      <c r="E83" s="258" t="s">
        <v>134</v>
      </c>
      <c r="F83" s="303"/>
      <c r="G83" s="216"/>
      <c r="H83" s="165">
        <f t="shared" si="2"/>
        <v>0</v>
      </c>
      <c r="I83" s="39"/>
    </row>
    <row r="84" spans="1:9" ht="15.9" customHeight="1">
      <c r="A84" s="433"/>
      <c r="B84" s="258" t="s">
        <v>157</v>
      </c>
      <c r="C84" s="259"/>
      <c r="D84" s="39"/>
      <c r="E84" s="258" t="s">
        <v>134</v>
      </c>
      <c r="F84" s="303"/>
      <c r="G84" s="216"/>
      <c r="H84" s="165">
        <f t="shared" si="2"/>
        <v>0</v>
      </c>
      <c r="I84" s="39"/>
    </row>
    <row r="85" spans="1:9" ht="15.9" customHeight="1">
      <c r="A85" s="433"/>
      <c r="B85" s="260" t="s">
        <v>162</v>
      </c>
      <c r="C85" s="261" t="s">
        <v>163</v>
      </c>
      <c r="D85" s="42"/>
      <c r="E85" s="260" t="s">
        <v>134</v>
      </c>
      <c r="F85" s="304"/>
      <c r="G85" s="220"/>
      <c r="H85" s="175">
        <f t="shared" si="2"/>
        <v>0</v>
      </c>
      <c r="I85" s="42"/>
    </row>
    <row r="86" spans="1:9" ht="15.9" customHeight="1">
      <c r="A86" s="246"/>
      <c r="B86" s="262" t="s">
        <v>140</v>
      </c>
      <c r="C86" s="248"/>
      <c r="D86" s="46"/>
      <c r="E86" s="46"/>
      <c r="F86" s="225"/>
      <c r="G86" s="225"/>
      <c r="H86" s="225">
        <f>SUM(H78:H85)</f>
        <v>0</v>
      </c>
      <c r="I86" s="223"/>
    </row>
    <row r="87" spans="1:9" ht="15.9" customHeight="1">
      <c r="A87" s="252"/>
      <c r="B87" s="262" t="s">
        <v>159</v>
      </c>
      <c r="C87" s="248"/>
      <c r="D87" s="46"/>
      <c r="E87" s="46"/>
      <c r="F87" s="49"/>
      <c r="G87" s="49"/>
      <c r="H87" s="250">
        <f>'단위공사별(집계)'!L10+'단위공사별(집계)'!I10</f>
        <v>34690568.297529213</v>
      </c>
      <c r="I87" s="46"/>
    </row>
    <row r="88" spans="1:9" ht="15.9" customHeight="1">
      <c r="A88" s="252"/>
      <c r="B88" s="262" t="s">
        <v>83</v>
      </c>
      <c r="C88" s="248"/>
      <c r="D88" s="46"/>
      <c r="E88" s="46"/>
      <c r="F88" s="49"/>
      <c r="G88" s="264"/>
      <c r="H88" s="265">
        <f>(H86+H77)*0.05</f>
        <v>0</v>
      </c>
      <c r="I88" s="248"/>
    </row>
    <row r="89" spans="1:9" ht="15.9" customHeight="1">
      <c r="A89" s="252"/>
      <c r="B89" s="262" t="s">
        <v>143</v>
      </c>
      <c r="C89" s="248"/>
      <c r="D89" s="46"/>
      <c r="E89" s="46"/>
      <c r="F89" s="49"/>
      <c r="G89" s="264"/>
      <c r="H89" s="265">
        <f>(H86+H77)*0.1</f>
        <v>0</v>
      </c>
      <c r="I89" s="248"/>
    </row>
    <row r="90" spans="1:9" ht="15.9" customHeight="1">
      <c r="A90" s="252"/>
      <c r="B90" s="262" t="s">
        <v>144</v>
      </c>
      <c r="C90" s="248"/>
      <c r="D90" s="46"/>
      <c r="E90" s="46"/>
      <c r="F90" s="49"/>
      <c r="G90" s="49"/>
      <c r="H90" s="225">
        <f>H77+H86+H87+H88+H89</f>
        <v>34690568.297529213</v>
      </c>
      <c r="I90" s="46"/>
    </row>
    <row r="91" spans="1:9">
      <c r="A91" s="26"/>
    </row>
  </sheetData>
  <mergeCells count="3">
    <mergeCell ref="A2:B2"/>
    <mergeCell ref="A3:A76"/>
    <mergeCell ref="A78:A8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손철호 책임매니저 통합구매팀 son@hyundai-wia.com 2026-07-07T14:05:14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196D6-E9DC-4295-B280-88EE67E63372}">
  <sheetPr>
    <tabColor rgb="FF00B050"/>
    <pageSetUpPr fitToPage="1"/>
  </sheetPr>
  <dimension ref="A1:I92"/>
  <sheetViews>
    <sheetView zoomScale="85" workbookViewId="0">
      <pane xSplit="2" ySplit="2" topLeftCell="C3" activePane="bottomRight" state="frozen"/>
      <selection activeCell="F18" sqref="F18:F27"/>
      <selection pane="topRight" activeCell="F18" sqref="F18:F27"/>
      <selection pane="bottomLeft" activeCell="F18" sqref="F18:F27"/>
      <selection pane="bottomRight" activeCell="F18" sqref="F18:F27"/>
    </sheetView>
  </sheetViews>
  <sheetFormatPr defaultColWidth="9" defaultRowHeight="14.4"/>
  <cols>
    <col min="1" max="1" width="5" style="24" customWidth="1"/>
    <col min="2" max="2" width="17.8984375" style="24" bestFit="1" customWidth="1"/>
    <col min="3" max="3" width="23.59765625" style="24" customWidth="1"/>
    <col min="4" max="4" width="18.19921875" style="24" customWidth="1"/>
    <col min="5" max="5" width="5.19921875" style="24" bestFit="1" customWidth="1"/>
    <col min="6" max="6" width="9" style="48"/>
    <col min="7" max="7" width="11.8984375" style="48" customWidth="1"/>
    <col min="8" max="8" width="13.59765625" style="48" customWidth="1"/>
    <col min="9" max="9" width="12.69921875" style="24" customWidth="1"/>
    <col min="10" max="256" width="9" style="24"/>
    <col min="257" max="257" width="5" style="24" customWidth="1"/>
    <col min="258" max="258" width="17.8984375" style="24" bestFit="1" customWidth="1"/>
    <col min="259" max="259" width="23.59765625" style="24" customWidth="1"/>
    <col min="260" max="260" width="18.19921875" style="24" customWidth="1"/>
    <col min="261" max="261" width="5.19921875" style="24" bestFit="1" customWidth="1"/>
    <col min="262" max="262" width="9" style="24"/>
    <col min="263" max="263" width="11.8984375" style="24" customWidth="1"/>
    <col min="264" max="264" width="13.59765625" style="24" customWidth="1"/>
    <col min="265" max="265" width="12.69921875" style="24" customWidth="1"/>
    <col min="266" max="512" width="9" style="24"/>
    <col min="513" max="513" width="5" style="24" customWidth="1"/>
    <col min="514" max="514" width="17.8984375" style="24" bestFit="1" customWidth="1"/>
    <col min="515" max="515" width="23.59765625" style="24" customWidth="1"/>
    <col min="516" max="516" width="18.19921875" style="24" customWidth="1"/>
    <col min="517" max="517" width="5.19921875" style="24" bestFit="1" customWidth="1"/>
    <col min="518" max="518" width="9" style="24"/>
    <col min="519" max="519" width="11.8984375" style="24" customWidth="1"/>
    <col min="520" max="520" width="13.59765625" style="24" customWidth="1"/>
    <col min="521" max="521" width="12.69921875" style="24" customWidth="1"/>
    <col min="522" max="768" width="9" style="24"/>
    <col min="769" max="769" width="5" style="24" customWidth="1"/>
    <col min="770" max="770" width="17.8984375" style="24" bestFit="1" customWidth="1"/>
    <col min="771" max="771" width="23.59765625" style="24" customWidth="1"/>
    <col min="772" max="772" width="18.19921875" style="24" customWidth="1"/>
    <col min="773" max="773" width="5.19921875" style="24" bestFit="1" customWidth="1"/>
    <col min="774" max="774" width="9" style="24"/>
    <col min="775" max="775" width="11.8984375" style="24" customWidth="1"/>
    <col min="776" max="776" width="13.59765625" style="24" customWidth="1"/>
    <col min="777" max="777" width="12.69921875" style="24" customWidth="1"/>
    <col min="778" max="1024" width="9" style="24"/>
    <col min="1025" max="1025" width="5" style="24" customWidth="1"/>
    <col min="1026" max="1026" width="17.8984375" style="24" bestFit="1" customWidth="1"/>
    <col min="1027" max="1027" width="23.59765625" style="24" customWidth="1"/>
    <col min="1028" max="1028" width="18.19921875" style="24" customWidth="1"/>
    <col min="1029" max="1029" width="5.19921875" style="24" bestFit="1" customWidth="1"/>
    <col min="1030" max="1030" width="9" style="24"/>
    <col min="1031" max="1031" width="11.8984375" style="24" customWidth="1"/>
    <col min="1032" max="1032" width="13.59765625" style="24" customWidth="1"/>
    <col min="1033" max="1033" width="12.69921875" style="24" customWidth="1"/>
    <col min="1034" max="1280" width="9" style="24"/>
    <col min="1281" max="1281" width="5" style="24" customWidth="1"/>
    <col min="1282" max="1282" width="17.8984375" style="24" bestFit="1" customWidth="1"/>
    <col min="1283" max="1283" width="23.59765625" style="24" customWidth="1"/>
    <col min="1284" max="1284" width="18.19921875" style="24" customWidth="1"/>
    <col min="1285" max="1285" width="5.19921875" style="24" bestFit="1" customWidth="1"/>
    <col min="1286" max="1286" width="9" style="24"/>
    <col min="1287" max="1287" width="11.8984375" style="24" customWidth="1"/>
    <col min="1288" max="1288" width="13.59765625" style="24" customWidth="1"/>
    <col min="1289" max="1289" width="12.69921875" style="24" customWidth="1"/>
    <col min="1290" max="1536" width="9" style="24"/>
    <col min="1537" max="1537" width="5" style="24" customWidth="1"/>
    <col min="1538" max="1538" width="17.8984375" style="24" bestFit="1" customWidth="1"/>
    <col min="1539" max="1539" width="23.59765625" style="24" customWidth="1"/>
    <col min="1540" max="1540" width="18.19921875" style="24" customWidth="1"/>
    <col min="1541" max="1541" width="5.19921875" style="24" bestFit="1" customWidth="1"/>
    <col min="1542" max="1542" width="9" style="24"/>
    <col min="1543" max="1543" width="11.8984375" style="24" customWidth="1"/>
    <col min="1544" max="1544" width="13.59765625" style="24" customWidth="1"/>
    <col min="1545" max="1545" width="12.69921875" style="24" customWidth="1"/>
    <col min="1546" max="1792" width="9" style="24"/>
    <col min="1793" max="1793" width="5" style="24" customWidth="1"/>
    <col min="1794" max="1794" width="17.8984375" style="24" bestFit="1" customWidth="1"/>
    <col min="1795" max="1795" width="23.59765625" style="24" customWidth="1"/>
    <col min="1796" max="1796" width="18.19921875" style="24" customWidth="1"/>
    <col min="1797" max="1797" width="5.19921875" style="24" bestFit="1" customWidth="1"/>
    <col min="1798" max="1798" width="9" style="24"/>
    <col min="1799" max="1799" width="11.8984375" style="24" customWidth="1"/>
    <col min="1800" max="1800" width="13.59765625" style="24" customWidth="1"/>
    <col min="1801" max="1801" width="12.69921875" style="24" customWidth="1"/>
    <col min="1802" max="2048" width="9" style="24"/>
    <col min="2049" max="2049" width="5" style="24" customWidth="1"/>
    <col min="2050" max="2050" width="17.8984375" style="24" bestFit="1" customWidth="1"/>
    <col min="2051" max="2051" width="23.59765625" style="24" customWidth="1"/>
    <col min="2052" max="2052" width="18.19921875" style="24" customWidth="1"/>
    <col min="2053" max="2053" width="5.19921875" style="24" bestFit="1" customWidth="1"/>
    <col min="2054" max="2054" width="9" style="24"/>
    <col min="2055" max="2055" width="11.8984375" style="24" customWidth="1"/>
    <col min="2056" max="2056" width="13.59765625" style="24" customWidth="1"/>
    <col min="2057" max="2057" width="12.69921875" style="24" customWidth="1"/>
    <col min="2058" max="2304" width="9" style="24"/>
    <col min="2305" max="2305" width="5" style="24" customWidth="1"/>
    <col min="2306" max="2306" width="17.8984375" style="24" bestFit="1" customWidth="1"/>
    <col min="2307" max="2307" width="23.59765625" style="24" customWidth="1"/>
    <col min="2308" max="2308" width="18.19921875" style="24" customWidth="1"/>
    <col min="2309" max="2309" width="5.19921875" style="24" bestFit="1" customWidth="1"/>
    <col min="2310" max="2310" width="9" style="24"/>
    <col min="2311" max="2311" width="11.8984375" style="24" customWidth="1"/>
    <col min="2312" max="2312" width="13.59765625" style="24" customWidth="1"/>
    <col min="2313" max="2313" width="12.69921875" style="24" customWidth="1"/>
    <col min="2314" max="2560" width="9" style="24"/>
    <col min="2561" max="2561" width="5" style="24" customWidth="1"/>
    <col min="2562" max="2562" width="17.8984375" style="24" bestFit="1" customWidth="1"/>
    <col min="2563" max="2563" width="23.59765625" style="24" customWidth="1"/>
    <col min="2564" max="2564" width="18.19921875" style="24" customWidth="1"/>
    <col min="2565" max="2565" width="5.19921875" style="24" bestFit="1" customWidth="1"/>
    <col min="2566" max="2566" width="9" style="24"/>
    <col min="2567" max="2567" width="11.8984375" style="24" customWidth="1"/>
    <col min="2568" max="2568" width="13.59765625" style="24" customWidth="1"/>
    <col min="2569" max="2569" width="12.69921875" style="24" customWidth="1"/>
    <col min="2570" max="2816" width="9" style="24"/>
    <col min="2817" max="2817" width="5" style="24" customWidth="1"/>
    <col min="2818" max="2818" width="17.8984375" style="24" bestFit="1" customWidth="1"/>
    <col min="2819" max="2819" width="23.59765625" style="24" customWidth="1"/>
    <col min="2820" max="2820" width="18.19921875" style="24" customWidth="1"/>
    <col min="2821" max="2821" width="5.19921875" style="24" bestFit="1" customWidth="1"/>
    <col min="2822" max="2822" width="9" style="24"/>
    <col min="2823" max="2823" width="11.8984375" style="24" customWidth="1"/>
    <col min="2824" max="2824" width="13.59765625" style="24" customWidth="1"/>
    <col min="2825" max="2825" width="12.69921875" style="24" customWidth="1"/>
    <col min="2826" max="3072" width="9" style="24"/>
    <col min="3073" max="3073" width="5" style="24" customWidth="1"/>
    <col min="3074" max="3074" width="17.8984375" style="24" bestFit="1" customWidth="1"/>
    <col min="3075" max="3075" width="23.59765625" style="24" customWidth="1"/>
    <col min="3076" max="3076" width="18.19921875" style="24" customWidth="1"/>
    <col min="3077" max="3077" width="5.19921875" style="24" bestFit="1" customWidth="1"/>
    <col min="3078" max="3078" width="9" style="24"/>
    <col min="3079" max="3079" width="11.8984375" style="24" customWidth="1"/>
    <col min="3080" max="3080" width="13.59765625" style="24" customWidth="1"/>
    <col min="3081" max="3081" width="12.69921875" style="24" customWidth="1"/>
    <col min="3082" max="3328" width="9" style="24"/>
    <col min="3329" max="3329" width="5" style="24" customWidth="1"/>
    <col min="3330" max="3330" width="17.8984375" style="24" bestFit="1" customWidth="1"/>
    <col min="3331" max="3331" width="23.59765625" style="24" customWidth="1"/>
    <col min="3332" max="3332" width="18.19921875" style="24" customWidth="1"/>
    <col min="3333" max="3333" width="5.19921875" style="24" bestFit="1" customWidth="1"/>
    <col min="3334" max="3334" width="9" style="24"/>
    <col min="3335" max="3335" width="11.8984375" style="24" customWidth="1"/>
    <col min="3336" max="3336" width="13.59765625" style="24" customWidth="1"/>
    <col min="3337" max="3337" width="12.69921875" style="24" customWidth="1"/>
    <col min="3338" max="3584" width="9" style="24"/>
    <col min="3585" max="3585" width="5" style="24" customWidth="1"/>
    <col min="3586" max="3586" width="17.8984375" style="24" bestFit="1" customWidth="1"/>
    <col min="3587" max="3587" width="23.59765625" style="24" customWidth="1"/>
    <col min="3588" max="3588" width="18.19921875" style="24" customWidth="1"/>
    <col min="3589" max="3589" width="5.19921875" style="24" bestFit="1" customWidth="1"/>
    <col min="3590" max="3590" width="9" style="24"/>
    <col min="3591" max="3591" width="11.8984375" style="24" customWidth="1"/>
    <col min="3592" max="3592" width="13.59765625" style="24" customWidth="1"/>
    <col min="3593" max="3593" width="12.69921875" style="24" customWidth="1"/>
    <col min="3594" max="3840" width="9" style="24"/>
    <col min="3841" max="3841" width="5" style="24" customWidth="1"/>
    <col min="3842" max="3842" width="17.8984375" style="24" bestFit="1" customWidth="1"/>
    <col min="3843" max="3843" width="23.59765625" style="24" customWidth="1"/>
    <col min="3844" max="3844" width="18.19921875" style="24" customWidth="1"/>
    <col min="3845" max="3845" width="5.19921875" style="24" bestFit="1" customWidth="1"/>
    <col min="3846" max="3846" width="9" style="24"/>
    <col min="3847" max="3847" width="11.8984375" style="24" customWidth="1"/>
    <col min="3848" max="3848" width="13.59765625" style="24" customWidth="1"/>
    <col min="3849" max="3849" width="12.69921875" style="24" customWidth="1"/>
    <col min="3850" max="4096" width="9" style="24"/>
    <col min="4097" max="4097" width="5" style="24" customWidth="1"/>
    <col min="4098" max="4098" width="17.8984375" style="24" bestFit="1" customWidth="1"/>
    <col min="4099" max="4099" width="23.59765625" style="24" customWidth="1"/>
    <col min="4100" max="4100" width="18.19921875" style="24" customWidth="1"/>
    <col min="4101" max="4101" width="5.19921875" style="24" bestFit="1" customWidth="1"/>
    <col min="4102" max="4102" width="9" style="24"/>
    <col min="4103" max="4103" width="11.8984375" style="24" customWidth="1"/>
    <col min="4104" max="4104" width="13.59765625" style="24" customWidth="1"/>
    <col min="4105" max="4105" width="12.69921875" style="24" customWidth="1"/>
    <col min="4106" max="4352" width="9" style="24"/>
    <col min="4353" max="4353" width="5" style="24" customWidth="1"/>
    <col min="4354" max="4354" width="17.8984375" style="24" bestFit="1" customWidth="1"/>
    <col min="4355" max="4355" width="23.59765625" style="24" customWidth="1"/>
    <col min="4356" max="4356" width="18.19921875" style="24" customWidth="1"/>
    <col min="4357" max="4357" width="5.19921875" style="24" bestFit="1" customWidth="1"/>
    <col min="4358" max="4358" width="9" style="24"/>
    <col min="4359" max="4359" width="11.8984375" style="24" customWidth="1"/>
    <col min="4360" max="4360" width="13.59765625" style="24" customWidth="1"/>
    <col min="4361" max="4361" width="12.69921875" style="24" customWidth="1"/>
    <col min="4362" max="4608" width="9" style="24"/>
    <col min="4609" max="4609" width="5" style="24" customWidth="1"/>
    <col min="4610" max="4610" width="17.8984375" style="24" bestFit="1" customWidth="1"/>
    <col min="4611" max="4611" width="23.59765625" style="24" customWidth="1"/>
    <col min="4612" max="4612" width="18.19921875" style="24" customWidth="1"/>
    <col min="4613" max="4613" width="5.19921875" style="24" bestFit="1" customWidth="1"/>
    <col min="4614" max="4614" width="9" style="24"/>
    <col min="4615" max="4615" width="11.8984375" style="24" customWidth="1"/>
    <col min="4616" max="4616" width="13.59765625" style="24" customWidth="1"/>
    <col min="4617" max="4617" width="12.69921875" style="24" customWidth="1"/>
    <col min="4618" max="4864" width="9" style="24"/>
    <col min="4865" max="4865" width="5" style="24" customWidth="1"/>
    <col min="4866" max="4866" width="17.8984375" style="24" bestFit="1" customWidth="1"/>
    <col min="4867" max="4867" width="23.59765625" style="24" customWidth="1"/>
    <col min="4868" max="4868" width="18.19921875" style="24" customWidth="1"/>
    <col min="4869" max="4869" width="5.19921875" style="24" bestFit="1" customWidth="1"/>
    <col min="4870" max="4870" width="9" style="24"/>
    <col min="4871" max="4871" width="11.8984375" style="24" customWidth="1"/>
    <col min="4872" max="4872" width="13.59765625" style="24" customWidth="1"/>
    <col min="4873" max="4873" width="12.69921875" style="24" customWidth="1"/>
    <col min="4874" max="5120" width="9" style="24"/>
    <col min="5121" max="5121" width="5" style="24" customWidth="1"/>
    <col min="5122" max="5122" width="17.8984375" style="24" bestFit="1" customWidth="1"/>
    <col min="5123" max="5123" width="23.59765625" style="24" customWidth="1"/>
    <col min="5124" max="5124" width="18.19921875" style="24" customWidth="1"/>
    <col min="5125" max="5125" width="5.19921875" style="24" bestFit="1" customWidth="1"/>
    <col min="5126" max="5126" width="9" style="24"/>
    <col min="5127" max="5127" width="11.8984375" style="24" customWidth="1"/>
    <col min="5128" max="5128" width="13.59765625" style="24" customWidth="1"/>
    <col min="5129" max="5129" width="12.69921875" style="24" customWidth="1"/>
    <col min="5130" max="5376" width="9" style="24"/>
    <col min="5377" max="5377" width="5" style="24" customWidth="1"/>
    <col min="5378" max="5378" width="17.8984375" style="24" bestFit="1" customWidth="1"/>
    <col min="5379" max="5379" width="23.59765625" style="24" customWidth="1"/>
    <col min="5380" max="5380" width="18.19921875" style="24" customWidth="1"/>
    <col min="5381" max="5381" width="5.19921875" style="24" bestFit="1" customWidth="1"/>
    <col min="5382" max="5382" width="9" style="24"/>
    <col min="5383" max="5383" width="11.8984375" style="24" customWidth="1"/>
    <col min="5384" max="5384" width="13.59765625" style="24" customWidth="1"/>
    <col min="5385" max="5385" width="12.69921875" style="24" customWidth="1"/>
    <col min="5386" max="5632" width="9" style="24"/>
    <col min="5633" max="5633" width="5" style="24" customWidth="1"/>
    <col min="5634" max="5634" width="17.8984375" style="24" bestFit="1" customWidth="1"/>
    <col min="5635" max="5635" width="23.59765625" style="24" customWidth="1"/>
    <col min="5636" max="5636" width="18.19921875" style="24" customWidth="1"/>
    <col min="5637" max="5637" width="5.19921875" style="24" bestFit="1" customWidth="1"/>
    <col min="5638" max="5638" width="9" style="24"/>
    <col min="5639" max="5639" width="11.8984375" style="24" customWidth="1"/>
    <col min="5640" max="5640" width="13.59765625" style="24" customWidth="1"/>
    <col min="5641" max="5641" width="12.69921875" style="24" customWidth="1"/>
    <col min="5642" max="5888" width="9" style="24"/>
    <col min="5889" max="5889" width="5" style="24" customWidth="1"/>
    <col min="5890" max="5890" width="17.8984375" style="24" bestFit="1" customWidth="1"/>
    <col min="5891" max="5891" width="23.59765625" style="24" customWidth="1"/>
    <col min="5892" max="5892" width="18.19921875" style="24" customWidth="1"/>
    <col min="5893" max="5893" width="5.19921875" style="24" bestFit="1" customWidth="1"/>
    <col min="5894" max="5894" width="9" style="24"/>
    <col min="5895" max="5895" width="11.8984375" style="24" customWidth="1"/>
    <col min="5896" max="5896" width="13.59765625" style="24" customWidth="1"/>
    <col min="5897" max="5897" width="12.69921875" style="24" customWidth="1"/>
    <col min="5898" max="6144" width="9" style="24"/>
    <col min="6145" max="6145" width="5" style="24" customWidth="1"/>
    <col min="6146" max="6146" width="17.8984375" style="24" bestFit="1" customWidth="1"/>
    <col min="6147" max="6147" width="23.59765625" style="24" customWidth="1"/>
    <col min="6148" max="6148" width="18.19921875" style="24" customWidth="1"/>
    <col min="6149" max="6149" width="5.19921875" style="24" bestFit="1" customWidth="1"/>
    <col min="6150" max="6150" width="9" style="24"/>
    <col min="6151" max="6151" width="11.8984375" style="24" customWidth="1"/>
    <col min="6152" max="6152" width="13.59765625" style="24" customWidth="1"/>
    <col min="6153" max="6153" width="12.69921875" style="24" customWidth="1"/>
    <col min="6154" max="6400" width="9" style="24"/>
    <col min="6401" max="6401" width="5" style="24" customWidth="1"/>
    <col min="6402" max="6402" width="17.8984375" style="24" bestFit="1" customWidth="1"/>
    <col min="6403" max="6403" width="23.59765625" style="24" customWidth="1"/>
    <col min="6404" max="6404" width="18.19921875" style="24" customWidth="1"/>
    <col min="6405" max="6405" width="5.19921875" style="24" bestFit="1" customWidth="1"/>
    <col min="6406" max="6406" width="9" style="24"/>
    <col min="6407" max="6407" width="11.8984375" style="24" customWidth="1"/>
    <col min="6408" max="6408" width="13.59765625" style="24" customWidth="1"/>
    <col min="6409" max="6409" width="12.69921875" style="24" customWidth="1"/>
    <col min="6410" max="6656" width="9" style="24"/>
    <col min="6657" max="6657" width="5" style="24" customWidth="1"/>
    <col min="6658" max="6658" width="17.8984375" style="24" bestFit="1" customWidth="1"/>
    <col min="6659" max="6659" width="23.59765625" style="24" customWidth="1"/>
    <col min="6660" max="6660" width="18.19921875" style="24" customWidth="1"/>
    <col min="6661" max="6661" width="5.19921875" style="24" bestFit="1" customWidth="1"/>
    <col min="6662" max="6662" width="9" style="24"/>
    <col min="6663" max="6663" width="11.8984375" style="24" customWidth="1"/>
    <col min="6664" max="6664" width="13.59765625" style="24" customWidth="1"/>
    <col min="6665" max="6665" width="12.69921875" style="24" customWidth="1"/>
    <col min="6666" max="6912" width="9" style="24"/>
    <col min="6913" max="6913" width="5" style="24" customWidth="1"/>
    <col min="6914" max="6914" width="17.8984375" style="24" bestFit="1" customWidth="1"/>
    <col min="6915" max="6915" width="23.59765625" style="24" customWidth="1"/>
    <col min="6916" max="6916" width="18.19921875" style="24" customWidth="1"/>
    <col min="6917" max="6917" width="5.19921875" style="24" bestFit="1" customWidth="1"/>
    <col min="6918" max="6918" width="9" style="24"/>
    <col min="6919" max="6919" width="11.8984375" style="24" customWidth="1"/>
    <col min="6920" max="6920" width="13.59765625" style="24" customWidth="1"/>
    <col min="6921" max="6921" width="12.69921875" style="24" customWidth="1"/>
    <col min="6922" max="7168" width="9" style="24"/>
    <col min="7169" max="7169" width="5" style="24" customWidth="1"/>
    <col min="7170" max="7170" width="17.8984375" style="24" bestFit="1" customWidth="1"/>
    <col min="7171" max="7171" width="23.59765625" style="24" customWidth="1"/>
    <col min="7172" max="7172" width="18.19921875" style="24" customWidth="1"/>
    <col min="7173" max="7173" width="5.19921875" style="24" bestFit="1" customWidth="1"/>
    <col min="7174" max="7174" width="9" style="24"/>
    <col min="7175" max="7175" width="11.8984375" style="24" customWidth="1"/>
    <col min="7176" max="7176" width="13.59765625" style="24" customWidth="1"/>
    <col min="7177" max="7177" width="12.69921875" style="24" customWidth="1"/>
    <col min="7178" max="7424" width="9" style="24"/>
    <col min="7425" max="7425" width="5" style="24" customWidth="1"/>
    <col min="7426" max="7426" width="17.8984375" style="24" bestFit="1" customWidth="1"/>
    <col min="7427" max="7427" width="23.59765625" style="24" customWidth="1"/>
    <col min="7428" max="7428" width="18.19921875" style="24" customWidth="1"/>
    <col min="7429" max="7429" width="5.19921875" style="24" bestFit="1" customWidth="1"/>
    <col min="7430" max="7430" width="9" style="24"/>
    <col min="7431" max="7431" width="11.8984375" style="24" customWidth="1"/>
    <col min="7432" max="7432" width="13.59765625" style="24" customWidth="1"/>
    <col min="7433" max="7433" width="12.69921875" style="24" customWidth="1"/>
    <col min="7434" max="7680" width="9" style="24"/>
    <col min="7681" max="7681" width="5" style="24" customWidth="1"/>
    <col min="7682" max="7682" width="17.8984375" style="24" bestFit="1" customWidth="1"/>
    <col min="7683" max="7683" width="23.59765625" style="24" customWidth="1"/>
    <col min="7684" max="7684" width="18.19921875" style="24" customWidth="1"/>
    <col min="7685" max="7685" width="5.19921875" style="24" bestFit="1" customWidth="1"/>
    <col min="7686" max="7686" width="9" style="24"/>
    <col min="7687" max="7687" width="11.8984375" style="24" customWidth="1"/>
    <col min="7688" max="7688" width="13.59765625" style="24" customWidth="1"/>
    <col min="7689" max="7689" width="12.69921875" style="24" customWidth="1"/>
    <col min="7690" max="7936" width="9" style="24"/>
    <col min="7937" max="7937" width="5" style="24" customWidth="1"/>
    <col min="7938" max="7938" width="17.8984375" style="24" bestFit="1" customWidth="1"/>
    <col min="7939" max="7939" width="23.59765625" style="24" customWidth="1"/>
    <col min="7940" max="7940" width="18.19921875" style="24" customWidth="1"/>
    <col min="7941" max="7941" width="5.19921875" style="24" bestFit="1" customWidth="1"/>
    <col min="7942" max="7942" width="9" style="24"/>
    <col min="7943" max="7943" width="11.8984375" style="24" customWidth="1"/>
    <col min="7944" max="7944" width="13.59765625" style="24" customWidth="1"/>
    <col min="7945" max="7945" width="12.69921875" style="24" customWidth="1"/>
    <col min="7946" max="8192" width="9" style="24"/>
    <col min="8193" max="8193" width="5" style="24" customWidth="1"/>
    <col min="8194" max="8194" width="17.8984375" style="24" bestFit="1" customWidth="1"/>
    <col min="8195" max="8195" width="23.59765625" style="24" customWidth="1"/>
    <col min="8196" max="8196" width="18.19921875" style="24" customWidth="1"/>
    <col min="8197" max="8197" width="5.19921875" style="24" bestFit="1" customWidth="1"/>
    <col min="8198" max="8198" width="9" style="24"/>
    <col min="8199" max="8199" width="11.8984375" style="24" customWidth="1"/>
    <col min="8200" max="8200" width="13.59765625" style="24" customWidth="1"/>
    <col min="8201" max="8201" width="12.69921875" style="24" customWidth="1"/>
    <col min="8202" max="8448" width="9" style="24"/>
    <col min="8449" max="8449" width="5" style="24" customWidth="1"/>
    <col min="8450" max="8450" width="17.8984375" style="24" bestFit="1" customWidth="1"/>
    <col min="8451" max="8451" width="23.59765625" style="24" customWidth="1"/>
    <col min="8452" max="8452" width="18.19921875" style="24" customWidth="1"/>
    <col min="8453" max="8453" width="5.19921875" style="24" bestFit="1" customWidth="1"/>
    <col min="8454" max="8454" width="9" style="24"/>
    <col min="8455" max="8455" width="11.8984375" style="24" customWidth="1"/>
    <col min="8456" max="8456" width="13.59765625" style="24" customWidth="1"/>
    <col min="8457" max="8457" width="12.69921875" style="24" customWidth="1"/>
    <col min="8458" max="8704" width="9" style="24"/>
    <col min="8705" max="8705" width="5" style="24" customWidth="1"/>
    <col min="8706" max="8706" width="17.8984375" style="24" bestFit="1" customWidth="1"/>
    <col min="8707" max="8707" width="23.59765625" style="24" customWidth="1"/>
    <col min="8708" max="8708" width="18.19921875" style="24" customWidth="1"/>
    <col min="8709" max="8709" width="5.19921875" style="24" bestFit="1" customWidth="1"/>
    <col min="8710" max="8710" width="9" style="24"/>
    <col min="8711" max="8711" width="11.8984375" style="24" customWidth="1"/>
    <col min="8712" max="8712" width="13.59765625" style="24" customWidth="1"/>
    <col min="8713" max="8713" width="12.69921875" style="24" customWidth="1"/>
    <col min="8714" max="8960" width="9" style="24"/>
    <col min="8961" max="8961" width="5" style="24" customWidth="1"/>
    <col min="8962" max="8962" width="17.8984375" style="24" bestFit="1" customWidth="1"/>
    <col min="8963" max="8963" width="23.59765625" style="24" customWidth="1"/>
    <col min="8964" max="8964" width="18.19921875" style="24" customWidth="1"/>
    <col min="8965" max="8965" width="5.19921875" style="24" bestFit="1" customWidth="1"/>
    <col min="8966" max="8966" width="9" style="24"/>
    <col min="8967" max="8967" width="11.8984375" style="24" customWidth="1"/>
    <col min="8968" max="8968" width="13.59765625" style="24" customWidth="1"/>
    <col min="8969" max="8969" width="12.69921875" style="24" customWidth="1"/>
    <col min="8970" max="9216" width="9" style="24"/>
    <col min="9217" max="9217" width="5" style="24" customWidth="1"/>
    <col min="9218" max="9218" width="17.8984375" style="24" bestFit="1" customWidth="1"/>
    <col min="9219" max="9219" width="23.59765625" style="24" customWidth="1"/>
    <col min="9220" max="9220" width="18.19921875" style="24" customWidth="1"/>
    <col min="9221" max="9221" width="5.19921875" style="24" bestFit="1" customWidth="1"/>
    <col min="9222" max="9222" width="9" style="24"/>
    <col min="9223" max="9223" width="11.8984375" style="24" customWidth="1"/>
    <col min="9224" max="9224" width="13.59765625" style="24" customWidth="1"/>
    <col min="9225" max="9225" width="12.69921875" style="24" customWidth="1"/>
    <col min="9226" max="9472" width="9" style="24"/>
    <col min="9473" max="9473" width="5" style="24" customWidth="1"/>
    <col min="9474" max="9474" width="17.8984375" style="24" bestFit="1" customWidth="1"/>
    <col min="9475" max="9475" width="23.59765625" style="24" customWidth="1"/>
    <col min="9476" max="9476" width="18.19921875" style="24" customWidth="1"/>
    <col min="9477" max="9477" width="5.19921875" style="24" bestFit="1" customWidth="1"/>
    <col min="9478" max="9478" width="9" style="24"/>
    <col min="9479" max="9479" width="11.8984375" style="24" customWidth="1"/>
    <col min="9480" max="9480" width="13.59765625" style="24" customWidth="1"/>
    <col min="9481" max="9481" width="12.69921875" style="24" customWidth="1"/>
    <col min="9482" max="9728" width="9" style="24"/>
    <col min="9729" max="9729" width="5" style="24" customWidth="1"/>
    <col min="9730" max="9730" width="17.8984375" style="24" bestFit="1" customWidth="1"/>
    <col min="9731" max="9731" width="23.59765625" style="24" customWidth="1"/>
    <col min="9732" max="9732" width="18.19921875" style="24" customWidth="1"/>
    <col min="9733" max="9733" width="5.19921875" style="24" bestFit="1" customWidth="1"/>
    <col min="9734" max="9734" width="9" style="24"/>
    <col min="9735" max="9735" width="11.8984375" style="24" customWidth="1"/>
    <col min="9736" max="9736" width="13.59765625" style="24" customWidth="1"/>
    <col min="9737" max="9737" width="12.69921875" style="24" customWidth="1"/>
    <col min="9738" max="9984" width="9" style="24"/>
    <col min="9985" max="9985" width="5" style="24" customWidth="1"/>
    <col min="9986" max="9986" width="17.8984375" style="24" bestFit="1" customWidth="1"/>
    <col min="9987" max="9987" width="23.59765625" style="24" customWidth="1"/>
    <col min="9988" max="9988" width="18.19921875" style="24" customWidth="1"/>
    <col min="9989" max="9989" width="5.19921875" style="24" bestFit="1" customWidth="1"/>
    <col min="9990" max="9990" width="9" style="24"/>
    <col min="9991" max="9991" width="11.8984375" style="24" customWidth="1"/>
    <col min="9992" max="9992" width="13.59765625" style="24" customWidth="1"/>
    <col min="9993" max="9993" width="12.69921875" style="24" customWidth="1"/>
    <col min="9994" max="10240" width="9" style="24"/>
    <col min="10241" max="10241" width="5" style="24" customWidth="1"/>
    <col min="10242" max="10242" width="17.8984375" style="24" bestFit="1" customWidth="1"/>
    <col min="10243" max="10243" width="23.59765625" style="24" customWidth="1"/>
    <col min="10244" max="10244" width="18.19921875" style="24" customWidth="1"/>
    <col min="10245" max="10245" width="5.19921875" style="24" bestFit="1" customWidth="1"/>
    <col min="10246" max="10246" width="9" style="24"/>
    <col min="10247" max="10247" width="11.8984375" style="24" customWidth="1"/>
    <col min="10248" max="10248" width="13.59765625" style="24" customWidth="1"/>
    <col min="10249" max="10249" width="12.69921875" style="24" customWidth="1"/>
    <col min="10250" max="10496" width="9" style="24"/>
    <col min="10497" max="10497" width="5" style="24" customWidth="1"/>
    <col min="10498" max="10498" width="17.8984375" style="24" bestFit="1" customWidth="1"/>
    <col min="10499" max="10499" width="23.59765625" style="24" customWidth="1"/>
    <col min="10500" max="10500" width="18.19921875" style="24" customWidth="1"/>
    <col min="10501" max="10501" width="5.19921875" style="24" bestFit="1" customWidth="1"/>
    <col min="10502" max="10502" width="9" style="24"/>
    <col min="10503" max="10503" width="11.8984375" style="24" customWidth="1"/>
    <col min="10504" max="10504" width="13.59765625" style="24" customWidth="1"/>
    <col min="10505" max="10505" width="12.69921875" style="24" customWidth="1"/>
    <col min="10506" max="10752" width="9" style="24"/>
    <col min="10753" max="10753" width="5" style="24" customWidth="1"/>
    <col min="10754" max="10754" width="17.8984375" style="24" bestFit="1" customWidth="1"/>
    <col min="10755" max="10755" width="23.59765625" style="24" customWidth="1"/>
    <col min="10756" max="10756" width="18.19921875" style="24" customWidth="1"/>
    <col min="10757" max="10757" width="5.19921875" style="24" bestFit="1" customWidth="1"/>
    <col min="10758" max="10758" width="9" style="24"/>
    <col min="10759" max="10759" width="11.8984375" style="24" customWidth="1"/>
    <col min="10760" max="10760" width="13.59765625" style="24" customWidth="1"/>
    <col min="10761" max="10761" width="12.69921875" style="24" customWidth="1"/>
    <col min="10762" max="11008" width="9" style="24"/>
    <col min="11009" max="11009" width="5" style="24" customWidth="1"/>
    <col min="11010" max="11010" width="17.8984375" style="24" bestFit="1" customWidth="1"/>
    <col min="11011" max="11011" width="23.59765625" style="24" customWidth="1"/>
    <col min="11012" max="11012" width="18.19921875" style="24" customWidth="1"/>
    <col min="11013" max="11013" width="5.19921875" style="24" bestFit="1" customWidth="1"/>
    <col min="11014" max="11014" width="9" style="24"/>
    <col min="11015" max="11015" width="11.8984375" style="24" customWidth="1"/>
    <col min="11016" max="11016" width="13.59765625" style="24" customWidth="1"/>
    <col min="11017" max="11017" width="12.69921875" style="24" customWidth="1"/>
    <col min="11018" max="11264" width="9" style="24"/>
    <col min="11265" max="11265" width="5" style="24" customWidth="1"/>
    <col min="11266" max="11266" width="17.8984375" style="24" bestFit="1" customWidth="1"/>
    <col min="11267" max="11267" width="23.59765625" style="24" customWidth="1"/>
    <col min="11268" max="11268" width="18.19921875" style="24" customWidth="1"/>
    <col min="11269" max="11269" width="5.19921875" style="24" bestFit="1" customWidth="1"/>
    <col min="11270" max="11270" width="9" style="24"/>
    <col min="11271" max="11271" width="11.8984375" style="24" customWidth="1"/>
    <col min="11272" max="11272" width="13.59765625" style="24" customWidth="1"/>
    <col min="11273" max="11273" width="12.69921875" style="24" customWidth="1"/>
    <col min="11274" max="11520" width="9" style="24"/>
    <col min="11521" max="11521" width="5" style="24" customWidth="1"/>
    <col min="11522" max="11522" width="17.8984375" style="24" bestFit="1" customWidth="1"/>
    <col min="11523" max="11523" width="23.59765625" style="24" customWidth="1"/>
    <col min="11524" max="11524" width="18.19921875" style="24" customWidth="1"/>
    <col min="11525" max="11525" width="5.19921875" style="24" bestFit="1" customWidth="1"/>
    <col min="11526" max="11526" width="9" style="24"/>
    <col min="11527" max="11527" width="11.8984375" style="24" customWidth="1"/>
    <col min="11528" max="11528" width="13.59765625" style="24" customWidth="1"/>
    <col min="11529" max="11529" width="12.69921875" style="24" customWidth="1"/>
    <col min="11530" max="11776" width="9" style="24"/>
    <col min="11777" max="11777" width="5" style="24" customWidth="1"/>
    <col min="11778" max="11778" width="17.8984375" style="24" bestFit="1" customWidth="1"/>
    <col min="11779" max="11779" width="23.59765625" style="24" customWidth="1"/>
    <col min="11780" max="11780" width="18.19921875" style="24" customWidth="1"/>
    <col min="11781" max="11781" width="5.19921875" style="24" bestFit="1" customWidth="1"/>
    <col min="11782" max="11782" width="9" style="24"/>
    <col min="11783" max="11783" width="11.8984375" style="24" customWidth="1"/>
    <col min="11784" max="11784" width="13.59765625" style="24" customWidth="1"/>
    <col min="11785" max="11785" width="12.69921875" style="24" customWidth="1"/>
    <col min="11786" max="12032" width="9" style="24"/>
    <col min="12033" max="12033" width="5" style="24" customWidth="1"/>
    <col min="12034" max="12034" width="17.8984375" style="24" bestFit="1" customWidth="1"/>
    <col min="12035" max="12035" width="23.59765625" style="24" customWidth="1"/>
    <col min="12036" max="12036" width="18.19921875" style="24" customWidth="1"/>
    <col min="12037" max="12037" width="5.19921875" style="24" bestFit="1" customWidth="1"/>
    <col min="12038" max="12038" width="9" style="24"/>
    <col min="12039" max="12039" width="11.8984375" style="24" customWidth="1"/>
    <col min="12040" max="12040" width="13.59765625" style="24" customWidth="1"/>
    <col min="12041" max="12041" width="12.69921875" style="24" customWidth="1"/>
    <col min="12042" max="12288" width="9" style="24"/>
    <col min="12289" max="12289" width="5" style="24" customWidth="1"/>
    <col min="12290" max="12290" width="17.8984375" style="24" bestFit="1" customWidth="1"/>
    <col min="12291" max="12291" width="23.59765625" style="24" customWidth="1"/>
    <col min="12292" max="12292" width="18.19921875" style="24" customWidth="1"/>
    <col min="12293" max="12293" width="5.19921875" style="24" bestFit="1" customWidth="1"/>
    <col min="12294" max="12294" width="9" style="24"/>
    <col min="12295" max="12295" width="11.8984375" style="24" customWidth="1"/>
    <col min="12296" max="12296" width="13.59765625" style="24" customWidth="1"/>
    <col min="12297" max="12297" width="12.69921875" style="24" customWidth="1"/>
    <col min="12298" max="12544" width="9" style="24"/>
    <col min="12545" max="12545" width="5" style="24" customWidth="1"/>
    <col min="12546" max="12546" width="17.8984375" style="24" bestFit="1" customWidth="1"/>
    <col min="12547" max="12547" width="23.59765625" style="24" customWidth="1"/>
    <col min="12548" max="12548" width="18.19921875" style="24" customWidth="1"/>
    <col min="12549" max="12549" width="5.19921875" style="24" bestFit="1" customWidth="1"/>
    <col min="12550" max="12550" width="9" style="24"/>
    <col min="12551" max="12551" width="11.8984375" style="24" customWidth="1"/>
    <col min="12552" max="12552" width="13.59765625" style="24" customWidth="1"/>
    <col min="12553" max="12553" width="12.69921875" style="24" customWidth="1"/>
    <col min="12554" max="12800" width="9" style="24"/>
    <col min="12801" max="12801" width="5" style="24" customWidth="1"/>
    <col min="12802" max="12802" width="17.8984375" style="24" bestFit="1" customWidth="1"/>
    <col min="12803" max="12803" width="23.59765625" style="24" customWidth="1"/>
    <col min="12804" max="12804" width="18.19921875" style="24" customWidth="1"/>
    <col min="12805" max="12805" width="5.19921875" style="24" bestFit="1" customWidth="1"/>
    <col min="12806" max="12806" width="9" style="24"/>
    <col min="12807" max="12807" width="11.8984375" style="24" customWidth="1"/>
    <col min="12808" max="12808" width="13.59765625" style="24" customWidth="1"/>
    <col min="12809" max="12809" width="12.69921875" style="24" customWidth="1"/>
    <col min="12810" max="13056" width="9" style="24"/>
    <col min="13057" max="13057" width="5" style="24" customWidth="1"/>
    <col min="13058" max="13058" width="17.8984375" style="24" bestFit="1" customWidth="1"/>
    <col min="13059" max="13059" width="23.59765625" style="24" customWidth="1"/>
    <col min="13060" max="13060" width="18.19921875" style="24" customWidth="1"/>
    <col min="13061" max="13061" width="5.19921875" style="24" bestFit="1" customWidth="1"/>
    <col min="13062" max="13062" width="9" style="24"/>
    <col min="13063" max="13063" width="11.8984375" style="24" customWidth="1"/>
    <col min="13064" max="13064" width="13.59765625" style="24" customWidth="1"/>
    <col min="13065" max="13065" width="12.69921875" style="24" customWidth="1"/>
    <col min="13066" max="13312" width="9" style="24"/>
    <col min="13313" max="13313" width="5" style="24" customWidth="1"/>
    <col min="13314" max="13314" width="17.8984375" style="24" bestFit="1" customWidth="1"/>
    <col min="13315" max="13315" width="23.59765625" style="24" customWidth="1"/>
    <col min="13316" max="13316" width="18.19921875" style="24" customWidth="1"/>
    <col min="13317" max="13317" width="5.19921875" style="24" bestFit="1" customWidth="1"/>
    <col min="13318" max="13318" width="9" style="24"/>
    <col min="13319" max="13319" width="11.8984375" style="24" customWidth="1"/>
    <col min="13320" max="13320" width="13.59765625" style="24" customWidth="1"/>
    <col min="13321" max="13321" width="12.69921875" style="24" customWidth="1"/>
    <col min="13322" max="13568" width="9" style="24"/>
    <col min="13569" max="13569" width="5" style="24" customWidth="1"/>
    <col min="13570" max="13570" width="17.8984375" style="24" bestFit="1" customWidth="1"/>
    <col min="13571" max="13571" width="23.59765625" style="24" customWidth="1"/>
    <col min="13572" max="13572" width="18.19921875" style="24" customWidth="1"/>
    <col min="13573" max="13573" width="5.19921875" style="24" bestFit="1" customWidth="1"/>
    <col min="13574" max="13574" width="9" style="24"/>
    <col min="13575" max="13575" width="11.8984375" style="24" customWidth="1"/>
    <col min="13576" max="13576" width="13.59765625" style="24" customWidth="1"/>
    <col min="13577" max="13577" width="12.69921875" style="24" customWidth="1"/>
    <col min="13578" max="13824" width="9" style="24"/>
    <col min="13825" max="13825" width="5" style="24" customWidth="1"/>
    <col min="13826" max="13826" width="17.8984375" style="24" bestFit="1" customWidth="1"/>
    <col min="13827" max="13827" width="23.59765625" style="24" customWidth="1"/>
    <col min="13828" max="13828" width="18.19921875" style="24" customWidth="1"/>
    <col min="13829" max="13829" width="5.19921875" style="24" bestFit="1" customWidth="1"/>
    <col min="13830" max="13830" width="9" style="24"/>
    <col min="13831" max="13831" width="11.8984375" style="24" customWidth="1"/>
    <col min="13832" max="13832" width="13.59765625" style="24" customWidth="1"/>
    <col min="13833" max="13833" width="12.69921875" style="24" customWidth="1"/>
    <col min="13834" max="14080" width="9" style="24"/>
    <col min="14081" max="14081" width="5" style="24" customWidth="1"/>
    <col min="14082" max="14082" width="17.8984375" style="24" bestFit="1" customWidth="1"/>
    <col min="14083" max="14083" width="23.59765625" style="24" customWidth="1"/>
    <col min="14084" max="14084" width="18.19921875" style="24" customWidth="1"/>
    <col min="14085" max="14085" width="5.19921875" style="24" bestFit="1" customWidth="1"/>
    <col min="14086" max="14086" width="9" style="24"/>
    <col min="14087" max="14087" width="11.8984375" style="24" customWidth="1"/>
    <col min="14088" max="14088" width="13.59765625" style="24" customWidth="1"/>
    <col min="14089" max="14089" width="12.69921875" style="24" customWidth="1"/>
    <col min="14090" max="14336" width="9" style="24"/>
    <col min="14337" max="14337" width="5" style="24" customWidth="1"/>
    <col min="14338" max="14338" width="17.8984375" style="24" bestFit="1" customWidth="1"/>
    <col min="14339" max="14339" width="23.59765625" style="24" customWidth="1"/>
    <col min="14340" max="14340" width="18.19921875" style="24" customWidth="1"/>
    <col min="14341" max="14341" width="5.19921875" style="24" bestFit="1" customWidth="1"/>
    <col min="14342" max="14342" width="9" style="24"/>
    <col min="14343" max="14343" width="11.8984375" style="24" customWidth="1"/>
    <col min="14344" max="14344" width="13.59765625" style="24" customWidth="1"/>
    <col min="14345" max="14345" width="12.69921875" style="24" customWidth="1"/>
    <col min="14346" max="14592" width="9" style="24"/>
    <col min="14593" max="14593" width="5" style="24" customWidth="1"/>
    <col min="14594" max="14594" width="17.8984375" style="24" bestFit="1" customWidth="1"/>
    <col min="14595" max="14595" width="23.59765625" style="24" customWidth="1"/>
    <col min="14596" max="14596" width="18.19921875" style="24" customWidth="1"/>
    <col min="14597" max="14597" width="5.19921875" style="24" bestFit="1" customWidth="1"/>
    <col min="14598" max="14598" width="9" style="24"/>
    <col min="14599" max="14599" width="11.8984375" style="24" customWidth="1"/>
    <col min="14600" max="14600" width="13.59765625" style="24" customWidth="1"/>
    <col min="14601" max="14601" width="12.69921875" style="24" customWidth="1"/>
    <col min="14602" max="14848" width="9" style="24"/>
    <col min="14849" max="14849" width="5" style="24" customWidth="1"/>
    <col min="14850" max="14850" width="17.8984375" style="24" bestFit="1" customWidth="1"/>
    <col min="14851" max="14851" width="23.59765625" style="24" customWidth="1"/>
    <col min="14852" max="14852" width="18.19921875" style="24" customWidth="1"/>
    <col min="14853" max="14853" width="5.19921875" style="24" bestFit="1" customWidth="1"/>
    <col min="14854" max="14854" width="9" style="24"/>
    <col min="14855" max="14855" width="11.8984375" style="24" customWidth="1"/>
    <col min="14856" max="14856" width="13.59765625" style="24" customWidth="1"/>
    <col min="14857" max="14857" width="12.69921875" style="24" customWidth="1"/>
    <col min="14858" max="15104" width="9" style="24"/>
    <col min="15105" max="15105" width="5" style="24" customWidth="1"/>
    <col min="15106" max="15106" width="17.8984375" style="24" bestFit="1" customWidth="1"/>
    <col min="15107" max="15107" width="23.59765625" style="24" customWidth="1"/>
    <col min="15108" max="15108" width="18.19921875" style="24" customWidth="1"/>
    <col min="15109" max="15109" width="5.19921875" style="24" bestFit="1" customWidth="1"/>
    <col min="15110" max="15110" width="9" style="24"/>
    <col min="15111" max="15111" width="11.8984375" style="24" customWidth="1"/>
    <col min="15112" max="15112" width="13.59765625" style="24" customWidth="1"/>
    <col min="15113" max="15113" width="12.69921875" style="24" customWidth="1"/>
    <col min="15114" max="15360" width="9" style="24"/>
    <col min="15361" max="15361" width="5" style="24" customWidth="1"/>
    <col min="15362" max="15362" width="17.8984375" style="24" bestFit="1" customWidth="1"/>
    <col min="15363" max="15363" width="23.59765625" style="24" customWidth="1"/>
    <col min="15364" max="15364" width="18.19921875" style="24" customWidth="1"/>
    <col min="15365" max="15365" width="5.19921875" style="24" bestFit="1" customWidth="1"/>
    <col min="15366" max="15366" width="9" style="24"/>
    <col min="15367" max="15367" width="11.8984375" style="24" customWidth="1"/>
    <col min="15368" max="15368" width="13.59765625" style="24" customWidth="1"/>
    <col min="15369" max="15369" width="12.69921875" style="24" customWidth="1"/>
    <col min="15370" max="15616" width="9" style="24"/>
    <col min="15617" max="15617" width="5" style="24" customWidth="1"/>
    <col min="15618" max="15618" width="17.8984375" style="24" bestFit="1" customWidth="1"/>
    <col min="15619" max="15619" width="23.59765625" style="24" customWidth="1"/>
    <col min="15620" max="15620" width="18.19921875" style="24" customWidth="1"/>
    <col min="15621" max="15621" width="5.19921875" style="24" bestFit="1" customWidth="1"/>
    <col min="15622" max="15622" width="9" style="24"/>
    <col min="15623" max="15623" width="11.8984375" style="24" customWidth="1"/>
    <col min="15624" max="15624" width="13.59765625" style="24" customWidth="1"/>
    <col min="15625" max="15625" width="12.69921875" style="24" customWidth="1"/>
    <col min="15626" max="15872" width="9" style="24"/>
    <col min="15873" max="15873" width="5" style="24" customWidth="1"/>
    <col min="15874" max="15874" width="17.8984375" style="24" bestFit="1" customWidth="1"/>
    <col min="15875" max="15875" width="23.59765625" style="24" customWidth="1"/>
    <col min="15876" max="15876" width="18.19921875" style="24" customWidth="1"/>
    <col min="15877" max="15877" width="5.19921875" style="24" bestFit="1" customWidth="1"/>
    <col min="15878" max="15878" width="9" style="24"/>
    <col min="15879" max="15879" width="11.8984375" style="24" customWidth="1"/>
    <col min="15880" max="15880" width="13.59765625" style="24" customWidth="1"/>
    <col min="15881" max="15881" width="12.69921875" style="24" customWidth="1"/>
    <col min="15882" max="16128" width="9" style="24"/>
    <col min="16129" max="16129" width="5" style="24" customWidth="1"/>
    <col min="16130" max="16130" width="17.8984375" style="24" bestFit="1" customWidth="1"/>
    <col min="16131" max="16131" width="23.59765625" style="24" customWidth="1"/>
    <col min="16132" max="16132" width="18.19921875" style="24" customWidth="1"/>
    <col min="16133" max="16133" width="5.19921875" style="24" bestFit="1" customWidth="1"/>
    <col min="16134" max="16134" width="9" style="24"/>
    <col min="16135" max="16135" width="11.8984375" style="24" customWidth="1"/>
    <col min="16136" max="16136" width="13.59765625" style="24" customWidth="1"/>
    <col min="16137" max="16137" width="12.69921875" style="24" customWidth="1"/>
    <col min="16138" max="16384" width="9" style="24"/>
  </cols>
  <sheetData>
    <row r="1" spans="1:9" ht="22.5" customHeight="1">
      <c r="B1" s="201" t="s">
        <v>145</v>
      </c>
      <c r="C1" s="266"/>
      <c r="F1" s="290"/>
      <c r="I1" s="24" t="s">
        <v>118</v>
      </c>
    </row>
    <row r="2" spans="1:9" s="26" customFormat="1" ht="16.5" customHeight="1">
      <c r="A2" s="337" t="s">
        <v>119</v>
      </c>
      <c r="B2" s="339"/>
      <c r="C2" s="275" t="s">
        <v>120</v>
      </c>
      <c r="D2" s="125" t="s">
        <v>121</v>
      </c>
      <c r="E2" s="125" t="s">
        <v>38</v>
      </c>
      <c r="F2" s="249" t="s">
        <v>39</v>
      </c>
      <c r="G2" s="249" t="s">
        <v>122</v>
      </c>
      <c r="H2" s="249" t="s">
        <v>123</v>
      </c>
      <c r="I2" s="125" t="s">
        <v>124</v>
      </c>
    </row>
    <row r="3" spans="1:9" ht="15.9" customHeight="1">
      <c r="A3" s="429" t="s">
        <v>125</v>
      </c>
      <c r="B3" s="206" t="s">
        <v>126</v>
      </c>
      <c r="C3" s="227"/>
      <c r="D3" s="227"/>
      <c r="E3" s="228"/>
      <c r="F3" s="230"/>
      <c r="G3" s="230"/>
      <c r="H3" s="231">
        <f>IF(F3=0,G3,G3*F3)</f>
        <v>0</v>
      </c>
      <c r="I3" s="232"/>
    </row>
    <row r="4" spans="1:9" ht="15.9" customHeight="1">
      <c r="A4" s="433"/>
      <c r="B4" s="206"/>
      <c r="C4" s="305"/>
      <c r="D4" s="306"/>
      <c r="E4" s="300"/>
      <c r="F4" s="301"/>
      <c r="G4" s="301"/>
      <c r="H4" s="165">
        <f>IF(F4=0,G4,G4*F4)</f>
        <v>0</v>
      </c>
      <c r="I4" s="39"/>
    </row>
    <row r="5" spans="1:9" ht="15.9" customHeight="1">
      <c r="A5" s="433"/>
      <c r="B5" s="206"/>
      <c r="C5" s="213"/>
      <c r="D5" s="213"/>
      <c r="E5" s="214"/>
      <c r="F5" s="216"/>
      <c r="G5" s="216"/>
      <c r="H5" s="165">
        <f t="shared" ref="H5:H76" si="0">IF(F5=0,G5,G5*F5)</f>
        <v>0</v>
      </c>
      <c r="I5" s="39"/>
    </row>
    <row r="6" spans="1:9" ht="15.9" customHeight="1">
      <c r="A6" s="433"/>
      <c r="B6" s="206"/>
      <c r="C6" s="213"/>
      <c r="D6" s="213"/>
      <c r="E6" s="214"/>
      <c r="F6" s="216"/>
      <c r="G6" s="216"/>
      <c r="H6" s="165">
        <f t="shared" si="0"/>
        <v>0</v>
      </c>
      <c r="I6" s="39"/>
    </row>
    <row r="7" spans="1:9" ht="15.9" customHeight="1">
      <c r="A7" s="433"/>
      <c r="B7" s="206"/>
      <c r="C7" s="213"/>
      <c r="D7" s="213"/>
      <c r="E7" s="214"/>
      <c r="F7" s="216"/>
      <c r="G7" s="216"/>
      <c r="H7" s="165">
        <f t="shared" si="0"/>
        <v>0</v>
      </c>
      <c r="I7" s="39"/>
    </row>
    <row r="8" spans="1:9" ht="15.9" customHeight="1">
      <c r="A8" s="433"/>
      <c r="B8" s="206"/>
      <c r="C8" s="213"/>
      <c r="D8" s="213"/>
      <c r="E8" s="214"/>
      <c r="F8" s="216"/>
      <c r="G8" s="216"/>
      <c r="H8" s="165">
        <f t="shared" si="0"/>
        <v>0</v>
      </c>
      <c r="I8" s="39"/>
    </row>
    <row r="9" spans="1:9" ht="15.9" customHeight="1">
      <c r="A9" s="433"/>
      <c r="B9" s="206"/>
      <c r="C9" s="213"/>
      <c r="D9" s="213"/>
      <c r="E9" s="214"/>
      <c r="F9" s="216"/>
      <c r="G9" s="216"/>
      <c r="H9" s="165">
        <f t="shared" si="0"/>
        <v>0</v>
      </c>
      <c r="I9" s="39"/>
    </row>
    <row r="10" spans="1:9" ht="15.9" customHeight="1">
      <c r="A10" s="433"/>
      <c r="B10" s="206"/>
      <c r="C10" s="213"/>
      <c r="D10" s="213"/>
      <c r="E10" s="214"/>
      <c r="F10" s="216"/>
      <c r="G10" s="216"/>
      <c r="H10" s="165">
        <f t="shared" si="0"/>
        <v>0</v>
      </c>
      <c r="I10" s="39"/>
    </row>
    <row r="11" spans="1:9" ht="15.9" customHeight="1">
      <c r="A11" s="433"/>
      <c r="B11" s="206"/>
      <c r="C11" s="213"/>
      <c r="D11" s="213"/>
      <c r="E11" s="214"/>
      <c r="F11" s="216"/>
      <c r="G11" s="216"/>
      <c r="H11" s="165">
        <f t="shared" si="0"/>
        <v>0</v>
      </c>
      <c r="I11" s="39"/>
    </row>
    <row r="12" spans="1:9" ht="15.9" customHeight="1">
      <c r="A12" s="433"/>
      <c r="B12" s="206"/>
      <c r="C12" s="213"/>
      <c r="D12" s="213"/>
      <c r="E12" s="214"/>
      <c r="F12" s="216"/>
      <c r="G12" s="216"/>
      <c r="H12" s="165">
        <f t="shared" si="0"/>
        <v>0</v>
      </c>
      <c r="I12" s="39"/>
    </row>
    <row r="13" spans="1:9" ht="15.9" customHeight="1">
      <c r="A13" s="433"/>
      <c r="B13" s="206"/>
      <c r="C13" s="213"/>
      <c r="D13" s="213"/>
      <c r="E13" s="214"/>
      <c r="F13" s="216"/>
      <c r="G13" s="216"/>
      <c r="H13" s="165">
        <f t="shared" si="0"/>
        <v>0</v>
      </c>
      <c r="I13" s="39"/>
    </row>
    <row r="14" spans="1:9" ht="15.9" customHeight="1">
      <c r="A14" s="433"/>
      <c r="B14" s="206"/>
      <c r="C14" s="213"/>
      <c r="D14" s="213"/>
      <c r="E14" s="214"/>
      <c r="F14" s="216"/>
      <c r="G14" s="216"/>
      <c r="H14" s="165">
        <f t="shared" si="0"/>
        <v>0</v>
      </c>
      <c r="I14" s="39"/>
    </row>
    <row r="15" spans="1:9" ht="15.9" customHeight="1">
      <c r="A15" s="433"/>
      <c r="B15" s="206"/>
      <c r="C15" s="213"/>
      <c r="D15" s="213"/>
      <c r="E15" s="214"/>
      <c r="F15" s="216"/>
      <c r="G15" s="216"/>
      <c r="H15" s="165">
        <f t="shared" si="0"/>
        <v>0</v>
      </c>
      <c r="I15" s="39"/>
    </row>
    <row r="16" spans="1:9" ht="15.9" customHeight="1">
      <c r="A16" s="433"/>
      <c r="B16" s="206"/>
      <c r="C16" s="213"/>
      <c r="D16" s="213"/>
      <c r="E16" s="214"/>
      <c r="F16" s="216"/>
      <c r="G16" s="216"/>
      <c r="H16" s="165">
        <f t="shared" si="0"/>
        <v>0</v>
      </c>
      <c r="I16" s="39"/>
    </row>
    <row r="17" spans="1:9" ht="15.9" customHeight="1">
      <c r="A17" s="433"/>
      <c r="B17" s="206"/>
      <c r="C17" s="213"/>
      <c r="D17" s="213"/>
      <c r="E17" s="214"/>
      <c r="F17" s="216"/>
      <c r="G17" s="216"/>
      <c r="H17" s="165">
        <f t="shared" si="0"/>
        <v>0</v>
      </c>
      <c r="I17" s="39"/>
    </row>
    <row r="18" spans="1:9" ht="15.9" customHeight="1">
      <c r="A18" s="433"/>
      <c r="B18" s="206"/>
      <c r="C18" s="213"/>
      <c r="D18" s="213"/>
      <c r="E18" s="214"/>
      <c r="F18" s="216"/>
      <c r="G18" s="216"/>
      <c r="H18" s="165">
        <f t="shared" si="0"/>
        <v>0</v>
      </c>
      <c r="I18" s="39"/>
    </row>
    <row r="19" spans="1:9" ht="15.9" customHeight="1">
      <c r="A19" s="433"/>
      <c r="B19" s="206"/>
      <c r="C19" s="213"/>
      <c r="D19" s="213"/>
      <c r="E19" s="214"/>
      <c r="F19" s="216"/>
      <c r="G19" s="216"/>
      <c r="H19" s="165">
        <f t="shared" si="0"/>
        <v>0</v>
      </c>
      <c r="I19" s="39"/>
    </row>
    <row r="20" spans="1:9" ht="15.9" customHeight="1">
      <c r="A20" s="433"/>
      <c r="B20" s="206"/>
      <c r="C20" s="213"/>
      <c r="D20" s="213"/>
      <c r="E20" s="214"/>
      <c r="F20" s="216"/>
      <c r="G20" s="216"/>
      <c r="H20" s="165">
        <f t="shared" si="0"/>
        <v>0</v>
      </c>
      <c r="I20" s="39"/>
    </row>
    <row r="21" spans="1:9" ht="15.9" customHeight="1">
      <c r="A21" s="433"/>
      <c r="B21" s="206"/>
      <c r="C21" s="213"/>
      <c r="D21" s="213"/>
      <c r="E21" s="213"/>
      <c r="F21" s="216"/>
      <c r="G21" s="216"/>
      <c r="H21" s="165">
        <f t="shared" si="0"/>
        <v>0</v>
      </c>
      <c r="I21" s="39"/>
    </row>
    <row r="22" spans="1:9" ht="15.9" customHeight="1">
      <c r="A22" s="433"/>
      <c r="B22" s="206"/>
      <c r="C22" s="213"/>
      <c r="D22" s="213"/>
      <c r="E22" s="213"/>
      <c r="F22" s="216"/>
      <c r="G22" s="216"/>
      <c r="H22" s="165">
        <f t="shared" si="0"/>
        <v>0</v>
      </c>
      <c r="I22" s="39"/>
    </row>
    <row r="23" spans="1:9" ht="15.9" customHeight="1">
      <c r="A23" s="433"/>
      <c r="B23" s="206"/>
      <c r="C23" s="217" t="s">
        <v>129</v>
      </c>
      <c r="D23" s="234"/>
      <c r="E23" s="234"/>
      <c r="F23" s="236"/>
      <c r="G23" s="236"/>
      <c r="H23" s="237">
        <f t="shared" si="0"/>
        <v>0</v>
      </c>
      <c r="I23" s="238"/>
    </row>
    <row r="24" spans="1:9" ht="15.9" customHeight="1">
      <c r="A24" s="433"/>
      <c r="B24" s="221"/>
      <c r="C24" s="240"/>
      <c r="D24" s="240"/>
      <c r="E24" s="240"/>
      <c r="F24" s="243"/>
      <c r="G24" s="243"/>
      <c r="H24" s="244">
        <f>SUM(H3:H23)</f>
        <v>0</v>
      </c>
      <c r="I24" s="240"/>
    </row>
    <row r="25" spans="1:9" ht="15.9" customHeight="1">
      <c r="A25" s="433"/>
      <c r="B25" s="206" t="s">
        <v>147</v>
      </c>
      <c r="C25" s="207"/>
      <c r="D25" s="207"/>
      <c r="E25" s="207"/>
      <c r="F25" s="210"/>
      <c r="G25" s="210"/>
      <c r="H25" s="211">
        <f t="shared" si="0"/>
        <v>0</v>
      </c>
      <c r="I25" s="212"/>
    </row>
    <row r="26" spans="1:9" ht="15.9" customHeight="1">
      <c r="A26" s="433"/>
      <c r="B26" s="206" t="s">
        <v>148</v>
      </c>
      <c r="C26" s="213"/>
      <c r="D26" s="213"/>
      <c r="E26" s="213"/>
      <c r="F26" s="216"/>
      <c r="G26" s="216"/>
      <c r="H26" s="165">
        <f t="shared" si="0"/>
        <v>0</v>
      </c>
      <c r="I26" s="39"/>
    </row>
    <row r="27" spans="1:9" ht="15.9" customHeight="1">
      <c r="A27" s="433"/>
      <c r="B27" s="206"/>
      <c r="C27" s="213"/>
      <c r="D27" s="213"/>
      <c r="E27" s="213"/>
      <c r="F27" s="216"/>
      <c r="G27" s="216"/>
      <c r="H27" s="165">
        <f t="shared" si="0"/>
        <v>0</v>
      </c>
      <c r="I27" s="39"/>
    </row>
    <row r="28" spans="1:9" ht="15.9" customHeight="1">
      <c r="A28" s="433"/>
      <c r="B28" s="206"/>
      <c r="C28" s="213"/>
      <c r="D28" s="213"/>
      <c r="E28" s="213"/>
      <c r="F28" s="216"/>
      <c r="G28" s="216"/>
      <c r="H28" s="165">
        <f t="shared" si="0"/>
        <v>0</v>
      </c>
      <c r="I28" s="39"/>
    </row>
    <row r="29" spans="1:9" ht="15.9" customHeight="1">
      <c r="A29" s="433"/>
      <c r="B29" s="206"/>
      <c r="C29" s="234"/>
      <c r="D29" s="234"/>
      <c r="E29" s="234"/>
      <c r="F29" s="236"/>
      <c r="G29" s="236"/>
      <c r="H29" s="165">
        <f t="shared" si="0"/>
        <v>0</v>
      </c>
      <c r="I29" s="238"/>
    </row>
    <row r="30" spans="1:9" ht="15.9" customHeight="1">
      <c r="A30" s="433"/>
      <c r="B30" s="206"/>
      <c r="C30" s="234"/>
      <c r="D30" s="234"/>
      <c r="E30" s="234"/>
      <c r="F30" s="236"/>
      <c r="G30" s="236"/>
      <c r="H30" s="165">
        <f t="shared" si="0"/>
        <v>0</v>
      </c>
      <c r="I30" s="238"/>
    </row>
    <row r="31" spans="1:9" ht="15.9" customHeight="1">
      <c r="A31" s="433"/>
      <c r="B31" s="206"/>
      <c r="C31" s="234"/>
      <c r="D31" s="234"/>
      <c r="E31" s="234"/>
      <c r="F31" s="236"/>
      <c r="G31" s="236"/>
      <c r="H31" s="165">
        <f t="shared" si="0"/>
        <v>0</v>
      </c>
      <c r="I31" s="238"/>
    </row>
    <row r="32" spans="1:9" ht="15.9" customHeight="1">
      <c r="A32" s="433"/>
      <c r="B32" s="206"/>
      <c r="C32" s="234"/>
      <c r="D32" s="234"/>
      <c r="E32" s="234"/>
      <c r="F32" s="236"/>
      <c r="G32" s="236"/>
      <c r="H32" s="165">
        <f t="shared" si="0"/>
        <v>0</v>
      </c>
      <c r="I32" s="238"/>
    </row>
    <row r="33" spans="1:9" ht="15.9" customHeight="1">
      <c r="A33" s="433"/>
      <c r="B33" s="206"/>
      <c r="C33" s="234"/>
      <c r="D33" s="234"/>
      <c r="E33" s="234"/>
      <c r="F33" s="236"/>
      <c r="G33" s="236"/>
      <c r="H33" s="165">
        <f t="shared" si="0"/>
        <v>0</v>
      </c>
      <c r="I33" s="238"/>
    </row>
    <row r="34" spans="1:9" ht="15.9" customHeight="1">
      <c r="A34" s="433"/>
      <c r="B34" s="206"/>
      <c r="C34" s="217" t="s">
        <v>129</v>
      </c>
      <c r="D34" s="217"/>
      <c r="E34" s="217"/>
      <c r="F34" s="220"/>
      <c r="G34" s="220"/>
      <c r="H34" s="165">
        <f t="shared" si="0"/>
        <v>0</v>
      </c>
      <c r="I34" s="42"/>
    </row>
    <row r="35" spans="1:9" ht="15.9" customHeight="1">
      <c r="A35" s="433"/>
      <c r="B35" s="221"/>
      <c r="C35" s="222"/>
      <c r="D35" s="223"/>
      <c r="E35" s="223"/>
      <c r="F35" s="291"/>
      <c r="G35" s="225"/>
      <c r="H35" s="49">
        <f>SUM(H25:H34)</f>
        <v>0</v>
      </c>
      <c r="I35" s="46"/>
    </row>
    <row r="36" spans="1:9" ht="15.9" customHeight="1">
      <c r="A36" s="433"/>
      <c r="B36" s="245" t="s">
        <v>149</v>
      </c>
      <c r="C36" s="227"/>
      <c r="D36" s="227"/>
      <c r="E36" s="228"/>
      <c r="F36" s="230"/>
      <c r="G36" s="230"/>
      <c r="H36" s="231">
        <f t="shared" si="0"/>
        <v>0</v>
      </c>
      <c r="I36" s="232"/>
    </row>
    <row r="37" spans="1:9" ht="15.9" customHeight="1">
      <c r="A37" s="433"/>
      <c r="B37" s="206" t="s">
        <v>150</v>
      </c>
      <c r="C37" s="213"/>
      <c r="D37" s="213"/>
      <c r="E37" s="214"/>
      <c r="F37" s="216"/>
      <c r="G37" s="216"/>
      <c r="H37" s="165">
        <f t="shared" si="0"/>
        <v>0</v>
      </c>
      <c r="I37" s="39"/>
    </row>
    <row r="38" spans="1:9" ht="15.9" customHeight="1">
      <c r="A38" s="433"/>
      <c r="B38" s="206"/>
      <c r="C38" s="213"/>
      <c r="D38" s="213"/>
      <c r="E38" s="214"/>
      <c r="F38" s="216"/>
      <c r="G38" s="216"/>
      <c r="H38" s="165">
        <f t="shared" si="0"/>
        <v>0</v>
      </c>
      <c r="I38" s="39"/>
    </row>
    <row r="39" spans="1:9" ht="15.9" customHeight="1">
      <c r="A39" s="433"/>
      <c r="B39" s="206"/>
      <c r="C39" s="213"/>
      <c r="D39" s="213"/>
      <c r="E39" s="214"/>
      <c r="F39" s="216"/>
      <c r="G39" s="216"/>
      <c r="H39" s="165">
        <f t="shared" si="0"/>
        <v>0</v>
      </c>
      <c r="I39" s="39"/>
    </row>
    <row r="40" spans="1:9" ht="15.9" customHeight="1">
      <c r="A40" s="433"/>
      <c r="B40" s="206"/>
      <c r="C40" s="213"/>
      <c r="D40" s="213"/>
      <c r="E40" s="214"/>
      <c r="F40" s="216"/>
      <c r="G40" s="216"/>
      <c r="H40" s="165">
        <f t="shared" si="0"/>
        <v>0</v>
      </c>
      <c r="I40" s="39"/>
    </row>
    <row r="41" spans="1:9" ht="15.9" customHeight="1">
      <c r="A41" s="433"/>
      <c r="B41" s="206"/>
      <c r="C41" s="213"/>
      <c r="D41" s="213"/>
      <c r="E41" s="214"/>
      <c r="F41" s="216"/>
      <c r="G41" s="216"/>
      <c r="H41" s="165">
        <f t="shared" si="0"/>
        <v>0</v>
      </c>
      <c r="I41" s="39"/>
    </row>
    <row r="42" spans="1:9" ht="15.9" customHeight="1">
      <c r="A42" s="433"/>
      <c r="B42" s="206"/>
      <c r="C42" s="213"/>
      <c r="D42" s="213"/>
      <c r="E42" s="214"/>
      <c r="F42" s="216"/>
      <c r="G42" s="216"/>
      <c r="H42" s="165">
        <f t="shared" si="0"/>
        <v>0</v>
      </c>
      <c r="I42" s="39"/>
    </row>
    <row r="43" spans="1:9" ht="15.9" customHeight="1">
      <c r="A43" s="433"/>
      <c r="B43" s="206"/>
      <c r="C43" s="213"/>
      <c r="D43" s="213"/>
      <c r="E43" s="214"/>
      <c r="F43" s="216"/>
      <c r="G43" s="216"/>
      <c r="H43" s="165">
        <f t="shared" si="0"/>
        <v>0</v>
      </c>
      <c r="I43" s="39"/>
    </row>
    <row r="44" spans="1:9" ht="15.9" customHeight="1">
      <c r="A44" s="433"/>
      <c r="B44" s="206"/>
      <c r="C44" s="213"/>
      <c r="D44" s="213"/>
      <c r="E44" s="214"/>
      <c r="F44" s="216"/>
      <c r="G44" s="216"/>
      <c r="H44" s="165">
        <f t="shared" si="0"/>
        <v>0</v>
      </c>
      <c r="I44" s="39"/>
    </row>
    <row r="45" spans="1:9" ht="15.9" customHeight="1">
      <c r="A45" s="433"/>
      <c r="B45" s="206"/>
      <c r="C45" s="213"/>
      <c r="D45" s="213"/>
      <c r="E45" s="214"/>
      <c r="F45" s="216"/>
      <c r="G45" s="216"/>
      <c r="H45" s="165">
        <f t="shared" si="0"/>
        <v>0</v>
      </c>
      <c r="I45" s="39"/>
    </row>
    <row r="46" spans="1:9" ht="15.9" customHeight="1">
      <c r="A46" s="433"/>
      <c r="B46" s="206"/>
      <c r="C46" s="213"/>
      <c r="D46" s="213"/>
      <c r="E46" s="214"/>
      <c r="F46" s="216"/>
      <c r="G46" s="216"/>
      <c r="H46" s="165">
        <f t="shared" si="0"/>
        <v>0</v>
      </c>
      <c r="I46" s="39"/>
    </row>
    <row r="47" spans="1:9" ht="15.9" customHeight="1">
      <c r="A47" s="433"/>
      <c r="B47" s="206"/>
      <c r="C47" s="213"/>
      <c r="D47" s="213"/>
      <c r="E47" s="214"/>
      <c r="F47" s="216"/>
      <c r="G47" s="216"/>
      <c r="H47" s="165">
        <f t="shared" si="0"/>
        <v>0</v>
      </c>
      <c r="I47" s="39"/>
    </row>
    <row r="48" spans="1:9" ht="15.9" customHeight="1">
      <c r="A48" s="433"/>
      <c r="B48" s="206"/>
      <c r="C48" s="213"/>
      <c r="D48" s="213"/>
      <c r="E48" s="214"/>
      <c r="F48" s="216"/>
      <c r="G48" s="216"/>
      <c r="H48" s="165">
        <f t="shared" si="0"/>
        <v>0</v>
      </c>
      <c r="I48" s="39"/>
    </row>
    <row r="49" spans="1:9" ht="15.9" customHeight="1">
      <c r="A49" s="433"/>
      <c r="B49" s="206"/>
      <c r="C49" s="213"/>
      <c r="D49" s="213"/>
      <c r="E49" s="214"/>
      <c r="F49" s="216"/>
      <c r="G49" s="216"/>
      <c r="H49" s="165">
        <f t="shared" si="0"/>
        <v>0</v>
      </c>
      <c r="I49" s="39"/>
    </row>
    <row r="50" spans="1:9" ht="15.9" customHeight="1">
      <c r="A50" s="433"/>
      <c r="B50" s="206"/>
      <c r="C50" s="213"/>
      <c r="D50" s="213"/>
      <c r="E50" s="214"/>
      <c r="F50" s="216"/>
      <c r="G50" s="216"/>
      <c r="H50" s="165">
        <f t="shared" si="0"/>
        <v>0</v>
      </c>
      <c r="I50" s="39"/>
    </row>
    <row r="51" spans="1:9" ht="15.9" customHeight="1">
      <c r="A51" s="433"/>
      <c r="B51" s="206"/>
      <c r="C51" s="234"/>
      <c r="D51" s="234"/>
      <c r="E51" s="483"/>
      <c r="F51" s="236"/>
      <c r="G51" s="236"/>
      <c r="H51" s="165">
        <f t="shared" si="0"/>
        <v>0</v>
      </c>
      <c r="I51" s="238"/>
    </row>
    <row r="52" spans="1:9" ht="15.9" customHeight="1">
      <c r="A52" s="433"/>
      <c r="B52" s="206"/>
      <c r="C52" s="234"/>
      <c r="D52" s="234"/>
      <c r="E52" s="483"/>
      <c r="F52" s="236"/>
      <c r="G52" s="236"/>
      <c r="H52" s="165">
        <f t="shared" si="0"/>
        <v>0</v>
      </c>
      <c r="I52" s="238"/>
    </row>
    <row r="53" spans="1:9" ht="15.9" customHeight="1">
      <c r="A53" s="433"/>
      <c r="B53" s="206"/>
      <c r="C53" s="234"/>
      <c r="D53" s="234"/>
      <c r="E53" s="483"/>
      <c r="F53" s="236"/>
      <c r="G53" s="236"/>
      <c r="H53" s="165">
        <f t="shared" si="0"/>
        <v>0</v>
      </c>
      <c r="I53" s="238"/>
    </row>
    <row r="54" spans="1:9" ht="15.9" customHeight="1">
      <c r="A54" s="433"/>
      <c r="B54" s="206"/>
      <c r="C54" s="234"/>
      <c r="D54" s="234"/>
      <c r="E54" s="483"/>
      <c r="F54" s="236"/>
      <c r="G54" s="236"/>
      <c r="H54" s="165">
        <f t="shared" si="0"/>
        <v>0</v>
      </c>
      <c r="I54" s="238"/>
    </row>
    <row r="55" spans="1:9" ht="15.9" customHeight="1">
      <c r="A55" s="433"/>
      <c r="B55" s="206"/>
      <c r="C55" s="217" t="s">
        <v>129</v>
      </c>
      <c r="D55" s="218"/>
      <c r="E55" s="218" t="s">
        <v>130</v>
      </c>
      <c r="F55" s="219"/>
      <c r="G55" s="220"/>
      <c r="H55" s="175">
        <f t="shared" si="0"/>
        <v>0</v>
      </c>
      <c r="I55" s="42"/>
    </row>
    <row r="56" spans="1:9" ht="15.9" customHeight="1">
      <c r="A56" s="433"/>
      <c r="B56" s="221"/>
      <c r="C56" s="222"/>
      <c r="D56" s="223"/>
      <c r="E56" s="223"/>
      <c r="F56" s="225"/>
      <c r="G56" s="225"/>
      <c r="H56" s="49">
        <f>SUM(H36:H55)</f>
        <v>0</v>
      </c>
      <c r="I56" s="46"/>
    </row>
    <row r="57" spans="1:9" ht="15.9" customHeight="1">
      <c r="A57" s="433"/>
      <c r="B57" s="245" t="s">
        <v>51</v>
      </c>
      <c r="C57" s="213"/>
      <c r="D57" s="272"/>
      <c r="E57" s="272"/>
      <c r="F57" s="273"/>
      <c r="G57" s="216"/>
      <c r="H57" s="231">
        <f t="shared" si="0"/>
        <v>0</v>
      </c>
      <c r="I57" s="232"/>
    </row>
    <row r="58" spans="1:9" ht="15.9" customHeight="1">
      <c r="A58" s="433"/>
      <c r="B58" s="206"/>
      <c r="C58" s="213"/>
      <c r="D58" s="302"/>
      <c r="E58" s="272"/>
      <c r="F58" s="273"/>
      <c r="G58" s="216"/>
      <c r="H58" s="165">
        <f t="shared" si="0"/>
        <v>0</v>
      </c>
      <c r="I58" s="39"/>
    </row>
    <row r="59" spans="1:9" ht="15.9" customHeight="1">
      <c r="A59" s="433"/>
      <c r="B59" s="206"/>
      <c r="C59" s="213"/>
      <c r="D59" s="272"/>
      <c r="E59" s="272"/>
      <c r="F59" s="273"/>
      <c r="G59" s="216"/>
      <c r="H59" s="165">
        <f t="shared" si="0"/>
        <v>0</v>
      </c>
      <c r="I59" s="39"/>
    </row>
    <row r="60" spans="1:9" ht="15.9" customHeight="1">
      <c r="A60" s="433"/>
      <c r="B60" s="206"/>
      <c r="C60" s="213"/>
      <c r="D60" s="213"/>
      <c r="E60" s="272"/>
      <c r="F60" s="215"/>
      <c r="G60" s="216"/>
      <c r="H60" s="165">
        <f t="shared" si="0"/>
        <v>0</v>
      </c>
      <c r="I60" s="39"/>
    </row>
    <row r="61" spans="1:9" ht="15.9" customHeight="1">
      <c r="A61" s="433"/>
      <c r="B61" s="206"/>
      <c r="C61" s="213"/>
      <c r="D61" s="213"/>
      <c r="E61" s="272"/>
      <c r="F61" s="215"/>
      <c r="G61" s="216"/>
      <c r="H61" s="165">
        <f t="shared" si="0"/>
        <v>0</v>
      </c>
      <c r="I61" s="39"/>
    </row>
    <row r="62" spans="1:9" ht="15.9" customHeight="1">
      <c r="A62" s="433"/>
      <c r="B62" s="206"/>
      <c r="C62" s="213"/>
      <c r="D62" s="213"/>
      <c r="E62" s="272"/>
      <c r="F62" s="216"/>
      <c r="G62" s="216"/>
      <c r="H62" s="165">
        <f t="shared" si="0"/>
        <v>0</v>
      </c>
      <c r="I62" s="39"/>
    </row>
    <row r="63" spans="1:9" ht="15.9" customHeight="1">
      <c r="A63" s="433"/>
      <c r="B63" s="206"/>
      <c r="C63" s="234"/>
      <c r="D63" s="234"/>
      <c r="E63" s="484"/>
      <c r="F63" s="236"/>
      <c r="G63" s="236"/>
      <c r="H63" s="165">
        <f t="shared" si="0"/>
        <v>0</v>
      </c>
      <c r="I63" s="238"/>
    </row>
    <row r="64" spans="1:9" ht="15.9" customHeight="1">
      <c r="A64" s="433"/>
      <c r="B64" s="206"/>
      <c r="C64" s="234"/>
      <c r="D64" s="234"/>
      <c r="E64" s="484"/>
      <c r="F64" s="236"/>
      <c r="G64" s="236"/>
      <c r="H64" s="165">
        <f t="shared" si="0"/>
        <v>0</v>
      </c>
      <c r="I64" s="238"/>
    </row>
    <row r="65" spans="1:9" ht="15.9" customHeight="1">
      <c r="A65" s="433"/>
      <c r="B65" s="206"/>
      <c r="C65" s="234"/>
      <c r="D65" s="234"/>
      <c r="E65" s="484"/>
      <c r="F65" s="236"/>
      <c r="G65" s="236"/>
      <c r="H65" s="165">
        <f t="shared" si="0"/>
        <v>0</v>
      </c>
      <c r="I65" s="238"/>
    </row>
    <row r="66" spans="1:9" ht="15.9" customHeight="1">
      <c r="A66" s="433"/>
      <c r="B66" s="206"/>
      <c r="C66" s="234"/>
      <c r="D66" s="234"/>
      <c r="E66" s="484"/>
      <c r="F66" s="236"/>
      <c r="G66" s="236"/>
      <c r="H66" s="165">
        <f t="shared" si="0"/>
        <v>0</v>
      </c>
      <c r="I66" s="238"/>
    </row>
    <row r="67" spans="1:9" ht="15.9" customHeight="1">
      <c r="A67" s="433"/>
      <c r="B67" s="206"/>
      <c r="C67" s="234"/>
      <c r="D67" s="234"/>
      <c r="E67" s="484"/>
      <c r="F67" s="236"/>
      <c r="G67" s="236"/>
      <c r="H67" s="165">
        <f t="shared" si="0"/>
        <v>0</v>
      </c>
      <c r="I67" s="238"/>
    </row>
    <row r="68" spans="1:9" ht="15.9" customHeight="1">
      <c r="A68" s="433"/>
      <c r="B68" s="206"/>
      <c r="C68" s="234"/>
      <c r="D68" s="234"/>
      <c r="E68" s="484"/>
      <c r="F68" s="236"/>
      <c r="G68" s="236"/>
      <c r="H68" s="165">
        <f t="shared" si="0"/>
        <v>0</v>
      </c>
      <c r="I68" s="238"/>
    </row>
    <row r="69" spans="1:9" ht="15.9" customHeight="1">
      <c r="A69" s="433"/>
      <c r="B69" s="206"/>
      <c r="C69" s="234"/>
      <c r="D69" s="234"/>
      <c r="E69" s="484"/>
      <c r="F69" s="236"/>
      <c r="G69" s="236"/>
      <c r="H69" s="165">
        <f t="shared" si="0"/>
        <v>0</v>
      </c>
      <c r="I69" s="238"/>
    </row>
    <row r="70" spans="1:9" ht="15.9" customHeight="1">
      <c r="A70" s="433"/>
      <c r="B70" s="206"/>
      <c r="C70" s="234"/>
      <c r="D70" s="234"/>
      <c r="E70" s="484"/>
      <c r="F70" s="236"/>
      <c r="G70" s="236"/>
      <c r="H70" s="165">
        <f t="shared" si="0"/>
        <v>0</v>
      </c>
      <c r="I70" s="238"/>
    </row>
    <row r="71" spans="1:9" ht="15.9" customHeight="1">
      <c r="A71" s="433"/>
      <c r="B71" s="206"/>
      <c r="C71" s="234"/>
      <c r="D71" s="234"/>
      <c r="E71" s="484"/>
      <c r="F71" s="236"/>
      <c r="G71" s="236"/>
      <c r="H71" s="165">
        <f t="shared" si="0"/>
        <v>0</v>
      </c>
      <c r="I71" s="238"/>
    </row>
    <row r="72" spans="1:9" ht="15.9" customHeight="1">
      <c r="A72" s="433"/>
      <c r="B72" s="206"/>
      <c r="C72" s="234"/>
      <c r="D72" s="234"/>
      <c r="E72" s="484"/>
      <c r="F72" s="236"/>
      <c r="G72" s="236"/>
      <c r="H72" s="165">
        <f t="shared" si="0"/>
        <v>0</v>
      </c>
      <c r="I72" s="238"/>
    </row>
    <row r="73" spans="1:9" ht="15.9" customHeight="1">
      <c r="A73" s="433"/>
      <c r="B73" s="206"/>
      <c r="C73" s="234"/>
      <c r="D73" s="234"/>
      <c r="E73" s="484"/>
      <c r="F73" s="236"/>
      <c r="G73" s="236"/>
      <c r="H73" s="165">
        <f t="shared" si="0"/>
        <v>0</v>
      </c>
      <c r="I73" s="238"/>
    </row>
    <row r="74" spans="1:9" ht="15.9" customHeight="1">
      <c r="A74" s="433"/>
      <c r="B74" s="206"/>
      <c r="C74" s="234"/>
      <c r="D74" s="234"/>
      <c r="E74" s="484"/>
      <c r="F74" s="236"/>
      <c r="G74" s="236"/>
      <c r="H74" s="165">
        <f t="shared" si="0"/>
        <v>0</v>
      </c>
      <c r="I74" s="238"/>
    </row>
    <row r="75" spans="1:9" ht="15.9" customHeight="1">
      <c r="A75" s="433"/>
      <c r="B75" s="206"/>
      <c r="C75" s="234"/>
      <c r="D75" s="234"/>
      <c r="E75" s="484"/>
      <c r="F75" s="236"/>
      <c r="G75" s="236"/>
      <c r="H75" s="165">
        <f t="shared" si="0"/>
        <v>0</v>
      </c>
      <c r="I75" s="238"/>
    </row>
    <row r="76" spans="1:9" ht="15.9" customHeight="1">
      <c r="A76" s="433"/>
      <c r="B76" s="206"/>
      <c r="C76" s="217"/>
      <c r="D76" s="217"/>
      <c r="E76" s="307"/>
      <c r="F76" s="220"/>
      <c r="G76" s="220"/>
      <c r="H76" s="175">
        <f t="shared" si="0"/>
        <v>0</v>
      </c>
      <c r="I76" s="42"/>
    </row>
    <row r="77" spans="1:9" ht="15.9" customHeight="1">
      <c r="A77" s="433"/>
      <c r="B77" s="221"/>
      <c r="C77" s="222"/>
      <c r="D77" s="223"/>
      <c r="E77" s="223"/>
      <c r="F77" s="225"/>
      <c r="G77" s="225"/>
      <c r="H77" s="49">
        <f>SUM(H57:H76)</f>
        <v>0</v>
      </c>
      <c r="I77" s="46"/>
    </row>
    <row r="78" spans="1:9" ht="15.9" customHeight="1">
      <c r="A78" s="246"/>
      <c r="B78" s="247" t="s">
        <v>131</v>
      </c>
      <c r="C78" s="248"/>
      <c r="D78" s="46"/>
      <c r="E78" s="46"/>
      <c r="F78" s="250"/>
      <c r="G78" s="250"/>
      <c r="H78" s="49">
        <f>SUM(H77,H56,H35,H24)</f>
        <v>0</v>
      </c>
      <c r="I78" s="46"/>
    </row>
    <row r="79" spans="1:9" ht="15.9" customHeight="1">
      <c r="A79" s="429" t="s">
        <v>132</v>
      </c>
      <c r="B79" s="251" t="s">
        <v>57</v>
      </c>
      <c r="C79" s="248"/>
      <c r="D79" s="46"/>
      <c r="E79" s="251" t="s">
        <v>58</v>
      </c>
      <c r="F79" s="265"/>
      <c r="G79" s="254"/>
      <c r="H79" s="255">
        <f>F79*G79</f>
        <v>0</v>
      </c>
      <c r="I79" s="46"/>
    </row>
    <row r="80" spans="1:9" ht="15.9" customHeight="1">
      <c r="A80" s="433"/>
      <c r="B80" s="256" t="s">
        <v>152</v>
      </c>
      <c r="C80" s="257"/>
      <c r="D80" s="232"/>
      <c r="E80" s="256" t="s">
        <v>134</v>
      </c>
      <c r="F80" s="230"/>
      <c r="G80" s="230"/>
      <c r="H80" s="231">
        <f t="shared" ref="H80:H86" si="1">F80*G80</f>
        <v>0</v>
      </c>
      <c r="I80" s="232"/>
    </row>
    <row r="81" spans="1:9" ht="15.9" customHeight="1">
      <c r="A81" s="433"/>
      <c r="B81" s="258" t="s">
        <v>153</v>
      </c>
      <c r="C81" s="259"/>
      <c r="D81" s="39"/>
      <c r="E81" s="258" t="s">
        <v>134</v>
      </c>
      <c r="F81" s="216"/>
      <c r="G81" s="216"/>
      <c r="H81" s="165">
        <f t="shared" si="1"/>
        <v>0</v>
      </c>
      <c r="I81" s="39"/>
    </row>
    <row r="82" spans="1:9" ht="15.9" customHeight="1">
      <c r="A82" s="433"/>
      <c r="B82" s="258" t="s">
        <v>154</v>
      </c>
      <c r="C82" s="259"/>
      <c r="D82" s="39"/>
      <c r="E82" s="258" t="s">
        <v>134</v>
      </c>
      <c r="F82" s="216"/>
      <c r="G82" s="216"/>
      <c r="H82" s="165">
        <f t="shared" si="1"/>
        <v>0</v>
      </c>
      <c r="I82" s="39"/>
    </row>
    <row r="83" spans="1:9" ht="15.9" customHeight="1">
      <c r="A83" s="433"/>
      <c r="B83" s="258" t="s">
        <v>155</v>
      </c>
      <c r="C83" s="259"/>
      <c r="D83" s="39"/>
      <c r="E83" s="258" t="s">
        <v>134</v>
      </c>
      <c r="F83" s="216"/>
      <c r="G83" s="216"/>
      <c r="H83" s="165">
        <f t="shared" si="1"/>
        <v>0</v>
      </c>
      <c r="I83" s="39"/>
    </row>
    <row r="84" spans="1:9" ht="15.9" customHeight="1">
      <c r="A84" s="433"/>
      <c r="B84" s="258" t="s">
        <v>156</v>
      </c>
      <c r="C84" s="259"/>
      <c r="D84" s="39"/>
      <c r="E84" s="258" t="s">
        <v>134</v>
      </c>
      <c r="F84" s="216"/>
      <c r="G84" s="216"/>
      <c r="H84" s="165">
        <f t="shared" si="1"/>
        <v>0</v>
      </c>
      <c r="I84" s="39"/>
    </row>
    <row r="85" spans="1:9" ht="15.9" customHeight="1">
      <c r="A85" s="433"/>
      <c r="B85" s="258" t="s">
        <v>157</v>
      </c>
      <c r="C85" s="259"/>
      <c r="D85" s="39"/>
      <c r="E85" s="258" t="s">
        <v>134</v>
      </c>
      <c r="F85" s="216"/>
      <c r="G85" s="216"/>
      <c r="H85" s="165">
        <f t="shared" si="1"/>
        <v>0</v>
      </c>
      <c r="I85" s="39"/>
    </row>
    <row r="86" spans="1:9" ht="15.9" customHeight="1">
      <c r="A86" s="433"/>
      <c r="B86" s="260" t="s">
        <v>162</v>
      </c>
      <c r="C86" s="261" t="s">
        <v>163</v>
      </c>
      <c r="D86" s="42"/>
      <c r="E86" s="260" t="s">
        <v>134</v>
      </c>
      <c r="F86" s="308"/>
      <c r="G86" s="220"/>
      <c r="H86" s="175">
        <f t="shared" si="1"/>
        <v>0</v>
      </c>
      <c r="I86" s="42"/>
    </row>
    <row r="87" spans="1:9" ht="15.9" customHeight="1">
      <c r="A87" s="246"/>
      <c r="B87" s="262" t="s">
        <v>140</v>
      </c>
      <c r="C87" s="248"/>
      <c r="D87" s="46"/>
      <c r="E87" s="46"/>
      <c r="F87" s="225"/>
      <c r="G87" s="225"/>
      <c r="H87" s="225">
        <f>SUM(H79:H86)</f>
        <v>0</v>
      </c>
      <c r="I87" s="223"/>
    </row>
    <row r="88" spans="1:9" ht="15.9" customHeight="1">
      <c r="A88" s="252"/>
      <c r="B88" s="262" t="s">
        <v>159</v>
      </c>
      <c r="C88" s="248"/>
      <c r="D88" s="46"/>
      <c r="E88" s="46"/>
      <c r="F88" s="49"/>
      <c r="G88" s="49"/>
      <c r="H88" s="250">
        <f>'단위공사별(집계)'!L12+'단위공사별(집계)'!I12</f>
        <v>0</v>
      </c>
      <c r="I88" s="46"/>
    </row>
    <row r="89" spans="1:9" ht="15.9" customHeight="1">
      <c r="A89" s="252"/>
      <c r="B89" s="262" t="s">
        <v>83</v>
      </c>
      <c r="C89" s="248"/>
      <c r="D89" s="46"/>
      <c r="E89" s="46"/>
      <c r="F89" s="49"/>
      <c r="G89" s="264"/>
      <c r="H89" s="265">
        <f>(H87+H78)*0.05</f>
        <v>0</v>
      </c>
      <c r="I89" s="248"/>
    </row>
    <row r="90" spans="1:9" ht="15.9" customHeight="1">
      <c r="A90" s="252"/>
      <c r="B90" s="262" t="s">
        <v>143</v>
      </c>
      <c r="C90" s="248"/>
      <c r="D90" s="46"/>
      <c r="E90" s="46"/>
      <c r="F90" s="49"/>
      <c r="G90" s="264"/>
      <c r="H90" s="265">
        <f>(H87+H78)*0.1</f>
        <v>0</v>
      </c>
      <c r="I90" s="248"/>
    </row>
    <row r="91" spans="1:9" ht="15.9" customHeight="1">
      <c r="A91" s="252"/>
      <c r="B91" s="262" t="s">
        <v>144</v>
      </c>
      <c r="C91" s="248"/>
      <c r="D91" s="46"/>
      <c r="E91" s="46"/>
      <c r="F91" s="49"/>
      <c r="G91" s="49"/>
      <c r="H91" s="225">
        <f>H78+H87+H88+H89+H90</f>
        <v>0</v>
      </c>
      <c r="I91" s="46"/>
    </row>
    <row r="92" spans="1:9">
      <c r="A92" s="26"/>
    </row>
  </sheetData>
  <mergeCells count="3">
    <mergeCell ref="A2:B2"/>
    <mergeCell ref="A3:A77"/>
    <mergeCell ref="A79:A8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손철호 책임매니저 통합구매팀 son@hyundai-wia.com 2026-07-07T14:05:14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9DBD8-8001-470A-A359-723717638236}">
  <sheetPr>
    <tabColor rgb="FF00B050"/>
    <pageSetUpPr fitToPage="1"/>
  </sheetPr>
  <dimension ref="A1:I92"/>
  <sheetViews>
    <sheetView zoomScale="85" workbookViewId="0">
      <pane xSplit="2" ySplit="2" topLeftCell="C3" activePane="bottomRight" state="frozen"/>
      <selection activeCell="F18" sqref="F18:F27"/>
      <selection pane="topRight" activeCell="F18" sqref="F18:F27"/>
      <selection pane="bottomLeft" activeCell="F18" sqref="F18:F27"/>
      <selection pane="bottomRight" activeCell="F18" sqref="F18:F27"/>
    </sheetView>
  </sheetViews>
  <sheetFormatPr defaultColWidth="9" defaultRowHeight="14.4"/>
  <cols>
    <col min="1" max="1" width="5" style="24" customWidth="1"/>
    <col min="2" max="2" width="17.8984375" style="24" bestFit="1" customWidth="1"/>
    <col min="3" max="3" width="23.59765625" style="24" customWidth="1"/>
    <col min="4" max="4" width="18.19921875" style="24" customWidth="1"/>
    <col min="5" max="5" width="5.19921875" style="24" bestFit="1" customWidth="1"/>
    <col min="6" max="6" width="9" style="48"/>
    <col min="7" max="7" width="11.8984375" style="48" customWidth="1"/>
    <col min="8" max="8" width="13.59765625" style="48" customWidth="1"/>
    <col min="9" max="9" width="12.69921875" style="24" customWidth="1"/>
    <col min="10" max="256" width="9" style="24"/>
    <col min="257" max="257" width="5" style="24" customWidth="1"/>
    <col min="258" max="258" width="17.8984375" style="24" bestFit="1" customWidth="1"/>
    <col min="259" max="259" width="23.59765625" style="24" customWidth="1"/>
    <col min="260" max="260" width="18.19921875" style="24" customWidth="1"/>
    <col min="261" max="261" width="5.19921875" style="24" bestFit="1" customWidth="1"/>
    <col min="262" max="262" width="9" style="24"/>
    <col min="263" max="263" width="11.8984375" style="24" customWidth="1"/>
    <col min="264" max="264" width="13.59765625" style="24" customWidth="1"/>
    <col min="265" max="265" width="12.69921875" style="24" customWidth="1"/>
    <col min="266" max="512" width="9" style="24"/>
    <col min="513" max="513" width="5" style="24" customWidth="1"/>
    <col min="514" max="514" width="17.8984375" style="24" bestFit="1" customWidth="1"/>
    <col min="515" max="515" width="23.59765625" style="24" customWidth="1"/>
    <col min="516" max="516" width="18.19921875" style="24" customWidth="1"/>
    <col min="517" max="517" width="5.19921875" style="24" bestFit="1" customWidth="1"/>
    <col min="518" max="518" width="9" style="24"/>
    <col min="519" max="519" width="11.8984375" style="24" customWidth="1"/>
    <col min="520" max="520" width="13.59765625" style="24" customWidth="1"/>
    <col min="521" max="521" width="12.69921875" style="24" customWidth="1"/>
    <col min="522" max="768" width="9" style="24"/>
    <col min="769" max="769" width="5" style="24" customWidth="1"/>
    <col min="770" max="770" width="17.8984375" style="24" bestFit="1" customWidth="1"/>
    <col min="771" max="771" width="23.59765625" style="24" customWidth="1"/>
    <col min="772" max="772" width="18.19921875" style="24" customWidth="1"/>
    <col min="773" max="773" width="5.19921875" style="24" bestFit="1" customWidth="1"/>
    <col min="774" max="774" width="9" style="24"/>
    <col min="775" max="775" width="11.8984375" style="24" customWidth="1"/>
    <col min="776" max="776" width="13.59765625" style="24" customWidth="1"/>
    <col min="777" max="777" width="12.69921875" style="24" customWidth="1"/>
    <col min="778" max="1024" width="9" style="24"/>
    <col min="1025" max="1025" width="5" style="24" customWidth="1"/>
    <col min="1026" max="1026" width="17.8984375" style="24" bestFit="1" customWidth="1"/>
    <col min="1027" max="1027" width="23.59765625" style="24" customWidth="1"/>
    <col min="1028" max="1028" width="18.19921875" style="24" customWidth="1"/>
    <col min="1029" max="1029" width="5.19921875" style="24" bestFit="1" customWidth="1"/>
    <col min="1030" max="1030" width="9" style="24"/>
    <col min="1031" max="1031" width="11.8984375" style="24" customWidth="1"/>
    <col min="1032" max="1032" width="13.59765625" style="24" customWidth="1"/>
    <col min="1033" max="1033" width="12.69921875" style="24" customWidth="1"/>
    <col min="1034" max="1280" width="9" style="24"/>
    <col min="1281" max="1281" width="5" style="24" customWidth="1"/>
    <col min="1282" max="1282" width="17.8984375" style="24" bestFit="1" customWidth="1"/>
    <col min="1283" max="1283" width="23.59765625" style="24" customWidth="1"/>
    <col min="1284" max="1284" width="18.19921875" style="24" customWidth="1"/>
    <col min="1285" max="1285" width="5.19921875" style="24" bestFit="1" customWidth="1"/>
    <col min="1286" max="1286" width="9" style="24"/>
    <col min="1287" max="1287" width="11.8984375" style="24" customWidth="1"/>
    <col min="1288" max="1288" width="13.59765625" style="24" customWidth="1"/>
    <col min="1289" max="1289" width="12.69921875" style="24" customWidth="1"/>
    <col min="1290" max="1536" width="9" style="24"/>
    <col min="1537" max="1537" width="5" style="24" customWidth="1"/>
    <col min="1538" max="1538" width="17.8984375" style="24" bestFit="1" customWidth="1"/>
    <col min="1539" max="1539" width="23.59765625" style="24" customWidth="1"/>
    <col min="1540" max="1540" width="18.19921875" style="24" customWidth="1"/>
    <col min="1541" max="1541" width="5.19921875" style="24" bestFit="1" customWidth="1"/>
    <col min="1542" max="1542" width="9" style="24"/>
    <col min="1543" max="1543" width="11.8984375" style="24" customWidth="1"/>
    <col min="1544" max="1544" width="13.59765625" style="24" customWidth="1"/>
    <col min="1545" max="1545" width="12.69921875" style="24" customWidth="1"/>
    <col min="1546" max="1792" width="9" style="24"/>
    <col min="1793" max="1793" width="5" style="24" customWidth="1"/>
    <col min="1794" max="1794" width="17.8984375" style="24" bestFit="1" customWidth="1"/>
    <col min="1795" max="1795" width="23.59765625" style="24" customWidth="1"/>
    <col min="1796" max="1796" width="18.19921875" style="24" customWidth="1"/>
    <col min="1797" max="1797" width="5.19921875" style="24" bestFit="1" customWidth="1"/>
    <col min="1798" max="1798" width="9" style="24"/>
    <col min="1799" max="1799" width="11.8984375" style="24" customWidth="1"/>
    <col min="1800" max="1800" width="13.59765625" style="24" customWidth="1"/>
    <col min="1801" max="1801" width="12.69921875" style="24" customWidth="1"/>
    <col min="1802" max="2048" width="9" style="24"/>
    <col min="2049" max="2049" width="5" style="24" customWidth="1"/>
    <col min="2050" max="2050" width="17.8984375" style="24" bestFit="1" customWidth="1"/>
    <col min="2051" max="2051" width="23.59765625" style="24" customWidth="1"/>
    <col min="2052" max="2052" width="18.19921875" style="24" customWidth="1"/>
    <col min="2053" max="2053" width="5.19921875" style="24" bestFit="1" customWidth="1"/>
    <col min="2054" max="2054" width="9" style="24"/>
    <col min="2055" max="2055" width="11.8984375" style="24" customWidth="1"/>
    <col min="2056" max="2056" width="13.59765625" style="24" customWidth="1"/>
    <col min="2057" max="2057" width="12.69921875" style="24" customWidth="1"/>
    <col min="2058" max="2304" width="9" style="24"/>
    <col min="2305" max="2305" width="5" style="24" customWidth="1"/>
    <col min="2306" max="2306" width="17.8984375" style="24" bestFit="1" customWidth="1"/>
    <col min="2307" max="2307" width="23.59765625" style="24" customWidth="1"/>
    <col min="2308" max="2308" width="18.19921875" style="24" customWidth="1"/>
    <col min="2309" max="2309" width="5.19921875" style="24" bestFit="1" customWidth="1"/>
    <col min="2310" max="2310" width="9" style="24"/>
    <col min="2311" max="2311" width="11.8984375" style="24" customWidth="1"/>
    <col min="2312" max="2312" width="13.59765625" style="24" customWidth="1"/>
    <col min="2313" max="2313" width="12.69921875" style="24" customWidth="1"/>
    <col min="2314" max="2560" width="9" style="24"/>
    <col min="2561" max="2561" width="5" style="24" customWidth="1"/>
    <col min="2562" max="2562" width="17.8984375" style="24" bestFit="1" customWidth="1"/>
    <col min="2563" max="2563" width="23.59765625" style="24" customWidth="1"/>
    <col min="2564" max="2564" width="18.19921875" style="24" customWidth="1"/>
    <col min="2565" max="2565" width="5.19921875" style="24" bestFit="1" customWidth="1"/>
    <col min="2566" max="2566" width="9" style="24"/>
    <col min="2567" max="2567" width="11.8984375" style="24" customWidth="1"/>
    <col min="2568" max="2568" width="13.59765625" style="24" customWidth="1"/>
    <col min="2569" max="2569" width="12.69921875" style="24" customWidth="1"/>
    <col min="2570" max="2816" width="9" style="24"/>
    <col min="2817" max="2817" width="5" style="24" customWidth="1"/>
    <col min="2818" max="2818" width="17.8984375" style="24" bestFit="1" customWidth="1"/>
    <col min="2819" max="2819" width="23.59765625" style="24" customWidth="1"/>
    <col min="2820" max="2820" width="18.19921875" style="24" customWidth="1"/>
    <col min="2821" max="2821" width="5.19921875" style="24" bestFit="1" customWidth="1"/>
    <col min="2822" max="2822" width="9" style="24"/>
    <col min="2823" max="2823" width="11.8984375" style="24" customWidth="1"/>
    <col min="2824" max="2824" width="13.59765625" style="24" customWidth="1"/>
    <col min="2825" max="2825" width="12.69921875" style="24" customWidth="1"/>
    <col min="2826" max="3072" width="9" style="24"/>
    <col min="3073" max="3073" width="5" style="24" customWidth="1"/>
    <col min="3074" max="3074" width="17.8984375" style="24" bestFit="1" customWidth="1"/>
    <col min="3075" max="3075" width="23.59765625" style="24" customWidth="1"/>
    <col min="3076" max="3076" width="18.19921875" style="24" customWidth="1"/>
    <col min="3077" max="3077" width="5.19921875" style="24" bestFit="1" customWidth="1"/>
    <col min="3078" max="3078" width="9" style="24"/>
    <col min="3079" max="3079" width="11.8984375" style="24" customWidth="1"/>
    <col min="3080" max="3080" width="13.59765625" style="24" customWidth="1"/>
    <col min="3081" max="3081" width="12.69921875" style="24" customWidth="1"/>
    <col min="3082" max="3328" width="9" style="24"/>
    <col min="3329" max="3329" width="5" style="24" customWidth="1"/>
    <col min="3330" max="3330" width="17.8984375" style="24" bestFit="1" customWidth="1"/>
    <col min="3331" max="3331" width="23.59765625" style="24" customWidth="1"/>
    <col min="3332" max="3332" width="18.19921875" style="24" customWidth="1"/>
    <col min="3333" max="3333" width="5.19921875" style="24" bestFit="1" customWidth="1"/>
    <col min="3334" max="3334" width="9" style="24"/>
    <col min="3335" max="3335" width="11.8984375" style="24" customWidth="1"/>
    <col min="3336" max="3336" width="13.59765625" style="24" customWidth="1"/>
    <col min="3337" max="3337" width="12.69921875" style="24" customWidth="1"/>
    <col min="3338" max="3584" width="9" style="24"/>
    <col min="3585" max="3585" width="5" style="24" customWidth="1"/>
    <col min="3586" max="3586" width="17.8984375" style="24" bestFit="1" customWidth="1"/>
    <col min="3587" max="3587" width="23.59765625" style="24" customWidth="1"/>
    <col min="3588" max="3588" width="18.19921875" style="24" customWidth="1"/>
    <col min="3589" max="3589" width="5.19921875" style="24" bestFit="1" customWidth="1"/>
    <col min="3590" max="3590" width="9" style="24"/>
    <col min="3591" max="3591" width="11.8984375" style="24" customWidth="1"/>
    <col min="3592" max="3592" width="13.59765625" style="24" customWidth="1"/>
    <col min="3593" max="3593" width="12.69921875" style="24" customWidth="1"/>
    <col min="3594" max="3840" width="9" style="24"/>
    <col min="3841" max="3841" width="5" style="24" customWidth="1"/>
    <col min="3842" max="3842" width="17.8984375" style="24" bestFit="1" customWidth="1"/>
    <col min="3843" max="3843" width="23.59765625" style="24" customWidth="1"/>
    <col min="3844" max="3844" width="18.19921875" style="24" customWidth="1"/>
    <col min="3845" max="3845" width="5.19921875" style="24" bestFit="1" customWidth="1"/>
    <col min="3846" max="3846" width="9" style="24"/>
    <col min="3847" max="3847" width="11.8984375" style="24" customWidth="1"/>
    <col min="3848" max="3848" width="13.59765625" style="24" customWidth="1"/>
    <col min="3849" max="3849" width="12.69921875" style="24" customWidth="1"/>
    <col min="3850" max="4096" width="9" style="24"/>
    <col min="4097" max="4097" width="5" style="24" customWidth="1"/>
    <col min="4098" max="4098" width="17.8984375" style="24" bestFit="1" customWidth="1"/>
    <col min="4099" max="4099" width="23.59765625" style="24" customWidth="1"/>
    <col min="4100" max="4100" width="18.19921875" style="24" customWidth="1"/>
    <col min="4101" max="4101" width="5.19921875" style="24" bestFit="1" customWidth="1"/>
    <col min="4102" max="4102" width="9" style="24"/>
    <col min="4103" max="4103" width="11.8984375" style="24" customWidth="1"/>
    <col min="4104" max="4104" width="13.59765625" style="24" customWidth="1"/>
    <col min="4105" max="4105" width="12.69921875" style="24" customWidth="1"/>
    <col min="4106" max="4352" width="9" style="24"/>
    <col min="4353" max="4353" width="5" style="24" customWidth="1"/>
    <col min="4354" max="4354" width="17.8984375" style="24" bestFit="1" customWidth="1"/>
    <col min="4355" max="4355" width="23.59765625" style="24" customWidth="1"/>
    <col min="4356" max="4356" width="18.19921875" style="24" customWidth="1"/>
    <col min="4357" max="4357" width="5.19921875" style="24" bestFit="1" customWidth="1"/>
    <col min="4358" max="4358" width="9" style="24"/>
    <col min="4359" max="4359" width="11.8984375" style="24" customWidth="1"/>
    <col min="4360" max="4360" width="13.59765625" style="24" customWidth="1"/>
    <col min="4361" max="4361" width="12.69921875" style="24" customWidth="1"/>
    <col min="4362" max="4608" width="9" style="24"/>
    <col min="4609" max="4609" width="5" style="24" customWidth="1"/>
    <col min="4610" max="4610" width="17.8984375" style="24" bestFit="1" customWidth="1"/>
    <col min="4611" max="4611" width="23.59765625" style="24" customWidth="1"/>
    <col min="4612" max="4612" width="18.19921875" style="24" customWidth="1"/>
    <col min="4613" max="4613" width="5.19921875" style="24" bestFit="1" customWidth="1"/>
    <col min="4614" max="4614" width="9" style="24"/>
    <col min="4615" max="4615" width="11.8984375" style="24" customWidth="1"/>
    <col min="4616" max="4616" width="13.59765625" style="24" customWidth="1"/>
    <col min="4617" max="4617" width="12.69921875" style="24" customWidth="1"/>
    <col min="4618" max="4864" width="9" style="24"/>
    <col min="4865" max="4865" width="5" style="24" customWidth="1"/>
    <col min="4866" max="4866" width="17.8984375" style="24" bestFit="1" customWidth="1"/>
    <col min="4867" max="4867" width="23.59765625" style="24" customWidth="1"/>
    <col min="4868" max="4868" width="18.19921875" style="24" customWidth="1"/>
    <col min="4869" max="4869" width="5.19921875" style="24" bestFit="1" customWidth="1"/>
    <col min="4870" max="4870" width="9" style="24"/>
    <col min="4871" max="4871" width="11.8984375" style="24" customWidth="1"/>
    <col min="4872" max="4872" width="13.59765625" style="24" customWidth="1"/>
    <col min="4873" max="4873" width="12.69921875" style="24" customWidth="1"/>
    <col min="4874" max="5120" width="9" style="24"/>
    <col min="5121" max="5121" width="5" style="24" customWidth="1"/>
    <col min="5122" max="5122" width="17.8984375" style="24" bestFit="1" customWidth="1"/>
    <col min="5123" max="5123" width="23.59765625" style="24" customWidth="1"/>
    <col min="5124" max="5124" width="18.19921875" style="24" customWidth="1"/>
    <col min="5125" max="5125" width="5.19921875" style="24" bestFit="1" customWidth="1"/>
    <col min="5126" max="5126" width="9" style="24"/>
    <col min="5127" max="5127" width="11.8984375" style="24" customWidth="1"/>
    <col min="5128" max="5128" width="13.59765625" style="24" customWidth="1"/>
    <col min="5129" max="5129" width="12.69921875" style="24" customWidth="1"/>
    <col min="5130" max="5376" width="9" style="24"/>
    <col min="5377" max="5377" width="5" style="24" customWidth="1"/>
    <col min="5378" max="5378" width="17.8984375" style="24" bestFit="1" customWidth="1"/>
    <col min="5379" max="5379" width="23.59765625" style="24" customWidth="1"/>
    <col min="5380" max="5380" width="18.19921875" style="24" customWidth="1"/>
    <col min="5381" max="5381" width="5.19921875" style="24" bestFit="1" customWidth="1"/>
    <col min="5382" max="5382" width="9" style="24"/>
    <col min="5383" max="5383" width="11.8984375" style="24" customWidth="1"/>
    <col min="5384" max="5384" width="13.59765625" style="24" customWidth="1"/>
    <col min="5385" max="5385" width="12.69921875" style="24" customWidth="1"/>
    <col min="5386" max="5632" width="9" style="24"/>
    <col min="5633" max="5633" width="5" style="24" customWidth="1"/>
    <col min="5634" max="5634" width="17.8984375" style="24" bestFit="1" customWidth="1"/>
    <col min="5635" max="5635" width="23.59765625" style="24" customWidth="1"/>
    <col min="5636" max="5636" width="18.19921875" style="24" customWidth="1"/>
    <col min="5637" max="5637" width="5.19921875" style="24" bestFit="1" customWidth="1"/>
    <col min="5638" max="5638" width="9" style="24"/>
    <col min="5639" max="5639" width="11.8984375" style="24" customWidth="1"/>
    <col min="5640" max="5640" width="13.59765625" style="24" customWidth="1"/>
    <col min="5641" max="5641" width="12.69921875" style="24" customWidth="1"/>
    <col min="5642" max="5888" width="9" style="24"/>
    <col min="5889" max="5889" width="5" style="24" customWidth="1"/>
    <col min="5890" max="5890" width="17.8984375" style="24" bestFit="1" customWidth="1"/>
    <col min="5891" max="5891" width="23.59765625" style="24" customWidth="1"/>
    <col min="5892" max="5892" width="18.19921875" style="24" customWidth="1"/>
    <col min="5893" max="5893" width="5.19921875" style="24" bestFit="1" customWidth="1"/>
    <col min="5894" max="5894" width="9" style="24"/>
    <col min="5895" max="5895" width="11.8984375" style="24" customWidth="1"/>
    <col min="5896" max="5896" width="13.59765625" style="24" customWidth="1"/>
    <col min="5897" max="5897" width="12.69921875" style="24" customWidth="1"/>
    <col min="5898" max="6144" width="9" style="24"/>
    <col min="6145" max="6145" width="5" style="24" customWidth="1"/>
    <col min="6146" max="6146" width="17.8984375" style="24" bestFit="1" customWidth="1"/>
    <col min="6147" max="6147" width="23.59765625" style="24" customWidth="1"/>
    <col min="6148" max="6148" width="18.19921875" style="24" customWidth="1"/>
    <col min="6149" max="6149" width="5.19921875" style="24" bestFit="1" customWidth="1"/>
    <col min="6150" max="6150" width="9" style="24"/>
    <col min="6151" max="6151" width="11.8984375" style="24" customWidth="1"/>
    <col min="6152" max="6152" width="13.59765625" style="24" customWidth="1"/>
    <col min="6153" max="6153" width="12.69921875" style="24" customWidth="1"/>
    <col min="6154" max="6400" width="9" style="24"/>
    <col min="6401" max="6401" width="5" style="24" customWidth="1"/>
    <col min="6402" max="6402" width="17.8984375" style="24" bestFit="1" customWidth="1"/>
    <col min="6403" max="6403" width="23.59765625" style="24" customWidth="1"/>
    <col min="6404" max="6404" width="18.19921875" style="24" customWidth="1"/>
    <col min="6405" max="6405" width="5.19921875" style="24" bestFit="1" customWidth="1"/>
    <col min="6406" max="6406" width="9" style="24"/>
    <col min="6407" max="6407" width="11.8984375" style="24" customWidth="1"/>
    <col min="6408" max="6408" width="13.59765625" style="24" customWidth="1"/>
    <col min="6409" max="6409" width="12.69921875" style="24" customWidth="1"/>
    <col min="6410" max="6656" width="9" style="24"/>
    <col min="6657" max="6657" width="5" style="24" customWidth="1"/>
    <col min="6658" max="6658" width="17.8984375" style="24" bestFit="1" customWidth="1"/>
    <col min="6659" max="6659" width="23.59765625" style="24" customWidth="1"/>
    <col min="6660" max="6660" width="18.19921875" style="24" customWidth="1"/>
    <col min="6661" max="6661" width="5.19921875" style="24" bestFit="1" customWidth="1"/>
    <col min="6662" max="6662" width="9" style="24"/>
    <col min="6663" max="6663" width="11.8984375" style="24" customWidth="1"/>
    <col min="6664" max="6664" width="13.59765625" style="24" customWidth="1"/>
    <col min="6665" max="6665" width="12.69921875" style="24" customWidth="1"/>
    <col min="6666" max="6912" width="9" style="24"/>
    <col min="6913" max="6913" width="5" style="24" customWidth="1"/>
    <col min="6914" max="6914" width="17.8984375" style="24" bestFit="1" customWidth="1"/>
    <col min="6915" max="6915" width="23.59765625" style="24" customWidth="1"/>
    <col min="6916" max="6916" width="18.19921875" style="24" customWidth="1"/>
    <col min="6917" max="6917" width="5.19921875" style="24" bestFit="1" customWidth="1"/>
    <col min="6918" max="6918" width="9" style="24"/>
    <col min="6919" max="6919" width="11.8984375" style="24" customWidth="1"/>
    <col min="6920" max="6920" width="13.59765625" style="24" customWidth="1"/>
    <col min="6921" max="6921" width="12.69921875" style="24" customWidth="1"/>
    <col min="6922" max="7168" width="9" style="24"/>
    <col min="7169" max="7169" width="5" style="24" customWidth="1"/>
    <col min="7170" max="7170" width="17.8984375" style="24" bestFit="1" customWidth="1"/>
    <col min="7171" max="7171" width="23.59765625" style="24" customWidth="1"/>
    <col min="7172" max="7172" width="18.19921875" style="24" customWidth="1"/>
    <col min="7173" max="7173" width="5.19921875" style="24" bestFit="1" customWidth="1"/>
    <col min="7174" max="7174" width="9" style="24"/>
    <col min="7175" max="7175" width="11.8984375" style="24" customWidth="1"/>
    <col min="7176" max="7176" width="13.59765625" style="24" customWidth="1"/>
    <col min="7177" max="7177" width="12.69921875" style="24" customWidth="1"/>
    <col min="7178" max="7424" width="9" style="24"/>
    <col min="7425" max="7425" width="5" style="24" customWidth="1"/>
    <col min="7426" max="7426" width="17.8984375" style="24" bestFit="1" customWidth="1"/>
    <col min="7427" max="7427" width="23.59765625" style="24" customWidth="1"/>
    <col min="7428" max="7428" width="18.19921875" style="24" customWidth="1"/>
    <col min="7429" max="7429" width="5.19921875" style="24" bestFit="1" customWidth="1"/>
    <col min="7430" max="7430" width="9" style="24"/>
    <col min="7431" max="7431" width="11.8984375" style="24" customWidth="1"/>
    <col min="7432" max="7432" width="13.59765625" style="24" customWidth="1"/>
    <col min="7433" max="7433" width="12.69921875" style="24" customWidth="1"/>
    <col min="7434" max="7680" width="9" style="24"/>
    <col min="7681" max="7681" width="5" style="24" customWidth="1"/>
    <col min="7682" max="7682" width="17.8984375" style="24" bestFit="1" customWidth="1"/>
    <col min="7683" max="7683" width="23.59765625" style="24" customWidth="1"/>
    <col min="7684" max="7684" width="18.19921875" style="24" customWidth="1"/>
    <col min="7685" max="7685" width="5.19921875" style="24" bestFit="1" customWidth="1"/>
    <col min="7686" max="7686" width="9" style="24"/>
    <col min="7687" max="7687" width="11.8984375" style="24" customWidth="1"/>
    <col min="7688" max="7688" width="13.59765625" style="24" customWidth="1"/>
    <col min="7689" max="7689" width="12.69921875" style="24" customWidth="1"/>
    <col min="7690" max="7936" width="9" style="24"/>
    <col min="7937" max="7937" width="5" style="24" customWidth="1"/>
    <col min="7938" max="7938" width="17.8984375" style="24" bestFit="1" customWidth="1"/>
    <col min="7939" max="7939" width="23.59765625" style="24" customWidth="1"/>
    <col min="7940" max="7940" width="18.19921875" style="24" customWidth="1"/>
    <col min="7941" max="7941" width="5.19921875" style="24" bestFit="1" customWidth="1"/>
    <col min="7942" max="7942" width="9" style="24"/>
    <col min="7943" max="7943" width="11.8984375" style="24" customWidth="1"/>
    <col min="7944" max="7944" width="13.59765625" style="24" customWidth="1"/>
    <col min="7945" max="7945" width="12.69921875" style="24" customWidth="1"/>
    <col min="7946" max="8192" width="9" style="24"/>
    <col min="8193" max="8193" width="5" style="24" customWidth="1"/>
    <col min="8194" max="8194" width="17.8984375" style="24" bestFit="1" customWidth="1"/>
    <col min="8195" max="8195" width="23.59765625" style="24" customWidth="1"/>
    <col min="8196" max="8196" width="18.19921875" style="24" customWidth="1"/>
    <col min="8197" max="8197" width="5.19921875" style="24" bestFit="1" customWidth="1"/>
    <col min="8198" max="8198" width="9" style="24"/>
    <col min="8199" max="8199" width="11.8984375" style="24" customWidth="1"/>
    <col min="8200" max="8200" width="13.59765625" style="24" customWidth="1"/>
    <col min="8201" max="8201" width="12.69921875" style="24" customWidth="1"/>
    <col min="8202" max="8448" width="9" style="24"/>
    <col min="8449" max="8449" width="5" style="24" customWidth="1"/>
    <col min="8450" max="8450" width="17.8984375" style="24" bestFit="1" customWidth="1"/>
    <col min="8451" max="8451" width="23.59765625" style="24" customWidth="1"/>
    <col min="8452" max="8452" width="18.19921875" style="24" customWidth="1"/>
    <col min="8453" max="8453" width="5.19921875" style="24" bestFit="1" customWidth="1"/>
    <col min="8454" max="8454" width="9" style="24"/>
    <col min="8455" max="8455" width="11.8984375" style="24" customWidth="1"/>
    <col min="8456" max="8456" width="13.59765625" style="24" customWidth="1"/>
    <col min="8457" max="8457" width="12.69921875" style="24" customWidth="1"/>
    <col min="8458" max="8704" width="9" style="24"/>
    <col min="8705" max="8705" width="5" style="24" customWidth="1"/>
    <col min="8706" max="8706" width="17.8984375" style="24" bestFit="1" customWidth="1"/>
    <col min="8707" max="8707" width="23.59765625" style="24" customWidth="1"/>
    <col min="8708" max="8708" width="18.19921875" style="24" customWidth="1"/>
    <col min="8709" max="8709" width="5.19921875" style="24" bestFit="1" customWidth="1"/>
    <col min="8710" max="8710" width="9" style="24"/>
    <col min="8711" max="8711" width="11.8984375" style="24" customWidth="1"/>
    <col min="8712" max="8712" width="13.59765625" style="24" customWidth="1"/>
    <col min="8713" max="8713" width="12.69921875" style="24" customWidth="1"/>
    <col min="8714" max="8960" width="9" style="24"/>
    <col min="8961" max="8961" width="5" style="24" customWidth="1"/>
    <col min="8962" max="8962" width="17.8984375" style="24" bestFit="1" customWidth="1"/>
    <col min="8963" max="8963" width="23.59765625" style="24" customWidth="1"/>
    <col min="8964" max="8964" width="18.19921875" style="24" customWidth="1"/>
    <col min="8965" max="8965" width="5.19921875" style="24" bestFit="1" customWidth="1"/>
    <col min="8966" max="8966" width="9" style="24"/>
    <col min="8967" max="8967" width="11.8984375" style="24" customWidth="1"/>
    <col min="8968" max="8968" width="13.59765625" style="24" customWidth="1"/>
    <col min="8969" max="8969" width="12.69921875" style="24" customWidth="1"/>
    <col min="8970" max="9216" width="9" style="24"/>
    <col min="9217" max="9217" width="5" style="24" customWidth="1"/>
    <col min="9218" max="9218" width="17.8984375" style="24" bestFit="1" customWidth="1"/>
    <col min="9219" max="9219" width="23.59765625" style="24" customWidth="1"/>
    <col min="9220" max="9220" width="18.19921875" style="24" customWidth="1"/>
    <col min="9221" max="9221" width="5.19921875" style="24" bestFit="1" customWidth="1"/>
    <col min="9222" max="9222" width="9" style="24"/>
    <col min="9223" max="9223" width="11.8984375" style="24" customWidth="1"/>
    <col min="9224" max="9224" width="13.59765625" style="24" customWidth="1"/>
    <col min="9225" max="9225" width="12.69921875" style="24" customWidth="1"/>
    <col min="9226" max="9472" width="9" style="24"/>
    <col min="9473" max="9473" width="5" style="24" customWidth="1"/>
    <col min="9474" max="9474" width="17.8984375" style="24" bestFit="1" customWidth="1"/>
    <col min="9475" max="9475" width="23.59765625" style="24" customWidth="1"/>
    <col min="9476" max="9476" width="18.19921875" style="24" customWidth="1"/>
    <col min="9477" max="9477" width="5.19921875" style="24" bestFit="1" customWidth="1"/>
    <col min="9478" max="9478" width="9" style="24"/>
    <col min="9479" max="9479" width="11.8984375" style="24" customWidth="1"/>
    <col min="9480" max="9480" width="13.59765625" style="24" customWidth="1"/>
    <col min="9481" max="9481" width="12.69921875" style="24" customWidth="1"/>
    <col min="9482" max="9728" width="9" style="24"/>
    <col min="9729" max="9729" width="5" style="24" customWidth="1"/>
    <col min="9730" max="9730" width="17.8984375" style="24" bestFit="1" customWidth="1"/>
    <col min="9731" max="9731" width="23.59765625" style="24" customWidth="1"/>
    <col min="9732" max="9732" width="18.19921875" style="24" customWidth="1"/>
    <col min="9733" max="9733" width="5.19921875" style="24" bestFit="1" customWidth="1"/>
    <col min="9734" max="9734" width="9" style="24"/>
    <col min="9735" max="9735" width="11.8984375" style="24" customWidth="1"/>
    <col min="9736" max="9736" width="13.59765625" style="24" customWidth="1"/>
    <col min="9737" max="9737" width="12.69921875" style="24" customWidth="1"/>
    <col min="9738" max="9984" width="9" style="24"/>
    <col min="9985" max="9985" width="5" style="24" customWidth="1"/>
    <col min="9986" max="9986" width="17.8984375" style="24" bestFit="1" customWidth="1"/>
    <col min="9987" max="9987" width="23.59765625" style="24" customWidth="1"/>
    <col min="9988" max="9988" width="18.19921875" style="24" customWidth="1"/>
    <col min="9989" max="9989" width="5.19921875" style="24" bestFit="1" customWidth="1"/>
    <col min="9990" max="9990" width="9" style="24"/>
    <col min="9991" max="9991" width="11.8984375" style="24" customWidth="1"/>
    <col min="9992" max="9992" width="13.59765625" style="24" customWidth="1"/>
    <col min="9993" max="9993" width="12.69921875" style="24" customWidth="1"/>
    <col min="9994" max="10240" width="9" style="24"/>
    <col min="10241" max="10241" width="5" style="24" customWidth="1"/>
    <col min="10242" max="10242" width="17.8984375" style="24" bestFit="1" customWidth="1"/>
    <col min="10243" max="10243" width="23.59765625" style="24" customWidth="1"/>
    <col min="10244" max="10244" width="18.19921875" style="24" customWidth="1"/>
    <col min="10245" max="10245" width="5.19921875" style="24" bestFit="1" customWidth="1"/>
    <col min="10246" max="10246" width="9" style="24"/>
    <col min="10247" max="10247" width="11.8984375" style="24" customWidth="1"/>
    <col min="10248" max="10248" width="13.59765625" style="24" customWidth="1"/>
    <col min="10249" max="10249" width="12.69921875" style="24" customWidth="1"/>
    <col min="10250" max="10496" width="9" style="24"/>
    <col min="10497" max="10497" width="5" style="24" customWidth="1"/>
    <col min="10498" max="10498" width="17.8984375" style="24" bestFit="1" customWidth="1"/>
    <col min="10499" max="10499" width="23.59765625" style="24" customWidth="1"/>
    <col min="10500" max="10500" width="18.19921875" style="24" customWidth="1"/>
    <col min="10501" max="10501" width="5.19921875" style="24" bestFit="1" customWidth="1"/>
    <col min="10502" max="10502" width="9" style="24"/>
    <col min="10503" max="10503" width="11.8984375" style="24" customWidth="1"/>
    <col min="10504" max="10504" width="13.59765625" style="24" customWidth="1"/>
    <col min="10505" max="10505" width="12.69921875" style="24" customWidth="1"/>
    <col min="10506" max="10752" width="9" style="24"/>
    <col min="10753" max="10753" width="5" style="24" customWidth="1"/>
    <col min="10754" max="10754" width="17.8984375" style="24" bestFit="1" customWidth="1"/>
    <col min="10755" max="10755" width="23.59765625" style="24" customWidth="1"/>
    <col min="10756" max="10756" width="18.19921875" style="24" customWidth="1"/>
    <col min="10757" max="10757" width="5.19921875" style="24" bestFit="1" customWidth="1"/>
    <col min="10758" max="10758" width="9" style="24"/>
    <col min="10759" max="10759" width="11.8984375" style="24" customWidth="1"/>
    <col min="10760" max="10760" width="13.59765625" style="24" customWidth="1"/>
    <col min="10761" max="10761" width="12.69921875" style="24" customWidth="1"/>
    <col min="10762" max="11008" width="9" style="24"/>
    <col min="11009" max="11009" width="5" style="24" customWidth="1"/>
    <col min="11010" max="11010" width="17.8984375" style="24" bestFit="1" customWidth="1"/>
    <col min="11011" max="11011" width="23.59765625" style="24" customWidth="1"/>
    <col min="11012" max="11012" width="18.19921875" style="24" customWidth="1"/>
    <col min="11013" max="11013" width="5.19921875" style="24" bestFit="1" customWidth="1"/>
    <col min="11014" max="11014" width="9" style="24"/>
    <col min="11015" max="11015" width="11.8984375" style="24" customWidth="1"/>
    <col min="11016" max="11016" width="13.59765625" style="24" customWidth="1"/>
    <col min="11017" max="11017" width="12.69921875" style="24" customWidth="1"/>
    <col min="11018" max="11264" width="9" style="24"/>
    <col min="11265" max="11265" width="5" style="24" customWidth="1"/>
    <col min="11266" max="11266" width="17.8984375" style="24" bestFit="1" customWidth="1"/>
    <col min="11267" max="11267" width="23.59765625" style="24" customWidth="1"/>
    <col min="11268" max="11268" width="18.19921875" style="24" customWidth="1"/>
    <col min="11269" max="11269" width="5.19921875" style="24" bestFit="1" customWidth="1"/>
    <col min="11270" max="11270" width="9" style="24"/>
    <col min="11271" max="11271" width="11.8984375" style="24" customWidth="1"/>
    <col min="11272" max="11272" width="13.59765625" style="24" customWidth="1"/>
    <col min="11273" max="11273" width="12.69921875" style="24" customWidth="1"/>
    <col min="11274" max="11520" width="9" style="24"/>
    <col min="11521" max="11521" width="5" style="24" customWidth="1"/>
    <col min="11522" max="11522" width="17.8984375" style="24" bestFit="1" customWidth="1"/>
    <col min="11523" max="11523" width="23.59765625" style="24" customWidth="1"/>
    <col min="11524" max="11524" width="18.19921875" style="24" customWidth="1"/>
    <col min="11525" max="11525" width="5.19921875" style="24" bestFit="1" customWidth="1"/>
    <col min="11526" max="11526" width="9" style="24"/>
    <col min="11527" max="11527" width="11.8984375" style="24" customWidth="1"/>
    <col min="11528" max="11528" width="13.59765625" style="24" customWidth="1"/>
    <col min="11529" max="11529" width="12.69921875" style="24" customWidth="1"/>
    <col min="11530" max="11776" width="9" style="24"/>
    <col min="11777" max="11777" width="5" style="24" customWidth="1"/>
    <col min="11778" max="11778" width="17.8984375" style="24" bestFit="1" customWidth="1"/>
    <col min="11779" max="11779" width="23.59765625" style="24" customWidth="1"/>
    <col min="11780" max="11780" width="18.19921875" style="24" customWidth="1"/>
    <col min="11781" max="11781" width="5.19921875" style="24" bestFit="1" customWidth="1"/>
    <col min="11782" max="11782" width="9" style="24"/>
    <col min="11783" max="11783" width="11.8984375" style="24" customWidth="1"/>
    <col min="11784" max="11784" width="13.59765625" style="24" customWidth="1"/>
    <col min="11785" max="11785" width="12.69921875" style="24" customWidth="1"/>
    <col min="11786" max="12032" width="9" style="24"/>
    <col min="12033" max="12033" width="5" style="24" customWidth="1"/>
    <col min="12034" max="12034" width="17.8984375" style="24" bestFit="1" customWidth="1"/>
    <col min="12035" max="12035" width="23.59765625" style="24" customWidth="1"/>
    <col min="12036" max="12036" width="18.19921875" style="24" customWidth="1"/>
    <col min="12037" max="12037" width="5.19921875" style="24" bestFit="1" customWidth="1"/>
    <col min="12038" max="12038" width="9" style="24"/>
    <col min="12039" max="12039" width="11.8984375" style="24" customWidth="1"/>
    <col min="12040" max="12040" width="13.59765625" style="24" customWidth="1"/>
    <col min="12041" max="12041" width="12.69921875" style="24" customWidth="1"/>
    <col min="12042" max="12288" width="9" style="24"/>
    <col min="12289" max="12289" width="5" style="24" customWidth="1"/>
    <col min="12290" max="12290" width="17.8984375" style="24" bestFit="1" customWidth="1"/>
    <col min="12291" max="12291" width="23.59765625" style="24" customWidth="1"/>
    <col min="12292" max="12292" width="18.19921875" style="24" customWidth="1"/>
    <col min="12293" max="12293" width="5.19921875" style="24" bestFit="1" customWidth="1"/>
    <col min="12294" max="12294" width="9" style="24"/>
    <col min="12295" max="12295" width="11.8984375" style="24" customWidth="1"/>
    <col min="12296" max="12296" width="13.59765625" style="24" customWidth="1"/>
    <col min="12297" max="12297" width="12.69921875" style="24" customWidth="1"/>
    <col min="12298" max="12544" width="9" style="24"/>
    <col min="12545" max="12545" width="5" style="24" customWidth="1"/>
    <col min="12546" max="12546" width="17.8984375" style="24" bestFit="1" customWidth="1"/>
    <col min="12547" max="12547" width="23.59765625" style="24" customWidth="1"/>
    <col min="12548" max="12548" width="18.19921875" style="24" customWidth="1"/>
    <col min="12549" max="12549" width="5.19921875" style="24" bestFit="1" customWidth="1"/>
    <col min="12550" max="12550" width="9" style="24"/>
    <col min="12551" max="12551" width="11.8984375" style="24" customWidth="1"/>
    <col min="12552" max="12552" width="13.59765625" style="24" customWidth="1"/>
    <col min="12553" max="12553" width="12.69921875" style="24" customWidth="1"/>
    <col min="12554" max="12800" width="9" style="24"/>
    <col min="12801" max="12801" width="5" style="24" customWidth="1"/>
    <col min="12802" max="12802" width="17.8984375" style="24" bestFit="1" customWidth="1"/>
    <col min="12803" max="12803" width="23.59765625" style="24" customWidth="1"/>
    <col min="12804" max="12804" width="18.19921875" style="24" customWidth="1"/>
    <col min="12805" max="12805" width="5.19921875" style="24" bestFit="1" customWidth="1"/>
    <col min="12806" max="12806" width="9" style="24"/>
    <col min="12807" max="12807" width="11.8984375" style="24" customWidth="1"/>
    <col min="12808" max="12808" width="13.59765625" style="24" customWidth="1"/>
    <col min="12809" max="12809" width="12.69921875" style="24" customWidth="1"/>
    <col min="12810" max="13056" width="9" style="24"/>
    <col min="13057" max="13057" width="5" style="24" customWidth="1"/>
    <col min="13058" max="13058" width="17.8984375" style="24" bestFit="1" customWidth="1"/>
    <col min="13059" max="13059" width="23.59765625" style="24" customWidth="1"/>
    <col min="13060" max="13060" width="18.19921875" style="24" customWidth="1"/>
    <col min="13061" max="13061" width="5.19921875" style="24" bestFit="1" customWidth="1"/>
    <col min="13062" max="13062" width="9" style="24"/>
    <col min="13063" max="13063" width="11.8984375" style="24" customWidth="1"/>
    <col min="13064" max="13064" width="13.59765625" style="24" customWidth="1"/>
    <col min="13065" max="13065" width="12.69921875" style="24" customWidth="1"/>
    <col min="13066" max="13312" width="9" style="24"/>
    <col min="13313" max="13313" width="5" style="24" customWidth="1"/>
    <col min="13314" max="13314" width="17.8984375" style="24" bestFit="1" customWidth="1"/>
    <col min="13315" max="13315" width="23.59765625" style="24" customWidth="1"/>
    <col min="13316" max="13316" width="18.19921875" style="24" customWidth="1"/>
    <col min="13317" max="13317" width="5.19921875" style="24" bestFit="1" customWidth="1"/>
    <col min="13318" max="13318" width="9" style="24"/>
    <col min="13319" max="13319" width="11.8984375" style="24" customWidth="1"/>
    <col min="13320" max="13320" width="13.59765625" style="24" customWidth="1"/>
    <col min="13321" max="13321" width="12.69921875" style="24" customWidth="1"/>
    <col min="13322" max="13568" width="9" style="24"/>
    <col min="13569" max="13569" width="5" style="24" customWidth="1"/>
    <col min="13570" max="13570" width="17.8984375" style="24" bestFit="1" customWidth="1"/>
    <col min="13571" max="13571" width="23.59765625" style="24" customWidth="1"/>
    <col min="13572" max="13572" width="18.19921875" style="24" customWidth="1"/>
    <col min="13573" max="13573" width="5.19921875" style="24" bestFit="1" customWidth="1"/>
    <col min="13574" max="13574" width="9" style="24"/>
    <col min="13575" max="13575" width="11.8984375" style="24" customWidth="1"/>
    <col min="13576" max="13576" width="13.59765625" style="24" customWidth="1"/>
    <col min="13577" max="13577" width="12.69921875" style="24" customWidth="1"/>
    <col min="13578" max="13824" width="9" style="24"/>
    <col min="13825" max="13825" width="5" style="24" customWidth="1"/>
    <col min="13826" max="13826" width="17.8984375" style="24" bestFit="1" customWidth="1"/>
    <col min="13827" max="13827" width="23.59765625" style="24" customWidth="1"/>
    <col min="13828" max="13828" width="18.19921875" style="24" customWidth="1"/>
    <col min="13829" max="13829" width="5.19921875" style="24" bestFit="1" customWidth="1"/>
    <col min="13830" max="13830" width="9" style="24"/>
    <col min="13831" max="13831" width="11.8984375" style="24" customWidth="1"/>
    <col min="13832" max="13832" width="13.59765625" style="24" customWidth="1"/>
    <col min="13833" max="13833" width="12.69921875" style="24" customWidth="1"/>
    <col min="13834" max="14080" width="9" style="24"/>
    <col min="14081" max="14081" width="5" style="24" customWidth="1"/>
    <col min="14082" max="14082" width="17.8984375" style="24" bestFit="1" customWidth="1"/>
    <col min="14083" max="14083" width="23.59765625" style="24" customWidth="1"/>
    <col min="14084" max="14084" width="18.19921875" style="24" customWidth="1"/>
    <col min="14085" max="14085" width="5.19921875" style="24" bestFit="1" customWidth="1"/>
    <col min="14086" max="14086" width="9" style="24"/>
    <col min="14087" max="14087" width="11.8984375" style="24" customWidth="1"/>
    <col min="14088" max="14088" width="13.59765625" style="24" customWidth="1"/>
    <col min="14089" max="14089" width="12.69921875" style="24" customWidth="1"/>
    <col min="14090" max="14336" width="9" style="24"/>
    <col min="14337" max="14337" width="5" style="24" customWidth="1"/>
    <col min="14338" max="14338" width="17.8984375" style="24" bestFit="1" customWidth="1"/>
    <col min="14339" max="14339" width="23.59765625" style="24" customWidth="1"/>
    <col min="14340" max="14340" width="18.19921875" style="24" customWidth="1"/>
    <col min="14341" max="14341" width="5.19921875" style="24" bestFit="1" customWidth="1"/>
    <col min="14342" max="14342" width="9" style="24"/>
    <col min="14343" max="14343" width="11.8984375" style="24" customWidth="1"/>
    <col min="14344" max="14344" width="13.59765625" style="24" customWidth="1"/>
    <col min="14345" max="14345" width="12.69921875" style="24" customWidth="1"/>
    <col min="14346" max="14592" width="9" style="24"/>
    <col min="14593" max="14593" width="5" style="24" customWidth="1"/>
    <col min="14594" max="14594" width="17.8984375" style="24" bestFit="1" customWidth="1"/>
    <col min="14595" max="14595" width="23.59765625" style="24" customWidth="1"/>
    <col min="14596" max="14596" width="18.19921875" style="24" customWidth="1"/>
    <col min="14597" max="14597" width="5.19921875" style="24" bestFit="1" customWidth="1"/>
    <col min="14598" max="14598" width="9" style="24"/>
    <col min="14599" max="14599" width="11.8984375" style="24" customWidth="1"/>
    <col min="14600" max="14600" width="13.59765625" style="24" customWidth="1"/>
    <col min="14601" max="14601" width="12.69921875" style="24" customWidth="1"/>
    <col min="14602" max="14848" width="9" style="24"/>
    <col min="14849" max="14849" width="5" style="24" customWidth="1"/>
    <col min="14850" max="14850" width="17.8984375" style="24" bestFit="1" customWidth="1"/>
    <col min="14851" max="14851" width="23.59765625" style="24" customWidth="1"/>
    <col min="14852" max="14852" width="18.19921875" style="24" customWidth="1"/>
    <col min="14853" max="14853" width="5.19921875" style="24" bestFit="1" customWidth="1"/>
    <col min="14854" max="14854" width="9" style="24"/>
    <col min="14855" max="14855" width="11.8984375" style="24" customWidth="1"/>
    <col min="14856" max="14856" width="13.59765625" style="24" customWidth="1"/>
    <col min="14857" max="14857" width="12.69921875" style="24" customWidth="1"/>
    <col min="14858" max="15104" width="9" style="24"/>
    <col min="15105" max="15105" width="5" style="24" customWidth="1"/>
    <col min="15106" max="15106" width="17.8984375" style="24" bestFit="1" customWidth="1"/>
    <col min="15107" max="15107" width="23.59765625" style="24" customWidth="1"/>
    <col min="15108" max="15108" width="18.19921875" style="24" customWidth="1"/>
    <col min="15109" max="15109" width="5.19921875" style="24" bestFit="1" customWidth="1"/>
    <col min="15110" max="15110" width="9" style="24"/>
    <col min="15111" max="15111" width="11.8984375" style="24" customWidth="1"/>
    <col min="15112" max="15112" width="13.59765625" style="24" customWidth="1"/>
    <col min="15113" max="15113" width="12.69921875" style="24" customWidth="1"/>
    <col min="15114" max="15360" width="9" style="24"/>
    <col min="15361" max="15361" width="5" style="24" customWidth="1"/>
    <col min="15362" max="15362" width="17.8984375" style="24" bestFit="1" customWidth="1"/>
    <col min="15363" max="15363" width="23.59765625" style="24" customWidth="1"/>
    <col min="15364" max="15364" width="18.19921875" style="24" customWidth="1"/>
    <col min="15365" max="15365" width="5.19921875" style="24" bestFit="1" customWidth="1"/>
    <col min="15366" max="15366" width="9" style="24"/>
    <col min="15367" max="15367" width="11.8984375" style="24" customWidth="1"/>
    <col min="15368" max="15368" width="13.59765625" style="24" customWidth="1"/>
    <col min="15369" max="15369" width="12.69921875" style="24" customWidth="1"/>
    <col min="15370" max="15616" width="9" style="24"/>
    <col min="15617" max="15617" width="5" style="24" customWidth="1"/>
    <col min="15618" max="15618" width="17.8984375" style="24" bestFit="1" customWidth="1"/>
    <col min="15619" max="15619" width="23.59765625" style="24" customWidth="1"/>
    <col min="15620" max="15620" width="18.19921875" style="24" customWidth="1"/>
    <col min="15621" max="15621" width="5.19921875" style="24" bestFit="1" customWidth="1"/>
    <col min="15622" max="15622" width="9" style="24"/>
    <col min="15623" max="15623" width="11.8984375" style="24" customWidth="1"/>
    <col min="15624" max="15624" width="13.59765625" style="24" customWidth="1"/>
    <col min="15625" max="15625" width="12.69921875" style="24" customWidth="1"/>
    <col min="15626" max="15872" width="9" style="24"/>
    <col min="15873" max="15873" width="5" style="24" customWidth="1"/>
    <col min="15874" max="15874" width="17.8984375" style="24" bestFit="1" customWidth="1"/>
    <col min="15875" max="15875" width="23.59765625" style="24" customWidth="1"/>
    <col min="15876" max="15876" width="18.19921875" style="24" customWidth="1"/>
    <col min="15877" max="15877" width="5.19921875" style="24" bestFit="1" customWidth="1"/>
    <col min="15878" max="15878" width="9" style="24"/>
    <col min="15879" max="15879" width="11.8984375" style="24" customWidth="1"/>
    <col min="15880" max="15880" width="13.59765625" style="24" customWidth="1"/>
    <col min="15881" max="15881" width="12.69921875" style="24" customWidth="1"/>
    <col min="15882" max="16128" width="9" style="24"/>
    <col min="16129" max="16129" width="5" style="24" customWidth="1"/>
    <col min="16130" max="16130" width="17.8984375" style="24" bestFit="1" customWidth="1"/>
    <col min="16131" max="16131" width="23.59765625" style="24" customWidth="1"/>
    <col min="16132" max="16132" width="18.19921875" style="24" customWidth="1"/>
    <col min="16133" max="16133" width="5.19921875" style="24" bestFit="1" customWidth="1"/>
    <col min="16134" max="16134" width="9" style="24"/>
    <col min="16135" max="16135" width="11.8984375" style="24" customWidth="1"/>
    <col min="16136" max="16136" width="13.59765625" style="24" customWidth="1"/>
    <col min="16137" max="16137" width="12.69921875" style="24" customWidth="1"/>
    <col min="16138" max="16384" width="9" style="24"/>
  </cols>
  <sheetData>
    <row r="1" spans="1:9" ht="22.5" customHeight="1">
      <c r="B1" s="201" t="s">
        <v>145</v>
      </c>
      <c r="C1" s="266"/>
      <c r="F1" s="290"/>
      <c r="I1" s="24" t="s">
        <v>118</v>
      </c>
    </row>
    <row r="2" spans="1:9" s="26" customFormat="1" ht="16.5" customHeight="1">
      <c r="A2" s="337" t="s">
        <v>119</v>
      </c>
      <c r="B2" s="339"/>
      <c r="C2" s="275" t="s">
        <v>120</v>
      </c>
      <c r="D2" s="125" t="s">
        <v>121</v>
      </c>
      <c r="E2" s="125" t="s">
        <v>38</v>
      </c>
      <c r="F2" s="249" t="s">
        <v>39</v>
      </c>
      <c r="G2" s="249" t="s">
        <v>122</v>
      </c>
      <c r="H2" s="249" t="s">
        <v>123</v>
      </c>
      <c r="I2" s="125" t="s">
        <v>124</v>
      </c>
    </row>
    <row r="3" spans="1:9" ht="15.9" customHeight="1">
      <c r="A3" s="429" t="s">
        <v>125</v>
      </c>
      <c r="B3" s="206" t="s">
        <v>126</v>
      </c>
      <c r="C3" s="227"/>
      <c r="D3" s="227"/>
      <c r="E3" s="228"/>
      <c r="F3" s="230"/>
      <c r="G3" s="230"/>
      <c r="H3" s="231">
        <f>IF(F3=0,G3,G3*F3)</f>
        <v>0</v>
      </c>
      <c r="I3" s="232"/>
    </row>
    <row r="4" spans="1:9" ht="15.9" customHeight="1">
      <c r="A4" s="433"/>
      <c r="B4" s="206"/>
      <c r="C4" s="213"/>
      <c r="D4" s="213"/>
      <c r="E4" s="214"/>
      <c r="F4" s="216"/>
      <c r="G4" s="216"/>
      <c r="H4" s="165">
        <f>IF(F4=0,G4,G4*F4)</f>
        <v>0</v>
      </c>
      <c r="I4" s="39"/>
    </row>
    <row r="5" spans="1:9" ht="15.9" customHeight="1">
      <c r="A5" s="433"/>
      <c r="B5" s="206"/>
      <c r="C5" s="213"/>
      <c r="D5" s="213"/>
      <c r="E5" s="214"/>
      <c r="F5" s="216"/>
      <c r="G5" s="216"/>
      <c r="H5" s="165">
        <f t="shared" ref="H5:H68" si="0">IF(F5=0,G5,G5*F5)</f>
        <v>0</v>
      </c>
      <c r="I5" s="39"/>
    </row>
    <row r="6" spans="1:9" ht="15.9" customHeight="1">
      <c r="A6" s="433"/>
      <c r="B6" s="206"/>
      <c r="C6" s="213"/>
      <c r="D6" s="213"/>
      <c r="E6" s="214"/>
      <c r="F6" s="216"/>
      <c r="G6" s="216"/>
      <c r="H6" s="165">
        <f t="shared" si="0"/>
        <v>0</v>
      </c>
      <c r="I6" s="39"/>
    </row>
    <row r="7" spans="1:9" ht="15.9" customHeight="1">
      <c r="A7" s="433"/>
      <c r="B7" s="206"/>
      <c r="C7" s="213"/>
      <c r="D7" s="213"/>
      <c r="E7" s="214"/>
      <c r="F7" s="216"/>
      <c r="G7" s="216"/>
      <c r="H7" s="165">
        <f t="shared" si="0"/>
        <v>0</v>
      </c>
      <c r="I7" s="39"/>
    </row>
    <row r="8" spans="1:9" ht="15.9" customHeight="1">
      <c r="A8" s="433"/>
      <c r="B8" s="206"/>
      <c r="C8" s="213"/>
      <c r="D8" s="213"/>
      <c r="E8" s="214"/>
      <c r="F8" s="216"/>
      <c r="G8" s="216"/>
      <c r="H8" s="165">
        <f t="shared" si="0"/>
        <v>0</v>
      </c>
      <c r="I8" s="39"/>
    </row>
    <row r="9" spans="1:9" ht="15.9" customHeight="1">
      <c r="A9" s="433"/>
      <c r="B9" s="206"/>
      <c r="C9" s="213"/>
      <c r="D9" s="213"/>
      <c r="E9" s="214"/>
      <c r="F9" s="216"/>
      <c r="G9" s="216"/>
      <c r="H9" s="165">
        <f t="shared" si="0"/>
        <v>0</v>
      </c>
      <c r="I9" s="39"/>
    </row>
    <row r="10" spans="1:9" ht="15.9" customHeight="1">
      <c r="A10" s="433"/>
      <c r="B10" s="206"/>
      <c r="C10" s="213"/>
      <c r="D10" s="213"/>
      <c r="E10" s="214"/>
      <c r="F10" s="216"/>
      <c r="G10" s="216"/>
      <c r="H10" s="165">
        <f t="shared" si="0"/>
        <v>0</v>
      </c>
      <c r="I10" s="39"/>
    </row>
    <row r="11" spans="1:9" ht="15.9" customHeight="1">
      <c r="A11" s="433"/>
      <c r="B11" s="206"/>
      <c r="C11" s="213"/>
      <c r="D11" s="213"/>
      <c r="E11" s="214"/>
      <c r="F11" s="216"/>
      <c r="G11" s="216"/>
      <c r="H11" s="165">
        <f t="shared" si="0"/>
        <v>0</v>
      </c>
      <c r="I11" s="39"/>
    </row>
    <row r="12" spans="1:9" ht="15.9" customHeight="1">
      <c r="A12" s="433"/>
      <c r="B12" s="206"/>
      <c r="C12" s="213"/>
      <c r="D12" s="213"/>
      <c r="E12" s="214"/>
      <c r="F12" s="216"/>
      <c r="G12" s="216"/>
      <c r="H12" s="165">
        <f t="shared" si="0"/>
        <v>0</v>
      </c>
      <c r="I12" s="39"/>
    </row>
    <row r="13" spans="1:9" ht="15.9" customHeight="1">
      <c r="A13" s="433"/>
      <c r="B13" s="206"/>
      <c r="C13" s="213"/>
      <c r="D13" s="213"/>
      <c r="E13" s="214"/>
      <c r="F13" s="216"/>
      <c r="G13" s="216"/>
      <c r="H13" s="165">
        <f t="shared" si="0"/>
        <v>0</v>
      </c>
      <c r="I13" s="39"/>
    </row>
    <row r="14" spans="1:9" ht="15.9" customHeight="1">
      <c r="A14" s="433"/>
      <c r="B14" s="206"/>
      <c r="C14" s="213"/>
      <c r="D14" s="213"/>
      <c r="E14" s="214"/>
      <c r="F14" s="216"/>
      <c r="G14" s="216"/>
      <c r="H14" s="165">
        <f t="shared" si="0"/>
        <v>0</v>
      </c>
      <c r="I14" s="39"/>
    </row>
    <row r="15" spans="1:9" ht="15.9" customHeight="1">
      <c r="A15" s="433"/>
      <c r="B15" s="206"/>
      <c r="C15" s="213"/>
      <c r="D15" s="213"/>
      <c r="E15" s="214"/>
      <c r="F15" s="216"/>
      <c r="G15" s="216"/>
      <c r="H15" s="165">
        <f t="shared" si="0"/>
        <v>0</v>
      </c>
      <c r="I15" s="39"/>
    </row>
    <row r="16" spans="1:9" ht="15.9" customHeight="1">
      <c r="A16" s="433"/>
      <c r="B16" s="206"/>
      <c r="C16" s="213"/>
      <c r="D16" s="213"/>
      <c r="E16" s="214"/>
      <c r="F16" s="216"/>
      <c r="G16" s="216"/>
      <c r="H16" s="165">
        <f t="shared" si="0"/>
        <v>0</v>
      </c>
      <c r="I16" s="39"/>
    </row>
    <row r="17" spans="1:9" ht="15.9" customHeight="1">
      <c r="A17" s="433"/>
      <c r="B17" s="206"/>
      <c r="C17" s="213"/>
      <c r="D17" s="213"/>
      <c r="E17" s="214"/>
      <c r="F17" s="216"/>
      <c r="G17" s="216"/>
      <c r="H17" s="165">
        <f t="shared" si="0"/>
        <v>0</v>
      </c>
      <c r="I17" s="39"/>
    </row>
    <row r="18" spans="1:9" ht="15.9" customHeight="1">
      <c r="A18" s="433"/>
      <c r="B18" s="206"/>
      <c r="C18" s="213"/>
      <c r="D18" s="213"/>
      <c r="E18" s="214"/>
      <c r="F18" s="216"/>
      <c r="G18" s="216"/>
      <c r="H18" s="165">
        <f t="shared" si="0"/>
        <v>0</v>
      </c>
      <c r="I18" s="39"/>
    </row>
    <row r="19" spans="1:9" ht="15.9" customHeight="1">
      <c r="A19" s="433"/>
      <c r="B19" s="206"/>
      <c r="C19" s="213"/>
      <c r="D19" s="213"/>
      <c r="E19" s="214"/>
      <c r="F19" s="216"/>
      <c r="G19" s="216"/>
      <c r="H19" s="165">
        <f t="shared" si="0"/>
        <v>0</v>
      </c>
      <c r="I19" s="39"/>
    </row>
    <row r="20" spans="1:9" ht="15.9" customHeight="1">
      <c r="A20" s="433"/>
      <c r="B20" s="206"/>
      <c r="C20" s="213"/>
      <c r="D20" s="213"/>
      <c r="E20" s="214"/>
      <c r="F20" s="216"/>
      <c r="G20" s="216"/>
      <c r="H20" s="165">
        <f t="shared" si="0"/>
        <v>0</v>
      </c>
      <c r="I20" s="39"/>
    </row>
    <row r="21" spans="1:9" ht="15.9" customHeight="1">
      <c r="A21" s="433"/>
      <c r="B21" s="206"/>
      <c r="C21" s="213"/>
      <c r="D21" s="213"/>
      <c r="E21" s="214"/>
      <c r="F21" s="216"/>
      <c r="G21" s="216"/>
      <c r="H21" s="165">
        <f t="shared" si="0"/>
        <v>0</v>
      </c>
      <c r="I21" s="39"/>
    </row>
    <row r="22" spans="1:9" ht="15.9" customHeight="1">
      <c r="A22" s="433"/>
      <c r="B22" s="206"/>
      <c r="C22" s="213"/>
      <c r="D22" s="213"/>
      <c r="E22" s="213"/>
      <c r="F22" s="216"/>
      <c r="G22" s="216"/>
      <c r="H22" s="165">
        <f t="shared" si="0"/>
        <v>0</v>
      </c>
      <c r="I22" s="39"/>
    </row>
    <row r="23" spans="1:9" ht="15.9" customHeight="1">
      <c r="A23" s="433"/>
      <c r="B23" s="206"/>
      <c r="C23" s="217" t="s">
        <v>129</v>
      </c>
      <c r="D23" s="218"/>
      <c r="E23" s="218" t="s">
        <v>130</v>
      </c>
      <c r="F23" s="219"/>
      <c r="G23" s="220"/>
      <c r="H23" s="237">
        <f t="shared" si="0"/>
        <v>0</v>
      </c>
      <c r="I23" s="238"/>
    </row>
    <row r="24" spans="1:9" ht="15.9" customHeight="1">
      <c r="A24" s="433"/>
      <c r="B24" s="221"/>
      <c r="C24" s="240"/>
      <c r="D24" s="240"/>
      <c r="E24" s="240"/>
      <c r="F24" s="243"/>
      <c r="G24" s="243"/>
      <c r="H24" s="244">
        <f>SUM(H3:H23)</f>
        <v>0</v>
      </c>
      <c r="I24" s="240"/>
    </row>
    <row r="25" spans="1:9" ht="15.9" customHeight="1">
      <c r="A25" s="433"/>
      <c r="B25" s="206" t="s">
        <v>147</v>
      </c>
      <c r="C25" s="207"/>
      <c r="D25" s="207"/>
      <c r="E25" s="207"/>
      <c r="F25" s="210"/>
      <c r="G25" s="210"/>
      <c r="H25" s="211">
        <f t="shared" si="0"/>
        <v>0</v>
      </c>
      <c r="I25" s="212"/>
    </row>
    <row r="26" spans="1:9" ht="15.9" customHeight="1">
      <c r="A26" s="433"/>
      <c r="B26" s="206" t="s">
        <v>148</v>
      </c>
      <c r="C26" s="213"/>
      <c r="D26" s="213"/>
      <c r="E26" s="213"/>
      <c r="F26" s="216"/>
      <c r="G26" s="216"/>
      <c r="H26" s="165">
        <f t="shared" si="0"/>
        <v>0</v>
      </c>
      <c r="I26" s="39"/>
    </row>
    <row r="27" spans="1:9" ht="15.9" customHeight="1">
      <c r="A27" s="433"/>
      <c r="B27" s="206"/>
      <c r="C27" s="213"/>
      <c r="D27" s="213"/>
      <c r="E27" s="213"/>
      <c r="F27" s="216"/>
      <c r="G27" s="216"/>
      <c r="H27" s="165">
        <f t="shared" si="0"/>
        <v>0</v>
      </c>
      <c r="I27" s="39"/>
    </row>
    <row r="28" spans="1:9" ht="15.9" customHeight="1">
      <c r="A28" s="433"/>
      <c r="B28" s="206"/>
      <c r="C28" s="213"/>
      <c r="D28" s="213"/>
      <c r="E28" s="213"/>
      <c r="F28" s="216"/>
      <c r="G28" s="216"/>
      <c r="H28" s="165">
        <f t="shared" si="0"/>
        <v>0</v>
      </c>
      <c r="I28" s="39"/>
    </row>
    <row r="29" spans="1:9" ht="15.9" customHeight="1">
      <c r="A29" s="433"/>
      <c r="B29" s="206"/>
      <c r="C29" s="234"/>
      <c r="D29" s="234"/>
      <c r="E29" s="234"/>
      <c r="F29" s="236"/>
      <c r="G29" s="236"/>
      <c r="H29" s="165">
        <f t="shared" si="0"/>
        <v>0</v>
      </c>
      <c r="I29" s="238"/>
    </row>
    <row r="30" spans="1:9" ht="15.9" customHeight="1">
      <c r="A30" s="433"/>
      <c r="B30" s="206"/>
      <c r="C30" s="234"/>
      <c r="D30" s="234"/>
      <c r="E30" s="234"/>
      <c r="F30" s="236"/>
      <c r="G30" s="236"/>
      <c r="H30" s="165">
        <f t="shared" si="0"/>
        <v>0</v>
      </c>
      <c r="I30" s="238"/>
    </row>
    <row r="31" spans="1:9" ht="15.9" customHeight="1">
      <c r="A31" s="433"/>
      <c r="B31" s="206"/>
      <c r="C31" s="234"/>
      <c r="D31" s="234"/>
      <c r="E31" s="234"/>
      <c r="F31" s="236"/>
      <c r="G31" s="236"/>
      <c r="H31" s="165">
        <f t="shared" si="0"/>
        <v>0</v>
      </c>
      <c r="I31" s="238"/>
    </row>
    <row r="32" spans="1:9" ht="15.9" customHeight="1">
      <c r="A32" s="433"/>
      <c r="B32" s="206"/>
      <c r="C32" s="234"/>
      <c r="D32" s="234"/>
      <c r="E32" s="234"/>
      <c r="F32" s="236"/>
      <c r="G32" s="236"/>
      <c r="H32" s="165">
        <f t="shared" si="0"/>
        <v>0</v>
      </c>
      <c r="I32" s="238"/>
    </row>
    <row r="33" spans="1:9" ht="15.9" customHeight="1">
      <c r="A33" s="433"/>
      <c r="B33" s="206"/>
      <c r="C33" s="234"/>
      <c r="D33" s="234"/>
      <c r="E33" s="234"/>
      <c r="F33" s="236"/>
      <c r="G33" s="236"/>
      <c r="H33" s="165">
        <f t="shared" si="0"/>
        <v>0</v>
      </c>
      <c r="I33" s="238"/>
    </row>
    <row r="34" spans="1:9" ht="15.9" customHeight="1">
      <c r="A34" s="433"/>
      <c r="B34" s="206"/>
      <c r="C34" s="217" t="s">
        <v>129</v>
      </c>
      <c r="D34" s="217"/>
      <c r="E34" s="217"/>
      <c r="F34" s="220"/>
      <c r="G34" s="220"/>
      <c r="H34" s="165">
        <f t="shared" si="0"/>
        <v>0</v>
      </c>
      <c r="I34" s="42"/>
    </row>
    <row r="35" spans="1:9" ht="15.9" customHeight="1">
      <c r="A35" s="433"/>
      <c r="B35" s="221"/>
      <c r="C35" s="222"/>
      <c r="D35" s="223"/>
      <c r="E35" s="223"/>
      <c r="F35" s="291"/>
      <c r="G35" s="225"/>
      <c r="H35" s="49">
        <f>SUM(H25:H34)</f>
        <v>0</v>
      </c>
      <c r="I35" s="46"/>
    </row>
    <row r="36" spans="1:9" ht="15.9" customHeight="1">
      <c r="A36" s="433"/>
      <c r="B36" s="245" t="s">
        <v>149</v>
      </c>
      <c r="C36" s="227"/>
      <c r="D36" s="227"/>
      <c r="E36" s="227"/>
      <c r="F36" s="230"/>
      <c r="G36" s="230"/>
      <c r="H36" s="231">
        <f t="shared" si="0"/>
        <v>0</v>
      </c>
      <c r="I36" s="232"/>
    </row>
    <row r="37" spans="1:9" ht="15.9" customHeight="1">
      <c r="A37" s="433"/>
      <c r="B37" s="206" t="s">
        <v>150</v>
      </c>
      <c r="C37" s="213"/>
      <c r="D37" s="213"/>
      <c r="E37" s="213"/>
      <c r="F37" s="216"/>
      <c r="G37" s="216"/>
      <c r="H37" s="165">
        <f t="shared" si="0"/>
        <v>0</v>
      </c>
      <c r="I37" s="39"/>
    </row>
    <row r="38" spans="1:9" ht="15.9" customHeight="1">
      <c r="A38" s="433"/>
      <c r="B38" s="206"/>
      <c r="C38" s="213"/>
      <c r="D38" s="213"/>
      <c r="E38" s="213"/>
      <c r="F38" s="216"/>
      <c r="G38" s="216"/>
      <c r="H38" s="165">
        <f t="shared" si="0"/>
        <v>0</v>
      </c>
      <c r="I38" s="39"/>
    </row>
    <row r="39" spans="1:9" ht="15.9" customHeight="1">
      <c r="A39" s="433"/>
      <c r="B39" s="206"/>
      <c r="C39" s="213"/>
      <c r="D39" s="213"/>
      <c r="E39" s="213"/>
      <c r="F39" s="216"/>
      <c r="G39" s="216"/>
      <c r="H39" s="165">
        <f t="shared" si="0"/>
        <v>0</v>
      </c>
      <c r="I39" s="39"/>
    </row>
    <row r="40" spans="1:9" ht="15.9" customHeight="1">
      <c r="A40" s="433"/>
      <c r="B40" s="206"/>
      <c r="C40" s="213"/>
      <c r="D40" s="213"/>
      <c r="E40" s="213"/>
      <c r="F40" s="216"/>
      <c r="G40" s="216"/>
      <c r="H40" s="165">
        <f t="shared" si="0"/>
        <v>0</v>
      </c>
      <c r="I40" s="39"/>
    </row>
    <row r="41" spans="1:9" ht="15.9" customHeight="1">
      <c r="A41" s="433"/>
      <c r="B41" s="206"/>
      <c r="C41" s="213"/>
      <c r="D41" s="213"/>
      <c r="E41" s="213"/>
      <c r="F41" s="216"/>
      <c r="G41" s="216"/>
      <c r="H41" s="165">
        <f t="shared" si="0"/>
        <v>0</v>
      </c>
      <c r="I41" s="39"/>
    </row>
    <row r="42" spans="1:9" ht="15.9" customHeight="1">
      <c r="A42" s="433"/>
      <c r="B42" s="206"/>
      <c r="C42" s="213"/>
      <c r="D42" s="213"/>
      <c r="E42" s="213"/>
      <c r="F42" s="216"/>
      <c r="G42" s="216"/>
      <c r="H42" s="165">
        <f t="shared" si="0"/>
        <v>0</v>
      </c>
      <c r="I42" s="39"/>
    </row>
    <row r="43" spans="1:9" ht="15.9" customHeight="1">
      <c r="A43" s="433"/>
      <c r="B43" s="206"/>
      <c r="C43" s="213"/>
      <c r="D43" s="213"/>
      <c r="E43" s="213"/>
      <c r="F43" s="216"/>
      <c r="G43" s="216"/>
      <c r="H43" s="165">
        <f t="shared" si="0"/>
        <v>0</v>
      </c>
      <c r="I43" s="39"/>
    </row>
    <row r="44" spans="1:9" ht="15.9" customHeight="1">
      <c r="A44" s="433"/>
      <c r="B44" s="206"/>
      <c r="C44" s="213"/>
      <c r="D44" s="213"/>
      <c r="E44" s="213"/>
      <c r="F44" s="216"/>
      <c r="G44" s="216"/>
      <c r="H44" s="165">
        <f t="shared" si="0"/>
        <v>0</v>
      </c>
      <c r="I44" s="39"/>
    </row>
    <row r="45" spans="1:9" ht="15.9" customHeight="1">
      <c r="A45" s="433"/>
      <c r="B45" s="206"/>
      <c r="C45" s="213"/>
      <c r="D45" s="213"/>
      <c r="E45" s="213"/>
      <c r="F45" s="216"/>
      <c r="G45" s="216"/>
      <c r="H45" s="165">
        <f t="shared" si="0"/>
        <v>0</v>
      </c>
      <c r="I45" s="39"/>
    </row>
    <row r="46" spans="1:9" ht="15.9" customHeight="1">
      <c r="A46" s="433"/>
      <c r="B46" s="206"/>
      <c r="C46" s="213"/>
      <c r="D46" s="213"/>
      <c r="E46" s="213"/>
      <c r="F46" s="216"/>
      <c r="G46" s="216"/>
      <c r="H46" s="165">
        <f t="shared" si="0"/>
        <v>0</v>
      </c>
      <c r="I46" s="39"/>
    </row>
    <row r="47" spans="1:9" ht="15.9" customHeight="1">
      <c r="A47" s="433"/>
      <c r="B47" s="206"/>
      <c r="C47" s="213"/>
      <c r="D47" s="213"/>
      <c r="E47" s="213"/>
      <c r="F47" s="216"/>
      <c r="G47" s="216"/>
      <c r="H47" s="165">
        <f t="shared" si="0"/>
        <v>0</v>
      </c>
      <c r="I47" s="39"/>
    </row>
    <row r="48" spans="1:9" ht="15.9" customHeight="1">
      <c r="A48" s="433"/>
      <c r="B48" s="206"/>
      <c r="C48" s="213"/>
      <c r="D48" s="213"/>
      <c r="E48" s="213"/>
      <c r="F48" s="216"/>
      <c r="G48" s="216"/>
      <c r="H48" s="165">
        <f t="shared" si="0"/>
        <v>0</v>
      </c>
      <c r="I48" s="39"/>
    </row>
    <row r="49" spans="1:9" ht="15.9" customHeight="1">
      <c r="A49" s="433"/>
      <c r="B49" s="206"/>
      <c r="C49" s="213"/>
      <c r="D49" s="213"/>
      <c r="E49" s="213"/>
      <c r="F49" s="216"/>
      <c r="G49" s="216"/>
      <c r="H49" s="165">
        <f t="shared" si="0"/>
        <v>0</v>
      </c>
      <c r="I49" s="39"/>
    </row>
    <row r="50" spans="1:9" ht="15.9" customHeight="1">
      <c r="A50" s="433"/>
      <c r="B50" s="206"/>
      <c r="C50" s="213"/>
      <c r="D50" s="213"/>
      <c r="E50" s="213"/>
      <c r="F50" s="216"/>
      <c r="G50" s="216"/>
      <c r="H50" s="165">
        <f t="shared" si="0"/>
        <v>0</v>
      </c>
      <c r="I50" s="39"/>
    </row>
    <row r="51" spans="1:9" ht="15.9" customHeight="1">
      <c r="A51" s="433"/>
      <c r="B51" s="206"/>
      <c r="C51" s="234"/>
      <c r="D51" s="234"/>
      <c r="E51" s="234"/>
      <c r="F51" s="236"/>
      <c r="G51" s="236"/>
      <c r="H51" s="165">
        <f t="shared" si="0"/>
        <v>0</v>
      </c>
      <c r="I51" s="238"/>
    </row>
    <row r="52" spans="1:9" ht="15.9" customHeight="1">
      <c r="A52" s="433"/>
      <c r="B52" s="206"/>
      <c r="C52" s="234"/>
      <c r="D52" s="234"/>
      <c r="E52" s="234"/>
      <c r="F52" s="236"/>
      <c r="G52" s="236"/>
      <c r="H52" s="165">
        <f t="shared" si="0"/>
        <v>0</v>
      </c>
      <c r="I52" s="238"/>
    </row>
    <row r="53" spans="1:9" ht="15.9" customHeight="1">
      <c r="A53" s="433"/>
      <c r="B53" s="206"/>
      <c r="C53" s="234"/>
      <c r="D53" s="234"/>
      <c r="E53" s="234"/>
      <c r="F53" s="236"/>
      <c r="G53" s="236"/>
      <c r="H53" s="165">
        <f t="shared" si="0"/>
        <v>0</v>
      </c>
      <c r="I53" s="238"/>
    </row>
    <row r="54" spans="1:9" ht="15.9" customHeight="1">
      <c r="A54" s="433"/>
      <c r="B54" s="206"/>
      <c r="C54" s="234"/>
      <c r="D54" s="234"/>
      <c r="E54" s="234"/>
      <c r="F54" s="236"/>
      <c r="G54" s="236"/>
      <c r="H54" s="165">
        <f t="shared" si="0"/>
        <v>0</v>
      </c>
      <c r="I54" s="238"/>
    </row>
    <row r="55" spans="1:9" ht="15.9" customHeight="1">
      <c r="A55" s="433"/>
      <c r="B55" s="206"/>
      <c r="C55" s="217" t="s">
        <v>129</v>
      </c>
      <c r="D55" s="218"/>
      <c r="E55" s="218" t="s">
        <v>130</v>
      </c>
      <c r="F55" s="219"/>
      <c r="G55" s="220"/>
      <c r="H55" s="175">
        <f t="shared" si="0"/>
        <v>0</v>
      </c>
      <c r="I55" s="42"/>
    </row>
    <row r="56" spans="1:9" ht="15.9" customHeight="1">
      <c r="A56" s="433"/>
      <c r="B56" s="221"/>
      <c r="C56" s="222"/>
      <c r="D56" s="223"/>
      <c r="E56" s="223"/>
      <c r="F56" s="225"/>
      <c r="G56" s="225"/>
      <c r="H56" s="49">
        <f>SUM(H36:H55)</f>
        <v>0</v>
      </c>
      <c r="I56" s="46"/>
    </row>
    <row r="57" spans="1:9" ht="15.9" customHeight="1">
      <c r="A57" s="433"/>
      <c r="B57" s="245" t="s">
        <v>51</v>
      </c>
      <c r="C57" s="213"/>
      <c r="D57" s="272"/>
      <c r="E57" s="272"/>
      <c r="F57" s="273"/>
      <c r="G57" s="216"/>
      <c r="H57" s="231">
        <f t="shared" si="0"/>
        <v>0</v>
      </c>
      <c r="I57" s="232"/>
    </row>
    <row r="58" spans="1:9" ht="15.9" customHeight="1">
      <c r="A58" s="433"/>
      <c r="B58" s="206"/>
      <c r="C58" s="213"/>
      <c r="D58" s="272"/>
      <c r="E58" s="272"/>
      <c r="F58" s="273"/>
      <c r="G58" s="216"/>
      <c r="H58" s="165">
        <f t="shared" si="0"/>
        <v>0</v>
      </c>
      <c r="I58" s="39"/>
    </row>
    <row r="59" spans="1:9" ht="15.9" customHeight="1">
      <c r="A59" s="433"/>
      <c r="B59" s="206"/>
      <c r="C59" s="213"/>
      <c r="D59" s="272"/>
      <c r="E59" s="272"/>
      <c r="F59" s="273"/>
      <c r="G59" s="216"/>
      <c r="H59" s="165">
        <f t="shared" si="0"/>
        <v>0</v>
      </c>
      <c r="I59" s="39"/>
    </row>
    <row r="60" spans="1:9" ht="15.9" customHeight="1">
      <c r="A60" s="433"/>
      <c r="B60" s="206"/>
      <c r="C60" s="213"/>
      <c r="D60" s="213"/>
      <c r="E60" s="213"/>
      <c r="F60" s="216"/>
      <c r="G60" s="216"/>
      <c r="H60" s="165">
        <f t="shared" si="0"/>
        <v>0</v>
      </c>
      <c r="I60" s="39"/>
    </row>
    <row r="61" spans="1:9" ht="15.9" customHeight="1">
      <c r="A61" s="433"/>
      <c r="B61" s="206"/>
      <c r="C61" s="213"/>
      <c r="D61" s="213"/>
      <c r="E61" s="213"/>
      <c r="F61" s="216"/>
      <c r="G61" s="216"/>
      <c r="H61" s="165">
        <f t="shared" si="0"/>
        <v>0</v>
      </c>
      <c r="I61" s="39"/>
    </row>
    <row r="62" spans="1:9" ht="15.9" customHeight="1">
      <c r="A62" s="433"/>
      <c r="B62" s="206"/>
      <c r="C62" s="213"/>
      <c r="D62" s="213"/>
      <c r="E62" s="213"/>
      <c r="F62" s="216"/>
      <c r="G62" s="216"/>
      <c r="H62" s="165">
        <f t="shared" si="0"/>
        <v>0</v>
      </c>
      <c r="I62" s="39"/>
    </row>
    <row r="63" spans="1:9" ht="15.9" customHeight="1">
      <c r="A63" s="433"/>
      <c r="B63" s="206"/>
      <c r="C63" s="234"/>
      <c r="D63" s="234"/>
      <c r="E63" s="234"/>
      <c r="F63" s="236"/>
      <c r="G63" s="236"/>
      <c r="H63" s="165">
        <f t="shared" si="0"/>
        <v>0</v>
      </c>
      <c r="I63" s="238"/>
    </row>
    <row r="64" spans="1:9" ht="15.9" customHeight="1">
      <c r="A64" s="433"/>
      <c r="B64" s="206"/>
      <c r="C64" s="234"/>
      <c r="D64" s="234"/>
      <c r="E64" s="234"/>
      <c r="F64" s="236"/>
      <c r="G64" s="236"/>
      <c r="H64" s="165">
        <f t="shared" si="0"/>
        <v>0</v>
      </c>
      <c r="I64" s="238"/>
    </row>
    <row r="65" spans="1:9" ht="15.9" customHeight="1">
      <c r="A65" s="433"/>
      <c r="B65" s="206"/>
      <c r="C65" s="234"/>
      <c r="D65" s="234"/>
      <c r="E65" s="234"/>
      <c r="F65" s="236"/>
      <c r="G65" s="236"/>
      <c r="H65" s="165">
        <f t="shared" si="0"/>
        <v>0</v>
      </c>
      <c r="I65" s="238"/>
    </row>
    <row r="66" spans="1:9" ht="15.9" customHeight="1">
      <c r="A66" s="433"/>
      <c r="B66" s="206"/>
      <c r="C66" s="234"/>
      <c r="D66" s="234"/>
      <c r="E66" s="234"/>
      <c r="F66" s="236"/>
      <c r="G66" s="236"/>
      <c r="H66" s="165">
        <f t="shared" si="0"/>
        <v>0</v>
      </c>
      <c r="I66" s="238"/>
    </row>
    <row r="67" spans="1:9" ht="15.9" customHeight="1">
      <c r="A67" s="433"/>
      <c r="B67" s="206"/>
      <c r="C67" s="234"/>
      <c r="D67" s="234"/>
      <c r="E67" s="234"/>
      <c r="F67" s="236"/>
      <c r="G67" s="236"/>
      <c r="H67" s="165">
        <f t="shared" si="0"/>
        <v>0</v>
      </c>
      <c r="I67" s="238"/>
    </row>
    <row r="68" spans="1:9" ht="15.9" customHeight="1">
      <c r="A68" s="433"/>
      <c r="B68" s="206"/>
      <c r="C68" s="234"/>
      <c r="D68" s="234"/>
      <c r="E68" s="234"/>
      <c r="F68" s="236"/>
      <c r="G68" s="236"/>
      <c r="H68" s="165">
        <f t="shared" si="0"/>
        <v>0</v>
      </c>
      <c r="I68" s="238"/>
    </row>
    <row r="69" spans="1:9" ht="15.9" customHeight="1">
      <c r="A69" s="433"/>
      <c r="B69" s="206"/>
      <c r="C69" s="234"/>
      <c r="D69" s="234"/>
      <c r="E69" s="234"/>
      <c r="F69" s="236"/>
      <c r="G69" s="236"/>
      <c r="H69" s="165">
        <f t="shared" ref="H69:H130" si="1">IF(F69=0,G69,G69*F69)</f>
        <v>0</v>
      </c>
      <c r="I69" s="238"/>
    </row>
    <row r="70" spans="1:9" ht="15.9" customHeight="1">
      <c r="A70" s="433"/>
      <c r="B70" s="206"/>
      <c r="C70" s="234"/>
      <c r="D70" s="234"/>
      <c r="E70" s="234"/>
      <c r="F70" s="236"/>
      <c r="G70" s="236"/>
      <c r="H70" s="165">
        <f t="shared" si="1"/>
        <v>0</v>
      </c>
      <c r="I70" s="238"/>
    </row>
    <row r="71" spans="1:9" ht="15.9" customHeight="1">
      <c r="A71" s="433"/>
      <c r="B71" s="206"/>
      <c r="C71" s="234"/>
      <c r="D71" s="234"/>
      <c r="E71" s="234"/>
      <c r="F71" s="236"/>
      <c r="G71" s="236"/>
      <c r="H71" s="165">
        <f t="shared" si="1"/>
        <v>0</v>
      </c>
      <c r="I71" s="238"/>
    </row>
    <row r="72" spans="1:9" ht="15.9" customHeight="1">
      <c r="A72" s="433"/>
      <c r="B72" s="206"/>
      <c r="C72" s="234"/>
      <c r="D72" s="234"/>
      <c r="E72" s="234"/>
      <c r="F72" s="236"/>
      <c r="G72" s="236"/>
      <c r="H72" s="165">
        <f t="shared" si="1"/>
        <v>0</v>
      </c>
      <c r="I72" s="238"/>
    </row>
    <row r="73" spans="1:9" ht="15.9" customHeight="1">
      <c r="A73" s="433"/>
      <c r="B73" s="206"/>
      <c r="C73" s="234"/>
      <c r="D73" s="234"/>
      <c r="E73" s="234"/>
      <c r="F73" s="236"/>
      <c r="G73" s="236"/>
      <c r="H73" s="165">
        <f t="shared" si="1"/>
        <v>0</v>
      </c>
      <c r="I73" s="238"/>
    </row>
    <row r="74" spans="1:9" ht="15.9" customHeight="1">
      <c r="A74" s="433"/>
      <c r="B74" s="206"/>
      <c r="C74" s="234"/>
      <c r="D74" s="234"/>
      <c r="E74" s="234"/>
      <c r="F74" s="236"/>
      <c r="G74" s="236"/>
      <c r="H74" s="165">
        <f t="shared" si="1"/>
        <v>0</v>
      </c>
      <c r="I74" s="238"/>
    </row>
    <row r="75" spans="1:9" ht="15.9" customHeight="1">
      <c r="A75" s="433"/>
      <c r="B75" s="206"/>
      <c r="C75" s="234"/>
      <c r="D75" s="234"/>
      <c r="E75" s="234"/>
      <c r="F75" s="236"/>
      <c r="G75" s="236"/>
      <c r="H75" s="165">
        <f t="shared" si="1"/>
        <v>0</v>
      </c>
      <c r="I75" s="238"/>
    </row>
    <row r="76" spans="1:9" ht="15.9" customHeight="1">
      <c r="A76" s="433"/>
      <c r="B76" s="206"/>
      <c r="C76" s="217" t="s">
        <v>129</v>
      </c>
      <c r="D76" s="217"/>
      <c r="E76" s="218" t="s">
        <v>130</v>
      </c>
      <c r="F76" s="219"/>
      <c r="G76" s="220"/>
      <c r="H76" s="175">
        <f t="shared" si="1"/>
        <v>0</v>
      </c>
      <c r="I76" s="42"/>
    </row>
    <row r="77" spans="1:9" ht="15.9" customHeight="1">
      <c r="A77" s="433"/>
      <c r="B77" s="221"/>
      <c r="C77" s="222"/>
      <c r="D77" s="223"/>
      <c r="E77" s="223"/>
      <c r="F77" s="225"/>
      <c r="G77" s="225"/>
      <c r="H77" s="49">
        <f>SUM(H57:H76)</f>
        <v>0</v>
      </c>
      <c r="I77" s="46"/>
    </row>
    <row r="78" spans="1:9" ht="15.9" customHeight="1">
      <c r="A78" s="246"/>
      <c r="B78" s="247" t="s">
        <v>131</v>
      </c>
      <c r="C78" s="248"/>
      <c r="D78" s="46"/>
      <c r="E78" s="46"/>
      <c r="F78" s="250"/>
      <c r="G78" s="250"/>
      <c r="H78" s="49">
        <f>SUM(H77,H56,H35,H24)</f>
        <v>0</v>
      </c>
      <c r="I78" s="46"/>
    </row>
    <row r="79" spans="1:9" ht="15.9" customHeight="1">
      <c r="A79" s="429" t="s">
        <v>132</v>
      </c>
      <c r="B79" s="251" t="s">
        <v>57</v>
      </c>
      <c r="C79" s="248"/>
      <c r="D79" s="46"/>
      <c r="E79" s="251" t="s">
        <v>58</v>
      </c>
      <c r="F79" s="265"/>
      <c r="G79" s="254"/>
      <c r="H79" s="255">
        <f>F79*G79</f>
        <v>0</v>
      </c>
      <c r="I79" s="46"/>
    </row>
    <row r="80" spans="1:9" ht="15.9" customHeight="1">
      <c r="A80" s="433"/>
      <c r="B80" s="256" t="s">
        <v>152</v>
      </c>
      <c r="C80" s="257"/>
      <c r="D80" s="232"/>
      <c r="E80" s="256" t="s">
        <v>134</v>
      </c>
      <c r="F80" s="230"/>
      <c r="G80" s="230"/>
      <c r="H80" s="231">
        <f t="shared" ref="H80:H86" si="2">F80*G80</f>
        <v>0</v>
      </c>
      <c r="I80" s="232"/>
    </row>
    <row r="81" spans="1:9" ht="15.9" customHeight="1">
      <c r="A81" s="433"/>
      <c r="B81" s="258" t="s">
        <v>153</v>
      </c>
      <c r="C81" s="259"/>
      <c r="D81" s="39"/>
      <c r="E81" s="258" t="s">
        <v>134</v>
      </c>
      <c r="F81" s="216"/>
      <c r="G81" s="216"/>
      <c r="H81" s="165">
        <f t="shared" si="2"/>
        <v>0</v>
      </c>
      <c r="I81" s="39"/>
    </row>
    <row r="82" spans="1:9" ht="15.9" customHeight="1">
      <c r="A82" s="433"/>
      <c r="B82" s="258" t="s">
        <v>154</v>
      </c>
      <c r="C82" s="259"/>
      <c r="D82" s="39"/>
      <c r="E82" s="258" t="s">
        <v>134</v>
      </c>
      <c r="F82" s="298"/>
      <c r="G82" s="216"/>
      <c r="H82" s="165">
        <f t="shared" si="2"/>
        <v>0</v>
      </c>
      <c r="I82" s="39"/>
    </row>
    <row r="83" spans="1:9" ht="15.9" customHeight="1">
      <c r="A83" s="433"/>
      <c r="B83" s="258" t="s">
        <v>155</v>
      </c>
      <c r="C83" s="259"/>
      <c r="D83" s="39"/>
      <c r="E83" s="258" t="s">
        <v>134</v>
      </c>
      <c r="F83" s="216"/>
      <c r="G83" s="216"/>
      <c r="H83" s="165">
        <f t="shared" si="2"/>
        <v>0</v>
      </c>
      <c r="I83" s="39"/>
    </row>
    <row r="84" spans="1:9" ht="15.9" customHeight="1">
      <c r="A84" s="433"/>
      <c r="B84" s="258" t="s">
        <v>156</v>
      </c>
      <c r="C84" s="259"/>
      <c r="D84" s="39"/>
      <c r="E84" s="258" t="s">
        <v>134</v>
      </c>
      <c r="F84" s="216"/>
      <c r="G84" s="216"/>
      <c r="H84" s="165">
        <f t="shared" si="2"/>
        <v>0</v>
      </c>
      <c r="I84" s="39"/>
    </row>
    <row r="85" spans="1:9" ht="15.9" customHeight="1">
      <c r="A85" s="433"/>
      <c r="B85" s="258" t="s">
        <v>157</v>
      </c>
      <c r="C85" s="259"/>
      <c r="D85" s="39"/>
      <c r="E85" s="258" t="s">
        <v>134</v>
      </c>
      <c r="F85" s="216"/>
      <c r="G85" s="216"/>
      <c r="H85" s="165">
        <f t="shared" si="2"/>
        <v>0</v>
      </c>
      <c r="I85" s="39"/>
    </row>
    <row r="86" spans="1:9" ht="15.9" customHeight="1">
      <c r="A86" s="433"/>
      <c r="B86" s="260" t="s">
        <v>161</v>
      </c>
      <c r="C86" s="261"/>
      <c r="D86" s="42"/>
      <c r="E86" s="260" t="s">
        <v>134</v>
      </c>
      <c r="F86" s="220"/>
      <c r="G86" s="220"/>
      <c r="H86" s="175">
        <f t="shared" si="2"/>
        <v>0</v>
      </c>
      <c r="I86" s="42"/>
    </row>
    <row r="87" spans="1:9" ht="15.9" customHeight="1">
      <c r="A87" s="246"/>
      <c r="B87" s="262" t="s">
        <v>140</v>
      </c>
      <c r="C87" s="248"/>
      <c r="D87" s="46"/>
      <c r="E87" s="46"/>
      <c r="F87" s="225"/>
      <c r="G87" s="225"/>
      <c r="H87" s="225">
        <f>SUM(H79:H86)</f>
        <v>0</v>
      </c>
      <c r="I87" s="223"/>
    </row>
    <row r="88" spans="1:9" ht="15.9" customHeight="1">
      <c r="A88" s="252"/>
      <c r="B88" s="262" t="s">
        <v>159</v>
      </c>
      <c r="C88" s="248"/>
      <c r="D88" s="46"/>
      <c r="E88" s="46"/>
      <c r="F88" s="49"/>
      <c r="G88" s="49"/>
      <c r="H88" s="250">
        <f>'단위공사별(집계)'!L13+'단위공사별(집계)'!I13</f>
        <v>0</v>
      </c>
      <c r="I88" s="46"/>
    </row>
    <row r="89" spans="1:9" ht="15.9" customHeight="1">
      <c r="A89" s="252"/>
      <c r="B89" s="262" t="s">
        <v>83</v>
      </c>
      <c r="C89" s="248"/>
      <c r="D89" s="46"/>
      <c r="E89" s="46"/>
      <c r="F89" s="49"/>
      <c r="G89" s="264"/>
      <c r="H89" s="265">
        <f>(H87+H78)*0.05</f>
        <v>0</v>
      </c>
      <c r="I89" s="248"/>
    </row>
    <row r="90" spans="1:9" ht="15.9" customHeight="1">
      <c r="A90" s="252"/>
      <c r="B90" s="262" t="s">
        <v>143</v>
      </c>
      <c r="C90" s="248"/>
      <c r="D90" s="46"/>
      <c r="E90" s="46"/>
      <c r="F90" s="49"/>
      <c r="G90" s="264"/>
      <c r="H90" s="265">
        <f>(H87+H78)*0.1</f>
        <v>0</v>
      </c>
      <c r="I90" s="248"/>
    </row>
    <row r="91" spans="1:9" ht="15.9" customHeight="1">
      <c r="A91" s="252"/>
      <c r="B91" s="262" t="s">
        <v>144</v>
      </c>
      <c r="C91" s="248"/>
      <c r="D91" s="46"/>
      <c r="E91" s="46"/>
      <c r="F91" s="49"/>
      <c r="G91" s="49"/>
      <c r="H91" s="225">
        <f>H78+H87+H88+H89+H90</f>
        <v>0</v>
      </c>
      <c r="I91" s="46"/>
    </row>
    <row r="92" spans="1:9">
      <c r="A92" s="26"/>
    </row>
  </sheetData>
  <mergeCells count="3">
    <mergeCell ref="A2:B2"/>
    <mergeCell ref="A3:A77"/>
    <mergeCell ref="A79:A8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손철호 책임매니저 통합구매팀 son@hyundai-wia.com 2026-07-07T14:05:14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D9847-5EB1-404B-88D0-65FEC42E7159}">
  <sheetPr>
    <tabColor rgb="FF00B050"/>
    <pageSetUpPr fitToPage="1"/>
  </sheetPr>
  <dimension ref="A1:I92"/>
  <sheetViews>
    <sheetView zoomScale="85" workbookViewId="0">
      <pane xSplit="2" ySplit="2" topLeftCell="C3" activePane="bottomRight" state="frozen"/>
      <selection activeCell="F18" sqref="F18:F27"/>
      <selection pane="topRight" activeCell="F18" sqref="F18:F27"/>
      <selection pane="bottomLeft" activeCell="F18" sqref="F18:F27"/>
      <selection pane="bottomRight" activeCell="F18" sqref="F18:F27"/>
    </sheetView>
  </sheetViews>
  <sheetFormatPr defaultColWidth="9" defaultRowHeight="14.4"/>
  <cols>
    <col min="1" max="1" width="5" style="24" customWidth="1"/>
    <col min="2" max="2" width="17.8984375" style="24" bestFit="1" customWidth="1"/>
    <col min="3" max="3" width="23.59765625" style="24" customWidth="1"/>
    <col min="4" max="4" width="18.19921875" style="24" customWidth="1"/>
    <col min="5" max="5" width="5.19921875" style="24" bestFit="1" customWidth="1"/>
    <col min="6" max="6" width="9" style="48"/>
    <col min="7" max="7" width="11.8984375" style="48" customWidth="1"/>
    <col min="8" max="8" width="13.59765625" style="48" customWidth="1"/>
    <col min="9" max="9" width="12.69921875" style="24" customWidth="1"/>
    <col min="10" max="256" width="9" style="24"/>
    <col min="257" max="257" width="5" style="24" customWidth="1"/>
    <col min="258" max="258" width="17.8984375" style="24" bestFit="1" customWidth="1"/>
    <col min="259" max="259" width="23.59765625" style="24" customWidth="1"/>
    <col min="260" max="260" width="18.19921875" style="24" customWidth="1"/>
    <col min="261" max="261" width="5.19921875" style="24" bestFit="1" customWidth="1"/>
    <col min="262" max="262" width="9" style="24"/>
    <col min="263" max="263" width="11.8984375" style="24" customWidth="1"/>
    <col min="264" max="264" width="13.59765625" style="24" customWidth="1"/>
    <col min="265" max="265" width="12.69921875" style="24" customWidth="1"/>
    <col min="266" max="512" width="9" style="24"/>
    <col min="513" max="513" width="5" style="24" customWidth="1"/>
    <col min="514" max="514" width="17.8984375" style="24" bestFit="1" customWidth="1"/>
    <col min="515" max="515" width="23.59765625" style="24" customWidth="1"/>
    <col min="516" max="516" width="18.19921875" style="24" customWidth="1"/>
    <col min="517" max="517" width="5.19921875" style="24" bestFit="1" customWidth="1"/>
    <col min="518" max="518" width="9" style="24"/>
    <col min="519" max="519" width="11.8984375" style="24" customWidth="1"/>
    <col min="520" max="520" width="13.59765625" style="24" customWidth="1"/>
    <col min="521" max="521" width="12.69921875" style="24" customWidth="1"/>
    <col min="522" max="768" width="9" style="24"/>
    <col min="769" max="769" width="5" style="24" customWidth="1"/>
    <col min="770" max="770" width="17.8984375" style="24" bestFit="1" customWidth="1"/>
    <col min="771" max="771" width="23.59765625" style="24" customWidth="1"/>
    <col min="772" max="772" width="18.19921875" style="24" customWidth="1"/>
    <col min="773" max="773" width="5.19921875" style="24" bestFit="1" customWidth="1"/>
    <col min="774" max="774" width="9" style="24"/>
    <col min="775" max="775" width="11.8984375" style="24" customWidth="1"/>
    <col min="776" max="776" width="13.59765625" style="24" customWidth="1"/>
    <col min="777" max="777" width="12.69921875" style="24" customWidth="1"/>
    <col min="778" max="1024" width="9" style="24"/>
    <col min="1025" max="1025" width="5" style="24" customWidth="1"/>
    <col min="1026" max="1026" width="17.8984375" style="24" bestFit="1" customWidth="1"/>
    <col min="1027" max="1027" width="23.59765625" style="24" customWidth="1"/>
    <col min="1028" max="1028" width="18.19921875" style="24" customWidth="1"/>
    <col min="1029" max="1029" width="5.19921875" style="24" bestFit="1" customWidth="1"/>
    <col min="1030" max="1030" width="9" style="24"/>
    <col min="1031" max="1031" width="11.8984375" style="24" customWidth="1"/>
    <col min="1032" max="1032" width="13.59765625" style="24" customWidth="1"/>
    <col min="1033" max="1033" width="12.69921875" style="24" customWidth="1"/>
    <col min="1034" max="1280" width="9" style="24"/>
    <col min="1281" max="1281" width="5" style="24" customWidth="1"/>
    <col min="1282" max="1282" width="17.8984375" style="24" bestFit="1" customWidth="1"/>
    <col min="1283" max="1283" width="23.59765625" style="24" customWidth="1"/>
    <col min="1284" max="1284" width="18.19921875" style="24" customWidth="1"/>
    <col min="1285" max="1285" width="5.19921875" style="24" bestFit="1" customWidth="1"/>
    <col min="1286" max="1286" width="9" style="24"/>
    <col min="1287" max="1287" width="11.8984375" style="24" customWidth="1"/>
    <col min="1288" max="1288" width="13.59765625" style="24" customWidth="1"/>
    <col min="1289" max="1289" width="12.69921875" style="24" customWidth="1"/>
    <col min="1290" max="1536" width="9" style="24"/>
    <col min="1537" max="1537" width="5" style="24" customWidth="1"/>
    <col min="1538" max="1538" width="17.8984375" style="24" bestFit="1" customWidth="1"/>
    <col min="1539" max="1539" width="23.59765625" style="24" customWidth="1"/>
    <col min="1540" max="1540" width="18.19921875" style="24" customWidth="1"/>
    <col min="1541" max="1541" width="5.19921875" style="24" bestFit="1" customWidth="1"/>
    <col min="1542" max="1542" width="9" style="24"/>
    <col min="1543" max="1543" width="11.8984375" style="24" customWidth="1"/>
    <col min="1544" max="1544" width="13.59765625" style="24" customWidth="1"/>
    <col min="1545" max="1545" width="12.69921875" style="24" customWidth="1"/>
    <col min="1546" max="1792" width="9" style="24"/>
    <col min="1793" max="1793" width="5" style="24" customWidth="1"/>
    <col min="1794" max="1794" width="17.8984375" style="24" bestFit="1" customWidth="1"/>
    <col min="1795" max="1795" width="23.59765625" style="24" customWidth="1"/>
    <col min="1796" max="1796" width="18.19921875" style="24" customWidth="1"/>
    <col min="1797" max="1797" width="5.19921875" style="24" bestFit="1" customWidth="1"/>
    <col min="1798" max="1798" width="9" style="24"/>
    <col min="1799" max="1799" width="11.8984375" style="24" customWidth="1"/>
    <col min="1800" max="1800" width="13.59765625" style="24" customWidth="1"/>
    <col min="1801" max="1801" width="12.69921875" style="24" customWidth="1"/>
    <col min="1802" max="2048" width="9" style="24"/>
    <col min="2049" max="2049" width="5" style="24" customWidth="1"/>
    <col min="2050" max="2050" width="17.8984375" style="24" bestFit="1" customWidth="1"/>
    <col min="2051" max="2051" width="23.59765625" style="24" customWidth="1"/>
    <col min="2052" max="2052" width="18.19921875" style="24" customWidth="1"/>
    <col min="2053" max="2053" width="5.19921875" style="24" bestFit="1" customWidth="1"/>
    <col min="2054" max="2054" width="9" style="24"/>
    <col min="2055" max="2055" width="11.8984375" style="24" customWidth="1"/>
    <col min="2056" max="2056" width="13.59765625" style="24" customWidth="1"/>
    <col min="2057" max="2057" width="12.69921875" style="24" customWidth="1"/>
    <col min="2058" max="2304" width="9" style="24"/>
    <col min="2305" max="2305" width="5" style="24" customWidth="1"/>
    <col min="2306" max="2306" width="17.8984375" style="24" bestFit="1" customWidth="1"/>
    <col min="2307" max="2307" width="23.59765625" style="24" customWidth="1"/>
    <col min="2308" max="2308" width="18.19921875" style="24" customWidth="1"/>
    <col min="2309" max="2309" width="5.19921875" style="24" bestFit="1" customWidth="1"/>
    <col min="2310" max="2310" width="9" style="24"/>
    <col min="2311" max="2311" width="11.8984375" style="24" customWidth="1"/>
    <col min="2312" max="2312" width="13.59765625" style="24" customWidth="1"/>
    <col min="2313" max="2313" width="12.69921875" style="24" customWidth="1"/>
    <col min="2314" max="2560" width="9" style="24"/>
    <col min="2561" max="2561" width="5" style="24" customWidth="1"/>
    <col min="2562" max="2562" width="17.8984375" style="24" bestFit="1" customWidth="1"/>
    <col min="2563" max="2563" width="23.59765625" style="24" customWidth="1"/>
    <col min="2564" max="2564" width="18.19921875" style="24" customWidth="1"/>
    <col min="2565" max="2565" width="5.19921875" style="24" bestFit="1" customWidth="1"/>
    <col min="2566" max="2566" width="9" style="24"/>
    <col min="2567" max="2567" width="11.8984375" style="24" customWidth="1"/>
    <col min="2568" max="2568" width="13.59765625" style="24" customWidth="1"/>
    <col min="2569" max="2569" width="12.69921875" style="24" customWidth="1"/>
    <col min="2570" max="2816" width="9" style="24"/>
    <col min="2817" max="2817" width="5" style="24" customWidth="1"/>
    <col min="2818" max="2818" width="17.8984375" style="24" bestFit="1" customWidth="1"/>
    <col min="2819" max="2819" width="23.59765625" style="24" customWidth="1"/>
    <col min="2820" max="2820" width="18.19921875" style="24" customWidth="1"/>
    <col min="2821" max="2821" width="5.19921875" style="24" bestFit="1" customWidth="1"/>
    <col min="2822" max="2822" width="9" style="24"/>
    <col min="2823" max="2823" width="11.8984375" style="24" customWidth="1"/>
    <col min="2824" max="2824" width="13.59765625" style="24" customWidth="1"/>
    <col min="2825" max="2825" width="12.69921875" style="24" customWidth="1"/>
    <col min="2826" max="3072" width="9" style="24"/>
    <col min="3073" max="3073" width="5" style="24" customWidth="1"/>
    <col min="3074" max="3074" width="17.8984375" style="24" bestFit="1" customWidth="1"/>
    <col min="3075" max="3075" width="23.59765625" style="24" customWidth="1"/>
    <col min="3076" max="3076" width="18.19921875" style="24" customWidth="1"/>
    <col min="3077" max="3077" width="5.19921875" style="24" bestFit="1" customWidth="1"/>
    <col min="3078" max="3078" width="9" style="24"/>
    <col min="3079" max="3079" width="11.8984375" style="24" customWidth="1"/>
    <col min="3080" max="3080" width="13.59765625" style="24" customWidth="1"/>
    <col min="3081" max="3081" width="12.69921875" style="24" customWidth="1"/>
    <col min="3082" max="3328" width="9" style="24"/>
    <col min="3329" max="3329" width="5" style="24" customWidth="1"/>
    <col min="3330" max="3330" width="17.8984375" style="24" bestFit="1" customWidth="1"/>
    <col min="3331" max="3331" width="23.59765625" style="24" customWidth="1"/>
    <col min="3332" max="3332" width="18.19921875" style="24" customWidth="1"/>
    <col min="3333" max="3333" width="5.19921875" style="24" bestFit="1" customWidth="1"/>
    <col min="3334" max="3334" width="9" style="24"/>
    <col min="3335" max="3335" width="11.8984375" style="24" customWidth="1"/>
    <col min="3336" max="3336" width="13.59765625" style="24" customWidth="1"/>
    <col min="3337" max="3337" width="12.69921875" style="24" customWidth="1"/>
    <col min="3338" max="3584" width="9" style="24"/>
    <col min="3585" max="3585" width="5" style="24" customWidth="1"/>
    <col min="3586" max="3586" width="17.8984375" style="24" bestFit="1" customWidth="1"/>
    <col min="3587" max="3587" width="23.59765625" style="24" customWidth="1"/>
    <col min="3588" max="3588" width="18.19921875" style="24" customWidth="1"/>
    <col min="3589" max="3589" width="5.19921875" style="24" bestFit="1" customWidth="1"/>
    <col min="3590" max="3590" width="9" style="24"/>
    <col min="3591" max="3591" width="11.8984375" style="24" customWidth="1"/>
    <col min="3592" max="3592" width="13.59765625" style="24" customWidth="1"/>
    <col min="3593" max="3593" width="12.69921875" style="24" customWidth="1"/>
    <col min="3594" max="3840" width="9" style="24"/>
    <col min="3841" max="3841" width="5" style="24" customWidth="1"/>
    <col min="3842" max="3842" width="17.8984375" style="24" bestFit="1" customWidth="1"/>
    <col min="3843" max="3843" width="23.59765625" style="24" customWidth="1"/>
    <col min="3844" max="3844" width="18.19921875" style="24" customWidth="1"/>
    <col min="3845" max="3845" width="5.19921875" style="24" bestFit="1" customWidth="1"/>
    <col min="3846" max="3846" width="9" style="24"/>
    <col min="3847" max="3847" width="11.8984375" style="24" customWidth="1"/>
    <col min="3848" max="3848" width="13.59765625" style="24" customWidth="1"/>
    <col min="3849" max="3849" width="12.69921875" style="24" customWidth="1"/>
    <col min="3850" max="4096" width="9" style="24"/>
    <col min="4097" max="4097" width="5" style="24" customWidth="1"/>
    <col min="4098" max="4098" width="17.8984375" style="24" bestFit="1" customWidth="1"/>
    <col min="4099" max="4099" width="23.59765625" style="24" customWidth="1"/>
    <col min="4100" max="4100" width="18.19921875" style="24" customWidth="1"/>
    <col min="4101" max="4101" width="5.19921875" style="24" bestFit="1" customWidth="1"/>
    <col min="4102" max="4102" width="9" style="24"/>
    <col min="4103" max="4103" width="11.8984375" style="24" customWidth="1"/>
    <col min="4104" max="4104" width="13.59765625" style="24" customWidth="1"/>
    <col min="4105" max="4105" width="12.69921875" style="24" customWidth="1"/>
    <col min="4106" max="4352" width="9" style="24"/>
    <col min="4353" max="4353" width="5" style="24" customWidth="1"/>
    <col min="4354" max="4354" width="17.8984375" style="24" bestFit="1" customWidth="1"/>
    <col min="4355" max="4355" width="23.59765625" style="24" customWidth="1"/>
    <col min="4356" max="4356" width="18.19921875" style="24" customWidth="1"/>
    <col min="4357" max="4357" width="5.19921875" style="24" bestFit="1" customWidth="1"/>
    <col min="4358" max="4358" width="9" style="24"/>
    <col min="4359" max="4359" width="11.8984375" style="24" customWidth="1"/>
    <col min="4360" max="4360" width="13.59765625" style="24" customWidth="1"/>
    <col min="4361" max="4361" width="12.69921875" style="24" customWidth="1"/>
    <col min="4362" max="4608" width="9" style="24"/>
    <col min="4609" max="4609" width="5" style="24" customWidth="1"/>
    <col min="4610" max="4610" width="17.8984375" style="24" bestFit="1" customWidth="1"/>
    <col min="4611" max="4611" width="23.59765625" style="24" customWidth="1"/>
    <col min="4612" max="4612" width="18.19921875" style="24" customWidth="1"/>
    <col min="4613" max="4613" width="5.19921875" style="24" bestFit="1" customWidth="1"/>
    <col min="4614" max="4614" width="9" style="24"/>
    <col min="4615" max="4615" width="11.8984375" style="24" customWidth="1"/>
    <col min="4616" max="4616" width="13.59765625" style="24" customWidth="1"/>
    <col min="4617" max="4617" width="12.69921875" style="24" customWidth="1"/>
    <col min="4618" max="4864" width="9" style="24"/>
    <col min="4865" max="4865" width="5" style="24" customWidth="1"/>
    <col min="4866" max="4866" width="17.8984375" style="24" bestFit="1" customWidth="1"/>
    <col min="4867" max="4867" width="23.59765625" style="24" customWidth="1"/>
    <col min="4868" max="4868" width="18.19921875" style="24" customWidth="1"/>
    <col min="4869" max="4869" width="5.19921875" style="24" bestFit="1" customWidth="1"/>
    <col min="4870" max="4870" width="9" style="24"/>
    <col min="4871" max="4871" width="11.8984375" style="24" customWidth="1"/>
    <col min="4872" max="4872" width="13.59765625" style="24" customWidth="1"/>
    <col min="4873" max="4873" width="12.69921875" style="24" customWidth="1"/>
    <col min="4874" max="5120" width="9" style="24"/>
    <col min="5121" max="5121" width="5" style="24" customWidth="1"/>
    <col min="5122" max="5122" width="17.8984375" style="24" bestFit="1" customWidth="1"/>
    <col min="5123" max="5123" width="23.59765625" style="24" customWidth="1"/>
    <col min="5124" max="5124" width="18.19921875" style="24" customWidth="1"/>
    <col min="5125" max="5125" width="5.19921875" style="24" bestFit="1" customWidth="1"/>
    <col min="5126" max="5126" width="9" style="24"/>
    <col min="5127" max="5127" width="11.8984375" style="24" customWidth="1"/>
    <col min="5128" max="5128" width="13.59765625" style="24" customWidth="1"/>
    <col min="5129" max="5129" width="12.69921875" style="24" customWidth="1"/>
    <col min="5130" max="5376" width="9" style="24"/>
    <col min="5377" max="5377" width="5" style="24" customWidth="1"/>
    <col min="5378" max="5378" width="17.8984375" style="24" bestFit="1" customWidth="1"/>
    <col min="5379" max="5379" width="23.59765625" style="24" customWidth="1"/>
    <col min="5380" max="5380" width="18.19921875" style="24" customWidth="1"/>
    <col min="5381" max="5381" width="5.19921875" style="24" bestFit="1" customWidth="1"/>
    <col min="5382" max="5382" width="9" style="24"/>
    <col min="5383" max="5383" width="11.8984375" style="24" customWidth="1"/>
    <col min="5384" max="5384" width="13.59765625" style="24" customWidth="1"/>
    <col min="5385" max="5385" width="12.69921875" style="24" customWidth="1"/>
    <col min="5386" max="5632" width="9" style="24"/>
    <col min="5633" max="5633" width="5" style="24" customWidth="1"/>
    <col min="5634" max="5634" width="17.8984375" style="24" bestFit="1" customWidth="1"/>
    <col min="5635" max="5635" width="23.59765625" style="24" customWidth="1"/>
    <col min="5636" max="5636" width="18.19921875" style="24" customWidth="1"/>
    <col min="5637" max="5637" width="5.19921875" style="24" bestFit="1" customWidth="1"/>
    <col min="5638" max="5638" width="9" style="24"/>
    <col min="5639" max="5639" width="11.8984375" style="24" customWidth="1"/>
    <col min="5640" max="5640" width="13.59765625" style="24" customWidth="1"/>
    <col min="5641" max="5641" width="12.69921875" style="24" customWidth="1"/>
    <col min="5642" max="5888" width="9" style="24"/>
    <col min="5889" max="5889" width="5" style="24" customWidth="1"/>
    <col min="5890" max="5890" width="17.8984375" style="24" bestFit="1" customWidth="1"/>
    <col min="5891" max="5891" width="23.59765625" style="24" customWidth="1"/>
    <col min="5892" max="5892" width="18.19921875" style="24" customWidth="1"/>
    <col min="5893" max="5893" width="5.19921875" style="24" bestFit="1" customWidth="1"/>
    <col min="5894" max="5894" width="9" style="24"/>
    <col min="5895" max="5895" width="11.8984375" style="24" customWidth="1"/>
    <col min="5896" max="5896" width="13.59765625" style="24" customWidth="1"/>
    <col min="5897" max="5897" width="12.69921875" style="24" customWidth="1"/>
    <col min="5898" max="6144" width="9" style="24"/>
    <col min="6145" max="6145" width="5" style="24" customWidth="1"/>
    <col min="6146" max="6146" width="17.8984375" style="24" bestFit="1" customWidth="1"/>
    <col min="6147" max="6147" width="23.59765625" style="24" customWidth="1"/>
    <col min="6148" max="6148" width="18.19921875" style="24" customWidth="1"/>
    <col min="6149" max="6149" width="5.19921875" style="24" bestFit="1" customWidth="1"/>
    <col min="6150" max="6150" width="9" style="24"/>
    <col min="6151" max="6151" width="11.8984375" style="24" customWidth="1"/>
    <col min="6152" max="6152" width="13.59765625" style="24" customWidth="1"/>
    <col min="6153" max="6153" width="12.69921875" style="24" customWidth="1"/>
    <col min="6154" max="6400" width="9" style="24"/>
    <col min="6401" max="6401" width="5" style="24" customWidth="1"/>
    <col min="6402" max="6402" width="17.8984375" style="24" bestFit="1" customWidth="1"/>
    <col min="6403" max="6403" width="23.59765625" style="24" customWidth="1"/>
    <col min="6404" max="6404" width="18.19921875" style="24" customWidth="1"/>
    <col min="6405" max="6405" width="5.19921875" style="24" bestFit="1" customWidth="1"/>
    <col min="6406" max="6406" width="9" style="24"/>
    <col min="6407" max="6407" width="11.8984375" style="24" customWidth="1"/>
    <col min="6408" max="6408" width="13.59765625" style="24" customWidth="1"/>
    <col min="6409" max="6409" width="12.69921875" style="24" customWidth="1"/>
    <col min="6410" max="6656" width="9" style="24"/>
    <col min="6657" max="6657" width="5" style="24" customWidth="1"/>
    <col min="6658" max="6658" width="17.8984375" style="24" bestFit="1" customWidth="1"/>
    <col min="6659" max="6659" width="23.59765625" style="24" customWidth="1"/>
    <col min="6660" max="6660" width="18.19921875" style="24" customWidth="1"/>
    <col min="6661" max="6661" width="5.19921875" style="24" bestFit="1" customWidth="1"/>
    <col min="6662" max="6662" width="9" style="24"/>
    <col min="6663" max="6663" width="11.8984375" style="24" customWidth="1"/>
    <col min="6664" max="6664" width="13.59765625" style="24" customWidth="1"/>
    <col min="6665" max="6665" width="12.69921875" style="24" customWidth="1"/>
    <col min="6666" max="6912" width="9" style="24"/>
    <col min="6913" max="6913" width="5" style="24" customWidth="1"/>
    <col min="6914" max="6914" width="17.8984375" style="24" bestFit="1" customWidth="1"/>
    <col min="6915" max="6915" width="23.59765625" style="24" customWidth="1"/>
    <col min="6916" max="6916" width="18.19921875" style="24" customWidth="1"/>
    <col min="6917" max="6917" width="5.19921875" style="24" bestFit="1" customWidth="1"/>
    <col min="6918" max="6918" width="9" style="24"/>
    <col min="6919" max="6919" width="11.8984375" style="24" customWidth="1"/>
    <col min="6920" max="6920" width="13.59765625" style="24" customWidth="1"/>
    <col min="6921" max="6921" width="12.69921875" style="24" customWidth="1"/>
    <col min="6922" max="7168" width="9" style="24"/>
    <col min="7169" max="7169" width="5" style="24" customWidth="1"/>
    <col min="7170" max="7170" width="17.8984375" style="24" bestFit="1" customWidth="1"/>
    <col min="7171" max="7171" width="23.59765625" style="24" customWidth="1"/>
    <col min="7172" max="7172" width="18.19921875" style="24" customWidth="1"/>
    <col min="7173" max="7173" width="5.19921875" style="24" bestFit="1" customWidth="1"/>
    <col min="7174" max="7174" width="9" style="24"/>
    <col min="7175" max="7175" width="11.8984375" style="24" customWidth="1"/>
    <col min="7176" max="7176" width="13.59765625" style="24" customWidth="1"/>
    <col min="7177" max="7177" width="12.69921875" style="24" customWidth="1"/>
    <col min="7178" max="7424" width="9" style="24"/>
    <col min="7425" max="7425" width="5" style="24" customWidth="1"/>
    <col min="7426" max="7426" width="17.8984375" style="24" bestFit="1" customWidth="1"/>
    <col min="7427" max="7427" width="23.59765625" style="24" customWidth="1"/>
    <col min="7428" max="7428" width="18.19921875" style="24" customWidth="1"/>
    <col min="7429" max="7429" width="5.19921875" style="24" bestFit="1" customWidth="1"/>
    <col min="7430" max="7430" width="9" style="24"/>
    <col min="7431" max="7431" width="11.8984375" style="24" customWidth="1"/>
    <col min="7432" max="7432" width="13.59765625" style="24" customWidth="1"/>
    <col min="7433" max="7433" width="12.69921875" style="24" customWidth="1"/>
    <col min="7434" max="7680" width="9" style="24"/>
    <col min="7681" max="7681" width="5" style="24" customWidth="1"/>
    <col min="7682" max="7682" width="17.8984375" style="24" bestFit="1" customWidth="1"/>
    <col min="7683" max="7683" width="23.59765625" style="24" customWidth="1"/>
    <col min="7684" max="7684" width="18.19921875" style="24" customWidth="1"/>
    <col min="7685" max="7685" width="5.19921875" style="24" bestFit="1" customWidth="1"/>
    <col min="7686" max="7686" width="9" style="24"/>
    <col min="7687" max="7687" width="11.8984375" style="24" customWidth="1"/>
    <col min="7688" max="7688" width="13.59765625" style="24" customWidth="1"/>
    <col min="7689" max="7689" width="12.69921875" style="24" customWidth="1"/>
    <col min="7690" max="7936" width="9" style="24"/>
    <col min="7937" max="7937" width="5" style="24" customWidth="1"/>
    <col min="7938" max="7938" width="17.8984375" style="24" bestFit="1" customWidth="1"/>
    <col min="7939" max="7939" width="23.59765625" style="24" customWidth="1"/>
    <col min="7940" max="7940" width="18.19921875" style="24" customWidth="1"/>
    <col min="7941" max="7941" width="5.19921875" style="24" bestFit="1" customWidth="1"/>
    <col min="7942" max="7942" width="9" style="24"/>
    <col min="7943" max="7943" width="11.8984375" style="24" customWidth="1"/>
    <col min="7944" max="7944" width="13.59765625" style="24" customWidth="1"/>
    <col min="7945" max="7945" width="12.69921875" style="24" customWidth="1"/>
    <col min="7946" max="8192" width="9" style="24"/>
    <col min="8193" max="8193" width="5" style="24" customWidth="1"/>
    <col min="8194" max="8194" width="17.8984375" style="24" bestFit="1" customWidth="1"/>
    <col min="8195" max="8195" width="23.59765625" style="24" customWidth="1"/>
    <col min="8196" max="8196" width="18.19921875" style="24" customWidth="1"/>
    <col min="8197" max="8197" width="5.19921875" style="24" bestFit="1" customWidth="1"/>
    <col min="8198" max="8198" width="9" style="24"/>
    <col min="8199" max="8199" width="11.8984375" style="24" customWidth="1"/>
    <col min="8200" max="8200" width="13.59765625" style="24" customWidth="1"/>
    <col min="8201" max="8201" width="12.69921875" style="24" customWidth="1"/>
    <col min="8202" max="8448" width="9" style="24"/>
    <col min="8449" max="8449" width="5" style="24" customWidth="1"/>
    <col min="8450" max="8450" width="17.8984375" style="24" bestFit="1" customWidth="1"/>
    <col min="8451" max="8451" width="23.59765625" style="24" customWidth="1"/>
    <col min="8452" max="8452" width="18.19921875" style="24" customWidth="1"/>
    <col min="8453" max="8453" width="5.19921875" style="24" bestFit="1" customWidth="1"/>
    <col min="8454" max="8454" width="9" style="24"/>
    <col min="8455" max="8455" width="11.8984375" style="24" customWidth="1"/>
    <col min="8456" max="8456" width="13.59765625" style="24" customWidth="1"/>
    <col min="8457" max="8457" width="12.69921875" style="24" customWidth="1"/>
    <col min="8458" max="8704" width="9" style="24"/>
    <col min="8705" max="8705" width="5" style="24" customWidth="1"/>
    <col min="8706" max="8706" width="17.8984375" style="24" bestFit="1" customWidth="1"/>
    <col min="8707" max="8707" width="23.59765625" style="24" customWidth="1"/>
    <col min="8708" max="8708" width="18.19921875" style="24" customWidth="1"/>
    <col min="8709" max="8709" width="5.19921875" style="24" bestFit="1" customWidth="1"/>
    <col min="8710" max="8710" width="9" style="24"/>
    <col min="8711" max="8711" width="11.8984375" style="24" customWidth="1"/>
    <col min="8712" max="8712" width="13.59765625" style="24" customWidth="1"/>
    <col min="8713" max="8713" width="12.69921875" style="24" customWidth="1"/>
    <col min="8714" max="8960" width="9" style="24"/>
    <col min="8961" max="8961" width="5" style="24" customWidth="1"/>
    <col min="8962" max="8962" width="17.8984375" style="24" bestFit="1" customWidth="1"/>
    <col min="8963" max="8963" width="23.59765625" style="24" customWidth="1"/>
    <col min="8964" max="8964" width="18.19921875" style="24" customWidth="1"/>
    <col min="8965" max="8965" width="5.19921875" style="24" bestFit="1" customWidth="1"/>
    <col min="8966" max="8966" width="9" style="24"/>
    <col min="8967" max="8967" width="11.8984375" style="24" customWidth="1"/>
    <col min="8968" max="8968" width="13.59765625" style="24" customWidth="1"/>
    <col min="8969" max="8969" width="12.69921875" style="24" customWidth="1"/>
    <col min="8970" max="9216" width="9" style="24"/>
    <col min="9217" max="9217" width="5" style="24" customWidth="1"/>
    <col min="9218" max="9218" width="17.8984375" style="24" bestFit="1" customWidth="1"/>
    <col min="9219" max="9219" width="23.59765625" style="24" customWidth="1"/>
    <col min="9220" max="9220" width="18.19921875" style="24" customWidth="1"/>
    <col min="9221" max="9221" width="5.19921875" style="24" bestFit="1" customWidth="1"/>
    <col min="9222" max="9222" width="9" style="24"/>
    <col min="9223" max="9223" width="11.8984375" style="24" customWidth="1"/>
    <col min="9224" max="9224" width="13.59765625" style="24" customWidth="1"/>
    <col min="9225" max="9225" width="12.69921875" style="24" customWidth="1"/>
    <col min="9226" max="9472" width="9" style="24"/>
    <col min="9473" max="9473" width="5" style="24" customWidth="1"/>
    <col min="9474" max="9474" width="17.8984375" style="24" bestFit="1" customWidth="1"/>
    <col min="9475" max="9475" width="23.59765625" style="24" customWidth="1"/>
    <col min="9476" max="9476" width="18.19921875" style="24" customWidth="1"/>
    <col min="9477" max="9477" width="5.19921875" style="24" bestFit="1" customWidth="1"/>
    <col min="9478" max="9478" width="9" style="24"/>
    <col min="9479" max="9479" width="11.8984375" style="24" customWidth="1"/>
    <col min="9480" max="9480" width="13.59765625" style="24" customWidth="1"/>
    <col min="9481" max="9481" width="12.69921875" style="24" customWidth="1"/>
    <col min="9482" max="9728" width="9" style="24"/>
    <col min="9729" max="9729" width="5" style="24" customWidth="1"/>
    <col min="9730" max="9730" width="17.8984375" style="24" bestFit="1" customWidth="1"/>
    <col min="9731" max="9731" width="23.59765625" style="24" customWidth="1"/>
    <col min="9732" max="9732" width="18.19921875" style="24" customWidth="1"/>
    <col min="9733" max="9733" width="5.19921875" style="24" bestFit="1" customWidth="1"/>
    <col min="9734" max="9734" width="9" style="24"/>
    <col min="9735" max="9735" width="11.8984375" style="24" customWidth="1"/>
    <col min="9736" max="9736" width="13.59765625" style="24" customWidth="1"/>
    <col min="9737" max="9737" width="12.69921875" style="24" customWidth="1"/>
    <col min="9738" max="9984" width="9" style="24"/>
    <col min="9985" max="9985" width="5" style="24" customWidth="1"/>
    <col min="9986" max="9986" width="17.8984375" style="24" bestFit="1" customWidth="1"/>
    <col min="9987" max="9987" width="23.59765625" style="24" customWidth="1"/>
    <col min="9988" max="9988" width="18.19921875" style="24" customWidth="1"/>
    <col min="9989" max="9989" width="5.19921875" style="24" bestFit="1" customWidth="1"/>
    <col min="9990" max="9990" width="9" style="24"/>
    <col min="9991" max="9991" width="11.8984375" style="24" customWidth="1"/>
    <col min="9992" max="9992" width="13.59765625" style="24" customWidth="1"/>
    <col min="9993" max="9993" width="12.69921875" style="24" customWidth="1"/>
    <col min="9994" max="10240" width="9" style="24"/>
    <col min="10241" max="10241" width="5" style="24" customWidth="1"/>
    <col min="10242" max="10242" width="17.8984375" style="24" bestFit="1" customWidth="1"/>
    <col min="10243" max="10243" width="23.59765625" style="24" customWidth="1"/>
    <col min="10244" max="10244" width="18.19921875" style="24" customWidth="1"/>
    <col min="10245" max="10245" width="5.19921875" style="24" bestFit="1" customWidth="1"/>
    <col min="10246" max="10246" width="9" style="24"/>
    <col min="10247" max="10247" width="11.8984375" style="24" customWidth="1"/>
    <col min="10248" max="10248" width="13.59765625" style="24" customWidth="1"/>
    <col min="10249" max="10249" width="12.69921875" style="24" customWidth="1"/>
    <col min="10250" max="10496" width="9" style="24"/>
    <col min="10497" max="10497" width="5" style="24" customWidth="1"/>
    <col min="10498" max="10498" width="17.8984375" style="24" bestFit="1" customWidth="1"/>
    <col min="10499" max="10499" width="23.59765625" style="24" customWidth="1"/>
    <col min="10500" max="10500" width="18.19921875" style="24" customWidth="1"/>
    <col min="10501" max="10501" width="5.19921875" style="24" bestFit="1" customWidth="1"/>
    <col min="10502" max="10502" width="9" style="24"/>
    <col min="10503" max="10503" width="11.8984375" style="24" customWidth="1"/>
    <col min="10504" max="10504" width="13.59765625" style="24" customWidth="1"/>
    <col min="10505" max="10505" width="12.69921875" style="24" customWidth="1"/>
    <col min="10506" max="10752" width="9" style="24"/>
    <col min="10753" max="10753" width="5" style="24" customWidth="1"/>
    <col min="10754" max="10754" width="17.8984375" style="24" bestFit="1" customWidth="1"/>
    <col min="10755" max="10755" width="23.59765625" style="24" customWidth="1"/>
    <col min="10756" max="10756" width="18.19921875" style="24" customWidth="1"/>
    <col min="10757" max="10757" width="5.19921875" style="24" bestFit="1" customWidth="1"/>
    <col min="10758" max="10758" width="9" style="24"/>
    <col min="10759" max="10759" width="11.8984375" style="24" customWidth="1"/>
    <col min="10760" max="10760" width="13.59765625" style="24" customWidth="1"/>
    <col min="10761" max="10761" width="12.69921875" style="24" customWidth="1"/>
    <col min="10762" max="11008" width="9" style="24"/>
    <col min="11009" max="11009" width="5" style="24" customWidth="1"/>
    <col min="11010" max="11010" width="17.8984375" style="24" bestFit="1" customWidth="1"/>
    <col min="11011" max="11011" width="23.59765625" style="24" customWidth="1"/>
    <col min="11012" max="11012" width="18.19921875" style="24" customWidth="1"/>
    <col min="11013" max="11013" width="5.19921875" style="24" bestFit="1" customWidth="1"/>
    <col min="11014" max="11014" width="9" style="24"/>
    <col min="11015" max="11015" width="11.8984375" style="24" customWidth="1"/>
    <col min="11016" max="11016" width="13.59765625" style="24" customWidth="1"/>
    <col min="11017" max="11017" width="12.69921875" style="24" customWidth="1"/>
    <col min="11018" max="11264" width="9" style="24"/>
    <col min="11265" max="11265" width="5" style="24" customWidth="1"/>
    <col min="11266" max="11266" width="17.8984375" style="24" bestFit="1" customWidth="1"/>
    <col min="11267" max="11267" width="23.59765625" style="24" customWidth="1"/>
    <col min="11268" max="11268" width="18.19921875" style="24" customWidth="1"/>
    <col min="11269" max="11269" width="5.19921875" style="24" bestFit="1" customWidth="1"/>
    <col min="11270" max="11270" width="9" style="24"/>
    <col min="11271" max="11271" width="11.8984375" style="24" customWidth="1"/>
    <col min="11272" max="11272" width="13.59765625" style="24" customWidth="1"/>
    <col min="11273" max="11273" width="12.69921875" style="24" customWidth="1"/>
    <col min="11274" max="11520" width="9" style="24"/>
    <col min="11521" max="11521" width="5" style="24" customWidth="1"/>
    <col min="11522" max="11522" width="17.8984375" style="24" bestFit="1" customWidth="1"/>
    <col min="11523" max="11523" width="23.59765625" style="24" customWidth="1"/>
    <col min="11524" max="11524" width="18.19921875" style="24" customWidth="1"/>
    <col min="11525" max="11525" width="5.19921875" style="24" bestFit="1" customWidth="1"/>
    <col min="11526" max="11526" width="9" style="24"/>
    <col min="11527" max="11527" width="11.8984375" style="24" customWidth="1"/>
    <col min="11528" max="11528" width="13.59765625" style="24" customWidth="1"/>
    <col min="11529" max="11529" width="12.69921875" style="24" customWidth="1"/>
    <col min="11530" max="11776" width="9" style="24"/>
    <col min="11777" max="11777" width="5" style="24" customWidth="1"/>
    <col min="11778" max="11778" width="17.8984375" style="24" bestFit="1" customWidth="1"/>
    <col min="11779" max="11779" width="23.59765625" style="24" customWidth="1"/>
    <col min="11780" max="11780" width="18.19921875" style="24" customWidth="1"/>
    <col min="11781" max="11781" width="5.19921875" style="24" bestFit="1" customWidth="1"/>
    <col min="11782" max="11782" width="9" style="24"/>
    <col min="11783" max="11783" width="11.8984375" style="24" customWidth="1"/>
    <col min="11784" max="11784" width="13.59765625" style="24" customWidth="1"/>
    <col min="11785" max="11785" width="12.69921875" style="24" customWidth="1"/>
    <col min="11786" max="12032" width="9" style="24"/>
    <col min="12033" max="12033" width="5" style="24" customWidth="1"/>
    <col min="12034" max="12034" width="17.8984375" style="24" bestFit="1" customWidth="1"/>
    <col min="12035" max="12035" width="23.59765625" style="24" customWidth="1"/>
    <col min="12036" max="12036" width="18.19921875" style="24" customWidth="1"/>
    <col min="12037" max="12037" width="5.19921875" style="24" bestFit="1" customWidth="1"/>
    <col min="12038" max="12038" width="9" style="24"/>
    <col min="12039" max="12039" width="11.8984375" style="24" customWidth="1"/>
    <col min="12040" max="12040" width="13.59765625" style="24" customWidth="1"/>
    <col min="12041" max="12041" width="12.69921875" style="24" customWidth="1"/>
    <col min="12042" max="12288" width="9" style="24"/>
    <col min="12289" max="12289" width="5" style="24" customWidth="1"/>
    <col min="12290" max="12290" width="17.8984375" style="24" bestFit="1" customWidth="1"/>
    <col min="12291" max="12291" width="23.59765625" style="24" customWidth="1"/>
    <col min="12292" max="12292" width="18.19921875" style="24" customWidth="1"/>
    <col min="12293" max="12293" width="5.19921875" style="24" bestFit="1" customWidth="1"/>
    <col min="12294" max="12294" width="9" style="24"/>
    <col min="12295" max="12295" width="11.8984375" style="24" customWidth="1"/>
    <col min="12296" max="12296" width="13.59765625" style="24" customWidth="1"/>
    <col min="12297" max="12297" width="12.69921875" style="24" customWidth="1"/>
    <col min="12298" max="12544" width="9" style="24"/>
    <col min="12545" max="12545" width="5" style="24" customWidth="1"/>
    <col min="12546" max="12546" width="17.8984375" style="24" bestFit="1" customWidth="1"/>
    <col min="12547" max="12547" width="23.59765625" style="24" customWidth="1"/>
    <col min="12548" max="12548" width="18.19921875" style="24" customWidth="1"/>
    <col min="12549" max="12549" width="5.19921875" style="24" bestFit="1" customWidth="1"/>
    <col min="12550" max="12550" width="9" style="24"/>
    <col min="12551" max="12551" width="11.8984375" style="24" customWidth="1"/>
    <col min="12552" max="12552" width="13.59765625" style="24" customWidth="1"/>
    <col min="12553" max="12553" width="12.69921875" style="24" customWidth="1"/>
    <col min="12554" max="12800" width="9" style="24"/>
    <col min="12801" max="12801" width="5" style="24" customWidth="1"/>
    <col min="12802" max="12802" width="17.8984375" style="24" bestFit="1" customWidth="1"/>
    <col min="12803" max="12803" width="23.59765625" style="24" customWidth="1"/>
    <col min="12804" max="12804" width="18.19921875" style="24" customWidth="1"/>
    <col min="12805" max="12805" width="5.19921875" style="24" bestFit="1" customWidth="1"/>
    <col min="12806" max="12806" width="9" style="24"/>
    <col min="12807" max="12807" width="11.8984375" style="24" customWidth="1"/>
    <col min="12808" max="12808" width="13.59765625" style="24" customWidth="1"/>
    <col min="12809" max="12809" width="12.69921875" style="24" customWidth="1"/>
    <col min="12810" max="13056" width="9" style="24"/>
    <col min="13057" max="13057" width="5" style="24" customWidth="1"/>
    <col min="13058" max="13058" width="17.8984375" style="24" bestFit="1" customWidth="1"/>
    <col min="13059" max="13059" width="23.59765625" style="24" customWidth="1"/>
    <col min="13060" max="13060" width="18.19921875" style="24" customWidth="1"/>
    <col min="13061" max="13061" width="5.19921875" style="24" bestFit="1" customWidth="1"/>
    <col min="13062" max="13062" width="9" style="24"/>
    <col min="13063" max="13063" width="11.8984375" style="24" customWidth="1"/>
    <col min="13064" max="13064" width="13.59765625" style="24" customWidth="1"/>
    <col min="13065" max="13065" width="12.69921875" style="24" customWidth="1"/>
    <col min="13066" max="13312" width="9" style="24"/>
    <col min="13313" max="13313" width="5" style="24" customWidth="1"/>
    <col min="13314" max="13314" width="17.8984375" style="24" bestFit="1" customWidth="1"/>
    <col min="13315" max="13315" width="23.59765625" style="24" customWidth="1"/>
    <col min="13316" max="13316" width="18.19921875" style="24" customWidth="1"/>
    <col min="13317" max="13317" width="5.19921875" style="24" bestFit="1" customWidth="1"/>
    <col min="13318" max="13318" width="9" style="24"/>
    <col min="13319" max="13319" width="11.8984375" style="24" customWidth="1"/>
    <col min="13320" max="13320" width="13.59765625" style="24" customWidth="1"/>
    <col min="13321" max="13321" width="12.69921875" style="24" customWidth="1"/>
    <col min="13322" max="13568" width="9" style="24"/>
    <col min="13569" max="13569" width="5" style="24" customWidth="1"/>
    <col min="13570" max="13570" width="17.8984375" style="24" bestFit="1" customWidth="1"/>
    <col min="13571" max="13571" width="23.59765625" style="24" customWidth="1"/>
    <col min="13572" max="13572" width="18.19921875" style="24" customWidth="1"/>
    <col min="13573" max="13573" width="5.19921875" style="24" bestFit="1" customWidth="1"/>
    <col min="13574" max="13574" width="9" style="24"/>
    <col min="13575" max="13575" width="11.8984375" style="24" customWidth="1"/>
    <col min="13576" max="13576" width="13.59765625" style="24" customWidth="1"/>
    <col min="13577" max="13577" width="12.69921875" style="24" customWidth="1"/>
    <col min="13578" max="13824" width="9" style="24"/>
    <col min="13825" max="13825" width="5" style="24" customWidth="1"/>
    <col min="13826" max="13826" width="17.8984375" style="24" bestFit="1" customWidth="1"/>
    <col min="13827" max="13827" width="23.59765625" style="24" customWidth="1"/>
    <col min="13828" max="13828" width="18.19921875" style="24" customWidth="1"/>
    <col min="13829" max="13829" width="5.19921875" style="24" bestFit="1" customWidth="1"/>
    <col min="13830" max="13830" width="9" style="24"/>
    <col min="13831" max="13831" width="11.8984375" style="24" customWidth="1"/>
    <col min="13832" max="13832" width="13.59765625" style="24" customWidth="1"/>
    <col min="13833" max="13833" width="12.69921875" style="24" customWidth="1"/>
    <col min="13834" max="14080" width="9" style="24"/>
    <col min="14081" max="14081" width="5" style="24" customWidth="1"/>
    <col min="14082" max="14082" width="17.8984375" style="24" bestFit="1" customWidth="1"/>
    <col min="14083" max="14083" width="23.59765625" style="24" customWidth="1"/>
    <col min="14084" max="14084" width="18.19921875" style="24" customWidth="1"/>
    <col min="14085" max="14085" width="5.19921875" style="24" bestFit="1" customWidth="1"/>
    <col min="14086" max="14086" width="9" style="24"/>
    <col min="14087" max="14087" width="11.8984375" style="24" customWidth="1"/>
    <col min="14088" max="14088" width="13.59765625" style="24" customWidth="1"/>
    <col min="14089" max="14089" width="12.69921875" style="24" customWidth="1"/>
    <col min="14090" max="14336" width="9" style="24"/>
    <col min="14337" max="14337" width="5" style="24" customWidth="1"/>
    <col min="14338" max="14338" width="17.8984375" style="24" bestFit="1" customWidth="1"/>
    <col min="14339" max="14339" width="23.59765625" style="24" customWidth="1"/>
    <col min="14340" max="14340" width="18.19921875" style="24" customWidth="1"/>
    <col min="14341" max="14341" width="5.19921875" style="24" bestFit="1" customWidth="1"/>
    <col min="14342" max="14342" width="9" style="24"/>
    <col min="14343" max="14343" width="11.8984375" style="24" customWidth="1"/>
    <col min="14344" max="14344" width="13.59765625" style="24" customWidth="1"/>
    <col min="14345" max="14345" width="12.69921875" style="24" customWidth="1"/>
    <col min="14346" max="14592" width="9" style="24"/>
    <col min="14593" max="14593" width="5" style="24" customWidth="1"/>
    <col min="14594" max="14594" width="17.8984375" style="24" bestFit="1" customWidth="1"/>
    <col min="14595" max="14595" width="23.59765625" style="24" customWidth="1"/>
    <col min="14596" max="14596" width="18.19921875" style="24" customWidth="1"/>
    <col min="14597" max="14597" width="5.19921875" style="24" bestFit="1" customWidth="1"/>
    <col min="14598" max="14598" width="9" style="24"/>
    <col min="14599" max="14599" width="11.8984375" style="24" customWidth="1"/>
    <col min="14600" max="14600" width="13.59765625" style="24" customWidth="1"/>
    <col min="14601" max="14601" width="12.69921875" style="24" customWidth="1"/>
    <col min="14602" max="14848" width="9" style="24"/>
    <col min="14849" max="14849" width="5" style="24" customWidth="1"/>
    <col min="14850" max="14850" width="17.8984375" style="24" bestFit="1" customWidth="1"/>
    <col min="14851" max="14851" width="23.59765625" style="24" customWidth="1"/>
    <col min="14852" max="14852" width="18.19921875" style="24" customWidth="1"/>
    <col min="14853" max="14853" width="5.19921875" style="24" bestFit="1" customWidth="1"/>
    <col min="14854" max="14854" width="9" style="24"/>
    <col min="14855" max="14855" width="11.8984375" style="24" customWidth="1"/>
    <col min="14856" max="14856" width="13.59765625" style="24" customWidth="1"/>
    <col min="14857" max="14857" width="12.69921875" style="24" customWidth="1"/>
    <col min="14858" max="15104" width="9" style="24"/>
    <col min="15105" max="15105" width="5" style="24" customWidth="1"/>
    <col min="15106" max="15106" width="17.8984375" style="24" bestFit="1" customWidth="1"/>
    <col min="15107" max="15107" width="23.59765625" style="24" customWidth="1"/>
    <col min="15108" max="15108" width="18.19921875" style="24" customWidth="1"/>
    <col min="15109" max="15109" width="5.19921875" style="24" bestFit="1" customWidth="1"/>
    <col min="15110" max="15110" width="9" style="24"/>
    <col min="15111" max="15111" width="11.8984375" style="24" customWidth="1"/>
    <col min="15112" max="15112" width="13.59765625" style="24" customWidth="1"/>
    <col min="15113" max="15113" width="12.69921875" style="24" customWidth="1"/>
    <col min="15114" max="15360" width="9" style="24"/>
    <col min="15361" max="15361" width="5" style="24" customWidth="1"/>
    <col min="15362" max="15362" width="17.8984375" style="24" bestFit="1" customWidth="1"/>
    <col min="15363" max="15363" width="23.59765625" style="24" customWidth="1"/>
    <col min="15364" max="15364" width="18.19921875" style="24" customWidth="1"/>
    <col min="15365" max="15365" width="5.19921875" style="24" bestFit="1" customWidth="1"/>
    <col min="15366" max="15366" width="9" style="24"/>
    <col min="15367" max="15367" width="11.8984375" style="24" customWidth="1"/>
    <col min="15368" max="15368" width="13.59765625" style="24" customWidth="1"/>
    <col min="15369" max="15369" width="12.69921875" style="24" customWidth="1"/>
    <col min="15370" max="15616" width="9" style="24"/>
    <col min="15617" max="15617" width="5" style="24" customWidth="1"/>
    <col min="15618" max="15618" width="17.8984375" style="24" bestFit="1" customWidth="1"/>
    <col min="15619" max="15619" width="23.59765625" style="24" customWidth="1"/>
    <col min="15620" max="15620" width="18.19921875" style="24" customWidth="1"/>
    <col min="15621" max="15621" width="5.19921875" style="24" bestFit="1" customWidth="1"/>
    <col min="15622" max="15622" width="9" style="24"/>
    <col min="15623" max="15623" width="11.8984375" style="24" customWidth="1"/>
    <col min="15624" max="15624" width="13.59765625" style="24" customWidth="1"/>
    <col min="15625" max="15625" width="12.69921875" style="24" customWidth="1"/>
    <col min="15626" max="15872" width="9" style="24"/>
    <col min="15873" max="15873" width="5" style="24" customWidth="1"/>
    <col min="15874" max="15874" width="17.8984375" style="24" bestFit="1" customWidth="1"/>
    <col min="15875" max="15875" width="23.59765625" style="24" customWidth="1"/>
    <col min="15876" max="15876" width="18.19921875" style="24" customWidth="1"/>
    <col min="15877" max="15877" width="5.19921875" style="24" bestFit="1" customWidth="1"/>
    <col min="15878" max="15878" width="9" style="24"/>
    <col min="15879" max="15879" width="11.8984375" style="24" customWidth="1"/>
    <col min="15880" max="15880" width="13.59765625" style="24" customWidth="1"/>
    <col min="15881" max="15881" width="12.69921875" style="24" customWidth="1"/>
    <col min="15882" max="16128" width="9" style="24"/>
    <col min="16129" max="16129" width="5" style="24" customWidth="1"/>
    <col min="16130" max="16130" width="17.8984375" style="24" bestFit="1" customWidth="1"/>
    <col min="16131" max="16131" width="23.59765625" style="24" customWidth="1"/>
    <col min="16132" max="16132" width="18.19921875" style="24" customWidth="1"/>
    <col min="16133" max="16133" width="5.19921875" style="24" bestFit="1" customWidth="1"/>
    <col min="16134" max="16134" width="9" style="24"/>
    <col min="16135" max="16135" width="11.8984375" style="24" customWidth="1"/>
    <col min="16136" max="16136" width="13.59765625" style="24" customWidth="1"/>
    <col min="16137" max="16137" width="12.69921875" style="24" customWidth="1"/>
    <col min="16138" max="16384" width="9" style="24"/>
  </cols>
  <sheetData>
    <row r="1" spans="1:9" ht="22.5" customHeight="1">
      <c r="B1" s="201" t="s">
        <v>145</v>
      </c>
      <c r="C1" s="266"/>
      <c r="F1" s="290"/>
      <c r="I1" s="24" t="s">
        <v>118</v>
      </c>
    </row>
    <row r="2" spans="1:9" s="26" customFormat="1" ht="16.5" customHeight="1">
      <c r="A2" s="337" t="s">
        <v>119</v>
      </c>
      <c r="B2" s="339"/>
      <c r="C2" s="275" t="s">
        <v>120</v>
      </c>
      <c r="D2" s="125" t="s">
        <v>121</v>
      </c>
      <c r="E2" s="125" t="s">
        <v>38</v>
      </c>
      <c r="F2" s="249" t="s">
        <v>39</v>
      </c>
      <c r="G2" s="249" t="s">
        <v>122</v>
      </c>
      <c r="H2" s="249" t="s">
        <v>123</v>
      </c>
      <c r="I2" s="125" t="s">
        <v>124</v>
      </c>
    </row>
    <row r="3" spans="1:9" ht="15.9" customHeight="1">
      <c r="A3" s="429" t="s">
        <v>125</v>
      </c>
      <c r="B3" s="206" t="s">
        <v>126</v>
      </c>
      <c r="C3" s="227"/>
      <c r="D3" s="227"/>
      <c r="E3" s="227"/>
      <c r="F3" s="230"/>
      <c r="G3" s="230"/>
      <c r="H3" s="231">
        <f>IF(F3=0,G3,G3*F3)</f>
        <v>0</v>
      </c>
      <c r="I3" s="232"/>
    </row>
    <row r="4" spans="1:9" ht="15.9" customHeight="1">
      <c r="A4" s="433"/>
      <c r="B4" s="206"/>
      <c r="C4" s="213"/>
      <c r="D4" s="213"/>
      <c r="E4" s="213"/>
      <c r="F4" s="216"/>
      <c r="G4" s="216"/>
      <c r="H4" s="165">
        <f>IF(F4=0,G4,G4*F4)</f>
        <v>0</v>
      </c>
      <c r="I4" s="39"/>
    </row>
    <row r="5" spans="1:9" ht="15.9" customHeight="1">
      <c r="A5" s="433"/>
      <c r="B5" s="206"/>
      <c r="C5" s="213"/>
      <c r="D5" s="213"/>
      <c r="E5" s="213"/>
      <c r="F5" s="216"/>
      <c r="G5" s="216"/>
      <c r="H5" s="165">
        <f t="shared" ref="H5:H68" si="0">IF(F5=0,G5,G5*F5)</f>
        <v>0</v>
      </c>
      <c r="I5" s="39"/>
    </row>
    <row r="6" spans="1:9" ht="15.9" customHeight="1">
      <c r="A6" s="433"/>
      <c r="B6" s="206"/>
      <c r="C6" s="213"/>
      <c r="D6" s="213"/>
      <c r="E6" s="213"/>
      <c r="F6" s="216"/>
      <c r="G6" s="216"/>
      <c r="H6" s="165">
        <f t="shared" si="0"/>
        <v>0</v>
      </c>
      <c r="I6" s="39"/>
    </row>
    <row r="7" spans="1:9" ht="15.9" customHeight="1">
      <c r="A7" s="433"/>
      <c r="B7" s="206"/>
      <c r="C7" s="213"/>
      <c r="D7" s="213"/>
      <c r="E7" s="213"/>
      <c r="F7" s="216"/>
      <c r="G7" s="216"/>
      <c r="H7" s="165">
        <f t="shared" si="0"/>
        <v>0</v>
      </c>
      <c r="I7" s="39"/>
    </row>
    <row r="8" spans="1:9" ht="15.9" customHeight="1">
      <c r="A8" s="433"/>
      <c r="B8" s="206"/>
      <c r="C8" s="213"/>
      <c r="D8" s="213"/>
      <c r="E8" s="213"/>
      <c r="F8" s="216"/>
      <c r="G8" s="216"/>
      <c r="H8" s="165">
        <f t="shared" si="0"/>
        <v>0</v>
      </c>
      <c r="I8" s="39"/>
    </row>
    <row r="9" spans="1:9" ht="15.9" customHeight="1">
      <c r="A9" s="433"/>
      <c r="B9" s="206"/>
      <c r="C9" s="213"/>
      <c r="D9" s="213"/>
      <c r="E9" s="213"/>
      <c r="F9" s="216"/>
      <c r="G9" s="216"/>
      <c r="H9" s="165">
        <f t="shared" si="0"/>
        <v>0</v>
      </c>
      <c r="I9" s="39"/>
    </row>
    <row r="10" spans="1:9" ht="15.9" customHeight="1">
      <c r="A10" s="433"/>
      <c r="B10" s="206"/>
      <c r="C10" s="213"/>
      <c r="D10" s="213"/>
      <c r="E10" s="213"/>
      <c r="F10" s="216"/>
      <c r="G10" s="216"/>
      <c r="H10" s="165">
        <f t="shared" si="0"/>
        <v>0</v>
      </c>
      <c r="I10" s="39"/>
    </row>
    <row r="11" spans="1:9" ht="15.9" customHeight="1">
      <c r="A11" s="433"/>
      <c r="B11" s="206"/>
      <c r="C11" s="213"/>
      <c r="D11" s="213"/>
      <c r="E11" s="213"/>
      <c r="F11" s="216"/>
      <c r="G11" s="216"/>
      <c r="H11" s="165">
        <f t="shared" si="0"/>
        <v>0</v>
      </c>
      <c r="I11" s="39"/>
    </row>
    <row r="12" spans="1:9" ht="15.9" customHeight="1">
      <c r="A12" s="433"/>
      <c r="B12" s="206"/>
      <c r="C12" s="213"/>
      <c r="D12" s="213"/>
      <c r="E12" s="213"/>
      <c r="F12" s="216"/>
      <c r="G12" s="216"/>
      <c r="H12" s="165">
        <f t="shared" si="0"/>
        <v>0</v>
      </c>
      <c r="I12" s="39"/>
    </row>
    <row r="13" spans="1:9" ht="15.9" customHeight="1">
      <c r="A13" s="433"/>
      <c r="B13" s="206"/>
      <c r="C13" s="213"/>
      <c r="D13" s="213"/>
      <c r="E13" s="213"/>
      <c r="F13" s="216"/>
      <c r="G13" s="216"/>
      <c r="H13" s="165">
        <f t="shared" si="0"/>
        <v>0</v>
      </c>
      <c r="I13" s="39"/>
    </row>
    <row r="14" spans="1:9" ht="15.9" customHeight="1">
      <c r="A14" s="433"/>
      <c r="B14" s="206"/>
      <c r="C14" s="213"/>
      <c r="D14" s="213"/>
      <c r="E14" s="213"/>
      <c r="F14" s="216"/>
      <c r="G14" s="216"/>
      <c r="H14" s="165">
        <f t="shared" si="0"/>
        <v>0</v>
      </c>
      <c r="I14" s="39"/>
    </row>
    <row r="15" spans="1:9" ht="15.9" customHeight="1">
      <c r="A15" s="433"/>
      <c r="B15" s="206"/>
      <c r="C15" s="213"/>
      <c r="D15" s="213"/>
      <c r="E15" s="213"/>
      <c r="F15" s="216"/>
      <c r="G15" s="216"/>
      <c r="H15" s="165">
        <f t="shared" si="0"/>
        <v>0</v>
      </c>
      <c r="I15" s="39"/>
    </row>
    <row r="16" spans="1:9" ht="15.9" customHeight="1">
      <c r="A16" s="433"/>
      <c r="B16" s="206"/>
      <c r="C16" s="213"/>
      <c r="D16" s="213"/>
      <c r="E16" s="213"/>
      <c r="F16" s="216"/>
      <c r="G16" s="216"/>
      <c r="H16" s="165">
        <f t="shared" si="0"/>
        <v>0</v>
      </c>
      <c r="I16" s="39"/>
    </row>
    <row r="17" spans="1:9" ht="15.9" customHeight="1">
      <c r="A17" s="433"/>
      <c r="B17" s="206"/>
      <c r="C17" s="213"/>
      <c r="D17" s="213"/>
      <c r="E17" s="213"/>
      <c r="F17" s="216"/>
      <c r="G17" s="216"/>
      <c r="H17" s="165">
        <f t="shared" si="0"/>
        <v>0</v>
      </c>
      <c r="I17" s="39"/>
    </row>
    <row r="18" spans="1:9" ht="15.9" customHeight="1">
      <c r="A18" s="433"/>
      <c r="B18" s="206"/>
      <c r="C18" s="213"/>
      <c r="D18" s="213"/>
      <c r="E18" s="213"/>
      <c r="F18" s="216"/>
      <c r="G18" s="216"/>
      <c r="H18" s="165">
        <f t="shared" si="0"/>
        <v>0</v>
      </c>
      <c r="I18" s="39"/>
    </row>
    <row r="19" spans="1:9" ht="15.9" customHeight="1">
      <c r="A19" s="433"/>
      <c r="B19" s="206"/>
      <c r="C19" s="213"/>
      <c r="D19" s="213"/>
      <c r="E19" s="213"/>
      <c r="F19" s="216"/>
      <c r="G19" s="216"/>
      <c r="H19" s="165">
        <f t="shared" si="0"/>
        <v>0</v>
      </c>
      <c r="I19" s="39"/>
    </row>
    <row r="20" spans="1:9" ht="15.9" customHeight="1">
      <c r="A20" s="433"/>
      <c r="B20" s="206"/>
      <c r="C20" s="213"/>
      <c r="D20" s="213"/>
      <c r="E20" s="213"/>
      <c r="F20" s="216"/>
      <c r="G20" s="216"/>
      <c r="H20" s="165">
        <f t="shared" si="0"/>
        <v>0</v>
      </c>
      <c r="I20" s="39"/>
    </row>
    <row r="21" spans="1:9" ht="15.9" customHeight="1">
      <c r="A21" s="433"/>
      <c r="B21" s="206"/>
      <c r="C21" s="213"/>
      <c r="D21" s="213"/>
      <c r="E21" s="213"/>
      <c r="F21" s="216"/>
      <c r="G21" s="216"/>
      <c r="H21" s="165">
        <f t="shared" si="0"/>
        <v>0</v>
      </c>
      <c r="I21" s="39"/>
    </row>
    <row r="22" spans="1:9" ht="15.9" customHeight="1">
      <c r="A22" s="433"/>
      <c r="B22" s="206"/>
      <c r="C22" s="213"/>
      <c r="D22" s="213"/>
      <c r="E22" s="213"/>
      <c r="F22" s="216"/>
      <c r="G22" s="216"/>
      <c r="H22" s="165">
        <f t="shared" si="0"/>
        <v>0</v>
      </c>
      <c r="I22" s="39"/>
    </row>
    <row r="23" spans="1:9" ht="15.9" customHeight="1">
      <c r="A23" s="433"/>
      <c r="B23" s="206"/>
      <c r="C23" s="217" t="s">
        <v>129</v>
      </c>
      <c r="D23" s="234"/>
      <c r="E23" s="234"/>
      <c r="F23" s="236"/>
      <c r="G23" s="236"/>
      <c r="H23" s="237">
        <f t="shared" si="0"/>
        <v>0</v>
      </c>
      <c r="I23" s="238"/>
    </row>
    <row r="24" spans="1:9" ht="15.9" customHeight="1">
      <c r="A24" s="433"/>
      <c r="B24" s="221"/>
      <c r="C24" s="240"/>
      <c r="D24" s="240"/>
      <c r="E24" s="240"/>
      <c r="F24" s="243"/>
      <c r="G24" s="243"/>
      <c r="H24" s="244">
        <f>SUM(H3:H23)</f>
        <v>0</v>
      </c>
      <c r="I24" s="240"/>
    </row>
    <row r="25" spans="1:9" ht="15.9" customHeight="1">
      <c r="A25" s="433"/>
      <c r="B25" s="206" t="s">
        <v>147</v>
      </c>
      <c r="C25" s="207"/>
      <c r="D25" s="207"/>
      <c r="E25" s="207"/>
      <c r="F25" s="210"/>
      <c r="G25" s="210"/>
      <c r="H25" s="211">
        <f t="shared" si="0"/>
        <v>0</v>
      </c>
      <c r="I25" s="212"/>
    </row>
    <row r="26" spans="1:9" ht="15.9" customHeight="1">
      <c r="A26" s="433"/>
      <c r="B26" s="206" t="s">
        <v>148</v>
      </c>
      <c r="C26" s="213"/>
      <c r="D26" s="213"/>
      <c r="E26" s="213"/>
      <c r="F26" s="216"/>
      <c r="G26" s="216"/>
      <c r="H26" s="165">
        <f t="shared" si="0"/>
        <v>0</v>
      </c>
      <c r="I26" s="39"/>
    </row>
    <row r="27" spans="1:9" ht="15.9" customHeight="1">
      <c r="A27" s="433"/>
      <c r="B27" s="206"/>
      <c r="C27" s="213"/>
      <c r="D27" s="213"/>
      <c r="E27" s="213"/>
      <c r="F27" s="216"/>
      <c r="G27" s="216"/>
      <c r="H27" s="165">
        <f t="shared" si="0"/>
        <v>0</v>
      </c>
      <c r="I27" s="39"/>
    </row>
    <row r="28" spans="1:9" ht="15.9" customHeight="1">
      <c r="A28" s="433"/>
      <c r="B28" s="206"/>
      <c r="C28" s="213"/>
      <c r="D28" s="213"/>
      <c r="E28" s="213"/>
      <c r="F28" s="216"/>
      <c r="G28" s="216"/>
      <c r="H28" s="165">
        <f t="shared" si="0"/>
        <v>0</v>
      </c>
      <c r="I28" s="39"/>
    </row>
    <row r="29" spans="1:9" ht="15.9" customHeight="1">
      <c r="A29" s="433"/>
      <c r="B29" s="206"/>
      <c r="C29" s="234"/>
      <c r="D29" s="234"/>
      <c r="E29" s="234"/>
      <c r="F29" s="236"/>
      <c r="G29" s="236"/>
      <c r="H29" s="165">
        <f t="shared" si="0"/>
        <v>0</v>
      </c>
      <c r="I29" s="238"/>
    </row>
    <row r="30" spans="1:9" ht="15.9" customHeight="1">
      <c r="A30" s="433"/>
      <c r="B30" s="206"/>
      <c r="C30" s="234"/>
      <c r="D30" s="234"/>
      <c r="E30" s="234"/>
      <c r="F30" s="236"/>
      <c r="G30" s="236"/>
      <c r="H30" s="165">
        <f t="shared" si="0"/>
        <v>0</v>
      </c>
      <c r="I30" s="238"/>
    </row>
    <row r="31" spans="1:9" ht="15.9" customHeight="1">
      <c r="A31" s="433"/>
      <c r="B31" s="206"/>
      <c r="C31" s="234"/>
      <c r="D31" s="234"/>
      <c r="E31" s="234"/>
      <c r="F31" s="236"/>
      <c r="G31" s="236"/>
      <c r="H31" s="165">
        <f t="shared" si="0"/>
        <v>0</v>
      </c>
      <c r="I31" s="238"/>
    </row>
    <row r="32" spans="1:9" ht="15.9" customHeight="1">
      <c r="A32" s="433"/>
      <c r="B32" s="206"/>
      <c r="C32" s="234"/>
      <c r="D32" s="234"/>
      <c r="E32" s="234"/>
      <c r="F32" s="236"/>
      <c r="G32" s="236"/>
      <c r="H32" s="165">
        <f t="shared" si="0"/>
        <v>0</v>
      </c>
      <c r="I32" s="238"/>
    </row>
    <row r="33" spans="1:9" ht="15.9" customHeight="1">
      <c r="A33" s="433"/>
      <c r="B33" s="206"/>
      <c r="C33" s="234"/>
      <c r="D33" s="234"/>
      <c r="E33" s="234"/>
      <c r="F33" s="236"/>
      <c r="G33" s="236"/>
      <c r="H33" s="165">
        <f t="shared" si="0"/>
        <v>0</v>
      </c>
      <c r="I33" s="238"/>
    </row>
    <row r="34" spans="1:9" ht="15.9" customHeight="1">
      <c r="A34" s="433"/>
      <c r="B34" s="206"/>
      <c r="C34" s="217" t="s">
        <v>129</v>
      </c>
      <c r="D34" s="217"/>
      <c r="E34" s="217"/>
      <c r="F34" s="220"/>
      <c r="G34" s="220"/>
      <c r="H34" s="165">
        <f t="shared" si="0"/>
        <v>0</v>
      </c>
      <c r="I34" s="42"/>
    </row>
    <row r="35" spans="1:9" ht="15.9" customHeight="1">
      <c r="A35" s="433"/>
      <c r="B35" s="221"/>
      <c r="C35" s="222"/>
      <c r="D35" s="223"/>
      <c r="E35" s="223"/>
      <c r="F35" s="291"/>
      <c r="G35" s="225"/>
      <c r="H35" s="49">
        <f>SUM(H25:H34)</f>
        <v>0</v>
      </c>
      <c r="I35" s="46"/>
    </row>
    <row r="36" spans="1:9" ht="15.9" customHeight="1">
      <c r="A36" s="433"/>
      <c r="B36" s="245" t="s">
        <v>149</v>
      </c>
      <c r="C36" s="227"/>
      <c r="D36" s="227"/>
      <c r="E36" s="227"/>
      <c r="F36" s="230"/>
      <c r="G36" s="230"/>
      <c r="H36" s="231">
        <f t="shared" si="0"/>
        <v>0</v>
      </c>
      <c r="I36" s="232"/>
    </row>
    <row r="37" spans="1:9" ht="15.9" customHeight="1">
      <c r="A37" s="433"/>
      <c r="B37" s="206" t="s">
        <v>150</v>
      </c>
      <c r="C37" s="213"/>
      <c r="D37" s="213"/>
      <c r="E37" s="213"/>
      <c r="F37" s="216"/>
      <c r="G37" s="216"/>
      <c r="H37" s="165">
        <f t="shared" si="0"/>
        <v>0</v>
      </c>
      <c r="I37" s="39"/>
    </row>
    <row r="38" spans="1:9" ht="15.9" customHeight="1">
      <c r="A38" s="433"/>
      <c r="B38" s="206"/>
      <c r="C38" s="213"/>
      <c r="D38" s="213"/>
      <c r="E38" s="213"/>
      <c r="F38" s="216"/>
      <c r="G38" s="216"/>
      <c r="H38" s="165">
        <f t="shared" si="0"/>
        <v>0</v>
      </c>
      <c r="I38" s="39"/>
    </row>
    <row r="39" spans="1:9" ht="15.9" customHeight="1">
      <c r="A39" s="433"/>
      <c r="B39" s="206"/>
      <c r="C39" s="213"/>
      <c r="D39" s="213"/>
      <c r="E39" s="213"/>
      <c r="F39" s="216"/>
      <c r="G39" s="216"/>
      <c r="H39" s="165">
        <f t="shared" si="0"/>
        <v>0</v>
      </c>
      <c r="I39" s="39"/>
    </row>
    <row r="40" spans="1:9" ht="15.9" customHeight="1">
      <c r="A40" s="433"/>
      <c r="B40" s="206"/>
      <c r="C40" s="213"/>
      <c r="D40" s="213"/>
      <c r="E40" s="213"/>
      <c r="F40" s="216"/>
      <c r="G40" s="216"/>
      <c r="H40" s="165">
        <f t="shared" si="0"/>
        <v>0</v>
      </c>
      <c r="I40" s="39"/>
    </row>
    <row r="41" spans="1:9" ht="15.9" customHeight="1">
      <c r="A41" s="433"/>
      <c r="B41" s="206"/>
      <c r="C41" s="213"/>
      <c r="D41" s="213"/>
      <c r="E41" s="213"/>
      <c r="F41" s="216"/>
      <c r="G41" s="216"/>
      <c r="H41" s="165">
        <f t="shared" si="0"/>
        <v>0</v>
      </c>
      <c r="I41" s="39"/>
    </row>
    <row r="42" spans="1:9" ht="15.9" customHeight="1">
      <c r="A42" s="433"/>
      <c r="B42" s="206"/>
      <c r="C42" s="213"/>
      <c r="D42" s="213"/>
      <c r="E42" s="213"/>
      <c r="F42" s="216"/>
      <c r="G42" s="216"/>
      <c r="H42" s="165">
        <f t="shared" si="0"/>
        <v>0</v>
      </c>
      <c r="I42" s="39"/>
    </row>
    <row r="43" spans="1:9" ht="15.9" customHeight="1">
      <c r="A43" s="433"/>
      <c r="B43" s="206"/>
      <c r="C43" s="213"/>
      <c r="D43" s="213"/>
      <c r="E43" s="213"/>
      <c r="F43" s="216"/>
      <c r="G43" s="216"/>
      <c r="H43" s="165">
        <f t="shared" si="0"/>
        <v>0</v>
      </c>
      <c r="I43" s="39"/>
    </row>
    <row r="44" spans="1:9" ht="15.9" customHeight="1">
      <c r="A44" s="433"/>
      <c r="B44" s="206"/>
      <c r="C44" s="213"/>
      <c r="D44" s="213"/>
      <c r="E44" s="213"/>
      <c r="F44" s="216"/>
      <c r="G44" s="216"/>
      <c r="H44" s="165">
        <f t="shared" si="0"/>
        <v>0</v>
      </c>
      <c r="I44" s="39"/>
    </row>
    <row r="45" spans="1:9" ht="15.9" customHeight="1">
      <c r="A45" s="433"/>
      <c r="B45" s="206"/>
      <c r="C45" s="213"/>
      <c r="D45" s="213"/>
      <c r="E45" s="213"/>
      <c r="F45" s="216"/>
      <c r="G45" s="216"/>
      <c r="H45" s="165">
        <f t="shared" si="0"/>
        <v>0</v>
      </c>
      <c r="I45" s="39"/>
    </row>
    <row r="46" spans="1:9" ht="15.9" customHeight="1">
      <c r="A46" s="433"/>
      <c r="B46" s="206"/>
      <c r="C46" s="213"/>
      <c r="D46" s="213"/>
      <c r="E46" s="213"/>
      <c r="F46" s="216"/>
      <c r="G46" s="216"/>
      <c r="H46" s="165">
        <f t="shared" si="0"/>
        <v>0</v>
      </c>
      <c r="I46" s="39"/>
    </row>
    <row r="47" spans="1:9" ht="15.9" customHeight="1">
      <c r="A47" s="433"/>
      <c r="B47" s="206"/>
      <c r="C47" s="213"/>
      <c r="D47" s="213"/>
      <c r="E47" s="213"/>
      <c r="F47" s="216"/>
      <c r="G47" s="216"/>
      <c r="H47" s="165">
        <f t="shared" si="0"/>
        <v>0</v>
      </c>
      <c r="I47" s="39"/>
    </row>
    <row r="48" spans="1:9" ht="15.9" customHeight="1">
      <c r="A48" s="433"/>
      <c r="B48" s="206"/>
      <c r="C48" s="213"/>
      <c r="D48" s="213"/>
      <c r="E48" s="213"/>
      <c r="F48" s="216"/>
      <c r="G48" s="216"/>
      <c r="H48" s="165">
        <f t="shared" si="0"/>
        <v>0</v>
      </c>
      <c r="I48" s="39"/>
    </row>
    <row r="49" spans="1:9" ht="15.9" customHeight="1">
      <c r="A49" s="433"/>
      <c r="B49" s="206"/>
      <c r="C49" s="213"/>
      <c r="D49" s="213"/>
      <c r="E49" s="213"/>
      <c r="F49" s="216"/>
      <c r="G49" s="216"/>
      <c r="H49" s="165">
        <f t="shared" si="0"/>
        <v>0</v>
      </c>
      <c r="I49" s="39"/>
    </row>
    <row r="50" spans="1:9" ht="15.9" customHeight="1">
      <c r="A50" s="433"/>
      <c r="B50" s="206"/>
      <c r="C50" s="213"/>
      <c r="D50" s="213"/>
      <c r="E50" s="213"/>
      <c r="F50" s="216"/>
      <c r="G50" s="216"/>
      <c r="H50" s="165">
        <f t="shared" si="0"/>
        <v>0</v>
      </c>
      <c r="I50" s="39"/>
    </row>
    <row r="51" spans="1:9" ht="15.9" customHeight="1">
      <c r="A51" s="433"/>
      <c r="B51" s="206"/>
      <c r="C51" s="213"/>
      <c r="D51" s="213"/>
      <c r="E51" s="213"/>
      <c r="F51" s="216"/>
      <c r="G51" s="216"/>
      <c r="H51" s="165">
        <f t="shared" si="0"/>
        <v>0</v>
      </c>
      <c r="I51" s="39"/>
    </row>
    <row r="52" spans="1:9" ht="15.9" customHeight="1">
      <c r="A52" s="433"/>
      <c r="B52" s="206"/>
      <c r="C52" s="213"/>
      <c r="D52" s="213"/>
      <c r="E52" s="213"/>
      <c r="F52" s="216"/>
      <c r="G52" s="216"/>
      <c r="H52" s="165">
        <f t="shared" si="0"/>
        <v>0</v>
      </c>
      <c r="I52" s="39"/>
    </row>
    <row r="53" spans="1:9" ht="15.9" customHeight="1">
      <c r="A53" s="433"/>
      <c r="B53" s="206"/>
      <c r="C53" s="213"/>
      <c r="D53" s="213"/>
      <c r="E53" s="213"/>
      <c r="F53" s="216"/>
      <c r="G53" s="216"/>
      <c r="H53" s="165">
        <f t="shared" si="0"/>
        <v>0</v>
      </c>
      <c r="I53" s="39"/>
    </row>
    <row r="54" spans="1:9" ht="15.9" customHeight="1">
      <c r="A54" s="433"/>
      <c r="B54" s="206"/>
      <c r="C54" s="213"/>
      <c r="D54" s="213"/>
      <c r="E54" s="213"/>
      <c r="F54" s="216"/>
      <c r="G54" s="216"/>
      <c r="H54" s="165">
        <f t="shared" si="0"/>
        <v>0</v>
      </c>
      <c r="I54" s="39"/>
    </row>
    <row r="55" spans="1:9" ht="15.9" customHeight="1">
      <c r="A55" s="433"/>
      <c r="B55" s="206"/>
      <c r="C55" s="217" t="s">
        <v>129</v>
      </c>
      <c r="D55" s="217"/>
      <c r="E55" s="217"/>
      <c r="F55" s="220"/>
      <c r="G55" s="220"/>
      <c r="H55" s="175">
        <f t="shared" si="0"/>
        <v>0</v>
      </c>
      <c r="I55" s="42"/>
    </row>
    <row r="56" spans="1:9" ht="15.9" customHeight="1">
      <c r="A56" s="433"/>
      <c r="B56" s="221"/>
      <c r="C56" s="222"/>
      <c r="D56" s="223"/>
      <c r="E56" s="223"/>
      <c r="F56" s="225"/>
      <c r="G56" s="225"/>
      <c r="H56" s="49">
        <f>SUM(H36:H55)</f>
        <v>0</v>
      </c>
      <c r="I56" s="46"/>
    </row>
    <row r="57" spans="1:9" ht="15.9" customHeight="1">
      <c r="A57" s="433"/>
      <c r="B57" s="245" t="s">
        <v>51</v>
      </c>
      <c r="C57" s="227"/>
      <c r="D57" s="227"/>
      <c r="E57" s="227"/>
      <c r="F57" s="230"/>
      <c r="G57" s="230"/>
      <c r="H57" s="231">
        <f t="shared" si="0"/>
        <v>0</v>
      </c>
      <c r="I57" s="232"/>
    </row>
    <row r="58" spans="1:9" ht="15.9" customHeight="1">
      <c r="A58" s="433"/>
      <c r="B58" s="206"/>
      <c r="C58" s="213"/>
      <c r="D58" s="213"/>
      <c r="E58" s="213"/>
      <c r="F58" s="216"/>
      <c r="G58" s="216"/>
      <c r="H58" s="165">
        <f t="shared" si="0"/>
        <v>0</v>
      </c>
      <c r="I58" s="39"/>
    </row>
    <row r="59" spans="1:9" ht="15.9" customHeight="1">
      <c r="A59" s="433"/>
      <c r="B59" s="206"/>
      <c r="C59" s="213"/>
      <c r="D59" s="213"/>
      <c r="E59" s="213"/>
      <c r="F59" s="216"/>
      <c r="G59" s="216"/>
      <c r="H59" s="165">
        <f t="shared" si="0"/>
        <v>0</v>
      </c>
      <c r="I59" s="39"/>
    </row>
    <row r="60" spans="1:9" ht="15.9" customHeight="1">
      <c r="A60" s="433"/>
      <c r="B60" s="206"/>
      <c r="C60" s="213"/>
      <c r="D60" s="213"/>
      <c r="E60" s="213"/>
      <c r="F60" s="216"/>
      <c r="G60" s="216"/>
      <c r="H60" s="165">
        <f t="shared" si="0"/>
        <v>0</v>
      </c>
      <c r="I60" s="39"/>
    </row>
    <row r="61" spans="1:9" ht="15.9" customHeight="1">
      <c r="A61" s="433"/>
      <c r="B61" s="206"/>
      <c r="C61" s="213"/>
      <c r="D61" s="213"/>
      <c r="E61" s="213"/>
      <c r="F61" s="216"/>
      <c r="G61" s="216"/>
      <c r="H61" s="165">
        <f t="shared" si="0"/>
        <v>0</v>
      </c>
      <c r="I61" s="39"/>
    </row>
    <row r="62" spans="1:9" ht="15.9" customHeight="1">
      <c r="A62" s="433"/>
      <c r="B62" s="206"/>
      <c r="C62" s="213"/>
      <c r="D62" s="213"/>
      <c r="E62" s="213"/>
      <c r="F62" s="216"/>
      <c r="G62" s="216"/>
      <c r="H62" s="165">
        <f t="shared" si="0"/>
        <v>0</v>
      </c>
      <c r="I62" s="39"/>
    </row>
    <row r="63" spans="1:9" ht="15.9" customHeight="1">
      <c r="A63" s="433"/>
      <c r="B63" s="206"/>
      <c r="C63" s="234"/>
      <c r="D63" s="234"/>
      <c r="E63" s="234"/>
      <c r="F63" s="236"/>
      <c r="G63" s="236"/>
      <c r="H63" s="165">
        <f t="shared" si="0"/>
        <v>0</v>
      </c>
      <c r="I63" s="238"/>
    </row>
    <row r="64" spans="1:9" ht="15.9" customHeight="1">
      <c r="A64" s="433"/>
      <c r="B64" s="206"/>
      <c r="C64" s="234"/>
      <c r="D64" s="234"/>
      <c r="E64" s="234"/>
      <c r="F64" s="236"/>
      <c r="G64" s="236"/>
      <c r="H64" s="165">
        <f t="shared" si="0"/>
        <v>0</v>
      </c>
      <c r="I64" s="238"/>
    </row>
    <row r="65" spans="1:9" ht="15.9" customHeight="1">
      <c r="A65" s="433"/>
      <c r="B65" s="206"/>
      <c r="C65" s="234"/>
      <c r="D65" s="234"/>
      <c r="E65" s="234"/>
      <c r="F65" s="236"/>
      <c r="G65" s="236"/>
      <c r="H65" s="165">
        <f t="shared" si="0"/>
        <v>0</v>
      </c>
      <c r="I65" s="238"/>
    </row>
    <row r="66" spans="1:9" ht="15.9" customHeight="1">
      <c r="A66" s="433"/>
      <c r="B66" s="206"/>
      <c r="C66" s="234"/>
      <c r="D66" s="234"/>
      <c r="E66" s="234"/>
      <c r="F66" s="236"/>
      <c r="G66" s="236"/>
      <c r="H66" s="165">
        <f t="shared" si="0"/>
        <v>0</v>
      </c>
      <c r="I66" s="238"/>
    </row>
    <row r="67" spans="1:9" ht="15.9" customHeight="1">
      <c r="A67" s="433"/>
      <c r="B67" s="206"/>
      <c r="C67" s="234"/>
      <c r="D67" s="234"/>
      <c r="E67" s="234"/>
      <c r="F67" s="236"/>
      <c r="G67" s="236"/>
      <c r="H67" s="165">
        <f t="shared" si="0"/>
        <v>0</v>
      </c>
      <c r="I67" s="238"/>
    </row>
    <row r="68" spans="1:9" ht="15.9" customHeight="1">
      <c r="A68" s="433"/>
      <c r="B68" s="206"/>
      <c r="C68" s="234"/>
      <c r="D68" s="234"/>
      <c r="E68" s="234"/>
      <c r="F68" s="236"/>
      <c r="G68" s="236"/>
      <c r="H68" s="165">
        <f t="shared" si="0"/>
        <v>0</v>
      </c>
      <c r="I68" s="238"/>
    </row>
    <row r="69" spans="1:9" ht="15.9" customHeight="1">
      <c r="A69" s="433"/>
      <c r="B69" s="206"/>
      <c r="C69" s="234"/>
      <c r="D69" s="234"/>
      <c r="E69" s="234"/>
      <c r="F69" s="236"/>
      <c r="G69" s="236"/>
      <c r="H69" s="165">
        <f t="shared" ref="H69:H130" si="1">IF(F69=0,G69,G69*F69)</f>
        <v>0</v>
      </c>
      <c r="I69" s="238"/>
    </row>
    <row r="70" spans="1:9" ht="15.9" customHeight="1">
      <c r="A70" s="433"/>
      <c r="B70" s="206"/>
      <c r="C70" s="234"/>
      <c r="D70" s="234"/>
      <c r="E70" s="234"/>
      <c r="F70" s="236"/>
      <c r="G70" s="236"/>
      <c r="H70" s="165">
        <f t="shared" si="1"/>
        <v>0</v>
      </c>
      <c r="I70" s="238"/>
    </row>
    <row r="71" spans="1:9" ht="15.9" customHeight="1">
      <c r="A71" s="433"/>
      <c r="B71" s="206"/>
      <c r="C71" s="234"/>
      <c r="D71" s="234"/>
      <c r="E71" s="234"/>
      <c r="F71" s="236"/>
      <c r="G71" s="236"/>
      <c r="H71" s="165">
        <f t="shared" si="1"/>
        <v>0</v>
      </c>
      <c r="I71" s="238"/>
    </row>
    <row r="72" spans="1:9" ht="15.9" customHeight="1">
      <c r="A72" s="433"/>
      <c r="B72" s="206"/>
      <c r="C72" s="234"/>
      <c r="D72" s="234"/>
      <c r="E72" s="234"/>
      <c r="F72" s="236"/>
      <c r="G72" s="236"/>
      <c r="H72" s="165">
        <f t="shared" si="1"/>
        <v>0</v>
      </c>
      <c r="I72" s="238"/>
    </row>
    <row r="73" spans="1:9" ht="15.9" customHeight="1">
      <c r="A73" s="433"/>
      <c r="B73" s="206"/>
      <c r="C73" s="234"/>
      <c r="D73" s="234"/>
      <c r="E73" s="234"/>
      <c r="F73" s="236"/>
      <c r="G73" s="236"/>
      <c r="H73" s="165">
        <f t="shared" si="1"/>
        <v>0</v>
      </c>
      <c r="I73" s="238"/>
    </row>
    <row r="74" spans="1:9" ht="15.9" customHeight="1">
      <c r="A74" s="433"/>
      <c r="B74" s="206"/>
      <c r="C74" s="234"/>
      <c r="D74" s="234"/>
      <c r="E74" s="234"/>
      <c r="F74" s="236"/>
      <c r="G74" s="236"/>
      <c r="H74" s="165">
        <f t="shared" si="1"/>
        <v>0</v>
      </c>
      <c r="I74" s="238"/>
    </row>
    <row r="75" spans="1:9" ht="15.9" customHeight="1">
      <c r="A75" s="433"/>
      <c r="B75" s="206"/>
      <c r="C75" s="234"/>
      <c r="D75" s="234"/>
      <c r="E75" s="234"/>
      <c r="F75" s="236"/>
      <c r="G75" s="236"/>
      <c r="H75" s="165">
        <f t="shared" si="1"/>
        <v>0</v>
      </c>
      <c r="I75" s="238"/>
    </row>
    <row r="76" spans="1:9" ht="15.9" customHeight="1">
      <c r="A76" s="433"/>
      <c r="B76" s="206"/>
      <c r="C76" s="217" t="s">
        <v>129</v>
      </c>
      <c r="D76" s="217"/>
      <c r="E76" s="217"/>
      <c r="F76" s="220"/>
      <c r="G76" s="220"/>
      <c r="H76" s="175">
        <f t="shared" si="1"/>
        <v>0</v>
      </c>
      <c r="I76" s="42"/>
    </row>
    <row r="77" spans="1:9" ht="15.9" customHeight="1">
      <c r="A77" s="433"/>
      <c r="B77" s="221"/>
      <c r="C77" s="222"/>
      <c r="D77" s="223"/>
      <c r="E77" s="223"/>
      <c r="F77" s="225"/>
      <c r="G77" s="225"/>
      <c r="H77" s="49">
        <f>SUM(H57:H76)</f>
        <v>0</v>
      </c>
      <c r="I77" s="46"/>
    </row>
    <row r="78" spans="1:9" ht="15.9" customHeight="1">
      <c r="A78" s="246"/>
      <c r="B78" s="247" t="s">
        <v>131</v>
      </c>
      <c r="C78" s="248"/>
      <c r="D78" s="46"/>
      <c r="E78" s="46"/>
      <c r="F78" s="250"/>
      <c r="G78" s="250"/>
      <c r="H78" s="49">
        <f>SUM(H77,H56,H35,H24)</f>
        <v>0</v>
      </c>
      <c r="I78" s="46"/>
    </row>
    <row r="79" spans="1:9" ht="15.9" customHeight="1">
      <c r="A79" s="429" t="s">
        <v>132</v>
      </c>
      <c r="B79" s="251" t="s">
        <v>57</v>
      </c>
      <c r="C79" s="248"/>
      <c r="D79" s="46"/>
      <c r="E79" s="251" t="s">
        <v>58</v>
      </c>
      <c r="F79" s="265"/>
      <c r="G79" s="254"/>
      <c r="H79" s="255">
        <f>F79*G79</f>
        <v>0</v>
      </c>
      <c r="I79" s="46"/>
    </row>
    <row r="80" spans="1:9" ht="15.9" customHeight="1">
      <c r="A80" s="433"/>
      <c r="B80" s="256" t="s">
        <v>152</v>
      </c>
      <c r="C80" s="257"/>
      <c r="D80" s="232"/>
      <c r="E80" s="256" t="s">
        <v>134</v>
      </c>
      <c r="F80" s="230"/>
      <c r="G80" s="230"/>
      <c r="H80" s="231">
        <f t="shared" ref="H80:H86" si="2">F80*G80</f>
        <v>0</v>
      </c>
      <c r="I80" s="232"/>
    </row>
    <row r="81" spans="1:9" ht="15.9" customHeight="1">
      <c r="A81" s="433"/>
      <c r="B81" s="258" t="s">
        <v>153</v>
      </c>
      <c r="C81" s="259"/>
      <c r="D81" s="39"/>
      <c r="E81" s="258" t="s">
        <v>134</v>
      </c>
      <c r="F81" s="216"/>
      <c r="G81" s="216"/>
      <c r="H81" s="165">
        <f t="shared" si="2"/>
        <v>0</v>
      </c>
      <c r="I81" s="39"/>
    </row>
    <row r="82" spans="1:9" ht="15.9" customHeight="1">
      <c r="A82" s="433"/>
      <c r="B82" s="258" t="s">
        <v>154</v>
      </c>
      <c r="C82" s="259"/>
      <c r="D82" s="39"/>
      <c r="E82" s="258" t="s">
        <v>134</v>
      </c>
      <c r="F82" s="216"/>
      <c r="G82" s="216"/>
      <c r="H82" s="165">
        <f t="shared" si="2"/>
        <v>0</v>
      </c>
      <c r="I82" s="39"/>
    </row>
    <row r="83" spans="1:9" ht="15.9" customHeight="1">
      <c r="A83" s="433"/>
      <c r="B83" s="258" t="s">
        <v>155</v>
      </c>
      <c r="C83" s="259"/>
      <c r="D83" s="39"/>
      <c r="E83" s="258" t="s">
        <v>134</v>
      </c>
      <c r="F83" s="216"/>
      <c r="G83" s="216"/>
      <c r="H83" s="165">
        <f t="shared" si="2"/>
        <v>0</v>
      </c>
      <c r="I83" s="39"/>
    </row>
    <row r="84" spans="1:9" ht="15.9" customHeight="1">
      <c r="A84" s="433"/>
      <c r="B84" s="258" t="s">
        <v>156</v>
      </c>
      <c r="C84" s="259"/>
      <c r="D84" s="39"/>
      <c r="E84" s="258" t="s">
        <v>134</v>
      </c>
      <c r="F84" s="216"/>
      <c r="G84" s="216"/>
      <c r="H84" s="165">
        <f t="shared" si="2"/>
        <v>0</v>
      </c>
      <c r="I84" s="39"/>
    </row>
    <row r="85" spans="1:9" ht="15.9" customHeight="1">
      <c r="A85" s="433"/>
      <c r="B85" s="258" t="s">
        <v>157</v>
      </c>
      <c r="C85" s="259"/>
      <c r="D85" s="39"/>
      <c r="E85" s="258" t="s">
        <v>134</v>
      </c>
      <c r="F85" s="216"/>
      <c r="G85" s="216"/>
      <c r="H85" s="165">
        <f t="shared" si="2"/>
        <v>0</v>
      </c>
      <c r="I85" s="39"/>
    </row>
    <row r="86" spans="1:9" ht="15.9" customHeight="1">
      <c r="A86" s="433"/>
      <c r="B86" s="260" t="s">
        <v>161</v>
      </c>
      <c r="C86" s="261"/>
      <c r="D86" s="42"/>
      <c r="E86" s="260" t="s">
        <v>134</v>
      </c>
      <c r="F86" s="220"/>
      <c r="G86" s="220"/>
      <c r="H86" s="175">
        <f t="shared" si="2"/>
        <v>0</v>
      </c>
      <c r="I86" s="42"/>
    </row>
    <row r="87" spans="1:9" ht="15.9" customHeight="1">
      <c r="A87" s="246"/>
      <c r="B87" s="262" t="s">
        <v>140</v>
      </c>
      <c r="C87" s="248"/>
      <c r="D87" s="46"/>
      <c r="E87" s="46"/>
      <c r="F87" s="225"/>
      <c r="G87" s="225"/>
      <c r="H87" s="225">
        <f>SUM(H79:H86)</f>
        <v>0</v>
      </c>
      <c r="I87" s="223"/>
    </row>
    <row r="88" spans="1:9" ht="15.9" customHeight="1">
      <c r="A88" s="252"/>
      <c r="B88" s="262" t="s">
        <v>159</v>
      </c>
      <c r="C88" s="248"/>
      <c r="D88" s="46"/>
      <c r="E88" s="46"/>
      <c r="F88" s="49"/>
      <c r="G88" s="49"/>
      <c r="H88" s="250">
        <f>'단위공사별(집계)'!L14+'단위공사별(집계)'!I14</f>
        <v>0</v>
      </c>
      <c r="I88" s="46"/>
    </row>
    <row r="89" spans="1:9" ht="15.9" customHeight="1">
      <c r="A89" s="252"/>
      <c r="B89" s="262" t="s">
        <v>83</v>
      </c>
      <c r="C89" s="248"/>
      <c r="D89" s="46"/>
      <c r="E89" s="46"/>
      <c r="F89" s="49"/>
      <c r="G89" s="264"/>
      <c r="H89" s="265">
        <f>(H87+H78)*0.05</f>
        <v>0</v>
      </c>
      <c r="I89" s="248"/>
    </row>
    <row r="90" spans="1:9" ht="15.9" customHeight="1">
      <c r="A90" s="252"/>
      <c r="B90" s="262" t="s">
        <v>143</v>
      </c>
      <c r="C90" s="248"/>
      <c r="D90" s="46"/>
      <c r="E90" s="46"/>
      <c r="F90" s="49"/>
      <c r="G90" s="264"/>
      <c r="H90" s="265">
        <f>(H87+H78)*0.1</f>
        <v>0</v>
      </c>
      <c r="I90" s="248"/>
    </row>
    <row r="91" spans="1:9" ht="15.9" customHeight="1">
      <c r="A91" s="252"/>
      <c r="B91" s="262" t="s">
        <v>144</v>
      </c>
      <c r="C91" s="248"/>
      <c r="D91" s="46"/>
      <c r="E91" s="46"/>
      <c r="F91" s="49"/>
      <c r="G91" s="49"/>
      <c r="H91" s="225">
        <f>H78+H87+H88+H89+H90</f>
        <v>0</v>
      </c>
      <c r="I91" s="46"/>
    </row>
    <row r="92" spans="1:9">
      <c r="A92" s="26"/>
    </row>
  </sheetData>
  <mergeCells count="3">
    <mergeCell ref="A2:B2"/>
    <mergeCell ref="A3:A77"/>
    <mergeCell ref="A79:A8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손철호 책임매니저 통합구매팀 son@hyundai-wia.com 2026-07-07T14:05:14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F6E50-6307-4B4B-A847-C24F5E35D156}">
  <sheetPr>
    <tabColor rgb="FF00B050"/>
    <pageSetUpPr fitToPage="1"/>
  </sheetPr>
  <dimension ref="A1:I92"/>
  <sheetViews>
    <sheetView zoomScale="85" workbookViewId="0">
      <pane xSplit="2" ySplit="2" topLeftCell="C3" activePane="bottomRight" state="frozen"/>
      <selection activeCell="F18" sqref="F18:F27"/>
      <selection pane="topRight" activeCell="F18" sqref="F18:F27"/>
      <selection pane="bottomLeft" activeCell="F18" sqref="F18:F27"/>
      <selection pane="bottomRight" activeCell="F18" sqref="F18:F27"/>
    </sheetView>
  </sheetViews>
  <sheetFormatPr defaultColWidth="9" defaultRowHeight="14.4"/>
  <cols>
    <col min="1" max="1" width="5" style="24" customWidth="1"/>
    <col min="2" max="2" width="17.8984375" style="24" bestFit="1" customWidth="1"/>
    <col min="3" max="3" width="23.59765625" style="24" customWidth="1"/>
    <col min="4" max="4" width="18.19921875" style="24" customWidth="1"/>
    <col min="5" max="5" width="5.19921875" style="24" bestFit="1" customWidth="1"/>
    <col min="6" max="6" width="9" style="48"/>
    <col min="7" max="7" width="11.8984375" style="48" customWidth="1"/>
    <col min="8" max="8" width="13.59765625" style="48" customWidth="1"/>
    <col min="9" max="9" width="12.69921875" style="24" customWidth="1"/>
    <col min="10" max="256" width="9" style="24"/>
    <col min="257" max="257" width="5" style="24" customWidth="1"/>
    <col min="258" max="258" width="17.8984375" style="24" bestFit="1" customWidth="1"/>
    <col min="259" max="259" width="23.59765625" style="24" customWidth="1"/>
    <col min="260" max="260" width="18.19921875" style="24" customWidth="1"/>
    <col min="261" max="261" width="5.19921875" style="24" bestFit="1" customWidth="1"/>
    <col min="262" max="262" width="9" style="24"/>
    <col min="263" max="263" width="11.8984375" style="24" customWidth="1"/>
    <col min="264" max="264" width="13.59765625" style="24" customWidth="1"/>
    <col min="265" max="265" width="12.69921875" style="24" customWidth="1"/>
    <col min="266" max="512" width="9" style="24"/>
    <col min="513" max="513" width="5" style="24" customWidth="1"/>
    <col min="514" max="514" width="17.8984375" style="24" bestFit="1" customWidth="1"/>
    <col min="515" max="515" width="23.59765625" style="24" customWidth="1"/>
    <col min="516" max="516" width="18.19921875" style="24" customWidth="1"/>
    <col min="517" max="517" width="5.19921875" style="24" bestFit="1" customWidth="1"/>
    <col min="518" max="518" width="9" style="24"/>
    <col min="519" max="519" width="11.8984375" style="24" customWidth="1"/>
    <col min="520" max="520" width="13.59765625" style="24" customWidth="1"/>
    <col min="521" max="521" width="12.69921875" style="24" customWidth="1"/>
    <col min="522" max="768" width="9" style="24"/>
    <col min="769" max="769" width="5" style="24" customWidth="1"/>
    <col min="770" max="770" width="17.8984375" style="24" bestFit="1" customWidth="1"/>
    <col min="771" max="771" width="23.59765625" style="24" customWidth="1"/>
    <col min="772" max="772" width="18.19921875" style="24" customWidth="1"/>
    <col min="773" max="773" width="5.19921875" style="24" bestFit="1" customWidth="1"/>
    <col min="774" max="774" width="9" style="24"/>
    <col min="775" max="775" width="11.8984375" style="24" customWidth="1"/>
    <col min="776" max="776" width="13.59765625" style="24" customWidth="1"/>
    <col min="777" max="777" width="12.69921875" style="24" customWidth="1"/>
    <col min="778" max="1024" width="9" style="24"/>
    <col min="1025" max="1025" width="5" style="24" customWidth="1"/>
    <col min="1026" max="1026" width="17.8984375" style="24" bestFit="1" customWidth="1"/>
    <col min="1027" max="1027" width="23.59765625" style="24" customWidth="1"/>
    <col min="1028" max="1028" width="18.19921875" style="24" customWidth="1"/>
    <col min="1029" max="1029" width="5.19921875" style="24" bestFit="1" customWidth="1"/>
    <col min="1030" max="1030" width="9" style="24"/>
    <col min="1031" max="1031" width="11.8984375" style="24" customWidth="1"/>
    <col min="1032" max="1032" width="13.59765625" style="24" customWidth="1"/>
    <col min="1033" max="1033" width="12.69921875" style="24" customWidth="1"/>
    <col min="1034" max="1280" width="9" style="24"/>
    <col min="1281" max="1281" width="5" style="24" customWidth="1"/>
    <col min="1282" max="1282" width="17.8984375" style="24" bestFit="1" customWidth="1"/>
    <col min="1283" max="1283" width="23.59765625" style="24" customWidth="1"/>
    <col min="1284" max="1284" width="18.19921875" style="24" customWidth="1"/>
    <col min="1285" max="1285" width="5.19921875" style="24" bestFit="1" customWidth="1"/>
    <col min="1286" max="1286" width="9" style="24"/>
    <col min="1287" max="1287" width="11.8984375" style="24" customWidth="1"/>
    <col min="1288" max="1288" width="13.59765625" style="24" customWidth="1"/>
    <col min="1289" max="1289" width="12.69921875" style="24" customWidth="1"/>
    <col min="1290" max="1536" width="9" style="24"/>
    <col min="1537" max="1537" width="5" style="24" customWidth="1"/>
    <col min="1538" max="1538" width="17.8984375" style="24" bestFit="1" customWidth="1"/>
    <col min="1539" max="1539" width="23.59765625" style="24" customWidth="1"/>
    <col min="1540" max="1540" width="18.19921875" style="24" customWidth="1"/>
    <col min="1541" max="1541" width="5.19921875" style="24" bestFit="1" customWidth="1"/>
    <col min="1542" max="1542" width="9" style="24"/>
    <col min="1543" max="1543" width="11.8984375" style="24" customWidth="1"/>
    <col min="1544" max="1544" width="13.59765625" style="24" customWidth="1"/>
    <col min="1545" max="1545" width="12.69921875" style="24" customWidth="1"/>
    <col min="1546" max="1792" width="9" style="24"/>
    <col min="1793" max="1793" width="5" style="24" customWidth="1"/>
    <col min="1794" max="1794" width="17.8984375" style="24" bestFit="1" customWidth="1"/>
    <col min="1795" max="1795" width="23.59765625" style="24" customWidth="1"/>
    <col min="1796" max="1796" width="18.19921875" style="24" customWidth="1"/>
    <col min="1797" max="1797" width="5.19921875" style="24" bestFit="1" customWidth="1"/>
    <col min="1798" max="1798" width="9" style="24"/>
    <col min="1799" max="1799" width="11.8984375" style="24" customWidth="1"/>
    <col min="1800" max="1800" width="13.59765625" style="24" customWidth="1"/>
    <col min="1801" max="1801" width="12.69921875" style="24" customWidth="1"/>
    <col min="1802" max="2048" width="9" style="24"/>
    <col min="2049" max="2049" width="5" style="24" customWidth="1"/>
    <col min="2050" max="2050" width="17.8984375" style="24" bestFit="1" customWidth="1"/>
    <col min="2051" max="2051" width="23.59765625" style="24" customWidth="1"/>
    <col min="2052" max="2052" width="18.19921875" style="24" customWidth="1"/>
    <col min="2053" max="2053" width="5.19921875" style="24" bestFit="1" customWidth="1"/>
    <col min="2054" max="2054" width="9" style="24"/>
    <col min="2055" max="2055" width="11.8984375" style="24" customWidth="1"/>
    <col min="2056" max="2056" width="13.59765625" style="24" customWidth="1"/>
    <col min="2057" max="2057" width="12.69921875" style="24" customWidth="1"/>
    <col min="2058" max="2304" width="9" style="24"/>
    <col min="2305" max="2305" width="5" style="24" customWidth="1"/>
    <col min="2306" max="2306" width="17.8984375" style="24" bestFit="1" customWidth="1"/>
    <col min="2307" max="2307" width="23.59765625" style="24" customWidth="1"/>
    <col min="2308" max="2308" width="18.19921875" style="24" customWidth="1"/>
    <col min="2309" max="2309" width="5.19921875" style="24" bestFit="1" customWidth="1"/>
    <col min="2310" max="2310" width="9" style="24"/>
    <col min="2311" max="2311" width="11.8984375" style="24" customWidth="1"/>
    <col min="2312" max="2312" width="13.59765625" style="24" customWidth="1"/>
    <col min="2313" max="2313" width="12.69921875" style="24" customWidth="1"/>
    <col min="2314" max="2560" width="9" style="24"/>
    <col min="2561" max="2561" width="5" style="24" customWidth="1"/>
    <col min="2562" max="2562" width="17.8984375" style="24" bestFit="1" customWidth="1"/>
    <col min="2563" max="2563" width="23.59765625" style="24" customWidth="1"/>
    <col min="2564" max="2564" width="18.19921875" style="24" customWidth="1"/>
    <col min="2565" max="2565" width="5.19921875" style="24" bestFit="1" customWidth="1"/>
    <col min="2566" max="2566" width="9" style="24"/>
    <col min="2567" max="2567" width="11.8984375" style="24" customWidth="1"/>
    <col min="2568" max="2568" width="13.59765625" style="24" customWidth="1"/>
    <col min="2569" max="2569" width="12.69921875" style="24" customWidth="1"/>
    <col min="2570" max="2816" width="9" style="24"/>
    <col min="2817" max="2817" width="5" style="24" customWidth="1"/>
    <col min="2818" max="2818" width="17.8984375" style="24" bestFit="1" customWidth="1"/>
    <col min="2819" max="2819" width="23.59765625" style="24" customWidth="1"/>
    <col min="2820" max="2820" width="18.19921875" style="24" customWidth="1"/>
    <col min="2821" max="2821" width="5.19921875" style="24" bestFit="1" customWidth="1"/>
    <col min="2822" max="2822" width="9" style="24"/>
    <col min="2823" max="2823" width="11.8984375" style="24" customWidth="1"/>
    <col min="2824" max="2824" width="13.59765625" style="24" customWidth="1"/>
    <col min="2825" max="2825" width="12.69921875" style="24" customWidth="1"/>
    <col min="2826" max="3072" width="9" style="24"/>
    <col min="3073" max="3073" width="5" style="24" customWidth="1"/>
    <col min="3074" max="3074" width="17.8984375" style="24" bestFit="1" customWidth="1"/>
    <col min="3075" max="3075" width="23.59765625" style="24" customWidth="1"/>
    <col min="3076" max="3076" width="18.19921875" style="24" customWidth="1"/>
    <col min="3077" max="3077" width="5.19921875" style="24" bestFit="1" customWidth="1"/>
    <col min="3078" max="3078" width="9" style="24"/>
    <col min="3079" max="3079" width="11.8984375" style="24" customWidth="1"/>
    <col min="3080" max="3080" width="13.59765625" style="24" customWidth="1"/>
    <col min="3081" max="3081" width="12.69921875" style="24" customWidth="1"/>
    <col min="3082" max="3328" width="9" style="24"/>
    <col min="3329" max="3329" width="5" style="24" customWidth="1"/>
    <col min="3330" max="3330" width="17.8984375" style="24" bestFit="1" customWidth="1"/>
    <col min="3331" max="3331" width="23.59765625" style="24" customWidth="1"/>
    <col min="3332" max="3332" width="18.19921875" style="24" customWidth="1"/>
    <col min="3333" max="3333" width="5.19921875" style="24" bestFit="1" customWidth="1"/>
    <col min="3334" max="3334" width="9" style="24"/>
    <col min="3335" max="3335" width="11.8984375" style="24" customWidth="1"/>
    <col min="3336" max="3336" width="13.59765625" style="24" customWidth="1"/>
    <col min="3337" max="3337" width="12.69921875" style="24" customWidth="1"/>
    <col min="3338" max="3584" width="9" style="24"/>
    <col min="3585" max="3585" width="5" style="24" customWidth="1"/>
    <col min="3586" max="3586" width="17.8984375" style="24" bestFit="1" customWidth="1"/>
    <col min="3587" max="3587" width="23.59765625" style="24" customWidth="1"/>
    <col min="3588" max="3588" width="18.19921875" style="24" customWidth="1"/>
    <col min="3589" max="3589" width="5.19921875" style="24" bestFit="1" customWidth="1"/>
    <col min="3590" max="3590" width="9" style="24"/>
    <col min="3591" max="3591" width="11.8984375" style="24" customWidth="1"/>
    <col min="3592" max="3592" width="13.59765625" style="24" customWidth="1"/>
    <col min="3593" max="3593" width="12.69921875" style="24" customWidth="1"/>
    <col min="3594" max="3840" width="9" style="24"/>
    <col min="3841" max="3841" width="5" style="24" customWidth="1"/>
    <col min="3842" max="3842" width="17.8984375" style="24" bestFit="1" customWidth="1"/>
    <col min="3843" max="3843" width="23.59765625" style="24" customWidth="1"/>
    <col min="3844" max="3844" width="18.19921875" style="24" customWidth="1"/>
    <col min="3845" max="3845" width="5.19921875" style="24" bestFit="1" customWidth="1"/>
    <col min="3846" max="3846" width="9" style="24"/>
    <col min="3847" max="3847" width="11.8984375" style="24" customWidth="1"/>
    <col min="3848" max="3848" width="13.59765625" style="24" customWidth="1"/>
    <col min="3849" max="3849" width="12.69921875" style="24" customWidth="1"/>
    <col min="3850" max="4096" width="9" style="24"/>
    <col min="4097" max="4097" width="5" style="24" customWidth="1"/>
    <col min="4098" max="4098" width="17.8984375" style="24" bestFit="1" customWidth="1"/>
    <col min="4099" max="4099" width="23.59765625" style="24" customWidth="1"/>
    <col min="4100" max="4100" width="18.19921875" style="24" customWidth="1"/>
    <col min="4101" max="4101" width="5.19921875" style="24" bestFit="1" customWidth="1"/>
    <col min="4102" max="4102" width="9" style="24"/>
    <col min="4103" max="4103" width="11.8984375" style="24" customWidth="1"/>
    <col min="4104" max="4104" width="13.59765625" style="24" customWidth="1"/>
    <col min="4105" max="4105" width="12.69921875" style="24" customWidth="1"/>
    <col min="4106" max="4352" width="9" style="24"/>
    <col min="4353" max="4353" width="5" style="24" customWidth="1"/>
    <col min="4354" max="4354" width="17.8984375" style="24" bestFit="1" customWidth="1"/>
    <col min="4355" max="4355" width="23.59765625" style="24" customWidth="1"/>
    <col min="4356" max="4356" width="18.19921875" style="24" customWidth="1"/>
    <col min="4357" max="4357" width="5.19921875" style="24" bestFit="1" customWidth="1"/>
    <col min="4358" max="4358" width="9" style="24"/>
    <col min="4359" max="4359" width="11.8984375" style="24" customWidth="1"/>
    <col min="4360" max="4360" width="13.59765625" style="24" customWidth="1"/>
    <col min="4361" max="4361" width="12.69921875" style="24" customWidth="1"/>
    <col min="4362" max="4608" width="9" style="24"/>
    <col min="4609" max="4609" width="5" style="24" customWidth="1"/>
    <col min="4610" max="4610" width="17.8984375" style="24" bestFit="1" customWidth="1"/>
    <col min="4611" max="4611" width="23.59765625" style="24" customWidth="1"/>
    <col min="4612" max="4612" width="18.19921875" style="24" customWidth="1"/>
    <col min="4613" max="4613" width="5.19921875" style="24" bestFit="1" customWidth="1"/>
    <col min="4614" max="4614" width="9" style="24"/>
    <col min="4615" max="4615" width="11.8984375" style="24" customWidth="1"/>
    <col min="4616" max="4616" width="13.59765625" style="24" customWidth="1"/>
    <col min="4617" max="4617" width="12.69921875" style="24" customWidth="1"/>
    <col min="4618" max="4864" width="9" style="24"/>
    <col min="4865" max="4865" width="5" style="24" customWidth="1"/>
    <col min="4866" max="4866" width="17.8984375" style="24" bestFit="1" customWidth="1"/>
    <col min="4867" max="4867" width="23.59765625" style="24" customWidth="1"/>
    <col min="4868" max="4868" width="18.19921875" style="24" customWidth="1"/>
    <col min="4869" max="4869" width="5.19921875" style="24" bestFit="1" customWidth="1"/>
    <col min="4870" max="4870" width="9" style="24"/>
    <col min="4871" max="4871" width="11.8984375" style="24" customWidth="1"/>
    <col min="4872" max="4872" width="13.59765625" style="24" customWidth="1"/>
    <col min="4873" max="4873" width="12.69921875" style="24" customWidth="1"/>
    <col min="4874" max="5120" width="9" style="24"/>
    <col min="5121" max="5121" width="5" style="24" customWidth="1"/>
    <col min="5122" max="5122" width="17.8984375" style="24" bestFit="1" customWidth="1"/>
    <col min="5123" max="5123" width="23.59765625" style="24" customWidth="1"/>
    <col min="5124" max="5124" width="18.19921875" style="24" customWidth="1"/>
    <col min="5125" max="5125" width="5.19921875" style="24" bestFit="1" customWidth="1"/>
    <col min="5126" max="5126" width="9" style="24"/>
    <col min="5127" max="5127" width="11.8984375" style="24" customWidth="1"/>
    <col min="5128" max="5128" width="13.59765625" style="24" customWidth="1"/>
    <col min="5129" max="5129" width="12.69921875" style="24" customWidth="1"/>
    <col min="5130" max="5376" width="9" style="24"/>
    <col min="5377" max="5377" width="5" style="24" customWidth="1"/>
    <col min="5378" max="5378" width="17.8984375" style="24" bestFit="1" customWidth="1"/>
    <col min="5379" max="5379" width="23.59765625" style="24" customWidth="1"/>
    <col min="5380" max="5380" width="18.19921875" style="24" customWidth="1"/>
    <col min="5381" max="5381" width="5.19921875" style="24" bestFit="1" customWidth="1"/>
    <col min="5382" max="5382" width="9" style="24"/>
    <col min="5383" max="5383" width="11.8984375" style="24" customWidth="1"/>
    <col min="5384" max="5384" width="13.59765625" style="24" customWidth="1"/>
    <col min="5385" max="5385" width="12.69921875" style="24" customWidth="1"/>
    <col min="5386" max="5632" width="9" style="24"/>
    <col min="5633" max="5633" width="5" style="24" customWidth="1"/>
    <col min="5634" max="5634" width="17.8984375" style="24" bestFit="1" customWidth="1"/>
    <col min="5635" max="5635" width="23.59765625" style="24" customWidth="1"/>
    <col min="5636" max="5636" width="18.19921875" style="24" customWidth="1"/>
    <col min="5637" max="5637" width="5.19921875" style="24" bestFit="1" customWidth="1"/>
    <col min="5638" max="5638" width="9" style="24"/>
    <col min="5639" max="5639" width="11.8984375" style="24" customWidth="1"/>
    <col min="5640" max="5640" width="13.59765625" style="24" customWidth="1"/>
    <col min="5641" max="5641" width="12.69921875" style="24" customWidth="1"/>
    <col min="5642" max="5888" width="9" style="24"/>
    <col min="5889" max="5889" width="5" style="24" customWidth="1"/>
    <col min="5890" max="5890" width="17.8984375" style="24" bestFit="1" customWidth="1"/>
    <col min="5891" max="5891" width="23.59765625" style="24" customWidth="1"/>
    <col min="5892" max="5892" width="18.19921875" style="24" customWidth="1"/>
    <col min="5893" max="5893" width="5.19921875" style="24" bestFit="1" customWidth="1"/>
    <col min="5894" max="5894" width="9" style="24"/>
    <col min="5895" max="5895" width="11.8984375" style="24" customWidth="1"/>
    <col min="5896" max="5896" width="13.59765625" style="24" customWidth="1"/>
    <col min="5897" max="5897" width="12.69921875" style="24" customWidth="1"/>
    <col min="5898" max="6144" width="9" style="24"/>
    <col min="6145" max="6145" width="5" style="24" customWidth="1"/>
    <col min="6146" max="6146" width="17.8984375" style="24" bestFit="1" customWidth="1"/>
    <col min="6147" max="6147" width="23.59765625" style="24" customWidth="1"/>
    <col min="6148" max="6148" width="18.19921875" style="24" customWidth="1"/>
    <col min="6149" max="6149" width="5.19921875" style="24" bestFit="1" customWidth="1"/>
    <col min="6150" max="6150" width="9" style="24"/>
    <col min="6151" max="6151" width="11.8984375" style="24" customWidth="1"/>
    <col min="6152" max="6152" width="13.59765625" style="24" customWidth="1"/>
    <col min="6153" max="6153" width="12.69921875" style="24" customWidth="1"/>
    <col min="6154" max="6400" width="9" style="24"/>
    <col min="6401" max="6401" width="5" style="24" customWidth="1"/>
    <col min="6402" max="6402" width="17.8984375" style="24" bestFit="1" customWidth="1"/>
    <col min="6403" max="6403" width="23.59765625" style="24" customWidth="1"/>
    <col min="6404" max="6404" width="18.19921875" style="24" customWidth="1"/>
    <col min="6405" max="6405" width="5.19921875" style="24" bestFit="1" customWidth="1"/>
    <col min="6406" max="6406" width="9" style="24"/>
    <col min="6407" max="6407" width="11.8984375" style="24" customWidth="1"/>
    <col min="6408" max="6408" width="13.59765625" style="24" customWidth="1"/>
    <col min="6409" max="6409" width="12.69921875" style="24" customWidth="1"/>
    <col min="6410" max="6656" width="9" style="24"/>
    <col min="6657" max="6657" width="5" style="24" customWidth="1"/>
    <col min="6658" max="6658" width="17.8984375" style="24" bestFit="1" customWidth="1"/>
    <col min="6659" max="6659" width="23.59765625" style="24" customWidth="1"/>
    <col min="6660" max="6660" width="18.19921875" style="24" customWidth="1"/>
    <col min="6661" max="6661" width="5.19921875" style="24" bestFit="1" customWidth="1"/>
    <col min="6662" max="6662" width="9" style="24"/>
    <col min="6663" max="6663" width="11.8984375" style="24" customWidth="1"/>
    <col min="6664" max="6664" width="13.59765625" style="24" customWidth="1"/>
    <col min="6665" max="6665" width="12.69921875" style="24" customWidth="1"/>
    <col min="6666" max="6912" width="9" style="24"/>
    <col min="6913" max="6913" width="5" style="24" customWidth="1"/>
    <col min="6914" max="6914" width="17.8984375" style="24" bestFit="1" customWidth="1"/>
    <col min="6915" max="6915" width="23.59765625" style="24" customWidth="1"/>
    <col min="6916" max="6916" width="18.19921875" style="24" customWidth="1"/>
    <col min="6917" max="6917" width="5.19921875" style="24" bestFit="1" customWidth="1"/>
    <col min="6918" max="6918" width="9" style="24"/>
    <col min="6919" max="6919" width="11.8984375" style="24" customWidth="1"/>
    <col min="6920" max="6920" width="13.59765625" style="24" customWidth="1"/>
    <col min="6921" max="6921" width="12.69921875" style="24" customWidth="1"/>
    <col min="6922" max="7168" width="9" style="24"/>
    <col min="7169" max="7169" width="5" style="24" customWidth="1"/>
    <col min="7170" max="7170" width="17.8984375" style="24" bestFit="1" customWidth="1"/>
    <col min="7171" max="7171" width="23.59765625" style="24" customWidth="1"/>
    <col min="7172" max="7172" width="18.19921875" style="24" customWidth="1"/>
    <col min="7173" max="7173" width="5.19921875" style="24" bestFit="1" customWidth="1"/>
    <col min="7174" max="7174" width="9" style="24"/>
    <col min="7175" max="7175" width="11.8984375" style="24" customWidth="1"/>
    <col min="7176" max="7176" width="13.59765625" style="24" customWidth="1"/>
    <col min="7177" max="7177" width="12.69921875" style="24" customWidth="1"/>
    <col min="7178" max="7424" width="9" style="24"/>
    <col min="7425" max="7425" width="5" style="24" customWidth="1"/>
    <col min="7426" max="7426" width="17.8984375" style="24" bestFit="1" customWidth="1"/>
    <col min="7427" max="7427" width="23.59765625" style="24" customWidth="1"/>
    <col min="7428" max="7428" width="18.19921875" style="24" customWidth="1"/>
    <col min="7429" max="7429" width="5.19921875" style="24" bestFit="1" customWidth="1"/>
    <col min="7430" max="7430" width="9" style="24"/>
    <col min="7431" max="7431" width="11.8984375" style="24" customWidth="1"/>
    <col min="7432" max="7432" width="13.59765625" style="24" customWidth="1"/>
    <col min="7433" max="7433" width="12.69921875" style="24" customWidth="1"/>
    <col min="7434" max="7680" width="9" style="24"/>
    <col min="7681" max="7681" width="5" style="24" customWidth="1"/>
    <col min="7682" max="7682" width="17.8984375" style="24" bestFit="1" customWidth="1"/>
    <col min="7683" max="7683" width="23.59765625" style="24" customWidth="1"/>
    <col min="7684" max="7684" width="18.19921875" style="24" customWidth="1"/>
    <col min="7685" max="7685" width="5.19921875" style="24" bestFit="1" customWidth="1"/>
    <col min="7686" max="7686" width="9" style="24"/>
    <col min="7687" max="7687" width="11.8984375" style="24" customWidth="1"/>
    <col min="7688" max="7688" width="13.59765625" style="24" customWidth="1"/>
    <col min="7689" max="7689" width="12.69921875" style="24" customWidth="1"/>
    <col min="7690" max="7936" width="9" style="24"/>
    <col min="7937" max="7937" width="5" style="24" customWidth="1"/>
    <col min="7938" max="7938" width="17.8984375" style="24" bestFit="1" customWidth="1"/>
    <col min="7939" max="7939" width="23.59765625" style="24" customWidth="1"/>
    <col min="7940" max="7940" width="18.19921875" style="24" customWidth="1"/>
    <col min="7941" max="7941" width="5.19921875" style="24" bestFit="1" customWidth="1"/>
    <col min="7942" max="7942" width="9" style="24"/>
    <col min="7943" max="7943" width="11.8984375" style="24" customWidth="1"/>
    <col min="7944" max="7944" width="13.59765625" style="24" customWidth="1"/>
    <col min="7945" max="7945" width="12.69921875" style="24" customWidth="1"/>
    <col min="7946" max="8192" width="9" style="24"/>
    <col min="8193" max="8193" width="5" style="24" customWidth="1"/>
    <col min="8194" max="8194" width="17.8984375" style="24" bestFit="1" customWidth="1"/>
    <col min="8195" max="8195" width="23.59765625" style="24" customWidth="1"/>
    <col min="8196" max="8196" width="18.19921875" style="24" customWidth="1"/>
    <col min="8197" max="8197" width="5.19921875" style="24" bestFit="1" customWidth="1"/>
    <col min="8198" max="8198" width="9" style="24"/>
    <col min="8199" max="8199" width="11.8984375" style="24" customWidth="1"/>
    <col min="8200" max="8200" width="13.59765625" style="24" customWidth="1"/>
    <col min="8201" max="8201" width="12.69921875" style="24" customWidth="1"/>
    <col min="8202" max="8448" width="9" style="24"/>
    <col min="8449" max="8449" width="5" style="24" customWidth="1"/>
    <col min="8450" max="8450" width="17.8984375" style="24" bestFit="1" customWidth="1"/>
    <col min="8451" max="8451" width="23.59765625" style="24" customWidth="1"/>
    <col min="8452" max="8452" width="18.19921875" style="24" customWidth="1"/>
    <col min="8453" max="8453" width="5.19921875" style="24" bestFit="1" customWidth="1"/>
    <col min="8454" max="8454" width="9" style="24"/>
    <col min="8455" max="8455" width="11.8984375" style="24" customWidth="1"/>
    <col min="8456" max="8456" width="13.59765625" style="24" customWidth="1"/>
    <col min="8457" max="8457" width="12.69921875" style="24" customWidth="1"/>
    <col min="8458" max="8704" width="9" style="24"/>
    <col min="8705" max="8705" width="5" style="24" customWidth="1"/>
    <col min="8706" max="8706" width="17.8984375" style="24" bestFit="1" customWidth="1"/>
    <col min="8707" max="8707" width="23.59765625" style="24" customWidth="1"/>
    <col min="8708" max="8708" width="18.19921875" style="24" customWidth="1"/>
    <col min="8709" max="8709" width="5.19921875" style="24" bestFit="1" customWidth="1"/>
    <col min="8710" max="8710" width="9" style="24"/>
    <col min="8711" max="8711" width="11.8984375" style="24" customWidth="1"/>
    <col min="8712" max="8712" width="13.59765625" style="24" customWidth="1"/>
    <col min="8713" max="8713" width="12.69921875" style="24" customWidth="1"/>
    <col min="8714" max="8960" width="9" style="24"/>
    <col min="8961" max="8961" width="5" style="24" customWidth="1"/>
    <col min="8962" max="8962" width="17.8984375" style="24" bestFit="1" customWidth="1"/>
    <col min="8963" max="8963" width="23.59765625" style="24" customWidth="1"/>
    <col min="8964" max="8964" width="18.19921875" style="24" customWidth="1"/>
    <col min="8965" max="8965" width="5.19921875" style="24" bestFit="1" customWidth="1"/>
    <col min="8966" max="8966" width="9" style="24"/>
    <col min="8967" max="8967" width="11.8984375" style="24" customWidth="1"/>
    <col min="8968" max="8968" width="13.59765625" style="24" customWidth="1"/>
    <col min="8969" max="8969" width="12.69921875" style="24" customWidth="1"/>
    <col min="8970" max="9216" width="9" style="24"/>
    <col min="9217" max="9217" width="5" style="24" customWidth="1"/>
    <col min="9218" max="9218" width="17.8984375" style="24" bestFit="1" customWidth="1"/>
    <col min="9219" max="9219" width="23.59765625" style="24" customWidth="1"/>
    <col min="9220" max="9220" width="18.19921875" style="24" customWidth="1"/>
    <col min="9221" max="9221" width="5.19921875" style="24" bestFit="1" customWidth="1"/>
    <col min="9222" max="9222" width="9" style="24"/>
    <col min="9223" max="9223" width="11.8984375" style="24" customWidth="1"/>
    <col min="9224" max="9224" width="13.59765625" style="24" customWidth="1"/>
    <col min="9225" max="9225" width="12.69921875" style="24" customWidth="1"/>
    <col min="9226" max="9472" width="9" style="24"/>
    <col min="9473" max="9473" width="5" style="24" customWidth="1"/>
    <col min="9474" max="9474" width="17.8984375" style="24" bestFit="1" customWidth="1"/>
    <col min="9475" max="9475" width="23.59765625" style="24" customWidth="1"/>
    <col min="9476" max="9476" width="18.19921875" style="24" customWidth="1"/>
    <col min="9477" max="9477" width="5.19921875" style="24" bestFit="1" customWidth="1"/>
    <col min="9478" max="9478" width="9" style="24"/>
    <col min="9479" max="9479" width="11.8984375" style="24" customWidth="1"/>
    <col min="9480" max="9480" width="13.59765625" style="24" customWidth="1"/>
    <col min="9481" max="9481" width="12.69921875" style="24" customWidth="1"/>
    <col min="9482" max="9728" width="9" style="24"/>
    <col min="9729" max="9729" width="5" style="24" customWidth="1"/>
    <col min="9730" max="9730" width="17.8984375" style="24" bestFit="1" customWidth="1"/>
    <col min="9731" max="9731" width="23.59765625" style="24" customWidth="1"/>
    <col min="9732" max="9732" width="18.19921875" style="24" customWidth="1"/>
    <col min="9733" max="9733" width="5.19921875" style="24" bestFit="1" customWidth="1"/>
    <col min="9734" max="9734" width="9" style="24"/>
    <col min="9735" max="9735" width="11.8984375" style="24" customWidth="1"/>
    <col min="9736" max="9736" width="13.59765625" style="24" customWidth="1"/>
    <col min="9737" max="9737" width="12.69921875" style="24" customWidth="1"/>
    <col min="9738" max="9984" width="9" style="24"/>
    <col min="9985" max="9985" width="5" style="24" customWidth="1"/>
    <col min="9986" max="9986" width="17.8984375" style="24" bestFit="1" customWidth="1"/>
    <col min="9987" max="9987" width="23.59765625" style="24" customWidth="1"/>
    <col min="9988" max="9988" width="18.19921875" style="24" customWidth="1"/>
    <col min="9989" max="9989" width="5.19921875" style="24" bestFit="1" customWidth="1"/>
    <col min="9990" max="9990" width="9" style="24"/>
    <col min="9991" max="9991" width="11.8984375" style="24" customWidth="1"/>
    <col min="9992" max="9992" width="13.59765625" style="24" customWidth="1"/>
    <col min="9993" max="9993" width="12.69921875" style="24" customWidth="1"/>
    <col min="9994" max="10240" width="9" style="24"/>
    <col min="10241" max="10241" width="5" style="24" customWidth="1"/>
    <col min="10242" max="10242" width="17.8984375" style="24" bestFit="1" customWidth="1"/>
    <col min="10243" max="10243" width="23.59765625" style="24" customWidth="1"/>
    <col min="10244" max="10244" width="18.19921875" style="24" customWidth="1"/>
    <col min="10245" max="10245" width="5.19921875" style="24" bestFit="1" customWidth="1"/>
    <col min="10246" max="10246" width="9" style="24"/>
    <col min="10247" max="10247" width="11.8984375" style="24" customWidth="1"/>
    <col min="10248" max="10248" width="13.59765625" style="24" customWidth="1"/>
    <col min="10249" max="10249" width="12.69921875" style="24" customWidth="1"/>
    <col min="10250" max="10496" width="9" style="24"/>
    <col min="10497" max="10497" width="5" style="24" customWidth="1"/>
    <col min="10498" max="10498" width="17.8984375" style="24" bestFit="1" customWidth="1"/>
    <col min="10499" max="10499" width="23.59765625" style="24" customWidth="1"/>
    <col min="10500" max="10500" width="18.19921875" style="24" customWidth="1"/>
    <col min="10501" max="10501" width="5.19921875" style="24" bestFit="1" customWidth="1"/>
    <col min="10502" max="10502" width="9" style="24"/>
    <col min="10503" max="10503" width="11.8984375" style="24" customWidth="1"/>
    <col min="10504" max="10504" width="13.59765625" style="24" customWidth="1"/>
    <col min="10505" max="10505" width="12.69921875" style="24" customWidth="1"/>
    <col min="10506" max="10752" width="9" style="24"/>
    <col min="10753" max="10753" width="5" style="24" customWidth="1"/>
    <col min="10754" max="10754" width="17.8984375" style="24" bestFit="1" customWidth="1"/>
    <col min="10755" max="10755" width="23.59765625" style="24" customWidth="1"/>
    <col min="10756" max="10756" width="18.19921875" style="24" customWidth="1"/>
    <col min="10757" max="10757" width="5.19921875" style="24" bestFit="1" customWidth="1"/>
    <col min="10758" max="10758" width="9" style="24"/>
    <col min="10759" max="10759" width="11.8984375" style="24" customWidth="1"/>
    <col min="10760" max="10760" width="13.59765625" style="24" customWidth="1"/>
    <col min="10761" max="10761" width="12.69921875" style="24" customWidth="1"/>
    <col min="10762" max="11008" width="9" style="24"/>
    <col min="11009" max="11009" width="5" style="24" customWidth="1"/>
    <col min="11010" max="11010" width="17.8984375" style="24" bestFit="1" customWidth="1"/>
    <col min="11011" max="11011" width="23.59765625" style="24" customWidth="1"/>
    <col min="11012" max="11012" width="18.19921875" style="24" customWidth="1"/>
    <col min="11013" max="11013" width="5.19921875" style="24" bestFit="1" customWidth="1"/>
    <col min="11014" max="11014" width="9" style="24"/>
    <col min="11015" max="11015" width="11.8984375" style="24" customWidth="1"/>
    <col min="11016" max="11016" width="13.59765625" style="24" customWidth="1"/>
    <col min="11017" max="11017" width="12.69921875" style="24" customWidth="1"/>
    <col min="11018" max="11264" width="9" style="24"/>
    <col min="11265" max="11265" width="5" style="24" customWidth="1"/>
    <col min="11266" max="11266" width="17.8984375" style="24" bestFit="1" customWidth="1"/>
    <col min="11267" max="11267" width="23.59765625" style="24" customWidth="1"/>
    <col min="11268" max="11268" width="18.19921875" style="24" customWidth="1"/>
    <col min="11269" max="11269" width="5.19921875" style="24" bestFit="1" customWidth="1"/>
    <col min="11270" max="11270" width="9" style="24"/>
    <col min="11271" max="11271" width="11.8984375" style="24" customWidth="1"/>
    <col min="11272" max="11272" width="13.59765625" style="24" customWidth="1"/>
    <col min="11273" max="11273" width="12.69921875" style="24" customWidth="1"/>
    <col min="11274" max="11520" width="9" style="24"/>
    <col min="11521" max="11521" width="5" style="24" customWidth="1"/>
    <col min="11522" max="11522" width="17.8984375" style="24" bestFit="1" customWidth="1"/>
    <col min="11523" max="11523" width="23.59765625" style="24" customWidth="1"/>
    <col min="11524" max="11524" width="18.19921875" style="24" customWidth="1"/>
    <col min="11525" max="11525" width="5.19921875" style="24" bestFit="1" customWidth="1"/>
    <col min="11526" max="11526" width="9" style="24"/>
    <col min="11527" max="11527" width="11.8984375" style="24" customWidth="1"/>
    <col min="11528" max="11528" width="13.59765625" style="24" customWidth="1"/>
    <col min="11529" max="11529" width="12.69921875" style="24" customWidth="1"/>
    <col min="11530" max="11776" width="9" style="24"/>
    <col min="11777" max="11777" width="5" style="24" customWidth="1"/>
    <col min="11778" max="11778" width="17.8984375" style="24" bestFit="1" customWidth="1"/>
    <col min="11779" max="11779" width="23.59765625" style="24" customWidth="1"/>
    <col min="11780" max="11780" width="18.19921875" style="24" customWidth="1"/>
    <col min="11781" max="11781" width="5.19921875" style="24" bestFit="1" customWidth="1"/>
    <col min="11782" max="11782" width="9" style="24"/>
    <col min="11783" max="11783" width="11.8984375" style="24" customWidth="1"/>
    <col min="11784" max="11784" width="13.59765625" style="24" customWidth="1"/>
    <col min="11785" max="11785" width="12.69921875" style="24" customWidth="1"/>
    <col min="11786" max="12032" width="9" style="24"/>
    <col min="12033" max="12033" width="5" style="24" customWidth="1"/>
    <col min="12034" max="12034" width="17.8984375" style="24" bestFit="1" customWidth="1"/>
    <col min="12035" max="12035" width="23.59765625" style="24" customWidth="1"/>
    <col min="12036" max="12036" width="18.19921875" style="24" customWidth="1"/>
    <col min="12037" max="12037" width="5.19921875" style="24" bestFit="1" customWidth="1"/>
    <col min="12038" max="12038" width="9" style="24"/>
    <col min="12039" max="12039" width="11.8984375" style="24" customWidth="1"/>
    <col min="12040" max="12040" width="13.59765625" style="24" customWidth="1"/>
    <col min="12041" max="12041" width="12.69921875" style="24" customWidth="1"/>
    <col min="12042" max="12288" width="9" style="24"/>
    <col min="12289" max="12289" width="5" style="24" customWidth="1"/>
    <col min="12290" max="12290" width="17.8984375" style="24" bestFit="1" customWidth="1"/>
    <col min="12291" max="12291" width="23.59765625" style="24" customWidth="1"/>
    <col min="12292" max="12292" width="18.19921875" style="24" customWidth="1"/>
    <col min="12293" max="12293" width="5.19921875" style="24" bestFit="1" customWidth="1"/>
    <col min="12294" max="12294" width="9" style="24"/>
    <col min="12295" max="12295" width="11.8984375" style="24" customWidth="1"/>
    <col min="12296" max="12296" width="13.59765625" style="24" customWidth="1"/>
    <col min="12297" max="12297" width="12.69921875" style="24" customWidth="1"/>
    <col min="12298" max="12544" width="9" style="24"/>
    <col min="12545" max="12545" width="5" style="24" customWidth="1"/>
    <col min="12546" max="12546" width="17.8984375" style="24" bestFit="1" customWidth="1"/>
    <col min="12547" max="12547" width="23.59765625" style="24" customWidth="1"/>
    <col min="12548" max="12548" width="18.19921875" style="24" customWidth="1"/>
    <col min="12549" max="12549" width="5.19921875" style="24" bestFit="1" customWidth="1"/>
    <col min="12550" max="12550" width="9" style="24"/>
    <col min="12551" max="12551" width="11.8984375" style="24" customWidth="1"/>
    <col min="12552" max="12552" width="13.59765625" style="24" customWidth="1"/>
    <col min="12553" max="12553" width="12.69921875" style="24" customWidth="1"/>
    <col min="12554" max="12800" width="9" style="24"/>
    <col min="12801" max="12801" width="5" style="24" customWidth="1"/>
    <col min="12802" max="12802" width="17.8984375" style="24" bestFit="1" customWidth="1"/>
    <col min="12803" max="12803" width="23.59765625" style="24" customWidth="1"/>
    <col min="12804" max="12804" width="18.19921875" style="24" customWidth="1"/>
    <col min="12805" max="12805" width="5.19921875" style="24" bestFit="1" customWidth="1"/>
    <col min="12806" max="12806" width="9" style="24"/>
    <col min="12807" max="12807" width="11.8984375" style="24" customWidth="1"/>
    <col min="12808" max="12808" width="13.59765625" style="24" customWidth="1"/>
    <col min="12809" max="12809" width="12.69921875" style="24" customWidth="1"/>
    <col min="12810" max="13056" width="9" style="24"/>
    <col min="13057" max="13057" width="5" style="24" customWidth="1"/>
    <col min="13058" max="13058" width="17.8984375" style="24" bestFit="1" customWidth="1"/>
    <col min="13059" max="13059" width="23.59765625" style="24" customWidth="1"/>
    <col min="13060" max="13060" width="18.19921875" style="24" customWidth="1"/>
    <col min="13061" max="13061" width="5.19921875" style="24" bestFit="1" customWidth="1"/>
    <col min="13062" max="13062" width="9" style="24"/>
    <col min="13063" max="13063" width="11.8984375" style="24" customWidth="1"/>
    <col min="13064" max="13064" width="13.59765625" style="24" customWidth="1"/>
    <col min="13065" max="13065" width="12.69921875" style="24" customWidth="1"/>
    <col min="13066" max="13312" width="9" style="24"/>
    <col min="13313" max="13313" width="5" style="24" customWidth="1"/>
    <col min="13314" max="13314" width="17.8984375" style="24" bestFit="1" customWidth="1"/>
    <col min="13315" max="13315" width="23.59765625" style="24" customWidth="1"/>
    <col min="13316" max="13316" width="18.19921875" style="24" customWidth="1"/>
    <col min="13317" max="13317" width="5.19921875" style="24" bestFit="1" customWidth="1"/>
    <col min="13318" max="13318" width="9" style="24"/>
    <col min="13319" max="13319" width="11.8984375" style="24" customWidth="1"/>
    <col min="13320" max="13320" width="13.59765625" style="24" customWidth="1"/>
    <col min="13321" max="13321" width="12.69921875" style="24" customWidth="1"/>
    <col min="13322" max="13568" width="9" style="24"/>
    <col min="13569" max="13569" width="5" style="24" customWidth="1"/>
    <col min="13570" max="13570" width="17.8984375" style="24" bestFit="1" customWidth="1"/>
    <col min="13571" max="13571" width="23.59765625" style="24" customWidth="1"/>
    <col min="13572" max="13572" width="18.19921875" style="24" customWidth="1"/>
    <col min="13573" max="13573" width="5.19921875" style="24" bestFit="1" customWidth="1"/>
    <col min="13574" max="13574" width="9" style="24"/>
    <col min="13575" max="13575" width="11.8984375" style="24" customWidth="1"/>
    <col min="13576" max="13576" width="13.59765625" style="24" customWidth="1"/>
    <col min="13577" max="13577" width="12.69921875" style="24" customWidth="1"/>
    <col min="13578" max="13824" width="9" style="24"/>
    <col min="13825" max="13825" width="5" style="24" customWidth="1"/>
    <col min="13826" max="13826" width="17.8984375" style="24" bestFit="1" customWidth="1"/>
    <col min="13827" max="13827" width="23.59765625" style="24" customWidth="1"/>
    <col min="13828" max="13828" width="18.19921875" style="24" customWidth="1"/>
    <col min="13829" max="13829" width="5.19921875" style="24" bestFit="1" customWidth="1"/>
    <col min="13830" max="13830" width="9" style="24"/>
    <col min="13831" max="13831" width="11.8984375" style="24" customWidth="1"/>
    <col min="13832" max="13832" width="13.59765625" style="24" customWidth="1"/>
    <col min="13833" max="13833" width="12.69921875" style="24" customWidth="1"/>
    <col min="13834" max="14080" width="9" style="24"/>
    <col min="14081" max="14081" width="5" style="24" customWidth="1"/>
    <col min="14082" max="14082" width="17.8984375" style="24" bestFit="1" customWidth="1"/>
    <col min="14083" max="14083" width="23.59765625" style="24" customWidth="1"/>
    <col min="14084" max="14084" width="18.19921875" style="24" customWidth="1"/>
    <col min="14085" max="14085" width="5.19921875" style="24" bestFit="1" customWidth="1"/>
    <col min="14086" max="14086" width="9" style="24"/>
    <col min="14087" max="14087" width="11.8984375" style="24" customWidth="1"/>
    <col min="14088" max="14088" width="13.59765625" style="24" customWidth="1"/>
    <col min="14089" max="14089" width="12.69921875" style="24" customWidth="1"/>
    <col min="14090" max="14336" width="9" style="24"/>
    <col min="14337" max="14337" width="5" style="24" customWidth="1"/>
    <col min="14338" max="14338" width="17.8984375" style="24" bestFit="1" customWidth="1"/>
    <col min="14339" max="14339" width="23.59765625" style="24" customWidth="1"/>
    <col min="14340" max="14340" width="18.19921875" style="24" customWidth="1"/>
    <col min="14341" max="14341" width="5.19921875" style="24" bestFit="1" customWidth="1"/>
    <col min="14342" max="14342" width="9" style="24"/>
    <col min="14343" max="14343" width="11.8984375" style="24" customWidth="1"/>
    <col min="14344" max="14344" width="13.59765625" style="24" customWidth="1"/>
    <col min="14345" max="14345" width="12.69921875" style="24" customWidth="1"/>
    <col min="14346" max="14592" width="9" style="24"/>
    <col min="14593" max="14593" width="5" style="24" customWidth="1"/>
    <col min="14594" max="14594" width="17.8984375" style="24" bestFit="1" customWidth="1"/>
    <col min="14595" max="14595" width="23.59765625" style="24" customWidth="1"/>
    <col min="14596" max="14596" width="18.19921875" style="24" customWidth="1"/>
    <col min="14597" max="14597" width="5.19921875" style="24" bestFit="1" customWidth="1"/>
    <col min="14598" max="14598" width="9" style="24"/>
    <col min="14599" max="14599" width="11.8984375" style="24" customWidth="1"/>
    <col min="14600" max="14600" width="13.59765625" style="24" customWidth="1"/>
    <col min="14601" max="14601" width="12.69921875" style="24" customWidth="1"/>
    <col min="14602" max="14848" width="9" style="24"/>
    <col min="14849" max="14849" width="5" style="24" customWidth="1"/>
    <col min="14850" max="14850" width="17.8984375" style="24" bestFit="1" customWidth="1"/>
    <col min="14851" max="14851" width="23.59765625" style="24" customWidth="1"/>
    <col min="14852" max="14852" width="18.19921875" style="24" customWidth="1"/>
    <col min="14853" max="14853" width="5.19921875" style="24" bestFit="1" customWidth="1"/>
    <col min="14854" max="14854" width="9" style="24"/>
    <col min="14855" max="14855" width="11.8984375" style="24" customWidth="1"/>
    <col min="14856" max="14856" width="13.59765625" style="24" customWidth="1"/>
    <col min="14857" max="14857" width="12.69921875" style="24" customWidth="1"/>
    <col min="14858" max="15104" width="9" style="24"/>
    <col min="15105" max="15105" width="5" style="24" customWidth="1"/>
    <col min="15106" max="15106" width="17.8984375" style="24" bestFit="1" customWidth="1"/>
    <col min="15107" max="15107" width="23.59765625" style="24" customWidth="1"/>
    <col min="15108" max="15108" width="18.19921875" style="24" customWidth="1"/>
    <col min="15109" max="15109" width="5.19921875" style="24" bestFit="1" customWidth="1"/>
    <col min="15110" max="15110" width="9" style="24"/>
    <col min="15111" max="15111" width="11.8984375" style="24" customWidth="1"/>
    <col min="15112" max="15112" width="13.59765625" style="24" customWidth="1"/>
    <col min="15113" max="15113" width="12.69921875" style="24" customWidth="1"/>
    <col min="15114" max="15360" width="9" style="24"/>
    <col min="15361" max="15361" width="5" style="24" customWidth="1"/>
    <col min="15362" max="15362" width="17.8984375" style="24" bestFit="1" customWidth="1"/>
    <col min="15363" max="15363" width="23.59765625" style="24" customWidth="1"/>
    <col min="15364" max="15364" width="18.19921875" style="24" customWidth="1"/>
    <col min="15365" max="15365" width="5.19921875" style="24" bestFit="1" customWidth="1"/>
    <col min="15366" max="15366" width="9" style="24"/>
    <col min="15367" max="15367" width="11.8984375" style="24" customWidth="1"/>
    <col min="15368" max="15368" width="13.59765625" style="24" customWidth="1"/>
    <col min="15369" max="15369" width="12.69921875" style="24" customWidth="1"/>
    <col min="15370" max="15616" width="9" style="24"/>
    <col min="15617" max="15617" width="5" style="24" customWidth="1"/>
    <col min="15618" max="15618" width="17.8984375" style="24" bestFit="1" customWidth="1"/>
    <col min="15619" max="15619" width="23.59765625" style="24" customWidth="1"/>
    <col min="15620" max="15620" width="18.19921875" style="24" customWidth="1"/>
    <col min="15621" max="15621" width="5.19921875" style="24" bestFit="1" customWidth="1"/>
    <col min="15622" max="15622" width="9" style="24"/>
    <col min="15623" max="15623" width="11.8984375" style="24" customWidth="1"/>
    <col min="15624" max="15624" width="13.59765625" style="24" customWidth="1"/>
    <col min="15625" max="15625" width="12.69921875" style="24" customWidth="1"/>
    <col min="15626" max="15872" width="9" style="24"/>
    <col min="15873" max="15873" width="5" style="24" customWidth="1"/>
    <col min="15874" max="15874" width="17.8984375" style="24" bestFit="1" customWidth="1"/>
    <col min="15875" max="15875" width="23.59765625" style="24" customWidth="1"/>
    <col min="15876" max="15876" width="18.19921875" style="24" customWidth="1"/>
    <col min="15877" max="15877" width="5.19921875" style="24" bestFit="1" customWidth="1"/>
    <col min="15878" max="15878" width="9" style="24"/>
    <col min="15879" max="15879" width="11.8984375" style="24" customWidth="1"/>
    <col min="15880" max="15880" width="13.59765625" style="24" customWidth="1"/>
    <col min="15881" max="15881" width="12.69921875" style="24" customWidth="1"/>
    <col min="15882" max="16128" width="9" style="24"/>
    <col min="16129" max="16129" width="5" style="24" customWidth="1"/>
    <col min="16130" max="16130" width="17.8984375" style="24" bestFit="1" customWidth="1"/>
    <col min="16131" max="16131" width="23.59765625" style="24" customWidth="1"/>
    <col min="16132" max="16132" width="18.19921875" style="24" customWidth="1"/>
    <col min="16133" max="16133" width="5.19921875" style="24" bestFit="1" customWidth="1"/>
    <col min="16134" max="16134" width="9" style="24"/>
    <col min="16135" max="16135" width="11.8984375" style="24" customWidth="1"/>
    <col min="16136" max="16136" width="13.59765625" style="24" customWidth="1"/>
    <col min="16137" max="16137" width="12.69921875" style="24" customWidth="1"/>
    <col min="16138" max="16384" width="9" style="24"/>
  </cols>
  <sheetData>
    <row r="1" spans="1:9" ht="22.5" customHeight="1">
      <c r="B1" s="201" t="s">
        <v>145</v>
      </c>
      <c r="C1" s="266"/>
      <c r="F1" s="290"/>
      <c r="I1" s="24" t="s">
        <v>118</v>
      </c>
    </row>
    <row r="2" spans="1:9" s="26" customFormat="1" ht="16.5" customHeight="1">
      <c r="A2" s="337" t="s">
        <v>119</v>
      </c>
      <c r="B2" s="339"/>
      <c r="C2" s="275" t="s">
        <v>120</v>
      </c>
      <c r="D2" s="125" t="s">
        <v>121</v>
      </c>
      <c r="E2" s="125" t="s">
        <v>38</v>
      </c>
      <c r="F2" s="249" t="s">
        <v>39</v>
      </c>
      <c r="G2" s="249" t="s">
        <v>122</v>
      </c>
      <c r="H2" s="249" t="s">
        <v>123</v>
      </c>
      <c r="I2" s="125" t="s">
        <v>124</v>
      </c>
    </row>
    <row r="3" spans="1:9" ht="15.9" customHeight="1">
      <c r="A3" s="429" t="s">
        <v>125</v>
      </c>
      <c r="B3" s="206" t="s">
        <v>126</v>
      </c>
      <c r="C3" s="227"/>
      <c r="D3" s="227"/>
      <c r="E3" s="227"/>
      <c r="F3" s="230"/>
      <c r="G3" s="230"/>
      <c r="H3" s="231">
        <f>IF(F3=0,G3,G3*F3)</f>
        <v>0</v>
      </c>
      <c r="I3" s="232"/>
    </row>
    <row r="4" spans="1:9" ht="15.9" customHeight="1">
      <c r="A4" s="433"/>
      <c r="B4" s="206"/>
      <c r="C4" s="213"/>
      <c r="D4" s="213"/>
      <c r="E4" s="213"/>
      <c r="F4" s="216"/>
      <c r="G4" s="216"/>
      <c r="H4" s="165">
        <f>IF(F4=0,G4,G4*F4)</f>
        <v>0</v>
      </c>
      <c r="I4" s="39"/>
    </row>
    <row r="5" spans="1:9" ht="15.9" customHeight="1">
      <c r="A5" s="433"/>
      <c r="B5" s="206"/>
      <c r="C5" s="213"/>
      <c r="D5" s="213"/>
      <c r="E5" s="213"/>
      <c r="F5" s="216"/>
      <c r="G5" s="216"/>
      <c r="H5" s="165">
        <f t="shared" ref="H5:H76" si="0">IF(F5=0,G5,G5*F5)</f>
        <v>0</v>
      </c>
      <c r="I5" s="39"/>
    </row>
    <row r="6" spans="1:9" ht="15.9" customHeight="1">
      <c r="A6" s="433"/>
      <c r="B6" s="206"/>
      <c r="C6" s="213"/>
      <c r="D6" s="213"/>
      <c r="E6" s="213"/>
      <c r="F6" s="216"/>
      <c r="G6" s="216"/>
      <c r="H6" s="165">
        <f t="shared" si="0"/>
        <v>0</v>
      </c>
      <c r="I6" s="39"/>
    </row>
    <row r="7" spans="1:9" ht="15.9" customHeight="1">
      <c r="A7" s="433"/>
      <c r="B7" s="206"/>
      <c r="C7" s="213"/>
      <c r="D7" s="213"/>
      <c r="E7" s="213"/>
      <c r="F7" s="216"/>
      <c r="G7" s="216"/>
      <c r="H7" s="165">
        <f t="shared" si="0"/>
        <v>0</v>
      </c>
      <c r="I7" s="39"/>
    </row>
    <row r="8" spans="1:9" ht="15.9" customHeight="1">
      <c r="A8" s="433"/>
      <c r="B8" s="206"/>
      <c r="C8" s="213"/>
      <c r="D8" s="213"/>
      <c r="E8" s="213"/>
      <c r="F8" s="216"/>
      <c r="G8" s="216"/>
      <c r="H8" s="165">
        <f t="shared" si="0"/>
        <v>0</v>
      </c>
      <c r="I8" s="39"/>
    </row>
    <row r="9" spans="1:9" ht="15.9" customHeight="1">
      <c r="A9" s="433"/>
      <c r="B9" s="206"/>
      <c r="C9" s="213"/>
      <c r="D9" s="213"/>
      <c r="E9" s="213"/>
      <c r="F9" s="216"/>
      <c r="G9" s="216"/>
      <c r="H9" s="165">
        <f t="shared" si="0"/>
        <v>0</v>
      </c>
      <c r="I9" s="39"/>
    </row>
    <row r="10" spans="1:9" ht="15.9" customHeight="1">
      <c r="A10" s="433"/>
      <c r="B10" s="206"/>
      <c r="C10" s="213"/>
      <c r="D10" s="213"/>
      <c r="E10" s="213"/>
      <c r="F10" s="216"/>
      <c r="G10" s="216"/>
      <c r="H10" s="165">
        <f t="shared" si="0"/>
        <v>0</v>
      </c>
      <c r="I10" s="39"/>
    </row>
    <row r="11" spans="1:9" ht="15.9" customHeight="1">
      <c r="A11" s="433"/>
      <c r="B11" s="206"/>
      <c r="C11" s="213"/>
      <c r="D11" s="213"/>
      <c r="E11" s="213"/>
      <c r="F11" s="216"/>
      <c r="G11" s="216"/>
      <c r="H11" s="165">
        <f t="shared" si="0"/>
        <v>0</v>
      </c>
      <c r="I11" s="39"/>
    </row>
    <row r="12" spans="1:9" ht="15.9" customHeight="1">
      <c r="A12" s="433"/>
      <c r="B12" s="206"/>
      <c r="C12" s="213"/>
      <c r="D12" s="213"/>
      <c r="E12" s="213"/>
      <c r="F12" s="216"/>
      <c r="G12" s="216"/>
      <c r="H12" s="165">
        <f t="shared" si="0"/>
        <v>0</v>
      </c>
      <c r="I12" s="39"/>
    </row>
    <row r="13" spans="1:9" ht="15.9" customHeight="1">
      <c r="A13" s="433"/>
      <c r="B13" s="206"/>
      <c r="C13" s="213"/>
      <c r="D13" s="213"/>
      <c r="E13" s="213"/>
      <c r="F13" s="216"/>
      <c r="G13" s="216"/>
      <c r="H13" s="165">
        <f t="shared" si="0"/>
        <v>0</v>
      </c>
      <c r="I13" s="39"/>
    </row>
    <row r="14" spans="1:9" ht="15.9" customHeight="1">
      <c r="A14" s="433"/>
      <c r="B14" s="206"/>
      <c r="C14" s="213"/>
      <c r="D14" s="213"/>
      <c r="E14" s="213"/>
      <c r="F14" s="216"/>
      <c r="G14" s="216"/>
      <c r="H14" s="165">
        <f t="shared" si="0"/>
        <v>0</v>
      </c>
      <c r="I14" s="39"/>
    </row>
    <row r="15" spans="1:9" ht="15.9" customHeight="1">
      <c r="A15" s="433"/>
      <c r="B15" s="206"/>
      <c r="C15" s="213"/>
      <c r="D15" s="213"/>
      <c r="E15" s="213"/>
      <c r="F15" s="216"/>
      <c r="G15" s="216"/>
      <c r="H15" s="165">
        <f t="shared" si="0"/>
        <v>0</v>
      </c>
      <c r="I15" s="39"/>
    </row>
    <row r="16" spans="1:9" ht="15.9" customHeight="1">
      <c r="A16" s="433"/>
      <c r="B16" s="206"/>
      <c r="C16" s="213"/>
      <c r="D16" s="213"/>
      <c r="E16" s="213"/>
      <c r="F16" s="216"/>
      <c r="G16" s="216"/>
      <c r="H16" s="165">
        <f t="shared" si="0"/>
        <v>0</v>
      </c>
      <c r="I16" s="39"/>
    </row>
    <row r="17" spans="1:9" ht="15.9" customHeight="1">
      <c r="A17" s="433"/>
      <c r="B17" s="206"/>
      <c r="C17" s="213"/>
      <c r="D17" s="213"/>
      <c r="E17" s="213"/>
      <c r="F17" s="216"/>
      <c r="G17" s="216"/>
      <c r="H17" s="165">
        <f t="shared" si="0"/>
        <v>0</v>
      </c>
      <c r="I17" s="39"/>
    </row>
    <row r="18" spans="1:9" ht="15.9" customHeight="1">
      <c r="A18" s="433"/>
      <c r="B18" s="206"/>
      <c r="C18" s="213"/>
      <c r="D18" s="213"/>
      <c r="E18" s="213"/>
      <c r="F18" s="216"/>
      <c r="G18" s="216"/>
      <c r="H18" s="165">
        <f t="shared" si="0"/>
        <v>0</v>
      </c>
      <c r="I18" s="39"/>
    </row>
    <row r="19" spans="1:9" ht="15.9" customHeight="1">
      <c r="A19" s="433"/>
      <c r="B19" s="206"/>
      <c r="C19" s="213"/>
      <c r="D19" s="213"/>
      <c r="E19" s="213"/>
      <c r="F19" s="216"/>
      <c r="G19" s="216"/>
      <c r="H19" s="165">
        <f t="shared" si="0"/>
        <v>0</v>
      </c>
      <c r="I19" s="39"/>
    </row>
    <row r="20" spans="1:9" ht="15.9" customHeight="1">
      <c r="A20" s="433"/>
      <c r="B20" s="206"/>
      <c r="C20" s="213"/>
      <c r="D20" s="213"/>
      <c r="E20" s="213"/>
      <c r="F20" s="216"/>
      <c r="G20" s="216"/>
      <c r="H20" s="165">
        <f t="shared" si="0"/>
        <v>0</v>
      </c>
      <c r="I20" s="39"/>
    </row>
    <row r="21" spans="1:9" ht="15.9" customHeight="1">
      <c r="A21" s="433"/>
      <c r="B21" s="206"/>
      <c r="C21" s="213"/>
      <c r="D21" s="213"/>
      <c r="E21" s="213"/>
      <c r="F21" s="216"/>
      <c r="G21" s="216"/>
      <c r="H21" s="165">
        <f t="shared" si="0"/>
        <v>0</v>
      </c>
      <c r="I21" s="39"/>
    </row>
    <row r="22" spans="1:9" ht="15.9" customHeight="1">
      <c r="A22" s="433"/>
      <c r="B22" s="206"/>
      <c r="C22" s="213"/>
      <c r="D22" s="213"/>
      <c r="E22" s="213"/>
      <c r="F22" s="216"/>
      <c r="G22" s="216"/>
      <c r="H22" s="165">
        <f t="shared" si="0"/>
        <v>0</v>
      </c>
      <c r="I22" s="39"/>
    </row>
    <row r="23" spans="1:9" ht="15.9" customHeight="1">
      <c r="A23" s="433"/>
      <c r="B23" s="206"/>
      <c r="C23" s="217" t="s">
        <v>129</v>
      </c>
      <c r="D23" s="234"/>
      <c r="E23" s="234"/>
      <c r="F23" s="236"/>
      <c r="G23" s="236"/>
      <c r="H23" s="237">
        <f t="shared" si="0"/>
        <v>0</v>
      </c>
      <c r="I23" s="238"/>
    </row>
    <row r="24" spans="1:9" ht="15.9" customHeight="1">
      <c r="A24" s="433"/>
      <c r="B24" s="221"/>
      <c r="C24" s="240"/>
      <c r="D24" s="240"/>
      <c r="E24" s="240"/>
      <c r="F24" s="243"/>
      <c r="G24" s="243"/>
      <c r="H24" s="244">
        <f>SUM(H3:H23)</f>
        <v>0</v>
      </c>
      <c r="I24" s="240"/>
    </row>
    <row r="25" spans="1:9" ht="15.9" customHeight="1">
      <c r="A25" s="433"/>
      <c r="B25" s="206" t="s">
        <v>147</v>
      </c>
      <c r="C25" s="207"/>
      <c r="D25" s="207"/>
      <c r="E25" s="207"/>
      <c r="F25" s="210"/>
      <c r="G25" s="210"/>
      <c r="H25" s="211">
        <f t="shared" si="0"/>
        <v>0</v>
      </c>
      <c r="I25" s="212"/>
    </row>
    <row r="26" spans="1:9" ht="15.9" customHeight="1">
      <c r="A26" s="433"/>
      <c r="B26" s="206" t="s">
        <v>148</v>
      </c>
      <c r="C26" s="213"/>
      <c r="D26" s="213"/>
      <c r="E26" s="213"/>
      <c r="F26" s="216"/>
      <c r="G26" s="216"/>
      <c r="H26" s="165">
        <f t="shared" si="0"/>
        <v>0</v>
      </c>
      <c r="I26" s="39"/>
    </row>
    <row r="27" spans="1:9" ht="15.9" customHeight="1">
      <c r="A27" s="433"/>
      <c r="B27" s="206"/>
      <c r="C27" s="213"/>
      <c r="D27" s="213"/>
      <c r="E27" s="213"/>
      <c r="F27" s="216"/>
      <c r="G27" s="216"/>
      <c r="H27" s="165">
        <f t="shared" si="0"/>
        <v>0</v>
      </c>
      <c r="I27" s="39"/>
    </row>
    <row r="28" spans="1:9" ht="15.9" customHeight="1">
      <c r="A28" s="433"/>
      <c r="B28" s="206"/>
      <c r="C28" s="213"/>
      <c r="D28" s="213"/>
      <c r="E28" s="213"/>
      <c r="F28" s="216"/>
      <c r="G28" s="216"/>
      <c r="H28" s="165">
        <f t="shared" si="0"/>
        <v>0</v>
      </c>
      <c r="I28" s="39"/>
    </row>
    <row r="29" spans="1:9" ht="15.9" customHeight="1">
      <c r="A29" s="433"/>
      <c r="B29" s="206"/>
      <c r="C29" s="234"/>
      <c r="D29" s="234"/>
      <c r="E29" s="234"/>
      <c r="F29" s="236"/>
      <c r="G29" s="236"/>
      <c r="H29" s="165">
        <f t="shared" si="0"/>
        <v>0</v>
      </c>
      <c r="I29" s="238"/>
    </row>
    <row r="30" spans="1:9" ht="15.9" customHeight="1">
      <c r="A30" s="433"/>
      <c r="B30" s="206"/>
      <c r="C30" s="234"/>
      <c r="D30" s="234"/>
      <c r="E30" s="234"/>
      <c r="F30" s="236"/>
      <c r="G30" s="236"/>
      <c r="H30" s="165">
        <f t="shared" si="0"/>
        <v>0</v>
      </c>
      <c r="I30" s="238"/>
    </row>
    <row r="31" spans="1:9" ht="15.9" customHeight="1">
      <c r="A31" s="433"/>
      <c r="B31" s="206"/>
      <c r="C31" s="234"/>
      <c r="D31" s="234"/>
      <c r="E31" s="234"/>
      <c r="F31" s="236"/>
      <c r="G31" s="236"/>
      <c r="H31" s="165">
        <f t="shared" si="0"/>
        <v>0</v>
      </c>
      <c r="I31" s="238"/>
    </row>
    <row r="32" spans="1:9" ht="15.9" customHeight="1">
      <c r="A32" s="433"/>
      <c r="B32" s="206"/>
      <c r="C32" s="234"/>
      <c r="D32" s="234"/>
      <c r="E32" s="234"/>
      <c r="F32" s="236"/>
      <c r="G32" s="236"/>
      <c r="H32" s="165">
        <f t="shared" si="0"/>
        <v>0</v>
      </c>
      <c r="I32" s="238"/>
    </row>
    <row r="33" spans="1:9" ht="15.9" customHeight="1">
      <c r="A33" s="433"/>
      <c r="B33" s="206"/>
      <c r="C33" s="234"/>
      <c r="D33" s="234"/>
      <c r="E33" s="234"/>
      <c r="F33" s="236"/>
      <c r="G33" s="236"/>
      <c r="H33" s="165">
        <f t="shared" si="0"/>
        <v>0</v>
      </c>
      <c r="I33" s="238"/>
    </row>
    <row r="34" spans="1:9" ht="15.9" customHeight="1">
      <c r="A34" s="433"/>
      <c r="B34" s="206"/>
      <c r="C34" s="217" t="s">
        <v>129</v>
      </c>
      <c r="D34" s="217"/>
      <c r="E34" s="217"/>
      <c r="F34" s="220"/>
      <c r="G34" s="220"/>
      <c r="H34" s="165">
        <f t="shared" si="0"/>
        <v>0</v>
      </c>
      <c r="I34" s="42"/>
    </row>
    <row r="35" spans="1:9" ht="15.9" customHeight="1">
      <c r="A35" s="433"/>
      <c r="B35" s="221"/>
      <c r="C35" s="222"/>
      <c r="D35" s="223"/>
      <c r="E35" s="223"/>
      <c r="F35" s="291"/>
      <c r="G35" s="225"/>
      <c r="H35" s="49">
        <f>SUM(H25:H34)</f>
        <v>0</v>
      </c>
      <c r="I35" s="46"/>
    </row>
    <row r="36" spans="1:9" ht="15.9" customHeight="1">
      <c r="A36" s="433"/>
      <c r="B36" s="245" t="s">
        <v>149</v>
      </c>
      <c r="C36" s="227"/>
      <c r="D36" s="227"/>
      <c r="E36" s="227"/>
      <c r="F36" s="230"/>
      <c r="G36" s="230"/>
      <c r="H36" s="231">
        <f t="shared" si="0"/>
        <v>0</v>
      </c>
      <c r="I36" s="232"/>
    </row>
    <row r="37" spans="1:9" ht="15.9" customHeight="1">
      <c r="A37" s="433"/>
      <c r="B37" s="206" t="s">
        <v>150</v>
      </c>
      <c r="C37" s="213"/>
      <c r="D37" s="213"/>
      <c r="E37" s="213"/>
      <c r="F37" s="216"/>
      <c r="G37" s="216"/>
      <c r="H37" s="165">
        <f t="shared" si="0"/>
        <v>0</v>
      </c>
      <c r="I37" s="39"/>
    </row>
    <row r="38" spans="1:9" ht="15.9" customHeight="1">
      <c r="A38" s="433"/>
      <c r="B38" s="206"/>
      <c r="C38" s="213"/>
      <c r="D38" s="213"/>
      <c r="E38" s="213"/>
      <c r="F38" s="216"/>
      <c r="G38" s="216"/>
      <c r="H38" s="165">
        <f t="shared" si="0"/>
        <v>0</v>
      </c>
      <c r="I38" s="39"/>
    </row>
    <row r="39" spans="1:9" ht="15.9" customHeight="1">
      <c r="A39" s="433"/>
      <c r="B39" s="206"/>
      <c r="C39" s="213"/>
      <c r="D39" s="213"/>
      <c r="E39" s="213"/>
      <c r="F39" s="216"/>
      <c r="G39" s="216"/>
      <c r="H39" s="165">
        <f t="shared" si="0"/>
        <v>0</v>
      </c>
      <c r="I39" s="39"/>
    </row>
    <row r="40" spans="1:9" ht="15.9" customHeight="1">
      <c r="A40" s="433"/>
      <c r="B40" s="206"/>
      <c r="C40" s="213"/>
      <c r="D40" s="213"/>
      <c r="E40" s="213"/>
      <c r="F40" s="216"/>
      <c r="G40" s="216"/>
      <c r="H40" s="165">
        <f t="shared" si="0"/>
        <v>0</v>
      </c>
      <c r="I40" s="39"/>
    </row>
    <row r="41" spans="1:9" ht="15.9" customHeight="1">
      <c r="A41" s="433"/>
      <c r="B41" s="206"/>
      <c r="C41" s="213"/>
      <c r="D41" s="213"/>
      <c r="E41" s="213"/>
      <c r="F41" s="216"/>
      <c r="G41" s="216"/>
      <c r="H41" s="165">
        <f t="shared" si="0"/>
        <v>0</v>
      </c>
      <c r="I41" s="39"/>
    </row>
    <row r="42" spans="1:9" ht="15.9" customHeight="1">
      <c r="A42" s="433"/>
      <c r="B42" s="206"/>
      <c r="C42" s="213"/>
      <c r="D42" s="213"/>
      <c r="E42" s="213"/>
      <c r="F42" s="216"/>
      <c r="G42" s="216"/>
      <c r="H42" s="165">
        <f t="shared" si="0"/>
        <v>0</v>
      </c>
      <c r="I42" s="39"/>
    </row>
    <row r="43" spans="1:9" ht="15.9" customHeight="1">
      <c r="A43" s="433"/>
      <c r="B43" s="206"/>
      <c r="C43" s="213"/>
      <c r="D43" s="213"/>
      <c r="E43" s="213"/>
      <c r="F43" s="216"/>
      <c r="G43" s="216"/>
      <c r="H43" s="165">
        <f t="shared" si="0"/>
        <v>0</v>
      </c>
      <c r="I43" s="39"/>
    </row>
    <row r="44" spans="1:9" ht="15.9" customHeight="1">
      <c r="A44" s="433"/>
      <c r="B44" s="206"/>
      <c r="C44" s="213"/>
      <c r="D44" s="213"/>
      <c r="E44" s="213"/>
      <c r="F44" s="216"/>
      <c r="G44" s="216"/>
      <c r="H44" s="165">
        <f t="shared" si="0"/>
        <v>0</v>
      </c>
      <c r="I44" s="39"/>
    </row>
    <row r="45" spans="1:9" ht="15.9" customHeight="1">
      <c r="A45" s="433"/>
      <c r="B45" s="206"/>
      <c r="C45" s="213"/>
      <c r="D45" s="213"/>
      <c r="E45" s="213"/>
      <c r="F45" s="216"/>
      <c r="G45" s="216"/>
      <c r="H45" s="165">
        <f t="shared" si="0"/>
        <v>0</v>
      </c>
      <c r="I45" s="39"/>
    </row>
    <row r="46" spans="1:9" ht="15.9" customHeight="1">
      <c r="A46" s="433"/>
      <c r="B46" s="206"/>
      <c r="C46" s="213"/>
      <c r="D46" s="213"/>
      <c r="E46" s="213"/>
      <c r="F46" s="216"/>
      <c r="G46" s="216"/>
      <c r="H46" s="165">
        <f t="shared" si="0"/>
        <v>0</v>
      </c>
      <c r="I46" s="39"/>
    </row>
    <row r="47" spans="1:9" ht="15.9" customHeight="1">
      <c r="A47" s="433"/>
      <c r="B47" s="206"/>
      <c r="C47" s="213"/>
      <c r="D47" s="213"/>
      <c r="E47" s="213"/>
      <c r="F47" s="216"/>
      <c r="G47" s="216"/>
      <c r="H47" s="165">
        <f t="shared" si="0"/>
        <v>0</v>
      </c>
      <c r="I47" s="39"/>
    </row>
    <row r="48" spans="1:9" ht="15.9" customHeight="1">
      <c r="A48" s="433"/>
      <c r="B48" s="206"/>
      <c r="C48" s="213"/>
      <c r="D48" s="213"/>
      <c r="E48" s="213"/>
      <c r="F48" s="216"/>
      <c r="G48" s="216"/>
      <c r="H48" s="165">
        <f t="shared" si="0"/>
        <v>0</v>
      </c>
      <c r="I48" s="39"/>
    </row>
    <row r="49" spans="1:9" ht="15.9" customHeight="1">
      <c r="A49" s="433"/>
      <c r="B49" s="206"/>
      <c r="C49" s="213"/>
      <c r="D49" s="213"/>
      <c r="E49" s="213"/>
      <c r="F49" s="216"/>
      <c r="G49" s="216"/>
      <c r="H49" s="165">
        <f t="shared" si="0"/>
        <v>0</v>
      </c>
      <c r="I49" s="39"/>
    </row>
    <row r="50" spans="1:9" ht="15.9" customHeight="1">
      <c r="A50" s="433"/>
      <c r="B50" s="206"/>
      <c r="C50" s="213"/>
      <c r="D50" s="213"/>
      <c r="E50" s="213"/>
      <c r="F50" s="216"/>
      <c r="G50" s="216"/>
      <c r="H50" s="165">
        <f t="shared" si="0"/>
        <v>0</v>
      </c>
      <c r="I50" s="39"/>
    </row>
    <row r="51" spans="1:9" ht="15.9" customHeight="1">
      <c r="A51" s="433"/>
      <c r="B51" s="206"/>
      <c r="C51" s="213"/>
      <c r="D51" s="213"/>
      <c r="E51" s="213"/>
      <c r="F51" s="216"/>
      <c r="G51" s="216"/>
      <c r="H51" s="165">
        <f t="shared" si="0"/>
        <v>0</v>
      </c>
      <c r="I51" s="39"/>
    </row>
    <row r="52" spans="1:9" ht="15.9" customHeight="1">
      <c r="A52" s="433"/>
      <c r="B52" s="206"/>
      <c r="C52" s="213"/>
      <c r="D52" s="213"/>
      <c r="E52" s="213"/>
      <c r="F52" s="216"/>
      <c r="G52" s="216"/>
      <c r="H52" s="165">
        <f t="shared" si="0"/>
        <v>0</v>
      </c>
      <c r="I52" s="39"/>
    </row>
    <row r="53" spans="1:9" ht="15.9" customHeight="1">
      <c r="A53" s="433"/>
      <c r="B53" s="206"/>
      <c r="C53" s="213"/>
      <c r="D53" s="213"/>
      <c r="E53" s="213"/>
      <c r="F53" s="216"/>
      <c r="G53" s="216"/>
      <c r="H53" s="165">
        <f t="shared" si="0"/>
        <v>0</v>
      </c>
      <c r="I53" s="39"/>
    </row>
    <row r="54" spans="1:9" ht="15.9" customHeight="1">
      <c r="A54" s="433"/>
      <c r="B54" s="206"/>
      <c r="C54" s="213"/>
      <c r="D54" s="213"/>
      <c r="E54" s="213"/>
      <c r="F54" s="216"/>
      <c r="G54" s="216"/>
      <c r="H54" s="165">
        <f t="shared" si="0"/>
        <v>0</v>
      </c>
      <c r="I54" s="39"/>
    </row>
    <row r="55" spans="1:9" ht="15.9" customHeight="1">
      <c r="A55" s="433"/>
      <c r="B55" s="206"/>
      <c r="C55" s="217" t="s">
        <v>129</v>
      </c>
      <c r="D55" s="217"/>
      <c r="E55" s="217"/>
      <c r="F55" s="220"/>
      <c r="G55" s="220"/>
      <c r="H55" s="175">
        <f t="shared" si="0"/>
        <v>0</v>
      </c>
      <c r="I55" s="42"/>
    </row>
    <row r="56" spans="1:9" ht="15.9" customHeight="1">
      <c r="A56" s="433"/>
      <c r="B56" s="221"/>
      <c r="C56" s="222"/>
      <c r="D56" s="223"/>
      <c r="E56" s="223"/>
      <c r="F56" s="225"/>
      <c r="G56" s="225"/>
      <c r="H56" s="49">
        <f>SUM(H36:H55)</f>
        <v>0</v>
      </c>
      <c r="I56" s="46"/>
    </row>
    <row r="57" spans="1:9" ht="15.9" customHeight="1">
      <c r="A57" s="433"/>
      <c r="B57" s="245" t="s">
        <v>51</v>
      </c>
      <c r="C57" s="227"/>
      <c r="D57" s="227"/>
      <c r="E57" s="227"/>
      <c r="F57" s="230"/>
      <c r="G57" s="230"/>
      <c r="H57" s="231">
        <f t="shared" si="0"/>
        <v>0</v>
      </c>
      <c r="I57" s="232"/>
    </row>
    <row r="58" spans="1:9" ht="15.9" customHeight="1">
      <c r="A58" s="433"/>
      <c r="B58" s="206"/>
      <c r="C58" s="213"/>
      <c r="D58" s="213"/>
      <c r="E58" s="213"/>
      <c r="F58" s="216"/>
      <c r="G58" s="216"/>
      <c r="H58" s="165">
        <f t="shared" si="0"/>
        <v>0</v>
      </c>
      <c r="I58" s="39"/>
    </row>
    <row r="59" spans="1:9" ht="15.9" customHeight="1">
      <c r="A59" s="433"/>
      <c r="B59" s="206"/>
      <c r="C59" s="213"/>
      <c r="D59" s="213"/>
      <c r="E59" s="213"/>
      <c r="F59" s="216"/>
      <c r="G59" s="216"/>
      <c r="H59" s="165">
        <f t="shared" si="0"/>
        <v>0</v>
      </c>
      <c r="I59" s="39"/>
    </row>
    <row r="60" spans="1:9" ht="15.9" customHeight="1">
      <c r="A60" s="433"/>
      <c r="B60" s="206"/>
      <c r="C60" s="213"/>
      <c r="D60" s="213"/>
      <c r="E60" s="213"/>
      <c r="F60" s="216"/>
      <c r="G60" s="216"/>
      <c r="H60" s="165">
        <f t="shared" si="0"/>
        <v>0</v>
      </c>
      <c r="I60" s="39"/>
    </row>
    <row r="61" spans="1:9" ht="15.9" customHeight="1">
      <c r="A61" s="433"/>
      <c r="B61" s="206"/>
      <c r="C61" s="213"/>
      <c r="D61" s="213"/>
      <c r="E61" s="213"/>
      <c r="F61" s="216"/>
      <c r="G61" s="216"/>
      <c r="H61" s="165">
        <f t="shared" si="0"/>
        <v>0</v>
      </c>
      <c r="I61" s="39"/>
    </row>
    <row r="62" spans="1:9" ht="15.9" customHeight="1">
      <c r="A62" s="433"/>
      <c r="B62" s="206"/>
      <c r="C62" s="213"/>
      <c r="D62" s="213"/>
      <c r="E62" s="213"/>
      <c r="F62" s="216"/>
      <c r="G62" s="216"/>
      <c r="H62" s="165">
        <f t="shared" si="0"/>
        <v>0</v>
      </c>
      <c r="I62" s="39"/>
    </row>
    <row r="63" spans="1:9" ht="15.9" customHeight="1">
      <c r="A63" s="433"/>
      <c r="B63" s="206"/>
      <c r="C63" s="234"/>
      <c r="D63" s="234"/>
      <c r="E63" s="234"/>
      <c r="F63" s="236"/>
      <c r="G63" s="236"/>
      <c r="H63" s="165">
        <f t="shared" si="0"/>
        <v>0</v>
      </c>
      <c r="I63" s="238"/>
    </row>
    <row r="64" spans="1:9" ht="15.9" customHeight="1">
      <c r="A64" s="433"/>
      <c r="B64" s="206"/>
      <c r="C64" s="234"/>
      <c r="D64" s="234"/>
      <c r="E64" s="234"/>
      <c r="F64" s="236"/>
      <c r="G64" s="236"/>
      <c r="H64" s="165">
        <f t="shared" si="0"/>
        <v>0</v>
      </c>
      <c r="I64" s="238"/>
    </row>
    <row r="65" spans="1:9" ht="15.9" customHeight="1">
      <c r="A65" s="433"/>
      <c r="B65" s="206"/>
      <c r="C65" s="234"/>
      <c r="D65" s="234"/>
      <c r="E65" s="234"/>
      <c r="F65" s="236"/>
      <c r="G65" s="236"/>
      <c r="H65" s="165">
        <f t="shared" si="0"/>
        <v>0</v>
      </c>
      <c r="I65" s="238"/>
    </row>
    <row r="66" spans="1:9" ht="15.9" customHeight="1">
      <c r="A66" s="433"/>
      <c r="B66" s="206"/>
      <c r="C66" s="234"/>
      <c r="D66" s="234"/>
      <c r="E66" s="234"/>
      <c r="F66" s="236"/>
      <c r="G66" s="236"/>
      <c r="H66" s="165">
        <f t="shared" si="0"/>
        <v>0</v>
      </c>
      <c r="I66" s="238"/>
    </row>
    <row r="67" spans="1:9" ht="15.9" customHeight="1">
      <c r="A67" s="433"/>
      <c r="B67" s="206"/>
      <c r="C67" s="234"/>
      <c r="D67" s="234"/>
      <c r="E67" s="234"/>
      <c r="F67" s="236"/>
      <c r="G67" s="236"/>
      <c r="H67" s="165">
        <f t="shared" si="0"/>
        <v>0</v>
      </c>
      <c r="I67" s="238"/>
    </row>
    <row r="68" spans="1:9" ht="15.9" customHeight="1">
      <c r="A68" s="433"/>
      <c r="B68" s="206"/>
      <c r="C68" s="234"/>
      <c r="D68" s="234"/>
      <c r="E68" s="234"/>
      <c r="F68" s="236"/>
      <c r="G68" s="236"/>
      <c r="H68" s="165">
        <f t="shared" si="0"/>
        <v>0</v>
      </c>
      <c r="I68" s="238"/>
    </row>
    <row r="69" spans="1:9" ht="15.9" customHeight="1">
      <c r="A69" s="433"/>
      <c r="B69" s="206"/>
      <c r="C69" s="234"/>
      <c r="D69" s="234"/>
      <c r="E69" s="234"/>
      <c r="F69" s="236"/>
      <c r="G69" s="236"/>
      <c r="H69" s="165">
        <f t="shared" si="0"/>
        <v>0</v>
      </c>
      <c r="I69" s="238"/>
    </row>
    <row r="70" spans="1:9" ht="15.9" customHeight="1">
      <c r="A70" s="433"/>
      <c r="B70" s="206"/>
      <c r="C70" s="234"/>
      <c r="D70" s="234"/>
      <c r="E70" s="234"/>
      <c r="F70" s="236"/>
      <c r="G70" s="236"/>
      <c r="H70" s="165">
        <f t="shared" si="0"/>
        <v>0</v>
      </c>
      <c r="I70" s="238"/>
    </row>
    <row r="71" spans="1:9" ht="15.9" customHeight="1">
      <c r="A71" s="433"/>
      <c r="B71" s="206"/>
      <c r="C71" s="234"/>
      <c r="D71" s="234"/>
      <c r="E71" s="234"/>
      <c r="F71" s="236"/>
      <c r="G71" s="236"/>
      <c r="H71" s="165">
        <f t="shared" si="0"/>
        <v>0</v>
      </c>
      <c r="I71" s="238"/>
    </row>
    <row r="72" spans="1:9" ht="15.9" customHeight="1">
      <c r="A72" s="433"/>
      <c r="B72" s="206"/>
      <c r="C72" s="234"/>
      <c r="D72" s="234"/>
      <c r="E72" s="234"/>
      <c r="F72" s="236"/>
      <c r="G72" s="236"/>
      <c r="H72" s="165">
        <f t="shared" si="0"/>
        <v>0</v>
      </c>
      <c r="I72" s="238"/>
    </row>
    <row r="73" spans="1:9" ht="15.9" customHeight="1">
      <c r="A73" s="433"/>
      <c r="B73" s="206"/>
      <c r="C73" s="234"/>
      <c r="D73" s="234"/>
      <c r="E73" s="234"/>
      <c r="F73" s="236"/>
      <c r="G73" s="236"/>
      <c r="H73" s="165">
        <f t="shared" si="0"/>
        <v>0</v>
      </c>
      <c r="I73" s="238"/>
    </row>
    <row r="74" spans="1:9" ht="15.9" customHeight="1">
      <c r="A74" s="433"/>
      <c r="B74" s="206"/>
      <c r="C74" s="234"/>
      <c r="D74" s="234"/>
      <c r="E74" s="234"/>
      <c r="F74" s="236"/>
      <c r="G74" s="236"/>
      <c r="H74" s="165">
        <f t="shared" si="0"/>
        <v>0</v>
      </c>
      <c r="I74" s="238"/>
    </row>
    <row r="75" spans="1:9" ht="15.9" customHeight="1">
      <c r="A75" s="433"/>
      <c r="B75" s="206"/>
      <c r="C75" s="234"/>
      <c r="D75" s="234"/>
      <c r="E75" s="234"/>
      <c r="F75" s="236"/>
      <c r="G75" s="236"/>
      <c r="H75" s="165">
        <f t="shared" si="0"/>
        <v>0</v>
      </c>
      <c r="I75" s="238"/>
    </row>
    <row r="76" spans="1:9" ht="15.9" customHeight="1">
      <c r="A76" s="433"/>
      <c r="B76" s="206"/>
      <c r="C76" s="217" t="s">
        <v>129</v>
      </c>
      <c r="D76" s="217"/>
      <c r="E76" s="217"/>
      <c r="F76" s="220"/>
      <c r="G76" s="220"/>
      <c r="H76" s="175">
        <f t="shared" si="0"/>
        <v>0</v>
      </c>
      <c r="I76" s="42"/>
    </row>
    <row r="77" spans="1:9" ht="15.9" customHeight="1">
      <c r="A77" s="433"/>
      <c r="B77" s="221"/>
      <c r="C77" s="222"/>
      <c r="D77" s="223"/>
      <c r="E77" s="223"/>
      <c r="F77" s="225"/>
      <c r="G77" s="225"/>
      <c r="H77" s="49">
        <f>SUM(H57:H76)</f>
        <v>0</v>
      </c>
      <c r="I77" s="46"/>
    </row>
    <row r="78" spans="1:9" ht="15.9" customHeight="1">
      <c r="A78" s="246"/>
      <c r="B78" s="247" t="s">
        <v>131</v>
      </c>
      <c r="C78" s="248"/>
      <c r="D78" s="46"/>
      <c r="E78" s="46"/>
      <c r="F78" s="250"/>
      <c r="G78" s="250"/>
      <c r="H78" s="49">
        <f>SUM(H77,H56,H35,H24)</f>
        <v>0</v>
      </c>
      <c r="I78" s="46"/>
    </row>
    <row r="79" spans="1:9" ht="15.9" customHeight="1">
      <c r="A79" s="429" t="s">
        <v>132</v>
      </c>
      <c r="B79" s="251" t="s">
        <v>57</v>
      </c>
      <c r="C79" s="248"/>
      <c r="D79" s="46"/>
      <c r="E79" s="251" t="s">
        <v>58</v>
      </c>
      <c r="F79" s="265"/>
      <c r="G79" s="254"/>
      <c r="H79" s="255">
        <f>F79*G79</f>
        <v>0</v>
      </c>
      <c r="I79" s="46"/>
    </row>
    <row r="80" spans="1:9" ht="15.9" customHeight="1">
      <c r="A80" s="433"/>
      <c r="B80" s="256" t="s">
        <v>152</v>
      </c>
      <c r="C80" s="257"/>
      <c r="D80" s="232"/>
      <c r="E80" s="256" t="s">
        <v>134</v>
      </c>
      <c r="F80" s="230"/>
      <c r="G80" s="230"/>
      <c r="H80" s="231">
        <f t="shared" ref="H80:H86" si="1">F80*G80</f>
        <v>0</v>
      </c>
      <c r="I80" s="232"/>
    </row>
    <row r="81" spans="1:9" ht="15.9" customHeight="1">
      <c r="A81" s="433"/>
      <c r="B81" s="258" t="s">
        <v>153</v>
      </c>
      <c r="C81" s="259"/>
      <c r="D81" s="39"/>
      <c r="E81" s="258" t="s">
        <v>134</v>
      </c>
      <c r="F81" s="216"/>
      <c r="G81" s="216"/>
      <c r="H81" s="165">
        <f t="shared" si="1"/>
        <v>0</v>
      </c>
      <c r="I81" s="39"/>
    </row>
    <row r="82" spans="1:9" ht="15.9" customHeight="1">
      <c r="A82" s="433"/>
      <c r="B82" s="258" t="s">
        <v>154</v>
      </c>
      <c r="C82" s="259"/>
      <c r="D82" s="39"/>
      <c r="E82" s="258" t="s">
        <v>134</v>
      </c>
      <c r="F82" s="216"/>
      <c r="G82" s="216"/>
      <c r="H82" s="165">
        <f t="shared" si="1"/>
        <v>0</v>
      </c>
      <c r="I82" s="39"/>
    </row>
    <row r="83" spans="1:9" ht="15.9" customHeight="1">
      <c r="A83" s="433"/>
      <c r="B83" s="258" t="s">
        <v>155</v>
      </c>
      <c r="C83" s="259"/>
      <c r="D83" s="39"/>
      <c r="E83" s="258" t="s">
        <v>134</v>
      </c>
      <c r="F83" s="216"/>
      <c r="G83" s="216"/>
      <c r="H83" s="165">
        <f t="shared" si="1"/>
        <v>0</v>
      </c>
      <c r="I83" s="39"/>
    </row>
    <row r="84" spans="1:9" ht="15.9" customHeight="1">
      <c r="A84" s="433"/>
      <c r="B84" s="258" t="s">
        <v>156</v>
      </c>
      <c r="C84" s="259"/>
      <c r="D84" s="39"/>
      <c r="E84" s="258" t="s">
        <v>134</v>
      </c>
      <c r="F84" s="216"/>
      <c r="G84" s="216"/>
      <c r="H84" s="165">
        <f t="shared" si="1"/>
        <v>0</v>
      </c>
      <c r="I84" s="39"/>
    </row>
    <row r="85" spans="1:9" ht="15.9" customHeight="1">
      <c r="A85" s="433"/>
      <c r="B85" s="258" t="s">
        <v>157</v>
      </c>
      <c r="C85" s="259"/>
      <c r="D85" s="39"/>
      <c r="E85" s="258" t="s">
        <v>134</v>
      </c>
      <c r="F85" s="216"/>
      <c r="G85" s="216"/>
      <c r="H85" s="165">
        <f t="shared" si="1"/>
        <v>0</v>
      </c>
      <c r="I85" s="39"/>
    </row>
    <row r="86" spans="1:9" ht="15.9" customHeight="1">
      <c r="A86" s="433"/>
      <c r="B86" s="260" t="s">
        <v>161</v>
      </c>
      <c r="C86" s="261"/>
      <c r="D86" s="42"/>
      <c r="E86" s="260" t="s">
        <v>134</v>
      </c>
      <c r="F86" s="220"/>
      <c r="G86" s="220"/>
      <c r="H86" s="175">
        <f t="shared" si="1"/>
        <v>0</v>
      </c>
      <c r="I86" s="42"/>
    </row>
    <row r="87" spans="1:9" ht="15.9" customHeight="1">
      <c r="A87" s="246"/>
      <c r="B87" s="262" t="s">
        <v>140</v>
      </c>
      <c r="C87" s="248"/>
      <c r="D87" s="46"/>
      <c r="E87" s="46"/>
      <c r="F87" s="225"/>
      <c r="G87" s="225"/>
      <c r="H87" s="225">
        <f>SUM(H79:H86)</f>
        <v>0</v>
      </c>
      <c r="I87" s="223"/>
    </row>
    <row r="88" spans="1:9" ht="15.9" customHeight="1">
      <c r="A88" s="252"/>
      <c r="B88" s="262" t="s">
        <v>159</v>
      </c>
      <c r="C88" s="248"/>
      <c r="D88" s="46"/>
      <c r="E88" s="46"/>
      <c r="F88" s="49"/>
      <c r="G88" s="49"/>
      <c r="H88" s="250">
        <f>'단위공사별(집계)'!L14+'단위공사별(집계)'!I14</f>
        <v>0</v>
      </c>
      <c r="I88" s="46"/>
    </row>
    <row r="89" spans="1:9" ht="15.9" customHeight="1">
      <c r="A89" s="252"/>
      <c r="B89" s="262" t="s">
        <v>83</v>
      </c>
      <c r="C89" s="248"/>
      <c r="D89" s="46"/>
      <c r="E89" s="46"/>
      <c r="F89" s="49"/>
      <c r="G89" s="264"/>
      <c r="H89" s="265">
        <f>(H87+H78)*0.05</f>
        <v>0</v>
      </c>
      <c r="I89" s="248"/>
    </row>
    <row r="90" spans="1:9" ht="15.9" customHeight="1">
      <c r="A90" s="252"/>
      <c r="B90" s="262" t="s">
        <v>143</v>
      </c>
      <c r="C90" s="248"/>
      <c r="D90" s="46"/>
      <c r="E90" s="46"/>
      <c r="F90" s="49"/>
      <c r="G90" s="264"/>
      <c r="H90" s="265">
        <f>(H87+H78)*0.1</f>
        <v>0</v>
      </c>
      <c r="I90" s="248"/>
    </row>
    <row r="91" spans="1:9" ht="15.9" customHeight="1">
      <c r="A91" s="252"/>
      <c r="B91" s="262" t="s">
        <v>144</v>
      </c>
      <c r="C91" s="248"/>
      <c r="D91" s="46"/>
      <c r="E91" s="46"/>
      <c r="F91" s="49"/>
      <c r="G91" s="49"/>
      <c r="H91" s="225">
        <f>H78+H87+H88+H89+H90</f>
        <v>0</v>
      </c>
      <c r="I91" s="46"/>
    </row>
    <row r="92" spans="1:9">
      <c r="A92" s="26"/>
    </row>
  </sheetData>
  <mergeCells count="3">
    <mergeCell ref="A2:B2"/>
    <mergeCell ref="A3:A77"/>
    <mergeCell ref="A79:A86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손철호 책임매니저 통합구매팀 son@hyundai-wia.com 2026-07-07T14:05:14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0DB5-86B4-4DC9-B724-C01112DAD602}">
  <sheetPr>
    <tabColor rgb="FF00B050"/>
    <pageSetUpPr fitToPage="1"/>
  </sheetPr>
  <dimension ref="A1:I92"/>
  <sheetViews>
    <sheetView zoomScale="85" workbookViewId="0">
      <pane xSplit="2" ySplit="2" topLeftCell="C3" activePane="bottomRight" state="frozen"/>
      <selection activeCell="F18" sqref="F18:F27"/>
      <selection pane="topRight" activeCell="F18" sqref="F18:F27"/>
      <selection pane="bottomLeft" activeCell="F18" sqref="F18:F27"/>
      <selection pane="bottomRight" activeCell="F18" sqref="F18:F27"/>
    </sheetView>
  </sheetViews>
  <sheetFormatPr defaultColWidth="9" defaultRowHeight="14.4"/>
  <cols>
    <col min="1" max="1" width="5" style="24" customWidth="1"/>
    <col min="2" max="2" width="17.8984375" style="24" bestFit="1" customWidth="1"/>
    <col min="3" max="3" width="23.59765625" style="24" customWidth="1"/>
    <col min="4" max="4" width="18.19921875" style="24" customWidth="1"/>
    <col min="5" max="5" width="5.19921875" style="24" bestFit="1" customWidth="1"/>
    <col min="6" max="6" width="9" style="48"/>
    <col min="7" max="7" width="11.8984375" style="48" customWidth="1"/>
    <col min="8" max="8" width="13.59765625" style="48" customWidth="1"/>
    <col min="9" max="9" width="12.69921875" style="24" customWidth="1"/>
    <col min="10" max="256" width="9" style="24"/>
    <col min="257" max="257" width="5" style="24" customWidth="1"/>
    <col min="258" max="258" width="17.8984375" style="24" bestFit="1" customWidth="1"/>
    <col min="259" max="259" width="23.59765625" style="24" customWidth="1"/>
    <col min="260" max="260" width="18.19921875" style="24" customWidth="1"/>
    <col min="261" max="261" width="5.19921875" style="24" bestFit="1" customWidth="1"/>
    <col min="262" max="262" width="9" style="24"/>
    <col min="263" max="263" width="11.8984375" style="24" customWidth="1"/>
    <col min="264" max="264" width="13.59765625" style="24" customWidth="1"/>
    <col min="265" max="265" width="12.69921875" style="24" customWidth="1"/>
    <col min="266" max="512" width="9" style="24"/>
    <col min="513" max="513" width="5" style="24" customWidth="1"/>
    <col min="514" max="514" width="17.8984375" style="24" bestFit="1" customWidth="1"/>
    <col min="515" max="515" width="23.59765625" style="24" customWidth="1"/>
    <col min="516" max="516" width="18.19921875" style="24" customWidth="1"/>
    <col min="517" max="517" width="5.19921875" style="24" bestFit="1" customWidth="1"/>
    <col min="518" max="518" width="9" style="24"/>
    <col min="519" max="519" width="11.8984375" style="24" customWidth="1"/>
    <col min="520" max="520" width="13.59765625" style="24" customWidth="1"/>
    <col min="521" max="521" width="12.69921875" style="24" customWidth="1"/>
    <col min="522" max="768" width="9" style="24"/>
    <col min="769" max="769" width="5" style="24" customWidth="1"/>
    <col min="770" max="770" width="17.8984375" style="24" bestFit="1" customWidth="1"/>
    <col min="771" max="771" width="23.59765625" style="24" customWidth="1"/>
    <col min="772" max="772" width="18.19921875" style="24" customWidth="1"/>
    <col min="773" max="773" width="5.19921875" style="24" bestFit="1" customWidth="1"/>
    <col min="774" max="774" width="9" style="24"/>
    <col min="775" max="775" width="11.8984375" style="24" customWidth="1"/>
    <col min="776" max="776" width="13.59765625" style="24" customWidth="1"/>
    <col min="777" max="777" width="12.69921875" style="24" customWidth="1"/>
    <col min="778" max="1024" width="9" style="24"/>
    <col min="1025" max="1025" width="5" style="24" customWidth="1"/>
    <col min="1026" max="1026" width="17.8984375" style="24" bestFit="1" customWidth="1"/>
    <col min="1027" max="1027" width="23.59765625" style="24" customWidth="1"/>
    <col min="1028" max="1028" width="18.19921875" style="24" customWidth="1"/>
    <col min="1029" max="1029" width="5.19921875" style="24" bestFit="1" customWidth="1"/>
    <col min="1030" max="1030" width="9" style="24"/>
    <col min="1031" max="1031" width="11.8984375" style="24" customWidth="1"/>
    <col min="1032" max="1032" width="13.59765625" style="24" customWidth="1"/>
    <col min="1033" max="1033" width="12.69921875" style="24" customWidth="1"/>
    <col min="1034" max="1280" width="9" style="24"/>
    <col min="1281" max="1281" width="5" style="24" customWidth="1"/>
    <col min="1282" max="1282" width="17.8984375" style="24" bestFit="1" customWidth="1"/>
    <col min="1283" max="1283" width="23.59765625" style="24" customWidth="1"/>
    <col min="1284" max="1284" width="18.19921875" style="24" customWidth="1"/>
    <col min="1285" max="1285" width="5.19921875" style="24" bestFit="1" customWidth="1"/>
    <col min="1286" max="1286" width="9" style="24"/>
    <col min="1287" max="1287" width="11.8984375" style="24" customWidth="1"/>
    <col min="1288" max="1288" width="13.59765625" style="24" customWidth="1"/>
    <col min="1289" max="1289" width="12.69921875" style="24" customWidth="1"/>
    <col min="1290" max="1536" width="9" style="24"/>
    <col min="1537" max="1537" width="5" style="24" customWidth="1"/>
    <col min="1538" max="1538" width="17.8984375" style="24" bestFit="1" customWidth="1"/>
    <col min="1539" max="1539" width="23.59765625" style="24" customWidth="1"/>
    <col min="1540" max="1540" width="18.19921875" style="24" customWidth="1"/>
    <col min="1541" max="1541" width="5.19921875" style="24" bestFit="1" customWidth="1"/>
    <col min="1542" max="1542" width="9" style="24"/>
    <col min="1543" max="1543" width="11.8984375" style="24" customWidth="1"/>
    <col min="1544" max="1544" width="13.59765625" style="24" customWidth="1"/>
    <col min="1545" max="1545" width="12.69921875" style="24" customWidth="1"/>
    <col min="1546" max="1792" width="9" style="24"/>
    <col min="1793" max="1793" width="5" style="24" customWidth="1"/>
    <col min="1794" max="1794" width="17.8984375" style="24" bestFit="1" customWidth="1"/>
    <col min="1795" max="1795" width="23.59765625" style="24" customWidth="1"/>
    <col min="1796" max="1796" width="18.19921875" style="24" customWidth="1"/>
    <col min="1797" max="1797" width="5.19921875" style="24" bestFit="1" customWidth="1"/>
    <col min="1798" max="1798" width="9" style="24"/>
    <col min="1799" max="1799" width="11.8984375" style="24" customWidth="1"/>
    <col min="1800" max="1800" width="13.59765625" style="24" customWidth="1"/>
    <col min="1801" max="1801" width="12.69921875" style="24" customWidth="1"/>
    <col min="1802" max="2048" width="9" style="24"/>
    <col min="2049" max="2049" width="5" style="24" customWidth="1"/>
    <col min="2050" max="2050" width="17.8984375" style="24" bestFit="1" customWidth="1"/>
    <col min="2051" max="2051" width="23.59765625" style="24" customWidth="1"/>
    <col min="2052" max="2052" width="18.19921875" style="24" customWidth="1"/>
    <col min="2053" max="2053" width="5.19921875" style="24" bestFit="1" customWidth="1"/>
    <col min="2054" max="2054" width="9" style="24"/>
    <col min="2055" max="2055" width="11.8984375" style="24" customWidth="1"/>
    <col min="2056" max="2056" width="13.59765625" style="24" customWidth="1"/>
    <col min="2057" max="2057" width="12.69921875" style="24" customWidth="1"/>
    <col min="2058" max="2304" width="9" style="24"/>
    <col min="2305" max="2305" width="5" style="24" customWidth="1"/>
    <col min="2306" max="2306" width="17.8984375" style="24" bestFit="1" customWidth="1"/>
    <col min="2307" max="2307" width="23.59765625" style="24" customWidth="1"/>
    <col min="2308" max="2308" width="18.19921875" style="24" customWidth="1"/>
    <col min="2309" max="2309" width="5.19921875" style="24" bestFit="1" customWidth="1"/>
    <col min="2310" max="2310" width="9" style="24"/>
    <col min="2311" max="2311" width="11.8984375" style="24" customWidth="1"/>
    <col min="2312" max="2312" width="13.59765625" style="24" customWidth="1"/>
    <col min="2313" max="2313" width="12.69921875" style="24" customWidth="1"/>
    <col min="2314" max="2560" width="9" style="24"/>
    <col min="2561" max="2561" width="5" style="24" customWidth="1"/>
    <col min="2562" max="2562" width="17.8984375" style="24" bestFit="1" customWidth="1"/>
    <col min="2563" max="2563" width="23.59765625" style="24" customWidth="1"/>
    <col min="2564" max="2564" width="18.19921875" style="24" customWidth="1"/>
    <col min="2565" max="2565" width="5.19921875" style="24" bestFit="1" customWidth="1"/>
    <col min="2566" max="2566" width="9" style="24"/>
    <col min="2567" max="2567" width="11.8984375" style="24" customWidth="1"/>
    <col min="2568" max="2568" width="13.59765625" style="24" customWidth="1"/>
    <col min="2569" max="2569" width="12.69921875" style="24" customWidth="1"/>
    <col min="2570" max="2816" width="9" style="24"/>
    <col min="2817" max="2817" width="5" style="24" customWidth="1"/>
    <col min="2818" max="2818" width="17.8984375" style="24" bestFit="1" customWidth="1"/>
    <col min="2819" max="2819" width="23.59765625" style="24" customWidth="1"/>
    <col min="2820" max="2820" width="18.19921875" style="24" customWidth="1"/>
    <col min="2821" max="2821" width="5.19921875" style="24" bestFit="1" customWidth="1"/>
    <col min="2822" max="2822" width="9" style="24"/>
    <col min="2823" max="2823" width="11.8984375" style="24" customWidth="1"/>
    <col min="2824" max="2824" width="13.59765625" style="24" customWidth="1"/>
    <col min="2825" max="2825" width="12.69921875" style="24" customWidth="1"/>
    <col min="2826" max="3072" width="9" style="24"/>
    <col min="3073" max="3073" width="5" style="24" customWidth="1"/>
    <col min="3074" max="3074" width="17.8984375" style="24" bestFit="1" customWidth="1"/>
    <col min="3075" max="3075" width="23.59765625" style="24" customWidth="1"/>
    <col min="3076" max="3076" width="18.19921875" style="24" customWidth="1"/>
    <col min="3077" max="3077" width="5.19921875" style="24" bestFit="1" customWidth="1"/>
    <col min="3078" max="3078" width="9" style="24"/>
    <col min="3079" max="3079" width="11.8984375" style="24" customWidth="1"/>
    <col min="3080" max="3080" width="13.59765625" style="24" customWidth="1"/>
    <col min="3081" max="3081" width="12.69921875" style="24" customWidth="1"/>
    <col min="3082" max="3328" width="9" style="24"/>
    <col min="3329" max="3329" width="5" style="24" customWidth="1"/>
    <col min="3330" max="3330" width="17.8984375" style="24" bestFit="1" customWidth="1"/>
    <col min="3331" max="3331" width="23.59765625" style="24" customWidth="1"/>
    <col min="3332" max="3332" width="18.19921875" style="24" customWidth="1"/>
    <col min="3333" max="3333" width="5.19921875" style="24" bestFit="1" customWidth="1"/>
    <col min="3334" max="3334" width="9" style="24"/>
    <col min="3335" max="3335" width="11.8984375" style="24" customWidth="1"/>
    <col min="3336" max="3336" width="13.59765625" style="24" customWidth="1"/>
    <col min="3337" max="3337" width="12.69921875" style="24" customWidth="1"/>
    <col min="3338" max="3584" width="9" style="24"/>
    <col min="3585" max="3585" width="5" style="24" customWidth="1"/>
    <col min="3586" max="3586" width="17.8984375" style="24" bestFit="1" customWidth="1"/>
    <col min="3587" max="3587" width="23.59765625" style="24" customWidth="1"/>
    <col min="3588" max="3588" width="18.19921875" style="24" customWidth="1"/>
    <col min="3589" max="3589" width="5.19921875" style="24" bestFit="1" customWidth="1"/>
    <col min="3590" max="3590" width="9" style="24"/>
    <col min="3591" max="3591" width="11.8984375" style="24" customWidth="1"/>
    <col min="3592" max="3592" width="13.59765625" style="24" customWidth="1"/>
    <col min="3593" max="3593" width="12.69921875" style="24" customWidth="1"/>
    <col min="3594" max="3840" width="9" style="24"/>
    <col min="3841" max="3841" width="5" style="24" customWidth="1"/>
    <col min="3842" max="3842" width="17.8984375" style="24" bestFit="1" customWidth="1"/>
    <col min="3843" max="3843" width="23.59765625" style="24" customWidth="1"/>
    <col min="3844" max="3844" width="18.19921875" style="24" customWidth="1"/>
    <col min="3845" max="3845" width="5.19921875" style="24" bestFit="1" customWidth="1"/>
    <col min="3846" max="3846" width="9" style="24"/>
    <col min="3847" max="3847" width="11.8984375" style="24" customWidth="1"/>
    <col min="3848" max="3848" width="13.59765625" style="24" customWidth="1"/>
    <col min="3849" max="3849" width="12.69921875" style="24" customWidth="1"/>
    <col min="3850" max="4096" width="9" style="24"/>
    <col min="4097" max="4097" width="5" style="24" customWidth="1"/>
    <col min="4098" max="4098" width="17.8984375" style="24" bestFit="1" customWidth="1"/>
    <col min="4099" max="4099" width="23.59765625" style="24" customWidth="1"/>
    <col min="4100" max="4100" width="18.19921875" style="24" customWidth="1"/>
    <col min="4101" max="4101" width="5.19921875" style="24" bestFit="1" customWidth="1"/>
    <col min="4102" max="4102" width="9" style="24"/>
    <col min="4103" max="4103" width="11.8984375" style="24" customWidth="1"/>
    <col min="4104" max="4104" width="13.59765625" style="24" customWidth="1"/>
    <col min="4105" max="4105" width="12.69921875" style="24" customWidth="1"/>
    <col min="4106" max="4352" width="9" style="24"/>
    <col min="4353" max="4353" width="5" style="24" customWidth="1"/>
    <col min="4354" max="4354" width="17.8984375" style="24" bestFit="1" customWidth="1"/>
    <col min="4355" max="4355" width="23.59765625" style="24" customWidth="1"/>
    <col min="4356" max="4356" width="18.19921875" style="24" customWidth="1"/>
    <col min="4357" max="4357" width="5.19921875" style="24" bestFit="1" customWidth="1"/>
    <col min="4358" max="4358" width="9" style="24"/>
    <col min="4359" max="4359" width="11.8984375" style="24" customWidth="1"/>
    <col min="4360" max="4360" width="13.59765625" style="24" customWidth="1"/>
    <col min="4361" max="4361" width="12.69921875" style="24" customWidth="1"/>
    <col min="4362" max="4608" width="9" style="24"/>
    <col min="4609" max="4609" width="5" style="24" customWidth="1"/>
    <col min="4610" max="4610" width="17.8984375" style="24" bestFit="1" customWidth="1"/>
    <col min="4611" max="4611" width="23.59765625" style="24" customWidth="1"/>
    <col min="4612" max="4612" width="18.19921875" style="24" customWidth="1"/>
    <col min="4613" max="4613" width="5.19921875" style="24" bestFit="1" customWidth="1"/>
    <col min="4614" max="4614" width="9" style="24"/>
    <col min="4615" max="4615" width="11.8984375" style="24" customWidth="1"/>
    <col min="4616" max="4616" width="13.59765625" style="24" customWidth="1"/>
    <col min="4617" max="4617" width="12.69921875" style="24" customWidth="1"/>
    <col min="4618" max="4864" width="9" style="24"/>
    <col min="4865" max="4865" width="5" style="24" customWidth="1"/>
    <col min="4866" max="4866" width="17.8984375" style="24" bestFit="1" customWidth="1"/>
    <col min="4867" max="4867" width="23.59765625" style="24" customWidth="1"/>
    <col min="4868" max="4868" width="18.19921875" style="24" customWidth="1"/>
    <col min="4869" max="4869" width="5.19921875" style="24" bestFit="1" customWidth="1"/>
    <col min="4870" max="4870" width="9" style="24"/>
    <col min="4871" max="4871" width="11.8984375" style="24" customWidth="1"/>
    <col min="4872" max="4872" width="13.59765625" style="24" customWidth="1"/>
    <col min="4873" max="4873" width="12.69921875" style="24" customWidth="1"/>
    <col min="4874" max="5120" width="9" style="24"/>
    <col min="5121" max="5121" width="5" style="24" customWidth="1"/>
    <col min="5122" max="5122" width="17.8984375" style="24" bestFit="1" customWidth="1"/>
    <col min="5123" max="5123" width="23.59765625" style="24" customWidth="1"/>
    <col min="5124" max="5124" width="18.19921875" style="24" customWidth="1"/>
    <col min="5125" max="5125" width="5.19921875" style="24" bestFit="1" customWidth="1"/>
    <col min="5126" max="5126" width="9" style="24"/>
    <col min="5127" max="5127" width="11.8984375" style="24" customWidth="1"/>
    <col min="5128" max="5128" width="13.59765625" style="24" customWidth="1"/>
    <col min="5129" max="5129" width="12.69921875" style="24" customWidth="1"/>
    <col min="5130" max="5376" width="9" style="24"/>
    <col min="5377" max="5377" width="5" style="24" customWidth="1"/>
    <col min="5378" max="5378" width="17.8984375" style="24" bestFit="1" customWidth="1"/>
    <col min="5379" max="5379" width="23.59765625" style="24" customWidth="1"/>
    <col min="5380" max="5380" width="18.19921875" style="24" customWidth="1"/>
    <col min="5381" max="5381" width="5.19921875" style="24" bestFit="1" customWidth="1"/>
    <col min="5382" max="5382" width="9" style="24"/>
    <col min="5383" max="5383" width="11.8984375" style="24" customWidth="1"/>
    <col min="5384" max="5384" width="13.59765625" style="24" customWidth="1"/>
    <col min="5385" max="5385" width="12.69921875" style="24" customWidth="1"/>
    <col min="5386" max="5632" width="9" style="24"/>
    <col min="5633" max="5633" width="5" style="24" customWidth="1"/>
    <col min="5634" max="5634" width="17.8984375" style="24" bestFit="1" customWidth="1"/>
    <col min="5635" max="5635" width="23.59765625" style="24" customWidth="1"/>
    <col min="5636" max="5636" width="18.19921875" style="24" customWidth="1"/>
    <col min="5637" max="5637" width="5.19921875" style="24" bestFit="1" customWidth="1"/>
    <col min="5638" max="5638" width="9" style="24"/>
    <col min="5639" max="5639" width="11.8984375" style="24" customWidth="1"/>
    <col min="5640" max="5640" width="13.59765625" style="24" customWidth="1"/>
    <col min="5641" max="5641" width="12.69921875" style="24" customWidth="1"/>
    <col min="5642" max="5888" width="9" style="24"/>
    <col min="5889" max="5889" width="5" style="24" customWidth="1"/>
    <col min="5890" max="5890" width="17.8984375" style="24" bestFit="1" customWidth="1"/>
    <col min="5891" max="5891" width="23.59765625" style="24" customWidth="1"/>
    <col min="5892" max="5892" width="18.19921875" style="24" customWidth="1"/>
    <col min="5893" max="5893" width="5.19921875" style="24" bestFit="1" customWidth="1"/>
    <col min="5894" max="5894" width="9" style="24"/>
    <col min="5895" max="5895" width="11.8984375" style="24" customWidth="1"/>
    <col min="5896" max="5896" width="13.59765625" style="24" customWidth="1"/>
    <col min="5897" max="5897" width="12.69921875" style="24" customWidth="1"/>
    <col min="5898" max="6144" width="9" style="24"/>
    <col min="6145" max="6145" width="5" style="24" customWidth="1"/>
    <col min="6146" max="6146" width="17.8984375" style="24" bestFit="1" customWidth="1"/>
    <col min="6147" max="6147" width="23.59765625" style="24" customWidth="1"/>
    <col min="6148" max="6148" width="18.19921875" style="24" customWidth="1"/>
    <col min="6149" max="6149" width="5.19921875" style="24" bestFit="1" customWidth="1"/>
    <col min="6150" max="6150" width="9" style="24"/>
    <col min="6151" max="6151" width="11.8984375" style="24" customWidth="1"/>
    <col min="6152" max="6152" width="13.59765625" style="24" customWidth="1"/>
    <col min="6153" max="6153" width="12.69921875" style="24" customWidth="1"/>
    <col min="6154" max="6400" width="9" style="24"/>
    <col min="6401" max="6401" width="5" style="24" customWidth="1"/>
    <col min="6402" max="6402" width="17.8984375" style="24" bestFit="1" customWidth="1"/>
    <col min="6403" max="6403" width="23.59765625" style="24" customWidth="1"/>
    <col min="6404" max="6404" width="18.19921875" style="24" customWidth="1"/>
    <col min="6405" max="6405" width="5.19921875" style="24" bestFit="1" customWidth="1"/>
    <col min="6406" max="6406" width="9" style="24"/>
    <col min="6407" max="6407" width="11.8984375" style="24" customWidth="1"/>
    <col min="6408" max="6408" width="13.59765625" style="24" customWidth="1"/>
    <col min="6409" max="6409" width="12.69921875" style="24" customWidth="1"/>
    <col min="6410" max="6656" width="9" style="24"/>
    <col min="6657" max="6657" width="5" style="24" customWidth="1"/>
    <col min="6658" max="6658" width="17.8984375" style="24" bestFit="1" customWidth="1"/>
    <col min="6659" max="6659" width="23.59765625" style="24" customWidth="1"/>
    <col min="6660" max="6660" width="18.19921875" style="24" customWidth="1"/>
    <col min="6661" max="6661" width="5.19921875" style="24" bestFit="1" customWidth="1"/>
    <col min="6662" max="6662" width="9" style="24"/>
    <col min="6663" max="6663" width="11.8984375" style="24" customWidth="1"/>
    <col min="6664" max="6664" width="13.59765625" style="24" customWidth="1"/>
    <col min="6665" max="6665" width="12.69921875" style="24" customWidth="1"/>
    <col min="6666" max="6912" width="9" style="24"/>
    <col min="6913" max="6913" width="5" style="24" customWidth="1"/>
    <col min="6914" max="6914" width="17.8984375" style="24" bestFit="1" customWidth="1"/>
    <col min="6915" max="6915" width="23.59765625" style="24" customWidth="1"/>
    <col min="6916" max="6916" width="18.19921875" style="24" customWidth="1"/>
    <col min="6917" max="6917" width="5.19921875" style="24" bestFit="1" customWidth="1"/>
    <col min="6918" max="6918" width="9" style="24"/>
    <col min="6919" max="6919" width="11.8984375" style="24" customWidth="1"/>
    <col min="6920" max="6920" width="13.59765625" style="24" customWidth="1"/>
    <col min="6921" max="6921" width="12.69921875" style="24" customWidth="1"/>
    <col min="6922" max="7168" width="9" style="24"/>
    <col min="7169" max="7169" width="5" style="24" customWidth="1"/>
    <col min="7170" max="7170" width="17.8984375" style="24" bestFit="1" customWidth="1"/>
    <col min="7171" max="7171" width="23.59765625" style="24" customWidth="1"/>
    <col min="7172" max="7172" width="18.19921875" style="24" customWidth="1"/>
    <col min="7173" max="7173" width="5.19921875" style="24" bestFit="1" customWidth="1"/>
    <col min="7174" max="7174" width="9" style="24"/>
    <col min="7175" max="7175" width="11.8984375" style="24" customWidth="1"/>
    <col min="7176" max="7176" width="13.59765625" style="24" customWidth="1"/>
    <col min="7177" max="7177" width="12.69921875" style="24" customWidth="1"/>
    <col min="7178" max="7424" width="9" style="24"/>
    <col min="7425" max="7425" width="5" style="24" customWidth="1"/>
    <col min="7426" max="7426" width="17.8984375" style="24" bestFit="1" customWidth="1"/>
    <col min="7427" max="7427" width="23.59765625" style="24" customWidth="1"/>
    <col min="7428" max="7428" width="18.19921875" style="24" customWidth="1"/>
    <col min="7429" max="7429" width="5.19921875" style="24" bestFit="1" customWidth="1"/>
    <col min="7430" max="7430" width="9" style="24"/>
    <col min="7431" max="7431" width="11.8984375" style="24" customWidth="1"/>
    <col min="7432" max="7432" width="13.59765625" style="24" customWidth="1"/>
    <col min="7433" max="7433" width="12.69921875" style="24" customWidth="1"/>
    <col min="7434" max="7680" width="9" style="24"/>
    <col min="7681" max="7681" width="5" style="24" customWidth="1"/>
    <col min="7682" max="7682" width="17.8984375" style="24" bestFit="1" customWidth="1"/>
    <col min="7683" max="7683" width="23.59765625" style="24" customWidth="1"/>
    <col min="7684" max="7684" width="18.19921875" style="24" customWidth="1"/>
    <col min="7685" max="7685" width="5.19921875" style="24" bestFit="1" customWidth="1"/>
    <col min="7686" max="7686" width="9" style="24"/>
    <col min="7687" max="7687" width="11.8984375" style="24" customWidth="1"/>
    <col min="7688" max="7688" width="13.59765625" style="24" customWidth="1"/>
    <col min="7689" max="7689" width="12.69921875" style="24" customWidth="1"/>
    <col min="7690" max="7936" width="9" style="24"/>
    <col min="7937" max="7937" width="5" style="24" customWidth="1"/>
    <col min="7938" max="7938" width="17.8984375" style="24" bestFit="1" customWidth="1"/>
    <col min="7939" max="7939" width="23.59765625" style="24" customWidth="1"/>
    <col min="7940" max="7940" width="18.19921875" style="24" customWidth="1"/>
    <col min="7941" max="7941" width="5.19921875" style="24" bestFit="1" customWidth="1"/>
    <col min="7942" max="7942" width="9" style="24"/>
    <col min="7943" max="7943" width="11.8984375" style="24" customWidth="1"/>
    <col min="7944" max="7944" width="13.59765625" style="24" customWidth="1"/>
    <col min="7945" max="7945" width="12.69921875" style="24" customWidth="1"/>
    <col min="7946" max="8192" width="9" style="24"/>
    <col min="8193" max="8193" width="5" style="24" customWidth="1"/>
    <col min="8194" max="8194" width="17.8984375" style="24" bestFit="1" customWidth="1"/>
    <col min="8195" max="8195" width="23.59765625" style="24" customWidth="1"/>
    <col min="8196" max="8196" width="18.19921875" style="24" customWidth="1"/>
    <col min="8197" max="8197" width="5.19921875" style="24" bestFit="1" customWidth="1"/>
    <col min="8198" max="8198" width="9" style="24"/>
    <col min="8199" max="8199" width="11.8984375" style="24" customWidth="1"/>
    <col min="8200" max="8200" width="13.59765625" style="24" customWidth="1"/>
    <col min="8201" max="8201" width="12.69921875" style="24" customWidth="1"/>
    <col min="8202" max="8448" width="9" style="24"/>
    <col min="8449" max="8449" width="5" style="24" customWidth="1"/>
    <col min="8450" max="8450" width="17.8984375" style="24" bestFit="1" customWidth="1"/>
    <col min="8451" max="8451" width="23.59765625" style="24" customWidth="1"/>
    <col min="8452" max="8452" width="18.19921875" style="24" customWidth="1"/>
    <col min="8453" max="8453" width="5.19921875" style="24" bestFit="1" customWidth="1"/>
    <col min="8454" max="8454" width="9" style="24"/>
    <col min="8455" max="8455" width="11.8984375" style="24" customWidth="1"/>
    <col min="8456" max="8456" width="13.59765625" style="24" customWidth="1"/>
    <col min="8457" max="8457" width="12.69921875" style="24" customWidth="1"/>
    <col min="8458" max="8704" width="9" style="24"/>
    <col min="8705" max="8705" width="5" style="24" customWidth="1"/>
    <col min="8706" max="8706" width="17.8984375" style="24" bestFit="1" customWidth="1"/>
    <col min="8707" max="8707" width="23.59765625" style="24" customWidth="1"/>
    <col min="8708" max="8708" width="18.19921875" style="24" customWidth="1"/>
    <col min="8709" max="8709" width="5.19921875" style="24" bestFit="1" customWidth="1"/>
    <col min="8710" max="8710" width="9" style="24"/>
    <col min="8711" max="8711" width="11.8984375" style="24" customWidth="1"/>
    <col min="8712" max="8712" width="13.59765625" style="24" customWidth="1"/>
    <col min="8713" max="8713" width="12.69921875" style="24" customWidth="1"/>
    <col min="8714" max="8960" width="9" style="24"/>
    <col min="8961" max="8961" width="5" style="24" customWidth="1"/>
    <col min="8962" max="8962" width="17.8984375" style="24" bestFit="1" customWidth="1"/>
    <col min="8963" max="8963" width="23.59765625" style="24" customWidth="1"/>
    <col min="8964" max="8964" width="18.19921875" style="24" customWidth="1"/>
    <col min="8965" max="8965" width="5.19921875" style="24" bestFit="1" customWidth="1"/>
    <col min="8966" max="8966" width="9" style="24"/>
    <col min="8967" max="8967" width="11.8984375" style="24" customWidth="1"/>
    <col min="8968" max="8968" width="13.59765625" style="24" customWidth="1"/>
    <col min="8969" max="8969" width="12.69921875" style="24" customWidth="1"/>
    <col min="8970" max="9216" width="9" style="24"/>
    <col min="9217" max="9217" width="5" style="24" customWidth="1"/>
    <col min="9218" max="9218" width="17.8984375" style="24" bestFit="1" customWidth="1"/>
    <col min="9219" max="9219" width="23.59765625" style="24" customWidth="1"/>
    <col min="9220" max="9220" width="18.19921875" style="24" customWidth="1"/>
    <col min="9221" max="9221" width="5.19921875" style="24" bestFit="1" customWidth="1"/>
    <col min="9222" max="9222" width="9" style="24"/>
    <col min="9223" max="9223" width="11.8984375" style="24" customWidth="1"/>
    <col min="9224" max="9224" width="13.59765625" style="24" customWidth="1"/>
    <col min="9225" max="9225" width="12.69921875" style="24" customWidth="1"/>
    <col min="9226" max="9472" width="9" style="24"/>
    <col min="9473" max="9473" width="5" style="24" customWidth="1"/>
    <col min="9474" max="9474" width="17.8984375" style="24" bestFit="1" customWidth="1"/>
    <col min="9475" max="9475" width="23.59765625" style="24" customWidth="1"/>
    <col min="9476" max="9476" width="18.19921875" style="24" customWidth="1"/>
    <col min="9477" max="9477" width="5.19921875" style="24" bestFit="1" customWidth="1"/>
    <col min="9478" max="9478" width="9" style="24"/>
    <col min="9479" max="9479" width="11.8984375" style="24" customWidth="1"/>
    <col min="9480" max="9480" width="13.59765625" style="24" customWidth="1"/>
    <col min="9481" max="9481" width="12.69921875" style="24" customWidth="1"/>
    <col min="9482" max="9728" width="9" style="24"/>
    <col min="9729" max="9729" width="5" style="24" customWidth="1"/>
    <col min="9730" max="9730" width="17.8984375" style="24" bestFit="1" customWidth="1"/>
    <col min="9731" max="9731" width="23.59765625" style="24" customWidth="1"/>
    <col min="9732" max="9732" width="18.19921875" style="24" customWidth="1"/>
    <col min="9733" max="9733" width="5.19921875" style="24" bestFit="1" customWidth="1"/>
    <col min="9734" max="9734" width="9" style="24"/>
    <col min="9735" max="9735" width="11.8984375" style="24" customWidth="1"/>
    <col min="9736" max="9736" width="13.59765625" style="24" customWidth="1"/>
    <col min="9737" max="9737" width="12.69921875" style="24" customWidth="1"/>
    <col min="9738" max="9984" width="9" style="24"/>
    <col min="9985" max="9985" width="5" style="24" customWidth="1"/>
    <col min="9986" max="9986" width="17.8984375" style="24" bestFit="1" customWidth="1"/>
    <col min="9987" max="9987" width="23.59765625" style="24" customWidth="1"/>
    <col min="9988" max="9988" width="18.19921875" style="24" customWidth="1"/>
    <col min="9989" max="9989" width="5.19921875" style="24" bestFit="1" customWidth="1"/>
    <col min="9990" max="9990" width="9" style="24"/>
    <col min="9991" max="9991" width="11.8984375" style="24" customWidth="1"/>
    <col min="9992" max="9992" width="13.59765625" style="24" customWidth="1"/>
    <col min="9993" max="9993" width="12.69921875" style="24" customWidth="1"/>
    <col min="9994" max="10240" width="9" style="24"/>
    <col min="10241" max="10241" width="5" style="24" customWidth="1"/>
    <col min="10242" max="10242" width="17.8984375" style="24" bestFit="1" customWidth="1"/>
    <col min="10243" max="10243" width="23.59765625" style="24" customWidth="1"/>
    <col min="10244" max="10244" width="18.19921875" style="24" customWidth="1"/>
    <col min="10245" max="10245" width="5.19921875" style="24" bestFit="1" customWidth="1"/>
    <col min="10246" max="10246" width="9" style="24"/>
    <col min="10247" max="10247" width="11.8984375" style="24" customWidth="1"/>
    <col min="10248" max="10248" width="13.59765625" style="24" customWidth="1"/>
    <col min="10249" max="10249" width="12.69921875" style="24" customWidth="1"/>
    <col min="10250" max="10496" width="9" style="24"/>
    <col min="10497" max="10497" width="5" style="24" customWidth="1"/>
    <col min="10498" max="10498" width="17.8984375" style="24" bestFit="1" customWidth="1"/>
    <col min="10499" max="10499" width="23.59765625" style="24" customWidth="1"/>
    <col min="10500" max="10500" width="18.19921875" style="24" customWidth="1"/>
    <col min="10501" max="10501" width="5.19921875" style="24" bestFit="1" customWidth="1"/>
    <col min="10502" max="10502" width="9" style="24"/>
    <col min="10503" max="10503" width="11.8984375" style="24" customWidth="1"/>
    <col min="10504" max="10504" width="13.59765625" style="24" customWidth="1"/>
    <col min="10505" max="10505" width="12.69921875" style="24" customWidth="1"/>
    <col min="10506" max="10752" width="9" style="24"/>
    <col min="10753" max="10753" width="5" style="24" customWidth="1"/>
    <col min="10754" max="10754" width="17.8984375" style="24" bestFit="1" customWidth="1"/>
    <col min="10755" max="10755" width="23.59765625" style="24" customWidth="1"/>
    <col min="10756" max="10756" width="18.19921875" style="24" customWidth="1"/>
    <col min="10757" max="10757" width="5.19921875" style="24" bestFit="1" customWidth="1"/>
    <col min="10758" max="10758" width="9" style="24"/>
    <col min="10759" max="10759" width="11.8984375" style="24" customWidth="1"/>
    <col min="10760" max="10760" width="13.59765625" style="24" customWidth="1"/>
    <col min="10761" max="10761" width="12.69921875" style="24" customWidth="1"/>
    <col min="10762" max="11008" width="9" style="24"/>
    <col min="11009" max="11009" width="5" style="24" customWidth="1"/>
    <col min="11010" max="11010" width="17.8984375" style="24" bestFit="1" customWidth="1"/>
    <col min="11011" max="11011" width="23.59765625" style="24" customWidth="1"/>
    <col min="11012" max="11012" width="18.19921875" style="24" customWidth="1"/>
    <col min="11013" max="11013" width="5.19921875" style="24" bestFit="1" customWidth="1"/>
    <col min="11014" max="11014" width="9" style="24"/>
    <col min="11015" max="11015" width="11.8984375" style="24" customWidth="1"/>
    <col min="11016" max="11016" width="13.59765625" style="24" customWidth="1"/>
    <col min="11017" max="11017" width="12.69921875" style="24" customWidth="1"/>
    <col min="11018" max="11264" width="9" style="24"/>
    <col min="11265" max="11265" width="5" style="24" customWidth="1"/>
    <col min="11266" max="11266" width="17.8984375" style="24" bestFit="1" customWidth="1"/>
    <col min="11267" max="11267" width="23.59765625" style="24" customWidth="1"/>
    <col min="11268" max="11268" width="18.19921875" style="24" customWidth="1"/>
    <col min="11269" max="11269" width="5.19921875" style="24" bestFit="1" customWidth="1"/>
    <col min="11270" max="11270" width="9" style="24"/>
    <col min="11271" max="11271" width="11.8984375" style="24" customWidth="1"/>
    <col min="11272" max="11272" width="13.59765625" style="24" customWidth="1"/>
    <col min="11273" max="11273" width="12.69921875" style="24" customWidth="1"/>
    <col min="11274" max="11520" width="9" style="24"/>
    <col min="11521" max="11521" width="5" style="24" customWidth="1"/>
    <col min="11522" max="11522" width="17.8984375" style="24" bestFit="1" customWidth="1"/>
    <col min="11523" max="11523" width="23.59765625" style="24" customWidth="1"/>
    <col min="11524" max="11524" width="18.19921875" style="24" customWidth="1"/>
    <col min="11525" max="11525" width="5.19921875" style="24" bestFit="1" customWidth="1"/>
    <col min="11526" max="11526" width="9" style="24"/>
    <col min="11527" max="11527" width="11.8984375" style="24" customWidth="1"/>
    <col min="11528" max="11528" width="13.59765625" style="24" customWidth="1"/>
    <col min="11529" max="11529" width="12.69921875" style="24" customWidth="1"/>
    <col min="11530" max="11776" width="9" style="24"/>
    <col min="11777" max="11777" width="5" style="24" customWidth="1"/>
    <col min="11778" max="11778" width="17.8984375" style="24" bestFit="1" customWidth="1"/>
    <col min="11779" max="11779" width="23.59765625" style="24" customWidth="1"/>
    <col min="11780" max="11780" width="18.19921875" style="24" customWidth="1"/>
    <col min="11781" max="11781" width="5.19921875" style="24" bestFit="1" customWidth="1"/>
    <col min="11782" max="11782" width="9" style="24"/>
    <col min="11783" max="11783" width="11.8984375" style="24" customWidth="1"/>
    <col min="11784" max="11784" width="13.59765625" style="24" customWidth="1"/>
    <col min="11785" max="11785" width="12.69921875" style="24" customWidth="1"/>
    <col min="11786" max="12032" width="9" style="24"/>
    <col min="12033" max="12033" width="5" style="24" customWidth="1"/>
    <col min="12034" max="12034" width="17.8984375" style="24" bestFit="1" customWidth="1"/>
    <col min="12035" max="12035" width="23.59765625" style="24" customWidth="1"/>
    <col min="12036" max="12036" width="18.19921875" style="24" customWidth="1"/>
    <col min="12037" max="12037" width="5.19921875" style="24" bestFit="1" customWidth="1"/>
    <col min="12038" max="12038" width="9" style="24"/>
    <col min="12039" max="12039" width="11.8984375" style="24" customWidth="1"/>
    <col min="12040" max="12040" width="13.59765625" style="24" customWidth="1"/>
    <col min="12041" max="12041" width="12.69921875" style="24" customWidth="1"/>
    <col min="12042" max="12288" width="9" style="24"/>
    <col min="12289" max="12289" width="5" style="24" customWidth="1"/>
    <col min="12290" max="12290" width="17.8984375" style="24" bestFit="1" customWidth="1"/>
    <col min="12291" max="12291" width="23.59765625" style="24" customWidth="1"/>
    <col min="12292" max="12292" width="18.19921875" style="24" customWidth="1"/>
    <col min="12293" max="12293" width="5.19921875" style="24" bestFit="1" customWidth="1"/>
    <col min="12294" max="12294" width="9" style="24"/>
    <col min="12295" max="12295" width="11.8984375" style="24" customWidth="1"/>
    <col min="12296" max="12296" width="13.59765625" style="24" customWidth="1"/>
    <col min="12297" max="12297" width="12.69921875" style="24" customWidth="1"/>
    <col min="12298" max="12544" width="9" style="24"/>
    <col min="12545" max="12545" width="5" style="24" customWidth="1"/>
    <col min="12546" max="12546" width="17.8984375" style="24" bestFit="1" customWidth="1"/>
    <col min="12547" max="12547" width="23.59765625" style="24" customWidth="1"/>
    <col min="12548" max="12548" width="18.19921875" style="24" customWidth="1"/>
    <col min="12549" max="12549" width="5.19921875" style="24" bestFit="1" customWidth="1"/>
    <col min="12550" max="12550" width="9" style="24"/>
    <col min="12551" max="12551" width="11.8984375" style="24" customWidth="1"/>
    <col min="12552" max="12552" width="13.59765625" style="24" customWidth="1"/>
    <col min="12553" max="12553" width="12.69921875" style="24" customWidth="1"/>
    <col min="12554" max="12800" width="9" style="24"/>
    <col min="12801" max="12801" width="5" style="24" customWidth="1"/>
    <col min="12802" max="12802" width="17.8984375" style="24" bestFit="1" customWidth="1"/>
    <col min="12803" max="12803" width="23.59765625" style="24" customWidth="1"/>
    <col min="12804" max="12804" width="18.19921875" style="24" customWidth="1"/>
    <col min="12805" max="12805" width="5.19921875" style="24" bestFit="1" customWidth="1"/>
    <col min="12806" max="12806" width="9" style="24"/>
    <col min="12807" max="12807" width="11.8984375" style="24" customWidth="1"/>
    <col min="12808" max="12808" width="13.59765625" style="24" customWidth="1"/>
    <col min="12809" max="12809" width="12.69921875" style="24" customWidth="1"/>
    <col min="12810" max="13056" width="9" style="24"/>
    <col min="13057" max="13057" width="5" style="24" customWidth="1"/>
    <col min="13058" max="13058" width="17.8984375" style="24" bestFit="1" customWidth="1"/>
    <col min="13059" max="13059" width="23.59765625" style="24" customWidth="1"/>
    <col min="13060" max="13060" width="18.19921875" style="24" customWidth="1"/>
    <col min="13061" max="13061" width="5.19921875" style="24" bestFit="1" customWidth="1"/>
    <col min="13062" max="13062" width="9" style="24"/>
    <col min="13063" max="13063" width="11.8984375" style="24" customWidth="1"/>
    <col min="13064" max="13064" width="13.59765625" style="24" customWidth="1"/>
    <col min="13065" max="13065" width="12.69921875" style="24" customWidth="1"/>
    <col min="13066" max="13312" width="9" style="24"/>
    <col min="13313" max="13313" width="5" style="24" customWidth="1"/>
    <col min="13314" max="13314" width="17.8984375" style="24" bestFit="1" customWidth="1"/>
    <col min="13315" max="13315" width="23.59765625" style="24" customWidth="1"/>
    <col min="13316" max="13316" width="18.19921875" style="24" customWidth="1"/>
    <col min="13317" max="13317" width="5.19921875" style="24" bestFit="1" customWidth="1"/>
    <col min="13318" max="13318" width="9" style="24"/>
    <col min="13319" max="13319" width="11.8984375" style="24" customWidth="1"/>
    <col min="13320" max="13320" width="13.59765625" style="24" customWidth="1"/>
    <col min="13321" max="13321" width="12.69921875" style="24" customWidth="1"/>
    <col min="13322" max="13568" width="9" style="24"/>
    <col min="13569" max="13569" width="5" style="24" customWidth="1"/>
    <col min="13570" max="13570" width="17.8984375" style="24" bestFit="1" customWidth="1"/>
    <col min="13571" max="13571" width="23.59765625" style="24" customWidth="1"/>
    <col min="13572" max="13572" width="18.19921875" style="24" customWidth="1"/>
    <col min="13573" max="13573" width="5.19921875" style="24" bestFit="1" customWidth="1"/>
    <col min="13574" max="13574" width="9" style="24"/>
    <col min="13575" max="13575" width="11.8984375" style="24" customWidth="1"/>
    <col min="13576" max="13576" width="13.59765625" style="24" customWidth="1"/>
    <col min="13577" max="13577" width="12.69921875" style="24" customWidth="1"/>
    <col min="13578" max="13824" width="9" style="24"/>
    <col min="13825" max="13825" width="5" style="24" customWidth="1"/>
    <col min="13826" max="13826" width="17.8984375" style="24" bestFit="1" customWidth="1"/>
    <col min="13827" max="13827" width="23.59765625" style="24" customWidth="1"/>
    <col min="13828" max="13828" width="18.19921875" style="24" customWidth="1"/>
    <col min="13829" max="13829" width="5.19921875" style="24" bestFit="1" customWidth="1"/>
    <col min="13830" max="13830" width="9" style="24"/>
    <col min="13831" max="13831" width="11.8984375" style="24" customWidth="1"/>
    <col min="13832" max="13832" width="13.59765625" style="24" customWidth="1"/>
    <col min="13833" max="13833" width="12.69921875" style="24" customWidth="1"/>
    <col min="13834" max="14080" width="9" style="24"/>
    <col min="14081" max="14081" width="5" style="24" customWidth="1"/>
    <col min="14082" max="14082" width="17.8984375" style="24" bestFit="1" customWidth="1"/>
    <col min="14083" max="14083" width="23.59765625" style="24" customWidth="1"/>
    <col min="14084" max="14084" width="18.19921875" style="24" customWidth="1"/>
    <col min="14085" max="14085" width="5.19921875" style="24" bestFit="1" customWidth="1"/>
    <col min="14086" max="14086" width="9" style="24"/>
    <col min="14087" max="14087" width="11.8984375" style="24" customWidth="1"/>
    <col min="14088" max="14088" width="13.59765625" style="24" customWidth="1"/>
    <col min="14089" max="14089" width="12.69921875" style="24" customWidth="1"/>
    <col min="14090" max="14336" width="9" style="24"/>
    <col min="14337" max="14337" width="5" style="24" customWidth="1"/>
    <col min="14338" max="14338" width="17.8984375" style="24" bestFit="1" customWidth="1"/>
    <col min="14339" max="14339" width="23.59765625" style="24" customWidth="1"/>
    <col min="14340" max="14340" width="18.19921875" style="24" customWidth="1"/>
    <col min="14341" max="14341" width="5.19921875" style="24" bestFit="1" customWidth="1"/>
    <col min="14342" max="14342" width="9" style="24"/>
    <col min="14343" max="14343" width="11.8984375" style="24" customWidth="1"/>
    <col min="14344" max="14344" width="13.59765625" style="24" customWidth="1"/>
    <col min="14345" max="14345" width="12.69921875" style="24" customWidth="1"/>
    <col min="14346" max="14592" width="9" style="24"/>
    <col min="14593" max="14593" width="5" style="24" customWidth="1"/>
    <col min="14594" max="14594" width="17.8984375" style="24" bestFit="1" customWidth="1"/>
    <col min="14595" max="14595" width="23.59765625" style="24" customWidth="1"/>
    <col min="14596" max="14596" width="18.19921875" style="24" customWidth="1"/>
    <col min="14597" max="14597" width="5.19921875" style="24" bestFit="1" customWidth="1"/>
    <col min="14598" max="14598" width="9" style="24"/>
    <col min="14599" max="14599" width="11.8984375" style="24" customWidth="1"/>
    <col min="14600" max="14600" width="13.59765625" style="24" customWidth="1"/>
    <col min="14601" max="14601" width="12.69921875" style="24" customWidth="1"/>
    <col min="14602" max="14848" width="9" style="24"/>
    <col min="14849" max="14849" width="5" style="24" customWidth="1"/>
    <col min="14850" max="14850" width="17.8984375" style="24" bestFit="1" customWidth="1"/>
    <col min="14851" max="14851" width="23.59765625" style="24" customWidth="1"/>
    <col min="14852" max="14852" width="18.19921875" style="24" customWidth="1"/>
    <col min="14853" max="14853" width="5.19921875" style="24" bestFit="1" customWidth="1"/>
    <col min="14854" max="14854" width="9" style="24"/>
    <col min="14855" max="14855" width="11.8984375" style="24" customWidth="1"/>
    <col min="14856" max="14856" width="13.59765625" style="24" customWidth="1"/>
    <col min="14857" max="14857" width="12.69921875" style="24" customWidth="1"/>
    <col min="14858" max="15104" width="9" style="24"/>
    <col min="15105" max="15105" width="5" style="24" customWidth="1"/>
    <col min="15106" max="15106" width="17.8984375" style="24" bestFit="1" customWidth="1"/>
    <col min="15107" max="15107" width="23.59765625" style="24" customWidth="1"/>
    <col min="15108" max="15108" width="18.19921875" style="24" customWidth="1"/>
    <col min="15109" max="15109" width="5.19921875" style="24" bestFit="1" customWidth="1"/>
    <col min="15110" max="15110" width="9" style="24"/>
    <col min="15111" max="15111" width="11.8984375" style="24" customWidth="1"/>
    <col min="15112" max="15112" width="13.59765625" style="24" customWidth="1"/>
    <col min="15113" max="15113" width="12.69921875" style="24" customWidth="1"/>
    <col min="15114" max="15360" width="9" style="24"/>
    <col min="15361" max="15361" width="5" style="24" customWidth="1"/>
    <col min="15362" max="15362" width="17.8984375" style="24" bestFit="1" customWidth="1"/>
    <col min="15363" max="15363" width="23.59765625" style="24" customWidth="1"/>
    <col min="15364" max="15364" width="18.19921875" style="24" customWidth="1"/>
    <col min="15365" max="15365" width="5.19921875" style="24" bestFit="1" customWidth="1"/>
    <col min="15366" max="15366" width="9" style="24"/>
    <col min="15367" max="15367" width="11.8984375" style="24" customWidth="1"/>
    <col min="15368" max="15368" width="13.59765625" style="24" customWidth="1"/>
    <col min="15369" max="15369" width="12.69921875" style="24" customWidth="1"/>
    <col min="15370" max="15616" width="9" style="24"/>
    <col min="15617" max="15617" width="5" style="24" customWidth="1"/>
    <col min="15618" max="15618" width="17.8984375" style="24" bestFit="1" customWidth="1"/>
    <col min="15619" max="15619" width="23.59765625" style="24" customWidth="1"/>
    <col min="15620" max="15620" width="18.19921875" style="24" customWidth="1"/>
    <col min="15621" max="15621" width="5.19921875" style="24" bestFit="1" customWidth="1"/>
    <col min="15622" max="15622" width="9" style="24"/>
    <col min="15623" max="15623" width="11.8984375" style="24" customWidth="1"/>
    <col min="15624" max="15624" width="13.59765625" style="24" customWidth="1"/>
    <col min="15625" max="15625" width="12.69921875" style="24" customWidth="1"/>
    <col min="15626" max="15872" width="9" style="24"/>
    <col min="15873" max="15873" width="5" style="24" customWidth="1"/>
    <col min="15874" max="15874" width="17.8984375" style="24" bestFit="1" customWidth="1"/>
    <col min="15875" max="15875" width="23.59765625" style="24" customWidth="1"/>
    <col min="15876" max="15876" width="18.19921875" style="24" customWidth="1"/>
    <col min="15877" max="15877" width="5.19921875" style="24" bestFit="1" customWidth="1"/>
    <col min="15878" max="15878" width="9" style="24"/>
    <col min="15879" max="15879" width="11.8984375" style="24" customWidth="1"/>
    <col min="15880" max="15880" width="13.59765625" style="24" customWidth="1"/>
    <col min="15881" max="15881" width="12.69921875" style="24" customWidth="1"/>
    <col min="15882" max="16128" width="9" style="24"/>
    <col min="16129" max="16129" width="5" style="24" customWidth="1"/>
    <col min="16130" max="16130" width="17.8984375" style="24" bestFit="1" customWidth="1"/>
    <col min="16131" max="16131" width="23.59765625" style="24" customWidth="1"/>
    <col min="16132" max="16132" width="18.19921875" style="24" customWidth="1"/>
    <col min="16133" max="16133" width="5.19921875" style="24" bestFit="1" customWidth="1"/>
    <col min="16134" max="16134" width="9" style="24"/>
    <col min="16135" max="16135" width="11.8984375" style="24" customWidth="1"/>
    <col min="16136" max="16136" width="13.59765625" style="24" customWidth="1"/>
    <col min="16137" max="16137" width="12.69921875" style="24" customWidth="1"/>
    <col min="16138" max="16384" width="9" style="24"/>
  </cols>
  <sheetData>
    <row r="1" spans="1:9" ht="22.5" customHeight="1">
      <c r="B1" s="201" t="s">
        <v>145</v>
      </c>
      <c r="C1" s="266"/>
      <c r="F1" s="290"/>
      <c r="I1" s="24" t="s">
        <v>118</v>
      </c>
    </row>
    <row r="2" spans="1:9" s="26" customFormat="1" ht="16.5" customHeight="1">
      <c r="A2" s="337" t="s">
        <v>119</v>
      </c>
      <c r="B2" s="339"/>
      <c r="C2" s="275" t="s">
        <v>120</v>
      </c>
      <c r="D2" s="125" t="s">
        <v>121</v>
      </c>
      <c r="E2" s="125" t="s">
        <v>38</v>
      </c>
      <c r="F2" s="249" t="s">
        <v>39</v>
      </c>
      <c r="G2" s="249" t="s">
        <v>122</v>
      </c>
      <c r="H2" s="249" t="s">
        <v>123</v>
      </c>
      <c r="I2" s="125" t="s">
        <v>124</v>
      </c>
    </row>
    <row r="3" spans="1:9" ht="15.9" customHeight="1">
      <c r="A3" s="429" t="s">
        <v>125</v>
      </c>
      <c r="B3" s="206" t="s">
        <v>126</v>
      </c>
      <c r="C3" s="227"/>
      <c r="D3" s="227"/>
      <c r="E3" s="227"/>
      <c r="F3" s="230"/>
      <c r="G3" s="230"/>
      <c r="H3" s="231">
        <f>IF(F3=0,G3,G3*F3)</f>
        <v>0</v>
      </c>
      <c r="I3" s="232"/>
    </row>
    <row r="4" spans="1:9" ht="15.9" customHeight="1">
      <c r="A4" s="433"/>
      <c r="B4" s="206"/>
      <c r="C4" s="213"/>
      <c r="D4" s="213"/>
      <c r="E4" s="213"/>
      <c r="F4" s="216"/>
      <c r="G4" s="216"/>
      <c r="H4" s="165">
        <f>IF(F4=0,G4,G4*F4)</f>
        <v>0</v>
      </c>
      <c r="I4" s="39"/>
    </row>
    <row r="5" spans="1:9" ht="15.9" customHeight="1">
      <c r="A5" s="433"/>
      <c r="B5" s="206"/>
      <c r="C5" s="213"/>
      <c r="D5" s="213"/>
      <c r="E5" s="213"/>
      <c r="F5" s="216"/>
      <c r="G5" s="216"/>
      <c r="H5" s="165">
        <f t="shared" ref="H5:H76" si="0">IF(F5=0,G5,G5*F5)</f>
        <v>0</v>
      </c>
      <c r="I5" s="39"/>
    </row>
    <row r="6" spans="1:9" ht="15.9" customHeight="1">
      <c r="A6" s="433"/>
      <c r="B6" s="206"/>
      <c r="C6" s="213"/>
      <c r="D6" s="213"/>
      <c r="E6" s="213"/>
      <c r="F6" s="216"/>
      <c r="G6" s="216"/>
      <c r="H6" s="165">
        <f t="shared" si="0"/>
        <v>0</v>
      </c>
      <c r="I6" s="39"/>
    </row>
    <row r="7" spans="1:9" ht="15.9" customHeight="1">
      <c r="A7" s="433"/>
      <c r="B7" s="206"/>
      <c r="C7" s="213"/>
      <c r="D7" s="213"/>
      <c r="E7" s="213"/>
      <c r="F7" s="216"/>
      <c r="G7" s="216"/>
      <c r="H7" s="165">
        <f t="shared" si="0"/>
        <v>0</v>
      </c>
      <c r="I7" s="39"/>
    </row>
    <row r="8" spans="1:9" ht="15.9" customHeight="1">
      <c r="A8" s="433"/>
      <c r="B8" s="206"/>
      <c r="C8" s="213"/>
      <c r="D8" s="213"/>
      <c r="E8" s="213"/>
      <c r="F8" s="216"/>
      <c r="G8" s="216"/>
      <c r="H8" s="165">
        <f t="shared" si="0"/>
        <v>0</v>
      </c>
      <c r="I8" s="39"/>
    </row>
    <row r="9" spans="1:9" ht="15.9" customHeight="1">
      <c r="A9" s="433"/>
      <c r="B9" s="206"/>
      <c r="C9" s="213"/>
      <c r="D9" s="213"/>
      <c r="E9" s="213"/>
      <c r="F9" s="216"/>
      <c r="G9" s="216"/>
      <c r="H9" s="165">
        <f t="shared" si="0"/>
        <v>0</v>
      </c>
      <c r="I9" s="39"/>
    </row>
    <row r="10" spans="1:9" ht="15.9" customHeight="1">
      <c r="A10" s="433"/>
      <c r="B10" s="206"/>
      <c r="C10" s="213"/>
      <c r="D10" s="213"/>
      <c r="E10" s="213"/>
      <c r="F10" s="216"/>
      <c r="G10" s="216"/>
      <c r="H10" s="165">
        <f t="shared" si="0"/>
        <v>0</v>
      </c>
      <c r="I10" s="39"/>
    </row>
    <row r="11" spans="1:9" ht="15.9" customHeight="1">
      <c r="A11" s="433"/>
      <c r="B11" s="206"/>
      <c r="C11" s="213"/>
      <c r="D11" s="213"/>
      <c r="E11" s="213"/>
      <c r="F11" s="216"/>
      <c r="G11" s="216"/>
      <c r="H11" s="165">
        <f t="shared" si="0"/>
        <v>0</v>
      </c>
      <c r="I11" s="39"/>
    </row>
    <row r="12" spans="1:9" ht="15.9" customHeight="1">
      <c r="A12" s="433"/>
      <c r="B12" s="206"/>
      <c r="C12" s="213"/>
      <c r="D12" s="213"/>
      <c r="E12" s="213"/>
      <c r="F12" s="216"/>
      <c r="G12" s="216"/>
      <c r="H12" s="165">
        <f t="shared" si="0"/>
        <v>0</v>
      </c>
      <c r="I12" s="39"/>
    </row>
    <row r="13" spans="1:9" ht="15.9" customHeight="1">
      <c r="A13" s="433"/>
      <c r="B13" s="206"/>
      <c r="C13" s="213"/>
      <c r="D13" s="213"/>
      <c r="E13" s="213"/>
      <c r="F13" s="216"/>
      <c r="G13" s="216"/>
      <c r="H13" s="165">
        <f t="shared" si="0"/>
        <v>0</v>
      </c>
      <c r="I13" s="39"/>
    </row>
    <row r="14" spans="1:9" ht="15.9" customHeight="1">
      <c r="A14" s="433"/>
      <c r="B14" s="206"/>
      <c r="C14" s="213"/>
      <c r="D14" s="213"/>
      <c r="E14" s="213"/>
      <c r="F14" s="216"/>
      <c r="G14" s="216"/>
      <c r="H14" s="165">
        <f t="shared" si="0"/>
        <v>0</v>
      </c>
      <c r="I14" s="39"/>
    </row>
    <row r="15" spans="1:9" ht="15.9" customHeight="1">
      <c r="A15" s="433"/>
      <c r="B15" s="206"/>
      <c r="C15" s="213"/>
      <c r="D15" s="213"/>
      <c r="E15" s="213"/>
      <c r="F15" s="216"/>
      <c r="G15" s="216"/>
      <c r="H15" s="165">
        <f t="shared" si="0"/>
        <v>0</v>
      </c>
      <c r="I15" s="39"/>
    </row>
    <row r="16" spans="1:9" ht="15.9" customHeight="1">
      <c r="A16" s="433"/>
      <c r="B16" s="206"/>
      <c r="C16" s="213"/>
      <c r="D16" s="213"/>
      <c r="E16" s="213"/>
      <c r="F16" s="216"/>
      <c r="G16" s="216"/>
      <c r="H16" s="165">
        <f t="shared" si="0"/>
        <v>0</v>
      </c>
      <c r="I16" s="39"/>
    </row>
    <row r="17" spans="1:9" ht="15.9" customHeight="1">
      <c r="A17" s="433"/>
      <c r="B17" s="206"/>
      <c r="C17" s="213"/>
      <c r="D17" s="213"/>
      <c r="E17" s="213"/>
      <c r="F17" s="216"/>
      <c r="G17" s="216"/>
      <c r="H17" s="165">
        <f t="shared" si="0"/>
        <v>0</v>
      </c>
      <c r="I17" s="39"/>
    </row>
    <row r="18" spans="1:9" ht="15.9" customHeight="1">
      <c r="A18" s="433"/>
      <c r="B18" s="206"/>
      <c r="C18" s="213"/>
      <c r="D18" s="213"/>
      <c r="E18" s="213"/>
      <c r="F18" s="216"/>
      <c r="G18" s="216"/>
      <c r="H18" s="165">
        <f t="shared" si="0"/>
        <v>0</v>
      </c>
      <c r="I18" s="39"/>
    </row>
    <row r="19" spans="1:9" ht="15.9" customHeight="1">
      <c r="A19" s="433"/>
      <c r="B19" s="206"/>
      <c r="C19" s="213"/>
      <c r="D19" s="213"/>
      <c r="E19" s="213"/>
      <c r="F19" s="216"/>
      <c r="G19" s="216"/>
      <c r="H19" s="165">
        <f t="shared" si="0"/>
        <v>0</v>
      </c>
      <c r="I19" s="39"/>
    </row>
    <row r="20" spans="1:9" ht="15.9" customHeight="1">
      <c r="A20" s="433"/>
      <c r="B20" s="206"/>
      <c r="C20" s="213"/>
      <c r="D20" s="213"/>
      <c r="E20" s="213"/>
      <c r="F20" s="216"/>
      <c r="G20" s="216"/>
      <c r="H20" s="165">
        <f t="shared" si="0"/>
        <v>0</v>
      </c>
      <c r="I20" s="39"/>
    </row>
    <row r="21" spans="1:9" ht="15.9" customHeight="1">
      <c r="A21" s="433"/>
      <c r="B21" s="206"/>
      <c r="C21" s="213"/>
      <c r="D21" s="213"/>
      <c r="E21" s="213"/>
      <c r="F21" s="216"/>
      <c r="G21" s="216"/>
      <c r="H21" s="165">
        <f t="shared" si="0"/>
        <v>0</v>
      </c>
      <c r="I21" s="39"/>
    </row>
    <row r="22" spans="1:9" ht="15.9" customHeight="1">
      <c r="A22" s="433"/>
      <c r="B22" s="206"/>
      <c r="C22" s="213"/>
      <c r="D22" s="213"/>
      <c r="E22" s="213"/>
      <c r="F22" s="216"/>
      <c r="G22" s="216"/>
      <c r="H22" s="165">
        <f t="shared" si="0"/>
        <v>0</v>
      </c>
      <c r="I22" s="39"/>
    </row>
    <row r="23" spans="1:9" ht="15.9" customHeight="1">
      <c r="A23" s="433"/>
      <c r="B23" s="206"/>
      <c r="C23" s="217" t="s">
        <v>129</v>
      </c>
      <c r="D23" s="234"/>
      <c r="E23" s="234"/>
      <c r="F23" s="236"/>
      <c r="G23" s="236"/>
      <c r="H23" s="237">
        <f t="shared" si="0"/>
        <v>0</v>
      </c>
      <c r="I23" s="238"/>
    </row>
    <row r="24" spans="1:9" ht="15.9" customHeight="1">
      <c r="A24" s="433"/>
      <c r="B24" s="221"/>
      <c r="C24" s="240"/>
      <c r="D24" s="240"/>
      <c r="E24" s="240"/>
      <c r="F24" s="243"/>
      <c r="G24" s="243"/>
      <c r="H24" s="244">
        <f>SUM(H3:H23)</f>
        <v>0</v>
      </c>
      <c r="I24" s="240"/>
    </row>
    <row r="25" spans="1:9" ht="15.9" customHeight="1">
      <c r="A25" s="433"/>
      <c r="B25" s="206" t="s">
        <v>147</v>
      </c>
      <c r="C25" s="207"/>
      <c r="D25" s="207"/>
      <c r="E25" s="207"/>
      <c r="F25" s="210"/>
      <c r="G25" s="210"/>
      <c r="H25" s="211">
        <f t="shared" si="0"/>
        <v>0</v>
      </c>
      <c r="I25" s="212"/>
    </row>
    <row r="26" spans="1:9" ht="15.9" customHeight="1">
      <c r="A26" s="433"/>
      <c r="B26" s="206" t="s">
        <v>148</v>
      </c>
      <c r="C26" s="213"/>
      <c r="D26" s="213"/>
      <c r="E26" s="213"/>
      <c r="F26" s="216"/>
      <c r="G26" s="216"/>
      <c r="H26" s="165">
        <f t="shared" si="0"/>
        <v>0</v>
      </c>
      <c r="I26" s="39"/>
    </row>
    <row r="27" spans="1:9" ht="15.9" customHeight="1">
      <c r="A27" s="433"/>
      <c r="B27" s="206"/>
      <c r="C27" s="213"/>
      <c r="D27" s="213"/>
      <c r="E27" s="213"/>
      <c r="F27" s="216"/>
      <c r="G27" s="216"/>
      <c r="H27" s="165">
        <f t="shared" si="0"/>
        <v>0</v>
      </c>
      <c r="I27" s="39"/>
    </row>
    <row r="28" spans="1:9" ht="15.9" customHeight="1">
      <c r="A28" s="433"/>
      <c r="B28" s="206"/>
      <c r="C28" s="213"/>
      <c r="D28" s="213"/>
      <c r="E28" s="213"/>
      <c r="F28" s="216"/>
      <c r="G28" s="216"/>
      <c r="H28" s="165">
        <f t="shared" si="0"/>
        <v>0</v>
      </c>
      <c r="I28" s="39"/>
    </row>
    <row r="29" spans="1:9" ht="15.9" customHeight="1">
      <c r="A29" s="433"/>
      <c r="B29" s="206"/>
      <c r="C29" s="234"/>
      <c r="D29" s="234"/>
      <c r="E29" s="234"/>
      <c r="F29" s="236"/>
      <c r="G29" s="236"/>
      <c r="H29" s="165">
        <f t="shared" si="0"/>
        <v>0</v>
      </c>
      <c r="I29" s="238"/>
    </row>
    <row r="30" spans="1:9" ht="15.9" customHeight="1">
      <c r="A30" s="433"/>
      <c r="B30" s="206"/>
      <c r="C30" s="234"/>
      <c r="D30" s="234"/>
      <c r="E30" s="234"/>
      <c r="F30" s="236"/>
      <c r="G30" s="236"/>
      <c r="H30" s="165">
        <f t="shared" si="0"/>
        <v>0</v>
      </c>
      <c r="I30" s="238"/>
    </row>
    <row r="31" spans="1:9" ht="15.9" customHeight="1">
      <c r="A31" s="433"/>
      <c r="B31" s="206"/>
      <c r="C31" s="234"/>
      <c r="D31" s="234"/>
      <c r="E31" s="234"/>
      <c r="F31" s="236"/>
      <c r="G31" s="236"/>
      <c r="H31" s="165">
        <f t="shared" si="0"/>
        <v>0</v>
      </c>
      <c r="I31" s="238"/>
    </row>
    <row r="32" spans="1:9" ht="15.9" customHeight="1">
      <c r="A32" s="433"/>
      <c r="B32" s="206"/>
      <c r="C32" s="234"/>
      <c r="D32" s="234"/>
      <c r="E32" s="234"/>
      <c r="F32" s="236"/>
      <c r="G32" s="236"/>
      <c r="H32" s="165">
        <f t="shared" si="0"/>
        <v>0</v>
      </c>
      <c r="I32" s="238"/>
    </row>
    <row r="33" spans="1:9" ht="15.9" customHeight="1">
      <c r="A33" s="433"/>
      <c r="B33" s="206"/>
      <c r="C33" s="234"/>
      <c r="D33" s="234"/>
      <c r="E33" s="234"/>
      <c r="F33" s="236"/>
      <c r="G33" s="236"/>
      <c r="H33" s="165">
        <f t="shared" si="0"/>
        <v>0</v>
      </c>
      <c r="I33" s="238"/>
    </row>
    <row r="34" spans="1:9" ht="15.9" customHeight="1">
      <c r="A34" s="433"/>
      <c r="B34" s="206"/>
      <c r="C34" s="217" t="s">
        <v>129</v>
      </c>
      <c r="D34" s="217"/>
      <c r="E34" s="217"/>
      <c r="F34" s="220"/>
      <c r="G34" s="220"/>
      <c r="H34" s="165">
        <f t="shared" si="0"/>
        <v>0</v>
      </c>
      <c r="I34" s="42"/>
    </row>
    <row r="35" spans="1:9" ht="15.9" customHeight="1">
      <c r="A35" s="433"/>
      <c r="B35" s="221"/>
      <c r="C35" s="222"/>
      <c r="D35" s="223"/>
      <c r="E35" s="223"/>
      <c r="F35" s="291"/>
      <c r="G35" s="225"/>
      <c r="H35" s="49">
        <f>SUM(H25:H34)</f>
        <v>0</v>
      </c>
      <c r="I35" s="46"/>
    </row>
    <row r="36" spans="1:9" ht="15.9" customHeight="1">
      <c r="A36" s="433"/>
      <c r="B36" s="245" t="s">
        <v>149</v>
      </c>
      <c r="C36" s="227"/>
      <c r="D36" s="227"/>
      <c r="E36" s="227"/>
      <c r="F36" s="230"/>
      <c r="G36" s="230"/>
      <c r="H36" s="231">
        <f t="shared" si="0"/>
        <v>0</v>
      </c>
      <c r="I36" s="232"/>
    </row>
    <row r="37" spans="1:9" ht="15.9" customHeight="1">
      <c r="A37" s="433"/>
      <c r="B37" s="206" t="s">
        <v>150</v>
      </c>
      <c r="C37" s="213"/>
      <c r="D37" s="213"/>
      <c r="E37" s="213"/>
      <c r="F37" s="216"/>
      <c r="G37" s="216"/>
      <c r="H37" s="165">
        <f t="shared" si="0"/>
        <v>0</v>
      </c>
      <c r="I37" s="39"/>
    </row>
    <row r="38" spans="1:9" ht="15.9" customHeight="1">
      <c r="A38" s="433"/>
      <c r="B38" s="206"/>
      <c r="C38" s="213"/>
      <c r="D38" s="213"/>
      <c r="E38" s="213"/>
      <c r="F38" s="216"/>
      <c r="G38" s="216"/>
      <c r="H38" s="165">
        <f t="shared" si="0"/>
        <v>0</v>
      </c>
      <c r="I38" s="39"/>
    </row>
    <row r="39" spans="1:9" ht="15.9" customHeight="1">
      <c r="A39" s="433"/>
      <c r="B39" s="206"/>
      <c r="C39" s="213"/>
      <c r="D39" s="213"/>
      <c r="E39" s="213"/>
      <c r="F39" s="216"/>
      <c r="G39" s="216"/>
      <c r="H39" s="165">
        <f t="shared" si="0"/>
        <v>0</v>
      </c>
      <c r="I39" s="39"/>
    </row>
    <row r="40" spans="1:9" ht="15.9" customHeight="1">
      <c r="A40" s="433"/>
      <c r="B40" s="206"/>
      <c r="C40" s="213"/>
      <c r="D40" s="213"/>
      <c r="E40" s="213"/>
      <c r="F40" s="216"/>
      <c r="G40" s="216"/>
      <c r="H40" s="165">
        <f t="shared" si="0"/>
        <v>0</v>
      </c>
      <c r="I40" s="39"/>
    </row>
    <row r="41" spans="1:9" ht="15.9" customHeight="1">
      <c r="A41" s="433"/>
      <c r="B41" s="206"/>
      <c r="C41" s="213"/>
      <c r="D41" s="213"/>
      <c r="E41" s="213"/>
      <c r="F41" s="216"/>
      <c r="G41" s="216"/>
      <c r="H41" s="165">
        <f t="shared" si="0"/>
        <v>0</v>
      </c>
      <c r="I41" s="39"/>
    </row>
    <row r="42" spans="1:9" ht="15.9" customHeight="1">
      <c r="A42" s="433"/>
      <c r="B42" s="206"/>
      <c r="C42" s="213"/>
      <c r="D42" s="213"/>
      <c r="E42" s="213"/>
      <c r="F42" s="216"/>
      <c r="G42" s="216"/>
      <c r="H42" s="165">
        <f t="shared" si="0"/>
        <v>0</v>
      </c>
      <c r="I42" s="39"/>
    </row>
    <row r="43" spans="1:9" ht="15.9" customHeight="1">
      <c r="A43" s="433"/>
      <c r="B43" s="206"/>
      <c r="C43" s="213"/>
      <c r="D43" s="213"/>
      <c r="E43" s="213"/>
      <c r="F43" s="216"/>
      <c r="G43" s="216"/>
      <c r="H43" s="165">
        <f t="shared" si="0"/>
        <v>0</v>
      </c>
      <c r="I43" s="39"/>
    </row>
    <row r="44" spans="1:9" ht="15.9" customHeight="1">
      <c r="A44" s="433"/>
      <c r="B44" s="206"/>
      <c r="C44" s="213"/>
      <c r="D44" s="213"/>
      <c r="E44" s="213"/>
      <c r="F44" s="216"/>
      <c r="G44" s="216"/>
      <c r="H44" s="165">
        <f t="shared" si="0"/>
        <v>0</v>
      </c>
      <c r="I44" s="39"/>
    </row>
    <row r="45" spans="1:9" ht="15.9" customHeight="1">
      <c r="A45" s="433"/>
      <c r="B45" s="206"/>
      <c r="C45" s="213"/>
      <c r="D45" s="213"/>
      <c r="E45" s="213"/>
      <c r="F45" s="216"/>
      <c r="G45" s="216"/>
      <c r="H45" s="165">
        <f t="shared" si="0"/>
        <v>0</v>
      </c>
      <c r="I45" s="39"/>
    </row>
    <row r="46" spans="1:9" ht="15.9" customHeight="1">
      <c r="A46" s="433"/>
      <c r="B46" s="206"/>
      <c r="C46" s="213"/>
      <c r="D46" s="213"/>
      <c r="E46" s="213"/>
      <c r="F46" s="216"/>
      <c r="G46" s="216"/>
      <c r="H46" s="165">
        <f t="shared" si="0"/>
        <v>0</v>
      </c>
      <c r="I46" s="39"/>
    </row>
    <row r="47" spans="1:9" ht="15.9" customHeight="1">
      <c r="A47" s="433"/>
      <c r="B47" s="206"/>
      <c r="C47" s="213"/>
      <c r="D47" s="213"/>
      <c r="E47" s="213"/>
      <c r="F47" s="216"/>
      <c r="G47" s="216"/>
      <c r="H47" s="165">
        <f t="shared" si="0"/>
        <v>0</v>
      </c>
      <c r="I47" s="39"/>
    </row>
    <row r="48" spans="1:9" ht="15.9" customHeight="1">
      <c r="A48" s="433"/>
      <c r="B48" s="206"/>
      <c r="C48" s="213"/>
      <c r="D48" s="213"/>
      <c r="E48" s="213"/>
      <c r="F48" s="216"/>
      <c r="G48" s="216"/>
      <c r="H48" s="165">
        <f t="shared" si="0"/>
        <v>0</v>
      </c>
      <c r="I48" s="39"/>
    </row>
    <row r="49" spans="1:9" ht="15.9" customHeight="1">
      <c r="A49" s="433"/>
      <c r="B49" s="206"/>
      <c r="C49" s="213"/>
      <c r="D49" s="213"/>
      <c r="E49" s="213"/>
      <c r="F49" s="216"/>
      <c r="G49" s="216"/>
      <c r="H49" s="165">
        <f t="shared" si="0"/>
        <v>0</v>
      </c>
      <c r="I49" s="39"/>
    </row>
    <row r="50" spans="1:9" ht="15.9" customHeight="1">
      <c r="A50" s="433"/>
      <c r="B50" s="206"/>
      <c r="C50" s="213"/>
      <c r="D50" s="213"/>
      <c r="E50" s="213"/>
      <c r="F50" s="216"/>
      <c r="G50" s="216"/>
      <c r="H50" s="165">
        <f t="shared" si="0"/>
        <v>0</v>
      </c>
      <c r="I50" s="39"/>
    </row>
    <row r="51" spans="1:9" ht="15.9" customHeight="1">
      <c r="A51" s="433"/>
      <c r="B51" s="206"/>
      <c r="C51" s="213"/>
      <c r="D51" s="213"/>
      <c r="E51" s="213"/>
      <c r="F51" s="216"/>
      <c r="G51" s="216"/>
      <c r="H51" s="165">
        <f t="shared" si="0"/>
        <v>0</v>
      </c>
      <c r="I51" s="39"/>
    </row>
    <row r="52" spans="1:9" ht="15.9" customHeight="1">
      <c r="A52" s="433"/>
      <c r="B52" s="206"/>
      <c r="C52" s="213"/>
      <c r="D52" s="213"/>
      <c r="E52" s="213"/>
      <c r="F52" s="216"/>
      <c r="G52" s="216"/>
      <c r="H52" s="165">
        <f t="shared" si="0"/>
        <v>0</v>
      </c>
      <c r="I52" s="39"/>
    </row>
    <row r="53" spans="1:9" ht="15.9" customHeight="1">
      <c r="A53" s="433"/>
      <c r="B53" s="206"/>
      <c r="C53" s="213"/>
      <c r="D53" s="213"/>
      <c r="E53" s="213"/>
      <c r="F53" s="216"/>
      <c r="G53" s="216"/>
      <c r="H53" s="165">
        <f t="shared" si="0"/>
        <v>0</v>
      </c>
      <c r="I53" s="39"/>
    </row>
    <row r="54" spans="1:9" ht="15.9" customHeight="1">
      <c r="A54" s="433"/>
      <c r="B54" s="206"/>
      <c r="C54" s="213"/>
      <c r="D54" s="213"/>
      <c r="E54" s="213"/>
      <c r="F54" s="216"/>
      <c r="G54" s="216"/>
      <c r="H54" s="165">
        <f t="shared" si="0"/>
        <v>0</v>
      </c>
      <c r="I54" s="39"/>
    </row>
    <row r="55" spans="1:9" ht="15.9" customHeight="1">
      <c r="A55" s="433"/>
      <c r="B55" s="206"/>
      <c r="C55" s="217" t="s">
        <v>129</v>
      </c>
      <c r="D55" s="217"/>
      <c r="E55" s="217"/>
      <c r="F55" s="220"/>
      <c r="G55" s="220"/>
      <c r="H55" s="175">
        <f t="shared" si="0"/>
        <v>0</v>
      </c>
      <c r="I55" s="42"/>
    </row>
    <row r="56" spans="1:9" ht="15.9" customHeight="1">
      <c r="A56" s="433"/>
      <c r="B56" s="221"/>
      <c r="C56" s="222"/>
      <c r="D56" s="223"/>
      <c r="E56" s="223"/>
      <c r="F56" s="225"/>
      <c r="G56" s="225"/>
      <c r="H56" s="49">
        <f>SUM(H36:H55)</f>
        <v>0</v>
      </c>
      <c r="I56" s="46"/>
    </row>
    <row r="57" spans="1:9" ht="15.9" customHeight="1">
      <c r="A57" s="433"/>
      <c r="B57" s="245" t="s">
        <v>51</v>
      </c>
      <c r="C57" s="227"/>
      <c r="D57" s="227"/>
      <c r="E57" s="227"/>
      <c r="F57" s="230"/>
      <c r="G57" s="230"/>
      <c r="H57" s="231">
        <f t="shared" si="0"/>
        <v>0</v>
      </c>
      <c r="I57" s="232"/>
    </row>
    <row r="58" spans="1:9" ht="15.9" customHeight="1">
      <c r="A58" s="433"/>
      <c r="B58" s="206"/>
      <c r="C58" s="213"/>
      <c r="D58" s="213"/>
      <c r="E58" s="213"/>
      <c r="F58" s="216"/>
      <c r="G58" s="216"/>
      <c r="H58" s="165">
        <f t="shared" si="0"/>
        <v>0</v>
      </c>
      <c r="I58" s="39"/>
    </row>
    <row r="59" spans="1:9" ht="15.9" customHeight="1">
      <c r="A59" s="433"/>
      <c r="B59" s="206"/>
      <c r="C59" s="213"/>
      <c r="D59" s="213"/>
      <c r="E59" s="213"/>
      <c r="F59" s="216"/>
      <c r="G59" s="216"/>
      <c r="H59" s="165">
        <f t="shared" si="0"/>
        <v>0</v>
      </c>
      <c r="I59" s="39"/>
    </row>
    <row r="60" spans="1:9" ht="15.9" customHeight="1">
      <c r="A60" s="433"/>
      <c r="B60" s="206"/>
      <c r="C60" s="213"/>
      <c r="D60" s="213"/>
      <c r="E60" s="213"/>
      <c r="F60" s="216"/>
      <c r="G60" s="216"/>
      <c r="H60" s="165">
        <f t="shared" si="0"/>
        <v>0</v>
      </c>
      <c r="I60" s="39"/>
    </row>
    <row r="61" spans="1:9" ht="15.9" customHeight="1">
      <c r="A61" s="433"/>
      <c r="B61" s="206"/>
      <c r="C61" s="213"/>
      <c r="D61" s="213"/>
      <c r="E61" s="213"/>
      <c r="F61" s="216"/>
      <c r="G61" s="216"/>
      <c r="H61" s="165">
        <f t="shared" si="0"/>
        <v>0</v>
      </c>
      <c r="I61" s="39"/>
    </row>
    <row r="62" spans="1:9" ht="15.9" customHeight="1">
      <c r="A62" s="433"/>
      <c r="B62" s="206"/>
      <c r="C62" s="213"/>
      <c r="D62" s="213"/>
      <c r="E62" s="213"/>
      <c r="F62" s="216"/>
      <c r="G62" s="216"/>
      <c r="H62" s="165">
        <f t="shared" si="0"/>
        <v>0</v>
      </c>
      <c r="I62" s="39"/>
    </row>
    <row r="63" spans="1:9" ht="15.9" customHeight="1">
      <c r="A63" s="433"/>
      <c r="B63" s="206"/>
      <c r="C63" s="213"/>
      <c r="D63" s="213"/>
      <c r="E63" s="213"/>
      <c r="F63" s="216"/>
      <c r="G63" s="216"/>
      <c r="H63" s="165">
        <f t="shared" si="0"/>
        <v>0</v>
      </c>
      <c r="I63" s="39"/>
    </row>
    <row r="64" spans="1:9" ht="15.9" customHeight="1">
      <c r="A64" s="433"/>
      <c r="B64" s="206"/>
      <c r="C64" s="213"/>
      <c r="D64" s="213"/>
      <c r="E64" s="213"/>
      <c r="F64" s="216"/>
      <c r="G64" s="216"/>
      <c r="H64" s="165">
        <f t="shared" si="0"/>
        <v>0</v>
      </c>
      <c r="I64" s="39"/>
    </row>
    <row r="65" spans="1:9" ht="15.9" customHeight="1">
      <c r="A65" s="433"/>
      <c r="B65" s="206"/>
      <c r="C65" s="213"/>
      <c r="D65" s="213"/>
      <c r="E65" s="213"/>
      <c r="F65" s="216"/>
      <c r="G65" s="216"/>
      <c r="H65" s="165">
        <f t="shared" si="0"/>
        <v>0</v>
      </c>
      <c r="I65" s="39"/>
    </row>
    <row r="66" spans="1:9" ht="15.9" customHeight="1">
      <c r="A66" s="433"/>
      <c r="B66" s="206"/>
      <c r="C66" s="213"/>
      <c r="D66" s="213"/>
      <c r="E66" s="213"/>
      <c r="F66" s="216"/>
      <c r="G66" s="216"/>
      <c r="H66" s="165">
        <f t="shared" si="0"/>
        <v>0</v>
      </c>
      <c r="I66" s="39"/>
    </row>
    <row r="67" spans="1:9" ht="15.9" customHeight="1">
      <c r="A67" s="433"/>
      <c r="B67" s="206"/>
      <c r="C67" s="213"/>
      <c r="D67" s="213"/>
      <c r="E67" s="213"/>
      <c r="F67" s="216"/>
      <c r="G67" s="216"/>
      <c r="H67" s="165">
        <f t="shared" si="0"/>
        <v>0</v>
      </c>
      <c r="I67" s="39"/>
    </row>
    <row r="68" spans="1:9" ht="15.9" customHeight="1">
      <c r="A68" s="433"/>
      <c r="B68" s="206"/>
      <c r="C68" s="213"/>
      <c r="D68" s="213"/>
      <c r="E68" s="213"/>
      <c r="F68" s="216"/>
      <c r="G68" s="216"/>
      <c r="H68" s="165">
        <f t="shared" si="0"/>
        <v>0</v>
      </c>
      <c r="I68" s="39"/>
    </row>
    <row r="69" spans="1:9" ht="15.9" customHeight="1">
      <c r="A69" s="433"/>
      <c r="B69" s="206"/>
      <c r="C69" s="213"/>
      <c r="D69" s="213"/>
      <c r="E69" s="213"/>
      <c r="F69" s="216"/>
      <c r="G69" s="216"/>
      <c r="H69" s="165">
        <f t="shared" si="0"/>
        <v>0</v>
      </c>
      <c r="I69" s="39"/>
    </row>
    <row r="70" spans="1:9" ht="15.9" customHeight="1">
      <c r="A70" s="433"/>
      <c r="B70" s="206"/>
      <c r="C70" s="213"/>
      <c r="D70" s="213"/>
      <c r="E70" s="213"/>
      <c r="F70" s="216"/>
      <c r="G70" s="216"/>
      <c r="H70" s="165">
        <f t="shared" si="0"/>
        <v>0</v>
      </c>
      <c r="I70" s="39"/>
    </row>
    <row r="71" spans="1:9" ht="15.9" customHeight="1">
      <c r="A71" s="433"/>
      <c r="B71" s="206"/>
      <c r="C71" s="213"/>
      <c r="D71" s="213"/>
      <c r="E71" s="213"/>
      <c r="F71" s="216"/>
      <c r="G71" s="216"/>
      <c r="H71" s="165">
        <f t="shared" si="0"/>
        <v>0</v>
      </c>
      <c r="I71" s="39"/>
    </row>
    <row r="72" spans="1:9" ht="15.9" customHeight="1">
      <c r="A72" s="433"/>
      <c r="B72" s="206"/>
      <c r="C72" s="213"/>
      <c r="D72" s="213"/>
      <c r="E72" s="213"/>
      <c r="F72" s="216"/>
      <c r="G72" s="216"/>
      <c r="H72" s="165">
        <f t="shared" si="0"/>
        <v>0</v>
      </c>
      <c r="I72" s="39"/>
    </row>
    <row r="73" spans="1:9" ht="15.9" customHeight="1">
      <c r="A73" s="433"/>
      <c r="B73" s="206"/>
      <c r="C73" s="213"/>
      <c r="D73" s="213"/>
      <c r="E73" s="213"/>
      <c r="F73" s="216"/>
      <c r="G73" s="216"/>
      <c r="H73" s="165">
        <f t="shared" si="0"/>
        <v>0</v>
      </c>
      <c r="I73" s="39"/>
    </row>
    <row r="74" spans="1:9" ht="15.9" customHeight="1">
      <c r="A74" s="433"/>
      <c r="B74" s="206"/>
      <c r="C74" s="213"/>
      <c r="D74" s="213"/>
      <c r="E74" s="213"/>
      <c r="F74" s="216"/>
      <c r="G74" s="216"/>
      <c r="H74" s="165">
        <f t="shared" si="0"/>
        <v>0</v>
      </c>
      <c r="I74" s="39"/>
    </row>
    <row r="75" spans="1:9" ht="15.9" customHeight="1">
      <c r="A75" s="433"/>
      <c r="B75" s="206"/>
      <c r="C75" s="213"/>
      <c r="D75" s="213"/>
      <c r="E75" s="213"/>
      <c r="F75" s="216"/>
      <c r="G75" s="216"/>
      <c r="H75" s="165">
        <f t="shared" si="0"/>
        <v>0</v>
      </c>
      <c r="I75" s="39"/>
    </row>
    <row r="76" spans="1:9" ht="15.9" customHeight="1">
      <c r="A76" s="433"/>
      <c r="B76" s="206"/>
      <c r="C76" s="217" t="s">
        <v>129</v>
      </c>
      <c r="D76" s="217"/>
      <c r="E76" s="217"/>
      <c r="F76" s="220"/>
      <c r="G76" s="220"/>
      <c r="H76" s="175">
        <f t="shared" si="0"/>
        <v>0</v>
      </c>
      <c r="I76" s="42"/>
    </row>
    <row r="77" spans="1:9" ht="15.9" customHeight="1">
      <c r="A77" s="433"/>
      <c r="B77" s="221"/>
      <c r="C77" s="222"/>
      <c r="D77" s="223"/>
      <c r="E77" s="223"/>
      <c r="F77" s="225"/>
      <c r="G77" s="225"/>
      <c r="H77" s="49">
        <f>SUM(H57:H76)</f>
        <v>0</v>
      </c>
      <c r="I77" s="46"/>
    </row>
    <row r="78" spans="1:9" ht="15.9" customHeight="1">
      <c r="A78" s="246"/>
      <c r="B78" s="247" t="s">
        <v>131</v>
      </c>
      <c r="C78" s="248"/>
      <c r="D78" s="46"/>
      <c r="E78" s="46"/>
      <c r="F78" s="250"/>
      <c r="G78" s="250"/>
      <c r="H78" s="49">
        <f>SUM(H77,H56,H35,H24)</f>
        <v>0</v>
      </c>
      <c r="I78" s="46"/>
    </row>
    <row r="79" spans="1:9" ht="15.9" customHeight="1">
      <c r="A79" s="429" t="s">
        <v>132</v>
      </c>
      <c r="B79" s="251" t="s">
        <v>57</v>
      </c>
      <c r="C79" s="248"/>
      <c r="D79" s="46"/>
      <c r="E79" s="251" t="s">
        <v>58</v>
      </c>
      <c r="F79" s="265"/>
      <c r="G79" s="254"/>
      <c r="H79" s="255">
        <f>F79*G79</f>
        <v>0</v>
      </c>
      <c r="I79" s="46"/>
    </row>
    <row r="80" spans="1:9" ht="15.9" customHeight="1">
      <c r="A80" s="433"/>
      <c r="B80" s="256" t="s">
        <v>152</v>
      </c>
      <c r="C80" s="257"/>
      <c r="D80" s="232"/>
      <c r="E80" s="256" t="s">
        <v>134</v>
      </c>
      <c r="F80" s="230"/>
      <c r="G80" s="230"/>
      <c r="H80" s="231">
        <f t="shared" ref="H80:H86" si="1">F80*G80</f>
        <v>0</v>
      </c>
      <c r="I80" s="232"/>
    </row>
    <row r="81" spans="1:9" ht="15.9" customHeight="1">
      <c r="A81" s="433"/>
      <c r="B81" s="258" t="s">
        <v>153</v>
      </c>
      <c r="C81" s="259"/>
      <c r="D81" s="39"/>
      <c r="E81" s="258" t="s">
        <v>134</v>
      </c>
      <c r="F81" s="216"/>
      <c r="G81" s="216"/>
      <c r="H81" s="165">
        <f t="shared" si="1"/>
        <v>0</v>
      </c>
      <c r="I81" s="39"/>
    </row>
    <row r="82" spans="1:9" ht="15.9" customHeight="1">
      <c r="A82" s="433"/>
      <c r="B82" s="258" t="s">
        <v>154</v>
      </c>
      <c r="C82" s="259"/>
      <c r="D82" s="39"/>
      <c r="E82" s="258" t="s">
        <v>134</v>
      </c>
      <c r="F82" s="216"/>
      <c r="G82" s="216"/>
      <c r="H82" s="165">
        <f t="shared" si="1"/>
        <v>0</v>
      </c>
      <c r="I82" s="39"/>
    </row>
    <row r="83" spans="1:9" ht="15.9" customHeight="1">
      <c r="A83" s="433"/>
      <c r="B83" s="258" t="s">
        <v>155</v>
      </c>
      <c r="C83" s="259"/>
      <c r="D83" s="39"/>
      <c r="E83" s="258" t="s">
        <v>134</v>
      </c>
      <c r="F83" s="216"/>
      <c r="G83" s="216"/>
      <c r="H83" s="165">
        <f t="shared" si="1"/>
        <v>0</v>
      </c>
      <c r="I83" s="39"/>
    </row>
    <row r="84" spans="1:9" ht="15.9" customHeight="1">
      <c r="A84" s="433"/>
      <c r="B84" s="258" t="s">
        <v>156</v>
      </c>
      <c r="C84" s="259"/>
      <c r="D84" s="39"/>
      <c r="E84" s="258" t="s">
        <v>134</v>
      </c>
      <c r="F84" s="216"/>
      <c r="G84" s="216"/>
      <c r="H84" s="165">
        <f t="shared" si="1"/>
        <v>0</v>
      </c>
      <c r="I84" s="39"/>
    </row>
    <row r="85" spans="1:9" ht="15.9" customHeight="1">
      <c r="A85" s="433"/>
      <c r="B85" s="258" t="s">
        <v>157</v>
      </c>
      <c r="C85" s="259"/>
      <c r="D85" s="39"/>
      <c r="E85" s="258" t="s">
        <v>134</v>
      </c>
      <c r="F85" s="216"/>
      <c r="G85" s="216"/>
      <c r="H85" s="165">
        <f t="shared" si="1"/>
        <v>0</v>
      </c>
      <c r="I85" s="39"/>
    </row>
    <row r="86" spans="1:9" ht="15.9" customHeight="1">
      <c r="A86" s="433"/>
      <c r="B86" s="260" t="s">
        <v>161</v>
      </c>
      <c r="C86" s="261"/>
      <c r="D86" s="42"/>
      <c r="E86" s="260" t="s">
        <v>134</v>
      </c>
      <c r="F86" s="220"/>
      <c r="G86" s="220"/>
      <c r="H86" s="175">
        <f t="shared" si="1"/>
        <v>0</v>
      </c>
      <c r="I86" s="42"/>
    </row>
    <row r="87" spans="1:9" ht="15.9" customHeight="1">
      <c r="A87" s="246"/>
      <c r="B87" s="262" t="s">
        <v>140</v>
      </c>
      <c r="C87" s="248"/>
      <c r="D87" s="46"/>
      <c r="E87" s="46"/>
      <c r="F87" s="225"/>
      <c r="G87" s="225"/>
      <c r="H87" s="225">
        <f>SUM(H79:H86)</f>
        <v>0</v>
      </c>
      <c r="I87" s="223"/>
    </row>
    <row r="88" spans="1:9" ht="15.9" customHeight="1">
      <c r="A88" s="252"/>
      <c r="B88" s="262" t="s">
        <v>159</v>
      </c>
      <c r="C88" s="248"/>
      <c r="D88" s="46"/>
      <c r="E88" s="46"/>
      <c r="F88" s="49"/>
      <c r="G88" s="49"/>
      <c r="H88" s="250">
        <f>'단위공사별(집계)'!L14+'단위공사별(집계)'!I14</f>
        <v>0</v>
      </c>
      <c r="I88" s="46"/>
    </row>
    <row r="89" spans="1:9" ht="15.9" customHeight="1">
      <c r="A89" s="252"/>
      <c r="B89" s="262" t="s">
        <v>83</v>
      </c>
      <c r="C89" s="248"/>
      <c r="D89" s="46"/>
      <c r="E89" s="46"/>
      <c r="F89" s="49"/>
      <c r="G89" s="264"/>
      <c r="H89" s="265">
        <f>(H87+H78)*0.05</f>
        <v>0</v>
      </c>
      <c r="I89" s="248"/>
    </row>
    <row r="90" spans="1:9" ht="15.9" customHeight="1">
      <c r="A90" s="252"/>
      <c r="B90" s="262" t="s">
        <v>143</v>
      </c>
      <c r="C90" s="248"/>
      <c r="D90" s="46"/>
      <c r="E90" s="46"/>
      <c r="F90" s="49"/>
      <c r="G90" s="264"/>
      <c r="H90" s="265">
        <f>(H87+H78)*0.1</f>
        <v>0</v>
      </c>
      <c r="I90" s="248"/>
    </row>
    <row r="91" spans="1:9" ht="15.9" customHeight="1">
      <c r="A91" s="252"/>
      <c r="B91" s="262" t="s">
        <v>144</v>
      </c>
      <c r="C91" s="248"/>
      <c r="D91" s="46"/>
      <c r="E91" s="46"/>
      <c r="F91" s="49"/>
      <c r="G91" s="49"/>
      <c r="H91" s="225">
        <f>H78+H87+H88+H89+H90</f>
        <v>0</v>
      </c>
      <c r="I91" s="46"/>
    </row>
    <row r="92" spans="1:9">
      <c r="A92" s="26"/>
    </row>
  </sheetData>
  <mergeCells count="3">
    <mergeCell ref="A2:B2"/>
    <mergeCell ref="A3:A77"/>
    <mergeCell ref="A79:A86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손철호 책임매니저 통합구매팀 son@hyundai-wia.com 2026-07-07T14:05:14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E9A62-821C-4635-8B17-3A1D3DC1F4F2}">
  <sheetPr>
    <pageSetUpPr fitToPage="1"/>
  </sheetPr>
  <dimension ref="A1:D36"/>
  <sheetViews>
    <sheetView zoomScale="85" workbookViewId="0">
      <selection activeCell="F18" sqref="F18:F27"/>
    </sheetView>
  </sheetViews>
  <sheetFormatPr defaultColWidth="9" defaultRowHeight="17.25" customHeight="1"/>
  <cols>
    <col min="1" max="1" width="16.5" style="24" customWidth="1"/>
    <col min="2" max="3" width="27.59765625" style="24" customWidth="1"/>
    <col min="4" max="4" width="11.5" style="24" customWidth="1"/>
    <col min="5" max="256" width="9" style="24"/>
    <col min="257" max="257" width="16.5" style="24" customWidth="1"/>
    <col min="258" max="259" width="27.59765625" style="24" customWidth="1"/>
    <col min="260" max="260" width="11.5" style="24" customWidth="1"/>
    <col min="261" max="512" width="9" style="24"/>
    <col min="513" max="513" width="16.5" style="24" customWidth="1"/>
    <col min="514" max="515" width="27.59765625" style="24" customWidth="1"/>
    <col min="516" max="516" width="11.5" style="24" customWidth="1"/>
    <col min="517" max="768" width="9" style="24"/>
    <col min="769" max="769" width="16.5" style="24" customWidth="1"/>
    <col min="770" max="771" width="27.59765625" style="24" customWidth="1"/>
    <col min="772" max="772" width="11.5" style="24" customWidth="1"/>
    <col min="773" max="1024" width="9" style="24"/>
    <col min="1025" max="1025" width="16.5" style="24" customWidth="1"/>
    <col min="1026" max="1027" width="27.59765625" style="24" customWidth="1"/>
    <col min="1028" max="1028" width="11.5" style="24" customWidth="1"/>
    <col min="1029" max="1280" width="9" style="24"/>
    <col min="1281" max="1281" width="16.5" style="24" customWidth="1"/>
    <col min="1282" max="1283" width="27.59765625" style="24" customWidth="1"/>
    <col min="1284" max="1284" width="11.5" style="24" customWidth="1"/>
    <col min="1285" max="1536" width="9" style="24"/>
    <col min="1537" max="1537" width="16.5" style="24" customWidth="1"/>
    <col min="1538" max="1539" width="27.59765625" style="24" customWidth="1"/>
    <col min="1540" max="1540" width="11.5" style="24" customWidth="1"/>
    <col min="1541" max="1792" width="9" style="24"/>
    <col min="1793" max="1793" width="16.5" style="24" customWidth="1"/>
    <col min="1794" max="1795" width="27.59765625" style="24" customWidth="1"/>
    <col min="1796" max="1796" width="11.5" style="24" customWidth="1"/>
    <col min="1797" max="2048" width="9" style="24"/>
    <col min="2049" max="2049" width="16.5" style="24" customWidth="1"/>
    <col min="2050" max="2051" width="27.59765625" style="24" customWidth="1"/>
    <col min="2052" max="2052" width="11.5" style="24" customWidth="1"/>
    <col min="2053" max="2304" width="9" style="24"/>
    <col min="2305" max="2305" width="16.5" style="24" customWidth="1"/>
    <col min="2306" max="2307" width="27.59765625" style="24" customWidth="1"/>
    <col min="2308" max="2308" width="11.5" style="24" customWidth="1"/>
    <col min="2309" max="2560" width="9" style="24"/>
    <col min="2561" max="2561" width="16.5" style="24" customWidth="1"/>
    <col min="2562" max="2563" width="27.59765625" style="24" customWidth="1"/>
    <col min="2564" max="2564" width="11.5" style="24" customWidth="1"/>
    <col min="2565" max="2816" width="9" style="24"/>
    <col min="2817" max="2817" width="16.5" style="24" customWidth="1"/>
    <col min="2818" max="2819" width="27.59765625" style="24" customWidth="1"/>
    <col min="2820" max="2820" width="11.5" style="24" customWidth="1"/>
    <col min="2821" max="3072" width="9" style="24"/>
    <col min="3073" max="3073" width="16.5" style="24" customWidth="1"/>
    <col min="3074" max="3075" width="27.59765625" style="24" customWidth="1"/>
    <col min="3076" max="3076" width="11.5" style="24" customWidth="1"/>
    <col min="3077" max="3328" width="9" style="24"/>
    <col min="3329" max="3329" width="16.5" style="24" customWidth="1"/>
    <col min="3330" max="3331" width="27.59765625" style="24" customWidth="1"/>
    <col min="3332" max="3332" width="11.5" style="24" customWidth="1"/>
    <col min="3333" max="3584" width="9" style="24"/>
    <col min="3585" max="3585" width="16.5" style="24" customWidth="1"/>
    <col min="3586" max="3587" width="27.59765625" style="24" customWidth="1"/>
    <col min="3588" max="3588" width="11.5" style="24" customWidth="1"/>
    <col min="3589" max="3840" width="9" style="24"/>
    <col min="3841" max="3841" width="16.5" style="24" customWidth="1"/>
    <col min="3842" max="3843" width="27.59765625" style="24" customWidth="1"/>
    <col min="3844" max="3844" width="11.5" style="24" customWidth="1"/>
    <col min="3845" max="4096" width="9" style="24"/>
    <col min="4097" max="4097" width="16.5" style="24" customWidth="1"/>
    <col min="4098" max="4099" width="27.59765625" style="24" customWidth="1"/>
    <col min="4100" max="4100" width="11.5" style="24" customWidth="1"/>
    <col min="4101" max="4352" width="9" style="24"/>
    <col min="4353" max="4353" width="16.5" style="24" customWidth="1"/>
    <col min="4354" max="4355" width="27.59765625" style="24" customWidth="1"/>
    <col min="4356" max="4356" width="11.5" style="24" customWidth="1"/>
    <col min="4357" max="4608" width="9" style="24"/>
    <col min="4609" max="4609" width="16.5" style="24" customWidth="1"/>
    <col min="4610" max="4611" width="27.59765625" style="24" customWidth="1"/>
    <col min="4612" max="4612" width="11.5" style="24" customWidth="1"/>
    <col min="4613" max="4864" width="9" style="24"/>
    <col min="4865" max="4865" width="16.5" style="24" customWidth="1"/>
    <col min="4866" max="4867" width="27.59765625" style="24" customWidth="1"/>
    <col min="4868" max="4868" width="11.5" style="24" customWidth="1"/>
    <col min="4869" max="5120" width="9" style="24"/>
    <col min="5121" max="5121" width="16.5" style="24" customWidth="1"/>
    <col min="5122" max="5123" width="27.59765625" style="24" customWidth="1"/>
    <col min="5124" max="5124" width="11.5" style="24" customWidth="1"/>
    <col min="5125" max="5376" width="9" style="24"/>
    <col min="5377" max="5377" width="16.5" style="24" customWidth="1"/>
    <col min="5378" max="5379" width="27.59765625" style="24" customWidth="1"/>
    <col min="5380" max="5380" width="11.5" style="24" customWidth="1"/>
    <col min="5381" max="5632" width="9" style="24"/>
    <col min="5633" max="5633" width="16.5" style="24" customWidth="1"/>
    <col min="5634" max="5635" width="27.59765625" style="24" customWidth="1"/>
    <col min="5636" max="5636" width="11.5" style="24" customWidth="1"/>
    <col min="5637" max="5888" width="9" style="24"/>
    <col min="5889" max="5889" width="16.5" style="24" customWidth="1"/>
    <col min="5890" max="5891" width="27.59765625" style="24" customWidth="1"/>
    <col min="5892" max="5892" width="11.5" style="24" customWidth="1"/>
    <col min="5893" max="6144" width="9" style="24"/>
    <col min="6145" max="6145" width="16.5" style="24" customWidth="1"/>
    <col min="6146" max="6147" width="27.59765625" style="24" customWidth="1"/>
    <col min="6148" max="6148" width="11.5" style="24" customWidth="1"/>
    <col min="6149" max="6400" width="9" style="24"/>
    <col min="6401" max="6401" width="16.5" style="24" customWidth="1"/>
    <col min="6402" max="6403" width="27.59765625" style="24" customWidth="1"/>
    <col min="6404" max="6404" width="11.5" style="24" customWidth="1"/>
    <col min="6405" max="6656" width="9" style="24"/>
    <col min="6657" max="6657" width="16.5" style="24" customWidth="1"/>
    <col min="6658" max="6659" width="27.59765625" style="24" customWidth="1"/>
    <col min="6660" max="6660" width="11.5" style="24" customWidth="1"/>
    <col min="6661" max="6912" width="9" style="24"/>
    <col min="6913" max="6913" width="16.5" style="24" customWidth="1"/>
    <col min="6914" max="6915" width="27.59765625" style="24" customWidth="1"/>
    <col min="6916" max="6916" width="11.5" style="24" customWidth="1"/>
    <col min="6917" max="7168" width="9" style="24"/>
    <col min="7169" max="7169" width="16.5" style="24" customWidth="1"/>
    <col min="7170" max="7171" width="27.59765625" style="24" customWidth="1"/>
    <col min="7172" max="7172" width="11.5" style="24" customWidth="1"/>
    <col min="7173" max="7424" width="9" style="24"/>
    <col min="7425" max="7425" width="16.5" style="24" customWidth="1"/>
    <col min="7426" max="7427" width="27.59765625" style="24" customWidth="1"/>
    <col min="7428" max="7428" width="11.5" style="24" customWidth="1"/>
    <col min="7429" max="7680" width="9" style="24"/>
    <col min="7681" max="7681" width="16.5" style="24" customWidth="1"/>
    <col min="7682" max="7683" width="27.59765625" style="24" customWidth="1"/>
    <col min="7684" max="7684" width="11.5" style="24" customWidth="1"/>
    <col min="7685" max="7936" width="9" style="24"/>
    <col min="7937" max="7937" width="16.5" style="24" customWidth="1"/>
    <col min="7938" max="7939" width="27.59765625" style="24" customWidth="1"/>
    <col min="7940" max="7940" width="11.5" style="24" customWidth="1"/>
    <col min="7941" max="8192" width="9" style="24"/>
    <col min="8193" max="8193" width="16.5" style="24" customWidth="1"/>
    <col min="8194" max="8195" width="27.59765625" style="24" customWidth="1"/>
    <col min="8196" max="8196" width="11.5" style="24" customWidth="1"/>
    <col min="8197" max="8448" width="9" style="24"/>
    <col min="8449" max="8449" width="16.5" style="24" customWidth="1"/>
    <col min="8450" max="8451" width="27.59765625" style="24" customWidth="1"/>
    <col min="8452" max="8452" width="11.5" style="24" customWidth="1"/>
    <col min="8453" max="8704" width="9" style="24"/>
    <col min="8705" max="8705" width="16.5" style="24" customWidth="1"/>
    <col min="8706" max="8707" width="27.59765625" style="24" customWidth="1"/>
    <col min="8708" max="8708" width="11.5" style="24" customWidth="1"/>
    <col min="8709" max="8960" width="9" style="24"/>
    <col min="8961" max="8961" width="16.5" style="24" customWidth="1"/>
    <col min="8962" max="8963" width="27.59765625" style="24" customWidth="1"/>
    <col min="8964" max="8964" width="11.5" style="24" customWidth="1"/>
    <col min="8965" max="9216" width="9" style="24"/>
    <col min="9217" max="9217" width="16.5" style="24" customWidth="1"/>
    <col min="9218" max="9219" width="27.59765625" style="24" customWidth="1"/>
    <col min="9220" max="9220" width="11.5" style="24" customWidth="1"/>
    <col min="9221" max="9472" width="9" style="24"/>
    <col min="9473" max="9473" width="16.5" style="24" customWidth="1"/>
    <col min="9474" max="9475" width="27.59765625" style="24" customWidth="1"/>
    <col min="9476" max="9476" width="11.5" style="24" customWidth="1"/>
    <col min="9477" max="9728" width="9" style="24"/>
    <col min="9729" max="9729" width="16.5" style="24" customWidth="1"/>
    <col min="9730" max="9731" width="27.59765625" style="24" customWidth="1"/>
    <col min="9732" max="9732" width="11.5" style="24" customWidth="1"/>
    <col min="9733" max="9984" width="9" style="24"/>
    <col min="9985" max="9985" width="16.5" style="24" customWidth="1"/>
    <col min="9986" max="9987" width="27.59765625" style="24" customWidth="1"/>
    <col min="9988" max="9988" width="11.5" style="24" customWidth="1"/>
    <col min="9989" max="10240" width="9" style="24"/>
    <col min="10241" max="10241" width="16.5" style="24" customWidth="1"/>
    <col min="10242" max="10243" width="27.59765625" style="24" customWidth="1"/>
    <col min="10244" max="10244" width="11.5" style="24" customWidth="1"/>
    <col min="10245" max="10496" width="9" style="24"/>
    <col min="10497" max="10497" width="16.5" style="24" customWidth="1"/>
    <col min="10498" max="10499" width="27.59765625" style="24" customWidth="1"/>
    <col min="10500" max="10500" width="11.5" style="24" customWidth="1"/>
    <col min="10501" max="10752" width="9" style="24"/>
    <col min="10753" max="10753" width="16.5" style="24" customWidth="1"/>
    <col min="10754" max="10755" width="27.59765625" style="24" customWidth="1"/>
    <col min="10756" max="10756" width="11.5" style="24" customWidth="1"/>
    <col min="10757" max="11008" width="9" style="24"/>
    <col min="11009" max="11009" width="16.5" style="24" customWidth="1"/>
    <col min="11010" max="11011" width="27.59765625" style="24" customWidth="1"/>
    <col min="11012" max="11012" width="11.5" style="24" customWidth="1"/>
    <col min="11013" max="11264" width="9" style="24"/>
    <col min="11265" max="11265" width="16.5" style="24" customWidth="1"/>
    <col min="11266" max="11267" width="27.59765625" style="24" customWidth="1"/>
    <col min="11268" max="11268" width="11.5" style="24" customWidth="1"/>
    <col min="11269" max="11520" width="9" style="24"/>
    <col min="11521" max="11521" width="16.5" style="24" customWidth="1"/>
    <col min="11522" max="11523" width="27.59765625" style="24" customWidth="1"/>
    <col min="11524" max="11524" width="11.5" style="24" customWidth="1"/>
    <col min="11525" max="11776" width="9" style="24"/>
    <col min="11777" max="11777" width="16.5" style="24" customWidth="1"/>
    <col min="11778" max="11779" width="27.59765625" style="24" customWidth="1"/>
    <col min="11780" max="11780" width="11.5" style="24" customWidth="1"/>
    <col min="11781" max="12032" width="9" style="24"/>
    <col min="12033" max="12033" width="16.5" style="24" customWidth="1"/>
    <col min="12034" max="12035" width="27.59765625" style="24" customWidth="1"/>
    <col min="12036" max="12036" width="11.5" style="24" customWidth="1"/>
    <col min="12037" max="12288" width="9" style="24"/>
    <col min="12289" max="12289" width="16.5" style="24" customWidth="1"/>
    <col min="12290" max="12291" width="27.59765625" style="24" customWidth="1"/>
    <col min="12292" max="12292" width="11.5" style="24" customWidth="1"/>
    <col min="12293" max="12544" width="9" style="24"/>
    <col min="12545" max="12545" width="16.5" style="24" customWidth="1"/>
    <col min="12546" max="12547" width="27.59765625" style="24" customWidth="1"/>
    <col min="12548" max="12548" width="11.5" style="24" customWidth="1"/>
    <col min="12549" max="12800" width="9" style="24"/>
    <col min="12801" max="12801" width="16.5" style="24" customWidth="1"/>
    <col min="12802" max="12803" width="27.59765625" style="24" customWidth="1"/>
    <col min="12804" max="12804" width="11.5" style="24" customWidth="1"/>
    <col min="12805" max="13056" width="9" style="24"/>
    <col min="13057" max="13057" width="16.5" style="24" customWidth="1"/>
    <col min="13058" max="13059" width="27.59765625" style="24" customWidth="1"/>
    <col min="13060" max="13060" width="11.5" style="24" customWidth="1"/>
    <col min="13061" max="13312" width="9" style="24"/>
    <col min="13313" max="13313" width="16.5" style="24" customWidth="1"/>
    <col min="13314" max="13315" width="27.59765625" style="24" customWidth="1"/>
    <col min="13316" max="13316" width="11.5" style="24" customWidth="1"/>
    <col min="13317" max="13568" width="9" style="24"/>
    <col min="13569" max="13569" width="16.5" style="24" customWidth="1"/>
    <col min="13570" max="13571" width="27.59765625" style="24" customWidth="1"/>
    <col min="13572" max="13572" width="11.5" style="24" customWidth="1"/>
    <col min="13573" max="13824" width="9" style="24"/>
    <col min="13825" max="13825" width="16.5" style="24" customWidth="1"/>
    <col min="13826" max="13827" width="27.59765625" style="24" customWidth="1"/>
    <col min="13828" max="13828" width="11.5" style="24" customWidth="1"/>
    <col min="13829" max="14080" width="9" style="24"/>
    <col min="14081" max="14081" width="16.5" style="24" customWidth="1"/>
    <col min="14082" max="14083" width="27.59765625" style="24" customWidth="1"/>
    <col min="14084" max="14084" width="11.5" style="24" customWidth="1"/>
    <col min="14085" max="14336" width="9" style="24"/>
    <col min="14337" max="14337" width="16.5" style="24" customWidth="1"/>
    <col min="14338" max="14339" width="27.59765625" style="24" customWidth="1"/>
    <col min="14340" max="14340" width="11.5" style="24" customWidth="1"/>
    <col min="14341" max="14592" width="9" style="24"/>
    <col min="14593" max="14593" width="16.5" style="24" customWidth="1"/>
    <col min="14594" max="14595" width="27.59765625" style="24" customWidth="1"/>
    <col min="14596" max="14596" width="11.5" style="24" customWidth="1"/>
    <col min="14597" max="14848" width="9" style="24"/>
    <col min="14849" max="14849" width="16.5" style="24" customWidth="1"/>
    <col min="14850" max="14851" width="27.59765625" style="24" customWidth="1"/>
    <col min="14852" max="14852" width="11.5" style="24" customWidth="1"/>
    <col min="14853" max="15104" width="9" style="24"/>
    <col min="15105" max="15105" width="16.5" style="24" customWidth="1"/>
    <col min="15106" max="15107" width="27.59765625" style="24" customWidth="1"/>
    <col min="15108" max="15108" width="11.5" style="24" customWidth="1"/>
    <col min="15109" max="15360" width="9" style="24"/>
    <col min="15361" max="15361" width="16.5" style="24" customWidth="1"/>
    <col min="15362" max="15363" width="27.59765625" style="24" customWidth="1"/>
    <col min="15364" max="15364" width="11.5" style="24" customWidth="1"/>
    <col min="15365" max="15616" width="9" style="24"/>
    <col min="15617" max="15617" width="16.5" style="24" customWidth="1"/>
    <col min="15618" max="15619" width="27.59765625" style="24" customWidth="1"/>
    <col min="15620" max="15620" width="11.5" style="24" customWidth="1"/>
    <col min="15621" max="15872" width="9" style="24"/>
    <col min="15873" max="15873" width="16.5" style="24" customWidth="1"/>
    <col min="15874" max="15875" width="27.59765625" style="24" customWidth="1"/>
    <col min="15876" max="15876" width="11.5" style="24" customWidth="1"/>
    <col min="15877" max="16128" width="9" style="24"/>
    <col min="16129" max="16129" width="16.5" style="24" customWidth="1"/>
    <col min="16130" max="16131" width="27.59765625" style="24" customWidth="1"/>
    <col min="16132" max="16132" width="11.5" style="24" customWidth="1"/>
    <col min="16133" max="16384" width="9" style="24"/>
  </cols>
  <sheetData>
    <row r="1" spans="1:4" ht="17.25" customHeight="1">
      <c r="A1" s="24" t="s">
        <v>164</v>
      </c>
    </row>
    <row r="2" spans="1:4" ht="17.25" customHeight="1">
      <c r="D2" s="26" t="s">
        <v>118</v>
      </c>
    </row>
    <row r="3" spans="1:4" ht="24.75" customHeight="1">
      <c r="A3" s="309" t="s">
        <v>165</v>
      </c>
    </row>
    <row r="4" spans="1:4" ht="11.25" customHeight="1"/>
    <row r="5" spans="1:4" s="311" customFormat="1" ht="21" customHeight="1" thickBot="1">
      <c r="A5" s="310" t="s">
        <v>166</v>
      </c>
      <c r="B5" s="310" t="s">
        <v>167</v>
      </c>
      <c r="C5" s="310" t="s">
        <v>168</v>
      </c>
      <c r="D5" s="310" t="s">
        <v>19</v>
      </c>
    </row>
    <row r="6" spans="1:4" ht="17.25" customHeight="1" thickTop="1">
      <c r="A6" s="270"/>
      <c r="B6" s="270"/>
      <c r="C6" s="270"/>
      <c r="D6" s="270"/>
    </row>
    <row r="7" spans="1:4" ht="17.25" customHeight="1">
      <c r="A7" s="270"/>
      <c r="B7" s="270"/>
      <c r="C7" s="270"/>
      <c r="D7" s="270"/>
    </row>
    <row r="8" spans="1:4" ht="17.25" customHeight="1">
      <c r="A8" s="270"/>
      <c r="B8" s="270"/>
      <c r="C8" s="270"/>
      <c r="D8" s="270"/>
    </row>
    <row r="9" spans="1:4" ht="17.25" customHeight="1">
      <c r="A9" s="270"/>
      <c r="B9" s="270"/>
      <c r="C9" s="270"/>
      <c r="D9" s="270"/>
    </row>
    <row r="10" spans="1:4" ht="17.25" customHeight="1">
      <c r="A10" s="270"/>
      <c r="B10" s="270"/>
      <c r="C10" s="270"/>
      <c r="D10" s="270"/>
    </row>
    <row r="11" spans="1:4" ht="17.25" customHeight="1">
      <c r="A11" s="270"/>
      <c r="B11" s="270"/>
      <c r="C11" s="270"/>
      <c r="D11" s="270"/>
    </row>
    <row r="12" spans="1:4" ht="17.25" customHeight="1">
      <c r="A12" s="270"/>
      <c r="B12" s="270"/>
      <c r="C12" s="270"/>
      <c r="D12" s="270"/>
    </row>
    <row r="13" spans="1:4" ht="17.25" customHeight="1">
      <c r="A13" s="270"/>
      <c r="B13" s="270"/>
      <c r="C13" s="270"/>
      <c r="D13" s="270"/>
    </row>
    <row r="14" spans="1:4" ht="17.25" customHeight="1">
      <c r="A14" s="270"/>
      <c r="B14" s="270"/>
      <c r="C14" s="270"/>
      <c r="D14" s="270"/>
    </row>
    <row r="15" spans="1:4" ht="17.25" customHeight="1">
      <c r="A15" s="270"/>
      <c r="B15" s="270"/>
      <c r="C15" s="270"/>
      <c r="D15" s="270"/>
    </row>
    <row r="16" spans="1:4" ht="17.25" customHeight="1">
      <c r="A16" s="270"/>
      <c r="B16" s="270"/>
      <c r="C16" s="270"/>
      <c r="D16" s="270"/>
    </row>
    <row r="17" spans="1:4" ht="17.25" customHeight="1">
      <c r="A17" s="270"/>
      <c r="B17" s="270"/>
      <c r="C17" s="270"/>
      <c r="D17" s="270"/>
    </row>
    <row r="18" spans="1:4" ht="17.25" customHeight="1">
      <c r="A18" s="270"/>
      <c r="B18" s="270"/>
      <c r="C18" s="270"/>
      <c r="D18" s="270"/>
    </row>
    <row r="19" spans="1:4" ht="17.25" customHeight="1">
      <c r="A19" s="270"/>
      <c r="B19" s="270"/>
      <c r="C19" s="270"/>
      <c r="D19" s="270"/>
    </row>
    <row r="20" spans="1:4" ht="17.25" customHeight="1">
      <c r="A20" s="270"/>
      <c r="B20" s="270"/>
      <c r="C20" s="270"/>
      <c r="D20" s="270"/>
    </row>
    <row r="21" spans="1:4" ht="17.25" customHeight="1">
      <c r="A21" s="270"/>
      <c r="B21" s="270"/>
      <c r="C21" s="270"/>
      <c r="D21" s="270"/>
    </row>
    <row r="22" spans="1:4" ht="17.25" customHeight="1">
      <c r="A22" s="270"/>
      <c r="B22" s="270"/>
      <c r="C22" s="270"/>
      <c r="D22" s="270"/>
    </row>
    <row r="23" spans="1:4" ht="17.25" customHeight="1">
      <c r="A23" s="270"/>
      <c r="B23" s="270"/>
      <c r="C23" s="270"/>
      <c r="D23" s="270"/>
    </row>
    <row r="24" spans="1:4" ht="17.25" customHeight="1">
      <c r="A24" s="270"/>
      <c r="B24" s="270"/>
      <c r="C24" s="270"/>
      <c r="D24" s="270"/>
    </row>
    <row r="25" spans="1:4" ht="17.25" customHeight="1">
      <c r="A25" s="270"/>
      <c r="B25" s="270"/>
      <c r="C25" s="270"/>
      <c r="D25" s="270"/>
    </row>
    <row r="26" spans="1:4" ht="17.25" customHeight="1">
      <c r="A26" s="270"/>
      <c r="B26" s="270"/>
      <c r="C26" s="270"/>
      <c r="D26" s="270"/>
    </row>
    <row r="27" spans="1:4" ht="17.25" customHeight="1">
      <c r="A27" s="270"/>
      <c r="B27" s="270"/>
      <c r="C27" s="270"/>
      <c r="D27" s="270"/>
    </row>
    <row r="28" spans="1:4" ht="17.25" customHeight="1">
      <c r="A28" s="270"/>
      <c r="B28" s="270"/>
      <c r="C28" s="270"/>
      <c r="D28" s="270"/>
    </row>
    <row r="29" spans="1:4" ht="17.25" customHeight="1">
      <c r="A29" s="270"/>
      <c r="B29" s="270"/>
      <c r="C29" s="270"/>
      <c r="D29" s="270"/>
    </row>
    <row r="30" spans="1:4" ht="17.25" customHeight="1">
      <c r="A30" s="270"/>
      <c r="B30" s="270"/>
      <c r="C30" s="270"/>
      <c r="D30" s="270"/>
    </row>
    <row r="31" spans="1:4" ht="17.25" customHeight="1">
      <c r="A31" s="270"/>
      <c r="B31" s="270"/>
      <c r="C31" s="270"/>
      <c r="D31" s="270"/>
    </row>
    <row r="32" spans="1:4" ht="17.25" customHeight="1">
      <c r="A32" s="270"/>
      <c r="B32" s="270"/>
      <c r="C32" s="270"/>
      <c r="D32" s="270"/>
    </row>
    <row r="33" spans="1:4" ht="17.25" customHeight="1">
      <c r="A33" s="270"/>
      <c r="B33" s="270"/>
      <c r="C33" s="270"/>
      <c r="D33" s="270"/>
    </row>
    <row r="34" spans="1:4" ht="17.25" customHeight="1">
      <c r="A34" s="270"/>
      <c r="B34" s="270"/>
      <c r="C34" s="270"/>
      <c r="D34" s="270"/>
    </row>
    <row r="35" spans="1:4" ht="17.25" customHeight="1">
      <c r="A35" s="270"/>
      <c r="B35" s="270"/>
      <c r="C35" s="270"/>
      <c r="D35" s="270"/>
    </row>
    <row r="36" spans="1:4" ht="17.25" customHeight="1">
      <c r="A36" s="223"/>
      <c r="B36" s="223"/>
      <c r="C36" s="223"/>
      <c r="D36" s="223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>
    <oddHeader>&amp;C&amp;G</oddHeader>
    <oddFooter>&amp;L_x000D_&amp;1#&amp;"Malgun Gothic"&amp;6&amp;K000000 외부 전송용(No Protection) 손철호 책임매니저 통합구매팀 son@hyundai-wia.com 2026-07-07T14:05:14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9" sqref="C9:D9"/>
    </sheetView>
  </sheetViews>
  <sheetFormatPr defaultRowHeight="17.399999999999999"/>
  <sheetData/>
  <phoneticPr fontId="2" type="noConversion"/>
  <pageMargins left="0.7" right="0.7" top="0.75" bottom="0.75" header="0.3" footer="0.3"/>
  <headerFooter>
    <oddHeader>&amp;C&amp;G</oddHeader>
    <oddFooter>&amp;L_x000D_&amp;1#&amp;"Malgun Gothic"&amp;6&amp;K000000 외부 전송용(No Protection) 손철호 책임매니저 통합구매팀 son@hyundai-wia.com 2026-07-07T14:05:14 본 문서는 현대위아(주)의 정보 자산으로써 무단으로 전제 및 복제할 수 없으며, 이를 위반할 시에는 당사 사규 및 관련 법규에 의해 제재를 받을 수 있습니다.</oddFooter>
  </headerFooter>
  <legacyDrawingHF r:id="rId1"/>
</worksheet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 지정된 범위</vt:lpstr>
      </vt:variant>
      <vt:variant>
        <vt:i4>6</vt:i4>
      </vt:variant>
    </vt:vector>
  </HeadingPairs>
  <TitlesOfParts>
    <vt:vector size="22" baseType="lpstr">
      <vt:lpstr>갑지</vt:lpstr>
      <vt:lpstr>원가항목별(집계)</vt:lpstr>
      <vt:lpstr>단위공사별(집계)</vt:lpstr>
      <vt:lpstr>전기</vt:lpstr>
      <vt:lpstr>단위장비1</vt:lpstr>
      <vt:lpstr>단위장비2</vt:lpstr>
      <vt:lpstr>단위장비3</vt:lpstr>
      <vt:lpstr>단위장비4</vt:lpstr>
      <vt:lpstr>단위장비5</vt:lpstr>
      <vt:lpstr>단위장비6</vt:lpstr>
      <vt:lpstr>단위장비7</vt:lpstr>
      <vt:lpstr>단위장비8</vt:lpstr>
      <vt:lpstr>단위장비9</vt:lpstr>
      <vt:lpstr>단위장비10</vt:lpstr>
      <vt:lpstr>첨부(견적조건차이내역)</vt:lpstr>
      <vt:lpstr>Sheet1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손철호 책임매니저 통합구매팀</cp:lastModifiedBy>
  <dcterms:created xsi:type="dcterms:W3CDTF">2015-06-05T18:17:20Z</dcterms:created>
  <dcterms:modified xsi:type="dcterms:W3CDTF">2026-07-07T05:05:15Z</dcterms:modified>
</cp:coreProperties>
</file>