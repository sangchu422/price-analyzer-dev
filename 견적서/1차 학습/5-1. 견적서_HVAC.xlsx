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wiakr-my.sharepoint.com/personal/gb8397_hyundai-wia_com/Documents/★ 진행중/0. SX3 공조시스템 양산대응/품의서/조립라인/"/>
    </mc:Choice>
  </mc:AlternateContent>
  <xr:revisionPtr revIDLastSave="1" documentId="11_781A13B4CD2AE2B2B7CC20833015EC0CB0494BF8" xr6:coauthVersionLast="47" xr6:coauthVersionMax="47" xr10:uidLastSave="{00835687-A2D3-4826-BB11-A9685859ADCE}"/>
  <bookViews>
    <workbookView xWindow="-16320" yWindow="-240" windowWidth="16440" windowHeight="28440" tabRatio="1000" xr2:uid="{00000000-000D-0000-FFFF-FFFF00000000}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서브라인" sheetId="11" r:id="rId5"/>
    <sheet name="HVAC조립 LINE" sheetId="10" r:id="rId6"/>
    <sheet name="OTHER COST" sheetId="9" r:id="rId7"/>
    <sheet name="단위장비4" sheetId="8" r:id="rId8"/>
    <sheet name="단위장비5" sheetId="7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definedNames>
    <definedName name="_xlnm._FilterDatabase" localSheetId="5" hidden="1">'HVAC조립 LINE'!$A$2:$I$219</definedName>
    <definedName name="_xlnm._FilterDatabase" localSheetId="6" hidden="1">'OTHER COST'!$J$2:$J$55</definedName>
    <definedName name="_xlnm._FilterDatabase" localSheetId="7" hidden="1">단위장비4!$J$2:$J$67</definedName>
    <definedName name="_xlnm._FilterDatabase" localSheetId="8" hidden="1">단위장비5!$J$2:$J$69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4" hidden="1">서브라인!$A$2:$I$140</definedName>
    <definedName name="_xlnm._FilterDatabase" localSheetId="3" hidden="1">전기!$A$2:$I$319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'원가항목별(집계)'!$A$1:$J$43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9" l="1"/>
  <c r="H27" i="9"/>
  <c r="H28" i="9"/>
  <c r="H29" i="9"/>
  <c r="H30" i="9"/>
  <c r="H31" i="9"/>
  <c r="H32" i="9"/>
  <c r="H33" i="9"/>
  <c r="H34" i="9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70" i="10"/>
  <c r="H71" i="10"/>
  <c r="H72" i="10"/>
  <c r="H73" i="10"/>
  <c r="H74" i="10"/>
  <c r="H89" i="10"/>
  <c r="H90" i="10"/>
  <c r="H91" i="10"/>
  <c r="H92" i="10"/>
  <c r="H93" i="10"/>
  <c r="H94" i="10"/>
  <c r="H95" i="10"/>
  <c r="H96" i="10"/>
  <c r="H97" i="10"/>
  <c r="H98" i="10"/>
  <c r="H99" i="10"/>
  <c r="H59" i="10"/>
  <c r="H60" i="10"/>
  <c r="H61" i="10"/>
  <c r="H62" i="10"/>
  <c r="H63" i="10"/>
  <c r="H64" i="10"/>
  <c r="H65" i="10"/>
  <c r="H66" i="10"/>
  <c r="H67" i="10"/>
  <c r="H135" i="10"/>
  <c r="H136" i="10"/>
  <c r="H137" i="10"/>
  <c r="H138" i="10"/>
  <c r="H139" i="10"/>
  <c r="H132" i="10"/>
  <c r="H133" i="10"/>
  <c r="H134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58" i="10"/>
  <c r="H68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54" i="10"/>
  <c r="H28" i="11"/>
  <c r="H29" i="11"/>
  <c r="H107" i="11"/>
  <c r="H108" i="11"/>
  <c r="H109" i="11"/>
  <c r="H110" i="11"/>
  <c r="H111" i="11"/>
  <c r="H26" i="11"/>
  <c r="H99" i="11"/>
  <c r="H100" i="11"/>
  <c r="H101" i="11"/>
  <c r="H102" i="11"/>
  <c r="H103" i="11"/>
  <c r="H104" i="11"/>
  <c r="H105" i="11"/>
  <c r="H106" i="11"/>
  <c r="H112" i="11"/>
  <c r="H113" i="11"/>
  <c r="H114" i="11"/>
  <c r="H88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45" i="11"/>
  <c r="H46" i="11"/>
  <c r="H47" i="11"/>
  <c r="H48" i="11"/>
  <c r="H49" i="11"/>
  <c r="H50" i="11"/>
  <c r="H51" i="11"/>
  <c r="H52" i="11"/>
  <c r="H53" i="11"/>
  <c r="H54" i="11"/>
  <c r="H55" i="11"/>
  <c r="H89" i="11"/>
  <c r="H90" i="11"/>
  <c r="H91" i="11"/>
  <c r="H92" i="11"/>
  <c r="H93" i="11"/>
  <c r="H94" i="11"/>
  <c r="H95" i="11"/>
  <c r="H23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4" i="3"/>
  <c r="H25" i="3"/>
  <c r="H26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234" i="3"/>
  <c r="H235" i="3"/>
  <c r="H236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7" i="3"/>
  <c r="H238" i="3"/>
  <c r="H239" i="3"/>
  <c r="H240" i="3"/>
  <c r="H241" i="3"/>
  <c r="H242" i="3"/>
  <c r="H243" i="3"/>
  <c r="H303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24" i="3"/>
  <c r="H125" i="3"/>
  <c r="H126" i="3"/>
  <c r="H127" i="3"/>
  <c r="H128" i="3"/>
  <c r="H129" i="3"/>
  <c r="H76" i="3"/>
  <c r="H77" i="3"/>
  <c r="H78" i="3"/>
  <c r="H79" i="3"/>
  <c r="H80" i="3"/>
  <c r="H81" i="3"/>
  <c r="H82" i="3"/>
  <c r="H83" i="3"/>
  <c r="H130" i="3"/>
  <c r="H131" i="3"/>
  <c r="H132" i="3"/>
  <c r="H133" i="3"/>
  <c r="H134" i="3"/>
  <c r="H135" i="3"/>
  <c r="H136" i="3"/>
  <c r="H137" i="3"/>
  <c r="H12" i="8"/>
  <c r="H13" i="8"/>
  <c r="H14" i="8"/>
  <c r="H15" i="8"/>
  <c r="H16" i="8"/>
  <c r="H17" i="8"/>
  <c r="H120" i="11"/>
  <c r="H37" i="3"/>
  <c r="H15" i="10"/>
  <c r="H6" i="11"/>
  <c r="H39" i="3"/>
  <c r="H40" i="3"/>
  <c r="H46" i="3"/>
  <c r="H41" i="3"/>
  <c r="H42" i="3"/>
  <c r="H43" i="3"/>
  <c r="H44" i="3"/>
  <c r="H45" i="3"/>
  <c r="H7" i="9"/>
  <c r="H21" i="11"/>
  <c r="H19" i="11"/>
  <c r="H18" i="11"/>
  <c r="H56" i="8"/>
  <c r="H57" i="8"/>
  <c r="H58" i="8"/>
  <c r="H59" i="8"/>
  <c r="G10" i="2" s="1"/>
  <c r="H60" i="8"/>
  <c r="H61" i="8"/>
  <c r="H10" i="2" s="1"/>
  <c r="H62" i="8"/>
  <c r="H55" i="8"/>
  <c r="H63" i="8" s="1"/>
  <c r="E10" i="2"/>
  <c r="H29" i="14"/>
  <c r="H28" i="14"/>
  <c r="H27" i="14"/>
  <c r="H26" i="14"/>
  <c r="H30" i="14" s="1"/>
  <c r="H25" i="14"/>
  <c r="H23" i="14"/>
  <c r="H22" i="14"/>
  <c r="H29" i="15"/>
  <c r="H28" i="15"/>
  <c r="H27" i="15"/>
  <c r="H26" i="15"/>
  <c r="H25" i="15"/>
  <c r="H30" i="15" s="1"/>
  <c r="H23" i="15"/>
  <c r="H21" i="15"/>
  <c r="H22" i="15"/>
  <c r="H29" i="4"/>
  <c r="H28" i="4"/>
  <c r="H27" i="4"/>
  <c r="H26" i="4"/>
  <c r="H25" i="4"/>
  <c r="H23" i="4"/>
  <c r="H22" i="4"/>
  <c r="H29" i="5"/>
  <c r="H28" i="5"/>
  <c r="H27" i="5"/>
  <c r="H26" i="5"/>
  <c r="H25" i="5"/>
  <c r="H30" i="5" s="1"/>
  <c r="H23" i="5"/>
  <c r="H22" i="5"/>
  <c r="H29" i="6"/>
  <c r="H28" i="6"/>
  <c r="H27" i="6"/>
  <c r="H26" i="6"/>
  <c r="H25" i="6"/>
  <c r="H30" i="6" s="1"/>
  <c r="H23" i="6"/>
  <c r="H22" i="6"/>
  <c r="H29" i="7"/>
  <c r="H28" i="7"/>
  <c r="H27" i="7"/>
  <c r="H26" i="7"/>
  <c r="H25" i="7"/>
  <c r="H23" i="7"/>
  <c r="H22" i="7"/>
  <c r="H27" i="8"/>
  <c r="H26" i="8"/>
  <c r="H25" i="8"/>
  <c r="H24" i="8"/>
  <c r="H28" i="8" s="1"/>
  <c r="H23" i="8"/>
  <c r="H21" i="8"/>
  <c r="H20" i="8"/>
  <c r="H16" i="9"/>
  <c r="H15" i="9"/>
  <c r="H14" i="9"/>
  <c r="H13" i="9"/>
  <c r="H12" i="9"/>
  <c r="H17" i="9" s="1"/>
  <c r="H10" i="9"/>
  <c r="H8" i="9"/>
  <c r="H9" i="9"/>
  <c r="H107" i="10"/>
  <c r="H106" i="10"/>
  <c r="H105" i="10"/>
  <c r="H104" i="10"/>
  <c r="H103" i="10"/>
  <c r="H108" i="10" s="1"/>
  <c r="H101" i="10"/>
  <c r="H100" i="10"/>
  <c r="H25" i="11"/>
  <c r="H27" i="11"/>
  <c r="H36" i="3"/>
  <c r="B7" i="2"/>
  <c r="A7" i="2" s="1"/>
  <c r="B8" i="2"/>
  <c r="B9" i="2"/>
  <c r="B10" i="2"/>
  <c r="I10" i="2" s="1"/>
  <c r="B11" i="2"/>
  <c r="A11" i="2" s="1"/>
  <c r="B12" i="2"/>
  <c r="I12" i="2" s="1"/>
  <c r="A12" i="2"/>
  <c r="B13" i="2"/>
  <c r="A13" i="2"/>
  <c r="B14" i="2"/>
  <c r="K14" i="2" s="1"/>
  <c r="B15" i="2"/>
  <c r="K15" i="2" s="1"/>
  <c r="B16" i="2"/>
  <c r="A16" i="2" s="1"/>
  <c r="H3" i="11"/>
  <c r="H4" i="11"/>
  <c r="H5" i="11"/>
  <c r="H7" i="11"/>
  <c r="H8" i="11"/>
  <c r="H9" i="11"/>
  <c r="H10" i="11"/>
  <c r="H11" i="11"/>
  <c r="H12" i="11"/>
  <c r="H13" i="11"/>
  <c r="H14" i="11"/>
  <c r="H15" i="11"/>
  <c r="H16" i="11"/>
  <c r="H17" i="11"/>
  <c r="H20" i="11"/>
  <c r="H22" i="11"/>
  <c r="H23" i="11"/>
  <c r="H24" i="11"/>
  <c r="H31" i="11"/>
  <c r="H32" i="11"/>
  <c r="H33" i="11"/>
  <c r="H34" i="11"/>
  <c r="H36" i="11" s="1"/>
  <c r="H35" i="11"/>
  <c r="H37" i="11"/>
  <c r="H38" i="11"/>
  <c r="H39" i="11"/>
  <c r="H118" i="11" s="1"/>
  <c r="H40" i="11"/>
  <c r="H41" i="11"/>
  <c r="H42" i="11"/>
  <c r="H43" i="11"/>
  <c r="H44" i="11"/>
  <c r="H96" i="11"/>
  <c r="H97" i="11"/>
  <c r="H98" i="11"/>
  <c r="H115" i="11"/>
  <c r="H116" i="11"/>
  <c r="H117" i="11"/>
  <c r="H119" i="11"/>
  <c r="H126" i="11" s="1"/>
  <c r="H121" i="11"/>
  <c r="H122" i="11"/>
  <c r="H123" i="11"/>
  <c r="H124" i="11"/>
  <c r="H125" i="11"/>
  <c r="H128" i="11"/>
  <c r="E7" i="2" s="1"/>
  <c r="H129" i="11"/>
  <c r="H130" i="11"/>
  <c r="H131" i="1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49" i="14"/>
  <c r="H50" i="14"/>
  <c r="H51" i="14"/>
  <c r="H52" i="14"/>
  <c r="H53" i="14"/>
  <c r="H54" i="14"/>
  <c r="H57" i="14"/>
  <c r="H58" i="14"/>
  <c r="D16" i="2"/>
  <c r="H59" i="14"/>
  <c r="E16" i="2" s="1"/>
  <c r="H60" i="14"/>
  <c r="H61" i="14"/>
  <c r="H62" i="14"/>
  <c r="H63" i="14"/>
  <c r="G16" i="2" s="1"/>
  <c r="H64" i="14"/>
  <c r="H3" i="10"/>
  <c r="H4" i="10"/>
  <c r="H5" i="10"/>
  <c r="H6" i="10"/>
  <c r="H102" i="10" s="1"/>
  <c r="H7" i="10"/>
  <c r="H8" i="10"/>
  <c r="H9" i="10"/>
  <c r="H10" i="10"/>
  <c r="H11" i="10"/>
  <c r="H12" i="10"/>
  <c r="H13" i="10"/>
  <c r="H14" i="10"/>
  <c r="H16" i="10"/>
  <c r="H17" i="10"/>
  <c r="H69" i="10"/>
  <c r="H109" i="10"/>
  <c r="H110" i="10"/>
  <c r="H111" i="10"/>
  <c r="H112" i="10"/>
  <c r="H155" i="10"/>
  <c r="H156" i="10"/>
  <c r="H157" i="10"/>
  <c r="H158" i="10"/>
  <c r="H159" i="10"/>
  <c r="H177" i="10"/>
  <c r="H178" i="10"/>
  <c r="H179" i="10"/>
  <c r="H180" i="10"/>
  <c r="H181" i="10"/>
  <c r="H182" i="10"/>
  <c r="H183" i="10"/>
  <c r="H185" i="10"/>
  <c r="H205" i="10" s="1"/>
  <c r="H204" i="10"/>
  <c r="H207" i="10"/>
  <c r="H208" i="10"/>
  <c r="H3" i="9"/>
  <c r="H4" i="9"/>
  <c r="H5" i="9"/>
  <c r="H6" i="9"/>
  <c r="H18" i="9"/>
  <c r="H25" i="9" s="1"/>
  <c r="H19" i="9"/>
  <c r="H20" i="9"/>
  <c r="H21" i="9"/>
  <c r="H22" i="9"/>
  <c r="H23" i="9"/>
  <c r="H24" i="9"/>
  <c r="H35" i="9"/>
  <c r="H36" i="9"/>
  <c r="H37" i="9"/>
  <c r="H38" i="9"/>
  <c r="H39" i="9"/>
  <c r="H40" i="9"/>
  <c r="H43" i="9"/>
  <c r="E9" i="2"/>
  <c r="H44" i="9"/>
  <c r="H3" i="8"/>
  <c r="H4" i="8"/>
  <c r="H5" i="8"/>
  <c r="H6" i="8"/>
  <c r="H7" i="8"/>
  <c r="H8" i="8"/>
  <c r="H9" i="8"/>
  <c r="H10" i="8"/>
  <c r="H11" i="8"/>
  <c r="H18" i="8"/>
  <c r="H19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6" i="8"/>
  <c r="H47" i="8"/>
  <c r="H53" i="8" s="1"/>
  <c r="H48" i="8"/>
  <c r="H49" i="8"/>
  <c r="H50" i="8"/>
  <c r="H51" i="8"/>
  <c r="H52" i="8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8" i="7"/>
  <c r="H49" i="7"/>
  <c r="H50" i="7"/>
  <c r="H51" i="7"/>
  <c r="H52" i="7"/>
  <c r="H53" i="7"/>
  <c r="H54" i="7"/>
  <c r="H57" i="7"/>
  <c r="E11" i="2" s="1"/>
  <c r="H58" i="7"/>
  <c r="H59" i="7"/>
  <c r="H60" i="7"/>
  <c r="H61" i="7"/>
  <c r="H62" i="7"/>
  <c r="H63" i="7"/>
  <c r="H11" i="2"/>
  <c r="H64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49" i="6"/>
  <c r="H50" i="6"/>
  <c r="H51" i="6"/>
  <c r="H52" i="6"/>
  <c r="H53" i="6"/>
  <c r="H54" i="6"/>
  <c r="H57" i="6"/>
  <c r="E12" i="2" s="1"/>
  <c r="H58" i="6"/>
  <c r="H59" i="6"/>
  <c r="H60" i="6"/>
  <c r="H61" i="6"/>
  <c r="H62" i="6"/>
  <c r="G12" i="2" s="1"/>
  <c r="H63" i="6"/>
  <c r="H12" i="2" s="1"/>
  <c r="H64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49" i="5"/>
  <c r="H50" i="5"/>
  <c r="H51" i="5"/>
  <c r="H52" i="5"/>
  <c r="H53" i="5"/>
  <c r="H54" i="5"/>
  <c r="H57" i="5"/>
  <c r="H58" i="5"/>
  <c r="H59" i="5"/>
  <c r="H60" i="5"/>
  <c r="H61" i="5"/>
  <c r="H62" i="5"/>
  <c r="G13" i="2" s="1"/>
  <c r="H63" i="5"/>
  <c r="H13" i="2"/>
  <c r="H64" i="5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0" i="4"/>
  <c r="H51" i="4"/>
  <c r="H52" i="4"/>
  <c r="H53" i="4"/>
  <c r="H54" i="4"/>
  <c r="H57" i="4"/>
  <c r="E14" i="2"/>
  <c r="H58" i="4"/>
  <c r="F14" i="2" s="1"/>
  <c r="H59" i="4"/>
  <c r="H60" i="4"/>
  <c r="H61" i="4"/>
  <c r="H62" i="4"/>
  <c r="H63" i="4"/>
  <c r="H14" i="2"/>
  <c r="H64" i="4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G6" i="1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49" i="15"/>
  <c r="H50" i="15"/>
  <c r="H51" i="15"/>
  <c r="H52" i="15"/>
  <c r="H53" i="15"/>
  <c r="H54" i="15"/>
  <c r="H57" i="15"/>
  <c r="D15" i="2"/>
  <c r="H58" i="15"/>
  <c r="E15" i="2" s="1"/>
  <c r="H59" i="15"/>
  <c r="H60" i="15"/>
  <c r="H61" i="15"/>
  <c r="H62" i="15"/>
  <c r="G15" i="2" s="1"/>
  <c r="H63" i="15"/>
  <c r="H64" i="15"/>
  <c r="H15" i="2" s="1"/>
  <c r="G11" i="1"/>
  <c r="H11" i="1"/>
  <c r="G12" i="1"/>
  <c r="H12" i="1"/>
  <c r="G13" i="1"/>
  <c r="H13" i="1"/>
  <c r="G14" i="1"/>
  <c r="G15" i="1"/>
  <c r="G16" i="1"/>
  <c r="G17" i="1"/>
  <c r="G18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H3" i="3"/>
  <c r="H4" i="3"/>
  <c r="H27" i="3"/>
  <c r="H29" i="3"/>
  <c r="H30" i="3"/>
  <c r="H31" i="3"/>
  <c r="H32" i="3"/>
  <c r="H33" i="3"/>
  <c r="H34" i="3"/>
  <c r="H38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304" i="3"/>
  <c r="H305" i="3"/>
  <c r="H308" i="3"/>
  <c r="I24" i="1" s="1"/>
  <c r="H309" i="3"/>
  <c r="I25" i="1" s="1"/>
  <c r="H310" i="3"/>
  <c r="I26" i="1" s="1"/>
  <c r="H311" i="3"/>
  <c r="I27" i="1" s="1"/>
  <c r="H312" i="3"/>
  <c r="I28" i="1" s="1"/>
  <c r="H313" i="3"/>
  <c r="I29" i="1" s="1"/>
  <c r="H314" i="3"/>
  <c r="I30" i="1" s="1"/>
  <c r="L16" i="2"/>
  <c r="K16" i="2"/>
  <c r="H15" i="1"/>
  <c r="H132" i="11"/>
  <c r="H133" i="11"/>
  <c r="G14" i="2"/>
  <c r="F13" i="2"/>
  <c r="H16" i="1"/>
  <c r="I14" i="2"/>
  <c r="H45" i="9"/>
  <c r="H14" i="1"/>
  <c r="H46" i="9"/>
  <c r="H134" i="11"/>
  <c r="H7" i="2" s="1"/>
  <c r="H17" i="1"/>
  <c r="H209" i="10"/>
  <c r="H135" i="11"/>
  <c r="H18" i="1"/>
  <c r="H47" i="9"/>
  <c r="H210" i="10"/>
  <c r="H211" i="10"/>
  <c r="H48" i="9"/>
  <c r="H212" i="10"/>
  <c r="G8" i="2" s="1"/>
  <c r="H49" i="9"/>
  <c r="H9" i="2" s="1"/>
  <c r="H50" i="9"/>
  <c r="H213" i="10"/>
  <c r="H8" i="2" s="1"/>
  <c r="H214" i="10"/>
  <c r="I13" i="2"/>
  <c r="L11" i="2"/>
  <c r="L12" i="2"/>
  <c r="K12" i="2"/>
  <c r="E8" i="2"/>
  <c r="I11" i="2"/>
  <c r="K13" i="2"/>
  <c r="L13" i="2"/>
  <c r="F10" i="2"/>
  <c r="H11" i="9"/>
  <c r="A10" i="2"/>
  <c r="H30" i="11"/>
  <c r="L10" i="2"/>
  <c r="K10" i="2"/>
  <c r="H127" i="11" l="1"/>
  <c r="H47" i="15"/>
  <c r="H56" i="15" s="1"/>
  <c r="H47" i="4"/>
  <c r="H47" i="5"/>
  <c r="I12" i="1"/>
  <c r="H65" i="7"/>
  <c r="L15" i="2"/>
  <c r="H47" i="6"/>
  <c r="H24" i="6"/>
  <c r="F11" i="2"/>
  <c r="H45" i="8"/>
  <c r="H54" i="8" s="1"/>
  <c r="H22" i="8"/>
  <c r="H184" i="10"/>
  <c r="H206" i="10" s="1"/>
  <c r="D8" i="2" s="1"/>
  <c r="H65" i="14"/>
  <c r="H16" i="2" s="1"/>
  <c r="H17" i="2" s="1"/>
  <c r="H24" i="14"/>
  <c r="H30" i="7"/>
  <c r="I9" i="1" s="1"/>
  <c r="I15" i="2"/>
  <c r="H24" i="4"/>
  <c r="H47" i="7"/>
  <c r="A15" i="2"/>
  <c r="H55" i="5"/>
  <c r="H56" i="5" s="1"/>
  <c r="H47" i="14"/>
  <c r="H55" i="15"/>
  <c r="H65" i="5"/>
  <c r="L14" i="2"/>
  <c r="H65" i="15"/>
  <c r="F15" i="2" s="1"/>
  <c r="J15" i="2" s="1"/>
  <c r="H55" i="4"/>
  <c r="H56" i="4" s="1"/>
  <c r="F12" i="2"/>
  <c r="H55" i="7"/>
  <c r="H56" i="7" s="1"/>
  <c r="H24" i="7"/>
  <c r="I6" i="1" s="1"/>
  <c r="A8" i="2"/>
  <c r="A9" i="2" s="1"/>
  <c r="K11" i="2"/>
  <c r="I16" i="2"/>
  <c r="H24" i="15"/>
  <c r="H65" i="4"/>
  <c r="H24" i="5"/>
  <c r="H55" i="6"/>
  <c r="H56" i="6" s="1"/>
  <c r="D12" i="2" s="1"/>
  <c r="G11" i="2"/>
  <c r="H55" i="14"/>
  <c r="H30" i="4"/>
  <c r="H41" i="9"/>
  <c r="G9" i="2"/>
  <c r="F9" i="2"/>
  <c r="I18" i="1"/>
  <c r="H35" i="3"/>
  <c r="I23" i="1" s="1"/>
  <c r="H306" i="3"/>
  <c r="H307" i="3" s="1"/>
  <c r="H28" i="3"/>
  <c r="I16" i="1"/>
  <c r="I15" i="1"/>
  <c r="H215" i="10"/>
  <c r="I17" i="1"/>
  <c r="G7" i="2"/>
  <c r="I13" i="1"/>
  <c r="H66" i="5"/>
  <c r="H66" i="4"/>
  <c r="H66" i="7"/>
  <c r="H66" i="14"/>
  <c r="F16" i="2" s="1"/>
  <c r="H66" i="6"/>
  <c r="H66" i="15"/>
  <c r="H64" i="8"/>
  <c r="I31" i="1"/>
  <c r="D7" i="2"/>
  <c r="H51" i="9"/>
  <c r="H315" i="3"/>
  <c r="H136" i="11"/>
  <c r="H139" i="11" s="1"/>
  <c r="H65" i="6"/>
  <c r="F7" i="2"/>
  <c r="I14" i="1"/>
  <c r="I11" i="1"/>
  <c r="E13" i="2"/>
  <c r="E17" i="2" s="1"/>
  <c r="E18" i="2" s="1"/>
  <c r="F8" i="2"/>
  <c r="A14" i="2"/>
  <c r="H65" i="8" l="1"/>
  <c r="H66" i="8"/>
  <c r="D10" i="2"/>
  <c r="J16" i="2"/>
  <c r="G17" i="2"/>
  <c r="I8" i="1"/>
  <c r="H218" i="10"/>
  <c r="I7" i="1"/>
  <c r="I10" i="1" s="1"/>
  <c r="H56" i="14"/>
  <c r="H42" i="9"/>
  <c r="D9" i="2" s="1"/>
  <c r="J47" i="1"/>
  <c r="I47" i="1" s="1"/>
  <c r="H217" i="10"/>
  <c r="F17" i="2"/>
  <c r="H67" i="6"/>
  <c r="M12" i="2" s="1"/>
  <c r="P12" i="2" s="1"/>
  <c r="J12" i="2"/>
  <c r="H68" i="15"/>
  <c r="H67" i="15"/>
  <c r="H68" i="6"/>
  <c r="I22" i="1"/>
  <c r="H318" i="3"/>
  <c r="H317" i="3"/>
  <c r="M10" i="2"/>
  <c r="P10" i="2" s="1"/>
  <c r="H68" i="5"/>
  <c r="D13" i="2"/>
  <c r="H67" i="5"/>
  <c r="H138" i="11"/>
  <c r="J10" i="2"/>
  <c r="D14" i="2"/>
  <c r="H68" i="4"/>
  <c r="H69" i="4" s="1"/>
  <c r="H67" i="4"/>
  <c r="I19" i="1"/>
  <c r="J38" i="1"/>
  <c r="H67" i="8"/>
  <c r="H67" i="7"/>
  <c r="H68" i="7"/>
  <c r="D11" i="2"/>
  <c r="M11" i="2" l="1"/>
  <c r="N10" i="2"/>
  <c r="G21" i="16" s="1"/>
  <c r="J46" i="1"/>
  <c r="I46" i="1" s="1"/>
  <c r="I38" i="1" s="1"/>
  <c r="M8" i="2"/>
  <c r="P8" i="2" s="1"/>
  <c r="H69" i="5"/>
  <c r="D17" i="2"/>
  <c r="H69" i="7"/>
  <c r="M14" i="2"/>
  <c r="P14" i="2" s="1"/>
  <c r="H68" i="14"/>
  <c r="H67" i="14"/>
  <c r="H69" i="14" s="1"/>
  <c r="M16" i="2" s="1"/>
  <c r="P16" i="2" s="1"/>
  <c r="H54" i="9"/>
  <c r="I40" i="1" s="1"/>
  <c r="H53" i="9"/>
  <c r="I39" i="1" s="1"/>
  <c r="N16" i="2"/>
  <c r="G27" i="16" s="1"/>
  <c r="H319" i="3"/>
  <c r="H69" i="15"/>
  <c r="M15" i="2" s="1"/>
  <c r="E21" i="16"/>
  <c r="H21" i="16"/>
  <c r="C21" i="16"/>
  <c r="M7" i="2"/>
  <c r="N12" i="2"/>
  <c r="I35" i="1"/>
  <c r="I32" i="1"/>
  <c r="I33" i="1" s="1"/>
  <c r="P11" i="2"/>
  <c r="J11" i="2"/>
  <c r="N11" i="2" s="1"/>
  <c r="J14" i="2"/>
  <c r="M13" i="2"/>
  <c r="P13" i="2" s="1"/>
  <c r="C34" i="16"/>
  <c r="J13" i="2"/>
  <c r="N13" i="2" s="1"/>
  <c r="I34" i="1"/>
  <c r="H69" i="6"/>
  <c r="N14" i="2" l="1"/>
  <c r="I20" i="1"/>
  <c r="I21" i="1" s="1"/>
  <c r="I41" i="1" s="1"/>
  <c r="M9" i="2"/>
  <c r="P9" i="2" s="1"/>
  <c r="C27" i="16"/>
  <c r="H27" i="16"/>
  <c r="E27" i="16"/>
  <c r="P15" i="2"/>
  <c r="N15" i="2"/>
  <c r="P7" i="2"/>
  <c r="C22" i="16"/>
  <c r="G22" i="16"/>
  <c r="E22" i="16"/>
  <c r="H22" i="16"/>
  <c r="I36" i="1"/>
  <c r="H24" i="16"/>
  <c r="E24" i="16"/>
  <c r="C24" i="16"/>
  <c r="G24" i="16"/>
  <c r="G23" i="16"/>
  <c r="E23" i="16"/>
  <c r="C23" i="16"/>
  <c r="H23" i="16"/>
  <c r="H25" i="16"/>
  <c r="C25" i="16"/>
  <c r="G25" i="16"/>
  <c r="E25" i="16"/>
  <c r="M17" i="2" l="1"/>
  <c r="C26" i="16"/>
  <c r="E26" i="16"/>
  <c r="H26" i="16"/>
  <c r="G26" i="16"/>
  <c r="P17" i="2"/>
  <c r="I7" i="2" s="1"/>
  <c r="J7" i="2" l="1"/>
  <c r="I8" i="2"/>
  <c r="J8" i="2" s="1"/>
  <c r="L8" i="2"/>
  <c r="I9" i="2"/>
  <c r="J9" i="2" s="1"/>
  <c r="L9" i="2"/>
  <c r="K9" i="2"/>
  <c r="K8" i="2"/>
  <c r="L7" i="2"/>
  <c r="K7" i="2"/>
  <c r="H52" i="9" l="1"/>
  <c r="H55" i="9" s="1"/>
  <c r="H216" i="10"/>
  <c r="H219" i="10" s="1"/>
  <c r="N8" i="2"/>
  <c r="H19" i="16" s="1"/>
  <c r="N9" i="2"/>
  <c r="N7" i="2"/>
  <c r="L17" i="2"/>
  <c r="H137" i="11"/>
  <c r="H140" i="11" s="1"/>
  <c r="K17" i="2"/>
  <c r="I17" i="2"/>
  <c r="G19" i="16" l="1"/>
  <c r="C19" i="16"/>
  <c r="E19" i="16"/>
  <c r="E20" i="16"/>
  <c r="G20" i="16"/>
  <c r="H20" i="16"/>
  <c r="C20" i="16"/>
  <c r="J17" i="2"/>
  <c r="H18" i="16"/>
  <c r="G18" i="16"/>
  <c r="F18" i="16"/>
  <c r="F28" i="16" s="1"/>
  <c r="N17" i="2"/>
  <c r="I18" i="2" s="1"/>
  <c r="C18" i="16"/>
  <c r="E18" i="16"/>
  <c r="H28" i="16" l="1"/>
  <c r="E28" i="16"/>
  <c r="J18" i="2"/>
  <c r="K18" i="2"/>
  <c r="N18" i="2"/>
  <c r="H18" i="2"/>
  <c r="G18" i="2"/>
  <c r="F18" i="2"/>
  <c r="D18" i="2"/>
  <c r="N20" i="2"/>
  <c r="M18" i="2"/>
  <c r="G28" i="16"/>
  <c r="L18" i="2"/>
</calcChain>
</file>

<file path=xl/sharedStrings.xml><?xml version="1.0" encoding="utf-8"?>
<sst xmlns="http://schemas.openxmlformats.org/spreadsheetml/2006/main" count="2417" uniqueCount="676">
  <si>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</si>
  <si>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</si>
  <si>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</si>
  <si>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</si>
  <si>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</si>
  <si>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</si>
  <si>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</si>
  <si>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</si>
  <si>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</si>
  <si>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</si>
  <si>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</si>
  <si>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</si>
  <si>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</si>
  <si>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</si>
  <si>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</si>
  <si>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</si>
  <si>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</si>
  <si>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</si>
  <si>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</si>
  <si>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</si>
  <si>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</si>
  <si>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</si>
  <si>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</si>
  <si>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</si>
  <si>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</si>
  <si>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</si>
  <si>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</si>
  <si>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</si>
  <si>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</si>
  <si>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</si>
  <si>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</si>
  <si>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</si>
  <si>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</si>
  <si>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</si>
  <si>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</si>
  <si>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</si>
  <si>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</si>
  <si>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</si>
  <si>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</si>
  <si>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</si>
  <si>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</si>
  <si>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</si>
  <si>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</si>
  <si>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</si>
  <si>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</si>
  <si>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</si>
  <si>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</si>
  <si>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</si>
  <si>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</si>
  <si>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</si>
  <si>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</si>
  <si>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</si>
  <si>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</si>
  <si>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</si>
  <si>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</si>
  <si>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</si>
  <si>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</si>
  <si>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</si>
  <si>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</si>
  <si>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</si>
  <si>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</si>
  <si>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</si>
  <si>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</si>
  <si>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</si>
  <si>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</si>
  <si>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</si>
  <si>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</si>
  <si>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</si>
  <si>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</si>
  <si>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</si>
  <si>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</si>
  <si>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</si>
  <si>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</si>
  <si>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</si>
  <si>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</si>
  <si>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</si>
  <si>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</si>
  <si>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</si>
  <si>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전기부문(공통)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</si>
  <si>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</si>
  <si>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</si>
  <si>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</si>
  <si>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</si>
  <si>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</si>
  <si>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</si>
  <si>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</si>
  <si>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</si>
  <si>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</si>
  <si>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</si>
  <si>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</si>
  <si>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</si>
  <si>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</si>
  <si>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</si>
  <si>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</si>
  <si>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</si>
  <si>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</si>
  <si>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</si>
  <si>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</si>
  <si>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</si>
  <si>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</si>
  <si>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</si>
  <si>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</si>
  <si>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</si>
  <si>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설계/프로그램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</si>
  <si>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</si>
  <si>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</si>
  <si>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</si>
  <si>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</si>
  <si>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</si>
  <si>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</si>
  <si>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</si>
  <si>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</si>
  <si>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</si>
  <si>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</si>
  <si>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</si>
  <si>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</si>
  <si>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</si>
  <si>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</si>
  <si>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</si>
  <si>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</si>
  <si>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</si>
  <si>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</si>
  <si>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</si>
  <si>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</si>
  <si>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</si>
  <si>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</si>
  <si>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</si>
  <si>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연 락 처 :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</si>
  <si>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</si>
  <si>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</si>
  <si>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</si>
  <si>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</si>
  <si>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</si>
  <si>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</si>
  <si>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</si>
  <si>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</si>
  <si>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</si>
  <si>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</si>
  <si>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</si>
  <si>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</si>
  <si>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</si>
  <si>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</si>
  <si>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</si>
  <si>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</si>
  <si>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</si>
  <si>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</si>
  <si>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</si>
  <si>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</si>
  <si>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</si>
  <si>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</si>
  <si>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</si>
  <si>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</si>
  <si>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</si>
  <si>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</si>
  <si>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</si>
  <si>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</si>
  <si>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</si>
  <si>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</si>
  <si>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</si>
  <si>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</si>
  <si>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</si>
  <si>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</si>
  <si>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</si>
  <si>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</si>
  <si>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</si>
  <si>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</si>
  <si>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</si>
  <si>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</si>
  <si>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</si>
  <si>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</si>
  <si>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</si>
  <si>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</si>
  <si>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</si>
  <si>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</si>
  <si>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</si>
  <si>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</si>
  <si>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</si>
  <si>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</si>
  <si>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견적담당:</t>
    <phoneticPr fontId="2" type="noConversion"/>
  </si>
  <si>
    <t>견적 제출 후 30일</t>
    <phoneticPr fontId="2" type="noConversion"/>
  </si>
  <si>
    <t>귀사 지정장소</t>
    <phoneticPr fontId="2" type="noConversion"/>
  </si>
  <si>
    <t>정기 지불조건</t>
    <phoneticPr fontId="2" type="noConversion"/>
  </si>
  <si>
    <t>%</t>
    <phoneticPr fontId="2" type="noConversion"/>
  </si>
  <si>
    <t>현대위아 貴下</t>
    <phoneticPr fontId="2" type="noConversion"/>
  </si>
  <si>
    <t>EA</t>
  </si>
  <si>
    <t xml:space="preserve"> </t>
    <phoneticPr fontId="2" type="noConversion"/>
  </si>
  <si>
    <t>SET</t>
  </si>
  <si>
    <t>SET</t>
    <phoneticPr fontId="2" type="noConversion"/>
  </si>
  <si>
    <t>EA</t>
    <phoneticPr fontId="2" type="noConversion"/>
  </si>
  <si>
    <t>KEYENCE</t>
  </si>
  <si>
    <t>MAIN FRAME</t>
  </si>
  <si>
    <t>MOTOR BASE</t>
  </si>
  <si>
    <t>DRIVE SHAFT</t>
  </si>
  <si>
    <t>SENSOR BRACKET</t>
  </si>
  <si>
    <t>12T</t>
  </si>
  <si>
    <t>Ø60</t>
  </si>
  <si>
    <t>BEARING</t>
  </si>
  <si>
    <t>SOL V/V 外</t>
  </si>
  <si>
    <t>다관절 로봇</t>
    <phoneticPr fontId="2" type="noConversion"/>
  </si>
  <si>
    <t>LAPP CABLE</t>
  </si>
  <si>
    <t>CC-LINK CABLE</t>
  </si>
  <si>
    <t>TERMINAL BOX</t>
  </si>
  <si>
    <t xml:space="preserve"> AJ65SBT1-32DT</t>
  </si>
  <si>
    <t xml:space="preserve"> GCP32/7</t>
  </si>
  <si>
    <t xml:space="preserve"> IE-SW-BL08-8TX</t>
  </si>
  <si>
    <t xml:space="preserve"> LY2N</t>
  </si>
  <si>
    <t xml:space="preserve"> 47BND</t>
  </si>
  <si>
    <t>855P</t>
  </si>
  <si>
    <t xml:space="preserve"> 22m/m</t>
  </si>
  <si>
    <t>LOT</t>
  </si>
  <si>
    <t>근접 SENSOR</t>
  </si>
  <si>
    <t xml:space="preserve"> ST-56L-3 DC24V LED</t>
  </si>
  <si>
    <t>FLEXIBLE</t>
  </si>
  <si>
    <t>M</t>
  </si>
  <si>
    <t xml:space="preserve"> CC-LINK</t>
  </si>
  <si>
    <t xml:space="preserve"> CP</t>
  </si>
  <si>
    <t xml:space="preserve"> NFB</t>
  </si>
  <si>
    <t xml:space="preserve"> MC</t>
  </si>
  <si>
    <t xml:space="preserve"> INVERTER</t>
  </si>
  <si>
    <t xml:space="preserve"> NANE PLATE</t>
  </si>
  <si>
    <t xml:space="preserve"> IV WIRE</t>
  </si>
  <si>
    <t xml:space="preserve"> TERMINAL BLOCK</t>
  </si>
  <si>
    <t xml:space="preserve"> TERMINAL &amp; CAP</t>
  </si>
  <si>
    <t xml:space="preserve"> PVC DUCT</t>
  </si>
  <si>
    <t xml:space="preserve"> MOTOR POWER CABLE</t>
  </si>
  <si>
    <t xml:space="preserve"> LAPP CABLE</t>
  </si>
  <si>
    <t xml:space="preserve"> CC-LINK CABLE</t>
  </si>
  <si>
    <t xml:space="preserve"> FLEXIBLE TUBE</t>
  </si>
  <si>
    <t xml:space="preserve"> FLEXIBLE CONNECTOR</t>
  </si>
  <si>
    <t xml:space="preserve"> TOWER LAMP</t>
  </si>
  <si>
    <t xml:space="preserve"> TERMINAL BOX</t>
  </si>
  <si>
    <t xml:space="preserve"> AJ65SBT1-32D</t>
  </si>
  <si>
    <t xml:space="preserve"> AJ65SBT1-32T</t>
  </si>
  <si>
    <t xml:space="preserve"> GV2ME</t>
  </si>
  <si>
    <t xml:space="preserve"> AL 명판</t>
  </si>
  <si>
    <t>OTHERS</t>
  </si>
  <si>
    <t>15T</t>
  </si>
  <si>
    <t>E3ZM</t>
  </si>
  <si>
    <t xml:space="preserve"> </t>
    <phoneticPr fontId="2" type="noConversion"/>
  </si>
  <si>
    <t>대표 :김동학</t>
    <phoneticPr fontId="2" type="noConversion"/>
  </si>
  <si>
    <t>전화: 031)314-0803</t>
    <phoneticPr fontId="2" type="noConversion"/>
  </si>
  <si>
    <t xml:space="preserve">Fax: 031)314-0805 </t>
    <phoneticPr fontId="2" type="noConversion"/>
  </si>
  <si>
    <t>김 동학</t>
    <phoneticPr fontId="2" type="noConversion"/>
  </si>
  <si>
    <t>010-8822-0803</t>
    <phoneticPr fontId="2" type="noConversion"/>
  </si>
  <si>
    <t>미쯔비시</t>
    <phoneticPr fontId="2" type="noConversion"/>
  </si>
  <si>
    <t>미쯔비시</t>
    <phoneticPr fontId="2" type="noConversion"/>
  </si>
  <si>
    <t xml:space="preserve"> </t>
    <phoneticPr fontId="2" type="noConversion"/>
  </si>
  <si>
    <t>공사명 : HVAC Assy Line SX3i</t>
    <phoneticPr fontId="2" type="noConversion"/>
  </si>
  <si>
    <t>사출조립라인 PANEL</t>
    <phoneticPr fontId="2" type="noConversion"/>
  </si>
  <si>
    <t>1000X800X300</t>
  </si>
  <si>
    <t>GOT BOX</t>
  </si>
  <si>
    <t>CC-LINK BOX</t>
  </si>
  <si>
    <t xml:space="preserve">                   GOT BOX</t>
    <phoneticPr fontId="2" type="noConversion"/>
  </si>
  <si>
    <t>400X400X250</t>
  </si>
  <si>
    <t>450X400</t>
  </si>
  <si>
    <t>BLWR조립라인 PANEL</t>
    <phoneticPr fontId="2" type="noConversion"/>
  </si>
  <si>
    <t>EA</t>
    <phoneticPr fontId="2" type="noConversion"/>
  </si>
  <si>
    <t xml:space="preserve">                     GOT BOX</t>
    <phoneticPr fontId="2" type="noConversion"/>
  </si>
  <si>
    <t>NANE PLATE</t>
  </si>
  <si>
    <t>AL</t>
  </si>
  <si>
    <t>LOT</t>
    <phoneticPr fontId="2" type="noConversion"/>
  </si>
  <si>
    <t xml:space="preserve"> PANEL</t>
  </si>
  <si>
    <t xml:space="preserve"> HTR조립라인 PANEL</t>
    <phoneticPr fontId="2" type="noConversion"/>
  </si>
  <si>
    <t xml:space="preserve">                    GOT BOX</t>
    <phoneticPr fontId="2" type="noConversion"/>
  </si>
  <si>
    <t xml:space="preserve">                   CC-LINK BOX</t>
    <phoneticPr fontId="2" type="noConversion"/>
  </si>
  <si>
    <t xml:space="preserve">                    NANE PLATE</t>
  </si>
  <si>
    <t xml:space="preserve">                    NANE PLATE</t>
    <phoneticPr fontId="2" type="noConversion"/>
  </si>
  <si>
    <t>열교환기및기타서브 PANEL</t>
    <phoneticPr fontId="2" type="noConversion"/>
  </si>
  <si>
    <t xml:space="preserve">                         GOT BOX</t>
    <phoneticPr fontId="2" type="noConversion"/>
  </si>
  <si>
    <t>꼬리표</t>
  </si>
  <si>
    <t>꼬리표</t>
    <phoneticPr fontId="2" type="noConversion"/>
  </si>
  <si>
    <t>사출조립라인</t>
    <phoneticPr fontId="2" type="noConversion"/>
  </si>
  <si>
    <t xml:space="preserve"> GOT2000</t>
  </si>
  <si>
    <t xml:space="preserve"> GT2712-STBA</t>
  </si>
  <si>
    <t xml:space="preserve"> PLC CPU</t>
  </si>
  <si>
    <t xml:space="preserve"> Q13UDVCPU</t>
  </si>
  <si>
    <t xml:space="preserve"> PLC POWER</t>
  </si>
  <si>
    <t xml:space="preserve"> Q62P</t>
  </si>
  <si>
    <t xml:space="preserve"> PLC BASE</t>
  </si>
  <si>
    <t xml:space="preserve"> Q312B</t>
  </si>
  <si>
    <t xml:space="preserve"> PLC CCLINK</t>
  </si>
  <si>
    <t xml:space="preserve"> QJ61BT11N</t>
  </si>
  <si>
    <t xml:space="preserve"> PLC ETHERNET UINT </t>
  </si>
  <si>
    <t xml:space="preserve"> QJ1E71-100</t>
  </si>
  <si>
    <t xml:space="preserve"> PLC 통신카드</t>
  </si>
  <si>
    <t xml:space="preserve"> QJ71C24N</t>
  </si>
  <si>
    <t xml:space="preserve"> ABS32/15A</t>
  </si>
  <si>
    <t xml:space="preserve"> N-40c</t>
  </si>
  <si>
    <t xml:space="preserve"> CONSENT</t>
  </si>
  <si>
    <t xml:space="preserve"> AC220V 2구 </t>
  </si>
  <si>
    <t xml:space="preserve"> COOLING FAN</t>
  </si>
  <si>
    <t xml:space="preserve"> PANEL LIGHT</t>
  </si>
  <si>
    <t xml:space="preserve"> RELAY</t>
  </si>
  <si>
    <t xml:space="preserve"> LC1D09BD</t>
  </si>
  <si>
    <t xml:space="preserve"> NOISE FILTER</t>
  </si>
  <si>
    <t xml:space="preserve"> 10A</t>
  </si>
  <si>
    <t xml:space="preserve"> DC POWER SPULLY</t>
  </si>
  <si>
    <t xml:space="preserve"> S8VS-24024A</t>
  </si>
  <si>
    <t xml:space="preserve"> S8VS-12024A</t>
  </si>
  <si>
    <t xml:space="preserve"> MELODY HORN</t>
  </si>
  <si>
    <t xml:space="preserve"> SEN-25 DC24V</t>
  </si>
  <si>
    <t xml:space="preserve"> SAFETY UNIT</t>
  </si>
  <si>
    <t xml:space="preserve"> PNOZ X2.8P</t>
  </si>
  <si>
    <t xml:space="preserve"> P7SA-10F-ND</t>
  </si>
  <si>
    <t xml:space="preserve"> ETHERNET HUB</t>
  </si>
  <si>
    <t>DATA CABLE</t>
  </si>
  <si>
    <t>POWER CABLE</t>
  </si>
  <si>
    <t>VCTF</t>
  </si>
  <si>
    <t>INTERFACE CABLE</t>
  </si>
  <si>
    <t>RS-232/EHTHERNET</t>
  </si>
  <si>
    <t>22m/m</t>
  </si>
  <si>
    <t>FLEXIBLE CONNECT</t>
  </si>
  <si>
    <t xml:space="preserve"> JIG CONNECTOR</t>
  </si>
  <si>
    <t>OP LAMP&amp;SWITCH</t>
  </si>
  <si>
    <t>WORK SWITCH</t>
  </si>
  <si>
    <t>WORK SWITCH BOX</t>
  </si>
  <si>
    <t>WORK LAMP</t>
  </si>
  <si>
    <t>WORK LIGHT</t>
  </si>
  <si>
    <t>CONSENT</t>
  </si>
  <si>
    <t>BLWR 조립라인</t>
    <phoneticPr fontId="2" type="noConversion"/>
  </si>
  <si>
    <t>MITSUBISHI</t>
  </si>
  <si>
    <t>HTR 조립라인</t>
    <phoneticPr fontId="2" type="noConversion"/>
  </si>
  <si>
    <t xml:space="preserve"> Servo 축카드</t>
  </si>
  <si>
    <t xml:space="preserve"> QD77MS4</t>
  </si>
  <si>
    <t xml:space="preserve"> SERVO Cable</t>
  </si>
  <si>
    <t xml:space="preserve"> MR-J3HBUS5M</t>
  </si>
  <si>
    <t xml:space="preserve"> SERVO BAT</t>
  </si>
  <si>
    <t xml:space="preserve"> MR-BAT</t>
  </si>
  <si>
    <t xml:space="preserve"> SERVO ENCODER CABLE</t>
  </si>
  <si>
    <t xml:space="preserve"> SERVO POWER CABLE</t>
  </si>
  <si>
    <t xml:space="preserve"> SERVO BRAKE CABLE</t>
  </si>
  <si>
    <t xml:space="preserve"> ABS33/30A</t>
  </si>
  <si>
    <t xml:space="preserve"> TRANSFORMER</t>
  </si>
  <si>
    <t xml:space="preserve"> 400/220-3상 복권형 3Kw</t>
  </si>
  <si>
    <t>열교환기및기타</t>
    <phoneticPr fontId="2" type="noConversion"/>
  </si>
  <si>
    <t>HVAC조립 Line</t>
    <phoneticPr fontId="2" type="noConversion"/>
  </si>
  <si>
    <t xml:space="preserve"> Q13UDV</t>
  </si>
  <si>
    <t xml:space="preserve"> PLC INPUT</t>
  </si>
  <si>
    <t xml:space="preserve"> QX42</t>
  </si>
  <si>
    <t xml:space="preserve"> PLC OUTPUT</t>
  </si>
  <si>
    <t xml:space="preserve"> QY42P</t>
  </si>
  <si>
    <t xml:space="preserve"> AJ65SBT1-32 D&amp;T</t>
  </si>
  <si>
    <t xml:space="preserve"> FR-E840-2.2K</t>
  </si>
  <si>
    <t xml:space="preserve"> 1800X2400X600</t>
  </si>
  <si>
    <t xml:space="preserve"> Main 차단기</t>
  </si>
  <si>
    <t xml:space="preserve"> ABS103/60A</t>
  </si>
  <si>
    <t xml:space="preserve"> Main 차단기 핸들</t>
  </si>
  <si>
    <t xml:space="preserve"> GVAE11</t>
  </si>
  <si>
    <t xml:space="preserve"> EOCR</t>
  </si>
  <si>
    <t xml:space="preserve"> SS-30</t>
  </si>
  <si>
    <t xml:space="preserve"> T/R</t>
  </si>
  <si>
    <t xml:space="preserve"> 220-110V 1Ø 5KVA</t>
  </si>
  <si>
    <t xml:space="preserve"> 400-220V 3Ø 30KVA</t>
  </si>
  <si>
    <t xml:space="preserve"> PLC RELAY BORD</t>
  </si>
  <si>
    <t xml:space="preserve"> I/O TB R32C-NS5A-40P</t>
  </si>
  <si>
    <t xml:space="preserve"> PLC I/O CABLE</t>
  </si>
  <si>
    <t xml:space="preserve"> TG-1H40-20PB-1</t>
  </si>
  <si>
    <t xml:space="preserve"> PLC I/O T/B</t>
  </si>
  <si>
    <t xml:space="preserve"> I/O TB 1H40</t>
  </si>
  <si>
    <t xml:space="preserve"> ID 앰프</t>
  </si>
  <si>
    <t>V680</t>
  </si>
  <si>
    <t xml:space="preserve"> ID 안테나</t>
  </si>
  <si>
    <t xml:space="preserve"> ID 케이블</t>
  </si>
  <si>
    <t xml:space="preserve"> ID 태그</t>
  </si>
  <si>
    <t>OMRON</t>
  </si>
  <si>
    <t xml:space="preserve">                          GOT BOX</t>
    <phoneticPr fontId="2" type="noConversion"/>
  </si>
  <si>
    <t xml:space="preserve">                     CC-LINK BOX</t>
    <phoneticPr fontId="2" type="noConversion"/>
  </si>
  <si>
    <t>HVAC 조립라인         PANEL</t>
    <phoneticPr fontId="2" type="noConversion"/>
  </si>
  <si>
    <t xml:space="preserve">                     NANE PLATE</t>
    <phoneticPr fontId="2" type="noConversion"/>
  </si>
  <si>
    <t xml:space="preserve">                   NANE PLATE</t>
    <phoneticPr fontId="2" type="noConversion"/>
  </si>
  <si>
    <t>서브 라인</t>
    <phoneticPr fontId="2" type="noConversion"/>
  </si>
  <si>
    <t>사출조립라인</t>
  </si>
  <si>
    <t>사출조립라인</t>
    <phoneticPr fontId="2" type="noConversion"/>
  </si>
  <si>
    <t>PROFILE 40*80</t>
  </si>
  <si>
    <t>BASE PLATE</t>
  </si>
  <si>
    <t>SS400*4.5T,상하</t>
  </si>
  <si>
    <t>PARTS BOX SHELF</t>
  </si>
  <si>
    <t>AIR SERVICE UNIT</t>
  </si>
  <si>
    <t>작업지시 MONITOR</t>
  </si>
  <si>
    <t>24",거치대,USB</t>
  </si>
  <si>
    <t>AIR HOSE,FITTING</t>
  </si>
  <si>
    <t>SMC</t>
  </si>
  <si>
    <t>SMC</t>
    <phoneticPr fontId="2" type="noConversion"/>
  </si>
  <si>
    <t>LG</t>
  </si>
  <si>
    <t>LG</t>
    <phoneticPr fontId="2" type="noConversion"/>
  </si>
  <si>
    <t>ASS'Y JIG</t>
  </si>
  <si>
    <t>SET</t>
    <phoneticPr fontId="2" type="noConversion"/>
  </si>
  <si>
    <t>LOCKING CYLINDER</t>
  </si>
  <si>
    <t>MKB20-30</t>
  </si>
  <si>
    <t>E2E-X30MD1-M1GJ</t>
  </si>
  <si>
    <t>포토 SENSOR</t>
  </si>
  <si>
    <t>JIG CONECTOR</t>
  </si>
  <si>
    <t>25P</t>
  </si>
  <si>
    <t>SY5000</t>
  </si>
  <si>
    <t>GREASE JIG</t>
  </si>
  <si>
    <t>DISPENSER</t>
  </si>
  <si>
    <t>MHV3</t>
  </si>
  <si>
    <t>FEEDING SYSTEM</t>
  </si>
  <si>
    <t>NX Sries</t>
  </si>
  <si>
    <t>HOSE/MANIFOLD</t>
  </si>
  <si>
    <t>NEXGEN</t>
  </si>
  <si>
    <t>SHUTE</t>
  </si>
  <si>
    <t>ROLLER TRACK</t>
  </si>
  <si>
    <t>AREA SENSOR</t>
  </si>
  <si>
    <t>BW40</t>
  </si>
  <si>
    <t>SCREW TOOL</t>
  </si>
  <si>
    <t>SD28N,SDC40</t>
  </si>
  <si>
    <t>BUFFER TABLE</t>
  </si>
  <si>
    <t>EA</t>
    <phoneticPr fontId="2" type="noConversion"/>
  </si>
  <si>
    <t>AUTONICS</t>
  </si>
  <si>
    <t>SEHAN</t>
  </si>
  <si>
    <t>BLWR 조립라인</t>
    <phoneticPr fontId="2" type="noConversion"/>
  </si>
  <si>
    <t>TORQUE ARM</t>
  </si>
  <si>
    <t>IONIZER</t>
  </si>
  <si>
    <t>HTR 조립라인</t>
    <phoneticPr fontId="2" type="noConversion"/>
  </si>
  <si>
    <t>SAFETY ROOM</t>
  </si>
  <si>
    <t>PC,PROFILE</t>
  </si>
  <si>
    <t>ROBOT BASE</t>
  </si>
  <si>
    <t>SQ PIPE 100*50*3.3T</t>
  </si>
  <si>
    <t>Y-AXIS FRAME</t>
  </si>
  <si>
    <t>RJ-175-ST700</t>
  </si>
  <si>
    <t>RJ-140-ST350</t>
  </si>
  <si>
    <t>Z-AXIS FRAME</t>
  </si>
  <si>
    <t>RJ-140-ST200</t>
  </si>
  <si>
    <t>X-Y-Z JOINT BRACKET</t>
  </si>
  <si>
    <t>SERVO MOTOR</t>
  </si>
  <si>
    <t>HG-KR43</t>
  </si>
  <si>
    <t>HG-KR43B</t>
  </si>
  <si>
    <t>SERVO DRIVE</t>
  </si>
  <si>
    <t>MR-J4-40B</t>
  </si>
  <si>
    <t>3-AXIS CABLE</t>
  </si>
  <si>
    <t>CYLINDER BASE</t>
  </si>
  <si>
    <t>AL12T</t>
  </si>
  <si>
    <t>CLAMP CYLINDER</t>
  </si>
  <si>
    <t>MGGMB25-300</t>
  </si>
  <si>
    <t>CABLEVEYOR</t>
  </si>
  <si>
    <t>HSP0450-2BN R50</t>
  </si>
  <si>
    <t>JIG</t>
  </si>
  <si>
    <t>MOVING BASE</t>
  </si>
  <si>
    <t>LM BASE</t>
  </si>
  <si>
    <t>AL30T</t>
  </si>
  <si>
    <t>LM UNIT</t>
  </si>
  <si>
    <t>HSR15A2UU</t>
  </si>
  <si>
    <t>지그 전후 CYLINDER</t>
  </si>
  <si>
    <t>MY2B25-600</t>
  </si>
  <si>
    <t>용착 전후 CYLINDER</t>
  </si>
  <si>
    <t>CXSM20-100Z</t>
  </si>
  <si>
    <t>용착기 BK'T</t>
  </si>
  <si>
    <t>SPRING,LM</t>
  </si>
  <si>
    <t>초음파 AMP</t>
  </si>
  <si>
    <t>30kHz 용</t>
  </si>
  <si>
    <t>초음파 진동부</t>
  </si>
  <si>
    <t>공구혼(DU)</t>
  </si>
  <si>
    <t>LIGHT CURTAIN</t>
  </si>
  <si>
    <t>ROBOSTAR</t>
  </si>
  <si>
    <t>HSC</t>
  </si>
  <si>
    <t>THK</t>
  </si>
  <si>
    <t>대영초음파</t>
  </si>
  <si>
    <t>열교환기및기타서브</t>
  </si>
  <si>
    <t>열교환기및기타서브</t>
    <phoneticPr fontId="2" type="noConversion"/>
  </si>
  <si>
    <t>HVAC 조립 LINE</t>
    <phoneticPr fontId="2" type="noConversion"/>
  </si>
  <si>
    <t>DRIVE/TAIL FRAME</t>
  </si>
  <si>
    <t>9T</t>
  </si>
  <si>
    <t>LEG FRAME</t>
  </si>
  <si>
    <t>ADJUST UNIT</t>
  </si>
  <si>
    <t>12T, M16</t>
  </si>
  <si>
    <t>MAIN CONVEYOR</t>
    <phoneticPr fontId="2" type="noConversion"/>
  </si>
  <si>
    <t>MAIN SPROCKET</t>
  </si>
  <si>
    <t>VRP 2060*11NT</t>
  </si>
  <si>
    <t>TAKE UP UNIT</t>
  </si>
  <si>
    <t>VRP 2060</t>
  </si>
  <si>
    <t>CHAIN COVER</t>
  </si>
  <si>
    <t>PE</t>
  </si>
  <si>
    <t>PALLET GUIDE</t>
  </si>
  <si>
    <t>CHAIN RAIL</t>
  </si>
  <si>
    <t>GUR</t>
  </si>
  <si>
    <t>MOTOR CHAIN COVER</t>
  </si>
  <si>
    <t>2.3T</t>
  </si>
  <si>
    <t>DRIVE SPROCKET</t>
  </si>
  <si>
    <t>#60*25T/25T</t>
  </si>
  <si>
    <t>BEARING &amp; BASE</t>
  </si>
  <si>
    <t>UCF 209 *12T</t>
  </si>
  <si>
    <t>STAY BAR</t>
  </si>
  <si>
    <t>SQ PIPE 50*30</t>
  </si>
  <si>
    <t>CENTER COVER</t>
  </si>
  <si>
    <t>SS400*1.5T</t>
  </si>
  <si>
    <t>LAMP POST</t>
  </si>
  <si>
    <t>PARTS TABLE</t>
  </si>
  <si>
    <t>3.2T</t>
  </si>
  <si>
    <t>MAIN DUCT</t>
  </si>
  <si>
    <t>AL 100*100</t>
  </si>
  <si>
    <t>SIGNAL DUCT</t>
  </si>
  <si>
    <t>AIR PIPE, V/V 外</t>
  </si>
  <si>
    <t>2",QUICK COUPLER</t>
  </si>
  <si>
    <t>DY1031N</t>
  </si>
  <si>
    <t>MAIN CHAIN</t>
  </si>
  <si>
    <t>GEARED MOTOR</t>
  </si>
  <si>
    <t>1.5KW*1/50,CE</t>
  </si>
  <si>
    <t>TORQUE LIMIT</t>
  </si>
  <si>
    <t>TL500-1</t>
  </si>
  <si>
    <t>MOTOR CHAIN</t>
  </si>
  <si>
    <t>#60</t>
  </si>
  <si>
    <t>CONNECT CONV</t>
    <phoneticPr fontId="2" type="noConversion"/>
  </si>
  <si>
    <t>#60*19T/25T</t>
  </si>
  <si>
    <t>0.4KW*1/50,CE</t>
  </si>
  <si>
    <t xml:space="preserve">HC </t>
  </si>
  <si>
    <t>TSUBAKI</t>
  </si>
  <si>
    <t>DYC</t>
  </si>
  <si>
    <t>1식</t>
    <phoneticPr fontId="2" type="noConversion"/>
  </si>
  <si>
    <t>STOPPER</t>
  </si>
  <si>
    <t>STOPPER</t>
    <phoneticPr fontId="2" type="noConversion"/>
  </si>
  <si>
    <t>(2SET)</t>
  </si>
  <si>
    <t>(2SET)</t>
    <phoneticPr fontId="2" type="noConversion"/>
  </si>
  <si>
    <t>(30SET)</t>
    <phoneticPr fontId="2" type="noConversion"/>
  </si>
  <si>
    <t>RS2H63-30BMD</t>
  </si>
  <si>
    <t>SOL VALVE</t>
  </si>
  <si>
    <t>VQC2000 SERIES</t>
  </si>
  <si>
    <t>MAIN BASE</t>
  </si>
  <si>
    <t>150W*4.5T</t>
  </si>
  <si>
    <t>SPACER</t>
  </si>
  <si>
    <t>DIVERTER</t>
  </si>
  <si>
    <t>DIVERTER</t>
    <phoneticPr fontId="2" type="noConversion"/>
  </si>
  <si>
    <t>(4SET)</t>
  </si>
  <si>
    <t>(4SET)</t>
    <phoneticPr fontId="2" type="noConversion"/>
  </si>
  <si>
    <t>UP/DOWN BASE</t>
  </si>
  <si>
    <t>BASE SUPPORT</t>
  </si>
  <si>
    <t>CYL' FLANGE</t>
  </si>
  <si>
    <t>Ø120</t>
  </si>
  <si>
    <t>Ø30</t>
  </si>
  <si>
    <t>DRIVE/TAIL  ROLLER</t>
  </si>
  <si>
    <t>Ø100</t>
  </si>
  <si>
    <t>IDLE ROLLER</t>
  </si>
  <si>
    <t>ROLLER BRAKET</t>
  </si>
  <si>
    <t>4.5T</t>
  </si>
  <si>
    <t>FREE ROLLER/BK'T</t>
  </si>
  <si>
    <t>Ø60,URETANE COAT'G</t>
  </si>
  <si>
    <t>TAKE-UP UNIT</t>
  </si>
  <si>
    <t>#50*11T/12T</t>
  </si>
  <si>
    <t>MC.N 20T</t>
  </si>
  <si>
    <t>충격방지 UNIT</t>
  </si>
  <si>
    <t>12T*URETHANE</t>
  </si>
  <si>
    <t>ANTI BACK STOPPER</t>
  </si>
  <si>
    <t>9T, MC.N</t>
  </si>
  <si>
    <t>UP/DOWN CYLINDER</t>
  </si>
  <si>
    <t>CDQ2B100-60DM-A93L</t>
  </si>
  <si>
    <t>POWER BASE</t>
  </si>
  <si>
    <t>SP300F*70ST</t>
  </si>
  <si>
    <t>0.2KW*1/50</t>
  </si>
  <si>
    <t>#50</t>
  </si>
  <si>
    <t>UCFL205, 6205ZZ</t>
  </si>
  <si>
    <t>BELT</t>
  </si>
  <si>
    <t>60W*1000L</t>
  </si>
  <si>
    <t>DAMPER CYLINDER</t>
  </si>
  <si>
    <t>MGPM32-75</t>
  </si>
  <si>
    <t>SANGWOO</t>
  </si>
  <si>
    <t>KBC</t>
  </si>
  <si>
    <t>NITTA</t>
  </si>
  <si>
    <t>POSITIONER</t>
  </si>
  <si>
    <t>POSITIONER</t>
    <phoneticPr fontId="2" type="noConversion"/>
  </si>
  <si>
    <t>PIN</t>
  </si>
  <si>
    <t>DIMOND TYPE*Ø18</t>
  </si>
  <si>
    <t>UPPER STOPPER</t>
  </si>
  <si>
    <t>CDQ2B80-40DM</t>
  </si>
  <si>
    <t>SP300F*50ST</t>
  </si>
  <si>
    <t>TURNING POSITION</t>
  </si>
  <si>
    <t>TURNING POSITION</t>
    <phoneticPr fontId="2" type="noConversion"/>
  </si>
  <si>
    <t>ROTATE SAHFT</t>
  </si>
  <si>
    <t>Ø200,BEARING</t>
  </si>
  <si>
    <t>HG-KR73</t>
  </si>
  <si>
    <t>MR-J4-70B-RJ</t>
  </si>
  <si>
    <t>SERVO CABLE</t>
  </si>
  <si>
    <t>PINION GEER</t>
  </si>
  <si>
    <t>TIMING BELT</t>
  </si>
  <si>
    <t>POWER LOCK</t>
  </si>
  <si>
    <t>BALL FLANGER</t>
  </si>
  <si>
    <t>M20,25T</t>
  </si>
  <si>
    <t>CAMFLOW/BRACKET</t>
  </si>
  <si>
    <t>CF24A/20T</t>
  </si>
  <si>
    <t>CDQ2B100-75DM</t>
  </si>
  <si>
    <t>MISUMI</t>
  </si>
  <si>
    <t>AIR LEAK TEST</t>
  </si>
  <si>
    <t>AGING BLOCK</t>
  </si>
  <si>
    <t>Ø20,SPRING</t>
  </si>
  <si>
    <t>SEALING RUBBER</t>
  </si>
  <si>
    <t>LEAK TESTER(중압)</t>
  </si>
  <si>
    <t>FLA-0201-MC,MASTER</t>
  </si>
  <si>
    <t>A/L TESTER DIE</t>
  </si>
  <si>
    <t>SQ PIPE 100*50*3.2T</t>
  </si>
  <si>
    <t>AIR CYLINDER</t>
  </si>
  <si>
    <t>CDQ2B50-40D</t>
  </si>
  <si>
    <t>압력 SWITCH</t>
  </si>
  <si>
    <t>ISE40-01-22L-A</t>
  </si>
  <si>
    <t>HSR20A2UU*150L</t>
  </si>
  <si>
    <t>VISION TEST</t>
    <phoneticPr fontId="2" type="noConversion"/>
  </si>
  <si>
    <t>ROBOT JOINT</t>
  </si>
  <si>
    <t>AL Ø120</t>
  </si>
  <si>
    <t>CAMERA BRACKET</t>
  </si>
  <si>
    <t>VISION ROOM</t>
  </si>
  <si>
    <t>AL PROFILE,BLACK PC</t>
  </si>
  <si>
    <t>RS025N</t>
  </si>
  <si>
    <t>KAWASAKI</t>
  </si>
  <si>
    <t>ROBOT 사급</t>
    <phoneticPr fontId="2" type="noConversion"/>
  </si>
  <si>
    <t>AGING기구부</t>
    <phoneticPr fontId="2" type="noConversion"/>
  </si>
  <si>
    <t>진동 TEST</t>
  </si>
  <si>
    <t>AGING CYLINDER</t>
  </si>
  <si>
    <t>MGPM32-50</t>
  </si>
  <si>
    <t>VQC SERIES</t>
  </si>
  <si>
    <t>진동 TEST FRAME</t>
  </si>
  <si>
    <t>PROFILE</t>
  </si>
  <si>
    <t>진동 SENSOR BRACKET</t>
  </si>
  <si>
    <t>AGING BRACKET</t>
  </si>
  <si>
    <t>ASS'Y PALLET</t>
  </si>
  <si>
    <t>AL20T</t>
  </si>
  <si>
    <t>POSITION BUSHING</t>
  </si>
  <si>
    <t>STS</t>
  </si>
  <si>
    <t>AIR LEAK BLOCK</t>
  </si>
  <si>
    <t>SEALING COUPLER</t>
  </si>
  <si>
    <t>HTR/EVAP</t>
  </si>
  <si>
    <t>SUB BASE</t>
  </si>
  <si>
    <t>BAKELITE</t>
  </si>
  <si>
    <t>안착 BLOCK</t>
  </si>
  <si>
    <t>MC.N</t>
  </si>
  <si>
    <t>/SENSOR/보전PC</t>
  </si>
  <si>
    <t>SCREW TOOL/MONITOR</t>
    <phoneticPr fontId="2" type="noConversion"/>
  </si>
  <si>
    <t>E2E-X18MD1-M1GJ</t>
  </si>
  <si>
    <t>DOOR SENSOR</t>
  </si>
  <si>
    <t>D4SL</t>
  </si>
  <si>
    <t>500L</t>
  </si>
  <si>
    <t>PC</t>
  </si>
  <si>
    <t>갤럭시북5 프로</t>
  </si>
  <si>
    <t xml:space="preserve">EOL-일호ENG </t>
  </si>
  <si>
    <t>(해외 출장포함)</t>
  </si>
  <si>
    <t>사출 조립 라인</t>
  </si>
  <si>
    <t>DMS,BARCODE</t>
  </si>
  <si>
    <t>BLWR 조립 라인</t>
  </si>
  <si>
    <t>DMS,EOL</t>
  </si>
  <si>
    <t>HTR 조립 라인</t>
  </si>
  <si>
    <t>EOL</t>
  </si>
  <si>
    <t>HVAC 조립 라인</t>
  </si>
  <si>
    <t>ACT,BLWR EOL</t>
  </si>
  <si>
    <t>CEPA인증비</t>
  </si>
  <si>
    <t>국내 설치 및 출장비</t>
  </si>
  <si>
    <t>해외 설치 및 출장비</t>
  </si>
  <si>
    <t>EOL-사이로직</t>
  </si>
  <si>
    <t>Noise 측정 System</t>
  </si>
  <si>
    <t>4CH</t>
  </si>
  <si>
    <t>Sensors</t>
  </si>
  <si>
    <t>Database Application</t>
  </si>
  <si>
    <t>Calibation Tool</t>
  </si>
  <si>
    <t>EOL-미래비전</t>
  </si>
  <si>
    <t>VISION,BASCODE</t>
  </si>
  <si>
    <t>DMS &amp; REWORK</t>
  </si>
  <si>
    <t>국내/해외 설치 및 출장비</t>
  </si>
  <si>
    <t>항공비(설치)</t>
  </si>
  <si>
    <t>기계2,전기2,로봇1</t>
  </si>
  <si>
    <t>항공비(P1)</t>
  </si>
  <si>
    <t>PM1,기계1,전기1,로봇1</t>
  </si>
  <si>
    <t>항공비(P2)</t>
  </si>
  <si>
    <t>PM1,기계1,전기1</t>
  </si>
  <si>
    <t>항공비(양산대응)</t>
  </si>
  <si>
    <t>체류비(설치)</t>
  </si>
  <si>
    <t>5인*2주,1인*10일</t>
  </si>
  <si>
    <t>체류비(P1)</t>
  </si>
  <si>
    <t>3인*2주,1인*5일</t>
  </si>
  <si>
    <t>체류비(P2)</t>
  </si>
  <si>
    <t>3인*2주</t>
  </si>
  <si>
    <t>체류비(양산대응)</t>
  </si>
  <si>
    <t>CEPA 인증비</t>
  </si>
  <si>
    <t>공장 임대료</t>
  </si>
  <si>
    <t>OTHER COST</t>
    <phoneticPr fontId="2" type="noConversion"/>
  </si>
  <si>
    <t>국내양산대응포함</t>
    <phoneticPr fontId="2" type="noConversion"/>
  </si>
  <si>
    <t>FTC-2530</t>
    <phoneticPr fontId="2" type="noConversion"/>
  </si>
  <si>
    <t>발주후 90일</t>
    <phoneticPr fontId="2" type="noConversion"/>
  </si>
  <si>
    <t>2026년</t>
    <phoneticPr fontId="2" type="noConversion"/>
  </si>
  <si>
    <t>주소 : 경기도 시흥시 군자천로 219</t>
    <phoneticPr fontId="2" type="noConversion"/>
  </si>
  <si>
    <t>견적금액: 이십육억사천만원정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</si>
</sst>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₩&quot;* #,##0_-;\-&quot;₩&quot;* #,##0_-;_-&quot;₩&quot;* &quot;-&quot;_-;_-@_-"/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&quot;견적금액: 一金&quot;\ \ ###,###,###\ &quot;천원整&quot;"/>
    <numFmt numFmtId="183" formatCode="yyyy&quot;년&quot;\ m&quot;월&quot;\ d&quot;일&quot;;@"/>
    <numFmt numFmtId="184" formatCode="#,##0_);\(#,##0\)"/>
    <numFmt numFmtId="185" formatCode="#,###&quot; &quot;\ "/>
    <numFmt numFmtId="186" formatCode="_ * #,##0_ ;_ * \-#,##0_ ;_ * &quot;-&quot;_ ;_ @_ "/>
    <numFmt numFmtId="187" formatCode="#,##0;[Red]#,##0"/>
    <numFmt numFmtId="188" formatCode="_ * #,##0.00_ ;_ * \-#,##0.00_ ;_ * &quot;-&quot;??_ ;_ @_ "/>
    <numFmt numFmtId="189" formatCode="&quot;₩&quot;#,##0;&quot;₩&quot;&quot;₩&quot;\-#,##0"/>
    <numFmt numFmtId="190" formatCode="&quot;₩&quot;#,##0.00;&quot;₩&quot;&quot;₩&quot;\-#,##0.00"/>
    <numFmt numFmtId="191" formatCode="&quot;₩&quot;#,##0;&quot;₩&quot;&quot;₩&quot;&quot;₩&quot;&quot;₩&quot;\-#,##0"/>
    <numFmt numFmtId="192" formatCode="#,##0;[Red]&quot;-&quot;#,##0"/>
    <numFmt numFmtId="193" formatCode="&quot;₩&quot;#,##0;[Red]&quot;₩&quot;&quot;₩&quot;&quot;₩&quot;&quot;₩&quot;\-#,##0"/>
    <numFmt numFmtId="194" formatCode="#,##0.00;[Red]&quot;-&quot;#,##0.00"/>
    <numFmt numFmtId="195" formatCode="_-* #,##0.00_-;&quot;₩&quot;&quot;₩&quot;\-* #,##0.00_-;_-* &quot;-&quot;??_-;_-@_-"/>
    <numFmt numFmtId="196" formatCode="_-&quot;₩&quot;* #,##0.00_-;&quot;₩&quot;&quot;₩&quot;\-&quot;₩&quot;* #,##0.00_-;_-&quot;₩&quot;* &quot;-&quot;??_-;_-@_-"/>
    <numFmt numFmtId="197" formatCode="&quot;₩&quot;#,##0.00;&quot;₩&quot;&quot;₩&quot;&quot;₩&quot;&quot;₩&quot;\-#,##0.00"/>
  </numFmts>
  <fonts count="42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12"/>
      <name val="뼻뮝"/>
      <family val="1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b/>
      <sz val="12"/>
      <color indexed="16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2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42">
    <xf numFmtId="0" fontId="0" fillId="0" borderId="0"/>
    <xf numFmtId="186" fontId="34" fillId="0" borderId="0" applyFont="0" applyFill="0" applyBorder="0" applyAlignment="0" applyProtection="0"/>
    <xf numFmtId="188" fontId="34" fillId="0" borderId="0" applyFont="0" applyFill="0" applyBorder="0" applyAlignment="0" applyProtection="0"/>
    <xf numFmtId="189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34" fillId="0" borderId="0"/>
    <xf numFmtId="191" fontId="35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9" fontId="1" fillId="0" borderId="0" applyFont="0" applyFill="0" applyBorder="0" applyAlignment="0" applyProtection="0"/>
    <xf numFmtId="0" fontId="33" fillId="0" borderId="0"/>
    <xf numFmtId="192" fontId="38" fillId="0" borderId="0">
      <alignment vertical="center"/>
    </xf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9" fillId="0" borderId="0"/>
    <xf numFmtId="4" fontId="37" fillId="0" borderId="0">
      <protection locked="0"/>
    </xf>
    <xf numFmtId="193" fontId="35" fillId="0" borderId="0">
      <protection locked="0"/>
    </xf>
    <xf numFmtId="192" fontId="35" fillId="0" borderId="0" applyFont="0" applyFill="0" applyBorder="0" applyAlignment="0" applyProtection="0"/>
    <xf numFmtId="194" fontId="35" fillId="0" borderId="0" applyFont="0" applyFill="0" applyBorder="0" applyAlignment="0" applyProtection="0"/>
    <xf numFmtId="42" fontId="40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/>
    <xf numFmtId="42" fontId="40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195" fontId="35" fillId="0" borderId="0">
      <protection locked="0"/>
    </xf>
    <xf numFmtId="0" fontId="1" fillId="0" borderId="0"/>
    <xf numFmtId="0" fontId="29" fillId="0" borderId="0"/>
    <xf numFmtId="0" fontId="34" fillId="0" borderId="0">
      <alignment vertical="center"/>
    </xf>
    <xf numFmtId="0" fontId="40" fillId="0" borderId="0">
      <alignment vertical="center"/>
    </xf>
    <xf numFmtId="0" fontId="29" fillId="0" borderId="0">
      <alignment vertical="center"/>
    </xf>
    <xf numFmtId="0" fontId="40" fillId="0" borderId="0">
      <alignment vertical="center"/>
    </xf>
    <xf numFmtId="0" fontId="34" fillId="0" borderId="0">
      <alignment vertical="center"/>
    </xf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7" fillId="0" borderId="1">
      <protection locked="0"/>
    </xf>
    <xf numFmtId="196" fontId="35" fillId="0" borderId="0">
      <protection locked="0"/>
    </xf>
    <xf numFmtId="197" fontId="35" fillId="0" borderId="0">
      <protection locked="0"/>
    </xf>
  </cellStyleXfs>
  <cellXfs count="520">
    <xf numFmtId="0" fontId="0" fillId="0" borderId="0" xfId="0"/>
    <xf numFmtId="3" fontId="7" fillId="0" borderId="0" xfId="0" applyNumberFormat="1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>
      <alignment vertical="center"/>
    </xf>
    <xf numFmtId="3" fontId="5" fillId="0" borderId="7" xfId="0" applyNumberFormat="1" applyFont="1" applyFill="1" applyBorder="1" applyAlignment="1">
      <alignment horizontal="center" vertical="center"/>
    </xf>
    <xf numFmtId="3" fontId="6" fillId="0" borderId="5" xfId="0" applyNumberFormat="1" applyFont="1" applyFill="1" applyBorder="1" applyAlignment="1">
      <alignment horizontal="center" vertical="center"/>
    </xf>
    <xf numFmtId="3" fontId="6" fillId="0" borderId="6" xfId="0" applyNumberFormat="1" applyFont="1" applyFill="1" applyBorder="1" applyAlignment="1">
      <alignment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9" xfId="0" applyNumberFormat="1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vertical="center"/>
    </xf>
    <xf numFmtId="3" fontId="5" fillId="0" borderId="12" xfId="0" applyNumberFormat="1" applyFont="1" applyFill="1" applyBorder="1" applyAlignment="1">
      <alignment horizontal="center" vertical="center"/>
    </xf>
    <xf numFmtId="3" fontId="5" fillId="0" borderId="13" xfId="0" applyNumberFormat="1" applyFont="1" applyFill="1" applyBorder="1" applyAlignment="1">
      <alignment vertical="center"/>
    </xf>
    <xf numFmtId="3" fontId="5" fillId="0" borderId="14" xfId="0" applyNumberFormat="1" applyFont="1" applyFill="1" applyBorder="1" applyAlignment="1">
      <alignment horizontal="center" vertical="center"/>
    </xf>
    <xf numFmtId="3" fontId="5" fillId="0" borderId="15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6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7" xfId="0" applyBorder="1" applyAlignment="1">
      <alignment horizontal="center" vertical="center"/>
    </xf>
    <xf numFmtId="177" fontId="1" fillId="0" borderId="5" xfId="0" applyNumberFormat="1" applyFont="1" applyFill="1" applyBorder="1" applyAlignment="1">
      <alignment vertical="center"/>
    </xf>
    <xf numFmtId="177" fontId="5" fillId="0" borderId="4" xfId="0" applyNumberFormat="1" applyFont="1" applyFill="1" applyBorder="1" applyAlignment="1">
      <alignment vertical="center"/>
    </xf>
    <xf numFmtId="177" fontId="5" fillId="0" borderId="5" xfId="0" applyNumberFormat="1" applyFont="1" applyFill="1" applyBorder="1" applyAlignment="1">
      <alignment vertical="center"/>
    </xf>
    <xf numFmtId="3" fontId="5" fillId="0" borderId="18" xfId="0" applyNumberFormat="1" applyFont="1" applyFill="1" applyBorder="1" applyAlignment="1">
      <alignment horizontal="center" vertical="center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20" xfId="0" applyNumberFormat="1" applyFont="1" applyFill="1" applyBorder="1" applyAlignment="1">
      <alignment horizontal="center" vertical="center"/>
    </xf>
    <xf numFmtId="3" fontId="5" fillId="0" borderId="21" xfId="0" applyNumberFormat="1" applyFont="1" applyFill="1" applyBorder="1" applyAlignment="1">
      <alignment horizontal="center" vertical="center"/>
    </xf>
    <xf numFmtId="178" fontId="0" fillId="0" borderId="22" xfId="0" applyNumberFormat="1" applyBorder="1" applyAlignment="1">
      <alignment vertical="center"/>
    </xf>
    <xf numFmtId="0" fontId="0" fillId="0" borderId="23" xfId="0" applyBorder="1" applyAlignment="1">
      <alignment horizontal="center" vertical="center"/>
    </xf>
    <xf numFmtId="177" fontId="9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177" fontId="5" fillId="0" borderId="20" xfId="0" applyNumberFormat="1" applyFont="1" applyFill="1" applyBorder="1" applyAlignment="1">
      <alignment horizontal="center" vertical="center"/>
    </xf>
    <xf numFmtId="177" fontId="5" fillId="0" borderId="18" xfId="0" applyNumberFormat="1" applyFont="1" applyFill="1" applyBorder="1" applyAlignment="1">
      <alignment vertical="center"/>
    </xf>
    <xf numFmtId="177" fontId="4" fillId="0" borderId="5" xfId="0" applyNumberFormat="1" applyFont="1" applyFill="1" applyBorder="1" applyAlignment="1">
      <alignment vertical="center"/>
    </xf>
    <xf numFmtId="177" fontId="4" fillId="0" borderId="24" xfId="0" applyNumberFormat="1" applyFont="1" applyFill="1" applyBorder="1" applyAlignment="1">
      <alignment vertical="center"/>
    </xf>
    <xf numFmtId="177" fontId="4" fillId="0" borderId="4" xfId="0" applyNumberFormat="1" applyFont="1" applyFill="1" applyBorder="1" applyAlignment="1">
      <alignment vertical="center"/>
    </xf>
    <xf numFmtId="177" fontId="4" fillId="0" borderId="25" xfId="0" applyNumberFormat="1" applyFont="1" applyFill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8" fontId="0" fillId="0" borderId="28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7" xfId="0" applyNumberFormat="1" applyBorder="1" applyAlignment="1">
      <alignment vertical="center"/>
    </xf>
    <xf numFmtId="177" fontId="4" fillId="0" borderId="29" xfId="0" applyNumberFormat="1" applyFont="1" applyFill="1" applyBorder="1" applyAlignment="1">
      <alignment vertical="center"/>
    </xf>
    <xf numFmtId="3" fontId="5" fillId="0" borderId="30" xfId="0" applyNumberFormat="1" applyFont="1" applyFill="1" applyBorder="1" applyAlignment="1">
      <alignment vertical="center"/>
    </xf>
    <xf numFmtId="3" fontId="5" fillId="0" borderId="31" xfId="0" applyNumberFormat="1" applyFont="1" applyFill="1" applyBorder="1" applyAlignment="1">
      <alignment horizontal="left" vertical="center"/>
    </xf>
    <xf numFmtId="177" fontId="4" fillId="0" borderId="32" xfId="0" applyNumberFormat="1" applyFont="1" applyFill="1" applyBorder="1" applyAlignment="1">
      <alignment vertical="center"/>
    </xf>
    <xf numFmtId="0" fontId="0" fillId="0" borderId="33" xfId="0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Fill="1" applyAlignment="1">
      <alignment vertical="center"/>
    </xf>
    <xf numFmtId="178" fontId="11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16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38" xfId="0" applyFill="1" applyBorder="1" applyAlignment="1">
      <alignment vertical="center"/>
    </xf>
    <xf numFmtId="4" fontId="10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4" fontId="5" fillId="0" borderId="0" xfId="0" applyNumberFormat="1" applyFont="1" applyFill="1" applyAlignment="1">
      <alignment vertical="center"/>
    </xf>
    <xf numFmtId="177" fontId="5" fillId="0" borderId="3" xfId="0" applyNumberFormat="1" applyFont="1" applyFill="1" applyBorder="1" applyAlignment="1">
      <alignment horizontal="center" vertical="center"/>
    </xf>
    <xf numFmtId="3" fontId="5" fillId="0" borderId="41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4" fontId="6" fillId="0" borderId="0" xfId="0" applyNumberFormat="1" applyFont="1" applyFill="1" applyAlignment="1">
      <alignment vertical="center"/>
    </xf>
    <xf numFmtId="3" fontId="6" fillId="0" borderId="0" xfId="0" applyNumberFormat="1" applyFont="1" applyFill="1" applyAlignment="1">
      <alignment vertical="center"/>
    </xf>
    <xf numFmtId="3" fontId="5" fillId="0" borderId="42" xfId="0" applyNumberFormat="1" applyFont="1" applyFill="1" applyBorder="1" applyAlignment="1">
      <alignment vertical="center"/>
    </xf>
    <xf numFmtId="3" fontId="5" fillId="0" borderId="43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177" fontId="5" fillId="0" borderId="18" xfId="0" applyNumberFormat="1" applyFont="1" applyFill="1" applyBorder="1" applyAlignment="1">
      <alignment horizontal="right" vertical="center"/>
    </xf>
    <xf numFmtId="177" fontId="5" fillId="0" borderId="5" xfId="11" applyNumberFormat="1" applyFont="1" applyFill="1" applyBorder="1" applyAlignment="1">
      <alignment horizontal="right" vertical="center"/>
    </xf>
    <xf numFmtId="177" fontId="5" fillId="0" borderId="5" xfId="0" applyNumberFormat="1" applyFont="1" applyFill="1" applyBorder="1" applyAlignment="1">
      <alignment horizontal="right" vertical="center"/>
    </xf>
    <xf numFmtId="0" fontId="0" fillId="0" borderId="45" xfId="0" applyBorder="1" applyAlignment="1">
      <alignment vertical="center"/>
    </xf>
    <xf numFmtId="0" fontId="0" fillId="0" borderId="45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6" xfId="0" applyBorder="1" applyAlignment="1">
      <alignment vertical="center"/>
    </xf>
    <xf numFmtId="178" fontId="0" fillId="0" borderId="47" xfId="0" applyNumberFormat="1" applyBorder="1" applyAlignment="1">
      <alignment vertical="center"/>
    </xf>
    <xf numFmtId="178" fontId="0" fillId="0" borderId="17" xfId="0" applyNumberFormat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178" fontId="0" fillId="0" borderId="50" xfId="0" applyNumberFormat="1" applyBorder="1" applyAlignment="1">
      <alignment vertical="center"/>
    </xf>
    <xf numFmtId="178" fontId="0" fillId="0" borderId="51" xfId="0" applyNumberFormat="1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53" xfId="0" applyFill="1" applyBorder="1" applyAlignment="1">
      <alignment vertical="center"/>
    </xf>
    <xf numFmtId="0" fontId="0" fillId="0" borderId="54" xfId="0" applyFill="1" applyBorder="1" applyAlignment="1">
      <alignment vertical="center"/>
    </xf>
    <xf numFmtId="3" fontId="5" fillId="0" borderId="55" xfId="0" applyNumberFormat="1" applyFont="1" applyFill="1" applyBorder="1" applyAlignment="1">
      <alignment vertical="center"/>
    </xf>
    <xf numFmtId="177" fontId="4" fillId="0" borderId="18" xfId="0" applyNumberFormat="1" applyFont="1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178" fontId="0" fillId="2" borderId="40" xfId="0" applyNumberFormat="1" applyFill="1" applyBorder="1" applyAlignment="1">
      <alignment vertical="center"/>
    </xf>
    <xf numFmtId="0" fontId="0" fillId="2" borderId="38" xfId="0" applyFill="1" applyBorder="1" applyAlignment="1">
      <alignment vertical="center"/>
    </xf>
    <xf numFmtId="178" fontId="0" fillId="2" borderId="38" xfId="0" applyNumberFormat="1" applyFill="1" applyBorder="1" applyAlignment="1">
      <alignment vertical="center"/>
    </xf>
    <xf numFmtId="178" fontId="0" fillId="2" borderId="16" xfId="0" applyNumberFormat="1" applyFill="1" applyBorder="1" applyAlignment="1">
      <alignment vertical="center"/>
    </xf>
    <xf numFmtId="0" fontId="0" fillId="2" borderId="56" xfId="0" applyFill="1" applyBorder="1" applyAlignment="1">
      <alignment vertical="center"/>
    </xf>
    <xf numFmtId="178" fontId="0" fillId="2" borderId="56" xfId="0" applyNumberFormat="1" applyFill="1" applyBorder="1" applyAlignment="1">
      <alignment vertical="center"/>
    </xf>
    <xf numFmtId="178" fontId="0" fillId="0" borderId="55" xfId="0" applyNumberFormat="1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3" fontId="5" fillId="0" borderId="57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60" xfId="0" applyNumberFormat="1" applyFont="1" applyFill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51" xfId="0" applyBorder="1" applyAlignment="1">
      <alignment vertical="center"/>
    </xf>
    <xf numFmtId="179" fontId="17" fillId="0" borderId="61" xfId="0" applyNumberFormat="1" applyFont="1" applyFill="1" applyBorder="1" applyAlignment="1">
      <alignment horizontal="center" vertical="center"/>
    </xf>
    <xf numFmtId="41" fontId="15" fillId="0" borderId="0" xfId="14" applyFont="1" applyAlignment="1">
      <alignment vertical="center"/>
    </xf>
    <xf numFmtId="0" fontId="0" fillId="0" borderId="16" xfId="0" applyBorder="1" applyAlignment="1">
      <alignment horizontal="right" vertical="center"/>
    </xf>
    <xf numFmtId="179" fontId="12" fillId="2" borderId="61" xfId="0" applyNumberFormat="1" applyFont="1" applyFill="1" applyBorder="1" applyAlignment="1">
      <alignment vertical="center"/>
    </xf>
    <xf numFmtId="176" fontId="0" fillId="0" borderId="22" xfId="0" applyNumberFormat="1" applyBorder="1" applyAlignment="1">
      <alignment vertical="center"/>
    </xf>
    <xf numFmtId="177" fontId="4" fillId="3" borderId="62" xfId="0" applyNumberFormat="1" applyFont="1" applyFill="1" applyBorder="1" applyAlignment="1">
      <alignment vertical="center"/>
    </xf>
    <xf numFmtId="178" fontId="0" fillId="0" borderId="63" xfId="0" applyNumberFormat="1" applyBorder="1" applyAlignment="1">
      <alignment horizontal="center" vertical="center"/>
    </xf>
    <xf numFmtId="178" fontId="0" fillId="0" borderId="63" xfId="0" applyNumberFormat="1" applyFill="1" applyBorder="1" applyAlignment="1">
      <alignment horizontal="left" vertical="center"/>
    </xf>
    <xf numFmtId="178" fontId="1" fillId="0" borderId="64" xfId="0" applyNumberFormat="1" applyFont="1" applyFill="1" applyBorder="1" applyAlignment="1">
      <alignment vertical="center"/>
    </xf>
    <xf numFmtId="178" fontId="0" fillId="0" borderId="65" xfId="0" applyNumberFormat="1" applyFill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67" xfId="0" applyNumberFormat="1" applyBorder="1" applyAlignment="1">
      <alignment vertical="center"/>
    </xf>
    <xf numFmtId="178" fontId="0" fillId="0" borderId="37" xfId="0" applyNumberFormat="1" applyBorder="1" applyAlignment="1">
      <alignment horizontal="center" vertical="center"/>
    </xf>
    <xf numFmtId="178" fontId="0" fillId="0" borderId="37" xfId="0" applyNumberFormat="1" applyFill="1" applyBorder="1" applyAlignment="1">
      <alignment horizontal="left" vertical="center"/>
    </xf>
    <xf numFmtId="178" fontId="1" fillId="0" borderId="5" xfId="0" applyNumberFormat="1" applyFont="1" applyFill="1" applyBorder="1" applyAlignment="1">
      <alignment vertical="center"/>
    </xf>
    <xf numFmtId="178" fontId="0" fillId="0" borderId="68" xfId="0" applyNumberFormat="1" applyFill="1" applyBorder="1" applyAlignment="1">
      <alignment vertical="center"/>
    </xf>
    <xf numFmtId="178" fontId="0" fillId="0" borderId="69" xfId="0" applyNumberFormat="1" applyBorder="1" applyAlignment="1">
      <alignment vertical="center"/>
    </xf>
    <xf numFmtId="178" fontId="0" fillId="0" borderId="37" xfId="0" applyNumberFormat="1" applyFill="1" applyBorder="1" applyAlignment="1">
      <alignment horizontal="center" vertical="center"/>
    </xf>
    <xf numFmtId="178" fontId="0" fillId="0" borderId="69" xfId="0" applyNumberFormat="1" applyFill="1" applyBorder="1" applyAlignment="1">
      <alignment vertical="center"/>
    </xf>
    <xf numFmtId="178" fontId="0" fillId="0" borderId="47" xfId="0" applyNumberFormat="1" applyFill="1" applyBorder="1" applyAlignment="1">
      <alignment vertical="center"/>
    </xf>
    <xf numFmtId="178" fontId="0" fillId="0" borderId="38" xfId="0" applyNumberFormat="1" applyFill="1" applyBorder="1" applyAlignment="1">
      <alignment horizontal="center" vertical="center"/>
    </xf>
    <xf numFmtId="178" fontId="0" fillId="0" borderId="38" xfId="0" applyNumberFormat="1" applyFill="1" applyBorder="1" applyAlignment="1">
      <alignment horizontal="left" vertical="center"/>
    </xf>
    <xf numFmtId="178" fontId="1" fillId="0" borderId="24" xfId="0" applyNumberFormat="1" applyFont="1" applyFill="1" applyBorder="1" applyAlignment="1">
      <alignment vertical="center"/>
    </xf>
    <xf numFmtId="178" fontId="0" fillId="0" borderId="70" xfId="0" applyNumberFormat="1" applyFill="1" applyBorder="1" applyAlignment="1">
      <alignment vertical="center"/>
    </xf>
    <xf numFmtId="178" fontId="0" fillId="0" borderId="71" xfId="0" applyNumberFormat="1" applyFill="1" applyBorder="1" applyAlignment="1">
      <alignment vertical="center"/>
    </xf>
    <xf numFmtId="178" fontId="0" fillId="0" borderId="51" xfId="0" applyNumberFormat="1" applyFill="1" applyBorder="1" applyAlignment="1">
      <alignment vertical="center"/>
    </xf>
    <xf numFmtId="0" fontId="1" fillId="0" borderId="53" xfId="0" applyFont="1" applyBorder="1" applyAlignment="1">
      <alignment vertical="center"/>
    </xf>
    <xf numFmtId="3" fontId="12" fillId="0" borderId="0" xfId="0" applyNumberFormat="1" applyFont="1" applyFill="1" applyAlignment="1">
      <alignment vertical="center"/>
    </xf>
    <xf numFmtId="3" fontId="3" fillId="0" borderId="5" xfId="0" applyNumberFormat="1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0" borderId="18" xfId="0" applyNumberFormat="1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10" fontId="5" fillId="0" borderId="0" xfId="1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6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78" fontId="1" fillId="0" borderId="73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74" xfId="0" applyFont="1" applyFill="1" applyBorder="1" applyAlignment="1">
      <alignment horizontal="center" vertical="center"/>
    </xf>
    <xf numFmtId="178" fontId="1" fillId="0" borderId="75" xfId="0" applyNumberFormat="1" applyFont="1" applyFill="1" applyBorder="1" applyAlignment="1">
      <alignment horizontal="right" vertical="center"/>
    </xf>
    <xf numFmtId="0" fontId="1" fillId="0" borderId="74" xfId="0" applyFont="1" applyFill="1" applyBorder="1" applyAlignment="1">
      <alignment vertical="center"/>
    </xf>
    <xf numFmtId="0" fontId="1" fillId="0" borderId="37" xfId="0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right" vertical="center"/>
    </xf>
    <xf numFmtId="0" fontId="1" fillId="0" borderId="37" xfId="0" applyFont="1" applyFill="1" applyBorder="1" applyAlignment="1">
      <alignment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178" fontId="1" fillId="0" borderId="24" xfId="0" applyNumberFormat="1" applyFont="1" applyFill="1" applyBorder="1" applyAlignment="1">
      <alignment horizontal="right" vertical="center"/>
    </xf>
    <xf numFmtId="0" fontId="1" fillId="0" borderId="38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52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178" fontId="1" fillId="0" borderId="76" xfId="0" applyNumberFormat="1" applyFont="1" applyBorder="1" applyAlignment="1">
      <alignment vertical="center"/>
    </xf>
    <xf numFmtId="178" fontId="1" fillId="0" borderId="77" xfId="0" applyNumberFormat="1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178" fontId="1" fillId="0" borderId="0" xfId="0" applyNumberFormat="1" applyFont="1" applyAlignment="1">
      <alignment vertical="center"/>
    </xf>
    <xf numFmtId="0" fontId="5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0" fillId="0" borderId="78" xfId="0" applyFill="1" applyBorder="1" applyAlignment="1">
      <alignment vertical="center"/>
    </xf>
    <xf numFmtId="0" fontId="0" fillId="0" borderId="79" xfId="0" applyFill="1" applyBorder="1" applyAlignment="1">
      <alignment vertical="center"/>
    </xf>
    <xf numFmtId="178" fontId="1" fillId="0" borderId="80" xfId="0" applyNumberFormat="1" applyFont="1" applyFill="1" applyBorder="1" applyAlignment="1">
      <alignment horizontal="right" vertical="center"/>
    </xf>
    <xf numFmtId="178" fontId="1" fillId="0" borderId="47" xfId="0" applyNumberFormat="1" applyFont="1" applyFill="1" applyBorder="1" applyAlignment="1">
      <alignment horizontal="right" vertical="center"/>
    </xf>
    <xf numFmtId="178" fontId="1" fillId="0" borderId="51" xfId="0" applyNumberFormat="1" applyFont="1" applyFill="1" applyBorder="1" applyAlignment="1">
      <alignment horizontal="right" vertical="center"/>
    </xf>
    <xf numFmtId="178" fontId="4" fillId="3" borderId="28" xfId="0" applyNumberFormat="1" applyFont="1" applyFill="1" applyBorder="1" applyAlignment="1">
      <alignment vertical="center"/>
    </xf>
    <xf numFmtId="0" fontId="1" fillId="0" borderId="8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178" fontId="1" fillId="0" borderId="82" xfId="0" applyNumberFormat="1" applyFont="1" applyFill="1" applyBorder="1" applyAlignment="1">
      <alignment horizontal="right" vertical="center"/>
    </xf>
    <xf numFmtId="178" fontId="1" fillId="0" borderId="14" xfId="0" applyNumberFormat="1" applyFont="1" applyFill="1" applyBorder="1" applyAlignment="1">
      <alignment horizontal="right" vertical="center"/>
    </xf>
    <xf numFmtId="178" fontId="1" fillId="0" borderId="83" xfId="0" applyNumberFormat="1" applyFont="1" applyFill="1" applyBorder="1" applyAlignment="1">
      <alignment horizontal="right" vertical="center"/>
    </xf>
    <xf numFmtId="0" fontId="0" fillId="0" borderId="78" xfId="0" applyBorder="1" applyAlignment="1">
      <alignment horizontal="center" vertical="center"/>
    </xf>
    <xf numFmtId="0" fontId="0" fillId="0" borderId="78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178" fontId="1" fillId="0" borderId="89" xfId="0" applyNumberFormat="1" applyFont="1" applyFill="1" applyBorder="1" applyAlignment="1">
      <alignment vertical="center"/>
    </xf>
    <xf numFmtId="178" fontId="1" fillId="0" borderId="7" xfId="0" applyNumberFormat="1" applyFont="1" applyFill="1" applyBorder="1" applyAlignment="1">
      <alignment vertical="center"/>
    </xf>
    <xf numFmtId="178" fontId="1" fillId="0" borderId="9" xfId="0" applyNumberFormat="1" applyFont="1" applyFill="1" applyBorder="1" applyAlignment="1">
      <alignment vertical="center"/>
    </xf>
    <xf numFmtId="178" fontId="3" fillId="0" borderId="39" xfId="0" applyNumberFormat="1" applyFont="1" applyBorder="1" applyAlignment="1">
      <alignment horizontal="center" vertical="center"/>
    </xf>
    <xf numFmtId="178" fontId="3" fillId="0" borderId="61" xfId="0" applyNumberFormat="1" applyFont="1" applyBorder="1" applyAlignment="1">
      <alignment horizontal="center" vertical="center"/>
    </xf>
    <xf numFmtId="178" fontId="3" fillId="0" borderId="48" xfId="0" applyNumberFormat="1" applyFont="1" applyBorder="1" applyAlignment="1">
      <alignment horizontal="center" vertical="center"/>
    </xf>
    <xf numFmtId="9" fontId="3" fillId="0" borderId="79" xfId="11" applyFont="1" applyBorder="1" applyAlignment="1">
      <alignment vertical="center"/>
    </xf>
    <xf numFmtId="9" fontId="3" fillId="0" borderId="90" xfId="11" applyFont="1" applyBorder="1" applyAlignment="1">
      <alignment vertical="center"/>
    </xf>
    <xf numFmtId="9" fontId="3" fillId="0" borderId="79" xfId="11" applyFont="1" applyFill="1" applyBorder="1" applyAlignment="1">
      <alignment vertical="center"/>
    </xf>
    <xf numFmtId="9" fontId="3" fillId="0" borderId="91" xfId="11" applyFont="1" applyBorder="1" applyAlignment="1">
      <alignment vertical="center"/>
    </xf>
    <xf numFmtId="9" fontId="3" fillId="0" borderId="92" xfId="11" applyFont="1" applyBorder="1" applyAlignment="1">
      <alignment vertical="center"/>
    </xf>
    <xf numFmtId="178" fontId="3" fillId="0" borderId="48" xfId="0" applyNumberFormat="1" applyFont="1" applyBorder="1" applyAlignment="1">
      <alignment vertical="center"/>
    </xf>
    <xf numFmtId="178" fontId="3" fillId="0" borderId="0" xfId="0" applyNumberFormat="1" applyFont="1" applyBorder="1" applyAlignment="1">
      <alignment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78" fontId="27" fillId="0" borderId="93" xfId="0" applyNumberFormat="1" applyFont="1" applyFill="1" applyBorder="1" applyAlignment="1">
      <alignment vertical="center"/>
    </xf>
    <xf numFmtId="178" fontId="27" fillId="0" borderId="64" xfId="0" applyNumberFormat="1" applyFont="1" applyFill="1" applyBorder="1" applyAlignment="1">
      <alignment vertical="center"/>
    </xf>
    <xf numFmtId="178" fontId="27" fillId="0" borderId="94" xfId="0" applyNumberFormat="1" applyFont="1" applyFill="1" applyBorder="1" applyAlignment="1">
      <alignment vertical="center"/>
    </xf>
    <xf numFmtId="178" fontId="27" fillId="0" borderId="14" xfId="0" applyNumberFormat="1" applyFont="1" applyFill="1" applyBorder="1" applyAlignment="1">
      <alignment vertical="center"/>
    </xf>
    <xf numFmtId="178" fontId="27" fillId="0" borderId="5" xfId="0" applyNumberFormat="1" applyFont="1" applyFill="1" applyBorder="1" applyAlignment="1">
      <alignment vertical="center"/>
    </xf>
    <xf numFmtId="178" fontId="27" fillId="0" borderId="6" xfId="0" applyNumberFormat="1" applyFont="1" applyFill="1" applyBorder="1" applyAlignment="1">
      <alignment vertical="center"/>
    </xf>
    <xf numFmtId="178" fontId="27" fillId="0" borderId="83" xfId="0" applyNumberFormat="1" applyFont="1" applyFill="1" applyBorder="1" applyAlignment="1">
      <alignment vertical="center"/>
    </xf>
    <xf numFmtId="178" fontId="27" fillId="0" borderId="24" xfId="0" applyNumberFormat="1" applyFont="1" applyFill="1" applyBorder="1" applyAlignment="1">
      <alignment vertical="center"/>
    </xf>
    <xf numFmtId="178" fontId="27" fillId="0" borderId="10" xfId="0" applyNumberFormat="1" applyFont="1" applyFill="1" applyBorder="1" applyAlignment="1">
      <alignment vertical="center"/>
    </xf>
    <xf numFmtId="178" fontId="27" fillId="0" borderId="2" xfId="0" applyNumberFormat="1" applyFont="1" applyBorder="1" applyAlignment="1">
      <alignment vertical="center"/>
    </xf>
    <xf numFmtId="178" fontId="27" fillId="0" borderId="3" xfId="0" applyNumberFormat="1" applyFont="1" applyBorder="1" applyAlignment="1">
      <alignment vertical="center"/>
    </xf>
    <xf numFmtId="178" fontId="27" fillId="0" borderId="41" xfId="0" applyNumberFormat="1" applyFont="1" applyBorder="1" applyAlignment="1">
      <alignment vertical="center"/>
    </xf>
    <xf numFmtId="9" fontId="28" fillId="0" borderId="95" xfId="11" applyFont="1" applyBorder="1" applyAlignment="1">
      <alignment vertical="center"/>
    </xf>
    <xf numFmtId="9" fontId="28" fillId="0" borderId="79" xfId="11" applyFont="1" applyBorder="1" applyAlignment="1">
      <alignment vertical="center"/>
    </xf>
    <xf numFmtId="9" fontId="28" fillId="0" borderId="96" xfId="11" applyFont="1" applyBorder="1" applyAlignment="1">
      <alignment vertical="center"/>
    </xf>
    <xf numFmtId="178" fontId="0" fillId="0" borderId="63" xfId="0" applyNumberFormat="1" applyFill="1" applyBorder="1" applyAlignment="1">
      <alignment horizontal="center" vertical="center"/>
    </xf>
    <xf numFmtId="178" fontId="4" fillId="0" borderId="97" xfId="0" applyNumberFormat="1" applyFont="1" applyBorder="1" applyAlignment="1">
      <alignment vertical="center"/>
    </xf>
    <xf numFmtId="178" fontId="4" fillId="0" borderId="3" xfId="0" applyNumberFormat="1" applyFont="1" applyFill="1" applyBorder="1" applyAlignment="1">
      <alignment vertical="center"/>
    </xf>
    <xf numFmtId="178" fontId="4" fillId="0" borderId="3" xfId="0" applyNumberFormat="1" applyFont="1" applyBorder="1" applyAlignment="1">
      <alignment vertical="center"/>
    </xf>
    <xf numFmtId="178" fontId="4" fillId="0" borderId="58" xfId="0" applyNumberFormat="1" applyFont="1" applyBorder="1" applyAlignment="1">
      <alignment vertical="center"/>
    </xf>
    <xf numFmtId="178" fontId="4" fillId="0" borderId="98" xfId="0" applyNumberFormat="1" applyFont="1" applyBorder="1" applyAlignment="1">
      <alignment vertical="center"/>
    </xf>
    <xf numFmtId="3" fontId="0" fillId="4" borderId="5" xfId="0" applyNumberForma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vertical="center"/>
    </xf>
    <xf numFmtId="177" fontId="5" fillId="4" borderId="18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2" borderId="99" xfId="0" applyFill="1" applyBorder="1" applyAlignment="1">
      <alignment vertical="center"/>
    </xf>
    <xf numFmtId="178" fontId="0" fillId="2" borderId="99" xfId="0" applyNumberFormat="1" applyFill="1" applyBorder="1" applyAlignment="1">
      <alignment vertical="center"/>
    </xf>
    <xf numFmtId="178" fontId="0" fillId="0" borderId="100" xfId="0" applyNumberFormat="1" applyBorder="1" applyAlignment="1">
      <alignment vertical="center"/>
    </xf>
    <xf numFmtId="0" fontId="0" fillId="0" borderId="99" xfId="0" applyBorder="1" applyAlignment="1">
      <alignment vertical="center"/>
    </xf>
    <xf numFmtId="0" fontId="0" fillId="5" borderId="28" xfId="0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178" fontId="0" fillId="5" borderId="16" xfId="0" applyNumberFormat="1" applyFill="1" applyBorder="1" applyAlignment="1">
      <alignment vertical="center"/>
    </xf>
    <xf numFmtId="178" fontId="0" fillId="5" borderId="28" xfId="0" applyNumberFormat="1" applyFill="1" applyBorder="1" applyAlignment="1">
      <alignment vertical="center"/>
    </xf>
    <xf numFmtId="0" fontId="0" fillId="6" borderId="49" xfId="0" applyFill="1" applyBorder="1" applyAlignment="1">
      <alignment vertical="center"/>
    </xf>
    <xf numFmtId="0" fontId="0" fillId="6" borderId="46" xfId="0" applyFill="1" applyBorder="1" applyAlignment="1">
      <alignment vertical="center"/>
    </xf>
    <xf numFmtId="3" fontId="0" fillId="0" borderId="6" xfId="0" applyNumberFormat="1" applyFill="1" applyBorder="1" applyAlignment="1">
      <alignment vertical="center"/>
    </xf>
    <xf numFmtId="177" fontId="0" fillId="0" borderId="0" xfId="0" applyNumberFormat="1" applyFont="1" applyFill="1" applyAlignment="1">
      <alignment horizontal="left" vertical="center"/>
    </xf>
    <xf numFmtId="177" fontId="0" fillId="0" borderId="5" xfId="0" applyNumberFormat="1" applyFont="1" applyFill="1" applyBorder="1" applyAlignment="1">
      <alignment horizontal="center" vertical="center"/>
    </xf>
    <xf numFmtId="3" fontId="0" fillId="0" borderId="5" xfId="0" applyNumberFormat="1" applyFont="1" applyFill="1" applyBorder="1" applyAlignment="1">
      <alignment vertical="center"/>
    </xf>
    <xf numFmtId="3" fontId="0" fillId="0" borderId="5" xfId="0" applyNumberFormat="1" applyFont="1" applyFill="1" applyBorder="1" applyAlignment="1">
      <alignment horizontal="center" vertical="center"/>
    </xf>
    <xf numFmtId="4" fontId="0" fillId="0" borderId="5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horizontal="right" vertical="center"/>
    </xf>
    <xf numFmtId="3" fontId="6" fillId="4" borderId="5" xfId="0" applyNumberFormat="1" applyFont="1" applyFill="1" applyBorder="1" applyAlignment="1">
      <alignment horizontal="center" vertical="center"/>
    </xf>
    <xf numFmtId="177" fontId="1" fillId="4" borderId="5" xfId="0" applyNumberFormat="1" applyFont="1" applyFill="1" applyBorder="1" applyAlignment="1">
      <alignment vertical="center"/>
    </xf>
    <xf numFmtId="3" fontId="3" fillId="4" borderId="18" xfId="0" applyNumberFormat="1" applyFont="1" applyFill="1" applyBorder="1" applyAlignment="1">
      <alignment horizontal="center" vertical="center"/>
    </xf>
    <xf numFmtId="3" fontId="5" fillId="4" borderId="5" xfId="0" applyNumberFormat="1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vertical="center" wrapText="1"/>
    </xf>
    <xf numFmtId="3" fontId="0" fillId="4" borderId="5" xfId="0" applyNumberFormat="1" applyFont="1" applyFill="1" applyBorder="1" applyAlignment="1">
      <alignment vertical="center"/>
    </xf>
    <xf numFmtId="182" fontId="1" fillId="0" borderId="0" xfId="0" applyNumberFormat="1" applyFont="1" applyAlignment="1">
      <alignment vertical="center"/>
    </xf>
    <xf numFmtId="0" fontId="22" fillId="7" borderId="49" xfId="0" applyFont="1" applyFill="1" applyBorder="1" applyAlignment="1">
      <alignment horizontal="left" vertical="center"/>
    </xf>
    <xf numFmtId="0" fontId="19" fillId="7" borderId="73" xfId="0" applyFont="1" applyFill="1" applyBorder="1" applyAlignment="1">
      <alignment horizontal="left" vertical="center"/>
    </xf>
    <xf numFmtId="0" fontId="4" fillId="7" borderId="26" xfId="0" applyFont="1" applyFill="1" applyBorder="1" applyAlignment="1">
      <alignment vertical="center"/>
    </xf>
    <xf numFmtId="0" fontId="4" fillId="7" borderId="0" xfId="0" applyFont="1" applyFill="1" applyBorder="1" applyAlignment="1">
      <alignment horizontal="left" vertical="center"/>
    </xf>
    <xf numFmtId="0" fontId="4" fillId="7" borderId="86" xfId="0" applyFont="1" applyFill="1" applyBorder="1" applyAlignment="1">
      <alignment horizontal="left" vertical="center"/>
    </xf>
    <xf numFmtId="0" fontId="0" fillId="7" borderId="46" xfId="0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1" fillId="7" borderId="86" xfId="0" applyFont="1" applyFill="1" applyBorder="1" applyAlignment="1">
      <alignment horizontal="left" vertical="center"/>
    </xf>
    <xf numFmtId="0" fontId="0" fillId="7" borderId="46" xfId="0" applyFill="1" applyBorder="1" applyAlignment="1">
      <alignment vertical="center"/>
    </xf>
    <xf numFmtId="0" fontId="24" fillId="7" borderId="46" xfId="0" applyFont="1" applyFill="1" applyBorder="1" applyAlignment="1">
      <alignment horizontal="right" vertical="center"/>
    </xf>
    <xf numFmtId="0" fontId="25" fillId="7" borderId="0" xfId="0" applyFont="1" applyFill="1" applyBorder="1" applyAlignment="1">
      <alignment vertical="center"/>
    </xf>
    <xf numFmtId="0" fontId="24" fillId="7" borderId="86" xfId="0" applyFont="1" applyFill="1" applyBorder="1" applyAlignment="1">
      <alignment horizontal="left" vertical="center"/>
    </xf>
    <xf numFmtId="0" fontId="24" fillId="7" borderId="39" xfId="0" applyFont="1" applyFill="1" applyBorder="1" applyAlignment="1">
      <alignment horizontal="right" vertical="center"/>
    </xf>
    <xf numFmtId="0" fontId="25" fillId="7" borderId="61" xfId="0" applyFont="1" applyFill="1" applyBorder="1" applyAlignment="1">
      <alignment vertical="center"/>
    </xf>
    <xf numFmtId="0" fontId="24" fillId="7" borderId="48" xfId="0" applyFont="1" applyFill="1" applyBorder="1" applyAlignment="1">
      <alignment horizontal="left" vertical="center"/>
    </xf>
    <xf numFmtId="183" fontId="0" fillId="7" borderId="40" xfId="0" applyNumberFormat="1" applyFont="1" applyFill="1" applyBorder="1" applyAlignment="1">
      <alignment horizontal="left" vertical="center"/>
    </xf>
    <xf numFmtId="0" fontId="0" fillId="7" borderId="37" xfId="0" applyFill="1" applyBorder="1" applyAlignment="1">
      <alignment horizontal="left" vertical="center"/>
    </xf>
    <xf numFmtId="31" fontId="0" fillId="7" borderId="37" xfId="0" applyNumberFormat="1" applyFill="1" applyBorder="1" applyAlignment="1">
      <alignment horizontal="left" vertical="center"/>
    </xf>
    <xf numFmtId="0" fontId="1" fillId="7" borderId="37" xfId="0" applyFont="1" applyFill="1" applyBorder="1" applyAlignment="1">
      <alignment horizontal="left" vertical="center"/>
    </xf>
    <xf numFmtId="0" fontId="1" fillId="7" borderId="38" xfId="0" applyFont="1" applyFill="1" applyBorder="1" applyAlignment="1">
      <alignment horizontal="left" vertical="center"/>
    </xf>
    <xf numFmtId="178" fontId="0" fillId="0" borderId="16" xfId="0" applyNumberFormat="1" applyFill="1" applyBorder="1" applyAlignment="1">
      <alignment vertical="center"/>
    </xf>
    <xf numFmtId="178" fontId="0" fillId="0" borderId="40" xfId="0" applyNumberFormat="1" applyFill="1" applyBorder="1" applyAlignment="1">
      <alignment vertical="center"/>
    </xf>
    <xf numFmtId="178" fontId="0" fillId="0" borderId="37" xfId="0" applyNumberFormat="1" applyFill="1" applyBorder="1" applyAlignment="1">
      <alignment vertical="center"/>
    </xf>
    <xf numFmtId="178" fontId="0" fillId="0" borderId="22" xfId="0" applyNumberFormat="1" applyFill="1" applyBorder="1" applyAlignment="1">
      <alignment vertical="center"/>
    </xf>
    <xf numFmtId="0" fontId="0" fillId="7" borderId="37" xfId="0" applyFill="1" applyBorder="1" applyAlignment="1">
      <alignment horizontal="center" vertical="center"/>
    </xf>
    <xf numFmtId="178" fontId="0" fillId="7" borderId="37" xfId="0" applyNumberFormat="1" applyFill="1" applyBorder="1" applyAlignment="1">
      <alignment horizontal="right"/>
    </xf>
    <xf numFmtId="178" fontId="0" fillId="7" borderId="37" xfId="0" applyNumberFormat="1" applyFill="1" applyBorder="1" applyAlignment="1">
      <alignment vertical="center"/>
    </xf>
    <xf numFmtId="41" fontId="0" fillId="7" borderId="37" xfId="0" applyNumberFormat="1" applyFill="1" applyBorder="1" applyAlignment="1">
      <alignment horizontal="right"/>
    </xf>
    <xf numFmtId="178" fontId="0" fillId="7" borderId="56" xfId="0" applyNumberFormat="1" applyFill="1" applyBorder="1" applyAlignment="1">
      <alignment vertical="center"/>
    </xf>
    <xf numFmtId="0" fontId="0" fillId="7" borderId="37" xfId="0" applyFill="1" applyBorder="1" applyAlignment="1">
      <alignment vertical="center"/>
    </xf>
    <xf numFmtId="41" fontId="1" fillId="7" borderId="37" xfId="0" applyNumberFormat="1" applyFont="1" applyFill="1" applyBorder="1" applyAlignment="1">
      <alignment horizontal="right"/>
    </xf>
    <xf numFmtId="0" fontId="0" fillId="2" borderId="99" xfId="0" applyFill="1" applyBorder="1" applyAlignment="1">
      <alignment horizontal="center" vertical="center"/>
    </xf>
    <xf numFmtId="178" fontId="0" fillId="2" borderId="99" xfId="0" applyNumberFormat="1" applyFill="1" applyBorder="1" applyAlignment="1">
      <alignment horizontal="center" vertical="center"/>
    </xf>
    <xf numFmtId="0" fontId="0" fillId="7" borderId="56" xfId="0" applyFill="1" applyBorder="1" applyAlignment="1">
      <alignment vertical="center"/>
    </xf>
    <xf numFmtId="0" fontId="0" fillId="7" borderId="56" xfId="0" applyFill="1" applyBorder="1" applyAlignment="1">
      <alignment horizontal="center" vertical="center"/>
    </xf>
    <xf numFmtId="178" fontId="0" fillId="7" borderId="56" xfId="0" applyNumberFormat="1" applyFill="1" applyBorder="1" applyAlignment="1">
      <alignment horizontal="center" vertical="center"/>
    </xf>
    <xf numFmtId="184" fontId="1" fillId="7" borderId="37" xfId="0" applyNumberFormat="1" applyFont="1" applyFill="1" applyBorder="1" applyAlignment="1">
      <alignment horizontal="center" vertical="center"/>
    </xf>
    <xf numFmtId="185" fontId="1" fillId="7" borderId="37" xfId="0" applyNumberFormat="1" applyFont="1" applyFill="1" applyBorder="1" applyAlignment="1">
      <alignment vertical="center"/>
    </xf>
    <xf numFmtId="0" fontId="0" fillId="2" borderId="38" xfId="0" applyFill="1" applyBorder="1" applyAlignment="1">
      <alignment horizontal="center" vertical="center"/>
    </xf>
    <xf numFmtId="178" fontId="0" fillId="7" borderId="38" xfId="0" applyNumberFormat="1" applyFill="1" applyBorder="1" applyAlignment="1">
      <alignment horizontal="center" vertical="center"/>
    </xf>
    <xf numFmtId="178" fontId="0" fillId="7" borderId="16" xfId="0" applyNumberFormat="1" applyFill="1" applyBorder="1" applyAlignment="1">
      <alignment horizontal="center" vertical="center"/>
    </xf>
    <xf numFmtId="178" fontId="0" fillId="7" borderId="37" xfId="0" applyNumberFormat="1" applyFill="1" applyBorder="1" applyAlignment="1">
      <alignment horizontal="center" vertical="center"/>
    </xf>
    <xf numFmtId="178" fontId="0" fillId="7" borderId="38" xfId="0" applyNumberFormat="1" applyFill="1" applyBorder="1" applyAlignment="1">
      <alignment horizontal="right" vertical="center"/>
    </xf>
    <xf numFmtId="0" fontId="0" fillId="7" borderId="37" xfId="0" applyFont="1" applyFill="1" applyBorder="1" applyAlignment="1">
      <alignment vertical="center"/>
    </xf>
    <xf numFmtId="0" fontId="0" fillId="2" borderId="40" xfId="0" applyFill="1" applyBorder="1" applyAlignment="1">
      <alignment horizontal="center" vertical="center"/>
    </xf>
    <xf numFmtId="178" fontId="0" fillId="2" borderId="40" xfId="0" applyNumberForma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178" fontId="0" fillId="5" borderId="16" xfId="0" applyNumberFormat="1" applyFill="1" applyBorder="1" applyAlignment="1">
      <alignment horizontal="center" vertical="center"/>
    </xf>
    <xf numFmtId="178" fontId="0" fillId="0" borderId="22" xfId="0" applyNumberFormat="1" applyBorder="1" applyAlignment="1">
      <alignment horizontal="center" vertical="center"/>
    </xf>
    <xf numFmtId="178" fontId="40" fillId="2" borderId="37" xfId="33" applyNumberFormat="1" applyFill="1" applyBorder="1" applyAlignment="1">
      <alignment horizontal="center" vertical="center"/>
    </xf>
    <xf numFmtId="178" fontId="40" fillId="2" borderId="37" xfId="33" applyNumberFormat="1" applyFill="1" applyBorder="1" applyAlignment="1">
      <alignment vertical="center"/>
    </xf>
    <xf numFmtId="178" fontId="40" fillId="2" borderId="56" xfId="33" applyNumberFormat="1" applyFill="1" applyBorder="1" applyAlignment="1">
      <alignment horizontal="center" vertical="center"/>
    </xf>
    <xf numFmtId="178" fontId="40" fillId="2" borderId="56" xfId="33" applyNumberFormat="1" applyFill="1" applyBorder="1" applyAlignment="1">
      <alignment vertical="center"/>
    </xf>
    <xf numFmtId="0" fontId="41" fillId="2" borderId="56" xfId="0" applyFont="1" applyFill="1" applyBorder="1" applyAlignment="1">
      <alignment vertical="center" shrinkToFit="1"/>
    </xf>
    <xf numFmtId="0" fontId="41" fillId="2" borderId="37" xfId="0" applyFont="1" applyFill="1" applyBorder="1" applyAlignment="1">
      <alignment vertical="center" shrinkToFit="1"/>
    </xf>
    <xf numFmtId="0" fontId="40" fillId="2" borderId="99" xfId="35" applyFont="1" applyFill="1" applyBorder="1" applyAlignment="1">
      <alignment vertical="center"/>
    </xf>
    <xf numFmtId="178" fontId="40" fillId="2" borderId="99" xfId="35" applyNumberFormat="1" applyFont="1" applyFill="1" applyBorder="1" applyAlignment="1">
      <alignment horizontal="center" vertical="center"/>
    </xf>
    <xf numFmtId="178" fontId="40" fillId="2" borderId="99" xfId="35" applyNumberFormat="1" applyFont="1" applyFill="1" applyBorder="1" applyAlignment="1">
      <alignment vertical="center"/>
    </xf>
    <xf numFmtId="0" fontId="40" fillId="2" borderId="99" xfId="35" applyFont="1" applyFill="1" applyBorder="1" applyAlignment="1">
      <alignment horizontal="center" vertical="center"/>
    </xf>
    <xf numFmtId="0" fontId="0" fillId="2" borderId="37" xfId="0" applyFill="1" applyBorder="1" applyAlignment="1">
      <alignment vertical="center" shrinkToFit="1"/>
    </xf>
    <xf numFmtId="178" fontId="41" fillId="2" borderId="37" xfId="0" applyNumberFormat="1" applyFont="1" applyFill="1" applyBorder="1" applyAlignment="1">
      <alignment horizontal="center" vertical="center"/>
    </xf>
    <xf numFmtId="0" fontId="41" fillId="2" borderId="37" xfId="0" applyFont="1" applyFill="1" applyBorder="1" applyAlignment="1">
      <alignment vertical="center"/>
    </xf>
    <xf numFmtId="178" fontId="41" fillId="2" borderId="37" xfId="0" applyNumberFormat="1" applyFont="1" applyFill="1" applyBorder="1" applyAlignment="1">
      <alignment vertical="center"/>
    </xf>
    <xf numFmtId="0" fontId="41" fillId="2" borderId="99" xfId="0" applyFont="1" applyFill="1" applyBorder="1" applyAlignment="1">
      <alignment vertical="center"/>
    </xf>
    <xf numFmtId="0" fontId="41" fillId="2" borderId="99" xfId="0" applyFont="1" applyFill="1" applyBorder="1" applyAlignment="1">
      <alignment vertical="center" shrinkToFit="1"/>
    </xf>
    <xf numFmtId="178" fontId="41" fillId="2" borderId="99" xfId="0" applyNumberFormat="1" applyFont="1" applyFill="1" applyBorder="1" applyAlignment="1">
      <alignment horizontal="center" vertical="center"/>
    </xf>
    <xf numFmtId="0" fontId="0" fillId="7" borderId="46" xfId="0" applyFont="1" applyFill="1" applyBorder="1" applyAlignment="1">
      <alignment horizontal="left" vertical="center"/>
    </xf>
    <xf numFmtId="0" fontId="0" fillId="7" borderId="46" xfId="0" applyFont="1" applyFill="1" applyBorder="1" applyAlignment="1">
      <alignment vertical="center"/>
    </xf>
    <xf numFmtId="3" fontId="0" fillId="0" borderId="0" xfId="0" applyNumberFormat="1" applyFont="1" applyFill="1" applyAlignment="1">
      <alignment vertical="center"/>
    </xf>
    <xf numFmtId="0" fontId="0" fillId="7" borderId="0" xfId="0" applyFill="1" applyAlignment="1">
      <alignment vertical="center"/>
    </xf>
    <xf numFmtId="187" fontId="32" fillId="7" borderId="40" xfId="14" applyNumberFormat="1" applyFont="1" applyFill="1" applyBorder="1" applyAlignment="1">
      <alignment vertical="center"/>
    </xf>
    <xf numFmtId="187" fontId="31" fillId="7" borderId="37" xfId="14" applyNumberFormat="1" applyFont="1" applyFill="1" applyBorder="1" applyAlignment="1">
      <alignment horizontal="right" vertical="center"/>
    </xf>
    <xf numFmtId="187" fontId="31" fillId="7" borderId="36" xfId="14" applyNumberFormat="1" applyFont="1" applyFill="1" applyBorder="1" applyAlignment="1">
      <alignment vertical="center"/>
    </xf>
    <xf numFmtId="187" fontId="31" fillId="7" borderId="22" xfId="14" applyNumberFormat="1" applyFont="1" applyFill="1" applyBorder="1" applyAlignment="1">
      <alignment vertical="center"/>
    </xf>
    <xf numFmtId="178" fontId="0" fillId="0" borderId="10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178" fontId="0" fillId="0" borderId="40" xfId="0" applyNumberForma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41" fillId="2" borderId="37" xfId="0" applyFont="1" applyFill="1" applyBorder="1" applyAlignment="1">
      <alignment vertical="center" wrapText="1" shrinkToFit="1"/>
    </xf>
    <xf numFmtId="0" fontId="0" fillId="2" borderId="53" xfId="0" applyFill="1" applyBorder="1" applyAlignment="1">
      <alignment vertical="center"/>
    </xf>
    <xf numFmtId="0" fontId="0" fillId="2" borderId="47" xfId="0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0" fontId="0" fillId="2" borderId="102" xfId="0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101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 textRotation="255"/>
    </xf>
    <xf numFmtId="182" fontId="12" fillId="2" borderId="0" xfId="0" applyNumberFormat="1" applyFont="1" applyFill="1" applyBorder="1" applyAlignment="1">
      <alignment horizontal="left" vertical="center"/>
    </xf>
    <xf numFmtId="180" fontId="1" fillId="2" borderId="46" xfId="0" applyNumberFormat="1" applyFont="1" applyFill="1" applyBorder="1" applyAlignment="1">
      <alignment vertical="center"/>
    </xf>
    <xf numFmtId="180" fontId="1" fillId="2" borderId="0" xfId="0" applyNumberFormat="1" applyFont="1" applyFill="1" applyBorder="1" applyAlignment="1">
      <alignment vertical="center"/>
    </xf>
    <xf numFmtId="180" fontId="1" fillId="2" borderId="86" xfId="0" applyNumberFormat="1" applyFont="1" applyFill="1" applyBorder="1" applyAlignment="1">
      <alignment vertical="center"/>
    </xf>
    <xf numFmtId="0" fontId="1" fillId="0" borderId="4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3" xfId="0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left" vertical="center"/>
    </xf>
    <xf numFmtId="0" fontId="1" fillId="0" borderId="107" xfId="0" applyFont="1" applyFill="1" applyBorder="1" applyAlignment="1">
      <alignment horizontal="left" vertical="center"/>
    </xf>
    <xf numFmtId="0" fontId="1" fillId="0" borderId="80" xfId="0" applyFont="1" applyFill="1" applyBorder="1" applyAlignment="1">
      <alignment horizontal="left" vertical="center"/>
    </xf>
    <xf numFmtId="0" fontId="1" fillId="2" borderId="60" xfId="0" applyFont="1" applyFill="1" applyBorder="1" applyAlignment="1">
      <alignment vertical="center"/>
    </xf>
    <xf numFmtId="0" fontId="1" fillId="2" borderId="101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178" fontId="1" fillId="0" borderId="27" xfId="0" applyNumberFormat="1" applyFont="1" applyBorder="1" applyAlignment="1">
      <alignment horizontal="center" vertical="center"/>
    </xf>
    <xf numFmtId="178" fontId="1" fillId="0" borderId="45" xfId="0" applyNumberFormat="1" applyFont="1" applyBorder="1" applyAlignment="1">
      <alignment horizontal="center" vertical="center"/>
    </xf>
    <xf numFmtId="178" fontId="1" fillId="0" borderId="28" xfId="0" applyNumberFormat="1" applyFont="1" applyBorder="1" applyAlignment="1">
      <alignment horizontal="center" vertical="center"/>
    </xf>
    <xf numFmtId="0" fontId="1" fillId="0" borderId="54" xfId="0" applyFont="1" applyFill="1" applyBorder="1" applyAlignment="1">
      <alignment horizontal="left" vertical="center"/>
    </xf>
    <xf numFmtId="0" fontId="1" fillId="0" borderId="51" xfId="0" applyFont="1" applyFill="1" applyBorder="1" applyAlignment="1">
      <alignment horizontal="left" vertical="center"/>
    </xf>
    <xf numFmtId="178" fontId="1" fillId="0" borderId="103" xfId="0" applyNumberFormat="1" applyFont="1" applyFill="1" applyBorder="1" applyAlignment="1">
      <alignment horizontal="right" vertical="center"/>
    </xf>
    <xf numFmtId="0" fontId="0" fillId="0" borderId="78" xfId="0" applyBorder="1" applyAlignment="1">
      <alignment vertical="center"/>
    </xf>
    <xf numFmtId="181" fontId="1" fillId="2" borderId="46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Border="1" applyAlignment="1">
      <alignment horizontal="left" vertical="center"/>
    </xf>
    <xf numFmtId="181" fontId="1" fillId="2" borderId="86" xfId="0" applyNumberFormat="1" applyFont="1" applyFill="1" applyBorder="1" applyAlignment="1">
      <alignment horizontal="left" vertical="center"/>
    </xf>
    <xf numFmtId="0" fontId="1" fillId="0" borderId="17" xfId="0" applyFont="1" applyBorder="1" applyAlignment="1">
      <alignment horizontal="center" vertical="center" textRotation="255"/>
    </xf>
    <xf numFmtId="0" fontId="1" fillId="0" borderId="36" xfId="0" applyFont="1" applyBorder="1" applyAlignment="1">
      <alignment horizontal="center" vertical="center" textRotation="255"/>
    </xf>
    <xf numFmtId="0" fontId="1" fillId="0" borderId="22" xfId="0" applyFont="1" applyBorder="1" applyAlignment="1">
      <alignment horizontal="center" vertical="center" textRotation="255"/>
    </xf>
    <xf numFmtId="0" fontId="12" fillId="2" borderId="0" xfId="0" applyFont="1" applyFill="1" applyBorder="1" applyAlignment="1">
      <alignment horizontal="left" vertical="center"/>
    </xf>
    <xf numFmtId="0" fontId="1" fillId="2" borderId="39" xfId="0" applyFont="1" applyFill="1" applyBorder="1" applyAlignment="1">
      <alignment vertical="center"/>
    </xf>
    <xf numFmtId="0" fontId="1" fillId="2" borderId="61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10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51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2" borderId="73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7" borderId="4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6" xfId="0" applyFont="1" applyFill="1" applyBorder="1" applyAlignment="1">
      <alignment vertical="center"/>
    </xf>
    <xf numFmtId="178" fontId="1" fillId="0" borderId="27" xfId="0" applyNumberFormat="1" applyFont="1" applyBorder="1" applyAlignment="1">
      <alignment horizontal="center" vertical="center" wrapText="1"/>
    </xf>
    <xf numFmtId="178" fontId="1" fillId="0" borderId="28" xfId="0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2" borderId="105" xfId="0" applyFont="1" applyFill="1" applyBorder="1" applyAlignment="1">
      <alignment vertical="center"/>
    </xf>
    <xf numFmtId="0" fontId="1" fillId="2" borderId="106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3" fontId="5" fillId="0" borderId="104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9" xfId="0" applyNumberFormat="1" applyFont="1" applyFill="1" applyBorder="1" applyAlignment="1">
      <alignment horizontal="center" vertical="center"/>
    </xf>
    <xf numFmtId="3" fontId="5" fillId="0" borderId="122" xfId="0" applyNumberFormat="1" applyFont="1" applyFill="1" applyBorder="1" applyAlignment="1">
      <alignment horizontal="center" vertical="center"/>
    </xf>
    <xf numFmtId="3" fontId="5" fillId="0" borderId="123" xfId="0" applyNumberFormat="1" applyFont="1" applyFill="1" applyBorder="1" applyAlignment="1">
      <alignment horizontal="center" vertical="center"/>
    </xf>
    <xf numFmtId="3" fontId="5" fillId="0" borderId="124" xfId="0" applyNumberFormat="1" applyFont="1" applyFill="1" applyBorder="1" applyAlignment="1">
      <alignment horizontal="center" vertical="center"/>
    </xf>
    <xf numFmtId="3" fontId="5" fillId="0" borderId="125" xfId="0" applyNumberFormat="1" applyFont="1" applyFill="1" applyBorder="1" applyAlignment="1">
      <alignment horizontal="center" vertical="center"/>
    </xf>
    <xf numFmtId="3" fontId="0" fillId="0" borderId="5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horizontal="center" vertical="center"/>
    </xf>
    <xf numFmtId="177" fontId="0" fillId="0" borderId="60" xfId="0" applyNumberFormat="1" applyFont="1" applyFill="1" applyBorder="1" applyAlignment="1">
      <alignment horizontal="center" vertical="center"/>
    </xf>
    <xf numFmtId="177" fontId="0" fillId="0" borderId="101" xfId="0" applyNumberFormat="1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3" fontId="0" fillId="0" borderId="25" xfId="0" applyNumberFormat="1" applyFont="1" applyFill="1" applyBorder="1" applyAlignment="1">
      <alignment horizontal="center" vertical="center" wrapText="1"/>
    </xf>
    <xf numFmtId="3" fontId="0" fillId="0" borderId="78" xfId="0" applyNumberFormat="1" applyFont="1" applyFill="1" applyBorder="1" applyAlignment="1">
      <alignment horizontal="center" vertical="center"/>
    </xf>
    <xf numFmtId="3" fontId="0" fillId="0" borderId="18" xfId="0" applyNumberFormat="1" applyFont="1" applyFill="1" applyBorder="1" applyAlignment="1">
      <alignment horizontal="center" vertical="center"/>
    </xf>
    <xf numFmtId="3" fontId="3" fillId="0" borderId="32" xfId="0" quotePrefix="1" applyNumberFormat="1" applyFont="1" applyFill="1" applyBorder="1" applyAlignment="1">
      <alignment horizontal="left" vertical="center"/>
    </xf>
    <xf numFmtId="3" fontId="3" fillId="0" borderId="122" xfId="0" quotePrefix="1" applyNumberFormat="1" applyFont="1" applyFill="1" applyBorder="1" applyAlignment="1">
      <alignment horizontal="left" vertical="center"/>
    </xf>
    <xf numFmtId="3" fontId="3" fillId="0" borderId="126" xfId="0" quotePrefix="1" applyNumberFormat="1" applyFont="1" applyFill="1" applyBorder="1" applyAlignment="1">
      <alignment horizontal="left" vertical="center"/>
    </xf>
    <xf numFmtId="3" fontId="0" fillId="0" borderId="104" xfId="0" quotePrefix="1" applyNumberFormat="1" applyFill="1" applyBorder="1" applyAlignment="1">
      <alignment horizontal="left" vertical="center"/>
    </xf>
    <xf numFmtId="3" fontId="0" fillId="0" borderId="8" xfId="0" quotePrefix="1" applyNumberFormat="1" applyFill="1" applyBorder="1" applyAlignment="1">
      <alignment horizontal="left" vertical="center"/>
    </xf>
    <xf numFmtId="3" fontId="0" fillId="0" borderId="9" xfId="0" quotePrefix="1" applyNumberFormat="1" applyFill="1" applyBorder="1" applyAlignment="1">
      <alignment horizontal="left" vertical="center"/>
    </xf>
    <xf numFmtId="3" fontId="5" fillId="0" borderId="60" xfId="0" applyNumberFormat="1" applyFont="1" applyFill="1" applyBorder="1" applyAlignment="1">
      <alignment horizontal="center" vertical="center"/>
    </xf>
    <xf numFmtId="3" fontId="5" fillId="0" borderId="101" xfId="0" applyNumberFormat="1" applyFont="1" applyFill="1" applyBorder="1" applyAlignment="1">
      <alignment horizontal="center" vertical="center"/>
    </xf>
    <xf numFmtId="3" fontId="5" fillId="0" borderId="7" xfId="0" applyNumberFormat="1" applyFont="1" applyFill="1" applyBorder="1" applyAlignment="1">
      <alignment horizontal="center" vertical="center"/>
    </xf>
    <xf numFmtId="3" fontId="3" fillId="0" borderId="60" xfId="0" applyNumberFormat="1" applyFont="1" applyFill="1" applyBorder="1" applyAlignment="1">
      <alignment horizontal="left" vertical="center"/>
    </xf>
    <xf numFmtId="3" fontId="3" fillId="0" borderId="101" xfId="0" applyNumberFormat="1" applyFont="1" applyFill="1" applyBorder="1" applyAlignment="1">
      <alignment horizontal="left" vertical="center"/>
    </xf>
    <xf numFmtId="3" fontId="3" fillId="0" borderId="7" xfId="0" applyNumberFormat="1" applyFont="1" applyFill="1" applyBorder="1" applyAlignment="1">
      <alignment horizontal="left" vertical="center"/>
    </xf>
    <xf numFmtId="3" fontId="5" fillId="0" borderId="116" xfId="0" applyNumberFormat="1" applyFont="1" applyFill="1" applyBorder="1" applyAlignment="1">
      <alignment horizontal="center" vertical="center"/>
    </xf>
    <xf numFmtId="3" fontId="5" fillId="0" borderId="95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117" xfId="0" applyNumberFormat="1" applyFont="1" applyFill="1" applyBorder="1" applyAlignment="1">
      <alignment horizontal="center" vertical="center"/>
    </xf>
    <xf numFmtId="3" fontId="5" fillId="0" borderId="73" xfId="0" applyNumberFormat="1" applyFont="1" applyFill="1" applyBorder="1" applyAlignment="1">
      <alignment horizontal="center" vertical="center"/>
    </xf>
    <xf numFmtId="3" fontId="5" fillId="0" borderId="97" xfId="0" applyNumberFormat="1" applyFont="1" applyFill="1" applyBorder="1" applyAlignment="1">
      <alignment horizontal="center" vertical="center"/>
    </xf>
    <xf numFmtId="3" fontId="5" fillId="0" borderId="118" xfId="0" applyNumberFormat="1" applyFont="1" applyFill="1" applyBorder="1" applyAlignment="1">
      <alignment horizontal="center" vertical="center"/>
    </xf>
    <xf numFmtId="3" fontId="5" fillId="0" borderId="119" xfId="0" applyNumberFormat="1" applyFont="1" applyFill="1" applyBorder="1" applyAlignment="1">
      <alignment horizontal="center" vertical="center"/>
    </xf>
    <xf numFmtId="3" fontId="5" fillId="0" borderId="88" xfId="0" applyNumberFormat="1" applyFont="1" applyFill="1" applyBorder="1" applyAlignment="1">
      <alignment horizontal="center" vertical="center"/>
    </xf>
    <xf numFmtId="3" fontId="5" fillId="0" borderId="49" xfId="0" applyNumberFormat="1" applyFont="1" applyFill="1" applyBorder="1" applyAlignment="1">
      <alignment horizontal="center" vertical="center"/>
    </xf>
    <xf numFmtId="3" fontId="5" fillId="0" borderId="46" xfId="0" applyNumberFormat="1" applyFont="1" applyFill="1" applyBorder="1" applyAlignment="1">
      <alignment horizontal="center" vertical="center"/>
    </xf>
    <xf numFmtId="3" fontId="5" fillId="0" borderId="108" xfId="0" applyNumberFormat="1" applyFont="1" applyFill="1" applyBorder="1" applyAlignment="1">
      <alignment horizontal="center" vertical="center"/>
    </xf>
    <xf numFmtId="3" fontId="5" fillId="0" borderId="105" xfId="0" applyNumberFormat="1" applyFont="1" applyFill="1" applyBorder="1" applyAlignment="1">
      <alignment horizontal="center" vertical="center"/>
    </xf>
    <xf numFmtId="3" fontId="5" fillId="0" borderId="106" xfId="0" applyNumberFormat="1" applyFont="1" applyFill="1" applyBorder="1" applyAlignment="1">
      <alignment horizontal="center" vertical="center"/>
    </xf>
    <xf numFmtId="3" fontId="5" fillId="0" borderId="110" xfId="0" applyNumberFormat="1" applyFont="1" applyFill="1" applyBorder="1" applyAlignment="1">
      <alignment horizontal="center" vertical="center"/>
    </xf>
    <xf numFmtId="3" fontId="5" fillId="0" borderId="112" xfId="0" applyNumberFormat="1" applyFont="1" applyFill="1" applyBorder="1" applyAlignment="1">
      <alignment horizontal="center" vertical="center"/>
    </xf>
    <xf numFmtId="3" fontId="5" fillId="0" borderId="113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 wrapText="1"/>
    </xf>
    <xf numFmtId="3" fontId="5" fillId="0" borderId="78" xfId="0" applyNumberFormat="1" applyFont="1" applyFill="1" applyBorder="1" applyAlignment="1">
      <alignment horizontal="center" vertical="center" wrapText="1"/>
    </xf>
    <xf numFmtId="3" fontId="5" fillId="0" borderId="78" xfId="0" applyNumberFormat="1" applyFont="1" applyFill="1" applyBorder="1" applyAlignment="1">
      <alignment horizontal="center" vertical="center"/>
    </xf>
    <xf numFmtId="3" fontId="5" fillId="0" borderId="120" xfId="0" applyNumberFormat="1" applyFont="1" applyFill="1" applyBorder="1" applyAlignment="1">
      <alignment horizontal="center" vertical="center"/>
    </xf>
    <xf numFmtId="3" fontId="5" fillId="0" borderId="121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0" borderId="18" xfId="0" applyNumberFormat="1" applyFont="1" applyFill="1" applyBorder="1" applyAlignment="1">
      <alignment horizontal="center" vertical="center"/>
    </xf>
    <xf numFmtId="3" fontId="5" fillId="0" borderId="120" xfId="0" applyNumberFormat="1" applyFont="1" applyFill="1" applyBorder="1" applyAlignment="1">
      <alignment horizontal="center" vertical="center" wrapText="1"/>
    </xf>
    <xf numFmtId="3" fontId="5" fillId="0" borderId="127" xfId="0" applyNumberFormat="1" applyFont="1" applyFill="1" applyBorder="1" applyAlignment="1">
      <alignment horizontal="center" vertical="center"/>
    </xf>
    <xf numFmtId="3" fontId="5" fillId="0" borderId="111" xfId="0" applyNumberFormat="1" applyFont="1" applyFill="1" applyBorder="1" applyAlignment="1">
      <alignment horizontal="center" vertical="center"/>
    </xf>
    <xf numFmtId="3" fontId="5" fillId="0" borderId="114" xfId="0" applyNumberFormat="1" applyFont="1" applyFill="1" applyBorder="1" applyAlignment="1">
      <alignment horizontal="center" vertical="center"/>
    </xf>
    <xf numFmtId="3" fontId="5" fillId="0" borderId="115" xfId="0" applyNumberFormat="1" applyFont="1" applyFill="1" applyBorder="1" applyAlignment="1">
      <alignment horizontal="center" vertical="center"/>
    </xf>
    <xf numFmtId="3" fontId="5" fillId="0" borderId="80" xfId="0" applyNumberFormat="1" applyFont="1" applyFill="1" applyBorder="1" applyAlignment="1">
      <alignment horizontal="center" vertical="center"/>
    </xf>
    <xf numFmtId="3" fontId="3" fillId="4" borderId="60" xfId="0" applyNumberFormat="1" applyFont="1" applyFill="1" applyBorder="1" applyAlignment="1">
      <alignment horizontal="left" vertical="center"/>
    </xf>
    <xf numFmtId="3" fontId="3" fillId="4" borderId="101" xfId="0" applyNumberFormat="1" applyFont="1" applyFill="1" applyBorder="1" applyAlignment="1">
      <alignment horizontal="left" vertical="center"/>
    </xf>
    <xf numFmtId="3" fontId="3" fillId="4" borderId="7" xfId="0" applyNumberFormat="1" applyFont="1" applyFill="1" applyBorder="1" applyAlignment="1">
      <alignment horizontal="left" vertical="center"/>
    </xf>
    <xf numFmtId="3" fontId="6" fillId="0" borderId="60" xfId="0" applyNumberFormat="1" applyFont="1" applyFill="1" applyBorder="1" applyAlignment="1">
      <alignment horizontal="center" vertical="center"/>
    </xf>
    <xf numFmtId="3" fontId="6" fillId="0" borderId="101" xfId="0" applyNumberFormat="1" applyFont="1" applyFill="1" applyBorder="1" applyAlignment="1">
      <alignment horizontal="center" vertical="center"/>
    </xf>
    <xf numFmtId="3" fontId="6" fillId="0" borderId="7" xfId="0" applyNumberFormat="1" applyFont="1" applyFill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178" fontId="0" fillId="0" borderId="73" xfId="0" applyNumberFormat="1" applyBorder="1" applyAlignment="1">
      <alignment horizontal="center" vertical="center"/>
    </xf>
    <xf numFmtId="178" fontId="0" fillId="0" borderId="26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top" wrapText="1" shrinkToFit="1"/>
    </xf>
    <xf numFmtId="0" fontId="0" fillId="0" borderId="36" xfId="0" applyBorder="1" applyAlignment="1">
      <alignment horizontal="center" vertical="top" wrapText="1" shrinkToFit="1"/>
    </xf>
    <xf numFmtId="0" fontId="0" fillId="0" borderId="1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</cellXfs>
  <cellStyles count="42">
    <cellStyle name="Comma [0]_ SG&amp;A Bridge " xfId="1" xr:uid="{00000000-0005-0000-0000-000000000000}"/>
    <cellStyle name="Comma_ SG&amp;A Bridge " xfId="2" xr:uid="{00000000-0005-0000-0000-000001000000}"/>
    <cellStyle name="Currency [0]_ SG&amp;A Bridge " xfId="3" xr:uid="{00000000-0005-0000-0000-000002000000}"/>
    <cellStyle name="Currency_ SG&amp;A Bridge " xfId="4" xr:uid="{00000000-0005-0000-0000-000003000000}"/>
    <cellStyle name="Normal_ SG&amp;A Bridge " xfId="5" xr:uid="{00000000-0005-0000-0000-000004000000}"/>
    <cellStyle name="고정소숫점" xfId="6" xr:uid="{00000000-0005-0000-0000-000005000000}"/>
    <cellStyle name="고정출력1" xfId="7" xr:uid="{00000000-0005-0000-0000-000006000000}"/>
    <cellStyle name="고정출력2" xfId="8" xr:uid="{00000000-0005-0000-0000-000007000000}"/>
    <cellStyle name="날짜" xfId="9" xr:uid="{00000000-0005-0000-0000-000008000000}"/>
    <cellStyle name="달러" xfId="10" xr:uid="{00000000-0005-0000-0000-000009000000}"/>
    <cellStyle name="백분율" xfId="11" builtinId="5"/>
    <cellStyle name="뷭?_BOOKSHIP" xfId="12" xr:uid="{00000000-0005-0000-0000-00000B000000}"/>
    <cellStyle name="숫자(R)" xfId="13" xr:uid="{00000000-0005-0000-0000-00000C000000}"/>
    <cellStyle name="쉼표 [0]" xfId="14" builtinId="6"/>
    <cellStyle name="쉼표 [0] 2" xfId="15" xr:uid="{00000000-0005-0000-0000-00000E000000}"/>
    <cellStyle name="쉼표 [0] 2 2" xfId="16" xr:uid="{00000000-0005-0000-0000-00000F000000}"/>
    <cellStyle name="쉼표 [0] 3" xfId="17" xr:uid="{00000000-0005-0000-0000-000010000000}"/>
    <cellStyle name="쉼표 [0] 4" xfId="18" xr:uid="{00000000-0005-0000-0000-000011000000}"/>
    <cellStyle name="쉼표 [0] 7" xfId="19" xr:uid="{00000000-0005-0000-0000-000012000000}"/>
    <cellStyle name="스타일 1" xfId="20" xr:uid="{00000000-0005-0000-0000-000013000000}"/>
    <cellStyle name="자리수" xfId="21" xr:uid="{00000000-0005-0000-0000-000014000000}"/>
    <cellStyle name="자리수0" xfId="22" xr:uid="{00000000-0005-0000-0000-000015000000}"/>
    <cellStyle name="콤마 [0]_(type)총괄" xfId="23" xr:uid="{00000000-0005-0000-0000-000016000000}"/>
    <cellStyle name="콤마_(type)총괄" xfId="24" xr:uid="{00000000-0005-0000-0000-000017000000}"/>
    <cellStyle name="통화 [0] 2" xfId="25" xr:uid="{00000000-0005-0000-0000-000018000000}"/>
    <cellStyle name="통화 [0] 2 2" xfId="26" xr:uid="{00000000-0005-0000-0000-000019000000}"/>
    <cellStyle name="통화 [0] 3" xfId="27" xr:uid="{00000000-0005-0000-0000-00001A000000}"/>
    <cellStyle name="통화 [0] 4" xfId="28" xr:uid="{00000000-0005-0000-0000-00001B000000}"/>
    <cellStyle name="퍼센트" xfId="29" xr:uid="{00000000-0005-0000-0000-00001C000000}"/>
    <cellStyle name="표준" xfId="0" builtinId="0"/>
    <cellStyle name="표준 2" xfId="30" xr:uid="{00000000-0005-0000-0000-00001E000000}"/>
    <cellStyle name="표준 2 2" xfId="31" xr:uid="{00000000-0005-0000-0000-00001F000000}"/>
    <cellStyle name="표준 2 3" xfId="32" xr:uid="{00000000-0005-0000-0000-000020000000}"/>
    <cellStyle name="표준 3" xfId="33" xr:uid="{00000000-0005-0000-0000-000021000000}"/>
    <cellStyle name="표준 3 2" xfId="34" xr:uid="{00000000-0005-0000-0000-000022000000}"/>
    <cellStyle name="표준 4" xfId="35" xr:uid="{00000000-0005-0000-0000-000023000000}"/>
    <cellStyle name="표준 4 2" xfId="36" xr:uid="{00000000-0005-0000-0000-000024000000}"/>
    <cellStyle name="표준 5" xfId="37" xr:uid="{00000000-0005-0000-0000-000025000000}"/>
    <cellStyle name="하이퍼링크 2" xfId="38" xr:uid="{00000000-0005-0000-0000-000026000000}"/>
    <cellStyle name="합산" xfId="39" xr:uid="{00000000-0005-0000-0000-000027000000}"/>
    <cellStyle name="화폐기호" xfId="40" xr:uid="{00000000-0005-0000-0000-000028000000}"/>
    <cellStyle name="화폐기호0" xfId="41" xr:uid="{00000000-0005-0000-0000-00002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0</xdr:row>
      <xdr:rowOff>0</xdr:rowOff>
    </xdr:from>
    <xdr:to>
      <xdr:col>10</xdr:col>
      <xdr:colOff>923925</xdr:colOff>
      <xdr:row>0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rrowheads="1"/>
        </xdr:cNvSpPr>
      </xdr:nvSpPr>
      <xdr:spPr bwMode="auto">
        <a:xfrm>
          <a:off x="4276725" y="38100"/>
          <a:ext cx="4048125" cy="514350"/>
        </a:xfrm>
        <a:prstGeom prst="wedgeEllipseCallout">
          <a:avLst>
            <a:gd name="adj1" fmla="val -50241"/>
            <a:gd name="adj2" fmla="val 16667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이곳에서는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[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운반 및 중장비 사용료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]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만 </a:t>
          </a:r>
        </a:p>
        <a:p>
          <a:pPr algn="ctr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기재하시고 다른항목은 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~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두세요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^.^</a:t>
          </a:r>
        </a:p>
      </xdr:txBody>
    </xdr:sp>
    <xdr:clientData fPrintsWithSheet="0"/>
  </xdr:twoCellAnchor>
  <xdr:twoCellAnchor>
    <xdr:from>
      <xdr:col>10</xdr:col>
      <xdr:colOff>257175</xdr:colOff>
      <xdr:row>14</xdr:row>
      <xdr:rowOff>28575</xdr:rowOff>
    </xdr:from>
    <xdr:to>
      <xdr:col>14</xdr:col>
      <xdr:colOff>9510</xdr:colOff>
      <xdr:row>15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10</xdr:row>
      <xdr:rowOff>9525</xdr:rowOff>
    </xdr:from>
    <xdr:to>
      <xdr:col>14</xdr:col>
      <xdr:colOff>28575</xdr:colOff>
      <xdr:row>11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16</xdr:row>
      <xdr:rowOff>19050</xdr:rowOff>
    </xdr:from>
    <xdr:to>
      <xdr:col>14</xdr:col>
      <xdr:colOff>28575</xdr:colOff>
      <xdr:row>17</xdr:row>
      <xdr:rowOff>275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266700</xdr:colOff>
      <xdr:row>25</xdr:row>
      <xdr:rowOff>0</xdr:rowOff>
    </xdr:from>
    <xdr:to>
      <xdr:col>14</xdr:col>
      <xdr:colOff>28575</xdr:colOff>
      <xdr:row>25</xdr:row>
      <xdr:rowOff>238125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/>
        </xdr:cNvSpPr>
      </xdr:nvSpPr>
      <xdr:spPr bwMode="auto">
        <a:xfrm>
          <a:off x="7667625" y="6057900"/>
          <a:ext cx="3009900" cy="238125"/>
        </a:xfrm>
        <a:prstGeom prst="borderCallout1">
          <a:avLst>
            <a:gd name="adj1" fmla="val 48000"/>
            <a:gd name="adj2" fmla="val -2532"/>
            <a:gd name="adj3" fmla="val 52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CONTROL PNL,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단자함등 제작</a:t>
          </a:r>
        </a:p>
      </xdr:txBody>
    </xdr:sp>
    <xdr:clientData fPrintsWithSheet="0"/>
  </xdr:twoCellAnchor>
  <xdr:twoCellAnchor>
    <xdr:from>
      <xdr:col>10</xdr:col>
      <xdr:colOff>276225</xdr:colOff>
      <xdr:row>6</xdr:row>
      <xdr:rowOff>147640</xdr:rowOff>
    </xdr:from>
    <xdr:to>
      <xdr:col>14</xdr:col>
      <xdr:colOff>38100</xdr:colOff>
      <xdr:row>7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259551</xdr:colOff>
      <xdr:row>13</xdr:row>
      <xdr:rowOff>0</xdr:rowOff>
    </xdr:from>
    <xdr:to>
      <xdr:col>14</xdr:col>
      <xdr:colOff>11916</xdr:colOff>
      <xdr:row>13</xdr:row>
      <xdr:rowOff>229365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226214</xdr:colOff>
      <xdr:row>37</xdr:row>
      <xdr:rowOff>0</xdr:rowOff>
    </xdr:from>
    <xdr:to>
      <xdr:col>13</xdr:col>
      <xdr:colOff>678651</xdr:colOff>
      <xdr:row>37</xdr:row>
      <xdr:rowOff>238125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/>
        </xdr:cNvSpPr>
      </xdr:nvSpPr>
      <xdr:spPr bwMode="auto">
        <a:xfrm>
          <a:off x="7631902" y="9620250"/>
          <a:ext cx="3024187" cy="238125"/>
        </a:xfrm>
        <a:prstGeom prst="borderCallout1">
          <a:avLst>
            <a:gd name="adj1" fmla="val 48000"/>
            <a:gd name="adj2" fmla="val -2532"/>
            <a:gd name="adj3" fmla="val 52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철거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 관련 금액 합계</a:t>
          </a:r>
        </a:p>
      </xdr:txBody>
    </xdr:sp>
    <xdr:clientData fPrintsWithSheet="0"/>
  </xdr:twoCellAnchor>
  <xdr:twoCellAnchor>
    <xdr:from>
      <xdr:col>10</xdr:col>
      <xdr:colOff>261932</xdr:colOff>
      <xdr:row>7</xdr:row>
      <xdr:rowOff>226218</xdr:rowOff>
    </xdr:from>
    <xdr:to>
      <xdr:col>14</xdr:col>
      <xdr:colOff>8586</xdr:colOff>
      <xdr:row>9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  <xdr:twoCellAnchor>
    <xdr:from>
      <xdr:col>10</xdr:col>
      <xdr:colOff>238120</xdr:colOff>
      <xdr:row>21</xdr:row>
      <xdr:rowOff>186215</xdr:rowOff>
    </xdr:from>
    <xdr:to>
      <xdr:col>13</xdr:col>
      <xdr:colOff>682937</xdr:colOff>
      <xdr:row>23</xdr:row>
      <xdr:rowOff>150498</xdr:rowOff>
    </xdr:to>
    <xdr:sp macro="" textlink="">
      <xdr:nvSpPr>
        <xdr:cNvPr id="12" name="AutoShape 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/>
        </xdr:cNvSpPr>
      </xdr:nvSpPr>
      <xdr:spPr bwMode="auto">
        <a:xfrm>
          <a:off x="7703339" y="5786439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  <xdr:twoCellAnchor>
    <xdr:from>
      <xdr:col>8</xdr:col>
      <xdr:colOff>38100</xdr:colOff>
      <xdr:row>37</xdr:row>
      <xdr:rowOff>133350</xdr:rowOff>
    </xdr:from>
    <xdr:to>
      <xdr:col>8</xdr:col>
      <xdr:colOff>180975</xdr:colOff>
      <xdr:row>44</xdr:row>
      <xdr:rowOff>142875</xdr:rowOff>
    </xdr:to>
    <xdr:sp macro="" textlink="">
      <xdr:nvSpPr>
        <xdr:cNvPr id="40042" name="위쪽 화살표 1">
          <a:extLst>
            <a:ext uri="{FF2B5EF4-FFF2-40B4-BE49-F238E27FC236}">
              <a16:creationId xmlns:a16="http://schemas.microsoft.com/office/drawing/2014/main" id="{00000000-0008-0000-0100-00006A9C0000}"/>
            </a:ext>
          </a:extLst>
        </xdr:cNvPr>
        <xdr:cNvSpPr>
          <a:spLocks noChangeArrowheads="1"/>
        </xdr:cNvSpPr>
      </xdr:nvSpPr>
      <xdr:spPr bwMode="auto">
        <a:xfrm>
          <a:off x="4972050" y="9420225"/>
          <a:ext cx="142875" cy="1914525"/>
        </a:xfrm>
        <a:prstGeom prst="upArrow">
          <a:avLst>
            <a:gd name="adj1" fmla="val 50000"/>
            <a:gd name="adj2" fmla="val 49630"/>
          </a:avLst>
        </a:prstGeom>
        <a:solidFill>
          <a:srgbClr val="FF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330989</xdr:colOff>
      <xdr:row>41</xdr:row>
      <xdr:rowOff>95250</xdr:rowOff>
    </xdr:from>
    <xdr:to>
      <xdr:col>15</xdr:col>
      <xdr:colOff>464366</xdr:colOff>
      <xdr:row>43</xdr:row>
      <xdr:rowOff>238125</xdr:rowOff>
    </xdr:to>
    <xdr:sp macro="" textlink="">
      <xdr:nvSpPr>
        <xdr:cNvPr id="13" name="AutoShape 8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/>
        </xdr:cNvSpPr>
      </xdr:nvSpPr>
      <xdr:spPr bwMode="auto">
        <a:xfrm>
          <a:off x="7786683" y="10882313"/>
          <a:ext cx="4095755" cy="642937"/>
        </a:xfrm>
        <a:prstGeom prst="borderCallout1">
          <a:avLst>
            <a:gd name="adj1" fmla="val 48000"/>
            <a:gd name="adj2" fmla="val -2532"/>
            <a:gd name="adj3" fmla="val 51101"/>
            <a:gd name="adj4" fmla="val -661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입찰시 산업안전관리비를 감안하여 입찰필요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300"/>
            </a:lnSpc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합계금액 고정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300"/>
            </a:lnSpc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※ </a:t>
          </a:r>
          <a:r>
            <a:rPr lang="ko-KR" altLang="en-US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하기 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2</a:t>
          </a:r>
          <a:r>
            <a:rPr lang="ko-KR" altLang="en-US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개의 계상기준중 작은금액으로 자동입력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(</a:t>
          </a:r>
          <a:r>
            <a:rPr lang="ko-KR" altLang="en-US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천단위 절상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20</xdr:row>
      <xdr:rowOff>110490</xdr:rowOff>
    </xdr:from>
    <xdr:to>
      <xdr:col>16</xdr:col>
      <xdr:colOff>428625</xdr:colOff>
      <xdr:row>21</xdr:row>
      <xdr:rowOff>190551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rrowheads="1"/>
        </xdr:cNvSpPr>
      </xdr:nvSpPr>
      <xdr:spPr bwMode="auto">
        <a:xfrm>
          <a:off x="8448675" y="6177915"/>
          <a:ext cx="5886450" cy="299136"/>
        </a:xfrm>
        <a:prstGeom prst="wedgeRectCallout">
          <a:avLst>
            <a:gd name="adj1" fmla="val -34468"/>
            <a:gd name="adj2" fmla="val -238236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설비를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Break-Down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하여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단위공사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1~10)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작성하면 자동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DATA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집계됩니다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3073" name="Rectangle 1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00000000-0008-0000-0400-000001100000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00000000-0008-0000-0400-0000051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126</xdr:row>
      <xdr:rowOff>0</xdr:rowOff>
    </xdr:from>
    <xdr:to>
      <xdr:col>9</xdr:col>
      <xdr:colOff>2</xdr:colOff>
      <xdr:row>126</xdr:row>
      <xdr:rowOff>0</xdr:rowOff>
    </xdr:to>
    <xdr:sp macro="" textlink="">
      <xdr:nvSpPr>
        <xdr:cNvPr id="4111" name="Rectangle 15">
          <a:extLst>
            <a:ext uri="{FF2B5EF4-FFF2-40B4-BE49-F238E27FC236}">
              <a16:creationId xmlns:a16="http://schemas.microsoft.com/office/drawing/2014/main" id="{00000000-0008-0000-0400-00000F10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1266825</xdr:colOff>
      <xdr:row>0</xdr:row>
      <xdr:rowOff>276398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00000000-0008-0000-0500-00000414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205</xdr:row>
      <xdr:rowOff>0</xdr:rowOff>
    </xdr:from>
    <xdr:to>
      <xdr:col>9</xdr:col>
      <xdr:colOff>2</xdr:colOff>
      <xdr:row>205</xdr:row>
      <xdr:rowOff>0</xdr:rowOff>
    </xdr:to>
    <xdr:sp macro="" textlink="">
      <xdr:nvSpPr>
        <xdr:cNvPr id="5126" name="Rectangle 6">
          <a:extLst>
            <a:ext uri="{FF2B5EF4-FFF2-40B4-BE49-F238E27FC236}">
              <a16:creationId xmlns:a16="http://schemas.microsoft.com/office/drawing/2014/main" id="{00000000-0008-0000-0500-00000614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213360</xdr:colOff>
      <xdr:row>0</xdr:row>
      <xdr:rowOff>0</xdr:rowOff>
    </xdr:from>
    <xdr:to>
      <xdr:col>8</xdr:col>
      <xdr:colOff>718185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00000000-0008-0000-0500-00000F14000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1289776</xdr:colOff>
      <xdr:row>0</xdr:row>
      <xdr:rowOff>276398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00000000-0008-0000-0600-00000418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41</xdr:row>
      <xdr:rowOff>0</xdr:rowOff>
    </xdr:from>
    <xdr:to>
      <xdr:col>9</xdr:col>
      <xdr:colOff>2</xdr:colOff>
      <xdr:row>41</xdr:row>
      <xdr:rowOff>0</xdr:rowOff>
    </xdr:to>
    <xdr:sp macro="" textlink="">
      <xdr:nvSpPr>
        <xdr:cNvPr id="6150" name="Rectangle 6">
          <a:extLst>
            <a:ext uri="{FF2B5EF4-FFF2-40B4-BE49-F238E27FC236}">
              <a16:creationId xmlns:a16="http://schemas.microsoft.com/office/drawing/2014/main" id="{00000000-0008-0000-0600-00000618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00000000-0008-0000-0600-00000718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1211627</xdr:colOff>
      <xdr:row>0</xdr:row>
      <xdr:rowOff>276398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00000000-0008-0000-0700-0000041C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188595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00000000-0008-0000-0700-0000071C000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00000000-0008-0000-0800-00000420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8198" name="Rectangle 6">
          <a:extLst>
            <a:ext uri="{FF2B5EF4-FFF2-40B4-BE49-F238E27FC236}">
              <a16:creationId xmlns:a16="http://schemas.microsoft.com/office/drawing/2014/main" id="{00000000-0008-0000-0800-00000620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601990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000000-0008-0000-0800-0000072000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1251679</xdr:colOff>
      <xdr:row>0</xdr:row>
      <xdr:rowOff>276398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9222" name="Rectangle 6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00000000-0008-0000-0A00-00000428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10246" name="Rectangle 6">
          <a:extLst>
            <a:ext uri="{FF2B5EF4-FFF2-40B4-BE49-F238E27FC236}">
              <a16:creationId xmlns:a16="http://schemas.microsoft.com/office/drawing/2014/main" id="{00000000-0008-0000-0A00-00000628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175260</xdr:colOff>
      <xdr:row>0</xdr:row>
      <xdr:rowOff>0</xdr:rowOff>
    </xdr:from>
    <xdr:to>
      <xdr:col>8</xdr:col>
      <xdr:colOff>680085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00000000-0008-0000-0A00-000007280000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00000000-0008-0000-0B00-0000042C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525790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00000000-0008-0000-0B00-0000072C0000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00000000-0008-0000-0C00-00000234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00000000-0008-0000-0C00-00000334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00000000-0008-0000-0C00-000004340000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00000000-0008-0000-0D00-00000238000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00000000-0008-0000-0D00-000003380000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00000000-0008-0000-0D00-00000438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showGridLines="0" tabSelected="1" zoomScale="85" workbookViewId="0">
      <selection activeCell="M19" sqref="M19"/>
    </sheetView>
  </sheetViews>
  <sheetFormatPr defaultRowHeight="13.5"/>
  <cols>
    <col min="1" max="1" width="2" style="177" customWidth="1"/>
    <col min="2" max="2" width="4.25" style="177" customWidth="1"/>
    <col min="3" max="3" width="8.5" style="177" customWidth="1"/>
    <col min="4" max="4" width="14.75" style="177" customWidth="1"/>
    <col min="5" max="7" width="11.125" style="177" customWidth="1"/>
    <col min="8" max="8" width="12.25" style="177" customWidth="1"/>
    <col min="9" max="9" width="8.5" style="177" customWidth="1"/>
    <col min="10" max="10" width="1.375" style="177" customWidth="1"/>
    <col min="11" max="11" width="9" style="177"/>
    <col min="12" max="12" width="33.25" style="177" customWidth="1"/>
    <col min="13" max="14" width="9" style="177"/>
    <col min="15" max="16" width="30.125" style="177" bestFit="1" customWidth="1"/>
    <col min="17" max="17" width="5.625" style="177" customWidth="1"/>
    <col min="18" max="16384" width="9" style="177"/>
  </cols>
  <sheetData>
    <row r="1" spans="2:17">
      <c r="B1" s="177" t="s">
        <v>143</v>
      </c>
    </row>
    <row r="2" spans="2:17" ht="38.25">
      <c r="B2" s="385" t="s">
        <v>137</v>
      </c>
      <c r="C2" s="385"/>
      <c r="D2" s="385"/>
      <c r="E2" s="385"/>
      <c r="F2" s="385"/>
      <c r="G2" s="385"/>
      <c r="H2" s="385"/>
      <c r="I2" s="385"/>
    </row>
    <row r="3" spans="2:17">
      <c r="O3" s="301"/>
      <c r="P3" s="301"/>
      <c r="Q3" s="208"/>
    </row>
    <row r="4" spans="2:17" s="184" customFormat="1" ht="24" customHeight="1">
      <c r="B4" s="386" t="s">
        <v>183</v>
      </c>
      <c r="C4" s="386"/>
      <c r="D4" s="386"/>
      <c r="E4" s="199"/>
      <c r="F4" s="199"/>
      <c r="G4" s="302"/>
      <c r="H4" s="303"/>
      <c r="I4" s="304"/>
    </row>
    <row r="5" spans="2:17" s="184" customFormat="1" ht="21.75" customHeight="1">
      <c r="B5" s="390" t="s">
        <v>128</v>
      </c>
      <c r="C5" s="391"/>
      <c r="D5" s="317">
        <v>45929</v>
      </c>
      <c r="E5" s="200"/>
      <c r="F5" s="199"/>
      <c r="G5" s="368" t="s">
        <v>239</v>
      </c>
      <c r="H5" s="305"/>
      <c r="I5" s="306"/>
    </row>
    <row r="6" spans="2:17" s="184" customFormat="1" ht="21.75" customHeight="1">
      <c r="B6" s="392" t="s">
        <v>129</v>
      </c>
      <c r="C6" s="393"/>
      <c r="D6" s="318" t="s">
        <v>671</v>
      </c>
      <c r="E6" s="201"/>
      <c r="F6" s="199"/>
      <c r="G6" s="307" t="s">
        <v>674</v>
      </c>
      <c r="H6" s="308"/>
      <c r="I6" s="309"/>
      <c r="J6" s="204"/>
    </row>
    <row r="7" spans="2:17" s="184" customFormat="1" ht="21.75" customHeight="1">
      <c r="B7" s="394" t="s">
        <v>130</v>
      </c>
      <c r="C7" s="209" t="s">
        <v>141</v>
      </c>
      <c r="D7" s="319" t="s">
        <v>672</v>
      </c>
      <c r="E7" s="201"/>
      <c r="F7" s="199"/>
      <c r="G7" s="310"/>
      <c r="H7" s="308"/>
      <c r="I7" s="309"/>
      <c r="J7" s="204"/>
    </row>
    <row r="8" spans="2:17" s="184" customFormat="1" ht="21.75" customHeight="1">
      <c r="B8" s="394"/>
      <c r="C8" s="209" t="s">
        <v>142</v>
      </c>
      <c r="D8" s="319" t="s">
        <v>673</v>
      </c>
      <c r="E8" s="201"/>
      <c r="F8" s="199"/>
      <c r="G8" s="369" t="s">
        <v>240</v>
      </c>
      <c r="H8" s="308"/>
      <c r="I8" s="309"/>
      <c r="J8" s="204"/>
    </row>
    <row r="9" spans="2:17" s="184" customFormat="1" ht="21.75" customHeight="1">
      <c r="B9" s="392" t="s">
        <v>131</v>
      </c>
      <c r="C9" s="393"/>
      <c r="D9" s="318" t="s">
        <v>179</v>
      </c>
      <c r="E9" s="201"/>
      <c r="F9" s="199"/>
      <c r="G9" s="368" t="s">
        <v>241</v>
      </c>
      <c r="H9" s="308"/>
      <c r="I9" s="309"/>
      <c r="J9" s="204"/>
    </row>
    <row r="10" spans="2:17" s="184" customFormat="1" ht="21.75" customHeight="1">
      <c r="B10" s="392" t="s">
        <v>132</v>
      </c>
      <c r="C10" s="393"/>
      <c r="D10" s="320" t="s">
        <v>180</v>
      </c>
      <c r="E10" s="201"/>
      <c r="G10" s="311" t="s">
        <v>178</v>
      </c>
      <c r="H10" s="312" t="s">
        <v>242</v>
      </c>
      <c r="I10" s="313"/>
    </row>
    <row r="11" spans="2:17" s="184" customFormat="1" ht="21.75" customHeight="1">
      <c r="B11" s="392" t="s">
        <v>133</v>
      </c>
      <c r="C11" s="393"/>
      <c r="D11" s="321" t="s">
        <v>181</v>
      </c>
      <c r="E11" s="201"/>
      <c r="G11" s="314" t="s">
        <v>127</v>
      </c>
      <c r="H11" s="315" t="s">
        <v>243</v>
      </c>
      <c r="I11" s="316"/>
    </row>
    <row r="12" spans="2:17" s="185" customFormat="1" ht="10.5" customHeight="1">
      <c r="B12" s="187"/>
      <c r="I12" s="186"/>
    </row>
    <row r="13" spans="2:17" s="203" customFormat="1" ht="24.95" customHeight="1">
      <c r="B13" s="423" t="s">
        <v>247</v>
      </c>
      <c r="C13" s="423"/>
      <c r="D13" s="423"/>
      <c r="E13" s="423"/>
      <c r="F13" s="423"/>
      <c r="G13" s="423"/>
      <c r="H13" s="423"/>
      <c r="I13" s="423"/>
    </row>
    <row r="14" spans="2:17" s="203" customFormat="1" ht="24.95" customHeight="1">
      <c r="B14" s="395" t="s">
        <v>675</v>
      </c>
      <c r="C14" s="395"/>
      <c r="D14" s="395"/>
      <c r="E14" s="395"/>
      <c r="F14" s="395"/>
      <c r="G14" s="395"/>
      <c r="H14" s="395"/>
      <c r="I14" s="395"/>
    </row>
    <row r="15" spans="2:17" s="184" customFormat="1" ht="8.25" customHeight="1"/>
    <row r="16" spans="2:17" s="178" customFormat="1" ht="24.95" customHeight="1">
      <c r="B16" s="388" t="s">
        <v>122</v>
      </c>
      <c r="C16" s="399" t="s">
        <v>149</v>
      </c>
      <c r="D16" s="400"/>
      <c r="E16" s="387" t="s">
        <v>136</v>
      </c>
      <c r="F16" s="387"/>
      <c r="G16" s="387"/>
      <c r="H16" s="387"/>
      <c r="I16" s="388" t="s">
        <v>27</v>
      </c>
    </row>
    <row r="17" spans="1:13" s="178" customFormat="1" ht="29.25" customHeight="1" thickBot="1">
      <c r="B17" s="389"/>
      <c r="C17" s="401"/>
      <c r="D17" s="402"/>
      <c r="E17" s="218" t="s">
        <v>134</v>
      </c>
      <c r="F17" s="219" t="s">
        <v>135</v>
      </c>
      <c r="G17" s="220" t="s">
        <v>138</v>
      </c>
      <c r="H17" s="175" t="s">
        <v>126</v>
      </c>
      <c r="I17" s="389"/>
      <c r="M17" s="379" t="s">
        <v>246</v>
      </c>
    </row>
    <row r="18" spans="1:13" s="188" customFormat="1" ht="24.95" customHeight="1">
      <c r="B18" s="189">
        <v>1</v>
      </c>
      <c r="C18" s="405" t="str">
        <f>IF('단위공사별(집계)'!N7&gt;0,'단위공사별(집계)'!B7,"")</f>
        <v>서브 라인</v>
      </c>
      <c r="D18" s="406"/>
      <c r="E18" s="221">
        <f>IF('단위공사별(집계)'!N7&gt;1,('단위공사별(집계)'!D7+'단위공사별(집계)'!E7+'단위공사별(집계)'!F7+'단위공사별(집계)'!G7+'단위공사별(집계)'!H7+'단위공사별(집계)'!I7)/1000," ")</f>
        <v>410421.06572785485</v>
      </c>
      <c r="F18" s="415">
        <f>IF('단위공사별(집계)'!N7&gt;0,'단위공사별(집계)'!K17/1000,"")</f>
        <v>447119.08</v>
      </c>
      <c r="G18" s="190">
        <f>IF('단위공사별(집계)'!N7&gt;0,('단위공사별(집계)'!L7+'단위공사별(집계)'!M7)/1000,"")</f>
        <v>60988.827527040281</v>
      </c>
      <c r="H18" s="214">
        <f>IF('단위공사별(집계)'!N7&gt;0,'단위공사별(집계)'!N7/1000,"")</f>
        <v>567515.78545540886</v>
      </c>
      <c r="I18" s="191"/>
    </row>
    <row r="19" spans="1:13" s="188" customFormat="1" ht="24.95" customHeight="1">
      <c r="B19" s="192">
        <v>2</v>
      </c>
      <c r="C19" s="403" t="str">
        <f>IF('단위공사별(집계)'!N8&gt;0,'단위공사별(집계)'!B8,"")</f>
        <v>HVAC 조립 LINE</v>
      </c>
      <c r="D19" s="404"/>
      <c r="E19" s="222">
        <f>IF('단위공사별(집계)'!N8&gt;1,('단위공사별(집계)'!D8+'단위공사별(집계)'!E8+'단위공사별(집계)'!F8+'단위공사별(집계)'!G8+'단위공사별(집계)'!H8+'단위공사별(집계)'!I8)/1000," ")</f>
        <v>1384098.6894804062</v>
      </c>
      <c r="F19" s="416"/>
      <c r="G19" s="193">
        <f>IF('단위공사별(집계)'!N8&gt;0,('단위공사별(집계)'!L8+'단위공사별(집계)'!M8)/1000,"")</f>
        <v>205677.93249944248</v>
      </c>
      <c r="H19" s="215">
        <f>IF('단위공사별(집계)'!N8&gt;0,'단위공사별(집계)'!N8/1000,"")</f>
        <v>1913882.8888211327</v>
      </c>
      <c r="I19" s="194"/>
    </row>
    <row r="20" spans="1:13" s="188" customFormat="1" ht="24.95" customHeight="1">
      <c r="B20" s="192">
        <v>3</v>
      </c>
      <c r="C20" s="403" t="str">
        <f>IF('단위공사별(집계)'!N9&gt;0,'단위공사별(집계)'!B9,"")</f>
        <v>OTHER COST</v>
      </c>
      <c r="D20" s="404"/>
      <c r="E20" s="222">
        <f>IF('단위공사별(집계)'!N9&gt;1,('단위공사별(집계)'!D9+'단위공사별(집계)'!E9+'단위공사별(집계)'!F9+'단위공사별(집계)'!G9+'단위공사별(집계)'!H9+'단위공사별(집계)'!I9)/1000," ")</f>
        <v>114906.24479173891</v>
      </c>
      <c r="F20" s="416"/>
      <c r="G20" s="193">
        <f>IF('단위공사별(집계)'!N9&gt;0,('단위공사별(집계)'!L9+'단위공사별(집계)'!M9)/1000,"")</f>
        <v>17075.139973517227</v>
      </c>
      <c r="H20" s="215">
        <f>IF('단위공사별(집계)'!N9&gt;0,'단위공사별(집계)'!N9/1000,"")</f>
        <v>158888.30572345882</v>
      </c>
      <c r="I20" s="194"/>
    </row>
    <row r="21" spans="1:13" s="188" customFormat="1" ht="24.95" customHeight="1">
      <c r="B21" s="192">
        <v>4</v>
      </c>
      <c r="C21" s="403" t="str">
        <f>IF('단위공사별(집계)'!N10&gt;0,'단위공사별(집계)'!B10,"")</f>
        <v/>
      </c>
      <c r="D21" s="404"/>
      <c r="E21" s="222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416"/>
      <c r="G21" s="193" t="str">
        <f>IF('단위공사별(집계)'!N10&gt;0,('단위공사별(집계)'!L10+'단위공사별(집계)'!M10)/1000,"")</f>
        <v/>
      </c>
      <c r="H21" s="215" t="str">
        <f>IF('단위공사별(집계)'!N10&gt;0,'단위공사별(집계)'!N10/1000,"")</f>
        <v/>
      </c>
      <c r="I21" s="194"/>
    </row>
    <row r="22" spans="1:13" s="188" customFormat="1" ht="24.95" customHeight="1">
      <c r="B22" s="192">
        <v>5</v>
      </c>
      <c r="C22" s="403" t="str">
        <f>IF('단위공사별(집계)'!N11&gt;0,'단위공사별(집계)'!B11,"")</f>
        <v/>
      </c>
      <c r="D22" s="404"/>
      <c r="E22" s="222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212"/>
      <c r="G22" s="193" t="str">
        <f>IF('단위공사별(집계)'!N11&gt;0,('단위공사별(집계)'!L11+'단위공사별(집계)'!M11)/1000,"")</f>
        <v/>
      </c>
      <c r="H22" s="215" t="str">
        <f>IF('단위공사별(집계)'!N11&gt;0,'단위공사별(집계)'!N11/1000,"")</f>
        <v/>
      </c>
      <c r="I22" s="194"/>
    </row>
    <row r="23" spans="1:13" s="188" customFormat="1" ht="24.95" customHeight="1">
      <c r="B23" s="192">
        <v>6</v>
      </c>
      <c r="C23" s="403" t="str">
        <f>IF('단위공사별(집계)'!N12&gt;0,'단위공사별(집계)'!B12,"")</f>
        <v/>
      </c>
      <c r="D23" s="404"/>
      <c r="E23" s="222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212"/>
      <c r="G23" s="193" t="str">
        <f>IF('단위공사별(집계)'!N12&gt;0,('단위공사별(집계)'!L12+'단위공사별(집계)'!M12)/1000,"")</f>
        <v/>
      </c>
      <c r="H23" s="215" t="str">
        <f>IF('단위공사별(집계)'!N12&gt;0,'단위공사별(집계)'!N12/1000,"")</f>
        <v/>
      </c>
      <c r="I23" s="194"/>
    </row>
    <row r="24" spans="1:13" s="188" customFormat="1" ht="24.95" customHeight="1">
      <c r="B24" s="192">
        <v>7</v>
      </c>
      <c r="C24" s="403" t="str">
        <f>IF('단위공사별(집계)'!N13&gt;0,'단위공사별(집계)'!B13,"")</f>
        <v/>
      </c>
      <c r="D24" s="404"/>
      <c r="E24" s="222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212"/>
      <c r="G24" s="193" t="str">
        <f>IF('단위공사별(집계)'!N13&gt;0,('단위공사별(집계)'!L13+'단위공사별(집계)'!M13)/1000,"")</f>
        <v/>
      </c>
      <c r="H24" s="215" t="str">
        <f>IF('단위공사별(집계)'!N13&gt;0,'단위공사별(집계)'!N13/1000,"")</f>
        <v/>
      </c>
      <c r="I24" s="194"/>
    </row>
    <row r="25" spans="1:13" s="188" customFormat="1" ht="24.95" customHeight="1">
      <c r="B25" s="195">
        <v>8</v>
      </c>
      <c r="C25" s="403" t="str">
        <f>IF('단위공사별(집계)'!N14&gt;0,'단위공사별(집계)'!B14,"")</f>
        <v/>
      </c>
      <c r="D25" s="404"/>
      <c r="E25" s="222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212"/>
      <c r="G25" s="193" t="str">
        <f>IF('단위공사별(집계)'!N14&gt;0,('단위공사별(집계)'!L14+'단위공사별(집계)'!M14)/1000,"")</f>
        <v/>
      </c>
      <c r="H25" s="215" t="str">
        <f>IF('단위공사별(집계)'!N14&gt;0,'단위공사별(집계)'!N14/1000,"")</f>
        <v/>
      </c>
      <c r="I25" s="194"/>
    </row>
    <row r="26" spans="1:13" s="188" customFormat="1" ht="24.95" customHeight="1">
      <c r="B26" s="195">
        <v>9</v>
      </c>
      <c r="C26" s="403" t="str">
        <f>IF('단위공사별(집계)'!N15&gt;0,'단위공사별(집계)'!B15,"")</f>
        <v/>
      </c>
      <c r="D26" s="404"/>
      <c r="E26" s="222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212"/>
      <c r="G26" s="193" t="str">
        <f>IF('단위공사별(집계)'!N15&gt;0,('단위공사별(집계)'!L15+'단위공사별(집계)'!M15)/1000,"")</f>
        <v/>
      </c>
      <c r="H26" s="215" t="str">
        <f>IF('단위공사별(집계)'!N15&gt;0,'단위공사별(집계)'!N15/1000,"")</f>
        <v/>
      </c>
      <c r="I26" s="194"/>
    </row>
    <row r="27" spans="1:13" s="188" customFormat="1" ht="24.95" customHeight="1">
      <c r="B27" s="196">
        <v>10</v>
      </c>
      <c r="C27" s="413" t="str">
        <f>IF('단위공사별(집계)'!N16&gt;0,'단위공사별(집계)'!B16,"")</f>
        <v/>
      </c>
      <c r="D27" s="414"/>
      <c r="E27" s="223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213"/>
      <c r="G27" s="197" t="str">
        <f>IF('단위공사별(집계)'!N16&gt;0,('단위공사별(집계)'!L16+'단위공사별(집계)'!M16)/1000,"")</f>
        <v/>
      </c>
      <c r="H27" s="216" t="str">
        <f>IF('단위공사별(집계)'!N16&gt;0,'단위공사별(집계)'!N16/1000,"")</f>
        <v/>
      </c>
      <c r="I27" s="198"/>
    </row>
    <row r="28" spans="1:13" ht="24.95" customHeight="1">
      <c r="B28" s="410" t="s">
        <v>139</v>
      </c>
      <c r="C28" s="411"/>
      <c r="D28" s="412"/>
      <c r="E28" s="205">
        <f>SUM(E18:E24)</f>
        <v>1909426</v>
      </c>
      <c r="F28" s="206">
        <f>SUM(F18:F24)</f>
        <v>447119.08</v>
      </c>
      <c r="G28" s="206">
        <f>SUM(G18:G24)</f>
        <v>283741.89999999997</v>
      </c>
      <c r="H28" s="217">
        <f>SUM(H18:H24)-287</f>
        <v>2639999.9800000004</v>
      </c>
      <c r="I28" s="207"/>
      <c r="J28" s="208"/>
    </row>
    <row r="29" spans="1:13" ht="4.5" customHeight="1">
      <c r="A29" s="180"/>
      <c r="B29" s="181"/>
      <c r="C29" s="182"/>
      <c r="D29" s="182"/>
      <c r="E29" s="183"/>
      <c r="F29" s="183"/>
      <c r="G29" s="183"/>
      <c r="H29" s="183"/>
      <c r="I29" s="180"/>
    </row>
    <row r="30" spans="1:13" ht="24" customHeight="1">
      <c r="A30" s="180"/>
      <c r="B30" s="182"/>
      <c r="C30" s="182"/>
      <c r="D30" s="182"/>
      <c r="E30" s="183"/>
      <c r="F30" s="436" t="s">
        <v>140</v>
      </c>
      <c r="G30" s="437"/>
      <c r="H30" s="179"/>
      <c r="I30" s="180"/>
    </row>
    <row r="31" spans="1:13" ht="15" customHeight="1">
      <c r="A31" s="180"/>
      <c r="B31" s="182"/>
      <c r="C31" s="182"/>
      <c r="D31" s="182"/>
      <c r="E31" s="183"/>
      <c r="F31" s="183"/>
      <c r="G31" s="183"/>
      <c r="H31" s="183"/>
      <c r="I31" s="180"/>
    </row>
    <row r="32" spans="1:13" ht="22.5" customHeight="1">
      <c r="B32" s="420" t="s">
        <v>125</v>
      </c>
      <c r="C32" s="430" t="s">
        <v>123</v>
      </c>
      <c r="D32" s="431"/>
      <c r="E32" s="432"/>
      <c r="F32" s="438" t="s">
        <v>148</v>
      </c>
      <c r="G32" s="439"/>
      <c r="H32" s="439"/>
      <c r="I32" s="440"/>
    </row>
    <row r="33" spans="2:9" ht="22.5" customHeight="1">
      <c r="B33" s="421"/>
      <c r="C33" s="433" t="s">
        <v>124</v>
      </c>
      <c r="D33" s="434"/>
      <c r="E33" s="435"/>
      <c r="F33" s="202" t="s">
        <v>173</v>
      </c>
      <c r="G33" s="441"/>
      <c r="H33" s="442"/>
      <c r="I33" s="443"/>
    </row>
    <row r="34" spans="2:9" ht="22.5" customHeight="1">
      <c r="B34" s="421"/>
      <c r="C34" s="417">
        <f>'원가항목별(집계)'!I38</f>
        <v>2578000</v>
      </c>
      <c r="D34" s="418"/>
      <c r="E34" s="419"/>
      <c r="F34" s="210" t="s">
        <v>174</v>
      </c>
      <c r="G34" s="407"/>
      <c r="H34" s="408"/>
      <c r="I34" s="409"/>
    </row>
    <row r="35" spans="2:9" ht="22.5" customHeight="1">
      <c r="B35" s="421"/>
      <c r="C35" s="396"/>
      <c r="D35" s="397"/>
      <c r="E35" s="398"/>
      <c r="F35" s="210" t="s">
        <v>175</v>
      </c>
      <c r="G35" s="407"/>
      <c r="H35" s="408"/>
      <c r="I35" s="409"/>
    </row>
    <row r="36" spans="2:9" ht="22.5" customHeight="1">
      <c r="B36" s="422"/>
      <c r="C36" s="424"/>
      <c r="D36" s="425"/>
      <c r="E36" s="426"/>
      <c r="F36" s="211" t="s">
        <v>176</v>
      </c>
      <c r="G36" s="427"/>
      <c r="H36" s="428"/>
      <c r="I36" s="429"/>
    </row>
  </sheetData>
  <mergeCells count="38">
    <mergeCell ref="G34:I34"/>
    <mergeCell ref="B28:D28"/>
    <mergeCell ref="C27:D27"/>
    <mergeCell ref="F18:F21"/>
    <mergeCell ref="C34:E34"/>
    <mergeCell ref="B32:B36"/>
    <mergeCell ref="C23:D23"/>
    <mergeCell ref="C24:D24"/>
    <mergeCell ref="C25:D25"/>
    <mergeCell ref="C26:D26"/>
    <mergeCell ref="C36:E36"/>
    <mergeCell ref="G35:I35"/>
    <mergeCell ref="G36:I36"/>
    <mergeCell ref="C19:D19"/>
    <mergeCell ref="C32:E32"/>
    <mergeCell ref="C33:E33"/>
    <mergeCell ref="C35:E35"/>
    <mergeCell ref="B11:C11"/>
    <mergeCell ref="C16:D17"/>
    <mergeCell ref="C21:D21"/>
    <mergeCell ref="C22:D22"/>
    <mergeCell ref="C18:D18"/>
    <mergeCell ref="B13:I13"/>
    <mergeCell ref="F30:G30"/>
    <mergeCell ref="C20:D20"/>
    <mergeCell ref="F32:I32"/>
    <mergeCell ref="G33:I33"/>
    <mergeCell ref="B2:I2"/>
    <mergeCell ref="B4:D4"/>
    <mergeCell ref="E16:H16"/>
    <mergeCell ref="B16:B17"/>
    <mergeCell ref="I16:I17"/>
    <mergeCell ref="B5:C5"/>
    <mergeCell ref="B6:C6"/>
    <mergeCell ref="B9:C9"/>
    <mergeCell ref="B10:C10"/>
    <mergeCell ref="B7:B8"/>
    <mergeCell ref="B14:I14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M48"/>
  <sheetViews>
    <sheetView showGridLines="0" zoomScale="80" workbookViewId="0">
      <pane ySplit="5" topLeftCell="A21" activePane="bottomLeft" state="frozen"/>
      <selection activeCell="K15" sqref="K15"/>
      <selection pane="bottomLeft" activeCell="R32" sqref="R32"/>
    </sheetView>
  </sheetViews>
  <sheetFormatPr defaultRowHeight="19.5" customHeight="1"/>
  <cols>
    <col min="1" max="1" width="0.5" style="5" customWidth="1"/>
    <col min="2" max="2" width="5.25" style="5" bestFit="1" customWidth="1"/>
    <col min="3" max="3" width="7.375" style="5" customWidth="1"/>
    <col min="4" max="4" width="8.875" style="5" customWidth="1"/>
    <col min="5" max="5" width="17.75" style="5" customWidth="1"/>
    <col min="6" max="6" width="6.375" style="6" customWidth="1"/>
    <col min="7" max="7" width="8.875" style="24" customWidth="1"/>
    <col min="8" max="8" width="9.75" style="40" customWidth="1"/>
    <col min="9" max="9" width="17.5" style="40" bestFit="1" customWidth="1"/>
    <col min="10" max="10" width="15.625" style="5" customWidth="1"/>
    <col min="11" max="11" width="13.75" style="81" bestFit="1" customWidth="1"/>
    <col min="12" max="12" width="10.875" style="5" bestFit="1" customWidth="1"/>
    <col min="13" max="16384" width="9" style="5"/>
  </cols>
  <sheetData>
    <row r="1" spans="2:11" s="80" customFormat="1" ht="26.25" customHeight="1">
      <c r="B1" s="1"/>
      <c r="C1" s="2" t="s">
        <v>71</v>
      </c>
      <c r="D1" s="3"/>
      <c r="E1" s="3"/>
      <c r="F1" s="4"/>
      <c r="G1" s="23"/>
      <c r="H1" s="39"/>
      <c r="I1" s="39"/>
      <c r="J1" s="3"/>
      <c r="K1" s="79"/>
    </row>
    <row r="2" spans="2:11" s="80" customFormat="1" ht="19.5" customHeight="1">
      <c r="B2" s="1"/>
      <c r="C2" s="2"/>
      <c r="D2" s="3"/>
      <c r="E2" s="3"/>
      <c r="F2" s="4"/>
      <c r="G2" s="23"/>
      <c r="H2" s="39"/>
      <c r="I2" s="39"/>
      <c r="J2" s="3"/>
      <c r="K2" s="79"/>
    </row>
    <row r="3" spans="2:11" ht="30" customHeight="1">
      <c r="B3" s="171" t="s">
        <v>116</v>
      </c>
      <c r="D3" s="124"/>
      <c r="J3" s="6"/>
    </row>
    <row r="4" spans="2:11" s="6" customFormat="1" ht="8.25" customHeight="1">
      <c r="B4" s="7"/>
      <c r="C4" s="474"/>
      <c r="D4" s="475"/>
      <c r="E4" s="476"/>
      <c r="F4" s="8"/>
      <c r="G4" s="82"/>
      <c r="H4" s="82"/>
      <c r="I4" s="82"/>
      <c r="J4" s="83"/>
      <c r="K4" s="84"/>
    </row>
    <row r="5" spans="2:11" s="6" customFormat="1" ht="22.5" customHeight="1" thickBot="1">
      <c r="B5" s="34" t="s">
        <v>10</v>
      </c>
      <c r="C5" s="477" t="s">
        <v>12</v>
      </c>
      <c r="D5" s="478"/>
      <c r="E5" s="479"/>
      <c r="F5" s="35" t="s">
        <v>11</v>
      </c>
      <c r="G5" s="41" t="s">
        <v>13</v>
      </c>
      <c r="H5" s="41" t="s">
        <v>14</v>
      </c>
      <c r="I5" s="41" t="s">
        <v>96</v>
      </c>
      <c r="J5" s="36" t="s">
        <v>15</v>
      </c>
      <c r="K5" s="84"/>
    </row>
    <row r="6" spans="2:11" ht="19.5" customHeight="1" thickTop="1">
      <c r="B6" s="471">
        <v>1</v>
      </c>
      <c r="C6" s="495" t="s">
        <v>91</v>
      </c>
      <c r="D6" s="491" t="s">
        <v>1</v>
      </c>
      <c r="E6" s="33" t="s">
        <v>89</v>
      </c>
      <c r="F6" s="174" t="s">
        <v>119</v>
      </c>
      <c r="G6" s="93">
        <f>서브라인!F36+'HVAC조립 LINE'!F108+'OTHER COST'!F17+단위장비4!F28+단위장비5!F30+단위장비6!F30+단위장비7!F30+단위장비8!F30+단위장비9!F30+단위장비10!F30</f>
        <v>0</v>
      </c>
      <c r="H6" s="42"/>
      <c r="I6" s="42">
        <f>서브라인!H30+'HVAC조립 LINE'!H102+'OTHER COST'!H11+단위장비4!H22+단위장비5!H24+단위장비6!H24+단위장비7!H24+단위장비8!H24+단위장비9!H24+단위장비10!H24</f>
        <v>166456000</v>
      </c>
      <c r="J6" s="20" t="s">
        <v>21</v>
      </c>
    </row>
    <row r="7" spans="2:11" ht="19.5" customHeight="1">
      <c r="B7" s="471"/>
      <c r="C7" s="491"/>
      <c r="D7" s="491"/>
      <c r="E7" s="10" t="s">
        <v>121</v>
      </c>
      <c r="F7" s="172" t="s">
        <v>120</v>
      </c>
      <c r="G7" s="94">
        <v>1</v>
      </c>
      <c r="H7" s="32"/>
      <c r="I7" s="32">
        <f>서브라인!H118+'HVAC조립 LINE'!H184+'OTHER COST'!H25+단위장비4!H45+단위장비5!H47+단위장비6!H47+단위장비7!H47+단위장비8!H47+단위장비9!H47+단위장비10!H47</f>
        <v>329520000</v>
      </c>
      <c r="J7" s="11" t="s">
        <v>22</v>
      </c>
    </row>
    <row r="8" spans="2:11" ht="19.5" customHeight="1">
      <c r="B8" s="471"/>
      <c r="C8" s="491"/>
      <c r="D8" s="491"/>
      <c r="E8" s="10" t="s">
        <v>2</v>
      </c>
      <c r="F8" s="172" t="s">
        <v>120</v>
      </c>
      <c r="G8" s="95">
        <v>1</v>
      </c>
      <c r="H8" s="32"/>
      <c r="I8" s="32">
        <f>서브라인!H126+'HVAC조립 LINE'!H205+'OTHER COST'!H41+단위장비4!H53+단위장비5!H55+단위장비6!H55+단위장비7!H55+단위장비8!H55+단위장비9!H55+단위장비10!H55</f>
        <v>1164250000</v>
      </c>
      <c r="J8" s="11" t="s">
        <v>30</v>
      </c>
    </row>
    <row r="9" spans="2:11" ht="19.5" customHeight="1">
      <c r="B9" s="471"/>
      <c r="C9" s="491"/>
      <c r="D9" s="491"/>
      <c r="E9" s="272" t="s">
        <v>158</v>
      </c>
      <c r="F9" s="293" t="s">
        <v>153</v>
      </c>
      <c r="G9" s="294">
        <v>1</v>
      </c>
      <c r="H9" s="273"/>
      <c r="I9" s="273">
        <f>서브라인!H36+'HVAC조립 LINE'!H108+'OTHER COST'!H17+단위장비4!H28+단위장비5!H30+단위장비6!H30+단위장비7!H30+단위장비8!H30+단위장비9!H30+단위장비10!H30</f>
        <v>0</v>
      </c>
      <c r="J9" s="287" t="s">
        <v>159</v>
      </c>
    </row>
    <row r="10" spans="2:11" ht="19.5" customHeight="1">
      <c r="B10" s="471"/>
      <c r="C10" s="491"/>
      <c r="D10" s="448"/>
      <c r="E10" s="12" t="s">
        <v>67</v>
      </c>
      <c r="F10" s="465"/>
      <c r="G10" s="466"/>
      <c r="H10" s="467"/>
      <c r="I10" s="43">
        <f>SUM(I6:I9)</f>
        <v>1660226000</v>
      </c>
      <c r="J10" s="11"/>
    </row>
    <row r="11" spans="2:11" ht="19.5" customHeight="1">
      <c r="B11" s="471"/>
      <c r="C11" s="491"/>
      <c r="D11" s="496" t="s">
        <v>3</v>
      </c>
      <c r="E11" s="295" t="s">
        <v>90</v>
      </c>
      <c r="F11" s="293" t="s">
        <v>117</v>
      </c>
      <c r="G11" s="296">
        <f>서브라인!F128+'HVAC조립 LINE'!F207+'OTHER COST'!F43+단위장비4!F55+단위장비5!F57+단위장비6!F57+단위장비7!F57+단위장비8!F57+단위장비9!F57+단위장비10!F57</f>
        <v>0</v>
      </c>
      <c r="H11" s="296" t="str">
        <f>IF(서브라인!G128&gt;0,서브라인!G128,"")</f>
        <v/>
      </c>
      <c r="I11" s="296">
        <f>서브라인!H128+'HVAC조립 LINE'!H207+'OTHER COST'!H43+단위장비4!H55+단위장비5!H57+단위장비6!H57+단위장비7!H57+단위장비8!H57+단위장비9!H57+단위장비10!H57</f>
        <v>0</v>
      </c>
      <c r="J11" s="14" t="s">
        <v>66</v>
      </c>
    </row>
    <row r="12" spans="2:11" s="86" customFormat="1" ht="19.5" customHeight="1">
      <c r="B12" s="471"/>
      <c r="C12" s="491"/>
      <c r="D12" s="491"/>
      <c r="E12" s="10" t="s">
        <v>4</v>
      </c>
      <c r="F12" s="172" t="s">
        <v>117</v>
      </c>
      <c r="G12" s="30">
        <f>서브라인!F129+'HVAC조립 LINE'!F208+'OTHER COST'!F44+단위장비4!F56+단위장비5!F58+단위장비6!F58+단위장비7!F58+단위장비8!F58+단위장비9!F58+단위장비10!F58</f>
        <v>87</v>
      </c>
      <c r="H12" s="30">
        <f>IF(서브라인!G129&gt;0,서브라인!G129,"")</f>
        <v>300000</v>
      </c>
      <c r="I12" s="30">
        <f>서브라인!H129+'HVAC조립 LINE'!H208+'OTHER COST'!H44+단위장비4!H56+단위장비5!H58+단위장비6!H58+단위장비7!H58+단위장비8!H58+단위장비9!H58+단위장비10!H58</f>
        <v>26100000</v>
      </c>
      <c r="J12" s="14"/>
      <c r="K12" s="85"/>
    </row>
    <row r="13" spans="2:11" s="86" customFormat="1" ht="19.5" customHeight="1">
      <c r="B13" s="471"/>
      <c r="C13" s="491"/>
      <c r="D13" s="491"/>
      <c r="E13" s="13" t="s">
        <v>19</v>
      </c>
      <c r="F13" s="172" t="s">
        <v>117</v>
      </c>
      <c r="G13" s="30">
        <f>서브라인!F130+'HVAC조립 LINE'!F209+'OTHER COST'!F45+단위장비4!F57+단위장비5!F59+단위장비6!F59+단위장비7!F59+단위장비8!F59+단위장비9!F59+단위장비10!F59</f>
        <v>150</v>
      </c>
      <c r="H13" s="30">
        <f>IF(서브라인!G130&gt;0,서브라인!G130,"")</f>
        <v>300000</v>
      </c>
      <c r="I13" s="30">
        <f>서브라인!H130+'HVAC조립 LINE'!H209+'OTHER COST'!H45+단위장비4!H57+단위장비5!H59+단위장비6!H59+단위장비7!H59+단위장비8!H59+단위장비9!H59+단위장비10!H59</f>
        <v>45000000</v>
      </c>
      <c r="J13" s="14"/>
      <c r="K13" s="85"/>
    </row>
    <row r="14" spans="2:11" s="86" customFormat="1" ht="19.5" customHeight="1">
      <c r="B14" s="471"/>
      <c r="C14" s="491"/>
      <c r="D14" s="491"/>
      <c r="E14" s="13" t="s">
        <v>6</v>
      </c>
      <c r="F14" s="172" t="s">
        <v>117</v>
      </c>
      <c r="G14" s="30">
        <f>서브라인!F131+'HVAC조립 LINE'!F210+'OTHER COST'!F46+단위장비4!F58+단위장비5!F60+단위장비6!F60+단위장비7!F60+단위장비8!F60+단위장비9!F60+단위장비10!F60</f>
        <v>140</v>
      </c>
      <c r="H14" s="30">
        <f>IF(서브라인!G131&gt;0,서브라인!G131,"")</f>
        <v>300000</v>
      </c>
      <c r="I14" s="30">
        <f>서브라인!H131+'HVAC조립 LINE'!H210+'OTHER COST'!H46+단위장비4!H58+단위장비5!H60+단위장비6!H60+단위장비7!H60+단위장비8!H60+단위장비9!H60+단위장비10!H60</f>
        <v>42000000</v>
      </c>
      <c r="J14" s="14" t="s">
        <v>65</v>
      </c>
      <c r="K14" s="85"/>
    </row>
    <row r="15" spans="2:11" s="86" customFormat="1" ht="19.5" customHeight="1">
      <c r="B15" s="471"/>
      <c r="C15" s="491"/>
      <c r="D15" s="491"/>
      <c r="E15" s="295" t="s">
        <v>7</v>
      </c>
      <c r="F15" s="293" t="s">
        <v>117</v>
      </c>
      <c r="G15" s="296">
        <f>서브라인!F132+'HVAC조립 LINE'!F211+'OTHER COST'!F47+단위장비4!F59+단위장비5!F61+단위장비6!F61+단위장비7!F61+단위장비8!F61+단위장비9!F61+단위장비10!F61</f>
        <v>30</v>
      </c>
      <c r="H15" s="296">
        <f>IF(서브라인!G132&gt;0,서브라인!G132,"")</f>
        <v>300000</v>
      </c>
      <c r="I15" s="296">
        <f>서브라인!H132+'HVAC조립 LINE'!H211+'OTHER COST'!H47+단위장비4!H59+단위장비5!H61+단위장비6!H61+단위장비7!H61+단위장비8!H61+단위장비9!H61+단위장비10!H61</f>
        <v>9000000</v>
      </c>
      <c r="J15" s="14"/>
      <c r="K15" s="85"/>
    </row>
    <row r="16" spans="2:11" ht="19.5" customHeight="1">
      <c r="B16" s="471"/>
      <c r="C16" s="491"/>
      <c r="D16" s="491"/>
      <c r="E16" s="295" t="s">
        <v>8</v>
      </c>
      <c r="F16" s="293" t="s">
        <v>117</v>
      </c>
      <c r="G16" s="296">
        <f>서브라인!F133+'HVAC조립 LINE'!F212+'OTHER COST'!F48+단위장비4!F60+단위장비5!F62+단위장비6!F62+단위장비7!F62+단위장비8!F62+단위장비9!F62+단위장비10!F62</f>
        <v>70</v>
      </c>
      <c r="H16" s="296">
        <f>IF(서브라인!G133&gt;0,서브라인!G133,"")</f>
        <v>300000</v>
      </c>
      <c r="I16" s="296">
        <f>서브라인!H133+'HVAC조립 LINE'!H212+'OTHER COST'!H48+단위장비4!H60+단위장비5!H62+단위장비6!H62+단위장비7!H62+단위장비8!H62+단위장비9!H62+단위장비10!H62</f>
        <v>23000000</v>
      </c>
      <c r="J16" s="11"/>
    </row>
    <row r="17" spans="2:10" ht="19.5" customHeight="1">
      <c r="B17" s="471"/>
      <c r="C17" s="491"/>
      <c r="D17" s="491"/>
      <c r="E17" s="10" t="s">
        <v>9</v>
      </c>
      <c r="F17" s="172" t="s">
        <v>117</v>
      </c>
      <c r="G17" s="30">
        <f>서브라인!F134+'HVAC조립 LINE'!F213+'OTHER COST'!F49+단위장비4!F61+단위장비5!F63+단위장비6!F63+단위장비7!F63+단위장비8!F63+단위장비9!F63+단위장비10!F63</f>
        <v>105</v>
      </c>
      <c r="H17" s="30">
        <f>IF(서브라인!G134&gt;0,서브라인!G134,"")</f>
        <v>500000</v>
      </c>
      <c r="I17" s="30">
        <f>서브라인!H134+'HVAC조립 LINE'!H213+'OTHER COST'!H49+단위장비4!H61+단위장비5!H63+단위장비6!H63+단위장비7!H63+단위장비8!H63+단위장비9!H63+단위장비10!H63</f>
        <v>52500000</v>
      </c>
      <c r="J17" s="11"/>
    </row>
    <row r="18" spans="2:10" ht="19.5" customHeight="1">
      <c r="B18" s="471"/>
      <c r="C18" s="491"/>
      <c r="D18" s="491"/>
      <c r="E18" s="10" t="s">
        <v>20</v>
      </c>
      <c r="F18" s="172" t="s">
        <v>117</v>
      </c>
      <c r="G18" s="30">
        <f>서브라인!F135+'HVAC조립 LINE'!F214+'OTHER COST'!F50+단위장비4!F62+단위장비5!F64+단위장비6!F64+단위장비7!F64+단위장비8!F64+단위장비9!F64+단위장비10!F64</f>
        <v>2</v>
      </c>
      <c r="H18" s="30">
        <f>IF(서브라인!G135&gt;0,서브라인!G135,"")</f>
        <v>8500000</v>
      </c>
      <c r="I18" s="30">
        <f>서브라인!H135+'HVAC조립 LINE'!H214+'OTHER COST'!H50+단위장비4!H62+단위장비5!H64+단위장비6!H64+단위장비7!H64+단위장비8!H64+단위장비9!H64+단위장비10!H64</f>
        <v>16600000</v>
      </c>
      <c r="J18" s="11"/>
    </row>
    <row r="19" spans="2:10" ht="19.5" customHeight="1">
      <c r="B19" s="471"/>
      <c r="C19" s="491"/>
      <c r="D19" s="448"/>
      <c r="E19" s="12" t="s">
        <v>67</v>
      </c>
      <c r="F19" s="465"/>
      <c r="G19" s="466"/>
      <c r="H19" s="467"/>
      <c r="I19" s="43">
        <f>SUM(I11:I18)</f>
        <v>214200000</v>
      </c>
      <c r="J19" s="11"/>
    </row>
    <row r="20" spans="2:10" ht="19.5" customHeight="1">
      <c r="B20" s="471"/>
      <c r="C20" s="491"/>
      <c r="D20" s="133" t="s">
        <v>76</v>
      </c>
      <c r="E20" s="126"/>
      <c r="F20" s="465"/>
      <c r="G20" s="466"/>
      <c r="H20" s="467"/>
      <c r="I20" s="46">
        <f>서브라인!H138+서브라인!H139+'HVAC조립 LINE'!H217+'HVAC조립 LINE'!H218+'OTHER COST'!H53+'OTHER COST'!H54+단위장비4!H65+단위장비4!H66+단위장비5!H67+단위장비5!H68+단위장비6!H67+단위장비6!H68+단위장비7!H67+단위장비7!H68+단위장비8!H67+단위장비8!H68+단위장비9!H67+단위장비9!H68+단위장비10!H67+단위장비10!H68</f>
        <v>281163900</v>
      </c>
      <c r="J20" s="87"/>
    </row>
    <row r="21" spans="2:10" ht="19.5" customHeight="1">
      <c r="B21" s="472"/>
      <c r="C21" s="492"/>
      <c r="D21" s="15"/>
      <c r="E21" s="16" t="s">
        <v>49</v>
      </c>
      <c r="F21" s="444"/>
      <c r="G21" s="445"/>
      <c r="H21" s="446"/>
      <c r="I21" s="44">
        <f>I19+I10+I20</f>
        <v>2155589900</v>
      </c>
      <c r="J21" s="17"/>
    </row>
    <row r="22" spans="2:10" ht="19.5" customHeight="1">
      <c r="B22" s="473">
        <v>2</v>
      </c>
      <c r="C22" s="488" t="s">
        <v>92</v>
      </c>
      <c r="D22" s="493" t="s">
        <v>1</v>
      </c>
      <c r="E22" s="9" t="s">
        <v>16</v>
      </c>
      <c r="F22" s="173" t="s">
        <v>118</v>
      </c>
      <c r="G22" s="31">
        <v>1</v>
      </c>
      <c r="H22" s="31"/>
      <c r="I22" s="31">
        <f>전기!H307-I23</f>
        <v>276299200</v>
      </c>
      <c r="J22" s="18"/>
    </row>
    <row r="23" spans="2:10" ht="19.5" customHeight="1">
      <c r="B23" s="471"/>
      <c r="C23" s="489"/>
      <c r="D23" s="494"/>
      <c r="E23" s="272" t="s">
        <v>158</v>
      </c>
      <c r="F23" s="297" t="s">
        <v>153</v>
      </c>
      <c r="G23" s="274">
        <v>1</v>
      </c>
      <c r="H23" s="274"/>
      <c r="I23" s="274">
        <f>전기!H35</f>
        <v>0</v>
      </c>
      <c r="J23" s="287" t="s">
        <v>159</v>
      </c>
    </row>
    <row r="24" spans="2:10" ht="19.5" customHeight="1">
      <c r="B24" s="471"/>
      <c r="C24" s="490"/>
      <c r="D24" s="496" t="s">
        <v>3</v>
      </c>
      <c r="E24" s="295" t="s">
        <v>95</v>
      </c>
      <c r="F24" s="293" t="s">
        <v>117</v>
      </c>
      <c r="G24" s="296">
        <f>전기!F308</f>
        <v>0</v>
      </c>
      <c r="H24" s="273" t="str">
        <f>IF(전기!G308&gt;0,전기!G308,"")</f>
        <v/>
      </c>
      <c r="I24" s="296">
        <f>전기!H308</f>
        <v>0</v>
      </c>
      <c r="J24" s="14"/>
    </row>
    <row r="25" spans="2:10" ht="19.5" customHeight="1">
      <c r="B25" s="471"/>
      <c r="C25" s="490"/>
      <c r="D25" s="491"/>
      <c r="E25" s="10" t="s">
        <v>73</v>
      </c>
      <c r="F25" s="172" t="s">
        <v>117</v>
      </c>
      <c r="G25" s="32">
        <f>전기!F309</f>
        <v>100</v>
      </c>
      <c r="H25" s="32">
        <f>IF(전기!G309&gt;0,전기!G309,"")</f>
        <v>350000</v>
      </c>
      <c r="I25" s="32">
        <f>전기!H309</f>
        <v>35000000</v>
      </c>
      <c r="J25" s="11"/>
    </row>
    <row r="26" spans="2:10" ht="19.5" customHeight="1">
      <c r="B26" s="471"/>
      <c r="C26" s="490"/>
      <c r="D26" s="491"/>
      <c r="E26" s="10" t="s">
        <v>5</v>
      </c>
      <c r="F26" s="172" t="s">
        <v>117</v>
      </c>
      <c r="G26" s="32">
        <f>전기!F310</f>
        <v>50</v>
      </c>
      <c r="H26" s="32">
        <f>IF(전기!G310&gt;0,전기!G310,"")</f>
        <v>250000</v>
      </c>
      <c r="I26" s="32">
        <f>전기!H310</f>
        <v>12500000</v>
      </c>
      <c r="J26" s="11"/>
    </row>
    <row r="27" spans="2:10" ht="19.5" customHeight="1">
      <c r="B27" s="471"/>
      <c r="C27" s="490"/>
      <c r="D27" s="491"/>
      <c r="E27" s="10" t="s">
        <v>101</v>
      </c>
      <c r="F27" s="172" t="s">
        <v>117</v>
      </c>
      <c r="G27" s="32">
        <f>전기!F311</f>
        <v>40</v>
      </c>
      <c r="H27" s="32">
        <f>IF(전기!G311&gt;0,전기!G311,"")</f>
        <v>250000</v>
      </c>
      <c r="I27" s="32">
        <f>전기!H311</f>
        <v>10000000</v>
      </c>
      <c r="J27" s="11"/>
    </row>
    <row r="28" spans="2:10" ht="19.5" customHeight="1">
      <c r="B28" s="471"/>
      <c r="C28" s="490"/>
      <c r="D28" s="491"/>
      <c r="E28" s="298" t="s">
        <v>100</v>
      </c>
      <c r="F28" s="293" t="s">
        <v>117</v>
      </c>
      <c r="G28" s="273">
        <f>전기!F312</f>
        <v>80</v>
      </c>
      <c r="H28" s="273">
        <f>IF(전기!G312&gt;0,전기!G312,"")</f>
        <v>250000</v>
      </c>
      <c r="I28" s="273">
        <f>전기!H312</f>
        <v>20000000</v>
      </c>
      <c r="J28" s="11"/>
    </row>
    <row r="29" spans="2:10" ht="19.5" customHeight="1">
      <c r="B29" s="471"/>
      <c r="C29" s="490"/>
      <c r="D29" s="491"/>
      <c r="E29" s="298" t="s">
        <v>8</v>
      </c>
      <c r="F29" s="293" t="s">
        <v>117</v>
      </c>
      <c r="G29" s="273">
        <f>전기!F313</f>
        <v>50</v>
      </c>
      <c r="H29" s="273">
        <f>IF(전기!G313&gt;0,전기!G313,"")</f>
        <v>350000</v>
      </c>
      <c r="I29" s="273">
        <f>전기!H313</f>
        <v>17500000</v>
      </c>
      <c r="J29" s="11"/>
    </row>
    <row r="30" spans="2:10" ht="19.5" customHeight="1">
      <c r="B30" s="471"/>
      <c r="C30" s="490"/>
      <c r="D30" s="491"/>
      <c r="E30" s="10" t="s">
        <v>9</v>
      </c>
      <c r="F30" s="172" t="s">
        <v>117</v>
      </c>
      <c r="G30" s="32">
        <f>전기!F314</f>
        <v>35</v>
      </c>
      <c r="H30" s="32">
        <f>IF(전기!G314&gt;0,전기!G314,"")</f>
        <v>500000</v>
      </c>
      <c r="I30" s="32">
        <f>전기!H314</f>
        <v>17500000</v>
      </c>
      <c r="J30" s="11"/>
    </row>
    <row r="31" spans="2:10" ht="19.5" customHeight="1">
      <c r="B31" s="471"/>
      <c r="C31" s="490"/>
      <c r="D31" s="448"/>
      <c r="E31" s="12" t="s">
        <v>68</v>
      </c>
      <c r="F31" s="504"/>
      <c r="G31" s="505"/>
      <c r="H31" s="506"/>
      <c r="I31" s="43">
        <f>SUM(I24:I30)</f>
        <v>112500000</v>
      </c>
      <c r="J31" s="11"/>
    </row>
    <row r="32" spans="2:10" ht="19.5" customHeight="1">
      <c r="B32" s="471"/>
      <c r="C32" s="491"/>
      <c r="D32" s="133" t="s">
        <v>76</v>
      </c>
      <c r="E32" s="126"/>
      <c r="F32" s="465"/>
      <c r="G32" s="466"/>
      <c r="H32" s="467"/>
      <c r="I32" s="46">
        <f>전기!H317+전기!H318</f>
        <v>58319880</v>
      </c>
      <c r="J32" s="87"/>
    </row>
    <row r="33" spans="2:13" ht="19.5" customHeight="1">
      <c r="B33" s="472"/>
      <c r="C33" s="492"/>
      <c r="D33" s="15"/>
      <c r="E33" s="16" t="s">
        <v>69</v>
      </c>
      <c r="F33" s="444"/>
      <c r="G33" s="445"/>
      <c r="H33" s="446"/>
      <c r="I33" s="44">
        <f>I31+I22+I32+I23</f>
        <v>447119080</v>
      </c>
      <c r="J33" s="17"/>
    </row>
    <row r="34" spans="2:13" ht="19.5" customHeight="1">
      <c r="B34" s="480">
        <v>3</v>
      </c>
      <c r="C34" s="483" t="s">
        <v>57</v>
      </c>
      <c r="D34" s="484"/>
      <c r="E34" s="485"/>
      <c r="F34" s="483"/>
      <c r="G34" s="484"/>
      <c r="H34" s="485"/>
      <c r="I34" s="45">
        <f>I22+I10+I23</f>
        <v>1936525200</v>
      </c>
      <c r="J34" s="18"/>
    </row>
    <row r="35" spans="2:13" ht="19.5" customHeight="1">
      <c r="B35" s="481"/>
      <c r="C35" s="465" t="s">
        <v>58</v>
      </c>
      <c r="D35" s="466"/>
      <c r="E35" s="467"/>
      <c r="F35" s="465"/>
      <c r="G35" s="466"/>
      <c r="H35" s="467"/>
      <c r="I35" s="43">
        <f>I31+I19</f>
        <v>326700000</v>
      </c>
      <c r="J35" s="11"/>
    </row>
    <row r="36" spans="2:13" ht="19.5" customHeight="1" thickBot="1">
      <c r="B36" s="482"/>
      <c r="C36" s="486" t="s">
        <v>59</v>
      </c>
      <c r="D36" s="486"/>
      <c r="E36" s="487"/>
      <c r="F36" s="497"/>
      <c r="G36" s="486"/>
      <c r="H36" s="487"/>
      <c r="I36" s="53">
        <f>I35+I34</f>
        <v>2263225200</v>
      </c>
      <c r="J36" s="54"/>
    </row>
    <row r="37" spans="2:13" ht="20.25" customHeight="1">
      <c r="B37" s="19">
        <v>4</v>
      </c>
      <c r="C37" s="448" t="s">
        <v>88</v>
      </c>
      <c r="D37" s="449"/>
      <c r="E37" s="450"/>
      <c r="F37" s="498"/>
      <c r="G37" s="499"/>
      <c r="H37" s="500"/>
      <c r="I37" s="149">
        <v>35000000</v>
      </c>
      <c r="J37" s="110"/>
    </row>
    <row r="38" spans="2:13" ht="22.5" customHeight="1">
      <c r="B38" s="21">
        <v>5</v>
      </c>
      <c r="C38" s="465" t="s">
        <v>0</v>
      </c>
      <c r="D38" s="466"/>
      <c r="E38" s="467"/>
      <c r="F38" s="501" t="s">
        <v>172</v>
      </c>
      <c r="G38" s="502"/>
      <c r="H38" s="503"/>
      <c r="I38" s="111">
        <f>CEILING(MIN(I46:I47),1000)</f>
        <v>2578000</v>
      </c>
      <c r="J38" s="299">
        <f>I29+I28+I24+I23+I16+I15+I11+I9</f>
        <v>69500000</v>
      </c>
      <c r="K38" s="176"/>
      <c r="M38" s="176"/>
    </row>
    <row r="39" spans="2:13" ht="20.25" customHeight="1">
      <c r="B39" s="21">
        <v>6</v>
      </c>
      <c r="C39" s="465" t="s">
        <v>25</v>
      </c>
      <c r="D39" s="466"/>
      <c r="E39" s="467"/>
      <c r="F39" s="468"/>
      <c r="G39" s="469"/>
      <c r="H39" s="470"/>
      <c r="I39" s="43">
        <f>전기!H317+서브라인!H138+'HVAC조립 LINE'!H217+'OTHER COST'!H53+단위장비4!H65+단위장비5!H67+단위장비6!H67+단위장비7!H67+단위장비8!H67+단위장비9!H67+단위장비10!H67</f>
        <v>67896756</v>
      </c>
      <c r="J39" s="11"/>
      <c r="L39" s="370" t="s">
        <v>185</v>
      </c>
    </row>
    <row r="40" spans="2:13" ht="20.25" customHeight="1">
      <c r="B40" s="22">
        <v>7</v>
      </c>
      <c r="C40" s="444" t="s">
        <v>17</v>
      </c>
      <c r="D40" s="445"/>
      <c r="E40" s="446"/>
      <c r="F40" s="462"/>
      <c r="G40" s="463"/>
      <c r="H40" s="464"/>
      <c r="I40" s="46">
        <f>전기!H318+서브라인!H139+'HVAC조립 LINE'!H218+'OTHER COST'!H54+단위장비4!H66+단위장비5!H68+단위장비6!H68+단위장비7!H68+단위장비8!H68+단위장비9!H68+단위장비10!H68</f>
        <v>271587024</v>
      </c>
      <c r="J40" s="87"/>
      <c r="K40" s="5"/>
    </row>
    <row r="41" spans="2:13" ht="28.5" customHeight="1" thickBot="1">
      <c r="B41" s="55"/>
      <c r="C41" s="447" t="s">
        <v>18</v>
      </c>
      <c r="D41" s="447"/>
      <c r="E41" s="447"/>
      <c r="F41" s="459" t="s">
        <v>63</v>
      </c>
      <c r="G41" s="460"/>
      <c r="H41" s="461"/>
      <c r="I41" s="56">
        <f>(I21+I33+I37+I38)-286980</f>
        <v>2640000000</v>
      </c>
      <c r="J41" s="88"/>
      <c r="K41" s="5"/>
    </row>
    <row r="42" spans="2:13" ht="19.5" customHeight="1">
      <c r="B42" s="275" t="s">
        <v>154</v>
      </c>
      <c r="C42" s="6"/>
      <c r="D42" s="6"/>
      <c r="E42" s="6"/>
    </row>
    <row r="43" spans="2:13" ht="19.5" customHeight="1">
      <c r="B43" s="5" t="s">
        <v>64</v>
      </c>
      <c r="C43" s="6"/>
      <c r="D43" s="6"/>
      <c r="E43" s="6"/>
    </row>
    <row r="44" spans="2:13" ht="19.5" customHeight="1">
      <c r="C44" s="6"/>
      <c r="D44" s="6"/>
      <c r="E44" s="6"/>
    </row>
    <row r="45" spans="2:13" ht="19.5" customHeight="1">
      <c r="C45" s="6"/>
      <c r="D45" s="6"/>
      <c r="E45" s="456" t="s">
        <v>177</v>
      </c>
      <c r="F45" s="453" t="s">
        <v>167</v>
      </c>
      <c r="G45" s="454"/>
      <c r="H45" s="455"/>
      <c r="I45" s="289" t="s">
        <v>169</v>
      </c>
      <c r="J45" s="291" t="s">
        <v>166</v>
      </c>
      <c r="K45" s="292" t="s">
        <v>170</v>
      </c>
    </row>
    <row r="46" spans="2:13" ht="19.5" customHeight="1">
      <c r="C46" s="6"/>
      <c r="D46" s="6"/>
      <c r="E46" s="457"/>
      <c r="F46" s="451" t="s">
        <v>162</v>
      </c>
      <c r="G46" s="452"/>
      <c r="H46" s="452"/>
      <c r="I46" s="43">
        <f>IF(J46&lt;500000000,J46*0.0309,1)+IF(J46&gt;500000000,J46*0.0199+5499000)*IF(J46&gt;5000000000,0,1)+IF(J46&gt;5000000000,J46*0.021,0)</f>
        <v>51233682.480000004</v>
      </c>
      <c r="J46" s="290">
        <f>SUM(I6:I9,I11:I18,I22:I30,I37)</f>
        <v>2298225200</v>
      </c>
      <c r="K46" s="290" t="s">
        <v>164</v>
      </c>
    </row>
    <row r="47" spans="2:13" ht="19.5" customHeight="1">
      <c r="E47" s="458"/>
      <c r="F47" s="451" t="s">
        <v>163</v>
      </c>
      <c r="G47" s="452"/>
      <c r="H47" s="452"/>
      <c r="I47" s="43">
        <f>(IF(J47&lt;500000000,J47*0.0309,1)+IF(J47&gt;500000000,J47*0.0199+5499000)*IF(J47&gt;5000000000,0,1)+IF(J47&gt;5000000000,J47*0.021,0))*1.2</f>
        <v>2577060</v>
      </c>
      <c r="J47" s="300">
        <f>SUM(I9,I23,I11,I15:I16,I24,I28:I29)</f>
        <v>69500000</v>
      </c>
      <c r="K47" s="290" t="s">
        <v>165</v>
      </c>
    </row>
    <row r="48" spans="2:13" ht="19.5" customHeight="1">
      <c r="G48" s="288" t="s">
        <v>168</v>
      </c>
    </row>
  </sheetData>
  <mergeCells count="38">
    <mergeCell ref="F10:H10"/>
    <mergeCell ref="F31:H31"/>
    <mergeCell ref="F32:H32"/>
    <mergeCell ref="F33:H33"/>
    <mergeCell ref="F19:H19"/>
    <mergeCell ref="F20:H20"/>
    <mergeCell ref="F21:H21"/>
    <mergeCell ref="F34:H34"/>
    <mergeCell ref="F35:H35"/>
    <mergeCell ref="F36:H36"/>
    <mergeCell ref="F37:H37"/>
    <mergeCell ref="F38:H38"/>
    <mergeCell ref="B6:B21"/>
    <mergeCell ref="B22:B33"/>
    <mergeCell ref="C4:E4"/>
    <mergeCell ref="C5:E5"/>
    <mergeCell ref="B34:B36"/>
    <mergeCell ref="C34:E34"/>
    <mergeCell ref="C35:E35"/>
    <mergeCell ref="C36:E36"/>
    <mergeCell ref="C22:C33"/>
    <mergeCell ref="D22:D23"/>
    <mergeCell ref="C6:C21"/>
    <mergeCell ref="D6:D10"/>
    <mergeCell ref="D24:D31"/>
    <mergeCell ref="D11:D19"/>
    <mergeCell ref="C40:E40"/>
    <mergeCell ref="C41:E41"/>
    <mergeCell ref="C37:E37"/>
    <mergeCell ref="F46:H46"/>
    <mergeCell ref="F47:H47"/>
    <mergeCell ref="F45:H45"/>
    <mergeCell ref="E45:E47"/>
    <mergeCell ref="F41:H41"/>
    <mergeCell ref="F40:H40"/>
    <mergeCell ref="C38:E38"/>
    <mergeCell ref="C39:E39"/>
    <mergeCell ref="F39:H39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2:S22"/>
  <sheetViews>
    <sheetView zoomScale="80" workbookViewId="0">
      <selection activeCell="J28" sqref="J28"/>
    </sheetView>
  </sheetViews>
  <sheetFormatPr defaultRowHeight="17.25" customHeight="1"/>
  <cols>
    <col min="1" max="1" width="5" style="25" customWidth="1"/>
    <col min="2" max="2" width="20.125" style="25" customWidth="1"/>
    <col min="3" max="3" width="6.25" style="25" customWidth="1"/>
    <col min="4" max="4" width="13.625" style="25" customWidth="1"/>
    <col min="5" max="8" width="11.875" style="25" customWidth="1"/>
    <col min="9" max="9" width="13" style="25" customWidth="1"/>
    <col min="10" max="10" width="15.75" style="25" customWidth="1"/>
    <col min="11" max="11" width="13.875" style="25" customWidth="1"/>
    <col min="12" max="12" width="12.5" style="25" bestFit="1" customWidth="1"/>
    <col min="13" max="13" width="15" style="25" bestFit="1" customWidth="1"/>
    <col min="14" max="14" width="15.625" style="25" customWidth="1"/>
    <col min="15" max="15" width="9.625" style="25" customWidth="1"/>
    <col min="16" max="16" width="12.625" style="25" hidden="1" customWidth="1"/>
    <col min="17" max="17" width="10" style="25" customWidth="1"/>
    <col min="18" max="16384" width="9" style="25"/>
  </cols>
  <sheetData>
    <row r="2" spans="1:19" ht="31.5" customHeight="1">
      <c r="A2" s="2" t="s">
        <v>93</v>
      </c>
    </row>
    <row r="3" spans="1:19" ht="17.25" customHeight="1" thickBot="1">
      <c r="N3" s="25" t="s">
        <v>29</v>
      </c>
    </row>
    <row r="4" spans="1:19" s="229" customFormat="1" ht="8.25" customHeight="1">
      <c r="A4" s="29"/>
      <c r="B4" s="29"/>
      <c r="C4" s="29"/>
      <c r="D4" s="510"/>
      <c r="E4" s="511"/>
      <c r="F4" s="511"/>
      <c r="G4" s="511"/>
      <c r="H4" s="511"/>
      <c r="I4" s="511"/>
      <c r="J4" s="512"/>
      <c r="K4" s="135"/>
      <c r="L4" s="128"/>
      <c r="M4" s="129"/>
      <c r="N4" s="59"/>
      <c r="O4" s="47"/>
    </row>
    <row r="5" spans="1:19" s="26" customFormat="1" ht="25.5" customHeight="1">
      <c r="A5" s="64"/>
      <c r="B5" s="64"/>
      <c r="C5" s="64"/>
      <c r="D5" s="245"/>
      <c r="E5" s="246"/>
      <c r="F5" s="246"/>
      <c r="G5" s="246"/>
      <c r="H5" s="246"/>
      <c r="I5" s="247" t="s">
        <v>86</v>
      </c>
      <c r="J5" s="230"/>
      <c r="K5" s="225"/>
      <c r="L5" s="224" t="s">
        <v>74</v>
      </c>
      <c r="M5" s="226" t="s">
        <v>56</v>
      </c>
      <c r="N5" s="227"/>
      <c r="O5" s="228"/>
    </row>
    <row r="6" spans="1:19" s="26" customFormat="1" ht="25.5" customHeight="1" thickBot="1">
      <c r="A6" s="38" t="s">
        <v>23</v>
      </c>
      <c r="B6" s="38" t="s">
        <v>94</v>
      </c>
      <c r="C6" s="38" t="s">
        <v>28</v>
      </c>
      <c r="D6" s="248" t="s">
        <v>24</v>
      </c>
      <c r="E6" s="249" t="s">
        <v>60</v>
      </c>
      <c r="F6" s="249" t="s">
        <v>61</v>
      </c>
      <c r="G6" s="249" t="s">
        <v>54</v>
      </c>
      <c r="H6" s="249" t="s">
        <v>55</v>
      </c>
      <c r="I6" s="250" t="s">
        <v>87</v>
      </c>
      <c r="J6" s="231" t="s">
        <v>144</v>
      </c>
      <c r="K6" s="136" t="s">
        <v>145</v>
      </c>
      <c r="L6" s="127" t="s">
        <v>75</v>
      </c>
      <c r="M6" s="130" t="s">
        <v>43</v>
      </c>
      <c r="N6" s="60" t="s">
        <v>26</v>
      </c>
      <c r="O6" s="57" t="s">
        <v>27</v>
      </c>
    </row>
    <row r="7" spans="1:19" s="28" customFormat="1" ht="25.5" customHeight="1" thickTop="1">
      <c r="A7" s="150">
        <f>IF(B7&gt;0,1,"")</f>
        <v>1</v>
      </c>
      <c r="B7" s="151" t="str">
        <f>서브라인!C$1</f>
        <v>서브 라인</v>
      </c>
      <c r="C7" s="266" t="s">
        <v>147</v>
      </c>
      <c r="D7" s="251">
        <f>서브라인!H127</f>
        <v>308398000</v>
      </c>
      <c r="E7" s="252">
        <f>서브라인!H128</f>
        <v>0</v>
      </c>
      <c r="F7" s="252">
        <f>서브라인!H129+서브라인!H130+서브라인!H131+서브라인!H135</f>
        <v>68500000</v>
      </c>
      <c r="G7" s="252">
        <f>서브라인!H132+서브라인!H133</f>
        <v>13500000</v>
      </c>
      <c r="H7" s="252">
        <f>서브라인!H134</f>
        <v>12500000</v>
      </c>
      <c r="I7" s="253">
        <f>IF($B7&gt;0,'원가항목별(집계)'!I$37*$P7/$P$17,0)</f>
        <v>7523065.7278548209</v>
      </c>
      <c r="J7" s="232">
        <f>SUM(D7:I7)</f>
        <v>410421065.72785485</v>
      </c>
      <c r="K7" s="152">
        <f>IF(B7&gt;0,'원가항목별(집계)'!I$33*P7/P$17,0)</f>
        <v>96105892.200513646</v>
      </c>
      <c r="L7" s="152">
        <f>IF($B7&gt;0,'원가항목별(집계)'!I$38*$P7/$P$17,0)</f>
        <v>554127.52704027796</v>
      </c>
      <c r="M7" s="153">
        <f>서브라인!H138+서브라인!H139</f>
        <v>60434700</v>
      </c>
      <c r="N7" s="154">
        <f>SUM(J7:M7)</f>
        <v>567515785.45540881</v>
      </c>
      <c r="O7" s="155"/>
      <c r="P7" s="28">
        <f>D7+E7+F7+G7+H7+M7</f>
        <v>463332700</v>
      </c>
    </row>
    <row r="8" spans="1:19" s="28" customFormat="1" ht="25.5" customHeight="1">
      <c r="A8" s="156">
        <f>IF(B8&gt;0,A7+1,"")</f>
        <v>2</v>
      </c>
      <c r="B8" s="157" t="str">
        <f>'HVAC조립 LINE'!C$1</f>
        <v>HVAC 조립 LINE</v>
      </c>
      <c r="C8" s="161" t="s">
        <v>508</v>
      </c>
      <c r="D8" s="254">
        <f>'HVAC조립 LINE'!H206</f>
        <v>1249028000</v>
      </c>
      <c r="E8" s="255">
        <f>'HVAC조립 LINE'!H207</f>
        <v>0</v>
      </c>
      <c r="F8" s="255">
        <f>'HVAC조립 LINE'!H208+'HVAC조립 LINE'!H209+'HVAC조립 LINE'!H210+'HVAC조립 LINE'!H214</f>
        <v>61200000</v>
      </c>
      <c r="G8" s="255">
        <f>'HVAC조립 LINE'!H211+'HVAC조립 LINE'!H212</f>
        <v>13500000</v>
      </c>
      <c r="H8" s="255">
        <f>'HVAC조립 LINE'!H213</f>
        <v>35000000</v>
      </c>
      <c r="I8" s="256">
        <f>IF($B8&gt;0,'원가항목별(집계)'!I$37*$P8/$P$17,0)</f>
        <v>25370689.480406269</v>
      </c>
      <c r="J8" s="233">
        <f>SUM(D8:I8)</f>
        <v>1384098689.4804063</v>
      </c>
      <c r="K8" s="158">
        <f>IF(B8&gt;0,'원가항목별(집계)'!I$33*P8/P$17,0)</f>
        <v>324106266.84128368</v>
      </c>
      <c r="L8" s="158">
        <f>IF($B8&gt;0,'원가항목별(집계)'!I$38*$P8/$P$17,0)</f>
        <v>1868732.4994424961</v>
      </c>
      <c r="M8" s="159">
        <f>'HVAC조립 LINE'!H217+'HVAC조립 LINE'!H218</f>
        <v>203809200</v>
      </c>
      <c r="N8" s="160">
        <f t="shared" ref="N8:N16" si="0">SUM(J8:M8)</f>
        <v>1913882888.8211327</v>
      </c>
      <c r="O8" s="100"/>
      <c r="P8" s="28">
        <f t="shared" ref="P8:P16" si="1">D8+E8+F8+G8+H8+M8</f>
        <v>1562537200</v>
      </c>
    </row>
    <row r="9" spans="1:19" s="28" customFormat="1" ht="25.5" customHeight="1">
      <c r="A9" s="156">
        <f>IF(B9&gt;0,A8+1,"")</f>
        <v>3</v>
      </c>
      <c r="B9" s="157" t="str">
        <f>'OTHER COST'!C$1</f>
        <v>OTHER COST</v>
      </c>
      <c r="C9" s="161" t="s">
        <v>146</v>
      </c>
      <c r="D9" s="254">
        <f>'OTHER COST'!H42</f>
        <v>102800000</v>
      </c>
      <c r="E9" s="255">
        <f>'OTHER COST'!H43</f>
        <v>0</v>
      </c>
      <c r="F9" s="255">
        <f>'OTHER COST'!H44+'OTHER COST'!H45+'OTHER COST'!H46+'OTHER COST'!H50</f>
        <v>0</v>
      </c>
      <c r="G9" s="255">
        <f>'OTHER COST'!H47+'OTHER COST'!H48</f>
        <v>5000000</v>
      </c>
      <c r="H9" s="255">
        <f>'OTHER COST'!H49</f>
        <v>5000000</v>
      </c>
      <c r="I9" s="256">
        <f>IF($B9&gt;0,'원가항목별(집계)'!I$37*$P9/$P$17,0)</f>
        <v>2106244.7917389111</v>
      </c>
      <c r="J9" s="233">
        <f t="shared" ref="J9:J17" si="2">SUM(D9:I9)</f>
        <v>114906244.79173891</v>
      </c>
      <c r="K9" s="158">
        <f>IF(B9&gt;0,'원가항목별(집계)'!I$33*P9/P$17,0)</f>
        <v>26906920.958202671</v>
      </c>
      <c r="L9" s="158">
        <f>IF($B9&gt;0,'원가항목별(집계)'!I$38*$P9/$P$17,0)</f>
        <v>155139.97351722608</v>
      </c>
      <c r="M9" s="159">
        <f>'OTHER COST'!H53+'OTHER COST'!H54</f>
        <v>16920000</v>
      </c>
      <c r="N9" s="160">
        <f t="shared" si="0"/>
        <v>158888305.72345883</v>
      </c>
      <c r="O9" s="100"/>
      <c r="P9" s="28">
        <f t="shared" si="1"/>
        <v>129720000</v>
      </c>
    </row>
    <row r="10" spans="1:19" s="28" customFormat="1" ht="25.5" customHeight="1">
      <c r="A10" s="156" t="str">
        <f>IF(B10&gt;0,A9+1,"")</f>
        <v/>
      </c>
      <c r="B10" s="157">
        <f>단위장비4!C$1</f>
        <v>0</v>
      </c>
      <c r="C10" s="161" t="s">
        <v>146</v>
      </c>
      <c r="D10" s="254">
        <f>단위장비4!H54</f>
        <v>0</v>
      </c>
      <c r="E10" s="255">
        <f>단위장비4!H55</f>
        <v>0</v>
      </c>
      <c r="F10" s="255">
        <f>단위장비4!H56+단위장비4!H57+단위장비4!H58+단위장비4!H62</f>
        <v>0</v>
      </c>
      <c r="G10" s="255">
        <f>단위장비4!H59+단위장비4!H60</f>
        <v>0</v>
      </c>
      <c r="H10" s="255">
        <f>단위장비4!H61</f>
        <v>0</v>
      </c>
      <c r="I10" s="256">
        <f>IF($B10&gt;0,'원가항목별(집계)'!I$37*$P10/$P$17,0)</f>
        <v>0</v>
      </c>
      <c r="J10" s="233">
        <f t="shared" si="2"/>
        <v>0</v>
      </c>
      <c r="K10" s="158">
        <f>IF(B10&gt;0,'원가항목별(집계)'!I$33*P10/P$17,0)</f>
        <v>0</v>
      </c>
      <c r="L10" s="158">
        <f>IF($B10&gt;0,'원가항목별(집계)'!I$38*$P10/$P$17,0)</f>
        <v>0</v>
      </c>
      <c r="M10" s="159">
        <f>단위장비4!H65+단위장비4!H66</f>
        <v>0</v>
      </c>
      <c r="N10" s="160">
        <f t="shared" si="0"/>
        <v>0</v>
      </c>
      <c r="O10" s="100"/>
      <c r="P10" s="28">
        <f t="shared" si="1"/>
        <v>0</v>
      </c>
      <c r="S10" s="28" t="s">
        <v>238</v>
      </c>
    </row>
    <row r="11" spans="1:19" s="28" customFormat="1" ht="25.5" customHeight="1">
      <c r="A11" s="156" t="str">
        <f>IF(B11&gt;0,A10+1,"")</f>
        <v/>
      </c>
      <c r="B11" s="157">
        <f>단위장비5!C$1</f>
        <v>0</v>
      </c>
      <c r="C11" s="161" t="s">
        <v>146</v>
      </c>
      <c r="D11" s="254">
        <f>단위장비5!H56</f>
        <v>0</v>
      </c>
      <c r="E11" s="255">
        <f>단위장비5!H57</f>
        <v>0</v>
      </c>
      <c r="F11" s="255">
        <f>단위장비5!H58+단위장비5!H59+단위장비5!H60+단위장비5!H64</f>
        <v>0</v>
      </c>
      <c r="G11" s="255">
        <f>단위장비5!H61+단위장비5!H62</f>
        <v>0</v>
      </c>
      <c r="H11" s="255">
        <f>단위장비5!H63</f>
        <v>0</v>
      </c>
      <c r="I11" s="256">
        <f>IF($B11&gt;0,'원가항목별(집계)'!I$37*$P11/$P$17,0)</f>
        <v>0</v>
      </c>
      <c r="J11" s="233">
        <f t="shared" si="2"/>
        <v>0</v>
      </c>
      <c r="K11" s="158">
        <f>IF(B11&gt;0,'원가항목별(집계)'!I$33*P11/P$17,0)</f>
        <v>0</v>
      </c>
      <c r="L11" s="158">
        <f>IF($B11&gt;0,'원가항목별(집계)'!I$38*$P11/$P$17,0)</f>
        <v>0</v>
      </c>
      <c r="M11" s="159">
        <f>단위장비5!H67+단위장비5!H68</f>
        <v>0</v>
      </c>
      <c r="N11" s="160">
        <f t="shared" si="0"/>
        <v>0</v>
      </c>
      <c r="O11" s="100"/>
      <c r="P11" s="28">
        <f t="shared" si="1"/>
        <v>0</v>
      </c>
    </row>
    <row r="12" spans="1:19" s="28" customFormat="1" ht="25.5" customHeight="1">
      <c r="A12" s="156" t="str">
        <f>IF(B12&gt;0,A11+1,"")</f>
        <v/>
      </c>
      <c r="B12" s="157">
        <f>단위장비6!C$1</f>
        <v>0</v>
      </c>
      <c r="C12" s="161" t="s">
        <v>146</v>
      </c>
      <c r="D12" s="254">
        <f>단위장비6!H56</f>
        <v>0</v>
      </c>
      <c r="E12" s="255">
        <f>단위장비6!H57</f>
        <v>0</v>
      </c>
      <c r="F12" s="255">
        <f>단위장비6!H58+단위장비6!H59+단위장비6!H60+단위장비6!H64</f>
        <v>0</v>
      </c>
      <c r="G12" s="255">
        <f>단위장비6!H61+단위장비6!H62</f>
        <v>0</v>
      </c>
      <c r="H12" s="255">
        <f>단위장비6!H63</f>
        <v>0</v>
      </c>
      <c r="I12" s="256">
        <f>IF($B12&gt;0,'원가항목별(집계)'!I$37*$P12/$P$17,0)</f>
        <v>0</v>
      </c>
      <c r="J12" s="233">
        <f t="shared" si="2"/>
        <v>0</v>
      </c>
      <c r="K12" s="158">
        <f>IF(B12&gt;0,'원가항목별(집계)'!I$33*P12/P$17,0)</f>
        <v>0</v>
      </c>
      <c r="L12" s="158">
        <f>IF($B12&gt;0,'원가항목별(집계)'!I$38*$P12/$P$17,0)</f>
        <v>0</v>
      </c>
      <c r="M12" s="159">
        <f>단위장비6!H67+단위장비6!H68</f>
        <v>0</v>
      </c>
      <c r="N12" s="160">
        <f t="shared" si="0"/>
        <v>0</v>
      </c>
      <c r="O12" s="100"/>
      <c r="P12" s="28">
        <f t="shared" si="1"/>
        <v>0</v>
      </c>
    </row>
    <row r="13" spans="1:19" s="28" customFormat="1" ht="25.5" customHeight="1">
      <c r="A13" s="156" t="str">
        <f>IF(B13&gt;0,A8+1,"")</f>
        <v/>
      </c>
      <c r="B13" s="157">
        <f>단위장비7!C$1</f>
        <v>0</v>
      </c>
      <c r="C13" s="161" t="s">
        <v>146</v>
      </c>
      <c r="D13" s="254">
        <f>단위장비7!H56</f>
        <v>0</v>
      </c>
      <c r="E13" s="255">
        <f>단위장비7!H57</f>
        <v>0</v>
      </c>
      <c r="F13" s="255">
        <f>단위장비7!H58+단위장비7!H59+단위장비7!H60+단위장비7!H64</f>
        <v>0</v>
      </c>
      <c r="G13" s="255">
        <f>단위장비7!H61+단위장비7!H62</f>
        <v>0</v>
      </c>
      <c r="H13" s="255">
        <f>단위장비7!H63</f>
        <v>0</v>
      </c>
      <c r="I13" s="256">
        <f>IF($B13&gt;0,'원가항목별(집계)'!I$37*$P13/$P$17,0)</f>
        <v>0</v>
      </c>
      <c r="J13" s="233">
        <f t="shared" si="2"/>
        <v>0</v>
      </c>
      <c r="K13" s="158">
        <f>IF(B13&gt;0,'원가항목별(집계)'!I$33*P13/P$17,0)</f>
        <v>0</v>
      </c>
      <c r="L13" s="158">
        <f>IF($B13&gt;0,'원가항목별(집계)'!I$38*$P13/$P$17,0)</f>
        <v>0</v>
      </c>
      <c r="M13" s="159">
        <f>단위장비7!H67+단위장비7!H68</f>
        <v>0</v>
      </c>
      <c r="N13" s="160">
        <f t="shared" si="0"/>
        <v>0</v>
      </c>
      <c r="O13" s="100"/>
      <c r="P13" s="28">
        <f t="shared" si="1"/>
        <v>0</v>
      </c>
    </row>
    <row r="14" spans="1:19" s="28" customFormat="1" ht="25.5" customHeight="1">
      <c r="A14" s="156" t="str">
        <f>IF(B14&gt;0,A13+1,"")</f>
        <v/>
      </c>
      <c r="B14" s="157">
        <f>단위장비8!C$1</f>
        <v>0</v>
      </c>
      <c r="C14" s="161" t="s">
        <v>146</v>
      </c>
      <c r="D14" s="254">
        <f>단위장비8!H56</f>
        <v>0</v>
      </c>
      <c r="E14" s="255">
        <f>단위장비8!H57</f>
        <v>0</v>
      </c>
      <c r="F14" s="255">
        <f>단위장비8!H58+단위장비8!H59+단위장비8!H60+단위장비8!H64</f>
        <v>0</v>
      </c>
      <c r="G14" s="255">
        <f>단위장비8!H61+단위장비8!H62</f>
        <v>0</v>
      </c>
      <c r="H14" s="255">
        <f>단위장비8!H63</f>
        <v>0</v>
      </c>
      <c r="I14" s="256">
        <f>IF($B14&gt;0,'원가항목별(집계)'!I$37*$P14/$P$17,0)</f>
        <v>0</v>
      </c>
      <c r="J14" s="233">
        <f t="shared" si="2"/>
        <v>0</v>
      </c>
      <c r="K14" s="158">
        <f>IF(B14&gt;0,'원가항목별(집계)'!I$33*P14/P$17,0)</f>
        <v>0</v>
      </c>
      <c r="L14" s="158">
        <f>IF($B14&gt;0,'원가항목별(집계)'!I$38*$P14/$P$17,0)</f>
        <v>0</v>
      </c>
      <c r="M14" s="159">
        <f>단위장비8!H67+단위장비8!H68</f>
        <v>0</v>
      </c>
      <c r="N14" s="160">
        <f t="shared" si="0"/>
        <v>0</v>
      </c>
      <c r="O14" s="100"/>
      <c r="P14" s="28">
        <f t="shared" si="1"/>
        <v>0</v>
      </c>
    </row>
    <row r="15" spans="1:19" s="63" customFormat="1" ht="25.5" customHeight="1">
      <c r="A15" s="161" t="str">
        <f>IF(B15&gt;0,A14+1,"")</f>
        <v/>
      </c>
      <c r="B15" s="157">
        <f>단위장비9!C$1</f>
        <v>0</v>
      </c>
      <c r="C15" s="161" t="s">
        <v>146</v>
      </c>
      <c r="D15" s="254">
        <f>단위장비9!H57</f>
        <v>0</v>
      </c>
      <c r="E15" s="255">
        <f>단위장비9!H58</f>
        <v>0</v>
      </c>
      <c r="F15" s="255">
        <f>단위장비9!H59+단위장비9!H60+단위장비9!H61+단위장비9!H65</f>
        <v>0</v>
      </c>
      <c r="G15" s="255">
        <f>단위장비9!H62+단위장비9!H63</f>
        <v>0</v>
      </c>
      <c r="H15" s="255">
        <f>단위장비9!H64</f>
        <v>0</v>
      </c>
      <c r="I15" s="256">
        <f>IF($B15&gt;0,'원가항목별(집계)'!I$37*$P15/$P$17,0)</f>
        <v>0</v>
      </c>
      <c r="J15" s="233">
        <f t="shared" si="2"/>
        <v>0</v>
      </c>
      <c r="K15" s="158">
        <f>IF(B15&gt;0,'원가항목별(집계)'!I$33*P15/P$17,0)</f>
        <v>0</v>
      </c>
      <c r="L15" s="158">
        <f>IF($B15&gt;0,'원가항목별(집계)'!I$38*$P15/$P$17,0)</f>
        <v>0</v>
      </c>
      <c r="M15" s="159">
        <f>단위장비9!H68+단위장비9!H69</f>
        <v>0</v>
      </c>
      <c r="N15" s="162">
        <f t="shared" si="0"/>
        <v>0</v>
      </c>
      <c r="O15" s="163"/>
      <c r="P15" s="63">
        <f t="shared" si="1"/>
        <v>0</v>
      </c>
    </row>
    <row r="16" spans="1:19" s="63" customFormat="1" ht="25.5" customHeight="1">
      <c r="A16" s="164" t="str">
        <f>IF(B16&gt;0,A15+1,"")</f>
        <v/>
      </c>
      <c r="B16" s="165">
        <f>단위장비10!C$1</f>
        <v>0</v>
      </c>
      <c r="C16" s="164" t="s">
        <v>146</v>
      </c>
      <c r="D16" s="257">
        <f>단위장비10!H58</f>
        <v>0</v>
      </c>
      <c r="E16" s="258">
        <f>단위장비10!H59</f>
        <v>0</v>
      </c>
      <c r="F16" s="258">
        <f>단위장비10!H60+단위장비10!H61+단위장비10!H62+단위장비10!H66</f>
        <v>0</v>
      </c>
      <c r="G16" s="258">
        <f>단위장비10!H63+단위장비10!H64</f>
        <v>0</v>
      </c>
      <c r="H16" s="258">
        <f>단위장비10!H65</f>
        <v>0</v>
      </c>
      <c r="I16" s="259">
        <f>IF($B16&gt;0,'원가항목별(집계)'!I$37*$P16/$P$17,0)</f>
        <v>0</v>
      </c>
      <c r="J16" s="234">
        <f t="shared" si="2"/>
        <v>0</v>
      </c>
      <c r="K16" s="166">
        <f>IF(B16&gt;0,'원가항목별(집계)'!I$33*P16/P$17,0)</f>
        <v>0</v>
      </c>
      <c r="L16" s="166">
        <f>IF($B16&gt;0,'원가항목별(집계)'!I$38*$P16/$P$17,0)</f>
        <v>0</v>
      </c>
      <c r="M16" s="167">
        <f>단위장비10!H69+단위장비10!H70</f>
        <v>0</v>
      </c>
      <c r="N16" s="168">
        <f t="shared" si="0"/>
        <v>0</v>
      </c>
      <c r="O16" s="169"/>
      <c r="P16" s="63">
        <f t="shared" si="1"/>
        <v>0</v>
      </c>
    </row>
    <row r="17" spans="1:16" s="28" customFormat="1" ht="33" customHeight="1">
      <c r="A17" s="507" t="s">
        <v>150</v>
      </c>
      <c r="B17" s="508"/>
      <c r="C17" s="509"/>
      <c r="D17" s="260">
        <f t="shared" ref="D17:M17" si="3">SUM(D7:D16)</f>
        <v>1660226000</v>
      </c>
      <c r="E17" s="261">
        <f t="shared" si="3"/>
        <v>0</v>
      </c>
      <c r="F17" s="261">
        <f t="shared" si="3"/>
        <v>129700000</v>
      </c>
      <c r="G17" s="261">
        <f t="shared" si="3"/>
        <v>32000000</v>
      </c>
      <c r="H17" s="261">
        <f t="shared" si="3"/>
        <v>52500000</v>
      </c>
      <c r="I17" s="262">
        <f t="shared" si="3"/>
        <v>35000000</v>
      </c>
      <c r="J17" s="267">
        <f t="shared" si="2"/>
        <v>1909426000</v>
      </c>
      <c r="K17" s="268">
        <f>SUM(K7:K16)</f>
        <v>447119080</v>
      </c>
      <c r="L17" s="269">
        <f t="shared" si="3"/>
        <v>2578000</v>
      </c>
      <c r="M17" s="270">
        <f t="shared" si="3"/>
        <v>281163900</v>
      </c>
      <c r="N17" s="271">
        <f>SUM(N7:N14)</f>
        <v>2640286980.0000005</v>
      </c>
      <c r="O17" s="58"/>
      <c r="P17" s="28">
        <f>SUM(P7:P16)</f>
        <v>2155589900</v>
      </c>
    </row>
    <row r="18" spans="1:16" s="244" customFormat="1" ht="18.75" customHeight="1">
      <c r="A18" s="235"/>
      <c r="B18" s="236"/>
      <c r="C18" s="237"/>
      <c r="D18" s="263">
        <f t="shared" ref="D18:N18" si="4">IF(D17=0,"",D17/$N17)</f>
        <v>0.62880513087255374</v>
      </c>
      <c r="E18" s="264" t="str">
        <f t="shared" si="4"/>
        <v/>
      </c>
      <c r="F18" s="264">
        <f t="shared" si="4"/>
        <v>4.9123447936708753E-2</v>
      </c>
      <c r="G18" s="264">
        <f t="shared" si="4"/>
        <v>1.211989463357502E-2</v>
      </c>
      <c r="H18" s="264">
        <f t="shared" si="4"/>
        <v>1.9884202133209017E-2</v>
      </c>
      <c r="I18" s="265">
        <f t="shared" si="4"/>
        <v>1.3256134755472677E-2</v>
      </c>
      <c r="J18" s="239">
        <f t="shared" si="4"/>
        <v>0.72318881033151916</v>
      </c>
      <c r="K18" s="240">
        <f t="shared" si="4"/>
        <v>0.16934487932065626</v>
      </c>
      <c r="L18" s="238">
        <f t="shared" si="4"/>
        <v>9.7640901141738746E-4</v>
      </c>
      <c r="M18" s="241">
        <f t="shared" si="4"/>
        <v>0.10648990133640698</v>
      </c>
      <c r="N18" s="242">
        <f t="shared" si="4"/>
        <v>1</v>
      </c>
      <c r="O18" s="243"/>
    </row>
    <row r="19" spans="1:16" ht="28.5" customHeight="1">
      <c r="A19" s="25" t="s">
        <v>102</v>
      </c>
      <c r="H19" s="134"/>
      <c r="I19" s="134"/>
      <c r="J19" s="134"/>
      <c r="K19" s="134"/>
      <c r="L19" s="134"/>
    </row>
    <row r="20" spans="1:16" ht="17.25" customHeight="1">
      <c r="H20" s="131"/>
      <c r="I20" s="131"/>
      <c r="J20" s="131"/>
      <c r="K20" s="131"/>
      <c r="L20" s="131"/>
      <c r="M20" s="125"/>
      <c r="N20" s="145" t="str">
        <f>IF('원가항목별(집계)'!I41='단위공사별(집계)'!N17,"","DATA오류입니다!")</f>
        <v>DATA오류입니다!</v>
      </c>
    </row>
    <row r="21" spans="1:16" ht="17.25" customHeight="1">
      <c r="H21" s="132"/>
      <c r="I21" s="132"/>
      <c r="J21" s="132"/>
      <c r="K21" s="132"/>
      <c r="L21" s="132"/>
      <c r="N21" s="132"/>
    </row>
    <row r="22" spans="1:16" ht="17.25" customHeight="1">
      <c r="H22" s="28"/>
      <c r="I22" s="28"/>
      <c r="J22" s="28"/>
      <c r="L22" s="28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50"/>
    <pageSetUpPr fitToPage="1"/>
  </sheetPr>
  <dimension ref="A1:M320"/>
  <sheetViews>
    <sheetView zoomScale="85" workbookViewId="0">
      <pane xSplit="3" ySplit="2" topLeftCell="D285" activePane="bottomRight" state="frozen"/>
      <selection activeCell="G46" sqref="G46"/>
      <selection pane="topRight" activeCell="G46" sqref="G46"/>
      <selection pane="bottomLeft" activeCell="G46" sqref="G46"/>
      <selection pane="bottomRight" activeCell="O95" sqref="O95"/>
    </sheetView>
  </sheetViews>
  <sheetFormatPr defaultRowHeight="13.5"/>
  <cols>
    <col min="1" max="1" width="5" style="25" customWidth="1"/>
    <col min="2" max="2" width="13" style="25" customWidth="1"/>
    <col min="3" max="3" width="23.625" style="25" customWidth="1"/>
    <col min="4" max="4" width="18.25" style="25" customWidth="1"/>
    <col min="5" max="5" width="5.25" style="25" bestFit="1" customWidth="1"/>
    <col min="6" max="6" width="6.75" style="28" customWidth="1"/>
    <col min="7" max="7" width="11.875" style="28" customWidth="1"/>
    <col min="8" max="8" width="13.625" style="28" customWidth="1"/>
    <col min="9" max="9" width="12.75" style="25" customWidth="1"/>
    <col min="10" max="10" width="9.25" style="25" customWidth="1"/>
    <col min="11" max="11" width="11.5" style="25" bestFit="1" customWidth="1"/>
    <col min="12" max="16384" width="9" style="25"/>
  </cols>
  <sheetData>
    <row r="1" spans="1:9" ht="22.5" customHeight="1">
      <c r="B1" s="98" t="s">
        <v>84</v>
      </c>
      <c r="C1" s="144" t="s">
        <v>78</v>
      </c>
      <c r="D1" s="61"/>
      <c r="E1" s="61"/>
      <c r="F1" s="62"/>
      <c r="G1" s="63"/>
      <c r="I1" s="25" t="s">
        <v>85</v>
      </c>
    </row>
    <row r="2" spans="1:9" s="26" customFormat="1" ht="16.5" customHeight="1">
      <c r="A2" s="438" t="s">
        <v>31</v>
      </c>
      <c r="B2" s="513"/>
      <c r="C2" s="121" t="s">
        <v>44</v>
      </c>
      <c r="D2" s="122" t="s">
        <v>32</v>
      </c>
      <c r="E2" s="122" t="s">
        <v>33</v>
      </c>
      <c r="F2" s="50" t="s">
        <v>34</v>
      </c>
      <c r="G2" s="50" t="s">
        <v>35</v>
      </c>
      <c r="H2" s="50" t="s">
        <v>36</v>
      </c>
      <c r="I2" s="122" t="s">
        <v>46</v>
      </c>
    </row>
    <row r="3" spans="1:9" ht="15.95" customHeight="1">
      <c r="A3" s="516" t="s">
        <v>77</v>
      </c>
      <c r="B3" s="99" t="s">
        <v>37</v>
      </c>
      <c r="C3" s="363" t="s">
        <v>248</v>
      </c>
      <c r="D3" s="380" t="s">
        <v>249</v>
      </c>
      <c r="E3" s="353" t="s">
        <v>184</v>
      </c>
      <c r="F3" s="353">
        <v>5</v>
      </c>
      <c r="G3" s="352">
        <v>800000</v>
      </c>
      <c r="H3" s="119">
        <f t="shared" ref="H3:H27" si="0">IF(F3=0,G3,G3*F3)</f>
        <v>4000000</v>
      </c>
      <c r="I3" s="120"/>
    </row>
    <row r="4" spans="1:9" ht="15.95" customHeight="1">
      <c r="A4" s="517"/>
      <c r="B4" s="99"/>
      <c r="C4" s="363" t="s">
        <v>252</v>
      </c>
      <c r="D4" s="361" t="s">
        <v>253</v>
      </c>
      <c r="E4" s="326" t="s">
        <v>184</v>
      </c>
      <c r="F4" s="343">
        <v>5</v>
      </c>
      <c r="G4" s="67">
        <v>200000</v>
      </c>
      <c r="H4" s="100">
        <f t="shared" si="0"/>
        <v>1000000</v>
      </c>
      <c r="I4" s="68"/>
    </row>
    <row r="5" spans="1:9" ht="15.95" customHeight="1">
      <c r="A5" s="517"/>
      <c r="B5" s="99"/>
      <c r="C5" s="66" t="s">
        <v>264</v>
      </c>
      <c r="D5" s="66" t="s">
        <v>254</v>
      </c>
      <c r="E5" s="326" t="s">
        <v>184</v>
      </c>
      <c r="F5" s="67">
        <v>6</v>
      </c>
      <c r="G5" s="67">
        <v>280000</v>
      </c>
      <c r="H5" s="100">
        <f t="shared" si="0"/>
        <v>1680000</v>
      </c>
      <c r="I5" s="68"/>
    </row>
    <row r="6" spans="1:9" ht="15.95" customHeight="1">
      <c r="A6" s="517"/>
      <c r="B6" s="99"/>
      <c r="C6" s="66" t="s">
        <v>266</v>
      </c>
      <c r="D6" s="66" t="s">
        <v>234</v>
      </c>
      <c r="E6" s="66" t="s">
        <v>209</v>
      </c>
      <c r="F6" s="67">
        <v>1</v>
      </c>
      <c r="G6" s="67">
        <v>100000</v>
      </c>
      <c r="H6" s="100">
        <f t="shared" si="0"/>
        <v>100000</v>
      </c>
      <c r="I6" s="68"/>
    </row>
    <row r="7" spans="1:9" ht="15.95" customHeight="1">
      <c r="A7" s="517"/>
      <c r="B7" s="99"/>
      <c r="C7" s="66" t="s">
        <v>266</v>
      </c>
      <c r="D7" s="66" t="s">
        <v>270</v>
      </c>
      <c r="E7" s="66" t="s">
        <v>209</v>
      </c>
      <c r="F7" s="67">
        <v>1</v>
      </c>
      <c r="G7" s="67">
        <v>400000</v>
      </c>
      <c r="H7" s="100">
        <f t="shared" si="0"/>
        <v>400000</v>
      </c>
      <c r="I7" s="68"/>
    </row>
    <row r="8" spans="1:9" ht="15.95" customHeight="1">
      <c r="A8" s="517"/>
      <c r="B8" s="99"/>
      <c r="C8" s="66" t="s">
        <v>255</v>
      </c>
      <c r="D8" s="66" t="s">
        <v>249</v>
      </c>
      <c r="E8" s="66" t="s">
        <v>256</v>
      </c>
      <c r="F8" s="67">
        <v>2</v>
      </c>
      <c r="G8" s="67">
        <v>800000</v>
      </c>
      <c r="H8" s="100">
        <f t="shared" si="0"/>
        <v>1600000</v>
      </c>
      <c r="I8" s="68"/>
    </row>
    <row r="9" spans="1:9" ht="15.95" customHeight="1">
      <c r="A9" s="517"/>
      <c r="B9" s="99"/>
      <c r="C9" s="66" t="s">
        <v>257</v>
      </c>
      <c r="D9" s="66" t="s">
        <v>253</v>
      </c>
      <c r="E9" s="66" t="s">
        <v>256</v>
      </c>
      <c r="F9" s="67">
        <v>2</v>
      </c>
      <c r="G9" s="67">
        <v>200000</v>
      </c>
      <c r="H9" s="100">
        <f t="shared" si="0"/>
        <v>400000</v>
      </c>
      <c r="I9" s="68"/>
    </row>
    <row r="10" spans="1:9" ht="15.95" customHeight="1">
      <c r="A10" s="517"/>
      <c r="B10" s="99"/>
      <c r="C10" s="66" t="s">
        <v>264</v>
      </c>
      <c r="D10" s="66" t="s">
        <v>254</v>
      </c>
      <c r="E10" s="66" t="s">
        <v>256</v>
      </c>
      <c r="F10" s="67">
        <v>2</v>
      </c>
      <c r="G10" s="67">
        <v>280000</v>
      </c>
      <c r="H10" s="100">
        <f t="shared" si="0"/>
        <v>560000</v>
      </c>
      <c r="I10" s="68"/>
    </row>
    <row r="11" spans="1:9" ht="15.95" customHeight="1">
      <c r="A11" s="517"/>
      <c r="B11" s="99"/>
      <c r="C11" s="276" t="s">
        <v>265</v>
      </c>
      <c r="D11" s="276" t="s">
        <v>234</v>
      </c>
      <c r="E11" s="276" t="s">
        <v>209</v>
      </c>
      <c r="F11" s="277">
        <v>1</v>
      </c>
      <c r="G11" s="277">
        <v>100000</v>
      </c>
      <c r="H11" s="100">
        <f t="shared" si="0"/>
        <v>100000</v>
      </c>
      <c r="I11" s="279"/>
    </row>
    <row r="12" spans="1:9" ht="15.95" customHeight="1">
      <c r="A12" s="517"/>
      <c r="B12" s="99"/>
      <c r="C12" s="276" t="s">
        <v>265</v>
      </c>
      <c r="D12" s="276" t="s">
        <v>269</v>
      </c>
      <c r="E12" s="276" t="s">
        <v>209</v>
      </c>
      <c r="F12" s="277">
        <v>1</v>
      </c>
      <c r="G12" s="277">
        <v>400000</v>
      </c>
      <c r="H12" s="100">
        <f t="shared" si="0"/>
        <v>400000</v>
      </c>
      <c r="I12" s="279"/>
    </row>
    <row r="13" spans="1:9" ht="15.95" customHeight="1">
      <c r="A13" s="517"/>
      <c r="B13" s="99"/>
      <c r="C13" s="276" t="s">
        <v>262</v>
      </c>
      <c r="D13" s="276" t="s">
        <v>249</v>
      </c>
      <c r="E13" s="276" t="s">
        <v>256</v>
      </c>
      <c r="F13" s="277">
        <v>4</v>
      </c>
      <c r="G13" s="277">
        <v>800000</v>
      </c>
      <c r="H13" s="100">
        <f t="shared" si="0"/>
        <v>3200000</v>
      </c>
      <c r="I13" s="279"/>
    </row>
    <row r="14" spans="1:9" ht="15.95" customHeight="1">
      <c r="A14" s="517"/>
      <c r="B14" s="99"/>
      <c r="C14" s="276" t="s">
        <v>263</v>
      </c>
      <c r="D14" s="276" t="s">
        <v>253</v>
      </c>
      <c r="E14" s="276" t="s">
        <v>256</v>
      </c>
      <c r="F14" s="277">
        <v>4</v>
      </c>
      <c r="G14" s="277">
        <v>200000</v>
      </c>
      <c r="H14" s="100">
        <f t="shared" si="0"/>
        <v>800000</v>
      </c>
      <c r="I14" s="279"/>
    </row>
    <row r="15" spans="1:9" ht="15.95" customHeight="1">
      <c r="A15" s="517"/>
      <c r="B15" s="99"/>
      <c r="C15" s="276" t="s">
        <v>264</v>
      </c>
      <c r="D15" s="276" t="s">
        <v>254</v>
      </c>
      <c r="E15" s="276" t="s">
        <v>256</v>
      </c>
      <c r="F15" s="277">
        <v>4</v>
      </c>
      <c r="G15" s="277">
        <v>280000</v>
      </c>
      <c r="H15" s="100">
        <f t="shared" si="0"/>
        <v>1120000</v>
      </c>
      <c r="I15" s="279"/>
    </row>
    <row r="16" spans="1:9" ht="15.95" customHeight="1">
      <c r="A16" s="517"/>
      <c r="B16" s="99"/>
      <c r="C16" s="276" t="s">
        <v>266</v>
      </c>
      <c r="D16" s="276" t="s">
        <v>259</v>
      </c>
      <c r="E16" s="276" t="s">
        <v>260</v>
      </c>
      <c r="F16" s="277">
        <v>1</v>
      </c>
      <c r="G16" s="277">
        <v>100000</v>
      </c>
      <c r="H16" s="100">
        <f t="shared" si="0"/>
        <v>100000</v>
      </c>
      <c r="I16" s="279"/>
    </row>
    <row r="17" spans="1:9" ht="15.95" customHeight="1">
      <c r="A17" s="517"/>
      <c r="B17" s="99"/>
      <c r="C17" s="276" t="s">
        <v>266</v>
      </c>
      <c r="D17" s="276" t="s">
        <v>259</v>
      </c>
      <c r="E17" s="276" t="s">
        <v>260</v>
      </c>
      <c r="F17" s="277">
        <v>1</v>
      </c>
      <c r="G17" s="277">
        <v>250000</v>
      </c>
      <c r="H17" s="100">
        <f t="shared" si="0"/>
        <v>250000</v>
      </c>
      <c r="I17" s="279"/>
    </row>
    <row r="18" spans="1:9" ht="15.95" customHeight="1">
      <c r="A18" s="517"/>
      <c r="B18" s="99"/>
      <c r="C18" s="276" t="s">
        <v>267</v>
      </c>
      <c r="D18" s="276" t="s">
        <v>249</v>
      </c>
      <c r="E18" s="276" t="s">
        <v>256</v>
      </c>
      <c r="F18" s="277">
        <v>4</v>
      </c>
      <c r="G18" s="277">
        <v>800000</v>
      </c>
      <c r="H18" s="100">
        <f t="shared" si="0"/>
        <v>3200000</v>
      </c>
      <c r="I18" s="279"/>
    </row>
    <row r="19" spans="1:9" ht="15.95" customHeight="1">
      <c r="A19" s="517"/>
      <c r="B19" s="99"/>
      <c r="C19" s="276" t="s">
        <v>268</v>
      </c>
      <c r="D19" s="276" t="s">
        <v>253</v>
      </c>
      <c r="E19" s="276" t="s">
        <v>256</v>
      </c>
      <c r="F19" s="277">
        <v>4</v>
      </c>
      <c r="G19" s="277">
        <v>200000</v>
      </c>
      <c r="H19" s="100">
        <f t="shared" si="0"/>
        <v>800000</v>
      </c>
      <c r="I19" s="279"/>
    </row>
    <row r="20" spans="1:9" ht="15.95" customHeight="1">
      <c r="A20" s="517"/>
      <c r="B20" s="99"/>
      <c r="C20" s="276" t="s">
        <v>264</v>
      </c>
      <c r="D20" s="276" t="s">
        <v>254</v>
      </c>
      <c r="E20" s="276" t="s">
        <v>256</v>
      </c>
      <c r="F20" s="277">
        <v>3</v>
      </c>
      <c r="G20" s="277">
        <v>280000</v>
      </c>
      <c r="H20" s="100">
        <f t="shared" si="0"/>
        <v>840000</v>
      </c>
      <c r="I20" s="279"/>
    </row>
    <row r="21" spans="1:9" ht="15.95" customHeight="1">
      <c r="A21" s="517"/>
      <c r="B21" s="99"/>
      <c r="C21" s="276" t="s">
        <v>265</v>
      </c>
      <c r="D21" s="276" t="s">
        <v>234</v>
      </c>
      <c r="E21" s="276" t="s">
        <v>209</v>
      </c>
      <c r="F21" s="277">
        <v>1</v>
      </c>
      <c r="G21" s="277">
        <v>100000</v>
      </c>
      <c r="H21" s="100">
        <f t="shared" si="0"/>
        <v>100000</v>
      </c>
      <c r="I21" s="279"/>
    </row>
    <row r="22" spans="1:9" ht="15.95" customHeight="1">
      <c r="A22" s="517"/>
      <c r="B22" s="99"/>
      <c r="C22" s="357" t="s">
        <v>265</v>
      </c>
      <c r="D22" s="357" t="s">
        <v>269</v>
      </c>
      <c r="E22" s="360" t="s">
        <v>209</v>
      </c>
      <c r="F22" s="358">
        <v>1</v>
      </c>
      <c r="G22" s="359">
        <v>300000</v>
      </c>
      <c r="H22" s="100">
        <f t="shared" si="0"/>
        <v>300000</v>
      </c>
      <c r="I22" s="279"/>
    </row>
    <row r="23" spans="1:9" ht="15.95" customHeight="1">
      <c r="A23" s="517"/>
      <c r="B23" s="99"/>
      <c r="C23" s="357" t="s">
        <v>367</v>
      </c>
      <c r="D23" s="357" t="s">
        <v>343</v>
      </c>
      <c r="E23" s="360" t="s">
        <v>184</v>
      </c>
      <c r="F23" s="358">
        <v>1</v>
      </c>
      <c r="G23" s="359">
        <v>2500000</v>
      </c>
      <c r="H23" s="100">
        <f t="shared" si="0"/>
        <v>2500000</v>
      </c>
      <c r="I23" s="279"/>
    </row>
    <row r="24" spans="1:9" ht="15.95" customHeight="1">
      <c r="A24" s="517"/>
      <c r="B24" s="99"/>
      <c r="C24" s="357" t="s">
        <v>365</v>
      </c>
      <c r="D24" s="357" t="s">
        <v>253</v>
      </c>
      <c r="E24" s="360" t="s">
        <v>186</v>
      </c>
      <c r="F24" s="358">
        <v>8</v>
      </c>
      <c r="G24" s="359">
        <v>200000</v>
      </c>
      <c r="H24" s="100">
        <f t="shared" si="0"/>
        <v>1600000</v>
      </c>
      <c r="I24" s="279"/>
    </row>
    <row r="25" spans="1:9" ht="15.95" customHeight="1">
      <c r="A25" s="517"/>
      <c r="B25" s="99"/>
      <c r="C25" s="357" t="s">
        <v>366</v>
      </c>
      <c r="D25" s="357" t="s">
        <v>254</v>
      </c>
      <c r="E25" s="360" t="s">
        <v>186</v>
      </c>
      <c r="F25" s="358">
        <v>6</v>
      </c>
      <c r="G25" s="359">
        <v>280000</v>
      </c>
      <c r="H25" s="100">
        <f t="shared" si="0"/>
        <v>1680000</v>
      </c>
      <c r="I25" s="279"/>
    </row>
    <row r="26" spans="1:9" ht="15.95" customHeight="1">
      <c r="A26" s="517"/>
      <c r="B26" s="99"/>
      <c r="C26" s="357" t="s">
        <v>368</v>
      </c>
      <c r="D26" s="357"/>
      <c r="E26" s="360" t="s">
        <v>209</v>
      </c>
      <c r="F26" s="358">
        <v>1</v>
      </c>
      <c r="G26" s="359">
        <v>200000</v>
      </c>
      <c r="H26" s="100">
        <f t="shared" si="0"/>
        <v>200000</v>
      </c>
      <c r="I26" s="279"/>
    </row>
    <row r="27" spans="1:9" ht="15.95" customHeight="1">
      <c r="A27" s="517"/>
      <c r="B27" s="99"/>
      <c r="C27" s="114" t="s">
        <v>369</v>
      </c>
      <c r="D27" s="114" t="s">
        <v>269</v>
      </c>
      <c r="E27" s="340" t="s">
        <v>209</v>
      </c>
      <c r="F27" s="344">
        <v>1</v>
      </c>
      <c r="G27" s="115">
        <v>1000000</v>
      </c>
      <c r="H27" s="100">
        <f t="shared" si="0"/>
        <v>1000000</v>
      </c>
      <c r="I27" s="69"/>
    </row>
    <row r="28" spans="1:9" ht="15.95" customHeight="1">
      <c r="A28" s="517"/>
      <c r="B28" s="70"/>
      <c r="C28" s="102"/>
      <c r="D28" s="92"/>
      <c r="E28" s="92"/>
      <c r="F28" s="37"/>
      <c r="G28" s="37"/>
      <c r="H28" s="27">
        <f>SUM(H3:H27)</f>
        <v>27930000</v>
      </c>
      <c r="I28" s="72"/>
    </row>
    <row r="29" spans="1:9" ht="15.95" customHeight="1">
      <c r="A29" s="517"/>
      <c r="B29" s="285" t="s">
        <v>156</v>
      </c>
      <c r="C29" s="112"/>
      <c r="D29" s="112"/>
      <c r="E29" s="112"/>
      <c r="F29" s="113"/>
      <c r="G29" s="113"/>
      <c r="H29" s="104">
        <f t="shared" ref="H29:H46" si="1">IF(F29=0,G29,G29*F29)</f>
        <v>0</v>
      </c>
      <c r="I29" s="73"/>
    </row>
    <row r="30" spans="1:9" ht="15.95" customHeight="1">
      <c r="A30" s="517"/>
      <c r="B30" s="286" t="s">
        <v>157</v>
      </c>
      <c r="C30" s="66"/>
      <c r="D30" s="66"/>
      <c r="E30" s="66"/>
      <c r="F30" s="67"/>
      <c r="G30" s="67"/>
      <c r="H30" s="100">
        <f t="shared" si="1"/>
        <v>0</v>
      </c>
      <c r="I30" s="68"/>
    </row>
    <row r="31" spans="1:9" ht="15.95" customHeight="1">
      <c r="A31" s="517"/>
      <c r="B31" s="286" t="s">
        <v>155</v>
      </c>
      <c r="C31" s="66"/>
      <c r="D31" s="66"/>
      <c r="E31" s="66"/>
      <c r="F31" s="67"/>
      <c r="G31" s="67"/>
      <c r="H31" s="100">
        <f t="shared" si="1"/>
        <v>0</v>
      </c>
      <c r="I31" s="68"/>
    </row>
    <row r="32" spans="1:9" ht="15.95" customHeight="1">
      <c r="A32" s="517"/>
      <c r="B32" s="99"/>
      <c r="C32" s="66"/>
      <c r="D32" s="66"/>
      <c r="E32" s="66"/>
      <c r="F32" s="67"/>
      <c r="G32" s="67"/>
      <c r="H32" s="100">
        <f t="shared" si="1"/>
        <v>0</v>
      </c>
      <c r="I32" s="68"/>
    </row>
    <row r="33" spans="1:9" ht="15.95" customHeight="1">
      <c r="A33" s="517"/>
      <c r="B33" s="99"/>
      <c r="C33" s="66"/>
      <c r="D33" s="66"/>
      <c r="E33" s="66"/>
      <c r="F33" s="67"/>
      <c r="G33" s="67"/>
      <c r="H33" s="100">
        <f t="shared" si="1"/>
        <v>0</v>
      </c>
      <c r="I33" s="68"/>
    </row>
    <row r="34" spans="1:9" ht="15.95" customHeight="1">
      <c r="A34" s="517"/>
      <c r="B34" s="99"/>
      <c r="C34" s="114"/>
      <c r="D34" s="276"/>
      <c r="E34" s="276"/>
      <c r="F34" s="277"/>
      <c r="G34" s="277"/>
      <c r="H34" s="278">
        <f t="shared" si="1"/>
        <v>0</v>
      </c>
      <c r="I34" s="279"/>
    </row>
    <row r="35" spans="1:9" ht="15.95" customHeight="1">
      <c r="A35" s="517"/>
      <c r="B35" s="99"/>
      <c r="C35" s="280"/>
      <c r="D35" s="281"/>
      <c r="E35" s="282"/>
      <c r="F35" s="283"/>
      <c r="G35" s="283"/>
      <c r="H35" s="284">
        <f>SUM(H29:H34)</f>
        <v>0</v>
      </c>
      <c r="I35" s="282"/>
    </row>
    <row r="36" spans="1:9" ht="15.95" customHeight="1">
      <c r="A36" s="517"/>
      <c r="B36" s="103" t="s">
        <v>40</v>
      </c>
      <c r="C36" s="363" t="s">
        <v>272</v>
      </c>
      <c r="D36" s="356" t="s">
        <v>273</v>
      </c>
      <c r="E36" s="353" t="s">
        <v>184</v>
      </c>
      <c r="F36" s="353">
        <v>5</v>
      </c>
      <c r="G36" s="354">
        <v>1650000</v>
      </c>
      <c r="H36" s="378">
        <f>IF(F36=0,G36,G36*F36)</f>
        <v>8250000</v>
      </c>
      <c r="I36" s="73" t="s">
        <v>245</v>
      </c>
    </row>
    <row r="37" spans="1:9" ht="15.95" customHeight="1">
      <c r="A37" s="517"/>
      <c r="B37" s="99" t="s">
        <v>271</v>
      </c>
      <c r="C37" s="363" t="s">
        <v>274</v>
      </c>
      <c r="D37" s="356" t="s">
        <v>275</v>
      </c>
      <c r="E37" s="353" t="s">
        <v>184</v>
      </c>
      <c r="F37" s="353">
        <v>5</v>
      </c>
      <c r="G37" s="354">
        <v>1840000</v>
      </c>
      <c r="H37" s="119">
        <f>IF(F37=0,G37,G37*F37)</f>
        <v>9200000</v>
      </c>
      <c r="I37" s="120" t="s">
        <v>245</v>
      </c>
    </row>
    <row r="38" spans="1:9" ht="15.95" customHeight="1">
      <c r="A38" s="517"/>
      <c r="B38" s="99"/>
      <c r="C38" s="355" t="s">
        <v>276</v>
      </c>
      <c r="D38" s="355" t="s">
        <v>277</v>
      </c>
      <c r="E38" s="351" t="s">
        <v>184</v>
      </c>
      <c r="F38" s="351">
        <v>5</v>
      </c>
      <c r="G38" s="352">
        <v>145000</v>
      </c>
      <c r="H38" s="100">
        <f t="shared" si="1"/>
        <v>725000</v>
      </c>
      <c r="I38" s="120" t="s">
        <v>244</v>
      </c>
    </row>
    <row r="39" spans="1:9" ht="15.95" customHeight="1">
      <c r="A39" s="517"/>
      <c r="B39" s="99"/>
      <c r="C39" s="363" t="s">
        <v>278</v>
      </c>
      <c r="D39" s="356" t="s">
        <v>279</v>
      </c>
      <c r="E39" s="343" t="s">
        <v>184</v>
      </c>
      <c r="F39" s="343">
        <v>5</v>
      </c>
      <c r="G39" s="67">
        <v>240000</v>
      </c>
      <c r="H39" s="100">
        <f t="shared" si="1"/>
        <v>1200000</v>
      </c>
      <c r="I39" s="120" t="s">
        <v>244</v>
      </c>
    </row>
    <row r="40" spans="1:9" ht="15.95" customHeight="1">
      <c r="A40" s="517"/>
      <c r="B40" s="99"/>
      <c r="C40" s="66" t="s">
        <v>280</v>
      </c>
      <c r="D40" s="361" t="s">
        <v>281</v>
      </c>
      <c r="E40" s="343" t="s">
        <v>184</v>
      </c>
      <c r="F40" s="343">
        <v>5</v>
      </c>
      <c r="G40" s="67">
        <v>221000</v>
      </c>
      <c r="H40" s="100">
        <f t="shared" si="1"/>
        <v>1105000</v>
      </c>
      <c r="I40" s="120" t="s">
        <v>244</v>
      </c>
    </row>
    <row r="41" spans="1:9" ht="15.95" customHeight="1">
      <c r="A41" s="517"/>
      <c r="B41" s="99"/>
      <c r="C41" s="66" t="s">
        <v>282</v>
      </c>
      <c r="D41" s="361" t="s">
        <v>283</v>
      </c>
      <c r="E41" s="343" t="s">
        <v>184</v>
      </c>
      <c r="F41" s="343">
        <v>10</v>
      </c>
      <c r="G41" s="67">
        <v>932000</v>
      </c>
      <c r="H41" s="100">
        <f>IF(F41=0,G41,G41*F41)</f>
        <v>9320000</v>
      </c>
      <c r="I41" s="120" t="s">
        <v>244</v>
      </c>
    </row>
    <row r="42" spans="1:9" ht="15.95" customHeight="1">
      <c r="A42" s="517"/>
      <c r="B42" s="99"/>
      <c r="C42" s="66" t="s">
        <v>284</v>
      </c>
      <c r="D42" s="361" t="s">
        <v>285</v>
      </c>
      <c r="E42" s="343" t="s">
        <v>184</v>
      </c>
      <c r="F42" s="343">
        <v>2</v>
      </c>
      <c r="G42" s="67">
        <v>500000</v>
      </c>
      <c r="H42" s="100">
        <f t="shared" si="1"/>
        <v>1000000</v>
      </c>
      <c r="I42" s="120" t="s">
        <v>244</v>
      </c>
    </row>
    <row r="43" spans="1:9" ht="15.95" customHeight="1">
      <c r="A43" s="517"/>
      <c r="B43" s="99"/>
      <c r="C43" s="66" t="s">
        <v>214</v>
      </c>
      <c r="D43" s="361" t="s">
        <v>231</v>
      </c>
      <c r="E43" s="343" t="s">
        <v>184</v>
      </c>
      <c r="F43" s="343">
        <v>12</v>
      </c>
      <c r="G43" s="364">
        <v>210000</v>
      </c>
      <c r="H43" s="100">
        <f t="shared" si="1"/>
        <v>2520000</v>
      </c>
      <c r="I43" s="120" t="s">
        <v>244</v>
      </c>
    </row>
    <row r="44" spans="1:9" ht="15.95" customHeight="1">
      <c r="A44" s="517"/>
      <c r="B44" s="99"/>
      <c r="C44" s="66"/>
      <c r="D44" s="361" t="s">
        <v>232</v>
      </c>
      <c r="E44" s="343" t="s">
        <v>184</v>
      </c>
      <c r="F44" s="343">
        <v>6</v>
      </c>
      <c r="G44" s="364">
        <v>210000</v>
      </c>
      <c r="H44" s="100">
        <f t="shared" si="1"/>
        <v>1260000</v>
      </c>
      <c r="I44" s="120" t="s">
        <v>244</v>
      </c>
    </row>
    <row r="45" spans="1:9" ht="15.95" customHeight="1">
      <c r="A45" s="517"/>
      <c r="B45" s="99"/>
      <c r="C45" s="66"/>
      <c r="D45" s="361" t="s">
        <v>202</v>
      </c>
      <c r="E45" s="343" t="s">
        <v>184</v>
      </c>
      <c r="F45" s="343">
        <v>8</v>
      </c>
      <c r="G45" s="67">
        <v>210000</v>
      </c>
      <c r="H45" s="100">
        <f t="shared" si="1"/>
        <v>1680000</v>
      </c>
      <c r="I45" s="120" t="s">
        <v>244</v>
      </c>
    </row>
    <row r="46" spans="1:9" ht="15.95" customHeight="1">
      <c r="A46" s="517"/>
      <c r="B46" s="99"/>
      <c r="C46" s="66" t="s">
        <v>216</v>
      </c>
      <c r="D46" s="361" t="s">
        <v>286</v>
      </c>
      <c r="E46" s="343" t="s">
        <v>184</v>
      </c>
      <c r="F46" s="343">
        <v>20</v>
      </c>
      <c r="G46" s="67">
        <v>25600</v>
      </c>
      <c r="H46" s="100">
        <f t="shared" si="1"/>
        <v>512000</v>
      </c>
      <c r="I46" s="68"/>
    </row>
    <row r="47" spans="1:9" ht="15.95" customHeight="1">
      <c r="A47" s="517"/>
      <c r="B47" s="99"/>
      <c r="C47" s="361"/>
      <c r="D47" s="361" t="s">
        <v>287</v>
      </c>
      <c r="E47" s="343" t="s">
        <v>184</v>
      </c>
      <c r="F47" s="343">
        <v>5</v>
      </c>
      <c r="G47" s="67">
        <v>17600</v>
      </c>
      <c r="H47" s="100">
        <f t="shared" ref="H47:H55" si="2">IF(F47=0,G47,G47*F47)</f>
        <v>88000</v>
      </c>
      <c r="I47" s="68"/>
    </row>
    <row r="48" spans="1:9" ht="15.95" customHeight="1">
      <c r="A48" s="517"/>
      <c r="B48" s="99"/>
      <c r="C48" s="66" t="s">
        <v>215</v>
      </c>
      <c r="D48" s="361" t="s">
        <v>203</v>
      </c>
      <c r="E48" s="362" t="s">
        <v>184</v>
      </c>
      <c r="F48" s="362">
        <v>60</v>
      </c>
      <c r="G48" s="67">
        <v>24200</v>
      </c>
      <c r="H48" s="100">
        <f t="shared" si="2"/>
        <v>1452000</v>
      </c>
      <c r="I48" s="68"/>
    </row>
    <row r="49" spans="1:9" ht="15.95" customHeight="1">
      <c r="A49" s="517"/>
      <c r="B49" s="99"/>
      <c r="C49" s="66" t="s">
        <v>288</v>
      </c>
      <c r="D49" s="361" t="s">
        <v>289</v>
      </c>
      <c r="E49" s="362" t="s">
        <v>184</v>
      </c>
      <c r="F49" s="362">
        <v>6</v>
      </c>
      <c r="G49" s="67">
        <v>2500</v>
      </c>
      <c r="H49" s="100">
        <f t="shared" si="2"/>
        <v>15000</v>
      </c>
      <c r="I49" s="68"/>
    </row>
    <row r="50" spans="1:9" ht="15.95" customHeight="1">
      <c r="A50" s="517"/>
      <c r="B50" s="99"/>
      <c r="C50" s="66" t="s">
        <v>290</v>
      </c>
      <c r="D50" s="361"/>
      <c r="E50" s="362" t="s">
        <v>186</v>
      </c>
      <c r="F50" s="362">
        <v>5</v>
      </c>
      <c r="G50" s="67">
        <v>1391500</v>
      </c>
      <c r="H50" s="100">
        <f t="shared" si="2"/>
        <v>6957500</v>
      </c>
      <c r="I50" s="68"/>
    </row>
    <row r="51" spans="1:9" ht="15.95" customHeight="1">
      <c r="A51" s="517"/>
      <c r="B51" s="99"/>
      <c r="C51" s="66" t="s">
        <v>291</v>
      </c>
      <c r="D51" s="361"/>
      <c r="E51" s="362" t="s">
        <v>184</v>
      </c>
      <c r="F51" s="362">
        <v>5</v>
      </c>
      <c r="G51" s="67">
        <v>50000</v>
      </c>
      <c r="H51" s="100">
        <f t="shared" si="2"/>
        <v>250000</v>
      </c>
      <c r="I51" s="68"/>
    </row>
    <row r="52" spans="1:9" ht="15.95" customHeight="1">
      <c r="A52" s="517"/>
      <c r="B52" s="99"/>
      <c r="C52" s="66" t="s">
        <v>292</v>
      </c>
      <c r="D52" s="361" t="s">
        <v>206</v>
      </c>
      <c r="E52" s="362" t="s">
        <v>184</v>
      </c>
      <c r="F52" s="362">
        <v>6</v>
      </c>
      <c r="G52" s="67">
        <v>40000</v>
      </c>
      <c r="H52" s="100">
        <f t="shared" si="2"/>
        <v>240000</v>
      </c>
      <c r="I52" s="68"/>
    </row>
    <row r="53" spans="1:9" ht="15.95" customHeight="1">
      <c r="A53" s="517"/>
      <c r="B53" s="99"/>
      <c r="C53" s="66" t="s">
        <v>292</v>
      </c>
      <c r="D53" s="361" t="s">
        <v>205</v>
      </c>
      <c r="E53" s="343" t="s">
        <v>184</v>
      </c>
      <c r="F53" s="343">
        <v>10</v>
      </c>
      <c r="G53" s="67">
        <v>5500</v>
      </c>
      <c r="H53" s="100">
        <f t="shared" si="2"/>
        <v>55000</v>
      </c>
      <c r="I53" s="68"/>
    </row>
    <row r="54" spans="1:9" ht="15.95" customHeight="1">
      <c r="A54" s="517"/>
      <c r="B54" s="99"/>
      <c r="C54" s="66" t="s">
        <v>217</v>
      </c>
      <c r="D54" s="361" t="s">
        <v>293</v>
      </c>
      <c r="E54" s="326" t="s">
        <v>184</v>
      </c>
      <c r="F54" s="343">
        <v>20</v>
      </c>
      <c r="G54" s="67">
        <v>27700</v>
      </c>
      <c r="H54" s="100">
        <f t="shared" si="2"/>
        <v>554000</v>
      </c>
      <c r="I54" s="68"/>
    </row>
    <row r="55" spans="1:9" ht="15.95" customHeight="1">
      <c r="A55" s="517"/>
      <c r="B55" s="99"/>
      <c r="C55" s="66" t="s">
        <v>294</v>
      </c>
      <c r="D55" s="361" t="s">
        <v>295</v>
      </c>
      <c r="E55" s="326" t="s">
        <v>184</v>
      </c>
      <c r="F55" s="343">
        <v>5</v>
      </c>
      <c r="G55" s="67">
        <v>32200</v>
      </c>
      <c r="H55" s="100">
        <f t="shared" si="2"/>
        <v>161000</v>
      </c>
      <c r="I55" s="68"/>
    </row>
    <row r="56" spans="1:9" ht="15.95" customHeight="1">
      <c r="A56" s="517"/>
      <c r="B56" s="99"/>
      <c r="C56" s="66" t="s">
        <v>296</v>
      </c>
      <c r="D56" s="361" t="s">
        <v>297</v>
      </c>
      <c r="E56" s="326" t="s">
        <v>184</v>
      </c>
      <c r="F56" s="362">
        <v>5</v>
      </c>
      <c r="G56" s="67">
        <v>268200</v>
      </c>
      <c r="H56" s="100">
        <f t="shared" ref="H56:H65" si="3">IF(F56=0,G56,G56*F56)</f>
        <v>1341000</v>
      </c>
      <c r="I56" s="68"/>
    </row>
    <row r="57" spans="1:9" ht="15.95" customHeight="1">
      <c r="A57" s="517"/>
      <c r="B57" s="99"/>
      <c r="C57" s="66" t="s">
        <v>296</v>
      </c>
      <c r="D57" s="361" t="s">
        <v>298</v>
      </c>
      <c r="E57" s="326" t="s">
        <v>184</v>
      </c>
      <c r="F57" s="343">
        <v>5</v>
      </c>
      <c r="G57" s="67">
        <v>195000</v>
      </c>
      <c r="H57" s="100">
        <f t="shared" si="3"/>
        <v>975000</v>
      </c>
      <c r="I57" s="68"/>
    </row>
    <row r="58" spans="1:9" ht="15.95" customHeight="1">
      <c r="A58" s="517"/>
      <c r="B58" s="99"/>
      <c r="C58" s="66" t="s">
        <v>299</v>
      </c>
      <c r="D58" s="361" t="s">
        <v>300</v>
      </c>
      <c r="E58" s="326" t="s">
        <v>184</v>
      </c>
      <c r="F58" s="343">
        <v>5</v>
      </c>
      <c r="G58" s="67">
        <v>80000</v>
      </c>
      <c r="H58" s="100">
        <f t="shared" si="3"/>
        <v>400000</v>
      </c>
      <c r="I58" s="68"/>
    </row>
    <row r="59" spans="1:9" ht="15.95" customHeight="1">
      <c r="A59" s="517"/>
      <c r="B59" s="99"/>
      <c r="C59" s="66" t="s">
        <v>219</v>
      </c>
      <c r="D59" s="361"/>
      <c r="E59" s="326" t="s">
        <v>209</v>
      </c>
      <c r="F59" s="343">
        <v>1</v>
      </c>
      <c r="G59" s="67">
        <v>1000000</v>
      </c>
      <c r="H59" s="100">
        <f t="shared" si="3"/>
        <v>1000000</v>
      </c>
      <c r="I59" s="68"/>
    </row>
    <row r="60" spans="1:9" ht="15.95" customHeight="1">
      <c r="A60" s="517"/>
      <c r="B60" s="99"/>
      <c r="C60" s="66" t="s">
        <v>301</v>
      </c>
      <c r="D60" s="361" t="s">
        <v>302</v>
      </c>
      <c r="E60" s="326" t="s">
        <v>184</v>
      </c>
      <c r="F60" s="343">
        <v>5</v>
      </c>
      <c r="G60" s="67">
        <v>340300</v>
      </c>
      <c r="H60" s="100">
        <f t="shared" si="3"/>
        <v>1701500</v>
      </c>
      <c r="I60" s="68"/>
    </row>
    <row r="61" spans="1:9" ht="15.95" customHeight="1">
      <c r="A61" s="517"/>
      <c r="B61" s="99"/>
      <c r="C61" s="363"/>
      <c r="D61" s="361" t="s">
        <v>303</v>
      </c>
      <c r="E61" s="326" t="s">
        <v>184</v>
      </c>
      <c r="F61" s="343">
        <v>15</v>
      </c>
      <c r="G61" s="67">
        <v>125000</v>
      </c>
      <c r="H61" s="100">
        <f t="shared" si="3"/>
        <v>1875000</v>
      </c>
      <c r="I61" s="68"/>
    </row>
    <row r="62" spans="1:9" ht="15.95" customHeight="1">
      <c r="A62" s="517"/>
      <c r="B62" s="99"/>
      <c r="C62" s="66" t="s">
        <v>220</v>
      </c>
      <c r="D62" s="361"/>
      <c r="E62" s="326" t="s">
        <v>209</v>
      </c>
      <c r="F62" s="343">
        <v>1</v>
      </c>
      <c r="G62" s="67">
        <v>1000000</v>
      </c>
      <c r="H62" s="100">
        <f t="shared" si="3"/>
        <v>1000000</v>
      </c>
      <c r="I62" s="68"/>
    </row>
    <row r="63" spans="1:9" ht="15.95" customHeight="1">
      <c r="A63" s="517"/>
      <c r="B63" s="99"/>
      <c r="C63" s="363" t="s">
        <v>221</v>
      </c>
      <c r="D63" s="361"/>
      <c r="E63" s="326" t="s">
        <v>209</v>
      </c>
      <c r="F63" s="343">
        <v>1</v>
      </c>
      <c r="G63" s="67">
        <v>500000</v>
      </c>
      <c r="H63" s="100">
        <f t="shared" si="3"/>
        <v>500000</v>
      </c>
      <c r="I63" s="68"/>
    </row>
    <row r="64" spans="1:9" ht="15.95" customHeight="1">
      <c r="A64" s="517"/>
      <c r="B64" s="99"/>
      <c r="C64" s="363" t="s">
        <v>222</v>
      </c>
      <c r="D64" s="361"/>
      <c r="E64" s="326" t="s">
        <v>209</v>
      </c>
      <c r="F64" s="343">
        <v>1</v>
      </c>
      <c r="G64" s="364">
        <v>300000</v>
      </c>
      <c r="H64" s="100">
        <f t="shared" si="3"/>
        <v>300000</v>
      </c>
      <c r="I64" s="68"/>
    </row>
    <row r="65" spans="1:9" ht="15.95" customHeight="1">
      <c r="A65" s="517"/>
      <c r="B65" s="99"/>
      <c r="C65" s="66" t="s">
        <v>223</v>
      </c>
      <c r="D65" s="361"/>
      <c r="E65" s="326" t="s">
        <v>209</v>
      </c>
      <c r="F65" s="362">
        <v>1</v>
      </c>
      <c r="G65" s="67">
        <v>500000</v>
      </c>
      <c r="H65" s="376">
        <f t="shared" si="3"/>
        <v>500000</v>
      </c>
      <c r="I65" s="377"/>
    </row>
    <row r="66" spans="1:9" ht="15.95" customHeight="1">
      <c r="A66" s="517"/>
      <c r="B66" s="99"/>
      <c r="C66" s="66" t="s">
        <v>304</v>
      </c>
      <c r="D66" s="361" t="s">
        <v>204</v>
      </c>
      <c r="E66" s="326" t="s">
        <v>184</v>
      </c>
      <c r="F66" s="343">
        <v>5</v>
      </c>
      <c r="G66" s="67">
        <v>172500</v>
      </c>
      <c r="H66" s="100">
        <f t="shared" ref="H66:H137" si="4">IF(F66=0,G66,G66*F66)</f>
        <v>862500</v>
      </c>
      <c r="I66" s="68"/>
    </row>
    <row r="67" spans="1:9" ht="15.95" customHeight="1">
      <c r="A67" s="517"/>
      <c r="B67" s="99"/>
      <c r="C67" s="363" t="s">
        <v>305</v>
      </c>
      <c r="D67" s="356"/>
      <c r="E67" s="326" t="s">
        <v>209</v>
      </c>
      <c r="F67" s="343">
        <v>1</v>
      </c>
      <c r="G67" s="67">
        <v>600000</v>
      </c>
      <c r="H67" s="100">
        <f t="shared" si="4"/>
        <v>600000</v>
      </c>
      <c r="I67" s="68"/>
    </row>
    <row r="68" spans="1:9" ht="15.95" customHeight="1">
      <c r="A68" s="517"/>
      <c r="B68" s="99"/>
      <c r="C68" s="363" t="s">
        <v>199</v>
      </c>
      <c r="D68" s="356"/>
      <c r="E68" s="326" t="s">
        <v>209</v>
      </c>
      <c r="F68" s="343">
        <v>1</v>
      </c>
      <c r="G68" s="67">
        <v>200000</v>
      </c>
      <c r="H68" s="100">
        <f t="shared" si="4"/>
        <v>200000</v>
      </c>
      <c r="I68" s="68"/>
    </row>
    <row r="69" spans="1:9" ht="15.95" customHeight="1">
      <c r="A69" s="517"/>
      <c r="B69" s="99"/>
      <c r="C69" s="363" t="s">
        <v>200</v>
      </c>
      <c r="D69" s="356"/>
      <c r="E69" s="326" t="s">
        <v>209</v>
      </c>
      <c r="F69" s="343">
        <v>1</v>
      </c>
      <c r="G69" s="67">
        <v>350000</v>
      </c>
      <c r="H69" s="100">
        <f t="shared" si="4"/>
        <v>350000</v>
      </c>
      <c r="I69" s="68"/>
    </row>
    <row r="70" spans="1:9" ht="15.95" customHeight="1">
      <c r="A70" s="517"/>
      <c r="B70" s="99"/>
      <c r="C70" s="363" t="s">
        <v>306</v>
      </c>
      <c r="D70" s="356" t="s">
        <v>307</v>
      </c>
      <c r="E70" s="326" t="s">
        <v>209</v>
      </c>
      <c r="F70" s="343">
        <v>1</v>
      </c>
      <c r="G70" s="67">
        <v>200000</v>
      </c>
      <c r="H70" s="100">
        <f t="shared" si="4"/>
        <v>200000</v>
      </c>
      <c r="I70" s="68"/>
    </row>
    <row r="71" spans="1:9" ht="15.95" customHeight="1">
      <c r="A71" s="517"/>
      <c r="B71" s="99"/>
      <c r="C71" s="363" t="s">
        <v>308</v>
      </c>
      <c r="D71" s="356" t="s">
        <v>309</v>
      </c>
      <c r="E71" s="326" t="s">
        <v>209</v>
      </c>
      <c r="F71" s="343">
        <v>1</v>
      </c>
      <c r="G71" s="67">
        <v>300000</v>
      </c>
      <c r="H71" s="100">
        <f t="shared" si="4"/>
        <v>300000</v>
      </c>
      <c r="I71" s="68"/>
    </row>
    <row r="72" spans="1:9" ht="15.95" customHeight="1">
      <c r="A72" s="517"/>
      <c r="B72" s="99"/>
      <c r="C72" s="363" t="s">
        <v>212</v>
      </c>
      <c r="D72" s="356" t="s">
        <v>310</v>
      </c>
      <c r="E72" s="326" t="s">
        <v>209</v>
      </c>
      <c r="F72" s="362">
        <v>1</v>
      </c>
      <c r="G72" s="67">
        <v>300000</v>
      </c>
      <c r="H72" s="100">
        <f t="shared" si="4"/>
        <v>300000</v>
      </c>
      <c r="I72" s="68"/>
    </row>
    <row r="73" spans="1:9" ht="15.95" customHeight="1">
      <c r="A73" s="517"/>
      <c r="B73" s="99"/>
      <c r="C73" s="365" t="s">
        <v>311</v>
      </c>
      <c r="D73" s="366" t="s">
        <v>310</v>
      </c>
      <c r="E73" s="333" t="s">
        <v>209</v>
      </c>
      <c r="F73" s="367">
        <v>1</v>
      </c>
      <c r="G73" s="277">
        <v>200000</v>
      </c>
      <c r="H73" s="100">
        <f t="shared" si="4"/>
        <v>200000</v>
      </c>
      <c r="I73" s="68"/>
    </row>
    <row r="74" spans="1:9" ht="15.95" customHeight="1">
      <c r="A74" s="517"/>
      <c r="B74" s="99"/>
      <c r="C74" s="365" t="s">
        <v>201</v>
      </c>
      <c r="D74" s="366"/>
      <c r="E74" s="333" t="s">
        <v>184</v>
      </c>
      <c r="F74" s="367">
        <v>40</v>
      </c>
      <c r="G74" s="277">
        <v>15000</v>
      </c>
      <c r="H74" s="100">
        <f t="shared" si="4"/>
        <v>600000</v>
      </c>
      <c r="I74" s="68"/>
    </row>
    <row r="75" spans="1:9" ht="15.95" customHeight="1">
      <c r="A75" s="517"/>
      <c r="B75" s="99"/>
      <c r="C75" s="66" t="s">
        <v>229</v>
      </c>
      <c r="D75" s="66" t="s">
        <v>211</v>
      </c>
      <c r="E75" s="66" t="s">
        <v>184</v>
      </c>
      <c r="F75" s="67">
        <v>5</v>
      </c>
      <c r="G75" s="67">
        <v>65000</v>
      </c>
      <c r="H75" s="100">
        <f t="shared" si="4"/>
        <v>325000</v>
      </c>
      <c r="I75" s="68"/>
    </row>
    <row r="76" spans="1:9" ht="15.95" customHeight="1">
      <c r="A76" s="517"/>
      <c r="B76" s="99"/>
      <c r="C76" s="66" t="s">
        <v>312</v>
      </c>
      <c r="D76" s="66"/>
      <c r="E76" s="66" t="s">
        <v>186</v>
      </c>
      <c r="F76" s="67">
        <v>8</v>
      </c>
      <c r="G76" s="67">
        <v>100000</v>
      </c>
      <c r="H76" s="100">
        <f t="shared" si="4"/>
        <v>800000</v>
      </c>
      <c r="I76" s="68"/>
    </row>
    <row r="77" spans="1:9" ht="15.95" customHeight="1">
      <c r="A77" s="517"/>
      <c r="B77" s="99"/>
      <c r="C77" s="66" t="s">
        <v>313</v>
      </c>
      <c r="D77" s="66"/>
      <c r="E77" s="66" t="s">
        <v>209</v>
      </c>
      <c r="F77" s="67">
        <v>1</v>
      </c>
      <c r="G77" s="67">
        <v>300000</v>
      </c>
      <c r="H77" s="100">
        <f t="shared" si="4"/>
        <v>300000</v>
      </c>
      <c r="I77" s="120"/>
    </row>
    <row r="78" spans="1:9" ht="15.95" customHeight="1">
      <c r="A78" s="517"/>
      <c r="B78" s="99"/>
      <c r="C78" s="66" t="s">
        <v>314</v>
      </c>
      <c r="D78" s="66"/>
      <c r="E78" s="66" t="s">
        <v>209</v>
      </c>
      <c r="F78" s="67">
        <v>1</v>
      </c>
      <c r="G78" s="67">
        <v>100000</v>
      </c>
      <c r="H78" s="100">
        <f t="shared" si="4"/>
        <v>100000</v>
      </c>
      <c r="I78" s="68"/>
    </row>
    <row r="79" spans="1:9" ht="15.95" customHeight="1">
      <c r="A79" s="517"/>
      <c r="B79" s="99"/>
      <c r="C79" s="66" t="s">
        <v>315</v>
      </c>
      <c r="D79" s="66"/>
      <c r="E79" s="66" t="s">
        <v>209</v>
      </c>
      <c r="F79" s="67">
        <v>1</v>
      </c>
      <c r="G79" s="67">
        <v>200000</v>
      </c>
      <c r="H79" s="100">
        <f t="shared" si="4"/>
        <v>200000</v>
      </c>
      <c r="I79" s="68"/>
    </row>
    <row r="80" spans="1:9" ht="15.95" customHeight="1">
      <c r="A80" s="517"/>
      <c r="B80" s="99"/>
      <c r="C80" s="66" t="s">
        <v>316</v>
      </c>
      <c r="D80" s="66"/>
      <c r="E80" s="66" t="s">
        <v>209</v>
      </c>
      <c r="F80" s="67">
        <v>1</v>
      </c>
      <c r="G80" s="67">
        <v>100000</v>
      </c>
      <c r="H80" s="100">
        <f t="shared" si="4"/>
        <v>100000</v>
      </c>
      <c r="I80" s="68"/>
    </row>
    <row r="81" spans="1:9" ht="15.95" customHeight="1">
      <c r="A81" s="517"/>
      <c r="B81" s="99"/>
      <c r="C81" s="66" t="s">
        <v>317</v>
      </c>
      <c r="D81" s="66"/>
      <c r="E81" s="66" t="s">
        <v>184</v>
      </c>
      <c r="F81" s="67">
        <v>6</v>
      </c>
      <c r="G81" s="67">
        <v>60000</v>
      </c>
      <c r="H81" s="100">
        <f t="shared" si="4"/>
        <v>360000</v>
      </c>
      <c r="I81" s="120"/>
    </row>
    <row r="82" spans="1:9" ht="15.95" customHeight="1">
      <c r="A82" s="517"/>
      <c r="B82" s="99"/>
      <c r="C82" s="66" t="s">
        <v>318</v>
      </c>
      <c r="D82" s="66"/>
      <c r="E82" s="66" t="s">
        <v>209</v>
      </c>
      <c r="F82" s="67">
        <v>1</v>
      </c>
      <c r="G82" s="67">
        <v>100000</v>
      </c>
      <c r="H82" s="100">
        <f t="shared" si="4"/>
        <v>100000</v>
      </c>
      <c r="I82" s="68"/>
    </row>
    <row r="83" spans="1:9" ht="15.95" customHeight="1">
      <c r="A83" s="517"/>
      <c r="B83" s="99" t="s">
        <v>319</v>
      </c>
      <c r="C83" s="66" t="s">
        <v>272</v>
      </c>
      <c r="D83" s="66" t="s">
        <v>273</v>
      </c>
      <c r="E83" s="66" t="s">
        <v>184</v>
      </c>
      <c r="F83" s="67">
        <v>2</v>
      </c>
      <c r="G83" s="67">
        <v>1650000</v>
      </c>
      <c r="H83" s="100">
        <f t="shared" si="4"/>
        <v>3300000</v>
      </c>
      <c r="I83" s="68" t="s">
        <v>320</v>
      </c>
    </row>
    <row r="84" spans="1:9" ht="15.95" customHeight="1">
      <c r="A84" s="517"/>
      <c r="B84" s="99"/>
      <c r="C84" s="66" t="s">
        <v>274</v>
      </c>
      <c r="D84" s="66" t="s">
        <v>275</v>
      </c>
      <c r="E84" s="66" t="s">
        <v>184</v>
      </c>
      <c r="F84" s="67">
        <v>2</v>
      </c>
      <c r="G84" s="67">
        <v>1840000</v>
      </c>
      <c r="H84" s="100">
        <f t="shared" si="4"/>
        <v>3680000</v>
      </c>
      <c r="I84" s="68" t="s">
        <v>320</v>
      </c>
    </row>
    <row r="85" spans="1:9" ht="15.95" customHeight="1">
      <c r="A85" s="517"/>
      <c r="B85" s="99"/>
      <c r="C85" s="66" t="s">
        <v>276</v>
      </c>
      <c r="D85" s="66" t="s">
        <v>277</v>
      </c>
      <c r="E85" s="66" t="s">
        <v>184</v>
      </c>
      <c r="F85" s="67">
        <v>2</v>
      </c>
      <c r="G85" s="67">
        <v>145000</v>
      </c>
      <c r="H85" s="100">
        <f t="shared" si="4"/>
        <v>290000</v>
      </c>
      <c r="I85" s="68" t="s">
        <v>320</v>
      </c>
    </row>
    <row r="86" spans="1:9" ht="15.95" customHeight="1">
      <c r="A86" s="517"/>
      <c r="B86" s="99"/>
      <c r="C86" s="66" t="s">
        <v>278</v>
      </c>
      <c r="D86" s="66" t="s">
        <v>279</v>
      </c>
      <c r="E86" s="66" t="s">
        <v>184</v>
      </c>
      <c r="F86" s="67">
        <v>2</v>
      </c>
      <c r="G86" s="67">
        <v>240000</v>
      </c>
      <c r="H86" s="100">
        <f t="shared" si="4"/>
        <v>480000</v>
      </c>
      <c r="I86" s="68" t="s">
        <v>320</v>
      </c>
    </row>
    <row r="87" spans="1:9" ht="15.95" customHeight="1">
      <c r="A87" s="517"/>
      <c r="B87" s="99"/>
      <c r="C87" s="66" t="s">
        <v>280</v>
      </c>
      <c r="D87" s="66" t="s">
        <v>281</v>
      </c>
      <c r="E87" s="66" t="s">
        <v>184</v>
      </c>
      <c r="F87" s="67">
        <v>2</v>
      </c>
      <c r="G87" s="67">
        <v>221000</v>
      </c>
      <c r="H87" s="100">
        <f t="shared" si="4"/>
        <v>442000</v>
      </c>
      <c r="I87" s="68" t="s">
        <v>320</v>
      </c>
    </row>
    <row r="88" spans="1:9" ht="15.95" customHeight="1">
      <c r="A88" s="517"/>
      <c r="B88" s="99"/>
      <c r="C88" s="66" t="s">
        <v>282</v>
      </c>
      <c r="D88" s="66" t="s">
        <v>283</v>
      </c>
      <c r="E88" s="66" t="s">
        <v>184</v>
      </c>
      <c r="F88" s="67">
        <v>4</v>
      </c>
      <c r="G88" s="67">
        <v>932000</v>
      </c>
      <c r="H88" s="100">
        <f t="shared" si="4"/>
        <v>3728000</v>
      </c>
      <c r="I88" s="68" t="s">
        <v>320</v>
      </c>
    </row>
    <row r="89" spans="1:9" ht="15.95" customHeight="1">
      <c r="A89" s="517"/>
      <c r="B89" s="99"/>
      <c r="C89" s="66" t="s">
        <v>284</v>
      </c>
      <c r="D89" s="66" t="s">
        <v>285</v>
      </c>
      <c r="E89" s="66" t="s">
        <v>184</v>
      </c>
      <c r="F89" s="67">
        <v>2</v>
      </c>
      <c r="G89" s="67">
        <v>500000</v>
      </c>
      <c r="H89" s="100">
        <f t="shared" si="4"/>
        <v>1000000</v>
      </c>
      <c r="I89" s="68" t="s">
        <v>320</v>
      </c>
    </row>
    <row r="90" spans="1:9" ht="15.95" customHeight="1">
      <c r="A90" s="517"/>
      <c r="B90" s="99"/>
      <c r="C90" s="66" t="s">
        <v>214</v>
      </c>
      <c r="D90" s="66" t="s">
        <v>231</v>
      </c>
      <c r="E90" s="66" t="s">
        <v>184</v>
      </c>
      <c r="F90" s="67">
        <v>5</v>
      </c>
      <c r="G90" s="67">
        <v>210000</v>
      </c>
      <c r="H90" s="100">
        <f t="shared" si="4"/>
        <v>1050000</v>
      </c>
      <c r="I90" s="68" t="s">
        <v>320</v>
      </c>
    </row>
    <row r="91" spans="1:9" ht="15.95" customHeight="1">
      <c r="A91" s="517"/>
      <c r="B91" s="99"/>
      <c r="C91" s="66"/>
      <c r="D91" s="66" t="s">
        <v>232</v>
      </c>
      <c r="E91" s="66" t="s">
        <v>184</v>
      </c>
      <c r="F91" s="67">
        <v>3</v>
      </c>
      <c r="G91" s="67">
        <v>210000</v>
      </c>
      <c r="H91" s="100">
        <f t="shared" si="4"/>
        <v>630000</v>
      </c>
      <c r="I91" s="68" t="s">
        <v>320</v>
      </c>
    </row>
    <row r="92" spans="1:9" ht="15.95" customHeight="1">
      <c r="A92" s="517"/>
      <c r="B92" s="99"/>
      <c r="C92" s="66"/>
      <c r="D92" s="66" t="s">
        <v>202</v>
      </c>
      <c r="E92" s="66" t="s">
        <v>184</v>
      </c>
      <c r="F92" s="67">
        <v>4</v>
      </c>
      <c r="G92" s="67">
        <v>210000</v>
      </c>
      <c r="H92" s="100">
        <f t="shared" si="4"/>
        <v>840000</v>
      </c>
      <c r="I92" s="68" t="s">
        <v>320</v>
      </c>
    </row>
    <row r="93" spans="1:9" ht="15.95" customHeight="1">
      <c r="A93" s="517"/>
      <c r="B93" s="99"/>
      <c r="C93" s="66" t="s">
        <v>216</v>
      </c>
      <c r="D93" s="66" t="s">
        <v>286</v>
      </c>
      <c r="E93" s="66" t="s">
        <v>184</v>
      </c>
      <c r="F93" s="67">
        <v>8</v>
      </c>
      <c r="G93" s="67">
        <v>25600</v>
      </c>
      <c r="H93" s="100">
        <f t="shared" si="4"/>
        <v>204800</v>
      </c>
      <c r="I93" s="68"/>
    </row>
    <row r="94" spans="1:9" ht="15.95" customHeight="1">
      <c r="A94" s="517"/>
      <c r="B94" s="99"/>
      <c r="C94" s="66"/>
      <c r="D94" s="66" t="s">
        <v>287</v>
      </c>
      <c r="E94" s="66" t="s">
        <v>184</v>
      </c>
      <c r="F94" s="67">
        <v>2</v>
      </c>
      <c r="G94" s="67">
        <v>17600</v>
      </c>
      <c r="H94" s="100">
        <f t="shared" si="4"/>
        <v>35200</v>
      </c>
      <c r="I94" s="68"/>
    </row>
    <row r="95" spans="1:9" ht="15.95" customHeight="1">
      <c r="A95" s="517"/>
      <c r="B95" s="99"/>
      <c r="C95" s="66" t="s">
        <v>215</v>
      </c>
      <c r="D95" s="66" t="s">
        <v>203</v>
      </c>
      <c r="E95" s="66" t="s">
        <v>184</v>
      </c>
      <c r="F95" s="67">
        <v>24</v>
      </c>
      <c r="G95" s="67">
        <v>24200</v>
      </c>
      <c r="H95" s="100">
        <f t="shared" si="4"/>
        <v>580800</v>
      </c>
      <c r="I95" s="68"/>
    </row>
    <row r="96" spans="1:9" ht="15.95" customHeight="1">
      <c r="A96" s="517"/>
      <c r="B96" s="99"/>
      <c r="C96" s="66" t="s">
        <v>288</v>
      </c>
      <c r="D96" s="66" t="s">
        <v>289</v>
      </c>
      <c r="E96" s="66" t="s">
        <v>184</v>
      </c>
      <c r="F96" s="67">
        <v>2</v>
      </c>
      <c r="G96" s="67">
        <v>2500</v>
      </c>
      <c r="H96" s="100">
        <f t="shared" si="4"/>
        <v>5000</v>
      </c>
      <c r="I96" s="68"/>
    </row>
    <row r="97" spans="1:9" ht="15.95" customHeight="1">
      <c r="A97" s="517"/>
      <c r="B97" s="99"/>
      <c r="C97" s="66" t="s">
        <v>290</v>
      </c>
      <c r="D97" s="66"/>
      <c r="E97" s="66" t="s">
        <v>186</v>
      </c>
      <c r="F97" s="67">
        <v>2</v>
      </c>
      <c r="G97" s="67">
        <v>1391500</v>
      </c>
      <c r="H97" s="100">
        <f t="shared" si="4"/>
        <v>2783000</v>
      </c>
      <c r="I97" s="68"/>
    </row>
    <row r="98" spans="1:9" ht="15.95" customHeight="1">
      <c r="A98" s="517"/>
      <c r="B98" s="99"/>
      <c r="C98" s="66" t="s">
        <v>291</v>
      </c>
      <c r="D98" s="66"/>
      <c r="E98" s="66" t="s">
        <v>184</v>
      </c>
      <c r="F98" s="67">
        <v>2</v>
      </c>
      <c r="G98" s="67">
        <v>50000</v>
      </c>
      <c r="H98" s="100">
        <f t="shared" si="4"/>
        <v>100000</v>
      </c>
      <c r="I98" s="68"/>
    </row>
    <row r="99" spans="1:9" ht="15.95" customHeight="1">
      <c r="A99" s="517"/>
      <c r="B99" s="99"/>
      <c r="C99" s="66" t="s">
        <v>292</v>
      </c>
      <c r="D99" s="66" t="s">
        <v>206</v>
      </c>
      <c r="E99" s="66" t="s">
        <v>184</v>
      </c>
      <c r="F99" s="67">
        <v>12</v>
      </c>
      <c r="G99" s="67">
        <v>40000</v>
      </c>
      <c r="H99" s="100">
        <f t="shared" si="4"/>
        <v>480000</v>
      </c>
      <c r="I99" s="68"/>
    </row>
    <row r="100" spans="1:9" ht="15.95" customHeight="1">
      <c r="A100" s="517"/>
      <c r="B100" s="99"/>
      <c r="C100" s="66" t="s">
        <v>292</v>
      </c>
      <c r="D100" s="66" t="s">
        <v>205</v>
      </c>
      <c r="E100" s="66" t="s">
        <v>184</v>
      </c>
      <c r="F100" s="67">
        <v>20</v>
      </c>
      <c r="G100" s="67">
        <v>5500</v>
      </c>
      <c r="H100" s="100">
        <f t="shared" si="4"/>
        <v>110000</v>
      </c>
      <c r="I100" s="68"/>
    </row>
    <row r="101" spans="1:9" ht="15.95" customHeight="1">
      <c r="A101" s="517"/>
      <c r="B101" s="99"/>
      <c r="C101" s="66" t="s">
        <v>217</v>
      </c>
      <c r="D101" s="66" t="s">
        <v>293</v>
      </c>
      <c r="E101" s="66" t="s">
        <v>184</v>
      </c>
      <c r="F101" s="67">
        <v>8</v>
      </c>
      <c r="G101" s="67">
        <v>27700</v>
      </c>
      <c r="H101" s="100">
        <f t="shared" si="4"/>
        <v>221600</v>
      </c>
      <c r="I101" s="68"/>
    </row>
    <row r="102" spans="1:9" ht="15.95" customHeight="1">
      <c r="A102" s="517"/>
      <c r="B102" s="99"/>
      <c r="C102" s="66" t="s">
        <v>294</v>
      </c>
      <c r="D102" s="66" t="s">
        <v>295</v>
      </c>
      <c r="E102" s="66" t="s">
        <v>184</v>
      </c>
      <c r="F102" s="67">
        <v>2</v>
      </c>
      <c r="G102" s="67">
        <v>32200</v>
      </c>
      <c r="H102" s="100">
        <f t="shared" si="4"/>
        <v>64400</v>
      </c>
      <c r="I102" s="68"/>
    </row>
    <row r="103" spans="1:9" ht="15.95" customHeight="1">
      <c r="A103" s="517"/>
      <c r="B103" s="99"/>
      <c r="C103" s="66" t="s">
        <v>296</v>
      </c>
      <c r="D103" s="66" t="s">
        <v>297</v>
      </c>
      <c r="E103" s="66" t="s">
        <v>184</v>
      </c>
      <c r="F103" s="67">
        <v>2</v>
      </c>
      <c r="G103" s="67">
        <v>268200</v>
      </c>
      <c r="H103" s="100">
        <f t="shared" si="4"/>
        <v>536400</v>
      </c>
      <c r="I103" s="68"/>
    </row>
    <row r="104" spans="1:9" ht="15.95" customHeight="1">
      <c r="A104" s="517"/>
      <c r="B104" s="99"/>
      <c r="C104" s="66" t="s">
        <v>296</v>
      </c>
      <c r="D104" s="66" t="s">
        <v>298</v>
      </c>
      <c r="E104" s="66" t="s">
        <v>184</v>
      </c>
      <c r="F104" s="67">
        <v>2</v>
      </c>
      <c r="G104" s="67">
        <v>195000</v>
      </c>
      <c r="H104" s="100">
        <f t="shared" si="4"/>
        <v>390000</v>
      </c>
      <c r="I104" s="68"/>
    </row>
    <row r="105" spans="1:9" ht="15.95" customHeight="1">
      <c r="A105" s="517"/>
      <c r="B105" s="99"/>
      <c r="C105" s="66" t="s">
        <v>299</v>
      </c>
      <c r="D105" s="66" t="s">
        <v>300</v>
      </c>
      <c r="E105" s="66" t="s">
        <v>184</v>
      </c>
      <c r="F105" s="67">
        <v>2</v>
      </c>
      <c r="G105" s="67">
        <v>80000</v>
      </c>
      <c r="H105" s="100">
        <f t="shared" si="4"/>
        <v>160000</v>
      </c>
      <c r="I105" s="68"/>
    </row>
    <row r="106" spans="1:9" ht="15.95" customHeight="1">
      <c r="A106" s="517"/>
      <c r="B106" s="99"/>
      <c r="C106" s="66" t="s">
        <v>301</v>
      </c>
      <c r="D106" s="66" t="s">
        <v>302</v>
      </c>
      <c r="E106" s="66" t="s">
        <v>184</v>
      </c>
      <c r="F106" s="67">
        <v>2</v>
      </c>
      <c r="G106" s="67">
        <v>340300</v>
      </c>
      <c r="H106" s="100">
        <f t="shared" si="4"/>
        <v>680600</v>
      </c>
      <c r="I106" s="68"/>
    </row>
    <row r="107" spans="1:9" ht="15.95" customHeight="1">
      <c r="A107" s="517"/>
      <c r="B107" s="99"/>
      <c r="C107" s="66"/>
      <c r="D107" s="66" t="s">
        <v>303</v>
      </c>
      <c r="E107" s="66" t="s">
        <v>184</v>
      </c>
      <c r="F107" s="67">
        <v>6</v>
      </c>
      <c r="G107" s="67">
        <v>125000</v>
      </c>
      <c r="H107" s="100">
        <f t="shared" si="4"/>
        <v>750000</v>
      </c>
      <c r="I107" s="68"/>
    </row>
    <row r="108" spans="1:9" ht="15.95" customHeight="1">
      <c r="A108" s="517"/>
      <c r="B108" s="99"/>
      <c r="C108" s="66" t="s">
        <v>220</v>
      </c>
      <c r="D108" s="66"/>
      <c r="E108" s="66" t="s">
        <v>209</v>
      </c>
      <c r="F108" s="67">
        <v>1</v>
      </c>
      <c r="G108" s="67">
        <v>500000</v>
      </c>
      <c r="H108" s="100">
        <f t="shared" si="4"/>
        <v>500000</v>
      </c>
      <c r="I108" s="68"/>
    </row>
    <row r="109" spans="1:9" ht="15.95" customHeight="1">
      <c r="A109" s="517"/>
      <c r="B109" s="99"/>
      <c r="C109" s="66" t="s">
        <v>221</v>
      </c>
      <c r="D109" s="66"/>
      <c r="E109" s="66" t="s">
        <v>209</v>
      </c>
      <c r="F109" s="67">
        <v>1</v>
      </c>
      <c r="G109" s="67">
        <v>150000</v>
      </c>
      <c r="H109" s="100">
        <f t="shared" si="4"/>
        <v>150000</v>
      </c>
      <c r="I109" s="68"/>
    </row>
    <row r="110" spans="1:9" ht="15.95" customHeight="1">
      <c r="A110" s="517"/>
      <c r="B110" s="99"/>
      <c r="C110" s="66" t="s">
        <v>222</v>
      </c>
      <c r="D110" s="66"/>
      <c r="E110" s="66" t="s">
        <v>209</v>
      </c>
      <c r="F110" s="67">
        <v>1</v>
      </c>
      <c r="G110" s="67">
        <v>150000</v>
      </c>
      <c r="H110" s="100">
        <f t="shared" si="4"/>
        <v>150000</v>
      </c>
      <c r="I110" s="68"/>
    </row>
    <row r="111" spans="1:9" ht="15.95" customHeight="1">
      <c r="A111" s="517"/>
      <c r="B111" s="99"/>
      <c r="C111" s="66" t="s">
        <v>223</v>
      </c>
      <c r="D111" s="66"/>
      <c r="E111" s="66" t="s">
        <v>209</v>
      </c>
      <c r="F111" s="67">
        <v>1</v>
      </c>
      <c r="G111" s="67">
        <v>100000</v>
      </c>
      <c r="H111" s="100">
        <f t="shared" si="4"/>
        <v>100000</v>
      </c>
      <c r="I111" s="68"/>
    </row>
    <row r="112" spans="1:9" ht="15.95" customHeight="1">
      <c r="A112" s="517"/>
      <c r="B112" s="99"/>
      <c r="C112" s="66" t="s">
        <v>304</v>
      </c>
      <c r="D112" s="66" t="s">
        <v>204</v>
      </c>
      <c r="E112" s="66" t="s">
        <v>184</v>
      </c>
      <c r="F112" s="67">
        <v>2</v>
      </c>
      <c r="G112" s="67">
        <v>172500</v>
      </c>
      <c r="H112" s="100">
        <f t="shared" si="4"/>
        <v>345000</v>
      </c>
      <c r="I112" s="68"/>
    </row>
    <row r="113" spans="1:9" ht="15.95" customHeight="1">
      <c r="A113" s="517"/>
      <c r="B113" s="99"/>
      <c r="C113" s="66" t="s">
        <v>305</v>
      </c>
      <c r="D113" s="66"/>
      <c r="E113" s="66" t="s">
        <v>209</v>
      </c>
      <c r="F113" s="67">
        <v>1</v>
      </c>
      <c r="G113" s="67">
        <v>800000</v>
      </c>
      <c r="H113" s="100">
        <f t="shared" si="4"/>
        <v>800000</v>
      </c>
      <c r="I113" s="68"/>
    </row>
    <row r="114" spans="1:9" ht="15.95" customHeight="1">
      <c r="A114" s="517"/>
      <c r="B114" s="99"/>
      <c r="C114" s="66" t="s">
        <v>199</v>
      </c>
      <c r="D114" s="66"/>
      <c r="E114" s="66" t="s">
        <v>209</v>
      </c>
      <c r="F114" s="67">
        <v>1</v>
      </c>
      <c r="G114" s="67">
        <v>200000</v>
      </c>
      <c r="H114" s="100">
        <f t="shared" si="4"/>
        <v>200000</v>
      </c>
      <c r="I114" s="68"/>
    </row>
    <row r="115" spans="1:9" ht="15.95" customHeight="1">
      <c r="A115" s="517"/>
      <c r="B115" s="99"/>
      <c r="C115" s="66" t="s">
        <v>200</v>
      </c>
      <c r="D115" s="66"/>
      <c r="E115" s="66" t="s">
        <v>209</v>
      </c>
      <c r="F115" s="67">
        <v>1</v>
      </c>
      <c r="G115" s="67">
        <v>300000</v>
      </c>
      <c r="H115" s="100">
        <f t="shared" si="4"/>
        <v>300000</v>
      </c>
      <c r="I115" s="68"/>
    </row>
    <row r="116" spans="1:9" ht="15.95" customHeight="1">
      <c r="A116" s="517"/>
      <c r="B116" s="99"/>
      <c r="C116" s="66" t="s">
        <v>306</v>
      </c>
      <c r="D116" s="66" t="s">
        <v>307</v>
      </c>
      <c r="E116" s="66" t="s">
        <v>209</v>
      </c>
      <c r="F116" s="67">
        <v>1</v>
      </c>
      <c r="G116" s="67">
        <v>200000</v>
      </c>
      <c r="H116" s="100">
        <f t="shared" si="4"/>
        <v>200000</v>
      </c>
      <c r="I116" s="68"/>
    </row>
    <row r="117" spans="1:9" ht="15.95" customHeight="1">
      <c r="A117" s="517"/>
      <c r="B117" s="99"/>
      <c r="C117" s="66" t="s">
        <v>308</v>
      </c>
      <c r="D117" s="66" t="s">
        <v>309</v>
      </c>
      <c r="E117" s="66" t="s">
        <v>209</v>
      </c>
      <c r="F117" s="67">
        <v>1</v>
      </c>
      <c r="G117" s="67">
        <v>150000</v>
      </c>
      <c r="H117" s="100">
        <f t="shared" si="4"/>
        <v>150000</v>
      </c>
      <c r="I117" s="68"/>
    </row>
    <row r="118" spans="1:9" ht="15.95" customHeight="1">
      <c r="A118" s="517"/>
      <c r="B118" s="99"/>
      <c r="C118" s="66" t="s">
        <v>212</v>
      </c>
      <c r="D118" s="66" t="s">
        <v>310</v>
      </c>
      <c r="E118" s="66" t="s">
        <v>209</v>
      </c>
      <c r="F118" s="67">
        <v>1</v>
      </c>
      <c r="G118" s="67">
        <v>300000</v>
      </c>
      <c r="H118" s="100">
        <f t="shared" si="4"/>
        <v>300000</v>
      </c>
      <c r="I118" s="68"/>
    </row>
    <row r="119" spans="1:9" ht="15.95" customHeight="1">
      <c r="A119" s="517"/>
      <c r="B119" s="99"/>
      <c r="C119" s="66" t="s">
        <v>311</v>
      </c>
      <c r="D119" s="66" t="s">
        <v>310</v>
      </c>
      <c r="E119" s="66" t="s">
        <v>209</v>
      </c>
      <c r="F119" s="67">
        <v>1</v>
      </c>
      <c r="G119" s="67">
        <v>150000</v>
      </c>
      <c r="H119" s="100">
        <f t="shared" si="4"/>
        <v>150000</v>
      </c>
      <c r="I119" s="68"/>
    </row>
    <row r="120" spans="1:9" ht="15.95" customHeight="1">
      <c r="A120" s="517"/>
      <c r="B120" s="99"/>
      <c r="C120" s="66" t="s">
        <v>201</v>
      </c>
      <c r="D120" s="66"/>
      <c r="E120" s="66" t="s">
        <v>184</v>
      </c>
      <c r="F120" s="67">
        <v>15</v>
      </c>
      <c r="G120" s="67">
        <v>15000</v>
      </c>
      <c r="H120" s="100">
        <f t="shared" si="4"/>
        <v>225000</v>
      </c>
      <c r="I120" s="68"/>
    </row>
    <row r="121" spans="1:9" ht="15.95" customHeight="1">
      <c r="A121" s="517"/>
      <c r="B121" s="99"/>
      <c r="C121" s="66" t="s">
        <v>229</v>
      </c>
      <c r="D121" s="66" t="s">
        <v>211</v>
      </c>
      <c r="E121" s="66" t="s">
        <v>184</v>
      </c>
      <c r="F121" s="67">
        <v>2</v>
      </c>
      <c r="G121" s="67">
        <v>65000</v>
      </c>
      <c r="H121" s="100">
        <f t="shared" si="4"/>
        <v>130000</v>
      </c>
      <c r="I121" s="68"/>
    </row>
    <row r="122" spans="1:9" ht="15.95" customHeight="1">
      <c r="A122" s="517"/>
      <c r="B122" s="99"/>
      <c r="C122" s="66" t="s">
        <v>312</v>
      </c>
      <c r="D122" s="66"/>
      <c r="E122" s="66" t="s">
        <v>186</v>
      </c>
      <c r="F122" s="67">
        <v>2</v>
      </c>
      <c r="G122" s="67">
        <v>100000</v>
      </c>
      <c r="H122" s="100">
        <f t="shared" si="4"/>
        <v>200000</v>
      </c>
      <c r="I122" s="68"/>
    </row>
    <row r="123" spans="1:9" ht="15.95" customHeight="1">
      <c r="A123" s="517"/>
      <c r="B123" s="99"/>
      <c r="C123" s="66" t="s">
        <v>313</v>
      </c>
      <c r="D123" s="66"/>
      <c r="E123" s="66" t="s">
        <v>209</v>
      </c>
      <c r="F123" s="67">
        <v>1</v>
      </c>
      <c r="G123" s="67">
        <v>200000</v>
      </c>
      <c r="H123" s="100">
        <f t="shared" si="4"/>
        <v>200000</v>
      </c>
      <c r="I123" s="68"/>
    </row>
    <row r="124" spans="1:9" ht="15.95" customHeight="1">
      <c r="A124" s="517"/>
      <c r="B124" s="99"/>
      <c r="C124" s="66" t="s">
        <v>314</v>
      </c>
      <c r="D124" s="66"/>
      <c r="E124" s="66" t="s">
        <v>209</v>
      </c>
      <c r="F124" s="67">
        <v>1</v>
      </c>
      <c r="G124" s="67">
        <v>50000</v>
      </c>
      <c r="H124" s="100">
        <f t="shared" si="4"/>
        <v>50000</v>
      </c>
      <c r="I124" s="68"/>
    </row>
    <row r="125" spans="1:9" ht="15.95" customHeight="1">
      <c r="A125" s="517"/>
      <c r="B125" s="99"/>
      <c r="C125" s="66" t="s">
        <v>315</v>
      </c>
      <c r="D125" s="66"/>
      <c r="E125" s="66" t="s">
        <v>209</v>
      </c>
      <c r="F125" s="67">
        <v>1</v>
      </c>
      <c r="G125" s="67">
        <v>100000</v>
      </c>
      <c r="H125" s="100">
        <f t="shared" si="4"/>
        <v>100000</v>
      </c>
      <c r="I125" s="68"/>
    </row>
    <row r="126" spans="1:9" ht="15.95" customHeight="1">
      <c r="A126" s="517"/>
      <c r="B126" s="99"/>
      <c r="C126" s="66" t="s">
        <v>316</v>
      </c>
      <c r="D126" s="66"/>
      <c r="E126" s="66" t="s">
        <v>209</v>
      </c>
      <c r="F126" s="67">
        <v>1</v>
      </c>
      <c r="G126" s="67">
        <v>50000</v>
      </c>
      <c r="H126" s="100">
        <f t="shared" si="4"/>
        <v>50000</v>
      </c>
      <c r="I126" s="68"/>
    </row>
    <row r="127" spans="1:9" ht="15.95" customHeight="1">
      <c r="A127" s="517"/>
      <c r="B127" s="99"/>
      <c r="C127" s="66" t="s">
        <v>317</v>
      </c>
      <c r="D127" s="66"/>
      <c r="E127" s="66" t="s">
        <v>184</v>
      </c>
      <c r="F127" s="67">
        <v>2</v>
      </c>
      <c r="G127" s="67">
        <v>60000</v>
      </c>
      <c r="H127" s="100">
        <f t="shared" si="4"/>
        <v>120000</v>
      </c>
      <c r="I127" s="68"/>
    </row>
    <row r="128" spans="1:9" ht="15.95" customHeight="1">
      <c r="A128" s="517"/>
      <c r="B128" s="99"/>
      <c r="C128" s="66" t="s">
        <v>318</v>
      </c>
      <c r="D128" s="66"/>
      <c r="E128" s="66" t="s">
        <v>209</v>
      </c>
      <c r="F128" s="67">
        <v>1</v>
      </c>
      <c r="G128" s="67">
        <v>50000</v>
      </c>
      <c r="H128" s="100">
        <f t="shared" si="4"/>
        <v>50000</v>
      </c>
      <c r="I128" s="68"/>
    </row>
    <row r="129" spans="1:9" ht="15.95" customHeight="1">
      <c r="A129" s="517"/>
      <c r="B129" s="99"/>
      <c r="C129" s="66"/>
      <c r="D129" s="66"/>
      <c r="E129" s="66"/>
      <c r="F129" s="67"/>
      <c r="G129" s="67"/>
      <c r="H129" s="100">
        <f t="shared" si="4"/>
        <v>0</v>
      </c>
      <c r="I129" s="68"/>
    </row>
    <row r="130" spans="1:9" ht="15.95" customHeight="1">
      <c r="A130" s="517"/>
      <c r="B130" s="99"/>
      <c r="C130" s="66" t="s">
        <v>212</v>
      </c>
      <c r="D130" s="66" t="s">
        <v>310</v>
      </c>
      <c r="E130" s="66" t="s">
        <v>209</v>
      </c>
      <c r="F130" s="67">
        <v>1</v>
      </c>
      <c r="G130" s="67">
        <v>100000</v>
      </c>
      <c r="H130" s="100">
        <f t="shared" si="4"/>
        <v>100000</v>
      </c>
      <c r="I130" s="68"/>
    </row>
    <row r="131" spans="1:9" ht="15.95" customHeight="1">
      <c r="A131" s="517"/>
      <c r="B131" s="99"/>
      <c r="C131" s="66" t="s">
        <v>224</v>
      </c>
      <c r="D131" s="66"/>
      <c r="E131" s="66" t="s">
        <v>209</v>
      </c>
      <c r="F131" s="67">
        <v>1</v>
      </c>
      <c r="G131" s="67">
        <v>100000</v>
      </c>
      <c r="H131" s="100">
        <f t="shared" si="4"/>
        <v>100000</v>
      </c>
      <c r="I131" s="68"/>
    </row>
    <row r="132" spans="1:9" ht="15.95" customHeight="1">
      <c r="A132" s="517"/>
      <c r="B132" s="99"/>
      <c r="C132" s="66" t="s">
        <v>225</v>
      </c>
      <c r="D132" s="66" t="s">
        <v>207</v>
      </c>
      <c r="E132" s="66" t="s">
        <v>209</v>
      </c>
      <c r="F132" s="67">
        <v>1</v>
      </c>
      <c r="G132" s="67">
        <v>250000</v>
      </c>
      <c r="H132" s="100">
        <f t="shared" si="4"/>
        <v>250000</v>
      </c>
      <c r="I132" s="68"/>
    </row>
    <row r="133" spans="1:9" ht="15.95" customHeight="1">
      <c r="A133" s="517"/>
      <c r="B133" s="99"/>
      <c r="C133" s="66" t="s">
        <v>226</v>
      </c>
      <c r="D133" s="66"/>
      <c r="E133" s="66" t="s">
        <v>209</v>
      </c>
      <c r="F133" s="67">
        <v>1</v>
      </c>
      <c r="G133" s="67">
        <v>100000</v>
      </c>
      <c r="H133" s="100">
        <f t="shared" si="4"/>
        <v>100000</v>
      </c>
      <c r="I133" s="68"/>
    </row>
    <row r="134" spans="1:9" ht="15.95" customHeight="1">
      <c r="A134" s="517"/>
      <c r="B134" s="99"/>
      <c r="C134" s="66" t="s">
        <v>227</v>
      </c>
      <c r="D134" s="66" t="s">
        <v>208</v>
      </c>
      <c r="E134" s="66" t="s">
        <v>209</v>
      </c>
      <c r="F134" s="67">
        <v>1</v>
      </c>
      <c r="G134" s="67">
        <v>200000</v>
      </c>
      <c r="H134" s="100">
        <f t="shared" si="4"/>
        <v>200000</v>
      </c>
      <c r="I134" s="68"/>
    </row>
    <row r="135" spans="1:9" ht="15.95" customHeight="1">
      <c r="A135" s="517"/>
      <c r="B135" s="99"/>
      <c r="C135" s="66" t="s">
        <v>228</v>
      </c>
      <c r="D135" s="66" t="s">
        <v>208</v>
      </c>
      <c r="E135" s="66" t="s">
        <v>209</v>
      </c>
      <c r="F135" s="67">
        <v>1</v>
      </c>
      <c r="G135" s="67">
        <v>100000</v>
      </c>
      <c r="H135" s="100">
        <f t="shared" si="4"/>
        <v>100000</v>
      </c>
      <c r="I135" s="68"/>
    </row>
    <row r="136" spans="1:9" ht="15.95" customHeight="1">
      <c r="A136" s="517"/>
      <c r="B136" s="99"/>
      <c r="C136" s="66" t="s">
        <v>229</v>
      </c>
      <c r="D136" s="66" t="s">
        <v>211</v>
      </c>
      <c r="E136" s="66" t="s">
        <v>184</v>
      </c>
      <c r="F136" s="67">
        <v>2</v>
      </c>
      <c r="G136" s="67">
        <v>65000</v>
      </c>
      <c r="H136" s="100">
        <f t="shared" si="4"/>
        <v>130000</v>
      </c>
      <c r="I136" s="68"/>
    </row>
    <row r="137" spans="1:9" ht="15.95" customHeight="1">
      <c r="A137" s="517"/>
      <c r="B137" s="99"/>
      <c r="C137" s="66" t="s">
        <v>230</v>
      </c>
      <c r="D137" s="66"/>
      <c r="E137" s="66" t="s">
        <v>184</v>
      </c>
      <c r="F137" s="67">
        <v>4</v>
      </c>
      <c r="G137" s="67">
        <v>12000</v>
      </c>
      <c r="H137" s="100">
        <f t="shared" si="4"/>
        <v>48000</v>
      </c>
      <c r="I137" s="68"/>
    </row>
    <row r="138" spans="1:9" ht="15.95" customHeight="1">
      <c r="A138" s="517"/>
      <c r="B138" s="99" t="s">
        <v>321</v>
      </c>
      <c r="C138" s="66" t="s">
        <v>272</v>
      </c>
      <c r="D138" s="66" t="s">
        <v>273</v>
      </c>
      <c r="E138" s="66" t="s">
        <v>184</v>
      </c>
      <c r="F138" s="67">
        <v>4</v>
      </c>
      <c r="G138" s="67">
        <v>1650000</v>
      </c>
      <c r="H138" s="100">
        <f t="shared" ref="H138:H196" si="5">IF(F138=0,G138,G138*F138)</f>
        <v>6600000</v>
      </c>
      <c r="I138" s="68" t="s">
        <v>320</v>
      </c>
    </row>
    <row r="139" spans="1:9" ht="15.95" customHeight="1">
      <c r="A139" s="517"/>
      <c r="B139" s="99"/>
      <c r="C139" s="66" t="s">
        <v>274</v>
      </c>
      <c r="D139" s="66" t="s">
        <v>275</v>
      </c>
      <c r="E139" s="66" t="s">
        <v>184</v>
      </c>
      <c r="F139" s="67">
        <v>4</v>
      </c>
      <c r="G139" s="67">
        <v>1840000</v>
      </c>
      <c r="H139" s="100">
        <f t="shared" si="5"/>
        <v>7360000</v>
      </c>
      <c r="I139" s="68" t="s">
        <v>320</v>
      </c>
    </row>
    <row r="140" spans="1:9" ht="15.95" customHeight="1">
      <c r="A140" s="517"/>
      <c r="B140" s="99"/>
      <c r="C140" s="66" t="s">
        <v>276</v>
      </c>
      <c r="D140" s="66" t="s">
        <v>277</v>
      </c>
      <c r="E140" s="66" t="s">
        <v>184</v>
      </c>
      <c r="F140" s="67">
        <v>4</v>
      </c>
      <c r="G140" s="67">
        <v>145000</v>
      </c>
      <c r="H140" s="100">
        <f t="shared" si="5"/>
        <v>580000</v>
      </c>
      <c r="I140" s="68" t="s">
        <v>320</v>
      </c>
    </row>
    <row r="141" spans="1:9" ht="15.95" customHeight="1">
      <c r="A141" s="517"/>
      <c r="B141" s="99"/>
      <c r="C141" s="66" t="s">
        <v>278</v>
      </c>
      <c r="D141" s="66" t="s">
        <v>279</v>
      </c>
      <c r="E141" s="66" t="s">
        <v>184</v>
      </c>
      <c r="F141" s="67">
        <v>4</v>
      </c>
      <c r="G141" s="67">
        <v>240000</v>
      </c>
      <c r="H141" s="100">
        <f t="shared" si="5"/>
        <v>960000</v>
      </c>
      <c r="I141" s="68" t="s">
        <v>320</v>
      </c>
    </row>
    <row r="142" spans="1:9" ht="15.95" customHeight="1">
      <c r="A142" s="517"/>
      <c r="B142" s="99"/>
      <c r="C142" s="66" t="s">
        <v>280</v>
      </c>
      <c r="D142" s="66" t="s">
        <v>281</v>
      </c>
      <c r="E142" s="66" t="s">
        <v>184</v>
      </c>
      <c r="F142" s="67">
        <v>4</v>
      </c>
      <c r="G142" s="67">
        <v>221000</v>
      </c>
      <c r="H142" s="100">
        <f t="shared" si="5"/>
        <v>884000</v>
      </c>
      <c r="I142" s="68" t="s">
        <v>320</v>
      </c>
    </row>
    <row r="143" spans="1:9" ht="15.95" customHeight="1">
      <c r="A143" s="517"/>
      <c r="B143" s="99"/>
      <c r="C143" s="66" t="s">
        <v>282</v>
      </c>
      <c r="D143" s="66" t="s">
        <v>283</v>
      </c>
      <c r="E143" s="66" t="s">
        <v>184</v>
      </c>
      <c r="F143" s="67">
        <v>8</v>
      </c>
      <c r="G143" s="67">
        <v>932000</v>
      </c>
      <c r="H143" s="100">
        <f t="shared" si="5"/>
        <v>7456000</v>
      </c>
      <c r="I143" s="68" t="s">
        <v>320</v>
      </c>
    </row>
    <row r="144" spans="1:9" ht="15.95" customHeight="1">
      <c r="A144" s="517"/>
      <c r="B144" s="99"/>
      <c r="C144" s="66" t="s">
        <v>284</v>
      </c>
      <c r="D144" s="66" t="s">
        <v>285</v>
      </c>
      <c r="E144" s="66" t="s">
        <v>184</v>
      </c>
      <c r="F144" s="67">
        <v>2</v>
      </c>
      <c r="G144" s="67">
        <v>500000</v>
      </c>
      <c r="H144" s="100">
        <f t="shared" si="5"/>
        <v>1000000</v>
      </c>
      <c r="I144" s="68" t="s">
        <v>320</v>
      </c>
    </row>
    <row r="145" spans="1:9" ht="15.95" customHeight="1">
      <c r="A145" s="517"/>
      <c r="B145" s="99"/>
      <c r="C145" s="66" t="s">
        <v>322</v>
      </c>
      <c r="D145" s="66" t="s">
        <v>323</v>
      </c>
      <c r="E145" s="66" t="s">
        <v>184</v>
      </c>
      <c r="F145" s="67">
        <v>1</v>
      </c>
      <c r="G145" s="67">
        <v>844100</v>
      </c>
      <c r="H145" s="100">
        <f t="shared" si="5"/>
        <v>844100</v>
      </c>
      <c r="I145" s="68" t="s">
        <v>320</v>
      </c>
    </row>
    <row r="146" spans="1:9" ht="15.95" customHeight="1">
      <c r="A146" s="517"/>
      <c r="B146" s="99"/>
      <c r="C146" s="66" t="s">
        <v>214</v>
      </c>
      <c r="D146" s="66" t="s">
        <v>231</v>
      </c>
      <c r="E146" s="66" t="s">
        <v>184</v>
      </c>
      <c r="F146" s="67">
        <v>8</v>
      </c>
      <c r="G146" s="67">
        <v>210000</v>
      </c>
      <c r="H146" s="100">
        <f t="shared" si="5"/>
        <v>1680000</v>
      </c>
      <c r="I146" s="68" t="s">
        <v>320</v>
      </c>
    </row>
    <row r="147" spans="1:9" ht="15.95" customHeight="1">
      <c r="A147" s="517"/>
      <c r="B147" s="99"/>
      <c r="C147" s="66"/>
      <c r="D147" s="66" t="s">
        <v>232</v>
      </c>
      <c r="E147" s="66" t="s">
        <v>184</v>
      </c>
      <c r="F147" s="67">
        <v>6</v>
      </c>
      <c r="G147" s="67">
        <v>210000</v>
      </c>
      <c r="H147" s="100">
        <f t="shared" si="5"/>
        <v>1260000</v>
      </c>
      <c r="I147" s="68" t="s">
        <v>320</v>
      </c>
    </row>
    <row r="148" spans="1:9" ht="15.95" customHeight="1">
      <c r="A148" s="517"/>
      <c r="B148" s="99"/>
      <c r="C148" s="66"/>
      <c r="D148" s="66" t="s">
        <v>202</v>
      </c>
      <c r="E148" s="66" t="s">
        <v>184</v>
      </c>
      <c r="F148" s="67">
        <v>5</v>
      </c>
      <c r="G148" s="67">
        <v>210000</v>
      </c>
      <c r="H148" s="100">
        <f t="shared" si="5"/>
        <v>1050000</v>
      </c>
      <c r="I148" s="68" t="s">
        <v>320</v>
      </c>
    </row>
    <row r="149" spans="1:9" ht="15.95" customHeight="1">
      <c r="A149" s="517"/>
      <c r="B149" s="99"/>
      <c r="C149" s="66" t="s">
        <v>324</v>
      </c>
      <c r="D149" s="66" t="s">
        <v>325</v>
      </c>
      <c r="E149" s="66" t="s">
        <v>184</v>
      </c>
      <c r="F149" s="67">
        <v>3</v>
      </c>
      <c r="G149" s="67">
        <v>40000</v>
      </c>
      <c r="H149" s="100">
        <f t="shared" si="5"/>
        <v>120000</v>
      </c>
      <c r="I149" s="68" t="s">
        <v>320</v>
      </c>
    </row>
    <row r="150" spans="1:9" ht="15.95" customHeight="1">
      <c r="A150" s="517"/>
      <c r="B150" s="99"/>
      <c r="C150" s="66" t="s">
        <v>326</v>
      </c>
      <c r="D150" s="66" t="s">
        <v>327</v>
      </c>
      <c r="E150" s="66" t="s">
        <v>184</v>
      </c>
      <c r="F150" s="67">
        <v>3</v>
      </c>
      <c r="G150" s="67">
        <v>28000</v>
      </c>
      <c r="H150" s="100">
        <f t="shared" si="5"/>
        <v>84000</v>
      </c>
      <c r="I150" s="68" t="s">
        <v>320</v>
      </c>
    </row>
    <row r="151" spans="1:9" ht="15.95" customHeight="1">
      <c r="A151" s="517"/>
      <c r="B151" s="99"/>
      <c r="C151" s="381" t="s">
        <v>328</v>
      </c>
      <c r="D151" s="382"/>
      <c r="E151" s="66" t="s">
        <v>184</v>
      </c>
      <c r="F151" s="67">
        <v>3</v>
      </c>
      <c r="G151" s="67">
        <v>300000</v>
      </c>
      <c r="H151" s="100">
        <f t="shared" si="5"/>
        <v>900000</v>
      </c>
      <c r="I151" s="68" t="s">
        <v>320</v>
      </c>
    </row>
    <row r="152" spans="1:9" ht="15.95" customHeight="1">
      <c r="A152" s="517"/>
      <c r="B152" s="99"/>
      <c r="C152" s="381" t="s">
        <v>329</v>
      </c>
      <c r="D152" s="382"/>
      <c r="E152" s="66" t="s">
        <v>184</v>
      </c>
      <c r="F152" s="67">
        <v>3</v>
      </c>
      <c r="G152" s="67">
        <v>200000</v>
      </c>
      <c r="H152" s="100">
        <f t="shared" si="5"/>
        <v>600000</v>
      </c>
      <c r="I152" s="68" t="s">
        <v>320</v>
      </c>
    </row>
    <row r="153" spans="1:9" ht="15.95" customHeight="1">
      <c r="A153" s="517"/>
      <c r="B153" s="99"/>
      <c r="C153" s="381" t="s">
        <v>330</v>
      </c>
      <c r="D153" s="382"/>
      <c r="E153" s="66" t="s">
        <v>184</v>
      </c>
      <c r="F153" s="67">
        <v>1</v>
      </c>
      <c r="G153" s="67">
        <v>100000</v>
      </c>
      <c r="H153" s="100">
        <f t="shared" si="5"/>
        <v>100000</v>
      </c>
      <c r="I153" s="68" t="s">
        <v>320</v>
      </c>
    </row>
    <row r="154" spans="1:9" ht="15.95" customHeight="1">
      <c r="A154" s="517"/>
      <c r="B154" s="99"/>
      <c r="C154" s="66" t="s">
        <v>216</v>
      </c>
      <c r="D154" s="66" t="s">
        <v>286</v>
      </c>
      <c r="E154" s="66" t="s">
        <v>184</v>
      </c>
      <c r="F154" s="67">
        <v>16</v>
      </c>
      <c r="G154" s="67">
        <v>25600</v>
      </c>
      <c r="H154" s="100">
        <f t="shared" si="5"/>
        <v>409600</v>
      </c>
      <c r="I154" s="68"/>
    </row>
    <row r="155" spans="1:9" ht="15.95" customHeight="1">
      <c r="A155" s="517"/>
      <c r="B155" s="99"/>
      <c r="C155" s="66"/>
      <c r="D155" s="66" t="s">
        <v>287</v>
      </c>
      <c r="E155" s="66" t="s">
        <v>184</v>
      </c>
      <c r="F155" s="67">
        <v>4</v>
      </c>
      <c r="G155" s="67">
        <v>17600</v>
      </c>
      <c r="H155" s="100">
        <f t="shared" si="5"/>
        <v>70400</v>
      </c>
      <c r="I155" s="68"/>
    </row>
    <row r="156" spans="1:9" ht="15.95" customHeight="1">
      <c r="A156" s="517"/>
      <c r="B156" s="99"/>
      <c r="C156" s="66" t="s">
        <v>216</v>
      </c>
      <c r="D156" s="66" t="s">
        <v>331</v>
      </c>
      <c r="E156" s="66" t="s">
        <v>184</v>
      </c>
      <c r="F156" s="67">
        <v>8</v>
      </c>
      <c r="G156" s="67">
        <v>35000</v>
      </c>
      <c r="H156" s="100">
        <f t="shared" si="5"/>
        <v>280000</v>
      </c>
      <c r="I156" s="68"/>
    </row>
    <row r="157" spans="1:9" ht="15.95" customHeight="1">
      <c r="A157" s="517"/>
      <c r="B157" s="99"/>
      <c r="C157" s="66" t="s">
        <v>216</v>
      </c>
      <c r="D157" s="66" t="s">
        <v>233</v>
      </c>
      <c r="E157" s="66" t="s">
        <v>184</v>
      </c>
      <c r="F157" s="67">
        <v>3</v>
      </c>
      <c r="G157" s="67">
        <v>38000</v>
      </c>
      <c r="H157" s="100">
        <f t="shared" si="5"/>
        <v>114000</v>
      </c>
      <c r="I157" s="68"/>
    </row>
    <row r="158" spans="1:9" ht="15.95" customHeight="1">
      <c r="A158" s="517"/>
      <c r="B158" s="99"/>
      <c r="C158" s="66" t="s">
        <v>215</v>
      </c>
      <c r="D158" s="66" t="s">
        <v>203</v>
      </c>
      <c r="E158" s="66" t="s">
        <v>184</v>
      </c>
      <c r="F158" s="67">
        <v>15</v>
      </c>
      <c r="G158" s="67">
        <v>24200</v>
      </c>
      <c r="H158" s="100">
        <f t="shared" si="5"/>
        <v>363000</v>
      </c>
      <c r="I158" s="68"/>
    </row>
    <row r="159" spans="1:9" ht="15.95" customHeight="1">
      <c r="A159" s="517"/>
      <c r="B159" s="99"/>
      <c r="C159" s="66" t="s">
        <v>288</v>
      </c>
      <c r="D159" s="66" t="s">
        <v>289</v>
      </c>
      <c r="E159" s="66" t="s">
        <v>184</v>
      </c>
      <c r="F159" s="67">
        <v>1</v>
      </c>
      <c r="G159" s="67">
        <v>2500</v>
      </c>
      <c r="H159" s="100">
        <f t="shared" si="5"/>
        <v>2500</v>
      </c>
      <c r="I159" s="68"/>
    </row>
    <row r="160" spans="1:9" ht="15.95" customHeight="1">
      <c r="A160" s="517"/>
      <c r="B160" s="99"/>
      <c r="C160" s="66" t="s">
        <v>290</v>
      </c>
      <c r="D160" s="66"/>
      <c r="E160" s="66" t="s">
        <v>186</v>
      </c>
      <c r="F160" s="67">
        <v>4</v>
      </c>
      <c r="G160" s="67">
        <v>1391500</v>
      </c>
      <c r="H160" s="100">
        <f t="shared" si="5"/>
        <v>5566000</v>
      </c>
      <c r="I160" s="68"/>
    </row>
    <row r="161" spans="1:9" ht="15.95" customHeight="1">
      <c r="A161" s="517"/>
      <c r="B161" s="99"/>
      <c r="C161" s="66" t="s">
        <v>291</v>
      </c>
      <c r="D161" s="66"/>
      <c r="E161" s="66" t="s">
        <v>184</v>
      </c>
      <c r="F161" s="67">
        <v>1</v>
      </c>
      <c r="G161" s="67">
        <v>50000</v>
      </c>
      <c r="H161" s="100">
        <f t="shared" si="5"/>
        <v>50000</v>
      </c>
      <c r="I161" s="68"/>
    </row>
    <row r="162" spans="1:9" ht="15.95" customHeight="1">
      <c r="A162" s="517"/>
      <c r="B162" s="99"/>
      <c r="C162" s="66" t="s">
        <v>292</v>
      </c>
      <c r="D162" s="66" t="s">
        <v>206</v>
      </c>
      <c r="E162" s="66" t="s">
        <v>184</v>
      </c>
      <c r="F162" s="67">
        <v>6</v>
      </c>
      <c r="G162" s="67">
        <v>40000</v>
      </c>
      <c r="H162" s="100">
        <f t="shared" si="5"/>
        <v>240000</v>
      </c>
      <c r="I162" s="68"/>
    </row>
    <row r="163" spans="1:9" ht="15.95" customHeight="1">
      <c r="A163" s="517"/>
      <c r="B163" s="99"/>
      <c r="C163" s="66" t="s">
        <v>292</v>
      </c>
      <c r="D163" s="66" t="s">
        <v>205</v>
      </c>
      <c r="E163" s="66" t="s">
        <v>184</v>
      </c>
      <c r="F163" s="67">
        <v>10</v>
      </c>
      <c r="G163" s="67">
        <v>5500</v>
      </c>
      <c r="H163" s="100">
        <f t="shared" si="5"/>
        <v>55000</v>
      </c>
      <c r="I163" s="68"/>
    </row>
    <row r="164" spans="1:9" ht="15.95" customHeight="1">
      <c r="A164" s="517"/>
      <c r="B164" s="99"/>
      <c r="C164" s="66" t="s">
        <v>217</v>
      </c>
      <c r="D164" s="66" t="s">
        <v>293</v>
      </c>
      <c r="E164" s="66" t="s">
        <v>184</v>
      </c>
      <c r="F164" s="67">
        <v>12</v>
      </c>
      <c r="G164" s="67">
        <v>27700</v>
      </c>
      <c r="H164" s="100">
        <f t="shared" si="5"/>
        <v>332400</v>
      </c>
      <c r="I164" s="68"/>
    </row>
    <row r="165" spans="1:9" ht="15.95" customHeight="1">
      <c r="A165" s="517"/>
      <c r="B165" s="99"/>
      <c r="C165" s="66" t="s">
        <v>294</v>
      </c>
      <c r="D165" s="66" t="s">
        <v>295</v>
      </c>
      <c r="E165" s="66" t="s">
        <v>184</v>
      </c>
      <c r="F165" s="67">
        <v>1</v>
      </c>
      <c r="G165" s="67">
        <v>32200</v>
      </c>
      <c r="H165" s="100">
        <f t="shared" si="5"/>
        <v>32200</v>
      </c>
      <c r="I165" s="68"/>
    </row>
    <row r="166" spans="1:9" ht="15.95" customHeight="1">
      <c r="A166" s="517"/>
      <c r="B166" s="99"/>
      <c r="C166" s="66" t="s">
        <v>296</v>
      </c>
      <c r="D166" s="66" t="s">
        <v>297</v>
      </c>
      <c r="E166" s="66" t="s">
        <v>184</v>
      </c>
      <c r="F166" s="67">
        <v>4</v>
      </c>
      <c r="G166" s="67">
        <v>268200</v>
      </c>
      <c r="H166" s="100">
        <f t="shared" si="5"/>
        <v>1072800</v>
      </c>
      <c r="I166" s="68"/>
    </row>
    <row r="167" spans="1:9" ht="15.95" customHeight="1">
      <c r="A167" s="517"/>
      <c r="B167" s="99"/>
      <c r="C167" s="66" t="s">
        <v>296</v>
      </c>
      <c r="D167" s="66" t="s">
        <v>298</v>
      </c>
      <c r="E167" s="66" t="s">
        <v>184</v>
      </c>
      <c r="F167" s="67">
        <v>4</v>
      </c>
      <c r="G167" s="67">
        <v>195000</v>
      </c>
      <c r="H167" s="100">
        <f t="shared" si="5"/>
        <v>780000</v>
      </c>
      <c r="I167" s="68"/>
    </row>
    <row r="168" spans="1:9" ht="15.95" customHeight="1">
      <c r="A168" s="517"/>
      <c r="B168" s="99"/>
      <c r="C168" s="66" t="s">
        <v>332</v>
      </c>
      <c r="D168" s="66" t="s">
        <v>333</v>
      </c>
      <c r="E168" s="66" t="s">
        <v>184</v>
      </c>
      <c r="F168" s="67">
        <v>1</v>
      </c>
      <c r="G168" s="67">
        <v>449000</v>
      </c>
      <c r="H168" s="100">
        <f t="shared" si="5"/>
        <v>449000</v>
      </c>
      <c r="I168" s="68"/>
    </row>
    <row r="169" spans="1:9" ht="15.95" customHeight="1">
      <c r="A169" s="517"/>
      <c r="B169" s="99"/>
      <c r="C169" s="66" t="s">
        <v>299</v>
      </c>
      <c r="D169" s="66" t="s">
        <v>300</v>
      </c>
      <c r="E169" s="66" t="s">
        <v>184</v>
      </c>
      <c r="F169" s="67">
        <v>4</v>
      </c>
      <c r="G169" s="67">
        <v>80000</v>
      </c>
      <c r="H169" s="100">
        <f t="shared" si="5"/>
        <v>320000</v>
      </c>
      <c r="I169" s="68"/>
    </row>
    <row r="170" spans="1:9" ht="15.95" customHeight="1">
      <c r="A170" s="517"/>
      <c r="B170" s="99"/>
      <c r="C170" s="66" t="s">
        <v>301</v>
      </c>
      <c r="D170" s="66" t="s">
        <v>302</v>
      </c>
      <c r="E170" s="66" t="s">
        <v>184</v>
      </c>
      <c r="F170" s="67">
        <v>4</v>
      </c>
      <c r="G170" s="67">
        <v>340300</v>
      </c>
      <c r="H170" s="100">
        <f t="shared" si="5"/>
        <v>1361200</v>
      </c>
      <c r="I170" s="68"/>
    </row>
    <row r="171" spans="1:9" ht="15.95" customHeight="1">
      <c r="A171" s="517"/>
      <c r="B171" s="99"/>
      <c r="C171" s="66"/>
      <c r="D171" s="66" t="s">
        <v>303</v>
      </c>
      <c r="E171" s="66" t="s">
        <v>184</v>
      </c>
      <c r="F171" s="67">
        <v>12</v>
      </c>
      <c r="G171" s="67">
        <v>125000</v>
      </c>
      <c r="H171" s="100">
        <f t="shared" si="5"/>
        <v>1500000</v>
      </c>
      <c r="I171" s="68"/>
    </row>
    <row r="172" spans="1:9" ht="15.95" customHeight="1">
      <c r="A172" s="517"/>
      <c r="B172" s="99"/>
      <c r="C172" s="66" t="s">
        <v>220</v>
      </c>
      <c r="D172" s="66"/>
      <c r="E172" s="66" t="s">
        <v>209</v>
      </c>
      <c r="F172" s="67">
        <v>1</v>
      </c>
      <c r="G172" s="67">
        <v>500000</v>
      </c>
      <c r="H172" s="100">
        <f t="shared" si="5"/>
        <v>500000</v>
      </c>
      <c r="I172" s="68"/>
    </row>
    <row r="173" spans="1:9" ht="15.95" customHeight="1">
      <c r="A173" s="517"/>
      <c r="B173" s="99"/>
      <c r="C173" s="66" t="s">
        <v>221</v>
      </c>
      <c r="D173" s="66"/>
      <c r="E173" s="66" t="s">
        <v>209</v>
      </c>
      <c r="F173" s="67">
        <v>1</v>
      </c>
      <c r="G173" s="67">
        <v>150000</v>
      </c>
      <c r="H173" s="100">
        <f t="shared" si="5"/>
        <v>150000</v>
      </c>
      <c r="I173" s="68"/>
    </row>
    <row r="174" spans="1:9" ht="15.95" customHeight="1">
      <c r="A174" s="517"/>
      <c r="B174" s="99"/>
      <c r="C174" s="66" t="s">
        <v>222</v>
      </c>
      <c r="D174" s="66"/>
      <c r="E174" s="66" t="s">
        <v>209</v>
      </c>
      <c r="F174" s="67">
        <v>1</v>
      </c>
      <c r="G174" s="67">
        <v>150000</v>
      </c>
      <c r="H174" s="100">
        <f t="shared" si="5"/>
        <v>150000</v>
      </c>
      <c r="I174" s="68"/>
    </row>
    <row r="175" spans="1:9" ht="15.95" customHeight="1">
      <c r="A175" s="517"/>
      <c r="B175" s="99"/>
      <c r="C175" s="66" t="s">
        <v>223</v>
      </c>
      <c r="D175" s="66"/>
      <c r="E175" s="66" t="s">
        <v>209</v>
      </c>
      <c r="F175" s="67">
        <v>1</v>
      </c>
      <c r="G175" s="67">
        <v>100000</v>
      </c>
      <c r="H175" s="100">
        <f t="shared" si="5"/>
        <v>100000</v>
      </c>
      <c r="I175" s="68"/>
    </row>
    <row r="176" spans="1:9" ht="15.95" customHeight="1">
      <c r="A176" s="517"/>
      <c r="B176" s="99"/>
      <c r="C176" s="66" t="s">
        <v>304</v>
      </c>
      <c r="D176" s="66" t="s">
        <v>204</v>
      </c>
      <c r="E176" s="66" t="s">
        <v>184</v>
      </c>
      <c r="F176" s="67">
        <v>4</v>
      </c>
      <c r="G176" s="67">
        <v>172500</v>
      </c>
      <c r="H176" s="100">
        <f t="shared" si="5"/>
        <v>690000</v>
      </c>
      <c r="I176" s="68"/>
    </row>
    <row r="177" spans="1:9" ht="15.95" customHeight="1">
      <c r="A177" s="517"/>
      <c r="B177" s="99"/>
      <c r="C177" s="66" t="s">
        <v>305</v>
      </c>
      <c r="D177" s="66"/>
      <c r="E177" s="66" t="s">
        <v>209</v>
      </c>
      <c r="F177" s="67">
        <v>1</v>
      </c>
      <c r="G177" s="67">
        <v>500000</v>
      </c>
      <c r="H177" s="100">
        <f t="shared" si="5"/>
        <v>500000</v>
      </c>
      <c r="I177" s="68"/>
    </row>
    <row r="178" spans="1:9" ht="15.95" customHeight="1">
      <c r="A178" s="517"/>
      <c r="B178" s="99"/>
      <c r="C178" s="66" t="s">
        <v>199</v>
      </c>
      <c r="D178" s="66"/>
      <c r="E178" s="66" t="s">
        <v>209</v>
      </c>
      <c r="F178" s="67">
        <v>1</v>
      </c>
      <c r="G178" s="67">
        <v>150000</v>
      </c>
      <c r="H178" s="100">
        <f t="shared" si="5"/>
        <v>150000</v>
      </c>
      <c r="I178" s="68"/>
    </row>
    <row r="179" spans="1:9" ht="15.95" customHeight="1">
      <c r="A179" s="517"/>
      <c r="B179" s="99"/>
      <c r="C179" s="66" t="s">
        <v>200</v>
      </c>
      <c r="D179" s="66"/>
      <c r="E179" s="66" t="s">
        <v>209</v>
      </c>
      <c r="F179" s="67">
        <v>1</v>
      </c>
      <c r="G179" s="67">
        <v>250000</v>
      </c>
      <c r="H179" s="100">
        <f t="shared" si="5"/>
        <v>250000</v>
      </c>
      <c r="I179" s="68"/>
    </row>
    <row r="180" spans="1:9" ht="15.95" customHeight="1">
      <c r="A180" s="517"/>
      <c r="B180" s="99"/>
      <c r="C180" s="66" t="s">
        <v>306</v>
      </c>
      <c r="D180" s="66" t="s">
        <v>307</v>
      </c>
      <c r="E180" s="66" t="s">
        <v>209</v>
      </c>
      <c r="F180" s="67">
        <v>1</v>
      </c>
      <c r="G180" s="67">
        <v>150000</v>
      </c>
      <c r="H180" s="100">
        <f t="shared" si="5"/>
        <v>150000</v>
      </c>
      <c r="I180" s="68"/>
    </row>
    <row r="181" spans="1:9" ht="15.95" customHeight="1">
      <c r="A181" s="517"/>
      <c r="B181" s="99"/>
      <c r="C181" s="66" t="s">
        <v>308</v>
      </c>
      <c r="D181" s="66" t="s">
        <v>309</v>
      </c>
      <c r="E181" s="66" t="s">
        <v>209</v>
      </c>
      <c r="F181" s="67">
        <v>1</v>
      </c>
      <c r="G181" s="67">
        <v>200000</v>
      </c>
      <c r="H181" s="100">
        <f t="shared" si="5"/>
        <v>200000</v>
      </c>
      <c r="I181" s="68"/>
    </row>
    <row r="182" spans="1:9" ht="15.95" customHeight="1">
      <c r="A182" s="517"/>
      <c r="B182" s="99"/>
      <c r="C182" s="66" t="s">
        <v>212</v>
      </c>
      <c r="D182" s="66" t="s">
        <v>310</v>
      </c>
      <c r="E182" s="66" t="s">
        <v>209</v>
      </c>
      <c r="F182" s="67">
        <v>1</v>
      </c>
      <c r="G182" s="67">
        <v>250000</v>
      </c>
      <c r="H182" s="100">
        <f t="shared" si="5"/>
        <v>250000</v>
      </c>
      <c r="I182" s="68"/>
    </row>
    <row r="183" spans="1:9" ht="15.95" customHeight="1">
      <c r="A183" s="517"/>
      <c r="B183" s="99"/>
      <c r="C183" s="66" t="s">
        <v>311</v>
      </c>
      <c r="D183" s="66" t="s">
        <v>310</v>
      </c>
      <c r="E183" s="66" t="s">
        <v>209</v>
      </c>
      <c r="F183" s="67">
        <v>1</v>
      </c>
      <c r="G183" s="67">
        <v>150000</v>
      </c>
      <c r="H183" s="100">
        <f t="shared" si="5"/>
        <v>150000</v>
      </c>
      <c r="I183" s="68"/>
    </row>
    <row r="184" spans="1:9" ht="15.95" customHeight="1">
      <c r="A184" s="517"/>
      <c r="B184" s="99"/>
      <c r="C184" s="66" t="s">
        <v>201</v>
      </c>
      <c r="D184" s="66"/>
      <c r="E184" s="66" t="s">
        <v>184</v>
      </c>
      <c r="F184" s="67">
        <v>20</v>
      </c>
      <c r="G184" s="67">
        <v>15000</v>
      </c>
      <c r="H184" s="100">
        <f t="shared" si="5"/>
        <v>300000</v>
      </c>
      <c r="I184" s="68"/>
    </row>
    <row r="185" spans="1:9" ht="15.95" customHeight="1">
      <c r="A185" s="517"/>
      <c r="B185" s="99"/>
      <c r="C185" s="66" t="s">
        <v>229</v>
      </c>
      <c r="D185" s="66" t="s">
        <v>211</v>
      </c>
      <c r="E185" s="66" t="s">
        <v>184</v>
      </c>
      <c r="F185" s="67">
        <v>4</v>
      </c>
      <c r="G185" s="67">
        <v>65000</v>
      </c>
      <c r="H185" s="100">
        <f t="shared" si="5"/>
        <v>260000</v>
      </c>
      <c r="I185" s="68"/>
    </row>
    <row r="186" spans="1:9" ht="15.95" customHeight="1">
      <c r="A186" s="517"/>
      <c r="B186" s="99"/>
      <c r="C186" s="66" t="s">
        <v>312</v>
      </c>
      <c r="D186" s="66"/>
      <c r="E186" s="66" t="s">
        <v>186</v>
      </c>
      <c r="F186" s="67">
        <v>4</v>
      </c>
      <c r="G186" s="67">
        <v>100000</v>
      </c>
      <c r="H186" s="100">
        <f t="shared" si="5"/>
        <v>400000</v>
      </c>
      <c r="I186" s="68"/>
    </row>
    <row r="187" spans="1:9" ht="15.95" customHeight="1">
      <c r="A187" s="517"/>
      <c r="B187" s="99"/>
      <c r="C187" s="66" t="s">
        <v>313</v>
      </c>
      <c r="D187" s="66"/>
      <c r="E187" s="66" t="s">
        <v>209</v>
      </c>
      <c r="F187" s="67">
        <v>1</v>
      </c>
      <c r="G187" s="67">
        <v>250000</v>
      </c>
      <c r="H187" s="100">
        <f t="shared" si="5"/>
        <v>250000</v>
      </c>
      <c r="I187" s="68"/>
    </row>
    <row r="188" spans="1:9" ht="15.95" customHeight="1">
      <c r="A188" s="517"/>
      <c r="B188" s="99"/>
      <c r="C188" s="66" t="s">
        <v>314</v>
      </c>
      <c r="D188" s="66"/>
      <c r="E188" s="66" t="s">
        <v>209</v>
      </c>
      <c r="F188" s="67">
        <v>1</v>
      </c>
      <c r="G188" s="67">
        <v>70000</v>
      </c>
      <c r="H188" s="100">
        <f t="shared" si="5"/>
        <v>70000</v>
      </c>
      <c r="I188" s="68"/>
    </row>
    <row r="189" spans="1:9" ht="15.95" customHeight="1">
      <c r="A189" s="517"/>
      <c r="B189" s="99"/>
      <c r="C189" s="66" t="s">
        <v>315</v>
      </c>
      <c r="D189" s="66"/>
      <c r="E189" s="66" t="s">
        <v>209</v>
      </c>
      <c r="F189" s="67">
        <v>1</v>
      </c>
      <c r="G189" s="67">
        <v>150000</v>
      </c>
      <c r="H189" s="100">
        <f t="shared" si="5"/>
        <v>150000</v>
      </c>
      <c r="I189" s="68"/>
    </row>
    <row r="190" spans="1:9" ht="15.95" customHeight="1">
      <c r="A190" s="517"/>
      <c r="B190" s="99"/>
      <c r="C190" s="66" t="s">
        <v>316</v>
      </c>
      <c r="D190" s="66"/>
      <c r="E190" s="66" t="s">
        <v>209</v>
      </c>
      <c r="F190" s="67">
        <v>1</v>
      </c>
      <c r="G190" s="67">
        <v>75000</v>
      </c>
      <c r="H190" s="100">
        <f t="shared" si="5"/>
        <v>75000</v>
      </c>
      <c r="I190" s="68"/>
    </row>
    <row r="191" spans="1:9" ht="15.95" customHeight="1">
      <c r="A191" s="517"/>
      <c r="B191" s="99"/>
      <c r="C191" s="66" t="s">
        <v>317</v>
      </c>
      <c r="D191" s="66"/>
      <c r="E191" s="66" t="s">
        <v>184</v>
      </c>
      <c r="F191" s="67">
        <v>3</v>
      </c>
      <c r="G191" s="67">
        <v>60000</v>
      </c>
      <c r="H191" s="100">
        <f t="shared" si="5"/>
        <v>180000</v>
      </c>
      <c r="I191" s="68"/>
    </row>
    <row r="192" spans="1:9" ht="15.95" customHeight="1">
      <c r="A192" s="517"/>
      <c r="B192" s="99"/>
      <c r="C192" s="66" t="s">
        <v>318</v>
      </c>
      <c r="D192" s="66"/>
      <c r="E192" s="66" t="s">
        <v>209</v>
      </c>
      <c r="F192" s="67">
        <v>1</v>
      </c>
      <c r="G192" s="67">
        <v>50000</v>
      </c>
      <c r="H192" s="100">
        <f t="shared" si="5"/>
        <v>50000</v>
      </c>
      <c r="I192" s="68"/>
    </row>
    <row r="193" spans="1:9" ht="15.95" customHeight="1">
      <c r="A193" s="517"/>
      <c r="B193" s="99" t="s">
        <v>334</v>
      </c>
      <c r="C193" s="66" t="s">
        <v>272</v>
      </c>
      <c r="D193" s="66" t="s">
        <v>273</v>
      </c>
      <c r="E193" s="66" t="s">
        <v>184</v>
      </c>
      <c r="F193" s="67">
        <v>4</v>
      </c>
      <c r="G193" s="67">
        <v>1650000</v>
      </c>
      <c r="H193" s="100">
        <f t="shared" si="5"/>
        <v>6600000</v>
      </c>
      <c r="I193" s="68" t="s">
        <v>320</v>
      </c>
    </row>
    <row r="194" spans="1:9" ht="15.95" customHeight="1">
      <c r="A194" s="517"/>
      <c r="B194" s="99"/>
      <c r="C194" s="66" t="s">
        <v>274</v>
      </c>
      <c r="D194" s="66" t="s">
        <v>275</v>
      </c>
      <c r="E194" s="66" t="s">
        <v>184</v>
      </c>
      <c r="F194" s="67">
        <v>4</v>
      </c>
      <c r="G194" s="67">
        <v>1840000</v>
      </c>
      <c r="H194" s="100">
        <f t="shared" si="5"/>
        <v>7360000</v>
      </c>
      <c r="I194" s="68" t="s">
        <v>320</v>
      </c>
    </row>
    <row r="195" spans="1:9" ht="15.95" customHeight="1">
      <c r="A195" s="517"/>
      <c r="B195" s="99"/>
      <c r="C195" s="66" t="s">
        <v>276</v>
      </c>
      <c r="D195" s="66" t="s">
        <v>277</v>
      </c>
      <c r="E195" s="66" t="s">
        <v>184</v>
      </c>
      <c r="F195" s="67">
        <v>4</v>
      </c>
      <c r="G195" s="67">
        <v>145000</v>
      </c>
      <c r="H195" s="100">
        <f t="shared" si="5"/>
        <v>580000</v>
      </c>
      <c r="I195" s="68" t="s">
        <v>320</v>
      </c>
    </row>
    <row r="196" spans="1:9" ht="15.95" customHeight="1">
      <c r="A196" s="517"/>
      <c r="B196" s="99"/>
      <c r="C196" s="66" t="s">
        <v>278</v>
      </c>
      <c r="D196" s="66" t="s">
        <v>279</v>
      </c>
      <c r="E196" s="66" t="s">
        <v>184</v>
      </c>
      <c r="F196" s="67">
        <v>4</v>
      </c>
      <c r="G196" s="67">
        <v>240000</v>
      </c>
      <c r="H196" s="100">
        <f t="shared" si="5"/>
        <v>960000</v>
      </c>
      <c r="I196" s="68" t="s">
        <v>320</v>
      </c>
    </row>
    <row r="197" spans="1:9" ht="15.95" customHeight="1">
      <c r="A197" s="517"/>
      <c r="B197" s="99"/>
      <c r="C197" s="66" t="s">
        <v>280</v>
      </c>
      <c r="D197" s="66" t="s">
        <v>281</v>
      </c>
      <c r="E197" s="66" t="s">
        <v>184</v>
      </c>
      <c r="F197" s="67">
        <v>4</v>
      </c>
      <c r="G197" s="67">
        <v>221000</v>
      </c>
      <c r="H197" s="100">
        <f t="shared" ref="H197:H303" si="6">IF(F197=0,G197,G197*F197)</f>
        <v>884000</v>
      </c>
      <c r="I197" s="68" t="s">
        <v>320</v>
      </c>
    </row>
    <row r="198" spans="1:9" ht="15.95" customHeight="1">
      <c r="A198" s="517"/>
      <c r="B198" s="99"/>
      <c r="C198" s="66" t="s">
        <v>282</v>
      </c>
      <c r="D198" s="66" t="s">
        <v>283</v>
      </c>
      <c r="E198" s="66" t="s">
        <v>184</v>
      </c>
      <c r="F198" s="67">
        <v>4</v>
      </c>
      <c r="G198" s="67">
        <v>932000</v>
      </c>
      <c r="H198" s="100">
        <f t="shared" si="6"/>
        <v>3728000</v>
      </c>
      <c r="I198" s="68" t="s">
        <v>320</v>
      </c>
    </row>
    <row r="199" spans="1:9" ht="15.95" customHeight="1">
      <c r="A199" s="517"/>
      <c r="B199" s="99"/>
      <c r="C199" s="66" t="s">
        <v>214</v>
      </c>
      <c r="D199" s="66" t="s">
        <v>231</v>
      </c>
      <c r="E199" s="66" t="s">
        <v>184</v>
      </c>
      <c r="F199" s="67">
        <v>2</v>
      </c>
      <c r="G199" s="67">
        <v>210000</v>
      </c>
      <c r="H199" s="100">
        <f t="shared" si="6"/>
        <v>420000</v>
      </c>
      <c r="I199" s="68" t="s">
        <v>320</v>
      </c>
    </row>
    <row r="200" spans="1:9" ht="15.95" customHeight="1">
      <c r="A200" s="517"/>
      <c r="B200" s="99"/>
      <c r="C200" s="66"/>
      <c r="D200" s="66" t="s">
        <v>232</v>
      </c>
      <c r="E200" s="66" t="s">
        <v>184</v>
      </c>
      <c r="F200" s="67">
        <v>2</v>
      </c>
      <c r="G200" s="67">
        <v>210000</v>
      </c>
      <c r="H200" s="100">
        <f t="shared" si="6"/>
        <v>420000</v>
      </c>
      <c r="I200" s="68" t="s">
        <v>320</v>
      </c>
    </row>
    <row r="201" spans="1:9" ht="15.95" customHeight="1">
      <c r="A201" s="517"/>
      <c r="B201" s="99"/>
      <c r="C201" s="66"/>
      <c r="D201" s="66" t="s">
        <v>202</v>
      </c>
      <c r="E201" s="66" t="s">
        <v>184</v>
      </c>
      <c r="F201" s="67">
        <v>3</v>
      </c>
      <c r="G201" s="67">
        <v>210000</v>
      </c>
      <c r="H201" s="100">
        <f t="shared" si="6"/>
        <v>630000</v>
      </c>
      <c r="I201" s="68" t="s">
        <v>320</v>
      </c>
    </row>
    <row r="202" spans="1:9" ht="15.95" customHeight="1">
      <c r="A202" s="517"/>
      <c r="B202" s="99"/>
      <c r="C202" s="66" t="s">
        <v>261</v>
      </c>
      <c r="D202" s="66" t="s">
        <v>249</v>
      </c>
      <c r="E202" s="66" t="s">
        <v>184</v>
      </c>
      <c r="F202" s="67">
        <v>4</v>
      </c>
      <c r="G202" s="67">
        <v>800000</v>
      </c>
      <c r="H202" s="100">
        <f t="shared" si="6"/>
        <v>3200000</v>
      </c>
      <c r="I202" s="68"/>
    </row>
    <row r="203" spans="1:9" ht="15.95" customHeight="1">
      <c r="A203" s="517"/>
      <c r="B203" s="99"/>
      <c r="C203" s="66" t="s">
        <v>216</v>
      </c>
      <c r="D203" s="66" t="s">
        <v>286</v>
      </c>
      <c r="E203" s="66" t="s">
        <v>184</v>
      </c>
      <c r="F203" s="67">
        <v>16</v>
      </c>
      <c r="G203" s="67">
        <v>25600</v>
      </c>
      <c r="H203" s="100">
        <f t="shared" si="6"/>
        <v>409600</v>
      </c>
      <c r="I203" s="68"/>
    </row>
    <row r="204" spans="1:9" ht="15.95" customHeight="1">
      <c r="A204" s="517"/>
      <c r="B204" s="99"/>
      <c r="C204" s="66"/>
      <c r="D204" s="66" t="s">
        <v>287</v>
      </c>
      <c r="E204" s="66" t="s">
        <v>184</v>
      </c>
      <c r="F204" s="67">
        <v>4</v>
      </c>
      <c r="G204" s="67">
        <v>17600</v>
      </c>
      <c r="H204" s="100">
        <f t="shared" si="6"/>
        <v>70400</v>
      </c>
      <c r="I204" s="68"/>
    </row>
    <row r="205" spans="1:9" ht="15.95" customHeight="1">
      <c r="A205" s="517"/>
      <c r="B205" s="99"/>
      <c r="C205" s="66" t="s">
        <v>215</v>
      </c>
      <c r="D205" s="66" t="s">
        <v>203</v>
      </c>
      <c r="E205" s="66" t="s">
        <v>184</v>
      </c>
      <c r="F205" s="67">
        <v>38</v>
      </c>
      <c r="G205" s="67">
        <v>24200</v>
      </c>
      <c r="H205" s="100">
        <f t="shared" si="6"/>
        <v>919600</v>
      </c>
      <c r="I205" s="68"/>
    </row>
    <row r="206" spans="1:9" ht="15.95" customHeight="1">
      <c r="A206" s="517"/>
      <c r="B206" s="99"/>
      <c r="C206" s="66" t="s">
        <v>288</v>
      </c>
      <c r="D206" s="66" t="s">
        <v>289</v>
      </c>
      <c r="E206" s="66" t="s">
        <v>184</v>
      </c>
      <c r="F206" s="67">
        <v>4</v>
      </c>
      <c r="G206" s="67">
        <v>2500</v>
      </c>
      <c r="H206" s="100">
        <f t="shared" si="6"/>
        <v>10000</v>
      </c>
      <c r="I206" s="68"/>
    </row>
    <row r="207" spans="1:9" ht="15.95" customHeight="1">
      <c r="A207" s="517"/>
      <c r="B207" s="99"/>
      <c r="C207" s="66" t="s">
        <v>290</v>
      </c>
      <c r="D207" s="66"/>
      <c r="E207" s="66" t="s">
        <v>186</v>
      </c>
      <c r="F207" s="67">
        <v>4</v>
      </c>
      <c r="G207" s="67">
        <v>1391500</v>
      </c>
      <c r="H207" s="100">
        <f t="shared" si="6"/>
        <v>5566000</v>
      </c>
      <c r="I207" s="68"/>
    </row>
    <row r="208" spans="1:9" ht="15.95" customHeight="1">
      <c r="A208" s="517"/>
      <c r="B208" s="99"/>
      <c r="C208" s="66" t="s">
        <v>291</v>
      </c>
      <c r="D208" s="66"/>
      <c r="E208" s="66" t="s">
        <v>184</v>
      </c>
      <c r="F208" s="67">
        <v>4</v>
      </c>
      <c r="G208" s="67">
        <v>50000</v>
      </c>
      <c r="H208" s="100">
        <f t="shared" si="6"/>
        <v>200000</v>
      </c>
      <c r="I208" s="68"/>
    </row>
    <row r="209" spans="1:9" ht="15.95" customHeight="1">
      <c r="A209" s="517"/>
      <c r="B209" s="99"/>
      <c r="C209" s="66" t="s">
        <v>292</v>
      </c>
      <c r="D209" s="66" t="s">
        <v>206</v>
      </c>
      <c r="E209" s="66" t="s">
        <v>184</v>
      </c>
      <c r="F209" s="67">
        <v>12</v>
      </c>
      <c r="G209" s="67">
        <v>40000</v>
      </c>
      <c r="H209" s="100">
        <f t="shared" si="6"/>
        <v>480000</v>
      </c>
      <c r="I209" s="68"/>
    </row>
    <row r="210" spans="1:9" ht="15.95" customHeight="1">
      <c r="A210" s="517"/>
      <c r="B210" s="99"/>
      <c r="C210" s="66" t="s">
        <v>292</v>
      </c>
      <c r="D210" s="66" t="s">
        <v>205</v>
      </c>
      <c r="E210" s="66" t="s">
        <v>184</v>
      </c>
      <c r="F210" s="67">
        <v>20</v>
      </c>
      <c r="G210" s="67">
        <v>5500</v>
      </c>
      <c r="H210" s="100">
        <f t="shared" si="6"/>
        <v>110000</v>
      </c>
      <c r="I210" s="68"/>
    </row>
    <row r="211" spans="1:9" ht="15.95" customHeight="1">
      <c r="A211" s="517"/>
      <c r="B211" s="99"/>
      <c r="C211" s="66" t="s">
        <v>217</v>
      </c>
      <c r="D211" s="66" t="s">
        <v>293</v>
      </c>
      <c r="E211" s="66" t="s">
        <v>184</v>
      </c>
      <c r="F211" s="67">
        <v>8</v>
      </c>
      <c r="G211" s="67">
        <v>27700</v>
      </c>
      <c r="H211" s="100">
        <f t="shared" si="6"/>
        <v>221600</v>
      </c>
      <c r="I211" s="68"/>
    </row>
    <row r="212" spans="1:9" ht="15.95" customHeight="1">
      <c r="A212" s="517"/>
      <c r="B212" s="99"/>
      <c r="C212" s="66" t="s">
        <v>294</v>
      </c>
      <c r="D212" s="66" t="s">
        <v>295</v>
      </c>
      <c r="E212" s="66" t="s">
        <v>184</v>
      </c>
      <c r="F212" s="67">
        <v>4</v>
      </c>
      <c r="G212" s="67">
        <v>32200</v>
      </c>
      <c r="H212" s="100">
        <f t="shared" si="6"/>
        <v>128800</v>
      </c>
      <c r="I212" s="68"/>
    </row>
    <row r="213" spans="1:9" ht="15.95" customHeight="1">
      <c r="A213" s="517"/>
      <c r="B213" s="99"/>
      <c r="C213" s="66" t="s">
        <v>296</v>
      </c>
      <c r="D213" s="66" t="s">
        <v>297</v>
      </c>
      <c r="E213" s="66" t="s">
        <v>184</v>
      </c>
      <c r="F213" s="67">
        <v>4</v>
      </c>
      <c r="G213" s="67">
        <v>268200</v>
      </c>
      <c r="H213" s="100">
        <f t="shared" si="6"/>
        <v>1072800</v>
      </c>
      <c r="I213" s="68"/>
    </row>
    <row r="214" spans="1:9" ht="15.95" customHeight="1">
      <c r="A214" s="517"/>
      <c r="B214" s="99"/>
      <c r="C214" s="66" t="s">
        <v>296</v>
      </c>
      <c r="D214" s="66" t="s">
        <v>298</v>
      </c>
      <c r="E214" s="66" t="s">
        <v>184</v>
      </c>
      <c r="F214" s="67">
        <v>4</v>
      </c>
      <c r="G214" s="67">
        <v>195000</v>
      </c>
      <c r="H214" s="100">
        <f t="shared" si="6"/>
        <v>780000</v>
      </c>
      <c r="I214" s="68"/>
    </row>
    <row r="215" spans="1:9" ht="15.95" customHeight="1">
      <c r="A215" s="517"/>
      <c r="B215" s="99"/>
      <c r="C215" s="66" t="s">
        <v>299</v>
      </c>
      <c r="D215" s="66" t="s">
        <v>300</v>
      </c>
      <c r="E215" s="66" t="s">
        <v>184</v>
      </c>
      <c r="F215" s="67">
        <v>4</v>
      </c>
      <c r="G215" s="67">
        <v>80000</v>
      </c>
      <c r="H215" s="100">
        <f t="shared" si="6"/>
        <v>320000</v>
      </c>
      <c r="I215" s="68"/>
    </row>
    <row r="216" spans="1:9" ht="15.95" customHeight="1">
      <c r="A216" s="517"/>
      <c r="B216" s="99"/>
      <c r="C216" s="66" t="s">
        <v>219</v>
      </c>
      <c r="D216" s="66"/>
      <c r="E216" s="66" t="s">
        <v>209</v>
      </c>
      <c r="F216" s="67">
        <v>1</v>
      </c>
      <c r="G216" s="67">
        <v>300000</v>
      </c>
      <c r="H216" s="100">
        <f t="shared" si="6"/>
        <v>300000</v>
      </c>
      <c r="I216" s="68"/>
    </row>
    <row r="217" spans="1:9" ht="15.95" customHeight="1">
      <c r="A217" s="517"/>
      <c r="B217" s="99"/>
      <c r="C217" s="66" t="s">
        <v>301</v>
      </c>
      <c r="D217" s="66" t="s">
        <v>302</v>
      </c>
      <c r="E217" s="66" t="s">
        <v>184</v>
      </c>
      <c r="F217" s="67">
        <v>4</v>
      </c>
      <c r="G217" s="67">
        <v>340300</v>
      </c>
      <c r="H217" s="100">
        <f t="shared" si="6"/>
        <v>1361200</v>
      </c>
      <c r="I217" s="68"/>
    </row>
    <row r="218" spans="1:9" ht="15.95" customHeight="1">
      <c r="A218" s="517"/>
      <c r="B218" s="99"/>
      <c r="C218" s="66"/>
      <c r="D218" s="66" t="s">
        <v>303</v>
      </c>
      <c r="E218" s="66" t="s">
        <v>184</v>
      </c>
      <c r="F218" s="67">
        <v>12</v>
      </c>
      <c r="G218" s="67">
        <v>125000</v>
      </c>
      <c r="H218" s="100">
        <f t="shared" si="6"/>
        <v>1500000</v>
      </c>
      <c r="I218" s="68"/>
    </row>
    <row r="219" spans="1:9" ht="15.95" customHeight="1">
      <c r="A219" s="517"/>
      <c r="B219" s="99"/>
      <c r="C219" s="66" t="s">
        <v>220</v>
      </c>
      <c r="D219" s="66"/>
      <c r="E219" s="66" t="s">
        <v>209</v>
      </c>
      <c r="F219" s="67">
        <v>1</v>
      </c>
      <c r="G219" s="67">
        <v>700000</v>
      </c>
      <c r="H219" s="100">
        <f t="shared" si="6"/>
        <v>700000</v>
      </c>
      <c r="I219" s="68"/>
    </row>
    <row r="220" spans="1:9" ht="15.95" customHeight="1">
      <c r="A220" s="517"/>
      <c r="B220" s="99"/>
      <c r="C220" s="66" t="s">
        <v>221</v>
      </c>
      <c r="D220" s="66"/>
      <c r="E220" s="66" t="s">
        <v>209</v>
      </c>
      <c r="F220" s="67">
        <v>1</v>
      </c>
      <c r="G220" s="67">
        <v>300000</v>
      </c>
      <c r="H220" s="100">
        <f t="shared" si="6"/>
        <v>300000</v>
      </c>
      <c r="I220" s="68"/>
    </row>
    <row r="221" spans="1:9" ht="15.95" customHeight="1">
      <c r="A221" s="517"/>
      <c r="B221" s="99"/>
      <c r="C221" s="66" t="s">
        <v>222</v>
      </c>
      <c r="D221" s="66"/>
      <c r="E221" s="66" t="s">
        <v>209</v>
      </c>
      <c r="F221" s="67">
        <v>1</v>
      </c>
      <c r="G221" s="67">
        <v>300000</v>
      </c>
      <c r="H221" s="100">
        <f t="shared" si="6"/>
        <v>300000</v>
      </c>
      <c r="I221" s="68"/>
    </row>
    <row r="222" spans="1:9" ht="15.95" customHeight="1">
      <c r="A222" s="517"/>
      <c r="B222" s="99"/>
      <c r="C222" s="66" t="s">
        <v>223</v>
      </c>
      <c r="D222" s="66"/>
      <c r="E222" s="66" t="s">
        <v>209</v>
      </c>
      <c r="F222" s="67">
        <v>1</v>
      </c>
      <c r="G222" s="67">
        <v>200000</v>
      </c>
      <c r="H222" s="100">
        <f t="shared" si="6"/>
        <v>200000</v>
      </c>
      <c r="I222" s="68"/>
    </row>
    <row r="223" spans="1:9" ht="15.95" customHeight="1">
      <c r="A223" s="517"/>
      <c r="B223" s="99"/>
      <c r="C223" s="66" t="s">
        <v>304</v>
      </c>
      <c r="D223" s="66" t="s">
        <v>204</v>
      </c>
      <c r="E223" s="66" t="s">
        <v>184</v>
      </c>
      <c r="F223" s="67">
        <v>4</v>
      </c>
      <c r="G223" s="67">
        <v>172500</v>
      </c>
      <c r="H223" s="100">
        <f t="shared" si="6"/>
        <v>690000</v>
      </c>
      <c r="I223" s="68"/>
    </row>
    <row r="224" spans="1:9" ht="15.95" customHeight="1">
      <c r="A224" s="517"/>
      <c r="B224" s="99"/>
      <c r="C224" s="66" t="s">
        <v>305</v>
      </c>
      <c r="D224" s="66"/>
      <c r="E224" s="66" t="s">
        <v>209</v>
      </c>
      <c r="F224" s="67">
        <v>1</v>
      </c>
      <c r="G224" s="67">
        <v>300000</v>
      </c>
      <c r="H224" s="100">
        <f t="shared" si="6"/>
        <v>300000</v>
      </c>
      <c r="I224" s="68"/>
    </row>
    <row r="225" spans="1:9" ht="15.95" customHeight="1">
      <c r="A225" s="517"/>
      <c r="B225" s="99"/>
      <c r="C225" s="66" t="s">
        <v>199</v>
      </c>
      <c r="D225" s="66"/>
      <c r="E225" s="66" t="s">
        <v>209</v>
      </c>
      <c r="F225" s="67">
        <v>1</v>
      </c>
      <c r="G225" s="67">
        <v>200000</v>
      </c>
      <c r="H225" s="100">
        <f t="shared" si="6"/>
        <v>200000</v>
      </c>
      <c r="I225" s="68"/>
    </row>
    <row r="226" spans="1:9" ht="15.95" customHeight="1">
      <c r="A226" s="517"/>
      <c r="B226" s="99"/>
      <c r="C226" s="66" t="s">
        <v>200</v>
      </c>
      <c r="D226" s="66"/>
      <c r="E226" s="66" t="s">
        <v>209</v>
      </c>
      <c r="F226" s="67">
        <v>1</v>
      </c>
      <c r="G226" s="67">
        <v>300000</v>
      </c>
      <c r="H226" s="100">
        <f t="shared" si="6"/>
        <v>300000</v>
      </c>
      <c r="I226" s="68"/>
    </row>
    <row r="227" spans="1:9" ht="15.95" customHeight="1">
      <c r="A227" s="517"/>
      <c r="B227" s="99"/>
      <c r="C227" s="66" t="s">
        <v>306</v>
      </c>
      <c r="D227" s="66" t="s">
        <v>307</v>
      </c>
      <c r="E227" s="66" t="s">
        <v>209</v>
      </c>
      <c r="F227" s="67">
        <v>1</v>
      </c>
      <c r="G227" s="67">
        <v>200000</v>
      </c>
      <c r="H227" s="100">
        <f t="shared" si="6"/>
        <v>200000</v>
      </c>
      <c r="I227" s="68"/>
    </row>
    <row r="228" spans="1:9" ht="15.95" customHeight="1">
      <c r="A228" s="517"/>
      <c r="B228" s="99"/>
      <c r="C228" s="66" t="s">
        <v>308</v>
      </c>
      <c r="D228" s="66" t="s">
        <v>309</v>
      </c>
      <c r="E228" s="66" t="s">
        <v>209</v>
      </c>
      <c r="F228" s="67">
        <v>1</v>
      </c>
      <c r="G228" s="67">
        <v>150000</v>
      </c>
      <c r="H228" s="100">
        <f t="shared" si="6"/>
        <v>150000</v>
      </c>
      <c r="I228" s="68"/>
    </row>
    <row r="229" spans="1:9" ht="15.95" customHeight="1">
      <c r="A229" s="517"/>
      <c r="B229" s="99"/>
      <c r="C229" s="66" t="s">
        <v>212</v>
      </c>
      <c r="D229" s="66" t="s">
        <v>310</v>
      </c>
      <c r="E229" s="66" t="s">
        <v>209</v>
      </c>
      <c r="F229" s="67">
        <v>1</v>
      </c>
      <c r="G229" s="67">
        <v>300000</v>
      </c>
      <c r="H229" s="100">
        <f t="shared" si="6"/>
        <v>300000</v>
      </c>
      <c r="I229" s="68"/>
    </row>
    <row r="230" spans="1:9" ht="15.95" customHeight="1">
      <c r="A230" s="517"/>
      <c r="B230" s="99"/>
      <c r="C230" s="66" t="s">
        <v>311</v>
      </c>
      <c r="D230" s="66" t="s">
        <v>310</v>
      </c>
      <c r="E230" s="66" t="s">
        <v>209</v>
      </c>
      <c r="F230" s="67">
        <v>1</v>
      </c>
      <c r="G230" s="67">
        <v>150000</v>
      </c>
      <c r="H230" s="100">
        <f t="shared" si="6"/>
        <v>150000</v>
      </c>
      <c r="I230" s="68"/>
    </row>
    <row r="231" spans="1:9" ht="15.95" customHeight="1">
      <c r="A231" s="517"/>
      <c r="B231" s="99"/>
      <c r="C231" s="66" t="s">
        <v>250</v>
      </c>
      <c r="D231" s="66" t="s">
        <v>253</v>
      </c>
      <c r="E231" s="66" t="s">
        <v>186</v>
      </c>
      <c r="F231" s="67">
        <v>4</v>
      </c>
      <c r="G231" s="67">
        <v>200000</v>
      </c>
      <c r="H231" s="100">
        <f t="shared" si="6"/>
        <v>800000</v>
      </c>
      <c r="I231" s="68"/>
    </row>
    <row r="232" spans="1:9" ht="15.95" customHeight="1">
      <c r="A232" s="517"/>
      <c r="B232" s="99"/>
      <c r="C232" s="66" t="s">
        <v>251</v>
      </c>
      <c r="D232" s="66" t="s">
        <v>254</v>
      </c>
      <c r="E232" s="66" t="s">
        <v>186</v>
      </c>
      <c r="F232" s="67">
        <v>3</v>
      </c>
      <c r="G232" s="67">
        <v>280000</v>
      </c>
      <c r="H232" s="100">
        <f t="shared" si="6"/>
        <v>840000</v>
      </c>
      <c r="I232" s="68"/>
    </row>
    <row r="233" spans="1:9" ht="15.95" customHeight="1">
      <c r="A233" s="517"/>
      <c r="B233" s="99"/>
      <c r="C233" s="66" t="s">
        <v>201</v>
      </c>
      <c r="D233" s="66"/>
      <c r="E233" s="66" t="s">
        <v>184</v>
      </c>
      <c r="F233" s="67">
        <v>10</v>
      </c>
      <c r="G233" s="67">
        <v>15000</v>
      </c>
      <c r="H233" s="100">
        <f t="shared" si="6"/>
        <v>150000</v>
      </c>
      <c r="I233" s="68"/>
    </row>
    <row r="234" spans="1:9" ht="15.95" customHeight="1">
      <c r="A234" s="517"/>
      <c r="B234" s="99"/>
      <c r="C234" s="66" t="s">
        <v>229</v>
      </c>
      <c r="D234" s="66" t="s">
        <v>211</v>
      </c>
      <c r="E234" s="66" t="s">
        <v>184</v>
      </c>
      <c r="F234" s="67">
        <v>4</v>
      </c>
      <c r="G234" s="67">
        <v>65000</v>
      </c>
      <c r="H234" s="100">
        <f t="shared" si="6"/>
        <v>260000</v>
      </c>
      <c r="I234" s="68"/>
    </row>
    <row r="235" spans="1:9" ht="15.95" customHeight="1">
      <c r="A235" s="517"/>
      <c r="B235" s="99"/>
      <c r="C235" s="66" t="s">
        <v>312</v>
      </c>
      <c r="D235" s="66"/>
      <c r="E235" s="66" t="s">
        <v>186</v>
      </c>
      <c r="F235" s="67">
        <v>4</v>
      </c>
      <c r="G235" s="67">
        <v>100000</v>
      </c>
      <c r="H235" s="100">
        <f t="shared" si="6"/>
        <v>400000</v>
      </c>
      <c r="I235" s="68"/>
    </row>
    <row r="236" spans="1:9" ht="15.95" customHeight="1">
      <c r="A236" s="517"/>
      <c r="B236" s="99"/>
      <c r="C236" s="66" t="s">
        <v>313</v>
      </c>
      <c r="D236" s="66"/>
      <c r="E236" s="66" t="s">
        <v>209</v>
      </c>
      <c r="F236" s="67">
        <v>1</v>
      </c>
      <c r="G236" s="67">
        <v>200000</v>
      </c>
      <c r="H236" s="100">
        <f t="shared" si="6"/>
        <v>200000</v>
      </c>
      <c r="I236" s="68"/>
    </row>
    <row r="237" spans="1:9" ht="15.95" customHeight="1">
      <c r="A237" s="517"/>
      <c r="B237" s="99"/>
      <c r="C237" s="66" t="s">
        <v>314</v>
      </c>
      <c r="D237" s="66"/>
      <c r="E237" s="66" t="s">
        <v>209</v>
      </c>
      <c r="F237" s="67">
        <v>1</v>
      </c>
      <c r="G237" s="67">
        <v>50000</v>
      </c>
      <c r="H237" s="100">
        <f t="shared" si="6"/>
        <v>50000</v>
      </c>
      <c r="I237" s="68"/>
    </row>
    <row r="238" spans="1:9" ht="15.95" customHeight="1">
      <c r="A238" s="517"/>
      <c r="B238" s="99"/>
      <c r="C238" s="66" t="s">
        <v>315</v>
      </c>
      <c r="D238" s="66"/>
      <c r="E238" s="66" t="s">
        <v>209</v>
      </c>
      <c r="F238" s="67">
        <v>1</v>
      </c>
      <c r="G238" s="67">
        <v>100000</v>
      </c>
      <c r="H238" s="100">
        <f t="shared" si="6"/>
        <v>100000</v>
      </c>
      <c r="I238" s="68"/>
    </row>
    <row r="239" spans="1:9" ht="15.95" customHeight="1">
      <c r="A239" s="517"/>
      <c r="B239" s="99"/>
      <c r="C239" s="66" t="s">
        <v>316</v>
      </c>
      <c r="D239" s="66"/>
      <c r="E239" s="66" t="s">
        <v>209</v>
      </c>
      <c r="F239" s="67">
        <v>1</v>
      </c>
      <c r="G239" s="67">
        <v>50000</v>
      </c>
      <c r="H239" s="100">
        <f t="shared" si="6"/>
        <v>50000</v>
      </c>
      <c r="I239" s="68"/>
    </row>
    <row r="240" spans="1:9" ht="15.95" customHeight="1">
      <c r="A240" s="517"/>
      <c r="B240" s="99"/>
      <c r="C240" s="66" t="s">
        <v>317</v>
      </c>
      <c r="D240" s="66"/>
      <c r="E240" s="66" t="s">
        <v>184</v>
      </c>
      <c r="F240" s="67">
        <v>5</v>
      </c>
      <c r="G240" s="67">
        <v>60000</v>
      </c>
      <c r="H240" s="100">
        <f t="shared" si="6"/>
        <v>300000</v>
      </c>
      <c r="I240" s="68"/>
    </row>
    <row r="241" spans="1:9" ht="15.95" customHeight="1">
      <c r="A241" s="517"/>
      <c r="B241" s="99"/>
      <c r="C241" s="66" t="s">
        <v>318</v>
      </c>
      <c r="D241" s="66"/>
      <c r="E241" s="66" t="s">
        <v>209</v>
      </c>
      <c r="F241" s="67">
        <v>1</v>
      </c>
      <c r="G241" s="67">
        <v>50000</v>
      </c>
      <c r="H241" s="100">
        <f t="shared" si="6"/>
        <v>50000</v>
      </c>
      <c r="I241" s="68"/>
    </row>
    <row r="242" spans="1:9" ht="15.95" customHeight="1">
      <c r="A242" s="517"/>
      <c r="B242" s="99"/>
      <c r="C242" s="66" t="s">
        <v>258</v>
      </c>
      <c r="D242" s="66" t="s">
        <v>259</v>
      </c>
      <c r="E242" s="66" t="s">
        <v>209</v>
      </c>
      <c r="F242" s="67">
        <v>1</v>
      </c>
      <c r="G242" s="67">
        <v>100000</v>
      </c>
      <c r="H242" s="100">
        <f t="shared" si="6"/>
        <v>100000</v>
      </c>
      <c r="I242" s="68"/>
    </row>
    <row r="243" spans="1:9" ht="15.95" customHeight="1">
      <c r="A243" s="517"/>
      <c r="B243" s="99"/>
      <c r="C243" s="66" t="s">
        <v>235</v>
      </c>
      <c r="D243" s="66"/>
      <c r="E243" s="66" t="s">
        <v>186</v>
      </c>
      <c r="F243" s="67">
        <v>1</v>
      </c>
      <c r="G243" s="67">
        <v>2260000</v>
      </c>
      <c r="H243" s="100">
        <f t="shared" si="6"/>
        <v>2260000</v>
      </c>
      <c r="I243" s="68"/>
    </row>
    <row r="244" spans="1:9" ht="15.95" customHeight="1">
      <c r="A244" s="517"/>
      <c r="B244" s="99" t="s">
        <v>335</v>
      </c>
      <c r="C244" s="66" t="s">
        <v>272</v>
      </c>
      <c r="D244" s="66" t="s">
        <v>273</v>
      </c>
      <c r="E244" s="66" t="s">
        <v>184</v>
      </c>
      <c r="F244" s="67">
        <v>8</v>
      </c>
      <c r="G244" s="67">
        <v>1650000</v>
      </c>
      <c r="H244" s="100">
        <f t="shared" si="6"/>
        <v>13200000</v>
      </c>
      <c r="I244" s="68" t="s">
        <v>320</v>
      </c>
    </row>
    <row r="245" spans="1:9" ht="15.95" customHeight="1">
      <c r="A245" s="517"/>
      <c r="B245" s="99"/>
      <c r="C245" s="66" t="s">
        <v>274</v>
      </c>
      <c r="D245" s="66" t="s">
        <v>336</v>
      </c>
      <c r="E245" s="66" t="s">
        <v>184</v>
      </c>
      <c r="F245" s="67">
        <v>1</v>
      </c>
      <c r="G245" s="67">
        <v>1840000</v>
      </c>
      <c r="H245" s="100">
        <f t="shared" si="6"/>
        <v>1840000</v>
      </c>
      <c r="I245" s="68" t="s">
        <v>320</v>
      </c>
    </row>
    <row r="246" spans="1:9" ht="15.95" customHeight="1">
      <c r="A246" s="517"/>
      <c r="B246" s="99"/>
      <c r="C246" s="66" t="s">
        <v>276</v>
      </c>
      <c r="D246" s="66" t="s">
        <v>277</v>
      </c>
      <c r="E246" s="66" t="s">
        <v>184</v>
      </c>
      <c r="F246" s="67">
        <v>1</v>
      </c>
      <c r="G246" s="67">
        <v>145000</v>
      </c>
      <c r="H246" s="100">
        <f t="shared" si="6"/>
        <v>145000</v>
      </c>
      <c r="I246" s="68" t="s">
        <v>320</v>
      </c>
    </row>
    <row r="247" spans="1:9" ht="15.95" customHeight="1">
      <c r="A247" s="517"/>
      <c r="B247" s="99"/>
      <c r="C247" s="66" t="s">
        <v>278</v>
      </c>
      <c r="D247" s="66" t="s">
        <v>279</v>
      </c>
      <c r="E247" s="66" t="s">
        <v>184</v>
      </c>
      <c r="F247" s="67">
        <v>1</v>
      </c>
      <c r="G247" s="67">
        <v>240000</v>
      </c>
      <c r="H247" s="100">
        <f t="shared" si="6"/>
        <v>240000</v>
      </c>
      <c r="I247" s="68" t="s">
        <v>320</v>
      </c>
    </row>
    <row r="248" spans="1:9" ht="15.95" customHeight="1">
      <c r="A248" s="517"/>
      <c r="B248" s="99"/>
      <c r="C248" s="66" t="s">
        <v>280</v>
      </c>
      <c r="D248" s="66" t="s">
        <v>281</v>
      </c>
      <c r="E248" s="66" t="s">
        <v>184</v>
      </c>
      <c r="F248" s="67">
        <v>1</v>
      </c>
      <c r="G248" s="67">
        <v>221000</v>
      </c>
      <c r="H248" s="100">
        <f t="shared" si="6"/>
        <v>221000</v>
      </c>
      <c r="I248" s="68" t="s">
        <v>320</v>
      </c>
    </row>
    <row r="249" spans="1:9" ht="15.95" customHeight="1">
      <c r="A249" s="517"/>
      <c r="B249" s="99"/>
      <c r="C249" s="66" t="s">
        <v>282</v>
      </c>
      <c r="D249" s="66" t="s">
        <v>283</v>
      </c>
      <c r="E249" s="66" t="s">
        <v>184</v>
      </c>
      <c r="F249" s="67">
        <v>3</v>
      </c>
      <c r="G249" s="67">
        <v>932000</v>
      </c>
      <c r="H249" s="100">
        <f t="shared" si="6"/>
        <v>2796000</v>
      </c>
      <c r="I249" s="68" t="s">
        <v>320</v>
      </c>
    </row>
    <row r="250" spans="1:9" ht="15.95" customHeight="1">
      <c r="A250" s="517"/>
      <c r="B250" s="99"/>
      <c r="C250" s="66" t="s">
        <v>284</v>
      </c>
      <c r="D250" s="66" t="s">
        <v>285</v>
      </c>
      <c r="E250" s="66" t="s">
        <v>184</v>
      </c>
      <c r="F250" s="67">
        <v>4</v>
      </c>
      <c r="G250" s="67">
        <v>500000</v>
      </c>
      <c r="H250" s="100">
        <f t="shared" si="6"/>
        <v>2000000</v>
      </c>
      <c r="I250" s="68" t="s">
        <v>320</v>
      </c>
    </row>
    <row r="251" spans="1:9" ht="15.95" customHeight="1">
      <c r="A251" s="517"/>
      <c r="B251" s="99"/>
      <c r="C251" s="66" t="s">
        <v>337</v>
      </c>
      <c r="D251" s="66" t="s">
        <v>338</v>
      </c>
      <c r="E251" s="66" t="s">
        <v>184</v>
      </c>
      <c r="F251" s="67">
        <v>2</v>
      </c>
      <c r="G251" s="67">
        <v>320000</v>
      </c>
      <c r="H251" s="100">
        <f t="shared" si="6"/>
        <v>640000</v>
      </c>
      <c r="I251" s="68" t="s">
        <v>320</v>
      </c>
    </row>
    <row r="252" spans="1:9" ht="15.95" customHeight="1">
      <c r="A252" s="517"/>
      <c r="B252" s="99"/>
      <c r="C252" s="66" t="s">
        <v>339</v>
      </c>
      <c r="D252" s="66" t="s">
        <v>340</v>
      </c>
      <c r="E252" s="66" t="s">
        <v>184</v>
      </c>
      <c r="F252" s="67">
        <v>2</v>
      </c>
      <c r="G252" s="67">
        <v>320000</v>
      </c>
      <c r="H252" s="100">
        <f t="shared" si="6"/>
        <v>640000</v>
      </c>
      <c r="I252" s="68" t="s">
        <v>320</v>
      </c>
    </row>
    <row r="253" spans="1:9" ht="15.95" customHeight="1">
      <c r="A253" s="517"/>
      <c r="B253" s="99"/>
      <c r="C253" s="66" t="s">
        <v>214</v>
      </c>
      <c r="D253" s="66" t="s">
        <v>341</v>
      </c>
      <c r="E253" s="66" t="s">
        <v>184</v>
      </c>
      <c r="F253" s="67">
        <v>46</v>
      </c>
      <c r="G253" s="67">
        <v>210000</v>
      </c>
      <c r="H253" s="100">
        <f t="shared" si="6"/>
        <v>9660000</v>
      </c>
      <c r="I253" s="68" t="s">
        <v>320</v>
      </c>
    </row>
    <row r="254" spans="1:9" ht="15.95" customHeight="1">
      <c r="A254" s="517"/>
      <c r="B254" s="99"/>
      <c r="C254" s="66" t="s">
        <v>218</v>
      </c>
      <c r="D254" s="66" t="s">
        <v>342</v>
      </c>
      <c r="E254" s="66" t="s">
        <v>184</v>
      </c>
      <c r="F254" s="67">
        <v>2</v>
      </c>
      <c r="G254" s="67">
        <v>488300</v>
      </c>
      <c r="H254" s="100">
        <f t="shared" si="6"/>
        <v>976600</v>
      </c>
      <c r="I254" s="68" t="s">
        <v>320</v>
      </c>
    </row>
    <row r="255" spans="1:9" ht="15.95" customHeight="1">
      <c r="A255" s="517"/>
      <c r="B255" s="99"/>
      <c r="C255" s="66" t="s">
        <v>344</v>
      </c>
      <c r="D255" s="66" t="s">
        <v>345</v>
      </c>
      <c r="E255" s="66" t="s">
        <v>184</v>
      </c>
      <c r="F255" s="67">
        <v>1</v>
      </c>
      <c r="G255" s="67">
        <v>66600</v>
      </c>
      <c r="H255" s="100">
        <f t="shared" si="6"/>
        <v>66600</v>
      </c>
      <c r="I255" s="68"/>
    </row>
    <row r="256" spans="1:9" ht="15.95" customHeight="1">
      <c r="A256" s="517"/>
      <c r="B256" s="99"/>
      <c r="C256" s="66" t="s">
        <v>346</v>
      </c>
      <c r="D256" s="66"/>
      <c r="E256" s="66" t="s">
        <v>184</v>
      </c>
      <c r="F256" s="67">
        <v>1</v>
      </c>
      <c r="G256" s="67">
        <v>12200</v>
      </c>
      <c r="H256" s="100">
        <f t="shared" si="6"/>
        <v>12200</v>
      </c>
      <c r="I256" s="68"/>
    </row>
    <row r="257" spans="1:9" ht="15.95" customHeight="1">
      <c r="A257" s="517"/>
      <c r="B257" s="99"/>
      <c r="C257" s="66" t="s">
        <v>216</v>
      </c>
      <c r="D257" s="66" t="s">
        <v>233</v>
      </c>
      <c r="E257" s="66" t="s">
        <v>184</v>
      </c>
      <c r="F257" s="67">
        <v>40</v>
      </c>
      <c r="G257" s="67">
        <v>46600</v>
      </c>
      <c r="H257" s="100">
        <f t="shared" si="6"/>
        <v>1864000</v>
      </c>
      <c r="I257" s="68"/>
    </row>
    <row r="258" spans="1:9" ht="15.95" customHeight="1">
      <c r="A258" s="517"/>
      <c r="B258" s="99"/>
      <c r="C258" s="66"/>
      <c r="D258" s="66" t="s">
        <v>347</v>
      </c>
      <c r="E258" s="66" t="s">
        <v>184</v>
      </c>
      <c r="F258" s="67">
        <v>40</v>
      </c>
      <c r="G258" s="67">
        <v>7150</v>
      </c>
      <c r="H258" s="100">
        <f t="shared" si="6"/>
        <v>286000</v>
      </c>
      <c r="I258" s="68"/>
    </row>
    <row r="259" spans="1:9" ht="15.95" customHeight="1">
      <c r="A259" s="517"/>
      <c r="B259" s="99"/>
      <c r="C259" s="66" t="s">
        <v>216</v>
      </c>
      <c r="D259" s="66" t="s">
        <v>286</v>
      </c>
      <c r="E259" s="66" t="s">
        <v>184</v>
      </c>
      <c r="F259" s="67">
        <v>8</v>
      </c>
      <c r="G259" s="67">
        <v>25600</v>
      </c>
      <c r="H259" s="100">
        <f t="shared" si="6"/>
        <v>204800</v>
      </c>
      <c r="I259" s="68"/>
    </row>
    <row r="260" spans="1:9" ht="15.95" customHeight="1">
      <c r="A260" s="517"/>
      <c r="B260" s="99"/>
      <c r="C260" s="66" t="s">
        <v>215</v>
      </c>
      <c r="D260" s="66" t="s">
        <v>203</v>
      </c>
      <c r="E260" s="66" t="s">
        <v>184</v>
      </c>
      <c r="F260" s="67">
        <v>36</v>
      </c>
      <c r="G260" s="67">
        <v>24200</v>
      </c>
      <c r="H260" s="100">
        <f t="shared" si="6"/>
        <v>871200</v>
      </c>
      <c r="I260" s="68"/>
    </row>
    <row r="261" spans="1:9" ht="15.95" customHeight="1">
      <c r="A261" s="517"/>
      <c r="B261" s="99"/>
      <c r="C261" s="66" t="s">
        <v>288</v>
      </c>
      <c r="D261" s="66" t="s">
        <v>289</v>
      </c>
      <c r="E261" s="66" t="s">
        <v>184</v>
      </c>
      <c r="F261" s="67">
        <v>1</v>
      </c>
      <c r="G261" s="67">
        <v>2500</v>
      </c>
      <c r="H261" s="100">
        <f t="shared" si="6"/>
        <v>2500</v>
      </c>
      <c r="I261" s="68"/>
    </row>
    <row r="262" spans="1:9" ht="15.95" customHeight="1">
      <c r="A262" s="517"/>
      <c r="B262" s="99"/>
      <c r="C262" s="66" t="s">
        <v>290</v>
      </c>
      <c r="D262" s="66"/>
      <c r="E262" s="66" t="s">
        <v>186</v>
      </c>
      <c r="F262" s="67">
        <v>1</v>
      </c>
      <c r="G262" s="67">
        <v>2800000</v>
      </c>
      <c r="H262" s="100">
        <f t="shared" si="6"/>
        <v>2800000</v>
      </c>
      <c r="I262" s="68"/>
    </row>
    <row r="263" spans="1:9" ht="15.95" customHeight="1">
      <c r="A263" s="517"/>
      <c r="B263" s="99"/>
      <c r="C263" s="66" t="s">
        <v>291</v>
      </c>
      <c r="D263" s="66"/>
      <c r="E263" s="66" t="s">
        <v>184</v>
      </c>
      <c r="F263" s="67">
        <v>1</v>
      </c>
      <c r="G263" s="67">
        <v>50000</v>
      </c>
      <c r="H263" s="100">
        <f t="shared" si="6"/>
        <v>50000</v>
      </c>
      <c r="I263" s="68"/>
    </row>
    <row r="264" spans="1:9" ht="15.95" customHeight="1">
      <c r="A264" s="517"/>
      <c r="B264" s="99"/>
      <c r="C264" s="66" t="s">
        <v>292</v>
      </c>
      <c r="D264" s="66" t="s">
        <v>206</v>
      </c>
      <c r="E264" s="66" t="s">
        <v>184</v>
      </c>
      <c r="F264" s="67">
        <v>12</v>
      </c>
      <c r="G264" s="67">
        <v>40000</v>
      </c>
      <c r="H264" s="100">
        <f t="shared" si="6"/>
        <v>480000</v>
      </c>
      <c r="I264" s="68"/>
    </row>
    <row r="265" spans="1:9" ht="15.95" customHeight="1">
      <c r="A265" s="517"/>
      <c r="B265" s="99"/>
      <c r="C265" s="66" t="s">
        <v>292</v>
      </c>
      <c r="D265" s="66" t="s">
        <v>205</v>
      </c>
      <c r="E265" s="66" t="s">
        <v>184</v>
      </c>
      <c r="F265" s="67">
        <v>20</v>
      </c>
      <c r="G265" s="67">
        <v>5500</v>
      </c>
      <c r="H265" s="100">
        <f t="shared" si="6"/>
        <v>110000</v>
      </c>
      <c r="I265" s="68"/>
    </row>
    <row r="266" spans="1:9" ht="15.95" customHeight="1">
      <c r="A266" s="517"/>
      <c r="B266" s="99"/>
      <c r="C266" s="66" t="s">
        <v>217</v>
      </c>
      <c r="D266" s="66" t="s">
        <v>293</v>
      </c>
      <c r="E266" s="66" t="s">
        <v>184</v>
      </c>
      <c r="F266" s="67">
        <v>18</v>
      </c>
      <c r="G266" s="67">
        <v>27700</v>
      </c>
      <c r="H266" s="100">
        <f t="shared" si="6"/>
        <v>498600</v>
      </c>
      <c r="I266" s="68"/>
    </row>
    <row r="267" spans="1:9" ht="15.95" customHeight="1">
      <c r="A267" s="517"/>
      <c r="B267" s="99"/>
      <c r="C267" s="66" t="s">
        <v>348</v>
      </c>
      <c r="D267" s="66" t="s">
        <v>349</v>
      </c>
      <c r="E267" s="66" t="s">
        <v>184</v>
      </c>
      <c r="F267" s="67">
        <v>10</v>
      </c>
      <c r="G267" s="67">
        <v>22000</v>
      </c>
      <c r="H267" s="100">
        <f t="shared" si="6"/>
        <v>220000</v>
      </c>
      <c r="I267" s="68"/>
    </row>
    <row r="268" spans="1:9" ht="15.95" customHeight="1">
      <c r="A268" s="517"/>
      <c r="B268" s="99"/>
      <c r="C268" s="66" t="s">
        <v>294</v>
      </c>
      <c r="D268" s="66" t="s">
        <v>295</v>
      </c>
      <c r="E268" s="66" t="s">
        <v>184</v>
      </c>
      <c r="F268" s="67">
        <v>1</v>
      </c>
      <c r="G268" s="67">
        <v>32200</v>
      </c>
      <c r="H268" s="100">
        <f t="shared" si="6"/>
        <v>32200</v>
      </c>
      <c r="I268" s="68"/>
    </row>
    <row r="269" spans="1:9" ht="15.95" customHeight="1">
      <c r="A269" s="517"/>
      <c r="B269" s="99"/>
      <c r="C269" s="66" t="s">
        <v>296</v>
      </c>
      <c r="D269" s="66" t="s">
        <v>297</v>
      </c>
      <c r="E269" s="66" t="s">
        <v>184</v>
      </c>
      <c r="F269" s="67">
        <v>3</v>
      </c>
      <c r="G269" s="67">
        <v>268200</v>
      </c>
      <c r="H269" s="100">
        <f t="shared" si="6"/>
        <v>804600</v>
      </c>
      <c r="I269" s="68"/>
    </row>
    <row r="270" spans="1:9" ht="15.95" customHeight="1">
      <c r="A270" s="517"/>
      <c r="B270" s="99"/>
      <c r="C270" s="66" t="s">
        <v>296</v>
      </c>
      <c r="D270" s="66" t="s">
        <v>298</v>
      </c>
      <c r="E270" s="66" t="s">
        <v>184</v>
      </c>
      <c r="F270" s="67">
        <v>2</v>
      </c>
      <c r="G270" s="67">
        <v>195000</v>
      </c>
      <c r="H270" s="100">
        <f t="shared" si="6"/>
        <v>390000</v>
      </c>
      <c r="I270" s="68"/>
    </row>
    <row r="271" spans="1:9" ht="15.95" customHeight="1">
      <c r="A271" s="517"/>
      <c r="B271" s="99"/>
      <c r="C271" s="66" t="s">
        <v>350</v>
      </c>
      <c r="D271" s="66" t="s">
        <v>351</v>
      </c>
      <c r="E271" s="66" t="s">
        <v>184</v>
      </c>
      <c r="F271" s="67">
        <v>1</v>
      </c>
      <c r="G271" s="67">
        <v>458800</v>
      </c>
      <c r="H271" s="100">
        <f t="shared" si="6"/>
        <v>458800</v>
      </c>
      <c r="I271" s="68"/>
    </row>
    <row r="272" spans="1:9" ht="15.95" customHeight="1">
      <c r="A272" s="517"/>
      <c r="B272" s="99"/>
      <c r="C272" s="66"/>
      <c r="D272" s="66" t="s">
        <v>352</v>
      </c>
      <c r="E272" s="66" t="s">
        <v>184</v>
      </c>
      <c r="F272" s="67">
        <v>1</v>
      </c>
      <c r="G272" s="67">
        <v>2047000</v>
      </c>
      <c r="H272" s="100">
        <f t="shared" si="6"/>
        <v>2047000</v>
      </c>
      <c r="I272" s="68"/>
    </row>
    <row r="273" spans="1:9" ht="15.95" customHeight="1">
      <c r="A273" s="517"/>
      <c r="B273" s="99"/>
      <c r="C273" s="66" t="s">
        <v>353</v>
      </c>
      <c r="D273" s="66" t="s">
        <v>354</v>
      </c>
      <c r="E273" s="66" t="s">
        <v>184</v>
      </c>
      <c r="F273" s="67">
        <v>2</v>
      </c>
      <c r="G273" s="67">
        <v>150000</v>
      </c>
      <c r="H273" s="100">
        <f t="shared" si="6"/>
        <v>300000</v>
      </c>
      <c r="I273" s="68"/>
    </row>
    <row r="274" spans="1:9" ht="15.95" customHeight="1">
      <c r="A274" s="517"/>
      <c r="B274" s="99"/>
      <c r="C274" s="66" t="s">
        <v>355</v>
      </c>
      <c r="D274" s="66" t="s">
        <v>356</v>
      </c>
      <c r="E274" s="66" t="s">
        <v>184</v>
      </c>
      <c r="F274" s="67">
        <v>4</v>
      </c>
      <c r="G274" s="67">
        <v>26000</v>
      </c>
      <c r="H274" s="100">
        <f t="shared" si="6"/>
        <v>104000</v>
      </c>
      <c r="I274" s="68"/>
    </row>
    <row r="275" spans="1:9" ht="15.95" customHeight="1">
      <c r="A275" s="517"/>
      <c r="B275" s="99"/>
      <c r="C275" s="66" t="s">
        <v>357</v>
      </c>
      <c r="D275" s="66" t="s">
        <v>358</v>
      </c>
      <c r="E275" s="66" t="s">
        <v>184</v>
      </c>
      <c r="F275" s="67">
        <v>2</v>
      </c>
      <c r="G275" s="67">
        <v>16000</v>
      </c>
      <c r="H275" s="100">
        <f t="shared" si="6"/>
        <v>32000</v>
      </c>
      <c r="I275" s="68"/>
    </row>
    <row r="276" spans="1:9" ht="15.95" customHeight="1">
      <c r="A276" s="517"/>
      <c r="B276" s="99"/>
      <c r="C276" s="66" t="s">
        <v>299</v>
      </c>
      <c r="D276" s="66" t="s">
        <v>300</v>
      </c>
      <c r="E276" s="66" t="s">
        <v>184</v>
      </c>
      <c r="F276" s="67">
        <v>1</v>
      </c>
      <c r="G276" s="67">
        <v>80000</v>
      </c>
      <c r="H276" s="100">
        <f t="shared" si="6"/>
        <v>80000</v>
      </c>
      <c r="I276" s="68"/>
    </row>
    <row r="277" spans="1:9" ht="15.95" customHeight="1">
      <c r="A277" s="517"/>
      <c r="B277" s="99"/>
      <c r="C277" s="66" t="s">
        <v>301</v>
      </c>
      <c r="D277" s="66" t="s">
        <v>302</v>
      </c>
      <c r="E277" s="66" t="s">
        <v>184</v>
      </c>
      <c r="F277" s="67">
        <v>1</v>
      </c>
      <c r="G277" s="67">
        <v>340300</v>
      </c>
      <c r="H277" s="100">
        <f t="shared" si="6"/>
        <v>340300</v>
      </c>
      <c r="I277" s="68"/>
    </row>
    <row r="278" spans="1:9" ht="15.95" customHeight="1">
      <c r="A278" s="517"/>
      <c r="B278" s="99"/>
      <c r="C278" s="66"/>
      <c r="D278" s="66" t="s">
        <v>303</v>
      </c>
      <c r="E278" s="66" t="s">
        <v>184</v>
      </c>
      <c r="F278" s="67">
        <v>3</v>
      </c>
      <c r="G278" s="67">
        <v>125000</v>
      </c>
      <c r="H278" s="100">
        <f t="shared" si="6"/>
        <v>375000</v>
      </c>
      <c r="I278" s="68"/>
    </row>
    <row r="279" spans="1:9" ht="15.95" customHeight="1">
      <c r="A279" s="517"/>
      <c r="B279" s="99"/>
      <c r="C279" s="66" t="s">
        <v>220</v>
      </c>
      <c r="D279" s="66"/>
      <c r="E279" s="66" t="s">
        <v>209</v>
      </c>
      <c r="F279" s="67">
        <v>1</v>
      </c>
      <c r="G279" s="67">
        <v>1000000</v>
      </c>
      <c r="H279" s="100">
        <f t="shared" si="6"/>
        <v>1000000</v>
      </c>
      <c r="I279" s="68"/>
    </row>
    <row r="280" spans="1:9" ht="15.95" customHeight="1">
      <c r="A280" s="517"/>
      <c r="B280" s="99"/>
      <c r="C280" s="66" t="s">
        <v>221</v>
      </c>
      <c r="D280" s="66"/>
      <c r="E280" s="66" t="s">
        <v>209</v>
      </c>
      <c r="F280" s="67">
        <v>1</v>
      </c>
      <c r="G280" s="67">
        <v>300000</v>
      </c>
      <c r="H280" s="100">
        <f t="shared" si="6"/>
        <v>300000</v>
      </c>
      <c r="I280" s="68"/>
    </row>
    <row r="281" spans="1:9" ht="15.95" customHeight="1">
      <c r="A281" s="517"/>
      <c r="B281" s="99"/>
      <c r="C281" s="66" t="s">
        <v>222</v>
      </c>
      <c r="D281" s="66"/>
      <c r="E281" s="66" t="s">
        <v>209</v>
      </c>
      <c r="F281" s="67">
        <v>1</v>
      </c>
      <c r="G281" s="67">
        <v>150000</v>
      </c>
      <c r="H281" s="100">
        <f t="shared" si="6"/>
        <v>150000</v>
      </c>
      <c r="I281" s="68"/>
    </row>
    <row r="282" spans="1:9" ht="15.95" customHeight="1">
      <c r="A282" s="517"/>
      <c r="B282" s="99"/>
      <c r="C282" s="66" t="s">
        <v>223</v>
      </c>
      <c r="D282" s="66"/>
      <c r="E282" s="66" t="s">
        <v>209</v>
      </c>
      <c r="F282" s="67">
        <v>1</v>
      </c>
      <c r="G282" s="67">
        <v>250000</v>
      </c>
      <c r="H282" s="100">
        <f t="shared" si="6"/>
        <v>250000</v>
      </c>
      <c r="I282" s="68"/>
    </row>
    <row r="283" spans="1:9" ht="15.95" customHeight="1">
      <c r="A283" s="517"/>
      <c r="B283" s="99"/>
      <c r="C283" s="66" t="s">
        <v>304</v>
      </c>
      <c r="D283" s="66" t="s">
        <v>204</v>
      </c>
      <c r="E283" s="66" t="s">
        <v>184</v>
      </c>
      <c r="F283" s="67">
        <v>3</v>
      </c>
      <c r="G283" s="67">
        <v>172500</v>
      </c>
      <c r="H283" s="100">
        <f t="shared" si="6"/>
        <v>517500</v>
      </c>
      <c r="I283" s="68"/>
    </row>
    <row r="284" spans="1:9" ht="15.95" customHeight="1">
      <c r="A284" s="517"/>
      <c r="B284" s="99"/>
      <c r="C284" s="66" t="s">
        <v>359</v>
      </c>
      <c r="D284" s="66" t="s">
        <v>360</v>
      </c>
      <c r="E284" s="66" t="s">
        <v>184</v>
      </c>
      <c r="F284" s="67">
        <v>8</v>
      </c>
      <c r="G284" s="67">
        <v>375800</v>
      </c>
      <c r="H284" s="100">
        <f t="shared" si="6"/>
        <v>3006400</v>
      </c>
      <c r="I284" s="68" t="s">
        <v>364</v>
      </c>
    </row>
    <row r="285" spans="1:9" ht="15.95" customHeight="1">
      <c r="A285" s="517"/>
      <c r="B285" s="99"/>
      <c r="C285" s="66" t="s">
        <v>361</v>
      </c>
      <c r="D285" s="66"/>
      <c r="E285" s="66" t="s">
        <v>184</v>
      </c>
      <c r="F285" s="67">
        <v>8</v>
      </c>
      <c r="G285" s="67">
        <v>116400</v>
      </c>
      <c r="H285" s="100">
        <f t="shared" si="6"/>
        <v>931200</v>
      </c>
      <c r="I285" s="68" t="s">
        <v>364</v>
      </c>
    </row>
    <row r="286" spans="1:9" ht="15.95" customHeight="1">
      <c r="A286" s="517"/>
      <c r="B286" s="99"/>
      <c r="C286" s="66" t="s">
        <v>362</v>
      </c>
      <c r="D286" s="66"/>
      <c r="E286" s="66" t="s">
        <v>184</v>
      </c>
      <c r="F286" s="67">
        <v>8</v>
      </c>
      <c r="G286" s="67">
        <v>75900</v>
      </c>
      <c r="H286" s="100">
        <f t="shared" si="6"/>
        <v>607200</v>
      </c>
      <c r="I286" s="68" t="s">
        <v>364</v>
      </c>
    </row>
    <row r="287" spans="1:9" ht="15.95" customHeight="1">
      <c r="A287" s="517"/>
      <c r="B287" s="99"/>
      <c r="C287" s="66" t="s">
        <v>363</v>
      </c>
      <c r="D287" s="66"/>
      <c r="E287" s="66" t="s">
        <v>184</v>
      </c>
      <c r="F287" s="67">
        <v>20</v>
      </c>
      <c r="G287" s="67">
        <v>20300</v>
      </c>
      <c r="H287" s="100">
        <f t="shared" si="6"/>
        <v>406000</v>
      </c>
      <c r="I287" s="68" t="s">
        <v>364</v>
      </c>
    </row>
    <row r="288" spans="1:9" ht="15.95" customHeight="1">
      <c r="A288" s="517"/>
      <c r="B288" s="99"/>
      <c r="C288" s="66" t="s">
        <v>305</v>
      </c>
      <c r="D288" s="66"/>
      <c r="E288" s="66" t="s">
        <v>209</v>
      </c>
      <c r="F288" s="67">
        <v>1</v>
      </c>
      <c r="G288" s="67">
        <v>1200000</v>
      </c>
      <c r="H288" s="100">
        <f t="shared" si="6"/>
        <v>1200000</v>
      </c>
      <c r="I288" s="68"/>
    </row>
    <row r="289" spans="1:9" ht="15.95" customHeight="1">
      <c r="A289" s="517"/>
      <c r="B289" s="99"/>
      <c r="C289" s="66" t="s">
        <v>199</v>
      </c>
      <c r="D289" s="66"/>
      <c r="E289" s="66" t="s">
        <v>209</v>
      </c>
      <c r="F289" s="67">
        <v>1</v>
      </c>
      <c r="G289" s="67">
        <v>1000000</v>
      </c>
      <c r="H289" s="100">
        <f t="shared" si="6"/>
        <v>1000000</v>
      </c>
      <c r="I289" s="68"/>
    </row>
    <row r="290" spans="1:9" ht="15.95" customHeight="1">
      <c r="A290" s="517"/>
      <c r="B290" s="99"/>
      <c r="C290" s="66" t="s">
        <v>200</v>
      </c>
      <c r="D290" s="66"/>
      <c r="E290" s="66" t="s">
        <v>209</v>
      </c>
      <c r="F290" s="67">
        <v>1</v>
      </c>
      <c r="G290" s="67">
        <v>600000</v>
      </c>
      <c r="H290" s="100">
        <f t="shared" si="6"/>
        <v>600000</v>
      </c>
      <c r="I290" s="68"/>
    </row>
    <row r="291" spans="1:9" ht="15.95" customHeight="1">
      <c r="A291" s="517"/>
      <c r="B291" s="99"/>
      <c r="C291" s="66" t="s">
        <v>306</v>
      </c>
      <c r="D291" s="66" t="s">
        <v>307</v>
      </c>
      <c r="E291" s="66" t="s">
        <v>209</v>
      </c>
      <c r="F291" s="67">
        <v>1</v>
      </c>
      <c r="G291" s="67">
        <v>800000</v>
      </c>
      <c r="H291" s="100">
        <f t="shared" si="6"/>
        <v>800000</v>
      </c>
      <c r="I291" s="68"/>
    </row>
    <row r="292" spans="1:9" ht="15.95" customHeight="1">
      <c r="A292" s="517"/>
      <c r="B292" s="99"/>
      <c r="C292" s="66" t="s">
        <v>308</v>
      </c>
      <c r="D292" s="66" t="s">
        <v>309</v>
      </c>
      <c r="E292" s="66" t="s">
        <v>209</v>
      </c>
      <c r="F292" s="67">
        <v>1</v>
      </c>
      <c r="G292" s="67">
        <v>400000</v>
      </c>
      <c r="H292" s="100">
        <f t="shared" si="6"/>
        <v>400000</v>
      </c>
      <c r="I292" s="68"/>
    </row>
    <row r="293" spans="1:9" ht="15.95" customHeight="1">
      <c r="A293" s="517"/>
      <c r="B293" s="99"/>
      <c r="C293" s="66" t="s">
        <v>212</v>
      </c>
      <c r="D293" s="66" t="s">
        <v>310</v>
      </c>
      <c r="E293" s="66" t="s">
        <v>209</v>
      </c>
      <c r="F293" s="67">
        <v>1</v>
      </c>
      <c r="G293" s="67">
        <v>600000</v>
      </c>
      <c r="H293" s="100">
        <f t="shared" si="6"/>
        <v>600000</v>
      </c>
      <c r="I293" s="68"/>
    </row>
    <row r="294" spans="1:9" ht="15.95" customHeight="1">
      <c r="A294" s="517"/>
      <c r="B294" s="99"/>
      <c r="C294" s="66" t="s">
        <v>311</v>
      </c>
      <c r="D294" s="66" t="s">
        <v>310</v>
      </c>
      <c r="E294" s="66" t="s">
        <v>209</v>
      </c>
      <c r="F294" s="67">
        <v>1</v>
      </c>
      <c r="G294" s="67">
        <v>300000</v>
      </c>
      <c r="H294" s="100">
        <f t="shared" si="6"/>
        <v>300000</v>
      </c>
      <c r="I294" s="68"/>
    </row>
    <row r="295" spans="1:9" ht="15.95" customHeight="1">
      <c r="A295" s="517"/>
      <c r="B295" s="99"/>
      <c r="C295" s="66" t="s">
        <v>201</v>
      </c>
      <c r="D295" s="66"/>
      <c r="E295" s="66" t="s">
        <v>184</v>
      </c>
      <c r="F295" s="67">
        <v>65</v>
      </c>
      <c r="G295" s="67">
        <v>15000</v>
      </c>
      <c r="H295" s="100">
        <f t="shared" si="6"/>
        <v>975000</v>
      </c>
      <c r="I295" s="68"/>
    </row>
    <row r="296" spans="1:9" ht="15.95" customHeight="1">
      <c r="A296" s="517"/>
      <c r="B296" s="99"/>
      <c r="C296" s="66" t="s">
        <v>229</v>
      </c>
      <c r="D296" s="66" t="s">
        <v>211</v>
      </c>
      <c r="E296" s="66" t="s">
        <v>184</v>
      </c>
      <c r="F296" s="67">
        <v>10</v>
      </c>
      <c r="G296" s="67">
        <v>65000</v>
      </c>
      <c r="H296" s="100">
        <f t="shared" si="6"/>
        <v>650000</v>
      </c>
      <c r="I296" s="68"/>
    </row>
    <row r="297" spans="1:9" ht="15.95" customHeight="1">
      <c r="A297" s="517"/>
      <c r="B297" s="99"/>
      <c r="C297" s="66" t="s">
        <v>313</v>
      </c>
      <c r="D297" s="66"/>
      <c r="E297" s="66" t="s">
        <v>209</v>
      </c>
      <c r="F297" s="67">
        <v>1</v>
      </c>
      <c r="G297" s="67">
        <v>700000</v>
      </c>
      <c r="H297" s="100">
        <f t="shared" si="6"/>
        <v>700000</v>
      </c>
      <c r="I297" s="68"/>
    </row>
    <row r="298" spans="1:9" ht="15.95" customHeight="1">
      <c r="A298" s="517"/>
      <c r="B298" s="99"/>
      <c r="C298" s="66" t="s">
        <v>314</v>
      </c>
      <c r="D298" s="66"/>
      <c r="E298" s="66" t="s">
        <v>209</v>
      </c>
      <c r="F298" s="67">
        <v>1</v>
      </c>
      <c r="G298" s="67">
        <v>150000</v>
      </c>
      <c r="H298" s="100">
        <f t="shared" si="6"/>
        <v>150000</v>
      </c>
      <c r="I298" s="68"/>
    </row>
    <row r="299" spans="1:9" ht="15.95" customHeight="1">
      <c r="A299" s="517"/>
      <c r="B299" s="99"/>
      <c r="C299" s="66" t="s">
        <v>315</v>
      </c>
      <c r="D299" s="66"/>
      <c r="E299" s="66" t="s">
        <v>209</v>
      </c>
      <c r="F299" s="67">
        <v>1</v>
      </c>
      <c r="G299" s="67">
        <v>250000</v>
      </c>
      <c r="H299" s="100">
        <f t="shared" si="6"/>
        <v>250000</v>
      </c>
      <c r="I299" s="68"/>
    </row>
    <row r="300" spans="1:9" ht="15.95" customHeight="1">
      <c r="A300" s="517"/>
      <c r="B300" s="99"/>
      <c r="C300" s="66" t="s">
        <v>317</v>
      </c>
      <c r="D300" s="66"/>
      <c r="E300" s="66" t="s">
        <v>184</v>
      </c>
      <c r="F300" s="67">
        <v>8</v>
      </c>
      <c r="G300" s="67">
        <v>60000</v>
      </c>
      <c r="H300" s="100">
        <f t="shared" si="6"/>
        <v>480000</v>
      </c>
      <c r="I300" s="68"/>
    </row>
    <row r="301" spans="1:9" ht="15.95" customHeight="1">
      <c r="A301" s="517"/>
      <c r="B301" s="99"/>
      <c r="C301" s="66" t="s">
        <v>318</v>
      </c>
      <c r="D301" s="66"/>
      <c r="E301" s="66" t="s">
        <v>209</v>
      </c>
      <c r="F301" s="67">
        <v>1</v>
      </c>
      <c r="G301" s="67">
        <v>200000</v>
      </c>
      <c r="H301" s="100">
        <f t="shared" si="6"/>
        <v>200000</v>
      </c>
      <c r="I301" s="68"/>
    </row>
    <row r="302" spans="1:9" ht="15.95" customHeight="1">
      <c r="A302" s="517"/>
      <c r="B302" s="99"/>
      <c r="C302" s="66" t="s">
        <v>258</v>
      </c>
      <c r="D302" s="66" t="s">
        <v>259</v>
      </c>
      <c r="E302" s="66" t="s">
        <v>209</v>
      </c>
      <c r="F302" s="67">
        <v>1</v>
      </c>
      <c r="G302" s="67">
        <v>1000000</v>
      </c>
      <c r="H302" s="100">
        <f t="shared" si="6"/>
        <v>1000000</v>
      </c>
      <c r="I302" s="68"/>
    </row>
    <row r="303" spans="1:9" ht="15.95" customHeight="1">
      <c r="A303" s="517"/>
      <c r="B303" s="99"/>
      <c r="C303" s="66"/>
      <c r="D303" s="66"/>
      <c r="E303" s="66"/>
      <c r="F303" s="67"/>
      <c r="G303" s="67"/>
      <c r="H303" s="100">
        <f t="shared" si="6"/>
        <v>0</v>
      </c>
      <c r="I303" s="68"/>
    </row>
    <row r="304" spans="1:9" ht="15.95" customHeight="1">
      <c r="A304" s="517"/>
      <c r="B304" s="99"/>
      <c r="C304" s="66"/>
      <c r="D304" s="66"/>
      <c r="E304" s="66"/>
      <c r="F304" s="67"/>
      <c r="G304" s="67"/>
      <c r="H304" s="100">
        <f>IF(F304=0,G304,G304*F304)</f>
        <v>0</v>
      </c>
      <c r="I304" s="68"/>
    </row>
    <row r="305" spans="1:13" ht="15.95" customHeight="1">
      <c r="A305" s="517"/>
      <c r="B305" s="99"/>
      <c r="C305" s="114"/>
      <c r="D305" s="114"/>
      <c r="E305" s="340"/>
      <c r="F305" s="341"/>
      <c r="G305" s="115"/>
      <c r="H305" s="105">
        <f>IF(F305=0,G305,G305*F305)</f>
        <v>0</v>
      </c>
      <c r="I305" s="69"/>
    </row>
    <row r="306" spans="1:13" ht="15.95" customHeight="1">
      <c r="A306" s="517"/>
      <c r="B306" s="70"/>
      <c r="C306" s="102"/>
      <c r="D306" s="92"/>
      <c r="E306" s="92"/>
      <c r="F306" s="37"/>
      <c r="G306" s="37"/>
      <c r="H306" s="27">
        <f>SUM(H36:H305)</f>
        <v>248369200</v>
      </c>
      <c r="I306" s="72"/>
    </row>
    <row r="307" spans="1:13" ht="15.95" customHeight="1">
      <c r="A307" s="74"/>
      <c r="B307" s="97" t="s">
        <v>42</v>
      </c>
      <c r="C307" s="71"/>
      <c r="D307" s="72"/>
      <c r="E307" s="72"/>
      <c r="F307" s="52"/>
      <c r="G307" s="52"/>
      <c r="H307" s="27">
        <f>SUM(H306,H28,H35)</f>
        <v>276299200</v>
      </c>
      <c r="I307" s="72"/>
    </row>
    <row r="308" spans="1:13" ht="15.95" customHeight="1">
      <c r="A308" s="514" t="s">
        <v>72</v>
      </c>
      <c r="B308" s="137" t="s">
        <v>70</v>
      </c>
      <c r="C308" s="71"/>
      <c r="D308" s="75"/>
      <c r="E308" s="106" t="s">
        <v>51</v>
      </c>
      <c r="F308" s="116"/>
      <c r="G308" s="116"/>
      <c r="H308" s="49">
        <f t="shared" ref="H308:H314" si="7">F308*G308</f>
        <v>0</v>
      </c>
      <c r="I308" s="72"/>
      <c r="M308" s="371"/>
    </row>
    <row r="309" spans="1:13" ht="15.95" customHeight="1">
      <c r="A309" s="515"/>
      <c r="B309" s="138" t="s">
        <v>103</v>
      </c>
      <c r="C309" s="141"/>
      <c r="D309" s="76"/>
      <c r="E309" s="107" t="s">
        <v>50</v>
      </c>
      <c r="F309" s="113">
        <v>100</v>
      </c>
      <c r="G309" s="372">
        <v>350000</v>
      </c>
      <c r="H309" s="104">
        <f t="shared" si="7"/>
        <v>35000000</v>
      </c>
      <c r="I309" s="73"/>
    </row>
    <row r="310" spans="1:13" ht="15.95" customHeight="1">
      <c r="A310" s="515"/>
      <c r="B310" s="139" t="s">
        <v>104</v>
      </c>
      <c r="C310" s="142"/>
      <c r="D310" s="77"/>
      <c r="E310" s="108" t="s">
        <v>50</v>
      </c>
      <c r="F310" s="67">
        <v>50</v>
      </c>
      <c r="G310" s="373">
        <v>250000</v>
      </c>
      <c r="H310" s="100">
        <f t="shared" si="7"/>
        <v>12500000</v>
      </c>
      <c r="I310" s="68"/>
    </row>
    <row r="311" spans="1:13" ht="15.95" customHeight="1">
      <c r="A311" s="515"/>
      <c r="B311" s="139" t="s">
        <v>105</v>
      </c>
      <c r="C311" s="142"/>
      <c r="D311" s="77"/>
      <c r="E311" s="108" t="s">
        <v>50</v>
      </c>
      <c r="F311" s="67">
        <v>40</v>
      </c>
      <c r="G311" s="373">
        <v>250000</v>
      </c>
      <c r="H311" s="100">
        <f>F311*G311</f>
        <v>10000000</v>
      </c>
      <c r="I311" s="68"/>
    </row>
    <row r="312" spans="1:13" ht="15.95" customHeight="1">
      <c r="A312" s="515"/>
      <c r="B312" s="139" t="s">
        <v>106</v>
      </c>
      <c r="C312" s="142"/>
      <c r="D312" s="77"/>
      <c r="E312" s="108" t="s">
        <v>50</v>
      </c>
      <c r="F312" s="67">
        <v>80</v>
      </c>
      <c r="G312" s="374">
        <v>250000</v>
      </c>
      <c r="H312" s="100">
        <f t="shared" si="7"/>
        <v>20000000</v>
      </c>
      <c r="I312" s="68"/>
    </row>
    <row r="313" spans="1:13" ht="15.95" customHeight="1">
      <c r="A313" s="515"/>
      <c r="B313" s="139" t="s">
        <v>107</v>
      </c>
      <c r="C313" s="142"/>
      <c r="D313" s="77"/>
      <c r="E313" s="108" t="s">
        <v>50</v>
      </c>
      <c r="F313" s="67">
        <v>50</v>
      </c>
      <c r="G313" s="373">
        <v>350000</v>
      </c>
      <c r="H313" s="100">
        <f t="shared" si="7"/>
        <v>17500000</v>
      </c>
      <c r="I313" s="68"/>
    </row>
    <row r="314" spans="1:13" ht="15.95" customHeight="1">
      <c r="A314" s="515"/>
      <c r="B314" s="140" t="s">
        <v>108</v>
      </c>
      <c r="C314" s="143"/>
      <c r="D314" s="78"/>
      <c r="E314" s="109" t="s">
        <v>50</v>
      </c>
      <c r="F314" s="115">
        <v>35</v>
      </c>
      <c r="G314" s="375">
        <v>500000</v>
      </c>
      <c r="H314" s="105">
        <f t="shared" si="7"/>
        <v>17500000</v>
      </c>
      <c r="I314" s="69"/>
    </row>
    <row r="315" spans="1:13" ht="15.95" customHeight="1">
      <c r="A315" s="74"/>
      <c r="B315" s="96" t="s">
        <v>41</v>
      </c>
      <c r="C315" s="71"/>
      <c r="D315" s="72"/>
      <c r="E315" s="72"/>
      <c r="F315" s="37"/>
      <c r="G315" s="37"/>
      <c r="H315" s="27">
        <f>SUM(H308:H314)</f>
        <v>112500000</v>
      </c>
      <c r="I315" s="72"/>
    </row>
    <row r="316" spans="1:13" ht="15.95" customHeight="1">
      <c r="A316" s="48"/>
      <c r="B316" s="96" t="s">
        <v>48</v>
      </c>
      <c r="C316" s="71"/>
      <c r="D316" s="72"/>
      <c r="E316" s="72"/>
      <c r="F316" s="27"/>
      <c r="G316" s="146" t="s">
        <v>79</v>
      </c>
      <c r="H316" s="52">
        <v>0</v>
      </c>
      <c r="I316" s="72"/>
    </row>
    <row r="317" spans="1:13" ht="15.95" customHeight="1">
      <c r="A317" s="48"/>
      <c r="B317" s="96" t="s">
        <v>25</v>
      </c>
      <c r="C317" s="71"/>
      <c r="D317" s="72"/>
      <c r="E317" s="72"/>
      <c r="F317" s="27"/>
      <c r="G317" s="51"/>
      <c r="H317" s="116">
        <f>SUM(H307+H315)*0.03</f>
        <v>11663976</v>
      </c>
      <c r="I317" s="71"/>
    </row>
    <row r="318" spans="1:13" ht="15.95" customHeight="1">
      <c r="A318" s="48"/>
      <c r="B318" s="96" t="s">
        <v>151</v>
      </c>
      <c r="C318" s="71"/>
      <c r="D318" s="72"/>
      <c r="E318" s="72"/>
      <c r="F318" s="27"/>
      <c r="G318" s="51"/>
      <c r="H318" s="116">
        <f>SUM(H307+H315)*0.12</f>
        <v>46655904</v>
      </c>
      <c r="I318" s="71"/>
    </row>
    <row r="319" spans="1:13" ht="15.95" customHeight="1">
      <c r="A319" s="48"/>
      <c r="B319" s="96" t="s">
        <v>152</v>
      </c>
      <c r="C319" s="71"/>
      <c r="D319" s="72"/>
      <c r="E319" s="72"/>
      <c r="F319" s="27"/>
      <c r="G319" s="27"/>
      <c r="H319" s="37">
        <f>H307+H315+H316+H317+H318</f>
        <v>447119080</v>
      </c>
      <c r="I319" s="72"/>
      <c r="K319" s="28"/>
    </row>
    <row r="320" spans="1:13">
      <c r="A320" s="26"/>
    </row>
  </sheetData>
  <mergeCells count="3">
    <mergeCell ref="A2:B2"/>
    <mergeCell ref="A308:A314"/>
    <mergeCell ref="A3:A306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4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0000"/>
    <pageSetUpPr fitToPage="1"/>
  </sheetPr>
  <dimension ref="A1:K141"/>
  <sheetViews>
    <sheetView zoomScale="85" workbookViewId="0">
      <pane xSplit="2" ySplit="2" topLeftCell="C114" activePane="bottomRight" state="frozen"/>
      <selection activeCell="J69" sqref="J69"/>
      <selection pane="topRight" activeCell="J69" sqref="J69"/>
      <selection pane="bottomLeft" activeCell="J69" sqref="J69"/>
      <selection pane="bottomRight" activeCell="M134" sqref="M134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0" width="9" style="25"/>
    <col min="11" max="11" width="10" style="25" bestFit="1" customWidth="1"/>
    <col min="12" max="16384" width="9" style="25"/>
  </cols>
  <sheetData>
    <row r="1" spans="1:11" ht="22.5" customHeight="1">
      <c r="B1" s="98" t="s">
        <v>80</v>
      </c>
      <c r="C1" s="147" t="s">
        <v>370</v>
      </c>
      <c r="D1" s="61"/>
      <c r="E1" s="61"/>
      <c r="F1" s="62"/>
      <c r="G1" s="63"/>
      <c r="I1" s="25" t="s">
        <v>83</v>
      </c>
      <c r="K1" s="123"/>
    </row>
    <row r="2" spans="1:11" s="26" customFormat="1" ht="16.5" customHeight="1">
      <c r="A2" s="438" t="s">
        <v>31</v>
      </c>
      <c r="B2" s="513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11" ht="15.95" customHeight="1">
      <c r="A3" s="516" t="s">
        <v>82</v>
      </c>
      <c r="B3" s="99" t="s">
        <v>37</v>
      </c>
      <c r="C3" s="318" t="s">
        <v>190</v>
      </c>
      <c r="D3" s="318" t="s">
        <v>373</v>
      </c>
      <c r="E3" s="326" t="s">
        <v>186</v>
      </c>
      <c r="F3" s="327">
        <v>6</v>
      </c>
      <c r="G3" s="328">
        <v>2500000</v>
      </c>
      <c r="H3" s="104">
        <f>IF(F3=0,G3,G3*F3)</f>
        <v>15000000</v>
      </c>
      <c r="I3" s="73"/>
    </row>
    <row r="4" spans="1:11" ht="15.95" customHeight="1">
      <c r="A4" s="518"/>
      <c r="B4" s="99" t="s">
        <v>372</v>
      </c>
      <c r="C4" s="318" t="s">
        <v>374</v>
      </c>
      <c r="D4" s="318" t="s">
        <v>375</v>
      </c>
      <c r="E4" s="326" t="s">
        <v>184</v>
      </c>
      <c r="F4" s="329">
        <v>12</v>
      </c>
      <c r="G4" s="330">
        <v>150000</v>
      </c>
      <c r="H4" s="100">
        <f>IF(F4=0,G4,G4*F4)</f>
        <v>1800000</v>
      </c>
      <c r="I4" s="68"/>
    </row>
    <row r="5" spans="1:11" ht="15.95" customHeight="1">
      <c r="A5" s="518"/>
      <c r="B5" s="99"/>
      <c r="C5" s="318" t="s">
        <v>376</v>
      </c>
      <c r="D5" s="318"/>
      <c r="E5" s="326" t="s">
        <v>184</v>
      </c>
      <c r="F5" s="329">
        <v>6</v>
      </c>
      <c r="G5" s="330">
        <v>120000</v>
      </c>
      <c r="H5" s="100">
        <f>IF(F5=0,G5,G5*F5)</f>
        <v>720000</v>
      </c>
      <c r="I5" s="68"/>
    </row>
    <row r="6" spans="1:11" ht="15.95" customHeight="1">
      <c r="A6" s="518"/>
      <c r="B6" s="99"/>
      <c r="C6" s="318" t="s">
        <v>385</v>
      </c>
      <c r="D6" s="318"/>
      <c r="E6" s="326" t="s">
        <v>386</v>
      </c>
      <c r="F6" s="329">
        <v>8</v>
      </c>
      <c r="G6" s="330">
        <v>2500000</v>
      </c>
      <c r="H6" s="100">
        <f>IF(F6=0,G6,G6*F6)</f>
        <v>20000000</v>
      </c>
      <c r="I6" s="68"/>
    </row>
    <row r="7" spans="1:11" ht="15.95" customHeight="1">
      <c r="A7" s="518"/>
      <c r="B7" s="99"/>
      <c r="C7" s="318" t="s">
        <v>394</v>
      </c>
      <c r="D7" s="318"/>
      <c r="E7" s="326" t="s">
        <v>386</v>
      </c>
      <c r="F7" s="329">
        <v>3</v>
      </c>
      <c r="G7" s="330">
        <v>3500000</v>
      </c>
      <c r="H7" s="100">
        <f t="shared" ref="H7:H125" si="0">IF(F7=0,G7,G7*F7)</f>
        <v>10500000</v>
      </c>
      <c r="I7" s="68"/>
    </row>
    <row r="8" spans="1:11" ht="15.95" customHeight="1">
      <c r="A8" s="518"/>
      <c r="B8" s="99"/>
      <c r="C8" s="331" t="s">
        <v>401</v>
      </c>
      <c r="D8" s="345" t="s">
        <v>402</v>
      </c>
      <c r="E8" s="326" t="s">
        <v>386</v>
      </c>
      <c r="F8" s="329">
        <v>4</v>
      </c>
      <c r="G8" s="328">
        <v>600000</v>
      </c>
      <c r="H8" s="100">
        <f t="shared" si="0"/>
        <v>2400000</v>
      </c>
      <c r="I8" s="68"/>
    </row>
    <row r="9" spans="1:11" ht="15.95" customHeight="1">
      <c r="A9" s="518"/>
      <c r="B9" s="99" t="s">
        <v>411</v>
      </c>
      <c r="C9" s="331" t="s">
        <v>190</v>
      </c>
      <c r="D9" s="331" t="s">
        <v>373</v>
      </c>
      <c r="E9" s="326" t="s">
        <v>386</v>
      </c>
      <c r="F9" s="329">
        <v>2</v>
      </c>
      <c r="G9" s="328">
        <v>2500000</v>
      </c>
      <c r="H9" s="100">
        <f t="shared" si="0"/>
        <v>5000000</v>
      </c>
      <c r="I9" s="68"/>
    </row>
    <row r="10" spans="1:11" ht="15.95" customHeight="1">
      <c r="A10" s="518"/>
      <c r="B10" s="99"/>
      <c r="C10" s="66" t="s">
        <v>374</v>
      </c>
      <c r="D10" s="66" t="s">
        <v>375</v>
      </c>
      <c r="E10" s="326" t="s">
        <v>408</v>
      </c>
      <c r="F10" s="67">
        <v>4</v>
      </c>
      <c r="G10" s="67">
        <v>150000</v>
      </c>
      <c r="H10" s="100">
        <f t="shared" si="0"/>
        <v>600000</v>
      </c>
      <c r="I10" s="68"/>
    </row>
    <row r="11" spans="1:11" ht="15.95" customHeight="1">
      <c r="A11" s="518"/>
      <c r="B11" s="99"/>
      <c r="C11" s="66" t="s">
        <v>376</v>
      </c>
      <c r="D11" s="66"/>
      <c r="E11" s="326" t="s">
        <v>408</v>
      </c>
      <c r="F11" s="67">
        <v>2</v>
      </c>
      <c r="G11" s="67">
        <v>120000</v>
      </c>
      <c r="H11" s="100">
        <f t="shared" si="0"/>
        <v>240000</v>
      </c>
      <c r="I11" s="68"/>
    </row>
    <row r="12" spans="1:11" ht="15.95" customHeight="1">
      <c r="A12" s="518"/>
      <c r="B12" s="99"/>
      <c r="C12" s="66" t="s">
        <v>385</v>
      </c>
      <c r="D12" s="66"/>
      <c r="E12" s="326" t="s">
        <v>386</v>
      </c>
      <c r="F12" s="67">
        <v>2</v>
      </c>
      <c r="G12" s="67">
        <v>2500000</v>
      </c>
      <c r="H12" s="100">
        <f t="shared" si="0"/>
        <v>5000000</v>
      </c>
      <c r="I12" s="68"/>
    </row>
    <row r="13" spans="1:11" ht="15.95" customHeight="1">
      <c r="A13" s="518"/>
      <c r="B13" s="99"/>
      <c r="C13" s="66" t="s">
        <v>401</v>
      </c>
      <c r="D13" s="66" t="s">
        <v>402</v>
      </c>
      <c r="E13" s="326" t="s">
        <v>386</v>
      </c>
      <c r="F13" s="67">
        <v>2</v>
      </c>
      <c r="G13" s="67">
        <v>600000</v>
      </c>
      <c r="H13" s="100">
        <f t="shared" si="0"/>
        <v>1200000</v>
      </c>
      <c r="I13" s="68"/>
    </row>
    <row r="14" spans="1:11" ht="15.95" customHeight="1">
      <c r="A14" s="518"/>
      <c r="B14" s="99" t="s">
        <v>414</v>
      </c>
      <c r="C14" s="66" t="s">
        <v>190</v>
      </c>
      <c r="D14" s="66" t="s">
        <v>373</v>
      </c>
      <c r="E14" s="326" t="s">
        <v>186</v>
      </c>
      <c r="F14" s="67">
        <v>4</v>
      </c>
      <c r="G14" s="67">
        <v>2500000</v>
      </c>
      <c r="H14" s="100">
        <f t="shared" si="0"/>
        <v>10000000</v>
      </c>
      <c r="I14" s="68"/>
    </row>
    <row r="15" spans="1:11" ht="15.95" customHeight="1">
      <c r="A15" s="518"/>
      <c r="B15" s="99"/>
      <c r="C15" s="66" t="s">
        <v>374</v>
      </c>
      <c r="D15" s="66" t="s">
        <v>375</v>
      </c>
      <c r="E15" s="326" t="s">
        <v>184</v>
      </c>
      <c r="F15" s="67">
        <v>8</v>
      </c>
      <c r="G15" s="67">
        <v>150000</v>
      </c>
      <c r="H15" s="100">
        <f t="shared" si="0"/>
        <v>1200000</v>
      </c>
      <c r="I15" s="68"/>
    </row>
    <row r="16" spans="1:11" ht="15.95" customHeight="1">
      <c r="A16" s="518"/>
      <c r="B16" s="99"/>
      <c r="C16" s="66" t="s">
        <v>376</v>
      </c>
      <c r="D16" s="66"/>
      <c r="E16" s="326" t="s">
        <v>184</v>
      </c>
      <c r="F16" s="67">
        <v>4</v>
      </c>
      <c r="G16" s="67">
        <v>120000</v>
      </c>
      <c r="H16" s="100">
        <f t="shared" si="0"/>
        <v>480000</v>
      </c>
      <c r="I16" s="68"/>
    </row>
    <row r="17" spans="1:9" ht="15.95" customHeight="1">
      <c r="A17" s="518"/>
      <c r="B17" s="99"/>
      <c r="C17" s="66" t="s">
        <v>385</v>
      </c>
      <c r="D17" s="66"/>
      <c r="E17" s="326" t="s">
        <v>386</v>
      </c>
      <c r="F17" s="67">
        <v>4</v>
      </c>
      <c r="G17" s="67">
        <v>2500000</v>
      </c>
      <c r="H17" s="100">
        <f t="shared" si="0"/>
        <v>10000000</v>
      </c>
      <c r="I17" s="68"/>
    </row>
    <row r="18" spans="1:9" ht="15.95" customHeight="1">
      <c r="A18" s="518"/>
      <c r="B18" s="99"/>
      <c r="C18" s="66" t="s">
        <v>415</v>
      </c>
      <c r="D18" s="66" t="s">
        <v>416</v>
      </c>
      <c r="E18" s="326" t="s">
        <v>408</v>
      </c>
      <c r="F18" s="67">
        <v>1</v>
      </c>
      <c r="G18" s="67">
        <v>1500000</v>
      </c>
      <c r="H18" s="100">
        <f t="shared" si="0"/>
        <v>1500000</v>
      </c>
      <c r="I18" s="68"/>
    </row>
    <row r="19" spans="1:9" ht="15.95" customHeight="1">
      <c r="A19" s="518"/>
      <c r="B19" s="99"/>
      <c r="C19" s="66" t="s">
        <v>417</v>
      </c>
      <c r="D19" s="66" t="s">
        <v>418</v>
      </c>
      <c r="E19" s="326" t="s">
        <v>408</v>
      </c>
      <c r="F19" s="67">
        <v>1</v>
      </c>
      <c r="G19" s="67">
        <v>800000</v>
      </c>
      <c r="H19" s="100">
        <f t="shared" si="0"/>
        <v>800000</v>
      </c>
      <c r="I19" s="68"/>
    </row>
    <row r="20" spans="1:9" ht="15.95" customHeight="1">
      <c r="A20" s="518"/>
      <c r="B20" s="99"/>
      <c r="C20" s="66" t="s">
        <v>437</v>
      </c>
      <c r="D20" s="66"/>
      <c r="E20" s="326" t="s">
        <v>184</v>
      </c>
      <c r="F20" s="343">
        <v>1</v>
      </c>
      <c r="G20" s="67">
        <v>2500000</v>
      </c>
      <c r="H20" s="100">
        <f t="shared" si="0"/>
        <v>2500000</v>
      </c>
      <c r="I20" s="68"/>
    </row>
    <row r="21" spans="1:9" ht="15.95" customHeight="1">
      <c r="A21" s="518"/>
      <c r="B21" s="99"/>
      <c r="C21" s="66" t="s">
        <v>438</v>
      </c>
      <c r="D21" s="66" t="s">
        <v>236</v>
      </c>
      <c r="E21" s="326" t="s">
        <v>186</v>
      </c>
      <c r="F21" s="343">
        <v>1</v>
      </c>
      <c r="G21" s="67">
        <v>300000</v>
      </c>
      <c r="H21" s="100">
        <f t="shared" si="0"/>
        <v>300000</v>
      </c>
      <c r="I21" s="68"/>
    </row>
    <row r="22" spans="1:9" ht="15.95" customHeight="1">
      <c r="A22" s="518"/>
      <c r="B22" s="99"/>
      <c r="C22" s="66" t="s">
        <v>439</v>
      </c>
      <c r="D22" s="66" t="s">
        <v>440</v>
      </c>
      <c r="E22" s="326" t="s">
        <v>184</v>
      </c>
      <c r="F22" s="343">
        <v>2</v>
      </c>
      <c r="G22" s="67">
        <v>150000</v>
      </c>
      <c r="H22" s="100">
        <f t="shared" si="0"/>
        <v>300000</v>
      </c>
      <c r="I22" s="68"/>
    </row>
    <row r="23" spans="1:9" ht="15.95" customHeight="1">
      <c r="A23" s="518"/>
      <c r="B23" s="99"/>
      <c r="C23" s="66" t="s">
        <v>401</v>
      </c>
      <c r="D23" s="66" t="s">
        <v>402</v>
      </c>
      <c r="E23" s="326" t="s">
        <v>386</v>
      </c>
      <c r="F23" s="67">
        <v>4</v>
      </c>
      <c r="G23" s="67">
        <v>600000</v>
      </c>
      <c r="H23" s="100">
        <f t="shared" si="0"/>
        <v>2400000</v>
      </c>
      <c r="I23" s="68"/>
    </row>
    <row r="24" spans="1:9" ht="15.95" customHeight="1">
      <c r="A24" s="518"/>
      <c r="B24" s="99" t="s">
        <v>458</v>
      </c>
      <c r="C24" s="66" t="s">
        <v>190</v>
      </c>
      <c r="D24" s="66" t="s">
        <v>373</v>
      </c>
      <c r="E24" s="326" t="s">
        <v>186</v>
      </c>
      <c r="F24" s="67">
        <v>5</v>
      </c>
      <c r="G24" s="67">
        <v>2500000</v>
      </c>
      <c r="H24" s="100">
        <f t="shared" si="0"/>
        <v>12500000</v>
      </c>
      <c r="I24" s="68"/>
    </row>
    <row r="25" spans="1:9" ht="15.95" customHeight="1">
      <c r="A25" s="518"/>
      <c r="B25" s="99"/>
      <c r="C25" s="66" t="s">
        <v>374</v>
      </c>
      <c r="D25" s="66" t="s">
        <v>375</v>
      </c>
      <c r="E25" s="326" t="s">
        <v>184</v>
      </c>
      <c r="F25" s="67">
        <v>10</v>
      </c>
      <c r="G25" s="67">
        <v>150000</v>
      </c>
      <c r="H25" s="100">
        <f t="shared" si="0"/>
        <v>1500000</v>
      </c>
      <c r="I25" s="68"/>
    </row>
    <row r="26" spans="1:9" ht="15.95" customHeight="1">
      <c r="A26" s="518"/>
      <c r="B26" s="99"/>
      <c r="C26" s="66" t="s">
        <v>376</v>
      </c>
      <c r="D26" s="66"/>
      <c r="E26" s="326" t="s">
        <v>184</v>
      </c>
      <c r="F26" s="67">
        <v>5</v>
      </c>
      <c r="G26" s="67">
        <v>120000</v>
      </c>
      <c r="H26" s="100">
        <f t="shared" si="0"/>
        <v>600000</v>
      </c>
      <c r="I26" s="68"/>
    </row>
    <row r="27" spans="1:9" ht="15.95" customHeight="1">
      <c r="A27" s="518"/>
      <c r="B27" s="99"/>
      <c r="C27" s="66" t="s">
        <v>385</v>
      </c>
      <c r="D27" s="66"/>
      <c r="E27" s="326" t="s">
        <v>386</v>
      </c>
      <c r="F27" s="67">
        <v>4</v>
      </c>
      <c r="G27" s="67">
        <v>2500000</v>
      </c>
      <c r="H27" s="100">
        <f t="shared" si="0"/>
        <v>10000000</v>
      </c>
      <c r="I27" s="68"/>
    </row>
    <row r="28" spans="1:9" ht="15.95" customHeight="1">
      <c r="A28" s="518"/>
      <c r="B28" s="99"/>
      <c r="C28" s="276" t="s">
        <v>401</v>
      </c>
      <c r="D28" s="276" t="s">
        <v>402</v>
      </c>
      <c r="E28" s="326" t="s">
        <v>386</v>
      </c>
      <c r="F28" s="277">
        <v>3</v>
      </c>
      <c r="G28" s="277">
        <v>600000</v>
      </c>
      <c r="H28" s="100">
        <f t="shared" si="0"/>
        <v>1800000</v>
      </c>
      <c r="I28" s="279"/>
    </row>
    <row r="29" spans="1:9" ht="15.95" customHeight="1">
      <c r="A29" s="518"/>
      <c r="B29" s="99"/>
      <c r="C29" s="114"/>
      <c r="D29" s="276"/>
      <c r="E29" s="333"/>
      <c r="F29" s="334"/>
      <c r="G29" s="277"/>
      <c r="H29" s="100">
        <f t="shared" si="0"/>
        <v>0</v>
      </c>
      <c r="I29" s="279"/>
    </row>
    <row r="30" spans="1:9" ht="15.95" customHeight="1">
      <c r="A30" s="518"/>
      <c r="B30" s="70"/>
      <c r="C30" s="282"/>
      <c r="D30" s="282"/>
      <c r="E30" s="282"/>
      <c r="F30" s="283"/>
      <c r="G30" s="283"/>
      <c r="H30" s="284">
        <f>SUM(H3:H29)</f>
        <v>118340000</v>
      </c>
      <c r="I30" s="282"/>
    </row>
    <row r="31" spans="1:9" ht="15.95" customHeight="1">
      <c r="A31" s="518"/>
      <c r="B31" s="99" t="s">
        <v>160</v>
      </c>
      <c r="C31" s="117"/>
      <c r="D31" s="117"/>
      <c r="E31" s="117"/>
      <c r="F31" s="118"/>
      <c r="G31" s="118"/>
      <c r="H31" s="119">
        <f t="shared" si="0"/>
        <v>0</v>
      </c>
      <c r="I31" s="120"/>
    </row>
    <row r="32" spans="1:9" ht="15.95" customHeight="1">
      <c r="A32" s="518"/>
      <c r="B32" s="99" t="s">
        <v>161</v>
      </c>
      <c r="C32" s="66"/>
      <c r="D32" s="66"/>
      <c r="E32" s="66"/>
      <c r="F32" s="67"/>
      <c r="G32" s="67"/>
      <c r="H32" s="100">
        <f t="shared" si="0"/>
        <v>0</v>
      </c>
      <c r="I32" s="68"/>
    </row>
    <row r="33" spans="1:9" ht="15.95" customHeight="1">
      <c r="A33" s="518"/>
      <c r="B33" s="99"/>
      <c r="C33" s="66"/>
      <c r="D33" s="66"/>
      <c r="E33" s="66"/>
      <c r="F33" s="67"/>
      <c r="G33" s="67"/>
      <c r="H33" s="100">
        <f t="shared" si="0"/>
        <v>0</v>
      </c>
      <c r="I33" s="68"/>
    </row>
    <row r="34" spans="1:9" ht="15.95" customHeight="1">
      <c r="A34" s="518"/>
      <c r="B34" s="99"/>
      <c r="C34" s="66"/>
      <c r="D34" s="66"/>
      <c r="E34" s="66"/>
      <c r="F34" s="67"/>
      <c r="G34" s="67"/>
      <c r="H34" s="100">
        <f t="shared" si="0"/>
        <v>0</v>
      </c>
      <c r="I34" s="68"/>
    </row>
    <row r="35" spans="1:9" ht="15.95" customHeight="1">
      <c r="A35" s="518"/>
      <c r="B35" s="99"/>
      <c r="C35" s="114"/>
      <c r="D35" s="114"/>
      <c r="E35" s="114"/>
      <c r="F35" s="115"/>
      <c r="G35" s="115"/>
      <c r="H35" s="100">
        <f t="shared" si="0"/>
        <v>0</v>
      </c>
      <c r="I35" s="69"/>
    </row>
    <row r="36" spans="1:9" ht="15.95" customHeight="1">
      <c r="A36" s="518"/>
      <c r="B36" s="70"/>
      <c r="C36" s="102"/>
      <c r="D36" s="92"/>
      <c r="E36" s="92"/>
      <c r="F36" s="148"/>
      <c r="G36" s="37"/>
      <c r="H36" s="27">
        <f>SUM(H31:H35)</f>
        <v>0</v>
      </c>
      <c r="I36" s="72"/>
    </row>
    <row r="37" spans="1:9" ht="15.95" customHeight="1">
      <c r="A37" s="518"/>
      <c r="B37" s="103" t="s">
        <v>38</v>
      </c>
      <c r="C37" s="331" t="s">
        <v>377</v>
      </c>
      <c r="D37" s="335"/>
      <c r="E37" s="336" t="s">
        <v>186</v>
      </c>
      <c r="F37" s="337">
        <v>6</v>
      </c>
      <c r="G37" s="330">
        <v>150000</v>
      </c>
      <c r="H37" s="104">
        <f t="shared" si="0"/>
        <v>900000</v>
      </c>
      <c r="I37" s="73" t="s">
        <v>382</v>
      </c>
    </row>
    <row r="38" spans="1:9" ht="15.95" customHeight="1">
      <c r="A38" s="518"/>
      <c r="B38" s="99" t="s">
        <v>45</v>
      </c>
      <c r="C38" s="331" t="s">
        <v>378</v>
      </c>
      <c r="D38" s="335" t="s">
        <v>379</v>
      </c>
      <c r="E38" s="336" t="s">
        <v>186</v>
      </c>
      <c r="F38" s="337">
        <v>6</v>
      </c>
      <c r="G38" s="330">
        <v>350000</v>
      </c>
      <c r="H38" s="100">
        <f t="shared" si="0"/>
        <v>2100000</v>
      </c>
      <c r="I38" s="68" t="s">
        <v>384</v>
      </c>
    </row>
    <row r="39" spans="1:9" ht="15.95" customHeight="1">
      <c r="A39" s="518"/>
      <c r="B39" s="99" t="s">
        <v>371</v>
      </c>
      <c r="C39" s="331" t="s">
        <v>380</v>
      </c>
      <c r="D39" s="318"/>
      <c r="E39" s="336" t="s">
        <v>186</v>
      </c>
      <c r="F39" s="338">
        <v>6</v>
      </c>
      <c r="G39" s="339">
        <v>150000</v>
      </c>
      <c r="H39" s="100">
        <f t="shared" si="0"/>
        <v>900000</v>
      </c>
      <c r="I39" s="68"/>
    </row>
    <row r="40" spans="1:9" ht="15.95" customHeight="1">
      <c r="A40" s="518"/>
      <c r="B40" s="99"/>
      <c r="C40" s="331" t="s">
        <v>387</v>
      </c>
      <c r="D40" s="345" t="s">
        <v>388</v>
      </c>
      <c r="E40" s="336" t="s">
        <v>187</v>
      </c>
      <c r="F40" s="338">
        <v>8</v>
      </c>
      <c r="G40" s="339">
        <v>150000</v>
      </c>
      <c r="H40" s="100">
        <f t="shared" si="0"/>
        <v>1200000</v>
      </c>
      <c r="I40" s="68" t="s">
        <v>381</v>
      </c>
    </row>
    <row r="41" spans="1:9" ht="15.95" customHeight="1">
      <c r="A41" s="518"/>
      <c r="B41" s="99"/>
      <c r="C41" s="66" t="s">
        <v>210</v>
      </c>
      <c r="D41" s="66" t="s">
        <v>389</v>
      </c>
      <c r="E41" s="326" t="s">
        <v>188</v>
      </c>
      <c r="F41" s="343">
        <v>16</v>
      </c>
      <c r="G41" s="67">
        <v>80000</v>
      </c>
      <c r="H41" s="100">
        <f t="shared" si="0"/>
        <v>1280000</v>
      </c>
      <c r="I41" s="68" t="s">
        <v>364</v>
      </c>
    </row>
    <row r="42" spans="1:9" ht="15.95" customHeight="1">
      <c r="A42" s="518"/>
      <c r="B42" s="99"/>
      <c r="C42" s="66" t="s">
        <v>390</v>
      </c>
      <c r="D42" s="66" t="s">
        <v>237</v>
      </c>
      <c r="E42" s="326" t="s">
        <v>188</v>
      </c>
      <c r="F42" s="343">
        <v>8</v>
      </c>
      <c r="G42" s="67">
        <v>180000</v>
      </c>
      <c r="H42" s="100">
        <f t="shared" si="0"/>
        <v>1440000</v>
      </c>
      <c r="I42" s="68" t="s">
        <v>364</v>
      </c>
    </row>
    <row r="43" spans="1:9" ht="15.95" customHeight="1">
      <c r="A43" s="518"/>
      <c r="B43" s="99"/>
      <c r="C43" s="66" t="s">
        <v>391</v>
      </c>
      <c r="D43" s="66" t="s">
        <v>392</v>
      </c>
      <c r="E43" s="326" t="s">
        <v>188</v>
      </c>
      <c r="F43" s="343">
        <v>8</v>
      </c>
      <c r="G43" s="67">
        <v>56000</v>
      </c>
      <c r="H43" s="100">
        <f t="shared" si="0"/>
        <v>448000</v>
      </c>
      <c r="I43" s="68"/>
    </row>
    <row r="44" spans="1:9" ht="15.95" customHeight="1">
      <c r="A44" s="518"/>
      <c r="B44" s="99"/>
      <c r="C44" s="66" t="s">
        <v>197</v>
      </c>
      <c r="D44" s="66" t="s">
        <v>393</v>
      </c>
      <c r="E44" s="326" t="s">
        <v>187</v>
      </c>
      <c r="F44" s="343">
        <v>8</v>
      </c>
      <c r="G44" s="67">
        <v>150000</v>
      </c>
      <c r="H44" s="100">
        <f t="shared" si="0"/>
        <v>1200000</v>
      </c>
      <c r="I44" s="68" t="s">
        <v>381</v>
      </c>
    </row>
    <row r="45" spans="1:9" ht="15.95" customHeight="1">
      <c r="A45" s="518"/>
      <c r="B45" s="99"/>
      <c r="C45" s="66" t="s">
        <v>395</v>
      </c>
      <c r="D45" s="66" t="s">
        <v>396</v>
      </c>
      <c r="E45" s="326" t="s">
        <v>186</v>
      </c>
      <c r="F45" s="343">
        <v>15</v>
      </c>
      <c r="G45" s="67">
        <v>1700000</v>
      </c>
      <c r="H45" s="100">
        <f t="shared" si="0"/>
        <v>25500000</v>
      </c>
      <c r="I45" s="68" t="s">
        <v>400</v>
      </c>
    </row>
    <row r="46" spans="1:9" ht="15.95" customHeight="1">
      <c r="A46" s="518"/>
      <c r="B46" s="99"/>
      <c r="C46" s="66" t="s">
        <v>397</v>
      </c>
      <c r="D46" s="66" t="s">
        <v>398</v>
      </c>
      <c r="E46" s="326" t="s">
        <v>186</v>
      </c>
      <c r="F46" s="343">
        <v>3</v>
      </c>
      <c r="G46" s="67">
        <v>11000000</v>
      </c>
      <c r="H46" s="100">
        <f t="shared" si="0"/>
        <v>33000000</v>
      </c>
      <c r="I46" s="68" t="s">
        <v>400</v>
      </c>
    </row>
    <row r="47" spans="1:9" ht="15.95" customHeight="1">
      <c r="A47" s="518"/>
      <c r="B47" s="99"/>
      <c r="C47" s="66" t="s">
        <v>399</v>
      </c>
      <c r="D47" s="66"/>
      <c r="E47" s="326" t="s">
        <v>186</v>
      </c>
      <c r="F47" s="343">
        <v>15</v>
      </c>
      <c r="G47" s="67">
        <v>320000</v>
      </c>
      <c r="H47" s="100">
        <f t="shared" si="0"/>
        <v>4800000</v>
      </c>
      <c r="I47" s="68"/>
    </row>
    <row r="48" spans="1:9" ht="15.95" customHeight="1">
      <c r="A48" s="518"/>
      <c r="B48" s="99"/>
      <c r="C48" s="66" t="s">
        <v>390</v>
      </c>
      <c r="D48" s="66" t="s">
        <v>237</v>
      </c>
      <c r="E48" s="326" t="s">
        <v>184</v>
      </c>
      <c r="F48" s="343">
        <v>12</v>
      </c>
      <c r="G48" s="67">
        <v>180000</v>
      </c>
      <c r="H48" s="100">
        <f t="shared" si="0"/>
        <v>2160000</v>
      </c>
      <c r="I48" s="68" t="s">
        <v>364</v>
      </c>
    </row>
    <row r="49" spans="1:9" ht="15.95" customHeight="1">
      <c r="A49" s="518"/>
      <c r="B49" s="99"/>
      <c r="C49" s="66" t="s">
        <v>391</v>
      </c>
      <c r="D49" s="66" t="s">
        <v>392</v>
      </c>
      <c r="E49" s="326" t="s">
        <v>184</v>
      </c>
      <c r="F49" s="343">
        <v>3</v>
      </c>
      <c r="G49" s="67">
        <v>56000</v>
      </c>
      <c r="H49" s="100">
        <f t="shared" si="0"/>
        <v>168000</v>
      </c>
      <c r="I49" s="68"/>
    </row>
    <row r="50" spans="1:9" ht="15.95" customHeight="1">
      <c r="A50" s="518"/>
      <c r="B50" s="99"/>
      <c r="C50" s="66" t="s">
        <v>197</v>
      </c>
      <c r="D50" s="66" t="s">
        <v>393</v>
      </c>
      <c r="E50" s="326" t="s">
        <v>186</v>
      </c>
      <c r="F50" s="343">
        <v>18</v>
      </c>
      <c r="G50" s="67">
        <v>150000</v>
      </c>
      <c r="H50" s="100">
        <f t="shared" si="0"/>
        <v>2700000</v>
      </c>
      <c r="I50" s="68" t="s">
        <v>381</v>
      </c>
    </row>
    <row r="51" spans="1:9" ht="15.95" customHeight="1">
      <c r="A51" s="518"/>
      <c r="B51" s="99"/>
      <c r="C51" s="66" t="s">
        <v>403</v>
      </c>
      <c r="D51" s="66" t="s">
        <v>404</v>
      </c>
      <c r="E51" s="326" t="s">
        <v>186</v>
      </c>
      <c r="F51" s="343">
        <v>32</v>
      </c>
      <c r="G51" s="67">
        <v>280000</v>
      </c>
      <c r="H51" s="100">
        <f t="shared" si="0"/>
        <v>8960000</v>
      </c>
      <c r="I51" s="68" t="s">
        <v>409</v>
      </c>
    </row>
    <row r="52" spans="1:9" ht="15.95" customHeight="1">
      <c r="A52" s="518"/>
      <c r="B52" s="99"/>
      <c r="C52" s="66" t="s">
        <v>405</v>
      </c>
      <c r="D52" s="66" t="s">
        <v>406</v>
      </c>
      <c r="E52" s="326" t="s">
        <v>186</v>
      </c>
      <c r="F52" s="343">
        <v>2</v>
      </c>
      <c r="G52" s="67">
        <v>3900000</v>
      </c>
      <c r="H52" s="100">
        <f t="shared" si="0"/>
        <v>7800000</v>
      </c>
      <c r="I52" s="68" t="s">
        <v>410</v>
      </c>
    </row>
    <row r="53" spans="1:9" ht="15.95" customHeight="1">
      <c r="A53" s="518"/>
      <c r="B53" s="99"/>
      <c r="C53" s="66" t="s">
        <v>407</v>
      </c>
      <c r="D53" s="66"/>
      <c r="E53" s="326" t="s">
        <v>186</v>
      </c>
      <c r="F53" s="343">
        <v>1</v>
      </c>
      <c r="G53" s="67">
        <v>300000</v>
      </c>
      <c r="H53" s="100">
        <f t="shared" si="0"/>
        <v>300000</v>
      </c>
      <c r="I53" s="68"/>
    </row>
    <row r="54" spans="1:9" ht="15.95" customHeight="1">
      <c r="A54" s="518"/>
      <c r="B54" s="99"/>
      <c r="C54" s="66" t="s">
        <v>235</v>
      </c>
      <c r="D54" s="66"/>
      <c r="E54" s="326" t="s">
        <v>408</v>
      </c>
      <c r="F54" s="343">
        <v>1</v>
      </c>
      <c r="G54" s="67">
        <v>7200000</v>
      </c>
      <c r="H54" s="100">
        <f t="shared" si="0"/>
        <v>7200000</v>
      </c>
      <c r="I54" s="68"/>
    </row>
    <row r="55" spans="1:9" ht="15.95" customHeight="1">
      <c r="A55" s="518"/>
      <c r="B55" s="99" t="s">
        <v>411</v>
      </c>
      <c r="C55" s="66" t="s">
        <v>377</v>
      </c>
      <c r="D55" s="66"/>
      <c r="E55" s="326" t="s">
        <v>386</v>
      </c>
      <c r="F55" s="343">
        <v>2</v>
      </c>
      <c r="G55" s="67">
        <v>150000</v>
      </c>
      <c r="H55" s="100">
        <f t="shared" si="0"/>
        <v>300000</v>
      </c>
      <c r="I55" s="68" t="s">
        <v>381</v>
      </c>
    </row>
    <row r="56" spans="1:9" ht="15.95" customHeight="1">
      <c r="A56" s="518"/>
      <c r="B56" s="99"/>
      <c r="C56" s="66" t="s">
        <v>378</v>
      </c>
      <c r="D56" s="66" t="s">
        <v>379</v>
      </c>
      <c r="E56" s="326" t="s">
        <v>386</v>
      </c>
      <c r="F56" s="343">
        <v>2</v>
      </c>
      <c r="G56" s="67">
        <v>350000</v>
      </c>
      <c r="H56" s="100">
        <f t="shared" si="0"/>
        <v>700000</v>
      </c>
      <c r="I56" s="68" t="s">
        <v>383</v>
      </c>
    </row>
    <row r="57" spans="1:9" ht="15.95" customHeight="1">
      <c r="A57" s="518"/>
      <c r="B57" s="99"/>
      <c r="C57" s="66" t="s">
        <v>380</v>
      </c>
      <c r="D57" s="66"/>
      <c r="E57" s="326" t="s">
        <v>386</v>
      </c>
      <c r="F57" s="343">
        <v>2</v>
      </c>
      <c r="G57" s="67">
        <v>150000</v>
      </c>
      <c r="H57" s="100">
        <f t="shared" si="0"/>
        <v>300000</v>
      </c>
      <c r="I57" s="68"/>
    </row>
    <row r="58" spans="1:9" ht="15.95" customHeight="1">
      <c r="A58" s="518"/>
      <c r="B58" s="99"/>
      <c r="C58" s="66" t="s">
        <v>387</v>
      </c>
      <c r="D58" s="66" t="s">
        <v>388</v>
      </c>
      <c r="E58" s="326" t="s">
        <v>186</v>
      </c>
      <c r="F58" s="343">
        <v>2</v>
      </c>
      <c r="G58" s="67">
        <v>150000</v>
      </c>
      <c r="H58" s="100">
        <f t="shared" si="0"/>
        <v>300000</v>
      </c>
      <c r="I58" s="68" t="s">
        <v>381</v>
      </c>
    </row>
    <row r="59" spans="1:9" ht="15.95" customHeight="1">
      <c r="A59" s="518"/>
      <c r="B59" s="99"/>
      <c r="C59" s="66" t="s">
        <v>210</v>
      </c>
      <c r="D59" s="66" t="s">
        <v>389</v>
      </c>
      <c r="E59" s="326" t="s">
        <v>184</v>
      </c>
      <c r="F59" s="343">
        <v>4</v>
      </c>
      <c r="G59" s="67">
        <v>80000</v>
      </c>
      <c r="H59" s="100">
        <f t="shared" si="0"/>
        <v>320000</v>
      </c>
      <c r="I59" s="68" t="s">
        <v>364</v>
      </c>
    </row>
    <row r="60" spans="1:9" ht="15.95" customHeight="1">
      <c r="A60" s="518"/>
      <c r="B60" s="99"/>
      <c r="C60" s="66" t="s">
        <v>390</v>
      </c>
      <c r="D60" s="66" t="s">
        <v>237</v>
      </c>
      <c r="E60" s="326" t="s">
        <v>184</v>
      </c>
      <c r="F60" s="343">
        <v>2</v>
      </c>
      <c r="G60" s="67">
        <v>180000</v>
      </c>
      <c r="H60" s="100">
        <f t="shared" si="0"/>
        <v>360000</v>
      </c>
      <c r="I60" s="68" t="s">
        <v>364</v>
      </c>
    </row>
    <row r="61" spans="1:9" ht="15.95" customHeight="1">
      <c r="A61" s="518"/>
      <c r="B61" s="99"/>
      <c r="C61" s="66" t="s">
        <v>391</v>
      </c>
      <c r="D61" s="66" t="s">
        <v>392</v>
      </c>
      <c r="E61" s="326" t="s">
        <v>184</v>
      </c>
      <c r="F61" s="343">
        <v>2</v>
      </c>
      <c r="G61" s="67">
        <v>56000</v>
      </c>
      <c r="H61" s="100">
        <f t="shared" si="0"/>
        <v>112000</v>
      </c>
      <c r="I61" s="68"/>
    </row>
    <row r="62" spans="1:9" ht="15.95" customHeight="1">
      <c r="A62" s="518"/>
      <c r="B62" s="99"/>
      <c r="C62" s="66" t="s">
        <v>197</v>
      </c>
      <c r="D62" s="66" t="s">
        <v>393</v>
      </c>
      <c r="E62" s="326" t="s">
        <v>186</v>
      </c>
      <c r="F62" s="343">
        <v>2</v>
      </c>
      <c r="G62" s="67">
        <v>150000</v>
      </c>
      <c r="H62" s="100">
        <f t="shared" si="0"/>
        <v>300000</v>
      </c>
      <c r="I62" s="68" t="s">
        <v>381</v>
      </c>
    </row>
    <row r="63" spans="1:9" ht="15.95" customHeight="1">
      <c r="A63" s="518"/>
      <c r="B63" s="99"/>
      <c r="C63" s="66" t="s">
        <v>403</v>
      </c>
      <c r="D63" s="66" t="s">
        <v>404</v>
      </c>
      <c r="E63" s="326" t="s">
        <v>186</v>
      </c>
      <c r="F63" s="343">
        <v>16</v>
      </c>
      <c r="G63" s="67">
        <v>280000</v>
      </c>
      <c r="H63" s="100">
        <f t="shared" si="0"/>
        <v>4480000</v>
      </c>
      <c r="I63" s="68"/>
    </row>
    <row r="64" spans="1:9" ht="15.95" customHeight="1">
      <c r="A64" s="518"/>
      <c r="B64" s="99"/>
      <c r="C64" s="66" t="s">
        <v>405</v>
      </c>
      <c r="D64" s="66" t="s">
        <v>406</v>
      </c>
      <c r="E64" s="326" t="s">
        <v>186</v>
      </c>
      <c r="F64" s="343">
        <v>1</v>
      </c>
      <c r="G64" s="67">
        <v>3900000</v>
      </c>
      <c r="H64" s="100">
        <f t="shared" si="0"/>
        <v>3900000</v>
      </c>
      <c r="I64" s="68"/>
    </row>
    <row r="65" spans="1:9" ht="15.95" customHeight="1">
      <c r="A65" s="518"/>
      <c r="B65" s="99"/>
      <c r="C65" s="66" t="s">
        <v>412</v>
      </c>
      <c r="D65" s="66"/>
      <c r="E65" s="326" t="s">
        <v>186</v>
      </c>
      <c r="F65" s="343">
        <v>1</v>
      </c>
      <c r="G65" s="67">
        <v>1500000</v>
      </c>
      <c r="H65" s="100">
        <f t="shared" si="0"/>
        <v>1500000</v>
      </c>
      <c r="I65" s="68"/>
    </row>
    <row r="66" spans="1:9" ht="15.95" customHeight="1">
      <c r="A66" s="518"/>
      <c r="B66" s="99"/>
      <c r="C66" s="66" t="s">
        <v>413</v>
      </c>
      <c r="D66" s="66"/>
      <c r="E66" s="326" t="s">
        <v>186</v>
      </c>
      <c r="F66" s="343">
        <v>1</v>
      </c>
      <c r="G66" s="67">
        <v>180000</v>
      </c>
      <c r="H66" s="100">
        <f t="shared" si="0"/>
        <v>180000</v>
      </c>
      <c r="I66" s="68"/>
    </row>
    <row r="67" spans="1:9" ht="15.95" customHeight="1">
      <c r="A67" s="518"/>
      <c r="B67" s="99"/>
      <c r="C67" s="66" t="s">
        <v>407</v>
      </c>
      <c r="D67" s="66"/>
      <c r="E67" s="326" t="s">
        <v>186</v>
      </c>
      <c r="F67" s="343">
        <v>2</v>
      </c>
      <c r="G67" s="67">
        <v>300000</v>
      </c>
      <c r="H67" s="100">
        <f t="shared" si="0"/>
        <v>600000</v>
      </c>
      <c r="I67" s="68"/>
    </row>
    <row r="68" spans="1:9" ht="15.95" customHeight="1">
      <c r="A68" s="518"/>
      <c r="B68" s="99"/>
      <c r="C68" s="66" t="s">
        <v>235</v>
      </c>
      <c r="D68" s="66"/>
      <c r="E68" s="326" t="s">
        <v>184</v>
      </c>
      <c r="F68" s="343">
        <v>1</v>
      </c>
      <c r="G68" s="67">
        <v>1270000</v>
      </c>
      <c r="H68" s="100">
        <f t="shared" si="0"/>
        <v>1270000</v>
      </c>
      <c r="I68" s="68"/>
    </row>
    <row r="69" spans="1:9" ht="15.95" customHeight="1">
      <c r="A69" s="518"/>
      <c r="B69" s="99" t="s">
        <v>414</v>
      </c>
      <c r="C69" s="66" t="s">
        <v>377</v>
      </c>
      <c r="D69" s="66"/>
      <c r="E69" s="326" t="s">
        <v>186</v>
      </c>
      <c r="F69" s="343">
        <v>4</v>
      </c>
      <c r="G69" s="67">
        <v>150000</v>
      </c>
      <c r="H69" s="100">
        <f t="shared" si="0"/>
        <v>600000</v>
      </c>
      <c r="I69" s="68" t="s">
        <v>381</v>
      </c>
    </row>
    <row r="70" spans="1:9" ht="15.95" customHeight="1">
      <c r="A70" s="518"/>
      <c r="B70" s="99"/>
      <c r="C70" s="66" t="s">
        <v>378</v>
      </c>
      <c r="D70" s="66" t="s">
        <v>379</v>
      </c>
      <c r="E70" s="326" t="s">
        <v>186</v>
      </c>
      <c r="F70" s="343">
        <v>4</v>
      </c>
      <c r="G70" s="67">
        <v>350000</v>
      </c>
      <c r="H70" s="100">
        <f t="shared" si="0"/>
        <v>1400000</v>
      </c>
      <c r="I70" s="68" t="s">
        <v>383</v>
      </c>
    </row>
    <row r="71" spans="1:9" ht="15.95" customHeight="1">
      <c r="A71" s="518"/>
      <c r="B71" s="99"/>
      <c r="C71" s="66" t="s">
        <v>380</v>
      </c>
      <c r="D71" s="66"/>
      <c r="E71" s="326" t="s">
        <v>186</v>
      </c>
      <c r="F71" s="343">
        <v>4</v>
      </c>
      <c r="G71" s="67">
        <v>150000</v>
      </c>
      <c r="H71" s="100">
        <f t="shared" si="0"/>
        <v>600000</v>
      </c>
      <c r="I71" s="68"/>
    </row>
    <row r="72" spans="1:9" ht="15.95" customHeight="1">
      <c r="A72" s="518"/>
      <c r="B72" s="99"/>
      <c r="C72" s="66" t="s">
        <v>387</v>
      </c>
      <c r="D72" s="66" t="s">
        <v>388</v>
      </c>
      <c r="E72" s="326" t="s">
        <v>186</v>
      </c>
      <c r="F72" s="343">
        <v>4</v>
      </c>
      <c r="G72" s="67">
        <v>150000</v>
      </c>
      <c r="H72" s="100">
        <f t="shared" si="0"/>
        <v>600000</v>
      </c>
      <c r="I72" s="68" t="s">
        <v>381</v>
      </c>
    </row>
    <row r="73" spans="1:9" ht="15.95" customHeight="1">
      <c r="A73" s="518"/>
      <c r="B73" s="99"/>
      <c r="C73" s="66" t="s">
        <v>210</v>
      </c>
      <c r="D73" s="66" t="s">
        <v>389</v>
      </c>
      <c r="E73" s="326" t="s">
        <v>184</v>
      </c>
      <c r="F73" s="343">
        <v>8</v>
      </c>
      <c r="G73" s="67">
        <v>80000</v>
      </c>
      <c r="H73" s="100">
        <f t="shared" si="0"/>
        <v>640000</v>
      </c>
      <c r="I73" s="68" t="s">
        <v>364</v>
      </c>
    </row>
    <row r="74" spans="1:9" ht="15.95" customHeight="1">
      <c r="A74" s="518"/>
      <c r="B74" s="99"/>
      <c r="C74" s="66" t="s">
        <v>390</v>
      </c>
      <c r="D74" s="66" t="s">
        <v>237</v>
      </c>
      <c r="E74" s="326" t="s">
        <v>184</v>
      </c>
      <c r="F74" s="343">
        <v>4</v>
      </c>
      <c r="G74" s="67">
        <v>180000</v>
      </c>
      <c r="H74" s="100">
        <f t="shared" si="0"/>
        <v>720000</v>
      </c>
      <c r="I74" s="68" t="s">
        <v>364</v>
      </c>
    </row>
    <row r="75" spans="1:9" ht="15.95" customHeight="1">
      <c r="A75" s="518"/>
      <c r="B75" s="99"/>
      <c r="C75" s="66" t="s">
        <v>391</v>
      </c>
      <c r="D75" s="66" t="s">
        <v>392</v>
      </c>
      <c r="E75" s="326" t="s">
        <v>184</v>
      </c>
      <c r="F75" s="343">
        <v>4</v>
      </c>
      <c r="G75" s="67">
        <v>56000</v>
      </c>
      <c r="H75" s="100">
        <f t="shared" si="0"/>
        <v>224000</v>
      </c>
      <c r="I75" s="68"/>
    </row>
    <row r="76" spans="1:9" ht="15.95" customHeight="1">
      <c r="A76" s="518"/>
      <c r="B76" s="99"/>
      <c r="C76" s="66" t="s">
        <v>197</v>
      </c>
      <c r="D76" s="66" t="s">
        <v>393</v>
      </c>
      <c r="E76" s="326" t="s">
        <v>186</v>
      </c>
      <c r="F76" s="343">
        <v>4</v>
      </c>
      <c r="G76" s="67">
        <v>150000</v>
      </c>
      <c r="H76" s="100">
        <f t="shared" si="0"/>
        <v>600000</v>
      </c>
      <c r="I76" s="68" t="s">
        <v>381</v>
      </c>
    </row>
    <row r="77" spans="1:9" ht="15.95" customHeight="1">
      <c r="A77" s="518"/>
      <c r="B77" s="99"/>
      <c r="C77" s="66" t="s">
        <v>419</v>
      </c>
      <c r="D77" s="66" t="s">
        <v>420</v>
      </c>
      <c r="E77" s="326" t="s">
        <v>186</v>
      </c>
      <c r="F77" s="343">
        <v>1</v>
      </c>
      <c r="G77" s="67">
        <v>2300000</v>
      </c>
      <c r="H77" s="100">
        <f t="shared" si="0"/>
        <v>2300000</v>
      </c>
      <c r="I77" s="68" t="s">
        <v>454</v>
      </c>
    </row>
    <row r="78" spans="1:9" ht="15.95" customHeight="1">
      <c r="A78" s="518"/>
      <c r="B78" s="99"/>
      <c r="C78" s="66" t="s">
        <v>419</v>
      </c>
      <c r="D78" s="66" t="s">
        <v>421</v>
      </c>
      <c r="E78" s="326" t="s">
        <v>186</v>
      </c>
      <c r="F78" s="343">
        <v>1</v>
      </c>
      <c r="G78" s="67">
        <v>1300000</v>
      </c>
      <c r="H78" s="100">
        <f t="shared" si="0"/>
        <v>1300000</v>
      </c>
      <c r="I78" s="68" t="s">
        <v>454</v>
      </c>
    </row>
    <row r="79" spans="1:9" ht="15.95" customHeight="1">
      <c r="A79" s="518"/>
      <c r="B79" s="99"/>
      <c r="C79" s="66" t="s">
        <v>422</v>
      </c>
      <c r="D79" s="66" t="s">
        <v>423</v>
      </c>
      <c r="E79" s="326" t="s">
        <v>186</v>
      </c>
      <c r="F79" s="343">
        <v>1</v>
      </c>
      <c r="G79" s="67">
        <v>1100000</v>
      </c>
      <c r="H79" s="100">
        <f t="shared" si="0"/>
        <v>1100000</v>
      </c>
      <c r="I79" s="68" t="s">
        <v>454</v>
      </c>
    </row>
    <row r="80" spans="1:9" ht="15.95" customHeight="1">
      <c r="A80" s="518"/>
      <c r="B80" s="99"/>
      <c r="C80" s="66" t="s">
        <v>424</v>
      </c>
      <c r="D80" s="66" t="s">
        <v>259</v>
      </c>
      <c r="E80" s="326" t="s">
        <v>186</v>
      </c>
      <c r="F80" s="343">
        <v>1</v>
      </c>
      <c r="G80" s="67">
        <v>600000</v>
      </c>
      <c r="H80" s="100">
        <f t="shared" si="0"/>
        <v>600000</v>
      </c>
      <c r="I80" s="68" t="s">
        <v>454</v>
      </c>
    </row>
    <row r="81" spans="1:9" ht="15.95" customHeight="1">
      <c r="A81" s="518"/>
      <c r="B81" s="99"/>
      <c r="C81" s="66" t="s">
        <v>425</v>
      </c>
      <c r="D81" s="66" t="s">
        <v>426</v>
      </c>
      <c r="E81" s="326" t="s">
        <v>184</v>
      </c>
      <c r="F81" s="343">
        <v>2</v>
      </c>
      <c r="G81" s="67">
        <v>400000</v>
      </c>
      <c r="H81" s="100">
        <f t="shared" si="0"/>
        <v>800000</v>
      </c>
      <c r="I81" s="68" t="s">
        <v>320</v>
      </c>
    </row>
    <row r="82" spans="1:9" ht="15.95" customHeight="1">
      <c r="A82" s="518"/>
      <c r="B82" s="99"/>
      <c r="C82" s="66"/>
      <c r="D82" s="66" t="s">
        <v>427</v>
      </c>
      <c r="E82" s="326" t="s">
        <v>184</v>
      </c>
      <c r="F82" s="343">
        <v>1</v>
      </c>
      <c r="G82" s="67">
        <v>500000</v>
      </c>
      <c r="H82" s="100">
        <f t="shared" si="0"/>
        <v>500000</v>
      </c>
      <c r="I82" s="68" t="s">
        <v>320</v>
      </c>
    </row>
    <row r="83" spans="1:9" ht="15.95" customHeight="1">
      <c r="A83" s="518"/>
      <c r="B83" s="99"/>
      <c r="C83" s="66" t="s">
        <v>428</v>
      </c>
      <c r="D83" s="66" t="s">
        <v>429</v>
      </c>
      <c r="E83" s="326" t="s">
        <v>184</v>
      </c>
      <c r="F83" s="343">
        <v>3</v>
      </c>
      <c r="G83" s="67">
        <v>600000</v>
      </c>
      <c r="H83" s="100">
        <f t="shared" si="0"/>
        <v>1800000</v>
      </c>
      <c r="I83" s="68" t="s">
        <v>320</v>
      </c>
    </row>
    <row r="84" spans="1:9" ht="15.95" customHeight="1">
      <c r="A84" s="518"/>
      <c r="B84" s="99"/>
      <c r="C84" s="66" t="s">
        <v>430</v>
      </c>
      <c r="D84" s="66"/>
      <c r="E84" s="326" t="s">
        <v>213</v>
      </c>
      <c r="F84" s="343">
        <v>10</v>
      </c>
      <c r="G84" s="67">
        <v>70000</v>
      </c>
      <c r="H84" s="100">
        <f t="shared" si="0"/>
        <v>700000</v>
      </c>
      <c r="I84" s="68" t="s">
        <v>320</v>
      </c>
    </row>
    <row r="85" spans="1:9" ht="15.95" customHeight="1">
      <c r="A85" s="518"/>
      <c r="B85" s="99"/>
      <c r="C85" s="66" t="s">
        <v>431</v>
      </c>
      <c r="D85" s="66" t="s">
        <v>432</v>
      </c>
      <c r="E85" s="326" t="s">
        <v>186</v>
      </c>
      <c r="F85" s="343">
        <v>4</v>
      </c>
      <c r="G85" s="67">
        <v>50000</v>
      </c>
      <c r="H85" s="100">
        <f t="shared" si="0"/>
        <v>200000</v>
      </c>
      <c r="I85" s="68"/>
    </row>
    <row r="86" spans="1:9" ht="15.95" customHeight="1">
      <c r="A86" s="518"/>
      <c r="B86" s="99"/>
      <c r="C86" s="66" t="s">
        <v>433</v>
      </c>
      <c r="D86" s="66" t="s">
        <v>434</v>
      </c>
      <c r="E86" s="326" t="s">
        <v>186</v>
      </c>
      <c r="F86" s="343">
        <v>1</v>
      </c>
      <c r="G86" s="67">
        <v>250000</v>
      </c>
      <c r="H86" s="100">
        <f t="shared" si="0"/>
        <v>250000</v>
      </c>
      <c r="I86" s="68" t="s">
        <v>381</v>
      </c>
    </row>
    <row r="87" spans="1:9" ht="15.95" customHeight="1">
      <c r="A87" s="518"/>
      <c r="B87" s="99"/>
      <c r="C87" s="66" t="s">
        <v>435</v>
      </c>
      <c r="D87" s="66" t="s">
        <v>436</v>
      </c>
      <c r="E87" s="326" t="s">
        <v>186</v>
      </c>
      <c r="F87" s="343">
        <v>4</v>
      </c>
      <c r="G87" s="67">
        <v>150000</v>
      </c>
      <c r="H87" s="100">
        <f t="shared" si="0"/>
        <v>600000</v>
      </c>
      <c r="I87" s="68" t="s">
        <v>455</v>
      </c>
    </row>
    <row r="88" spans="1:9" ht="15.95" customHeight="1">
      <c r="A88" s="518"/>
      <c r="B88" s="99"/>
      <c r="C88" s="66" t="s">
        <v>441</v>
      </c>
      <c r="D88" s="66" t="s">
        <v>442</v>
      </c>
      <c r="E88" s="326" t="s">
        <v>186</v>
      </c>
      <c r="F88" s="343">
        <v>2</v>
      </c>
      <c r="G88" s="67">
        <v>320000</v>
      </c>
      <c r="H88" s="100">
        <f t="shared" si="0"/>
        <v>640000</v>
      </c>
      <c r="I88" s="68" t="s">
        <v>456</v>
      </c>
    </row>
    <row r="89" spans="1:9" ht="15.95" customHeight="1">
      <c r="A89" s="518"/>
      <c r="B89" s="99"/>
      <c r="C89" s="66" t="s">
        <v>443</v>
      </c>
      <c r="D89" s="66" t="s">
        <v>444</v>
      </c>
      <c r="E89" s="326" t="s">
        <v>184</v>
      </c>
      <c r="F89" s="343">
        <v>1</v>
      </c>
      <c r="G89" s="67">
        <v>350000</v>
      </c>
      <c r="H89" s="100">
        <f t="shared" si="0"/>
        <v>350000</v>
      </c>
      <c r="I89" s="68" t="s">
        <v>381</v>
      </c>
    </row>
    <row r="90" spans="1:9" ht="15.95" customHeight="1">
      <c r="A90" s="518"/>
      <c r="B90" s="99"/>
      <c r="C90" s="66" t="s">
        <v>445</v>
      </c>
      <c r="D90" s="66" t="s">
        <v>446</v>
      </c>
      <c r="E90" s="326" t="s">
        <v>184</v>
      </c>
      <c r="F90" s="343">
        <v>1</v>
      </c>
      <c r="G90" s="67">
        <v>150000</v>
      </c>
      <c r="H90" s="100">
        <f t="shared" si="0"/>
        <v>150000</v>
      </c>
      <c r="I90" s="68" t="s">
        <v>381</v>
      </c>
    </row>
    <row r="91" spans="1:9" ht="15.95" customHeight="1">
      <c r="A91" s="518"/>
      <c r="B91" s="99"/>
      <c r="C91" s="66" t="s">
        <v>447</v>
      </c>
      <c r="D91" s="66" t="s">
        <v>448</v>
      </c>
      <c r="E91" s="326" t="s">
        <v>184</v>
      </c>
      <c r="F91" s="343">
        <v>1</v>
      </c>
      <c r="G91" s="67">
        <v>250000</v>
      </c>
      <c r="H91" s="100">
        <f t="shared" si="0"/>
        <v>250000</v>
      </c>
      <c r="I91" s="68"/>
    </row>
    <row r="92" spans="1:9" ht="15.95" customHeight="1">
      <c r="A92" s="518"/>
      <c r="B92" s="99"/>
      <c r="C92" s="66" t="s">
        <v>449</v>
      </c>
      <c r="D92" s="66" t="s">
        <v>450</v>
      </c>
      <c r="E92" s="326" t="s">
        <v>186</v>
      </c>
      <c r="F92" s="343">
        <v>1</v>
      </c>
      <c r="G92" s="67">
        <v>2800000</v>
      </c>
      <c r="H92" s="100">
        <f t="shared" si="0"/>
        <v>2800000</v>
      </c>
      <c r="I92" s="68" t="s">
        <v>457</v>
      </c>
    </row>
    <row r="93" spans="1:9" ht="15.95" customHeight="1">
      <c r="A93" s="518"/>
      <c r="B93" s="99"/>
      <c r="C93" s="66" t="s">
        <v>451</v>
      </c>
      <c r="D93" s="66" t="s">
        <v>450</v>
      </c>
      <c r="E93" s="326" t="s">
        <v>186</v>
      </c>
      <c r="F93" s="343">
        <v>1</v>
      </c>
      <c r="G93" s="67">
        <v>1000000</v>
      </c>
      <c r="H93" s="100">
        <f t="shared" si="0"/>
        <v>1000000</v>
      </c>
      <c r="I93" s="68" t="s">
        <v>457</v>
      </c>
    </row>
    <row r="94" spans="1:9" ht="15.95" customHeight="1">
      <c r="A94" s="518"/>
      <c r="B94" s="99"/>
      <c r="C94" s="66" t="s">
        <v>452</v>
      </c>
      <c r="D94" s="66" t="s">
        <v>450</v>
      </c>
      <c r="E94" s="326" t="s">
        <v>184</v>
      </c>
      <c r="F94" s="343">
        <v>1</v>
      </c>
      <c r="G94" s="67">
        <v>400000</v>
      </c>
      <c r="H94" s="100">
        <f t="shared" si="0"/>
        <v>400000</v>
      </c>
      <c r="I94" s="68" t="s">
        <v>457</v>
      </c>
    </row>
    <row r="95" spans="1:9" ht="15.95" customHeight="1">
      <c r="A95" s="518"/>
      <c r="B95" s="99"/>
      <c r="C95" s="66" t="s">
        <v>453</v>
      </c>
      <c r="D95" s="66"/>
      <c r="E95" s="326" t="s">
        <v>186</v>
      </c>
      <c r="F95" s="343">
        <v>1</v>
      </c>
      <c r="G95" s="67">
        <v>4500000</v>
      </c>
      <c r="H95" s="100">
        <f t="shared" si="0"/>
        <v>4500000</v>
      </c>
      <c r="I95" s="68" t="s">
        <v>189</v>
      </c>
    </row>
    <row r="96" spans="1:9" ht="15.95" customHeight="1">
      <c r="A96" s="518"/>
      <c r="B96" s="99"/>
      <c r="C96" s="66" t="s">
        <v>210</v>
      </c>
      <c r="D96" s="66" t="s">
        <v>389</v>
      </c>
      <c r="E96" s="326" t="s">
        <v>184</v>
      </c>
      <c r="F96" s="343">
        <v>6</v>
      </c>
      <c r="G96" s="67">
        <v>80000</v>
      </c>
      <c r="H96" s="100">
        <f t="shared" si="0"/>
        <v>480000</v>
      </c>
      <c r="I96" s="68" t="s">
        <v>364</v>
      </c>
    </row>
    <row r="97" spans="1:9" ht="15.95" customHeight="1">
      <c r="A97" s="518"/>
      <c r="B97" s="99"/>
      <c r="C97" s="66" t="s">
        <v>390</v>
      </c>
      <c r="D97" s="66" t="s">
        <v>237</v>
      </c>
      <c r="E97" s="66" t="s">
        <v>184</v>
      </c>
      <c r="F97" s="343">
        <v>2</v>
      </c>
      <c r="G97" s="67">
        <v>180000</v>
      </c>
      <c r="H97" s="100">
        <f t="shared" si="0"/>
        <v>360000</v>
      </c>
      <c r="I97" s="68" t="s">
        <v>364</v>
      </c>
    </row>
    <row r="98" spans="1:9" ht="15.95" customHeight="1">
      <c r="A98" s="518"/>
      <c r="B98" s="99"/>
      <c r="C98" s="66" t="s">
        <v>197</v>
      </c>
      <c r="D98" s="66"/>
      <c r="E98" s="66" t="s">
        <v>186</v>
      </c>
      <c r="F98" s="343">
        <v>3</v>
      </c>
      <c r="G98" s="67">
        <v>150000</v>
      </c>
      <c r="H98" s="100">
        <f t="shared" si="0"/>
        <v>450000</v>
      </c>
      <c r="I98" s="68" t="s">
        <v>381</v>
      </c>
    </row>
    <row r="99" spans="1:9" ht="15.95" customHeight="1">
      <c r="A99" s="518"/>
      <c r="B99" s="99"/>
      <c r="C99" s="66" t="s">
        <v>403</v>
      </c>
      <c r="D99" s="66" t="s">
        <v>404</v>
      </c>
      <c r="E99" s="66" t="s">
        <v>186</v>
      </c>
      <c r="F99" s="343">
        <v>32</v>
      </c>
      <c r="G99" s="67">
        <v>280000</v>
      </c>
      <c r="H99" s="100">
        <f t="shared" si="0"/>
        <v>8960000</v>
      </c>
      <c r="I99" s="68" t="s">
        <v>409</v>
      </c>
    </row>
    <row r="100" spans="1:9" ht="15.95" customHeight="1">
      <c r="A100" s="518"/>
      <c r="B100" s="99"/>
      <c r="C100" s="66" t="s">
        <v>405</v>
      </c>
      <c r="D100" s="66" t="s">
        <v>406</v>
      </c>
      <c r="E100" s="66" t="s">
        <v>186</v>
      </c>
      <c r="F100" s="343">
        <v>3</v>
      </c>
      <c r="G100" s="67">
        <v>3900000</v>
      </c>
      <c r="H100" s="100">
        <f t="shared" si="0"/>
        <v>11700000</v>
      </c>
      <c r="I100" s="68" t="s">
        <v>410</v>
      </c>
    </row>
    <row r="101" spans="1:9" ht="15.95" customHeight="1">
      <c r="A101" s="518"/>
      <c r="B101" s="99"/>
      <c r="C101" s="66" t="s">
        <v>412</v>
      </c>
      <c r="D101" s="66"/>
      <c r="E101" s="66" t="s">
        <v>186</v>
      </c>
      <c r="F101" s="343">
        <v>3</v>
      </c>
      <c r="G101" s="67">
        <v>1500000</v>
      </c>
      <c r="H101" s="100">
        <f t="shared" si="0"/>
        <v>4500000</v>
      </c>
      <c r="I101" s="68"/>
    </row>
    <row r="102" spans="1:9" ht="15.95" customHeight="1">
      <c r="A102" s="518"/>
      <c r="B102" s="99"/>
      <c r="C102" s="66" t="s">
        <v>413</v>
      </c>
      <c r="D102" s="66"/>
      <c r="E102" s="66" t="s">
        <v>186</v>
      </c>
      <c r="F102" s="343">
        <v>1</v>
      </c>
      <c r="G102" s="67">
        <v>180000</v>
      </c>
      <c r="H102" s="100">
        <f t="shared" si="0"/>
        <v>180000</v>
      </c>
      <c r="I102" s="68"/>
    </row>
    <row r="103" spans="1:9" ht="15.95" customHeight="1">
      <c r="A103" s="518"/>
      <c r="B103" s="99"/>
      <c r="C103" s="66" t="s">
        <v>407</v>
      </c>
      <c r="D103" s="66"/>
      <c r="E103" s="66" t="s">
        <v>186</v>
      </c>
      <c r="F103" s="343">
        <v>4</v>
      </c>
      <c r="G103" s="67">
        <v>300000</v>
      </c>
      <c r="H103" s="100">
        <f t="shared" si="0"/>
        <v>1200000</v>
      </c>
      <c r="I103" s="68"/>
    </row>
    <row r="104" spans="1:9" ht="15.95" customHeight="1">
      <c r="A104" s="518"/>
      <c r="B104" s="99"/>
      <c r="C104" s="66" t="s">
        <v>235</v>
      </c>
      <c r="D104" s="66"/>
      <c r="E104" s="66" t="s">
        <v>408</v>
      </c>
      <c r="F104" s="343">
        <v>1</v>
      </c>
      <c r="G104" s="67">
        <v>4100000</v>
      </c>
      <c r="H104" s="100">
        <f t="shared" si="0"/>
        <v>4100000</v>
      </c>
      <c r="I104" s="68"/>
    </row>
    <row r="105" spans="1:9" ht="15.95" customHeight="1">
      <c r="A105" s="518"/>
      <c r="B105" s="99" t="s">
        <v>459</v>
      </c>
      <c r="C105" s="66" t="s">
        <v>377</v>
      </c>
      <c r="D105" s="66"/>
      <c r="E105" s="66" t="s">
        <v>386</v>
      </c>
      <c r="F105" s="343">
        <v>4</v>
      </c>
      <c r="G105" s="67">
        <v>150000</v>
      </c>
      <c r="H105" s="100">
        <f t="shared" si="0"/>
        <v>600000</v>
      </c>
      <c r="I105" s="68"/>
    </row>
    <row r="106" spans="1:9" ht="15.95" customHeight="1">
      <c r="A106" s="518"/>
      <c r="B106" s="99"/>
      <c r="C106" s="66" t="s">
        <v>378</v>
      </c>
      <c r="D106" s="66" t="s">
        <v>379</v>
      </c>
      <c r="E106" s="66" t="s">
        <v>386</v>
      </c>
      <c r="F106" s="343">
        <v>4</v>
      </c>
      <c r="G106" s="67">
        <v>350000</v>
      </c>
      <c r="H106" s="100">
        <f t="shared" si="0"/>
        <v>1400000</v>
      </c>
      <c r="I106" s="68"/>
    </row>
    <row r="107" spans="1:9" ht="15.95" customHeight="1">
      <c r="A107" s="518"/>
      <c r="B107" s="99"/>
      <c r="C107" s="66" t="s">
        <v>380</v>
      </c>
      <c r="D107" s="66"/>
      <c r="E107" s="66" t="s">
        <v>386</v>
      </c>
      <c r="F107" s="343">
        <v>4</v>
      </c>
      <c r="G107" s="67">
        <v>150000</v>
      </c>
      <c r="H107" s="100">
        <f t="shared" si="0"/>
        <v>600000</v>
      </c>
      <c r="I107" s="68"/>
    </row>
    <row r="108" spans="1:9" ht="15.95" customHeight="1">
      <c r="A108" s="518"/>
      <c r="B108" s="99"/>
      <c r="C108" s="66" t="s">
        <v>387</v>
      </c>
      <c r="D108" s="66" t="s">
        <v>388</v>
      </c>
      <c r="E108" s="66" t="s">
        <v>186</v>
      </c>
      <c r="F108" s="343">
        <v>4</v>
      </c>
      <c r="G108" s="67">
        <v>150000</v>
      </c>
      <c r="H108" s="100">
        <f t="shared" si="0"/>
        <v>600000</v>
      </c>
      <c r="I108" s="68"/>
    </row>
    <row r="109" spans="1:9" ht="15.95" customHeight="1">
      <c r="A109" s="518"/>
      <c r="B109" s="99"/>
      <c r="C109" s="66" t="s">
        <v>210</v>
      </c>
      <c r="D109" s="66" t="s">
        <v>389</v>
      </c>
      <c r="E109" s="66" t="s">
        <v>184</v>
      </c>
      <c r="F109" s="343">
        <v>8</v>
      </c>
      <c r="G109" s="67">
        <v>80000</v>
      </c>
      <c r="H109" s="100">
        <f t="shared" si="0"/>
        <v>640000</v>
      </c>
      <c r="I109" s="68"/>
    </row>
    <row r="110" spans="1:9" ht="15.95" customHeight="1">
      <c r="A110" s="518"/>
      <c r="B110" s="99"/>
      <c r="C110" s="66" t="s">
        <v>390</v>
      </c>
      <c r="D110" s="66" t="s">
        <v>237</v>
      </c>
      <c r="E110" s="66" t="s">
        <v>184</v>
      </c>
      <c r="F110" s="343">
        <v>8</v>
      </c>
      <c r="G110" s="67">
        <v>180000</v>
      </c>
      <c r="H110" s="100">
        <f t="shared" si="0"/>
        <v>1440000</v>
      </c>
      <c r="I110" s="68"/>
    </row>
    <row r="111" spans="1:9" ht="15.95" customHeight="1">
      <c r="A111" s="518"/>
      <c r="B111" s="99"/>
      <c r="C111" s="66" t="s">
        <v>391</v>
      </c>
      <c r="D111" s="66" t="s">
        <v>392</v>
      </c>
      <c r="E111" s="66" t="s">
        <v>184</v>
      </c>
      <c r="F111" s="343">
        <v>4</v>
      </c>
      <c r="G111" s="67">
        <v>56000</v>
      </c>
      <c r="H111" s="100">
        <f t="shared" si="0"/>
        <v>224000</v>
      </c>
      <c r="I111" s="68"/>
    </row>
    <row r="112" spans="1:9" ht="15.95" customHeight="1">
      <c r="A112" s="518"/>
      <c r="B112" s="99"/>
      <c r="C112" s="66" t="s">
        <v>197</v>
      </c>
      <c r="D112" s="66" t="s">
        <v>393</v>
      </c>
      <c r="E112" s="66" t="s">
        <v>186</v>
      </c>
      <c r="F112" s="343">
        <v>4</v>
      </c>
      <c r="G112" s="67">
        <v>150000</v>
      </c>
      <c r="H112" s="100">
        <f t="shared" si="0"/>
        <v>600000</v>
      </c>
      <c r="I112" s="68"/>
    </row>
    <row r="113" spans="1:9" ht="15.95" customHeight="1">
      <c r="A113" s="518"/>
      <c r="B113" s="99"/>
      <c r="C113" s="66" t="s">
        <v>403</v>
      </c>
      <c r="D113" s="66" t="s">
        <v>404</v>
      </c>
      <c r="E113" s="66" t="s">
        <v>186</v>
      </c>
      <c r="F113" s="343">
        <v>24</v>
      </c>
      <c r="G113" s="67">
        <v>280000</v>
      </c>
      <c r="H113" s="100">
        <f t="shared" si="0"/>
        <v>6720000</v>
      </c>
      <c r="I113" s="68"/>
    </row>
    <row r="114" spans="1:9" ht="15.95" customHeight="1">
      <c r="A114" s="518"/>
      <c r="B114" s="99"/>
      <c r="C114" s="66" t="s">
        <v>413</v>
      </c>
      <c r="D114" s="66"/>
      <c r="E114" s="66" t="s">
        <v>186</v>
      </c>
      <c r="F114" s="343">
        <v>2</v>
      </c>
      <c r="G114" s="67">
        <v>180000</v>
      </c>
      <c r="H114" s="100">
        <f t="shared" si="0"/>
        <v>360000</v>
      </c>
      <c r="I114" s="68"/>
    </row>
    <row r="115" spans="1:9" ht="15.95" customHeight="1">
      <c r="A115" s="518"/>
      <c r="B115" s="99"/>
      <c r="C115" s="66" t="s">
        <v>407</v>
      </c>
      <c r="D115" s="66"/>
      <c r="E115" s="66" t="s">
        <v>186</v>
      </c>
      <c r="F115" s="343">
        <v>2</v>
      </c>
      <c r="G115" s="67">
        <v>300000</v>
      </c>
      <c r="H115" s="100">
        <f t="shared" si="0"/>
        <v>600000</v>
      </c>
      <c r="I115" s="68"/>
    </row>
    <row r="116" spans="1:9" ht="15.95" customHeight="1">
      <c r="A116" s="518"/>
      <c r="B116" s="99"/>
      <c r="C116" s="66" t="s">
        <v>235</v>
      </c>
      <c r="D116" s="66"/>
      <c r="E116" s="66" t="s">
        <v>184</v>
      </c>
      <c r="F116" s="343">
        <v>1</v>
      </c>
      <c r="G116" s="67">
        <v>2042000</v>
      </c>
      <c r="H116" s="100">
        <f t="shared" si="0"/>
        <v>2042000</v>
      </c>
      <c r="I116" s="68"/>
    </row>
    <row r="117" spans="1:9" ht="15.95" customHeight="1">
      <c r="A117" s="518"/>
      <c r="B117" s="99"/>
      <c r="C117" s="114"/>
      <c r="D117" s="114"/>
      <c r="E117" s="340"/>
      <c r="F117" s="341"/>
      <c r="G117" s="115"/>
      <c r="H117" s="105">
        <f t="shared" si="0"/>
        <v>0</v>
      </c>
      <c r="I117" s="69"/>
    </row>
    <row r="118" spans="1:9" ht="15.95" customHeight="1">
      <c r="A118" s="518"/>
      <c r="B118" s="70"/>
      <c r="C118" s="102"/>
      <c r="D118" s="92"/>
      <c r="E118" s="92"/>
      <c r="F118" s="37"/>
      <c r="G118" s="37"/>
      <c r="H118" s="27">
        <f>SUM(H37:H117)</f>
        <v>190058000</v>
      </c>
      <c r="I118" s="72"/>
    </row>
    <row r="119" spans="1:9" ht="15.95" customHeight="1">
      <c r="A119" s="518"/>
      <c r="B119" s="103" t="s">
        <v>39</v>
      </c>
      <c r="C119" s="66"/>
      <c r="D119" s="66"/>
      <c r="E119" s="346"/>
      <c r="F119" s="113"/>
      <c r="G119" s="113"/>
      <c r="H119" s="104">
        <f t="shared" si="0"/>
        <v>0</v>
      </c>
      <c r="I119" s="73"/>
    </row>
    <row r="120" spans="1:9" ht="15.95" customHeight="1">
      <c r="A120" s="518"/>
      <c r="B120" s="99"/>
      <c r="C120" s="66"/>
      <c r="D120" s="66"/>
      <c r="E120" s="326"/>
      <c r="F120" s="67"/>
      <c r="G120" s="67"/>
      <c r="H120" s="100">
        <f t="shared" si="0"/>
        <v>0</v>
      </c>
      <c r="I120" s="68"/>
    </row>
    <row r="121" spans="1:9" ht="15.95" customHeight="1">
      <c r="A121" s="518"/>
      <c r="B121" s="99"/>
      <c r="C121" s="66"/>
      <c r="D121" s="66"/>
      <c r="E121" s="326"/>
      <c r="F121" s="67"/>
      <c r="G121" s="67"/>
      <c r="H121" s="100">
        <f t="shared" si="0"/>
        <v>0</v>
      </c>
      <c r="I121" s="68"/>
    </row>
    <row r="122" spans="1:9" ht="15.95" customHeight="1">
      <c r="A122" s="518"/>
      <c r="B122" s="99"/>
      <c r="C122" s="66"/>
      <c r="D122" s="66"/>
      <c r="E122" s="326"/>
      <c r="F122" s="67"/>
      <c r="G122" s="67"/>
      <c r="H122" s="100">
        <f t="shared" si="0"/>
        <v>0</v>
      </c>
      <c r="I122" s="68"/>
    </row>
    <row r="123" spans="1:9" ht="15.95" customHeight="1">
      <c r="A123" s="518"/>
      <c r="B123" s="99"/>
      <c r="C123" s="66"/>
      <c r="D123" s="66"/>
      <c r="E123" s="326"/>
      <c r="F123" s="67"/>
      <c r="G123" s="67"/>
      <c r="H123" s="100">
        <f t="shared" si="0"/>
        <v>0</v>
      </c>
      <c r="I123" s="68"/>
    </row>
    <row r="124" spans="1:9" ht="15.95" customHeight="1">
      <c r="A124" s="518"/>
      <c r="B124" s="99"/>
      <c r="C124" s="66"/>
      <c r="D124" s="66"/>
      <c r="E124" s="326"/>
      <c r="F124" s="67"/>
      <c r="G124" s="67"/>
      <c r="H124" s="100">
        <f t="shared" si="0"/>
        <v>0</v>
      </c>
      <c r="I124" s="68"/>
    </row>
    <row r="125" spans="1:9" ht="15.95" customHeight="1">
      <c r="A125" s="518"/>
      <c r="B125" s="99"/>
      <c r="C125" s="114"/>
      <c r="D125" s="114"/>
      <c r="E125" s="340"/>
      <c r="F125" s="115"/>
      <c r="G125" s="115"/>
      <c r="H125" s="105">
        <f t="shared" si="0"/>
        <v>0</v>
      </c>
      <c r="I125" s="69"/>
    </row>
    <row r="126" spans="1:9" ht="15.95" customHeight="1">
      <c r="A126" s="518"/>
      <c r="B126" s="70"/>
      <c r="C126" s="102"/>
      <c r="D126" s="92"/>
      <c r="E126" s="92"/>
      <c r="F126" s="37"/>
      <c r="G126" s="37"/>
      <c r="H126" s="27">
        <f>SUM(H119:H125)</f>
        <v>0</v>
      </c>
      <c r="I126" s="72"/>
    </row>
    <row r="127" spans="1:9" ht="15.95" customHeight="1">
      <c r="A127" s="74"/>
      <c r="B127" s="97" t="s">
        <v>42</v>
      </c>
      <c r="C127" s="71"/>
      <c r="D127" s="72"/>
      <c r="E127" s="72"/>
      <c r="F127" s="52"/>
      <c r="G127" s="52"/>
      <c r="H127" s="27">
        <f>SUM(H126,H118,H36,H30)</f>
        <v>308398000</v>
      </c>
      <c r="I127" s="72"/>
    </row>
    <row r="128" spans="1:9" ht="15.95" customHeight="1">
      <c r="A128" s="516" t="s">
        <v>72</v>
      </c>
      <c r="B128" s="137" t="s">
        <v>70</v>
      </c>
      <c r="C128" s="71"/>
      <c r="D128" s="75"/>
      <c r="E128" s="106" t="s">
        <v>51</v>
      </c>
      <c r="F128" s="342"/>
      <c r="G128" s="116"/>
      <c r="H128" s="49">
        <f>F128*G128</f>
        <v>0</v>
      </c>
      <c r="I128" s="72"/>
    </row>
    <row r="129" spans="1:10" ht="15.95" customHeight="1">
      <c r="A129" s="518"/>
      <c r="B129" s="138" t="s">
        <v>109</v>
      </c>
      <c r="C129" s="141"/>
      <c r="D129" s="76"/>
      <c r="E129" s="107" t="s">
        <v>50</v>
      </c>
      <c r="F129" s="337">
        <v>60</v>
      </c>
      <c r="G129" s="113">
        <v>300000</v>
      </c>
      <c r="H129" s="104">
        <f t="shared" ref="H129:H135" si="1">F129*G129</f>
        <v>18000000</v>
      </c>
      <c r="I129" s="73"/>
    </row>
    <row r="130" spans="1:10" ht="15.95" customHeight="1">
      <c r="A130" s="518"/>
      <c r="B130" s="139" t="s">
        <v>110</v>
      </c>
      <c r="C130" s="142"/>
      <c r="D130" s="77"/>
      <c r="E130" s="108" t="s">
        <v>50</v>
      </c>
      <c r="F130" s="343">
        <v>70</v>
      </c>
      <c r="G130" s="67">
        <v>300000</v>
      </c>
      <c r="H130" s="100">
        <f t="shared" si="1"/>
        <v>21000000</v>
      </c>
      <c r="I130" s="68"/>
    </row>
    <row r="131" spans="1:10" ht="15.95" customHeight="1">
      <c r="A131" s="518"/>
      <c r="B131" s="139" t="s">
        <v>111</v>
      </c>
      <c r="C131" s="142"/>
      <c r="D131" s="77"/>
      <c r="E131" s="108" t="s">
        <v>50</v>
      </c>
      <c r="F131" s="343">
        <v>70</v>
      </c>
      <c r="G131" s="67">
        <v>300000</v>
      </c>
      <c r="H131" s="100">
        <f t="shared" si="1"/>
        <v>21000000</v>
      </c>
      <c r="I131" s="68"/>
    </row>
    <row r="132" spans="1:10" ht="15.95" customHeight="1">
      <c r="A132" s="518"/>
      <c r="B132" s="139" t="s">
        <v>112</v>
      </c>
      <c r="C132" s="142"/>
      <c r="D132" s="77"/>
      <c r="E132" s="108" t="s">
        <v>50</v>
      </c>
      <c r="F132" s="343">
        <v>20</v>
      </c>
      <c r="G132" s="67">
        <v>300000</v>
      </c>
      <c r="H132" s="100">
        <f t="shared" si="1"/>
        <v>6000000</v>
      </c>
      <c r="I132" s="68"/>
    </row>
    <row r="133" spans="1:10" ht="15.95" customHeight="1">
      <c r="A133" s="518"/>
      <c r="B133" s="139" t="s">
        <v>113</v>
      </c>
      <c r="C133" s="142"/>
      <c r="D133" s="77"/>
      <c r="E133" s="108" t="s">
        <v>50</v>
      </c>
      <c r="F133" s="343">
        <v>25</v>
      </c>
      <c r="G133" s="67">
        <v>300000</v>
      </c>
      <c r="H133" s="100">
        <f t="shared" si="1"/>
        <v>7500000</v>
      </c>
      <c r="I133" s="68"/>
    </row>
    <row r="134" spans="1:10" ht="15.95" customHeight="1">
      <c r="A134" s="518"/>
      <c r="B134" s="139" t="s">
        <v>114</v>
      </c>
      <c r="C134" s="142"/>
      <c r="D134" s="77"/>
      <c r="E134" s="108" t="s">
        <v>50</v>
      </c>
      <c r="F134" s="343">
        <v>25</v>
      </c>
      <c r="G134" s="67">
        <v>500000</v>
      </c>
      <c r="H134" s="100">
        <f t="shared" si="1"/>
        <v>12500000</v>
      </c>
      <c r="I134" s="68"/>
      <c r="J134" s="25" t="s">
        <v>185</v>
      </c>
    </row>
    <row r="135" spans="1:10" ht="15.95" customHeight="1">
      <c r="A135" s="518"/>
      <c r="B135" s="140" t="s">
        <v>115</v>
      </c>
      <c r="C135" s="143"/>
      <c r="D135" s="78"/>
      <c r="E135" s="109" t="s">
        <v>50</v>
      </c>
      <c r="F135" s="341">
        <v>1</v>
      </c>
      <c r="G135" s="115">
        <v>8500000</v>
      </c>
      <c r="H135" s="105">
        <f t="shared" si="1"/>
        <v>8500000</v>
      </c>
      <c r="I135" s="69"/>
    </row>
    <row r="136" spans="1:10" ht="15.95" customHeight="1">
      <c r="A136" s="74"/>
      <c r="B136" s="96" t="s">
        <v>41</v>
      </c>
      <c r="C136" s="71"/>
      <c r="D136" s="72"/>
      <c r="E136" s="72"/>
      <c r="F136" s="37"/>
      <c r="G136" s="37"/>
      <c r="H136" s="37">
        <f>SUM(H128:H135)</f>
        <v>94500000</v>
      </c>
      <c r="I136" s="92"/>
    </row>
    <row r="137" spans="1:10" ht="15.95" customHeight="1">
      <c r="A137" s="48"/>
      <c r="B137" s="96" t="s">
        <v>171</v>
      </c>
      <c r="C137" s="71"/>
      <c r="D137" s="72"/>
      <c r="E137" s="72"/>
      <c r="F137" s="27"/>
      <c r="G137" s="27"/>
      <c r="H137" s="52">
        <f>'단위공사별(집계)'!I7+'단위공사별(집계)'!L7</f>
        <v>8077193.2548950985</v>
      </c>
      <c r="I137" s="72"/>
    </row>
    <row r="138" spans="1:10" ht="15.95" customHeight="1">
      <c r="A138" s="48"/>
      <c r="B138" s="96" t="s">
        <v>25</v>
      </c>
      <c r="C138" s="71"/>
      <c r="D138" s="72"/>
      <c r="E138" s="72" t="s">
        <v>182</v>
      </c>
      <c r="F138" s="27">
        <v>3</v>
      </c>
      <c r="G138" s="51"/>
      <c r="H138" s="116">
        <f>SUM(H127+H136)*0.03</f>
        <v>12086940</v>
      </c>
      <c r="I138" s="71"/>
    </row>
    <row r="139" spans="1:10" ht="15.95" customHeight="1">
      <c r="A139" s="48"/>
      <c r="B139" s="96" t="s">
        <v>151</v>
      </c>
      <c r="C139" s="71"/>
      <c r="D139" s="72"/>
      <c r="E139" s="72" t="s">
        <v>182</v>
      </c>
      <c r="F139" s="27">
        <v>12</v>
      </c>
      <c r="G139" s="51"/>
      <c r="H139" s="116">
        <f>SUM(H127+H136)*0.12</f>
        <v>48347760</v>
      </c>
      <c r="I139" s="71"/>
    </row>
    <row r="140" spans="1:10" ht="15.95" customHeight="1">
      <c r="A140" s="48"/>
      <c r="B140" s="96" t="s">
        <v>152</v>
      </c>
      <c r="C140" s="71"/>
      <c r="D140" s="72"/>
      <c r="E140" s="72"/>
      <c r="F140" s="27"/>
      <c r="G140" s="27"/>
      <c r="H140" s="37">
        <f>H127+H136+H137+H138+H139</f>
        <v>471409893.25489509</v>
      </c>
      <c r="I140" s="72"/>
    </row>
    <row r="141" spans="1:10">
      <c r="A141" s="26"/>
    </row>
  </sheetData>
  <mergeCells count="3">
    <mergeCell ref="A2:B2"/>
    <mergeCell ref="A128:A135"/>
    <mergeCell ref="A3:A12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1" orientation="portrait" horizontalDpi="4294967292" verticalDpi="1200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00B050"/>
    <pageSetUpPr fitToPage="1"/>
  </sheetPr>
  <dimension ref="A1:I220"/>
  <sheetViews>
    <sheetView zoomScale="85" workbookViewId="0">
      <pane xSplit="2" ySplit="2" topLeftCell="C186" activePane="bottomRight" state="frozen"/>
      <selection activeCell="K15" sqref="K15"/>
      <selection pane="topRight" activeCell="K15" sqref="K15"/>
      <selection pane="bottomLeft" activeCell="K15" sqref="K15"/>
      <selection pane="bottomRight" activeCell="P212" sqref="P212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 t="s">
        <v>460</v>
      </c>
      <c r="D1" s="61"/>
      <c r="E1" s="61"/>
      <c r="F1" s="62"/>
      <c r="G1" s="63"/>
      <c r="I1" s="25" t="s">
        <v>83</v>
      </c>
    </row>
    <row r="2" spans="1:9" s="26" customFormat="1" ht="16.5" customHeight="1">
      <c r="A2" s="438" t="s">
        <v>31</v>
      </c>
      <c r="B2" s="513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6" t="s">
        <v>82</v>
      </c>
      <c r="B3" s="99" t="s">
        <v>37</v>
      </c>
      <c r="C3" s="318" t="s">
        <v>461</v>
      </c>
      <c r="D3" s="318" t="s">
        <v>462</v>
      </c>
      <c r="E3" s="326" t="s">
        <v>186</v>
      </c>
      <c r="F3" s="329">
        <v>4</v>
      </c>
      <c r="G3" s="330">
        <v>260000</v>
      </c>
      <c r="H3" s="104">
        <f>IF(F3=0,G3,G3*F3)</f>
        <v>1040000</v>
      </c>
      <c r="I3" s="73"/>
    </row>
    <row r="4" spans="1:9" ht="15.95" customHeight="1">
      <c r="A4" s="518"/>
      <c r="B4" s="99" t="s">
        <v>466</v>
      </c>
      <c r="C4" s="331" t="s">
        <v>463</v>
      </c>
      <c r="D4" s="345" t="s">
        <v>462</v>
      </c>
      <c r="E4" s="326" t="s">
        <v>186</v>
      </c>
      <c r="F4" s="332">
        <v>20</v>
      </c>
      <c r="G4" s="328">
        <v>70000</v>
      </c>
      <c r="H4" s="100">
        <f>IF(F4=0,G4,G4*F4)</f>
        <v>1400000</v>
      </c>
      <c r="I4" s="68"/>
    </row>
    <row r="5" spans="1:9" ht="15.95" customHeight="1">
      <c r="A5" s="518"/>
      <c r="B5" s="99"/>
      <c r="C5" s="318" t="s">
        <v>464</v>
      </c>
      <c r="D5" s="318" t="s">
        <v>465</v>
      </c>
      <c r="E5" s="326" t="s">
        <v>186</v>
      </c>
      <c r="F5" s="329">
        <v>60</v>
      </c>
      <c r="G5" s="330">
        <v>10000</v>
      </c>
      <c r="H5" s="100">
        <f t="shared" ref="H5:H204" si="0">IF(F5=0,G5,G5*F5)</f>
        <v>600000</v>
      </c>
      <c r="I5" s="68"/>
    </row>
    <row r="6" spans="1:9" ht="15.95" customHeight="1">
      <c r="A6" s="518"/>
      <c r="B6" s="99"/>
      <c r="C6" s="66" t="s">
        <v>191</v>
      </c>
      <c r="D6" s="66" t="s">
        <v>194</v>
      </c>
      <c r="E6" s="326" t="s">
        <v>184</v>
      </c>
      <c r="F6" s="67">
        <v>2</v>
      </c>
      <c r="G6" s="67">
        <v>45000</v>
      </c>
      <c r="H6" s="100">
        <f t="shared" si="0"/>
        <v>90000</v>
      </c>
      <c r="I6" s="68"/>
    </row>
    <row r="7" spans="1:9" ht="15.95" customHeight="1">
      <c r="A7" s="518"/>
      <c r="B7" s="99"/>
      <c r="C7" s="331" t="s">
        <v>476</v>
      </c>
      <c r="D7" s="345" t="s">
        <v>477</v>
      </c>
      <c r="E7" s="326" t="s">
        <v>184</v>
      </c>
      <c r="F7" s="332">
        <v>2</v>
      </c>
      <c r="G7" s="328">
        <v>30000</v>
      </c>
      <c r="H7" s="100">
        <f t="shared" si="0"/>
        <v>60000</v>
      </c>
      <c r="I7" s="68"/>
    </row>
    <row r="8" spans="1:9" ht="15.95" customHeight="1">
      <c r="A8" s="518"/>
      <c r="B8" s="99"/>
      <c r="C8" s="331" t="s">
        <v>478</v>
      </c>
      <c r="D8" s="331" t="s">
        <v>479</v>
      </c>
      <c r="E8" s="326" t="s">
        <v>186</v>
      </c>
      <c r="F8" s="329">
        <v>2</v>
      </c>
      <c r="G8" s="328">
        <v>45000</v>
      </c>
      <c r="H8" s="100">
        <f t="shared" si="0"/>
        <v>90000</v>
      </c>
      <c r="I8" s="68"/>
    </row>
    <row r="9" spans="1:9" ht="15.95" customHeight="1">
      <c r="A9" s="518"/>
      <c r="B9" s="99"/>
      <c r="C9" s="66" t="s">
        <v>192</v>
      </c>
      <c r="D9" s="66" t="s">
        <v>195</v>
      </c>
      <c r="E9" s="326" t="s">
        <v>184</v>
      </c>
      <c r="F9" s="67">
        <v>2</v>
      </c>
      <c r="G9" s="67">
        <v>60000</v>
      </c>
      <c r="H9" s="100">
        <f t="shared" si="0"/>
        <v>120000</v>
      </c>
      <c r="I9" s="68"/>
    </row>
    <row r="10" spans="1:9" ht="15.95" customHeight="1">
      <c r="A10" s="518"/>
      <c r="B10" s="99"/>
      <c r="C10" s="66" t="s">
        <v>482</v>
      </c>
      <c r="D10" s="66" t="s">
        <v>483</v>
      </c>
      <c r="E10" s="326" t="s">
        <v>184</v>
      </c>
      <c r="F10" s="67">
        <v>20</v>
      </c>
      <c r="G10" s="67">
        <v>15000</v>
      </c>
      <c r="H10" s="100">
        <f t="shared" si="0"/>
        <v>300000</v>
      </c>
      <c r="I10" s="68"/>
    </row>
    <row r="11" spans="1:9" ht="15.95" customHeight="1">
      <c r="A11" s="518"/>
      <c r="B11" s="99"/>
      <c r="C11" s="66" t="s">
        <v>193</v>
      </c>
      <c r="D11" s="66"/>
      <c r="E11" s="326" t="s">
        <v>209</v>
      </c>
      <c r="F11" s="67">
        <v>2</v>
      </c>
      <c r="G11" s="67">
        <v>200000</v>
      </c>
      <c r="H11" s="100">
        <f t="shared" si="0"/>
        <v>400000</v>
      </c>
      <c r="I11" s="68"/>
    </row>
    <row r="12" spans="1:9" ht="15.95" customHeight="1">
      <c r="A12" s="518"/>
      <c r="B12" s="99"/>
      <c r="C12" s="66" t="s">
        <v>484</v>
      </c>
      <c r="D12" s="66" t="s">
        <v>485</v>
      </c>
      <c r="E12" s="326" t="s">
        <v>213</v>
      </c>
      <c r="F12" s="67">
        <v>40</v>
      </c>
      <c r="G12" s="67">
        <v>20000</v>
      </c>
      <c r="H12" s="100">
        <f t="shared" si="0"/>
        <v>800000</v>
      </c>
      <c r="I12" s="68"/>
    </row>
    <row r="13" spans="1:9" ht="15.95" customHeight="1">
      <c r="A13" s="518"/>
      <c r="B13" s="99"/>
      <c r="C13" s="66" t="s">
        <v>486</v>
      </c>
      <c r="D13" s="66"/>
      <c r="E13" s="326" t="s">
        <v>186</v>
      </c>
      <c r="F13" s="67">
        <v>6</v>
      </c>
      <c r="G13" s="67">
        <v>500000</v>
      </c>
      <c r="H13" s="100">
        <f t="shared" si="0"/>
        <v>3000000</v>
      </c>
      <c r="I13" s="68"/>
    </row>
    <row r="14" spans="1:9" ht="15.95" customHeight="1">
      <c r="A14" s="518"/>
      <c r="B14" s="99"/>
      <c r="C14" s="66" t="s">
        <v>487</v>
      </c>
      <c r="D14" s="66" t="s">
        <v>488</v>
      </c>
      <c r="E14" s="326" t="s">
        <v>184</v>
      </c>
      <c r="F14" s="67">
        <v>6</v>
      </c>
      <c r="G14" s="67">
        <v>100000</v>
      </c>
      <c r="H14" s="100">
        <f t="shared" si="0"/>
        <v>600000</v>
      </c>
      <c r="I14" s="68"/>
    </row>
    <row r="15" spans="1:9" ht="15.95" customHeight="1">
      <c r="A15" s="518"/>
      <c r="B15" s="99"/>
      <c r="C15" s="66" t="s">
        <v>489</v>
      </c>
      <c r="D15" s="66" t="s">
        <v>490</v>
      </c>
      <c r="E15" s="326" t="s">
        <v>213</v>
      </c>
      <c r="F15" s="67">
        <v>40</v>
      </c>
      <c r="G15" s="67">
        <v>30000</v>
      </c>
      <c r="H15" s="100">
        <f t="shared" si="0"/>
        <v>1200000</v>
      </c>
      <c r="I15" s="68"/>
    </row>
    <row r="16" spans="1:9" ht="15.95" customHeight="1">
      <c r="A16" s="518"/>
      <c r="B16" s="99"/>
      <c r="C16" s="66" t="s">
        <v>491</v>
      </c>
      <c r="D16" s="66" t="s">
        <v>490</v>
      </c>
      <c r="E16" s="326" t="s">
        <v>213</v>
      </c>
      <c r="F16" s="67">
        <v>40</v>
      </c>
      <c r="G16" s="67">
        <v>30000</v>
      </c>
      <c r="H16" s="100">
        <f t="shared" si="0"/>
        <v>1200000</v>
      </c>
      <c r="I16" s="68"/>
    </row>
    <row r="17" spans="1:9" ht="15.95" customHeight="1">
      <c r="A17" s="518"/>
      <c r="B17" s="99"/>
      <c r="C17" s="66" t="s">
        <v>190</v>
      </c>
      <c r="D17" s="66" t="s">
        <v>494</v>
      </c>
      <c r="E17" s="326" t="s">
        <v>213</v>
      </c>
      <c r="F17" s="67">
        <v>80</v>
      </c>
      <c r="G17" s="67">
        <v>44000</v>
      </c>
      <c r="H17" s="100">
        <f t="shared" si="0"/>
        <v>3520000</v>
      </c>
      <c r="I17" s="68" t="s">
        <v>507</v>
      </c>
    </row>
    <row r="18" spans="1:9" ht="15.95" customHeight="1">
      <c r="A18" s="518"/>
      <c r="B18" s="99" t="s">
        <v>502</v>
      </c>
      <c r="C18" s="66" t="s">
        <v>461</v>
      </c>
      <c r="D18" s="66" t="s">
        <v>462</v>
      </c>
      <c r="E18" s="326" t="s">
        <v>186</v>
      </c>
      <c r="F18" s="67">
        <v>4</v>
      </c>
      <c r="G18" s="67">
        <v>260000</v>
      </c>
      <c r="H18" s="100">
        <f t="shared" si="0"/>
        <v>1040000</v>
      </c>
      <c r="I18" s="68"/>
    </row>
    <row r="19" spans="1:9" ht="15.95" customHeight="1">
      <c r="A19" s="518"/>
      <c r="B19" s="99"/>
      <c r="C19" s="66" t="s">
        <v>464</v>
      </c>
      <c r="D19" s="66" t="s">
        <v>465</v>
      </c>
      <c r="E19" s="326" t="s">
        <v>186</v>
      </c>
      <c r="F19" s="67">
        <v>16</v>
      </c>
      <c r="G19" s="67">
        <v>10000</v>
      </c>
      <c r="H19" s="100">
        <f t="shared" si="0"/>
        <v>160000</v>
      </c>
      <c r="I19" s="68"/>
    </row>
    <row r="20" spans="1:9" ht="15.95" customHeight="1">
      <c r="A20" s="518"/>
      <c r="B20" s="99"/>
      <c r="C20" s="66" t="s">
        <v>467</v>
      </c>
      <c r="D20" s="66" t="s">
        <v>468</v>
      </c>
      <c r="E20" s="326" t="s">
        <v>184</v>
      </c>
      <c r="F20" s="67">
        <v>2</v>
      </c>
      <c r="G20" s="67">
        <v>60000</v>
      </c>
      <c r="H20" s="100">
        <f t="shared" si="0"/>
        <v>120000</v>
      </c>
      <c r="I20" s="68"/>
    </row>
    <row r="21" spans="1:9" ht="15.95" customHeight="1">
      <c r="A21" s="518"/>
      <c r="B21" s="99"/>
      <c r="C21" s="66" t="s">
        <v>191</v>
      </c>
      <c r="D21" s="66" t="s">
        <v>194</v>
      </c>
      <c r="E21" s="326" t="s">
        <v>184</v>
      </c>
      <c r="F21" s="67">
        <v>2</v>
      </c>
      <c r="G21" s="67">
        <v>45000</v>
      </c>
      <c r="H21" s="100">
        <f t="shared" si="0"/>
        <v>90000</v>
      </c>
      <c r="I21" s="68"/>
    </row>
    <row r="22" spans="1:9" ht="15.95" customHeight="1">
      <c r="A22" s="518"/>
      <c r="B22" s="99"/>
      <c r="C22" s="66" t="s">
        <v>476</v>
      </c>
      <c r="D22" s="66" t="s">
        <v>477</v>
      </c>
      <c r="E22" s="326" t="s">
        <v>184</v>
      </c>
      <c r="F22" s="67">
        <v>2</v>
      </c>
      <c r="G22" s="67">
        <v>30000</v>
      </c>
      <c r="H22" s="100">
        <f t="shared" si="0"/>
        <v>60000</v>
      </c>
      <c r="I22" s="68"/>
    </row>
    <row r="23" spans="1:9" ht="15.95" customHeight="1">
      <c r="A23" s="518"/>
      <c r="B23" s="99"/>
      <c r="C23" s="66" t="s">
        <v>478</v>
      </c>
      <c r="D23" s="66" t="s">
        <v>503</v>
      </c>
      <c r="E23" s="326" t="s">
        <v>186</v>
      </c>
      <c r="F23" s="67">
        <v>2</v>
      </c>
      <c r="G23" s="67">
        <v>45000</v>
      </c>
      <c r="H23" s="100">
        <f t="shared" si="0"/>
        <v>90000</v>
      </c>
      <c r="I23" s="68"/>
    </row>
    <row r="24" spans="1:9" ht="15.95" customHeight="1">
      <c r="A24" s="518"/>
      <c r="B24" s="99"/>
      <c r="C24" s="66" t="s">
        <v>192</v>
      </c>
      <c r="D24" s="66" t="s">
        <v>195</v>
      </c>
      <c r="E24" s="326" t="s">
        <v>184</v>
      </c>
      <c r="F24" s="67">
        <v>2</v>
      </c>
      <c r="G24" s="67">
        <v>60000</v>
      </c>
      <c r="H24" s="100">
        <f t="shared" si="0"/>
        <v>120000</v>
      </c>
      <c r="I24" s="68"/>
    </row>
    <row r="25" spans="1:9" ht="15.95" customHeight="1">
      <c r="A25" s="518"/>
      <c r="B25" s="99"/>
      <c r="C25" s="66" t="s">
        <v>482</v>
      </c>
      <c r="D25" s="66" t="s">
        <v>483</v>
      </c>
      <c r="E25" s="326" t="s">
        <v>184</v>
      </c>
      <c r="F25" s="67">
        <v>4</v>
      </c>
      <c r="G25" s="67">
        <v>15000</v>
      </c>
      <c r="H25" s="100">
        <f t="shared" si="0"/>
        <v>60000</v>
      </c>
      <c r="I25" s="68"/>
    </row>
    <row r="26" spans="1:9" ht="15.95" customHeight="1">
      <c r="A26" s="518"/>
      <c r="B26" s="99"/>
      <c r="C26" s="66" t="s">
        <v>193</v>
      </c>
      <c r="D26" s="66"/>
      <c r="E26" s="326" t="s">
        <v>209</v>
      </c>
      <c r="F26" s="67">
        <v>2</v>
      </c>
      <c r="G26" s="67">
        <v>50000</v>
      </c>
      <c r="H26" s="100">
        <f t="shared" si="0"/>
        <v>100000</v>
      </c>
      <c r="I26" s="68"/>
    </row>
    <row r="27" spans="1:9" ht="15.95" customHeight="1">
      <c r="A27" s="518"/>
      <c r="B27" s="99"/>
      <c r="C27" s="66" t="s">
        <v>489</v>
      </c>
      <c r="D27" s="66" t="s">
        <v>490</v>
      </c>
      <c r="E27" s="326" t="s">
        <v>213</v>
      </c>
      <c r="F27" s="67">
        <v>4</v>
      </c>
      <c r="G27" s="67">
        <v>45000</v>
      </c>
      <c r="H27" s="100">
        <f t="shared" si="0"/>
        <v>180000</v>
      </c>
      <c r="I27" s="68"/>
    </row>
    <row r="28" spans="1:9" ht="15.95" customHeight="1">
      <c r="A28" s="518"/>
      <c r="B28" s="99"/>
      <c r="C28" s="66" t="s">
        <v>491</v>
      </c>
      <c r="D28" s="66" t="s">
        <v>490</v>
      </c>
      <c r="E28" s="326" t="s">
        <v>213</v>
      </c>
      <c r="F28" s="67">
        <v>4</v>
      </c>
      <c r="G28" s="67">
        <v>45000</v>
      </c>
      <c r="H28" s="100">
        <f t="shared" si="0"/>
        <v>180000</v>
      </c>
      <c r="I28" s="68"/>
    </row>
    <row r="29" spans="1:9" ht="15.95" customHeight="1">
      <c r="A29" s="518"/>
      <c r="B29" s="99"/>
      <c r="C29" s="66" t="s">
        <v>190</v>
      </c>
      <c r="D29" s="66" t="s">
        <v>494</v>
      </c>
      <c r="E29" s="326" t="s">
        <v>213</v>
      </c>
      <c r="F29" s="67">
        <v>8</v>
      </c>
      <c r="G29" s="67">
        <v>44000</v>
      </c>
      <c r="H29" s="100">
        <f t="shared" si="0"/>
        <v>352000</v>
      </c>
      <c r="I29" s="68" t="s">
        <v>507</v>
      </c>
    </row>
    <row r="30" spans="1:9" ht="15.95" customHeight="1">
      <c r="A30" s="518"/>
      <c r="B30" s="99" t="s">
        <v>510</v>
      </c>
      <c r="C30" s="66" t="s">
        <v>517</v>
      </c>
      <c r="D30" s="66" t="s">
        <v>518</v>
      </c>
      <c r="E30" s="326" t="s">
        <v>184</v>
      </c>
      <c r="F30" s="67">
        <v>30</v>
      </c>
      <c r="G30" s="67">
        <v>60000</v>
      </c>
      <c r="H30" s="100">
        <f t="shared" si="0"/>
        <v>1800000</v>
      </c>
      <c r="I30" s="68"/>
    </row>
    <row r="31" spans="1:9" ht="15.95" customHeight="1">
      <c r="A31" s="518"/>
      <c r="B31" s="99" t="s">
        <v>513</v>
      </c>
      <c r="C31" s="66" t="s">
        <v>519</v>
      </c>
      <c r="D31" s="66" t="s">
        <v>236</v>
      </c>
      <c r="E31" s="326" t="s">
        <v>184</v>
      </c>
      <c r="F31" s="67">
        <v>60</v>
      </c>
      <c r="G31" s="67">
        <v>10000</v>
      </c>
      <c r="H31" s="100">
        <f t="shared" si="0"/>
        <v>600000</v>
      </c>
      <c r="I31" s="68"/>
    </row>
    <row r="32" spans="1:9" ht="15.95" customHeight="1">
      <c r="A32" s="518"/>
      <c r="B32" s="99"/>
      <c r="C32" s="66" t="s">
        <v>193</v>
      </c>
      <c r="D32" s="66" t="s">
        <v>488</v>
      </c>
      <c r="E32" s="326" t="s">
        <v>184</v>
      </c>
      <c r="F32" s="67">
        <v>30</v>
      </c>
      <c r="G32" s="67">
        <v>5000</v>
      </c>
      <c r="H32" s="100">
        <f t="shared" si="0"/>
        <v>150000</v>
      </c>
      <c r="I32" s="68"/>
    </row>
    <row r="33" spans="1:9" ht="15.95" customHeight="1">
      <c r="A33" s="518"/>
      <c r="B33" s="99" t="s">
        <v>521</v>
      </c>
      <c r="C33" s="66" t="s">
        <v>517</v>
      </c>
      <c r="D33" s="66" t="s">
        <v>194</v>
      </c>
      <c r="E33" s="326" t="s">
        <v>184</v>
      </c>
      <c r="F33" s="67">
        <v>4</v>
      </c>
      <c r="G33" s="67">
        <v>150000</v>
      </c>
      <c r="H33" s="100">
        <f t="shared" si="0"/>
        <v>600000</v>
      </c>
      <c r="I33" s="68"/>
    </row>
    <row r="34" spans="1:9" ht="15.95" customHeight="1">
      <c r="A34" s="518"/>
      <c r="B34" s="99" t="s">
        <v>523</v>
      </c>
      <c r="C34" s="66" t="s">
        <v>524</v>
      </c>
      <c r="D34" s="66" t="s">
        <v>194</v>
      </c>
      <c r="E34" s="326" t="s">
        <v>184</v>
      </c>
      <c r="F34" s="67">
        <v>4</v>
      </c>
      <c r="G34" s="67">
        <v>60000</v>
      </c>
      <c r="H34" s="100">
        <f t="shared" si="0"/>
        <v>240000</v>
      </c>
      <c r="I34" s="68"/>
    </row>
    <row r="35" spans="1:9" ht="15.95" customHeight="1">
      <c r="A35" s="518"/>
      <c r="B35" s="99"/>
      <c r="C35" s="66" t="s">
        <v>525</v>
      </c>
      <c r="D35" s="66" t="s">
        <v>194</v>
      </c>
      <c r="E35" s="326" t="s">
        <v>184</v>
      </c>
      <c r="F35" s="67">
        <v>8</v>
      </c>
      <c r="G35" s="67">
        <v>50000</v>
      </c>
      <c r="H35" s="100">
        <f t="shared" si="0"/>
        <v>400000</v>
      </c>
      <c r="I35" s="68"/>
    </row>
    <row r="36" spans="1:9" ht="15.95" customHeight="1">
      <c r="A36" s="518"/>
      <c r="B36" s="99"/>
      <c r="C36" s="66" t="s">
        <v>526</v>
      </c>
      <c r="D36" s="66" t="s">
        <v>527</v>
      </c>
      <c r="E36" s="326" t="s">
        <v>184</v>
      </c>
      <c r="F36" s="67">
        <v>4</v>
      </c>
      <c r="G36" s="67">
        <v>40000</v>
      </c>
      <c r="H36" s="100">
        <f t="shared" si="0"/>
        <v>160000</v>
      </c>
      <c r="I36" s="68"/>
    </row>
    <row r="37" spans="1:9" ht="15.95" customHeight="1">
      <c r="A37" s="518"/>
      <c r="B37" s="99"/>
      <c r="C37" s="66" t="s">
        <v>192</v>
      </c>
      <c r="D37" s="66" t="s">
        <v>528</v>
      </c>
      <c r="E37" s="326" t="s">
        <v>184</v>
      </c>
      <c r="F37" s="67">
        <v>4</v>
      </c>
      <c r="G37" s="67">
        <v>45000</v>
      </c>
      <c r="H37" s="100">
        <f t="shared" si="0"/>
        <v>180000</v>
      </c>
      <c r="I37" s="68"/>
    </row>
    <row r="38" spans="1:9" ht="15.95" customHeight="1">
      <c r="A38" s="518"/>
      <c r="B38" s="99"/>
      <c r="C38" s="66" t="s">
        <v>529</v>
      </c>
      <c r="D38" s="66" t="s">
        <v>530</v>
      </c>
      <c r="E38" s="326" t="s">
        <v>184</v>
      </c>
      <c r="F38" s="67">
        <v>16</v>
      </c>
      <c r="G38" s="67">
        <v>80000</v>
      </c>
      <c r="H38" s="100">
        <f t="shared" si="0"/>
        <v>1280000</v>
      </c>
      <c r="I38" s="68"/>
    </row>
    <row r="39" spans="1:9" ht="15.95" customHeight="1">
      <c r="A39" s="518"/>
      <c r="B39" s="99"/>
      <c r="C39" s="66" t="s">
        <v>531</v>
      </c>
      <c r="D39" s="66" t="s">
        <v>195</v>
      </c>
      <c r="E39" s="326" t="s">
        <v>184</v>
      </c>
      <c r="F39" s="67">
        <v>16</v>
      </c>
      <c r="G39" s="67">
        <v>50000</v>
      </c>
      <c r="H39" s="100">
        <f t="shared" si="0"/>
        <v>800000</v>
      </c>
      <c r="I39" s="68"/>
    </row>
    <row r="40" spans="1:9" ht="15.95" customHeight="1">
      <c r="A40" s="518"/>
      <c r="B40" s="99"/>
      <c r="C40" s="66" t="s">
        <v>532</v>
      </c>
      <c r="D40" s="66" t="s">
        <v>533</v>
      </c>
      <c r="E40" s="326" t="s">
        <v>184</v>
      </c>
      <c r="F40" s="67">
        <v>8</v>
      </c>
      <c r="G40" s="67">
        <v>30000</v>
      </c>
      <c r="H40" s="100">
        <f t="shared" si="0"/>
        <v>240000</v>
      </c>
      <c r="I40" s="68"/>
    </row>
    <row r="41" spans="1:9" ht="15.95" customHeight="1">
      <c r="A41" s="518"/>
      <c r="B41" s="99"/>
      <c r="C41" s="66" t="s">
        <v>534</v>
      </c>
      <c r="D41" s="66" t="s">
        <v>535</v>
      </c>
      <c r="E41" s="326" t="s">
        <v>184</v>
      </c>
      <c r="F41" s="67">
        <v>4</v>
      </c>
      <c r="G41" s="67">
        <v>70000</v>
      </c>
      <c r="H41" s="100">
        <f t="shared" si="0"/>
        <v>280000</v>
      </c>
      <c r="I41" s="68"/>
    </row>
    <row r="42" spans="1:9" ht="15.95" customHeight="1">
      <c r="A42" s="518"/>
      <c r="B42" s="99"/>
      <c r="C42" s="66" t="s">
        <v>536</v>
      </c>
      <c r="D42" s="66"/>
      <c r="E42" s="326" t="s">
        <v>186</v>
      </c>
      <c r="F42" s="67">
        <v>8</v>
      </c>
      <c r="G42" s="67">
        <v>20000</v>
      </c>
      <c r="H42" s="100">
        <f t="shared" si="0"/>
        <v>160000</v>
      </c>
      <c r="I42" s="68"/>
    </row>
    <row r="43" spans="1:9" ht="15.95" customHeight="1">
      <c r="A43" s="518"/>
      <c r="B43" s="99"/>
      <c r="C43" s="66" t="s">
        <v>191</v>
      </c>
      <c r="D43" s="66" t="s">
        <v>194</v>
      </c>
      <c r="E43" s="326" t="s">
        <v>184</v>
      </c>
      <c r="F43" s="67">
        <v>4</v>
      </c>
      <c r="G43" s="67">
        <v>15000</v>
      </c>
      <c r="H43" s="100">
        <f t="shared" si="0"/>
        <v>60000</v>
      </c>
      <c r="I43" s="68"/>
    </row>
    <row r="44" spans="1:9" ht="15.95" customHeight="1">
      <c r="A44" s="518"/>
      <c r="B44" s="99"/>
      <c r="C44" s="66" t="s">
        <v>476</v>
      </c>
      <c r="D44" s="66" t="s">
        <v>477</v>
      </c>
      <c r="E44" s="326" t="s">
        <v>184</v>
      </c>
      <c r="F44" s="67">
        <v>4</v>
      </c>
      <c r="G44" s="67">
        <v>20000</v>
      </c>
      <c r="H44" s="100">
        <f t="shared" si="0"/>
        <v>80000</v>
      </c>
      <c r="I44" s="68"/>
    </row>
    <row r="45" spans="1:9" ht="15.95" customHeight="1">
      <c r="A45" s="518"/>
      <c r="B45" s="99"/>
      <c r="C45" s="66" t="s">
        <v>478</v>
      </c>
      <c r="D45" s="66" t="s">
        <v>537</v>
      </c>
      <c r="E45" s="326" t="s">
        <v>186</v>
      </c>
      <c r="F45" s="67">
        <v>4</v>
      </c>
      <c r="G45" s="67">
        <v>20000</v>
      </c>
      <c r="H45" s="100">
        <f t="shared" si="0"/>
        <v>80000</v>
      </c>
      <c r="I45" s="68"/>
    </row>
    <row r="46" spans="1:9" ht="15.95" customHeight="1">
      <c r="A46" s="518"/>
      <c r="B46" s="99"/>
      <c r="C46" s="66" t="s">
        <v>473</v>
      </c>
      <c r="D46" s="66" t="s">
        <v>538</v>
      </c>
      <c r="E46" s="326" t="s">
        <v>186</v>
      </c>
      <c r="F46" s="67">
        <v>8</v>
      </c>
      <c r="G46" s="67">
        <v>15000</v>
      </c>
      <c r="H46" s="100">
        <f t="shared" si="0"/>
        <v>120000</v>
      </c>
      <c r="I46" s="68"/>
    </row>
    <row r="47" spans="1:9" ht="15.95" customHeight="1">
      <c r="A47" s="518"/>
      <c r="B47" s="99"/>
      <c r="C47" s="66" t="s">
        <v>539</v>
      </c>
      <c r="D47" s="66" t="s">
        <v>540</v>
      </c>
      <c r="E47" s="326" t="s">
        <v>186</v>
      </c>
      <c r="F47" s="67">
        <v>4</v>
      </c>
      <c r="G47" s="67">
        <v>60000</v>
      </c>
      <c r="H47" s="100">
        <f t="shared" si="0"/>
        <v>240000</v>
      </c>
      <c r="I47" s="68"/>
    </row>
    <row r="48" spans="1:9" ht="15.95" customHeight="1">
      <c r="A48" s="518"/>
      <c r="B48" s="99"/>
      <c r="C48" s="66" t="s">
        <v>193</v>
      </c>
      <c r="D48" s="66" t="s">
        <v>488</v>
      </c>
      <c r="E48" s="326" t="s">
        <v>184</v>
      </c>
      <c r="F48" s="67">
        <v>8</v>
      </c>
      <c r="G48" s="67">
        <v>10000</v>
      </c>
      <c r="H48" s="100">
        <f t="shared" si="0"/>
        <v>80000</v>
      </c>
      <c r="I48" s="68"/>
    </row>
    <row r="49" spans="1:9" ht="15.95" customHeight="1">
      <c r="A49" s="518"/>
      <c r="B49" s="99"/>
      <c r="C49" s="66" t="s">
        <v>541</v>
      </c>
      <c r="D49" s="66" t="s">
        <v>542</v>
      </c>
      <c r="E49" s="326" t="s">
        <v>184</v>
      </c>
      <c r="F49" s="67">
        <v>8</v>
      </c>
      <c r="G49" s="67">
        <v>20000</v>
      </c>
      <c r="H49" s="100">
        <f t="shared" si="0"/>
        <v>160000</v>
      </c>
      <c r="I49" s="68"/>
    </row>
    <row r="50" spans="1:9" ht="15.95" customHeight="1">
      <c r="A50" s="518"/>
      <c r="B50" s="99"/>
      <c r="C50" s="66" t="s">
        <v>543</v>
      </c>
      <c r="D50" s="66" t="s">
        <v>544</v>
      </c>
      <c r="E50" s="326" t="s">
        <v>184</v>
      </c>
      <c r="F50" s="67">
        <v>4</v>
      </c>
      <c r="G50" s="67">
        <v>230000</v>
      </c>
      <c r="H50" s="100">
        <f t="shared" si="0"/>
        <v>920000</v>
      </c>
      <c r="I50" s="68"/>
    </row>
    <row r="51" spans="1:9" ht="15.95" customHeight="1">
      <c r="A51" s="518"/>
      <c r="B51" s="99"/>
      <c r="C51" s="66" t="s">
        <v>545</v>
      </c>
      <c r="D51" s="66" t="s">
        <v>546</v>
      </c>
      <c r="E51" s="326" t="s">
        <v>186</v>
      </c>
      <c r="F51" s="67">
        <v>4</v>
      </c>
      <c r="G51" s="67">
        <v>300000</v>
      </c>
      <c r="H51" s="100">
        <f t="shared" si="0"/>
        <v>1200000</v>
      </c>
      <c r="I51" s="68"/>
    </row>
    <row r="52" spans="1:9" ht="15.95" customHeight="1">
      <c r="A52" s="518"/>
      <c r="B52" s="99"/>
      <c r="C52" s="66" t="s">
        <v>496</v>
      </c>
      <c r="D52" s="66" t="s">
        <v>547</v>
      </c>
      <c r="E52" s="326" t="s">
        <v>184</v>
      </c>
      <c r="F52" s="67">
        <v>4</v>
      </c>
      <c r="G52" s="67">
        <v>450000</v>
      </c>
      <c r="H52" s="100">
        <f t="shared" si="0"/>
        <v>1800000</v>
      </c>
      <c r="I52" s="68"/>
    </row>
    <row r="53" spans="1:9" ht="15.95" customHeight="1">
      <c r="A53" s="518"/>
      <c r="B53" s="99"/>
      <c r="C53" s="66" t="s">
        <v>500</v>
      </c>
      <c r="D53" s="66" t="s">
        <v>548</v>
      </c>
      <c r="E53" s="326" t="s">
        <v>213</v>
      </c>
      <c r="F53" s="67">
        <v>4</v>
      </c>
      <c r="G53" s="67">
        <v>10000</v>
      </c>
      <c r="H53" s="100">
        <f t="shared" si="0"/>
        <v>40000</v>
      </c>
      <c r="I53" s="68"/>
    </row>
    <row r="54" spans="1:9" ht="15.95" customHeight="1">
      <c r="A54" s="518"/>
      <c r="B54" s="99"/>
      <c r="C54" s="66" t="s">
        <v>196</v>
      </c>
      <c r="D54" s="66" t="s">
        <v>549</v>
      </c>
      <c r="E54" s="326" t="s">
        <v>209</v>
      </c>
      <c r="F54" s="67">
        <v>4</v>
      </c>
      <c r="G54" s="67">
        <v>30000</v>
      </c>
      <c r="H54" s="100">
        <f t="shared" si="0"/>
        <v>120000</v>
      </c>
      <c r="I54" s="68"/>
    </row>
    <row r="55" spans="1:9" ht="15.95" customHeight="1">
      <c r="A55" s="518"/>
      <c r="B55" s="99"/>
      <c r="C55" s="66" t="s">
        <v>550</v>
      </c>
      <c r="D55" s="66" t="s">
        <v>551</v>
      </c>
      <c r="E55" s="326" t="s">
        <v>184</v>
      </c>
      <c r="F55" s="67">
        <v>8</v>
      </c>
      <c r="G55" s="67">
        <v>100000</v>
      </c>
      <c r="H55" s="100">
        <f t="shared" si="0"/>
        <v>800000</v>
      </c>
      <c r="I55" s="68"/>
    </row>
    <row r="56" spans="1:9" ht="15.95" customHeight="1">
      <c r="A56" s="518"/>
      <c r="B56" s="99"/>
      <c r="C56" s="66" t="s">
        <v>552</v>
      </c>
      <c r="D56" s="66" t="s">
        <v>553</v>
      </c>
      <c r="E56" s="326" t="s">
        <v>184</v>
      </c>
      <c r="F56" s="67">
        <v>4</v>
      </c>
      <c r="G56" s="67">
        <v>230000</v>
      </c>
      <c r="H56" s="100">
        <f t="shared" si="0"/>
        <v>920000</v>
      </c>
      <c r="I56" s="68"/>
    </row>
    <row r="57" spans="1:9" ht="15.95" customHeight="1">
      <c r="A57" s="518"/>
      <c r="B57" s="99"/>
      <c r="C57" s="66" t="s">
        <v>515</v>
      </c>
      <c r="D57" s="66" t="s">
        <v>516</v>
      </c>
      <c r="E57" s="326" t="s">
        <v>186</v>
      </c>
      <c r="F57" s="67">
        <v>8</v>
      </c>
      <c r="G57" s="67">
        <v>150000</v>
      </c>
      <c r="H57" s="100">
        <f t="shared" si="0"/>
        <v>1200000</v>
      </c>
      <c r="I57" s="68"/>
    </row>
    <row r="58" spans="1:9" ht="15.95" customHeight="1">
      <c r="A58" s="518"/>
      <c r="B58" s="99"/>
      <c r="C58" s="66" t="s">
        <v>235</v>
      </c>
      <c r="D58" s="66"/>
      <c r="E58" s="326" t="s">
        <v>209</v>
      </c>
      <c r="F58" s="67">
        <v>4</v>
      </c>
      <c r="G58" s="67">
        <v>152000</v>
      </c>
      <c r="H58" s="100">
        <f t="shared" si="0"/>
        <v>608000</v>
      </c>
      <c r="I58" s="68"/>
    </row>
    <row r="59" spans="1:9" ht="15.95" customHeight="1">
      <c r="A59" s="518"/>
      <c r="B59" s="99" t="s">
        <v>558</v>
      </c>
      <c r="C59" s="66" t="s">
        <v>517</v>
      </c>
      <c r="D59" s="66" t="s">
        <v>194</v>
      </c>
      <c r="E59" s="326" t="s">
        <v>184</v>
      </c>
      <c r="F59" s="67">
        <v>2</v>
      </c>
      <c r="G59" s="67">
        <v>50000</v>
      </c>
      <c r="H59" s="100">
        <f t="shared" si="0"/>
        <v>100000</v>
      </c>
      <c r="I59" s="68"/>
    </row>
    <row r="60" spans="1:9" ht="15.95" customHeight="1">
      <c r="A60" s="518"/>
      <c r="B60" s="99" t="s">
        <v>512</v>
      </c>
      <c r="C60" s="66" t="s">
        <v>525</v>
      </c>
      <c r="D60" s="66" t="s">
        <v>194</v>
      </c>
      <c r="E60" s="326" t="s">
        <v>184</v>
      </c>
      <c r="F60" s="67">
        <v>4</v>
      </c>
      <c r="G60" s="67">
        <v>30000</v>
      </c>
      <c r="H60" s="100">
        <f t="shared" si="0"/>
        <v>120000</v>
      </c>
      <c r="I60" s="68"/>
    </row>
    <row r="61" spans="1:9" ht="15.95" customHeight="1">
      <c r="A61" s="518"/>
      <c r="B61" s="99"/>
      <c r="C61" s="66" t="s">
        <v>524</v>
      </c>
      <c r="D61" s="66" t="s">
        <v>194</v>
      </c>
      <c r="E61" s="326" t="s">
        <v>184</v>
      </c>
      <c r="F61" s="67">
        <v>2</v>
      </c>
      <c r="G61" s="67">
        <v>60000</v>
      </c>
      <c r="H61" s="100">
        <f t="shared" si="0"/>
        <v>120000</v>
      </c>
      <c r="I61" s="68"/>
    </row>
    <row r="62" spans="1:9" ht="15.95" customHeight="1">
      <c r="A62" s="518"/>
      <c r="B62" s="99"/>
      <c r="C62" s="66" t="s">
        <v>526</v>
      </c>
      <c r="D62" s="66" t="s">
        <v>527</v>
      </c>
      <c r="E62" s="326" t="s">
        <v>184</v>
      </c>
      <c r="F62" s="67">
        <v>2</v>
      </c>
      <c r="G62" s="67">
        <v>40000</v>
      </c>
      <c r="H62" s="100">
        <f t="shared" si="0"/>
        <v>80000</v>
      </c>
      <c r="I62" s="68"/>
    </row>
    <row r="63" spans="1:9" ht="15.95" customHeight="1">
      <c r="A63" s="518"/>
      <c r="B63" s="99"/>
      <c r="C63" s="66" t="s">
        <v>559</v>
      </c>
      <c r="D63" s="66" t="s">
        <v>560</v>
      </c>
      <c r="E63" s="326" t="s">
        <v>184</v>
      </c>
      <c r="F63" s="67">
        <v>8</v>
      </c>
      <c r="G63" s="67">
        <v>25000</v>
      </c>
      <c r="H63" s="100">
        <f t="shared" si="0"/>
        <v>200000</v>
      </c>
      <c r="I63" s="68"/>
    </row>
    <row r="64" spans="1:9" ht="15.95" customHeight="1">
      <c r="A64" s="518"/>
      <c r="B64" s="99"/>
      <c r="C64" s="66" t="s">
        <v>561</v>
      </c>
      <c r="D64" s="66" t="s">
        <v>462</v>
      </c>
      <c r="E64" s="326" t="s">
        <v>184</v>
      </c>
      <c r="F64" s="67">
        <v>8</v>
      </c>
      <c r="G64" s="67">
        <v>10000</v>
      </c>
      <c r="H64" s="100">
        <f t="shared" si="0"/>
        <v>80000</v>
      </c>
      <c r="I64" s="68"/>
    </row>
    <row r="65" spans="1:9" ht="15.95" customHeight="1">
      <c r="A65" s="518"/>
      <c r="B65" s="99"/>
      <c r="C65" s="66" t="s">
        <v>543</v>
      </c>
      <c r="D65" s="66" t="s">
        <v>562</v>
      </c>
      <c r="E65" s="326" t="s">
        <v>184</v>
      </c>
      <c r="F65" s="67">
        <v>2</v>
      </c>
      <c r="G65" s="67">
        <v>250000</v>
      </c>
      <c r="H65" s="100">
        <f t="shared" si="0"/>
        <v>500000</v>
      </c>
      <c r="I65" s="68"/>
    </row>
    <row r="66" spans="1:9" ht="15.95" customHeight="1">
      <c r="A66" s="518"/>
      <c r="B66" s="99"/>
      <c r="C66" s="66" t="s">
        <v>545</v>
      </c>
      <c r="D66" s="66" t="s">
        <v>563</v>
      </c>
      <c r="E66" s="326" t="s">
        <v>186</v>
      </c>
      <c r="F66" s="67">
        <v>2</v>
      </c>
      <c r="G66" s="67">
        <v>300000</v>
      </c>
      <c r="H66" s="100">
        <f t="shared" si="0"/>
        <v>600000</v>
      </c>
      <c r="I66" s="68"/>
    </row>
    <row r="67" spans="1:9" ht="15.95" customHeight="1">
      <c r="A67" s="518"/>
      <c r="B67" s="99"/>
      <c r="C67" s="66" t="s">
        <v>515</v>
      </c>
      <c r="D67" s="66" t="s">
        <v>516</v>
      </c>
      <c r="E67" s="326" t="s">
        <v>186</v>
      </c>
      <c r="F67" s="67">
        <v>2</v>
      </c>
      <c r="G67" s="67">
        <v>150000</v>
      </c>
      <c r="H67" s="100">
        <f t="shared" si="0"/>
        <v>300000</v>
      </c>
      <c r="I67" s="68"/>
    </row>
    <row r="68" spans="1:9" ht="15.95" customHeight="1">
      <c r="A68" s="518"/>
      <c r="B68" s="99"/>
      <c r="C68" s="66" t="s">
        <v>235</v>
      </c>
      <c r="D68" s="66"/>
      <c r="E68" s="326" t="s">
        <v>209</v>
      </c>
      <c r="F68" s="67">
        <v>2</v>
      </c>
      <c r="G68" s="67">
        <v>53000</v>
      </c>
      <c r="H68" s="100">
        <f t="shared" si="0"/>
        <v>106000</v>
      </c>
      <c r="I68" s="68"/>
    </row>
    <row r="69" spans="1:9" ht="15.95" customHeight="1">
      <c r="A69" s="518"/>
      <c r="B69" s="99" t="s">
        <v>564</v>
      </c>
      <c r="C69" s="66" t="s">
        <v>517</v>
      </c>
      <c r="D69" s="66" t="s">
        <v>194</v>
      </c>
      <c r="E69" s="66" t="s">
        <v>184</v>
      </c>
      <c r="F69" s="67">
        <v>1</v>
      </c>
      <c r="G69" s="67">
        <v>200000</v>
      </c>
      <c r="H69" s="100">
        <f t="shared" si="0"/>
        <v>200000</v>
      </c>
      <c r="I69" s="68"/>
    </row>
    <row r="70" spans="1:9" ht="15.95" customHeight="1">
      <c r="A70" s="518"/>
      <c r="B70" s="99"/>
      <c r="C70" s="66" t="s">
        <v>525</v>
      </c>
      <c r="D70" s="66" t="s">
        <v>194</v>
      </c>
      <c r="E70" s="66" t="s">
        <v>184</v>
      </c>
      <c r="F70" s="67">
        <v>2</v>
      </c>
      <c r="G70" s="67">
        <v>40000</v>
      </c>
      <c r="H70" s="100">
        <f t="shared" si="0"/>
        <v>80000</v>
      </c>
      <c r="I70" s="68"/>
    </row>
    <row r="71" spans="1:9" ht="15.95" customHeight="1">
      <c r="A71" s="518"/>
      <c r="B71" s="99"/>
      <c r="C71" s="66" t="s">
        <v>524</v>
      </c>
      <c r="D71" s="66" t="s">
        <v>194</v>
      </c>
      <c r="E71" s="66" t="s">
        <v>184</v>
      </c>
      <c r="F71" s="67">
        <v>1</v>
      </c>
      <c r="G71" s="67">
        <v>60000</v>
      </c>
      <c r="H71" s="100">
        <f t="shared" si="0"/>
        <v>60000</v>
      </c>
      <c r="I71" s="68"/>
    </row>
    <row r="72" spans="1:9" ht="15.95" customHeight="1">
      <c r="A72" s="518"/>
      <c r="B72" s="99"/>
      <c r="C72" s="66" t="s">
        <v>526</v>
      </c>
      <c r="D72" s="66" t="s">
        <v>527</v>
      </c>
      <c r="E72" s="66" t="s">
        <v>184</v>
      </c>
      <c r="F72" s="67">
        <v>1</v>
      </c>
      <c r="G72" s="67">
        <v>40000</v>
      </c>
      <c r="H72" s="100">
        <f t="shared" si="0"/>
        <v>40000</v>
      </c>
      <c r="I72" s="68"/>
    </row>
    <row r="73" spans="1:9" ht="15.95" customHeight="1">
      <c r="A73" s="518"/>
      <c r="B73" s="99"/>
      <c r="C73" s="66" t="s">
        <v>559</v>
      </c>
      <c r="D73" s="66" t="s">
        <v>560</v>
      </c>
      <c r="E73" s="66" t="s">
        <v>184</v>
      </c>
      <c r="F73" s="67">
        <v>4</v>
      </c>
      <c r="G73" s="67">
        <v>25000</v>
      </c>
      <c r="H73" s="100">
        <f t="shared" si="0"/>
        <v>100000</v>
      </c>
      <c r="I73" s="68"/>
    </row>
    <row r="74" spans="1:9" ht="15.95" customHeight="1">
      <c r="A74" s="518"/>
      <c r="B74" s="99"/>
      <c r="C74" s="66" t="s">
        <v>566</v>
      </c>
      <c r="D74" s="66" t="s">
        <v>567</v>
      </c>
      <c r="E74" s="66" t="s">
        <v>186</v>
      </c>
      <c r="F74" s="67">
        <v>1</v>
      </c>
      <c r="G74" s="67">
        <v>150000</v>
      </c>
      <c r="H74" s="100">
        <f t="shared" si="0"/>
        <v>150000</v>
      </c>
      <c r="I74" s="68"/>
    </row>
    <row r="75" spans="1:9" ht="15.95" customHeight="1">
      <c r="A75" s="518"/>
      <c r="B75" s="99" t="s">
        <v>580</v>
      </c>
      <c r="C75" s="66" t="s">
        <v>374</v>
      </c>
      <c r="D75" s="66" t="s">
        <v>432</v>
      </c>
      <c r="E75" s="66" t="s">
        <v>184</v>
      </c>
      <c r="F75" s="67">
        <v>2</v>
      </c>
      <c r="G75" s="67">
        <v>80000</v>
      </c>
      <c r="H75" s="100">
        <f t="shared" si="0"/>
        <v>160000</v>
      </c>
      <c r="I75" s="68"/>
    </row>
    <row r="76" spans="1:9" ht="15.95" customHeight="1">
      <c r="A76" s="518"/>
      <c r="B76" s="99"/>
      <c r="C76" s="66" t="s">
        <v>581</v>
      </c>
      <c r="D76" s="66" t="s">
        <v>582</v>
      </c>
      <c r="E76" s="66" t="s">
        <v>186</v>
      </c>
      <c r="F76" s="67">
        <v>2</v>
      </c>
      <c r="G76" s="67">
        <v>150000</v>
      </c>
      <c r="H76" s="100">
        <f t="shared" si="0"/>
        <v>300000</v>
      </c>
      <c r="I76" s="68"/>
    </row>
    <row r="77" spans="1:9" ht="15.95" customHeight="1">
      <c r="A77" s="518"/>
      <c r="B77" s="99"/>
      <c r="C77" s="66" t="s">
        <v>583</v>
      </c>
      <c r="D77" s="66"/>
      <c r="E77" s="66" t="s">
        <v>184</v>
      </c>
      <c r="F77" s="67">
        <v>50</v>
      </c>
      <c r="G77" s="67">
        <v>5000</v>
      </c>
      <c r="H77" s="100">
        <f t="shared" si="0"/>
        <v>250000</v>
      </c>
      <c r="I77" s="68"/>
    </row>
    <row r="78" spans="1:9" ht="15.95" customHeight="1">
      <c r="A78" s="518"/>
      <c r="B78" s="99"/>
      <c r="C78" s="66" t="s">
        <v>586</v>
      </c>
      <c r="D78" s="66" t="s">
        <v>587</v>
      </c>
      <c r="E78" s="66" t="s">
        <v>186</v>
      </c>
      <c r="F78" s="67">
        <v>1</v>
      </c>
      <c r="G78" s="67">
        <v>300000</v>
      </c>
      <c r="H78" s="100">
        <f t="shared" si="0"/>
        <v>300000</v>
      </c>
      <c r="I78" s="68"/>
    </row>
    <row r="79" spans="1:9" ht="15.95" customHeight="1">
      <c r="A79" s="518"/>
      <c r="B79" s="99" t="s">
        <v>593</v>
      </c>
      <c r="C79" s="66" t="s">
        <v>417</v>
      </c>
      <c r="D79" s="66"/>
      <c r="E79" s="66" t="s">
        <v>186</v>
      </c>
      <c r="F79" s="67">
        <v>1</v>
      </c>
      <c r="G79" s="67">
        <v>1000000</v>
      </c>
      <c r="H79" s="100">
        <f t="shared" si="0"/>
        <v>1000000</v>
      </c>
      <c r="I79" s="68"/>
    </row>
    <row r="80" spans="1:9" ht="15.95" customHeight="1">
      <c r="A80" s="518"/>
      <c r="B80" s="99"/>
      <c r="C80" s="66" t="s">
        <v>594</v>
      </c>
      <c r="D80" s="66" t="s">
        <v>595</v>
      </c>
      <c r="E80" s="66" t="s">
        <v>184</v>
      </c>
      <c r="F80" s="67">
        <v>1</v>
      </c>
      <c r="G80" s="67">
        <v>100000</v>
      </c>
      <c r="H80" s="100">
        <f t="shared" si="0"/>
        <v>100000</v>
      </c>
      <c r="I80" s="68"/>
    </row>
    <row r="81" spans="1:9" ht="15.95" customHeight="1">
      <c r="A81" s="518"/>
      <c r="B81" s="99"/>
      <c r="C81" s="66" t="s">
        <v>596</v>
      </c>
      <c r="D81" s="66" t="s">
        <v>432</v>
      </c>
      <c r="E81" s="66" t="s">
        <v>184</v>
      </c>
      <c r="F81" s="67">
        <v>1</v>
      </c>
      <c r="G81" s="67">
        <v>50000</v>
      </c>
      <c r="H81" s="100">
        <f t="shared" si="0"/>
        <v>50000</v>
      </c>
      <c r="I81" s="68"/>
    </row>
    <row r="82" spans="1:9" ht="15.95" customHeight="1">
      <c r="A82" s="518"/>
      <c r="B82" s="99"/>
      <c r="C82" s="66" t="s">
        <v>597</v>
      </c>
      <c r="D82" s="66" t="s">
        <v>598</v>
      </c>
      <c r="E82" s="66" t="s">
        <v>186</v>
      </c>
      <c r="F82" s="67">
        <v>1</v>
      </c>
      <c r="G82" s="67">
        <v>4500000</v>
      </c>
      <c r="H82" s="100">
        <f t="shared" si="0"/>
        <v>4500000</v>
      </c>
      <c r="I82" s="68"/>
    </row>
    <row r="83" spans="1:9" ht="15.95" customHeight="1">
      <c r="A83" s="518"/>
      <c r="B83" s="99" t="s">
        <v>603</v>
      </c>
      <c r="C83" s="66" t="s">
        <v>607</v>
      </c>
      <c r="D83" s="66" t="s">
        <v>608</v>
      </c>
      <c r="E83" s="66" t="s">
        <v>184</v>
      </c>
      <c r="F83" s="67">
        <v>1</v>
      </c>
      <c r="G83" s="67">
        <v>300000</v>
      </c>
      <c r="H83" s="100">
        <f t="shared" si="0"/>
        <v>300000</v>
      </c>
      <c r="I83" s="68"/>
    </row>
    <row r="84" spans="1:9" ht="15.95" customHeight="1">
      <c r="A84" s="518"/>
      <c r="B84" s="99" t="s">
        <v>602</v>
      </c>
      <c r="C84" s="381" t="s">
        <v>609</v>
      </c>
      <c r="D84" s="382"/>
      <c r="E84" s="66" t="s">
        <v>186</v>
      </c>
      <c r="F84" s="67">
        <v>1</v>
      </c>
      <c r="G84" s="67">
        <v>120000</v>
      </c>
      <c r="H84" s="100">
        <f t="shared" si="0"/>
        <v>120000</v>
      </c>
      <c r="I84" s="68"/>
    </row>
    <row r="85" spans="1:9" ht="15.95" customHeight="1">
      <c r="A85" s="518"/>
      <c r="B85" s="99"/>
      <c r="C85" s="66" t="s">
        <v>610</v>
      </c>
      <c r="D85" s="66" t="s">
        <v>432</v>
      </c>
      <c r="E85" s="66" t="s">
        <v>186</v>
      </c>
      <c r="F85" s="67">
        <v>4</v>
      </c>
      <c r="G85" s="67">
        <v>120000</v>
      </c>
      <c r="H85" s="100">
        <f t="shared" si="0"/>
        <v>480000</v>
      </c>
      <c r="I85" s="68"/>
    </row>
    <row r="86" spans="1:9" ht="15.95" customHeight="1">
      <c r="A86" s="518"/>
      <c r="B86" s="99"/>
      <c r="C86" s="66" t="s">
        <v>581</v>
      </c>
      <c r="D86" s="66"/>
      <c r="E86" s="66" t="s">
        <v>184</v>
      </c>
      <c r="F86" s="67">
        <v>4</v>
      </c>
      <c r="G86" s="67">
        <v>500000</v>
      </c>
      <c r="H86" s="100">
        <f t="shared" si="0"/>
        <v>2000000</v>
      </c>
      <c r="I86" s="68"/>
    </row>
    <row r="87" spans="1:9" ht="15.95" customHeight="1">
      <c r="A87" s="518"/>
      <c r="B87" s="99" t="s">
        <v>611</v>
      </c>
      <c r="C87" s="66" t="s">
        <v>517</v>
      </c>
      <c r="D87" s="66" t="s">
        <v>612</v>
      </c>
      <c r="E87" s="66" t="s">
        <v>408</v>
      </c>
      <c r="F87" s="67">
        <v>1</v>
      </c>
      <c r="G87" s="67">
        <v>500000</v>
      </c>
      <c r="H87" s="100">
        <f t="shared" si="0"/>
        <v>500000</v>
      </c>
      <c r="I87" s="68"/>
    </row>
    <row r="88" spans="1:9" ht="15.95" customHeight="1">
      <c r="A88" s="518"/>
      <c r="B88" s="99"/>
      <c r="C88" s="66" t="s">
        <v>613</v>
      </c>
      <c r="D88" s="66" t="s">
        <v>614</v>
      </c>
      <c r="E88" s="66" t="s">
        <v>184</v>
      </c>
      <c r="F88" s="67">
        <v>2</v>
      </c>
      <c r="G88" s="67">
        <v>30000</v>
      </c>
      <c r="H88" s="100">
        <f t="shared" si="0"/>
        <v>60000</v>
      </c>
      <c r="I88" s="68"/>
    </row>
    <row r="89" spans="1:9" ht="15.95" customHeight="1">
      <c r="A89" s="518"/>
      <c r="B89" s="99"/>
      <c r="C89" s="66" t="s">
        <v>441</v>
      </c>
      <c r="D89" s="66"/>
      <c r="E89" s="66" t="s">
        <v>209</v>
      </c>
      <c r="F89" s="67">
        <v>1</v>
      </c>
      <c r="G89" s="67">
        <v>200000</v>
      </c>
      <c r="H89" s="100">
        <f t="shared" si="0"/>
        <v>200000</v>
      </c>
      <c r="I89" s="68"/>
    </row>
    <row r="90" spans="1:9" ht="15.95" customHeight="1">
      <c r="A90" s="518"/>
      <c r="B90" s="99"/>
      <c r="C90" s="66" t="s">
        <v>581</v>
      </c>
      <c r="D90" s="66"/>
      <c r="E90" s="66" t="s">
        <v>186</v>
      </c>
      <c r="F90" s="67">
        <v>2</v>
      </c>
      <c r="G90" s="67">
        <v>750000</v>
      </c>
      <c r="H90" s="100">
        <f t="shared" si="0"/>
        <v>1500000</v>
      </c>
      <c r="I90" s="68"/>
    </row>
    <row r="91" spans="1:9" ht="15.95" customHeight="1">
      <c r="A91" s="518"/>
      <c r="B91" s="99"/>
      <c r="C91" s="66" t="s">
        <v>615</v>
      </c>
      <c r="D91" s="66"/>
      <c r="E91" s="66" t="s">
        <v>186</v>
      </c>
      <c r="F91" s="67">
        <v>1</v>
      </c>
      <c r="G91" s="67">
        <v>120000</v>
      </c>
      <c r="H91" s="100">
        <f t="shared" si="0"/>
        <v>120000</v>
      </c>
      <c r="I91" s="68"/>
    </row>
    <row r="92" spans="1:9" ht="15.95" customHeight="1">
      <c r="A92" s="518"/>
      <c r="B92" s="99"/>
      <c r="C92" s="66" t="s">
        <v>616</v>
      </c>
      <c r="D92" s="66" t="s">
        <v>617</v>
      </c>
      <c r="E92" s="66" t="s">
        <v>186</v>
      </c>
      <c r="F92" s="67">
        <v>2</v>
      </c>
      <c r="G92" s="67">
        <v>350000</v>
      </c>
      <c r="H92" s="100">
        <f t="shared" si="0"/>
        <v>700000</v>
      </c>
      <c r="I92" s="68"/>
    </row>
    <row r="93" spans="1:9" ht="15.75" customHeight="1">
      <c r="A93" s="518"/>
      <c r="B93" s="99"/>
      <c r="C93" s="66" t="s">
        <v>618</v>
      </c>
      <c r="D93" s="66" t="s">
        <v>619</v>
      </c>
      <c r="E93" s="66" t="s">
        <v>186</v>
      </c>
      <c r="F93" s="67">
        <v>1</v>
      </c>
      <c r="G93" s="67">
        <v>200000</v>
      </c>
      <c r="H93" s="100">
        <f t="shared" si="0"/>
        <v>200000</v>
      </c>
      <c r="I93" s="68"/>
    </row>
    <row r="94" spans="1:9" ht="15.95" customHeight="1">
      <c r="A94" s="518"/>
      <c r="B94" s="99"/>
      <c r="C94" s="66" t="s">
        <v>620</v>
      </c>
      <c r="D94" s="66" t="s">
        <v>621</v>
      </c>
      <c r="E94" s="66" t="s">
        <v>209</v>
      </c>
      <c r="F94" s="67">
        <v>1</v>
      </c>
      <c r="G94" s="67">
        <v>150000</v>
      </c>
      <c r="H94" s="100">
        <f t="shared" si="0"/>
        <v>150000</v>
      </c>
      <c r="I94" s="68"/>
    </row>
    <row r="95" spans="1:9" ht="15.95" customHeight="1">
      <c r="A95" s="518"/>
      <c r="B95" s="99"/>
      <c r="C95" s="66"/>
      <c r="D95" s="66"/>
      <c r="E95" s="66"/>
      <c r="F95" s="67"/>
      <c r="G95" s="67"/>
      <c r="H95" s="100">
        <f t="shared" si="0"/>
        <v>0</v>
      </c>
      <c r="I95" s="68"/>
    </row>
    <row r="96" spans="1:9" ht="15.95" customHeight="1">
      <c r="A96" s="518"/>
      <c r="B96" s="99"/>
      <c r="C96" s="66"/>
      <c r="D96" s="66"/>
      <c r="E96" s="66"/>
      <c r="F96" s="67"/>
      <c r="G96" s="67"/>
      <c r="H96" s="100">
        <f t="shared" si="0"/>
        <v>0</v>
      </c>
      <c r="I96" s="68"/>
    </row>
    <row r="97" spans="1:9" ht="15.95" customHeight="1">
      <c r="A97" s="518"/>
      <c r="B97" s="99"/>
      <c r="C97" s="66"/>
      <c r="D97" s="66"/>
      <c r="E97" s="66"/>
      <c r="F97" s="67"/>
      <c r="G97" s="67"/>
      <c r="H97" s="100">
        <f t="shared" si="0"/>
        <v>0</v>
      </c>
      <c r="I97" s="68"/>
    </row>
    <row r="98" spans="1:9" ht="15.95" customHeight="1">
      <c r="A98" s="518"/>
      <c r="B98" s="99"/>
      <c r="C98" s="66"/>
      <c r="D98" s="66"/>
      <c r="E98" s="66"/>
      <c r="F98" s="67"/>
      <c r="G98" s="67"/>
      <c r="H98" s="100">
        <f t="shared" si="0"/>
        <v>0</v>
      </c>
      <c r="I98" s="68"/>
    </row>
    <row r="99" spans="1:9" ht="15.95" customHeight="1">
      <c r="A99" s="518"/>
      <c r="B99" s="99"/>
      <c r="C99" s="66"/>
      <c r="D99" s="66"/>
      <c r="E99" s="66"/>
      <c r="F99" s="67"/>
      <c r="G99" s="67"/>
      <c r="H99" s="100">
        <f t="shared" si="0"/>
        <v>0</v>
      </c>
      <c r="I99" s="68"/>
    </row>
    <row r="100" spans="1:9" ht="15.95" customHeight="1">
      <c r="A100" s="518"/>
      <c r="B100" s="99"/>
      <c r="C100" s="66"/>
      <c r="D100" s="66"/>
      <c r="E100" s="66"/>
      <c r="F100" s="67"/>
      <c r="G100" s="67"/>
      <c r="H100" s="100">
        <f t="shared" si="0"/>
        <v>0</v>
      </c>
      <c r="I100" s="68"/>
    </row>
    <row r="101" spans="1:9" ht="15.95" customHeight="1">
      <c r="A101" s="518"/>
      <c r="B101" s="99"/>
      <c r="C101" s="114"/>
      <c r="D101" s="276"/>
      <c r="E101" s="333"/>
      <c r="F101" s="334"/>
      <c r="G101" s="277"/>
      <c r="H101" s="278">
        <f t="shared" si="0"/>
        <v>0</v>
      </c>
      <c r="I101" s="279"/>
    </row>
    <row r="102" spans="1:9" ht="15.95" customHeight="1">
      <c r="A102" s="518"/>
      <c r="B102" s="70"/>
      <c r="C102" s="282"/>
      <c r="D102" s="282"/>
      <c r="E102" s="282"/>
      <c r="F102" s="283"/>
      <c r="G102" s="283"/>
      <c r="H102" s="284">
        <f>SUM(H3:H101)</f>
        <v>48116000</v>
      </c>
      <c r="I102" s="282"/>
    </row>
    <row r="103" spans="1:9" ht="15.95" customHeight="1">
      <c r="A103" s="518"/>
      <c r="B103" s="99" t="s">
        <v>160</v>
      </c>
      <c r="C103" s="117"/>
      <c r="D103" s="117"/>
      <c r="E103" s="117"/>
      <c r="F103" s="118"/>
      <c r="G103" s="118"/>
      <c r="H103" s="119">
        <f t="shared" si="0"/>
        <v>0</v>
      </c>
      <c r="I103" s="120"/>
    </row>
    <row r="104" spans="1:9" ht="15.95" customHeight="1">
      <c r="A104" s="518"/>
      <c r="B104" s="99" t="s">
        <v>161</v>
      </c>
      <c r="C104" s="66"/>
      <c r="D104" s="66"/>
      <c r="E104" s="66"/>
      <c r="F104" s="67"/>
      <c r="G104" s="67"/>
      <c r="H104" s="100">
        <f t="shared" si="0"/>
        <v>0</v>
      </c>
      <c r="I104" s="68"/>
    </row>
    <row r="105" spans="1:9" ht="15.95" customHeight="1">
      <c r="A105" s="518"/>
      <c r="B105" s="99"/>
      <c r="C105" s="66"/>
      <c r="D105" s="66"/>
      <c r="E105" s="66"/>
      <c r="F105" s="67"/>
      <c r="G105" s="67"/>
      <c r="H105" s="100">
        <f t="shared" si="0"/>
        <v>0</v>
      </c>
      <c r="I105" s="68"/>
    </row>
    <row r="106" spans="1:9" ht="15.95" customHeight="1">
      <c r="A106" s="518"/>
      <c r="B106" s="99"/>
      <c r="C106" s="66"/>
      <c r="D106" s="66"/>
      <c r="E106" s="66"/>
      <c r="F106" s="67"/>
      <c r="G106" s="67"/>
      <c r="H106" s="100">
        <f t="shared" si="0"/>
        <v>0</v>
      </c>
      <c r="I106" s="68"/>
    </row>
    <row r="107" spans="1:9" ht="15.95" customHeight="1">
      <c r="A107" s="518"/>
      <c r="B107" s="99"/>
      <c r="C107" s="114"/>
      <c r="D107" s="114"/>
      <c r="E107" s="114"/>
      <c r="F107" s="115"/>
      <c r="G107" s="115"/>
      <c r="H107" s="100">
        <f t="shared" si="0"/>
        <v>0</v>
      </c>
      <c r="I107" s="69"/>
    </row>
    <row r="108" spans="1:9" ht="15.95" customHeight="1">
      <c r="A108" s="518"/>
      <c r="B108" s="70"/>
      <c r="C108" s="102"/>
      <c r="D108" s="92"/>
      <c r="E108" s="92"/>
      <c r="F108" s="148"/>
      <c r="G108" s="37"/>
      <c r="H108" s="27">
        <f>SUM(H103:H107)</f>
        <v>0</v>
      </c>
      <c r="I108" s="72"/>
    </row>
    <row r="109" spans="1:9" ht="15.95" customHeight="1">
      <c r="A109" s="518"/>
      <c r="B109" s="103" t="s">
        <v>38</v>
      </c>
      <c r="C109" s="331" t="s">
        <v>467</v>
      </c>
      <c r="D109" s="335" t="s">
        <v>468</v>
      </c>
      <c r="E109" s="336" t="s">
        <v>184</v>
      </c>
      <c r="F109" s="337">
        <v>4</v>
      </c>
      <c r="G109" s="330">
        <v>60000</v>
      </c>
      <c r="H109" s="104">
        <f t="shared" si="0"/>
        <v>240000</v>
      </c>
      <c r="I109" s="73"/>
    </row>
    <row r="110" spans="1:9" ht="15.95" customHeight="1">
      <c r="A110" s="518"/>
      <c r="B110" s="99" t="s">
        <v>45</v>
      </c>
      <c r="C110" s="331" t="s">
        <v>469</v>
      </c>
      <c r="D110" s="335" t="s">
        <v>470</v>
      </c>
      <c r="E110" s="336" t="s">
        <v>184</v>
      </c>
      <c r="F110" s="337">
        <v>4</v>
      </c>
      <c r="G110" s="330">
        <v>140000</v>
      </c>
      <c r="H110" s="100">
        <f t="shared" si="0"/>
        <v>560000</v>
      </c>
      <c r="I110" s="68"/>
    </row>
    <row r="111" spans="1:9" ht="15.95" customHeight="1">
      <c r="A111" s="518"/>
      <c r="B111" s="99" t="s">
        <v>466</v>
      </c>
      <c r="C111" s="331" t="s">
        <v>471</v>
      </c>
      <c r="D111" s="318" t="s">
        <v>472</v>
      </c>
      <c r="E111" s="326" t="s">
        <v>213</v>
      </c>
      <c r="F111" s="338">
        <v>160</v>
      </c>
      <c r="G111" s="339">
        <v>3000</v>
      </c>
      <c r="H111" s="100">
        <f t="shared" si="0"/>
        <v>480000</v>
      </c>
      <c r="I111" s="68"/>
    </row>
    <row r="112" spans="1:9" ht="15.95" customHeight="1">
      <c r="A112" s="518"/>
      <c r="B112" s="99" t="s">
        <v>512</v>
      </c>
      <c r="C112" s="331" t="s">
        <v>473</v>
      </c>
      <c r="D112" s="345" t="s">
        <v>472</v>
      </c>
      <c r="E112" s="326" t="s">
        <v>213</v>
      </c>
      <c r="F112" s="338">
        <v>80</v>
      </c>
      <c r="G112" s="339">
        <v>2000</v>
      </c>
      <c r="H112" s="100">
        <f t="shared" si="0"/>
        <v>160000</v>
      </c>
      <c r="I112" s="68"/>
    </row>
    <row r="113" spans="1:9" ht="15.95" customHeight="1">
      <c r="A113" s="518"/>
      <c r="B113" s="99"/>
      <c r="C113" s="331" t="s">
        <v>474</v>
      </c>
      <c r="D113" s="345" t="s">
        <v>475</v>
      </c>
      <c r="E113" s="326" t="s">
        <v>213</v>
      </c>
      <c r="F113" s="338">
        <v>160</v>
      </c>
      <c r="G113" s="339">
        <v>10000</v>
      </c>
      <c r="H113" s="100">
        <f t="shared" si="0"/>
        <v>1600000</v>
      </c>
      <c r="I113" s="68"/>
    </row>
    <row r="114" spans="1:9" ht="15.95" customHeight="1">
      <c r="A114" s="518"/>
      <c r="B114" s="99"/>
      <c r="C114" s="331" t="s">
        <v>480</v>
      </c>
      <c r="D114" s="345" t="s">
        <v>481</v>
      </c>
      <c r="E114" s="326" t="s">
        <v>184</v>
      </c>
      <c r="F114" s="338">
        <v>4</v>
      </c>
      <c r="G114" s="339">
        <v>20000</v>
      </c>
      <c r="H114" s="100">
        <f t="shared" si="0"/>
        <v>80000</v>
      </c>
      <c r="I114" s="68"/>
    </row>
    <row r="115" spans="1:9" ht="15.95" customHeight="1">
      <c r="A115" s="518"/>
      <c r="B115" s="99"/>
      <c r="C115" s="331" t="s">
        <v>492</v>
      </c>
      <c r="D115" s="345" t="s">
        <v>493</v>
      </c>
      <c r="E115" s="326" t="s">
        <v>213</v>
      </c>
      <c r="F115" s="338">
        <v>40</v>
      </c>
      <c r="G115" s="339">
        <v>12000</v>
      </c>
      <c r="H115" s="100">
        <f t="shared" si="0"/>
        <v>480000</v>
      </c>
      <c r="I115" s="68"/>
    </row>
    <row r="116" spans="1:9" ht="15.95" customHeight="1">
      <c r="A116" s="518"/>
      <c r="B116" s="99"/>
      <c r="C116" s="331" t="s">
        <v>495</v>
      </c>
      <c r="D116" s="345" t="s">
        <v>470</v>
      </c>
      <c r="E116" s="326" t="s">
        <v>213</v>
      </c>
      <c r="F116" s="338">
        <v>160</v>
      </c>
      <c r="G116" s="339">
        <v>45000</v>
      </c>
      <c r="H116" s="100">
        <f t="shared" si="0"/>
        <v>7200000</v>
      </c>
      <c r="I116" s="68" t="s">
        <v>505</v>
      </c>
    </row>
    <row r="117" spans="1:9" ht="15.95" customHeight="1">
      <c r="A117" s="518"/>
      <c r="B117" s="99"/>
      <c r="C117" s="331" t="s">
        <v>496</v>
      </c>
      <c r="D117" s="345" t="s">
        <v>497</v>
      </c>
      <c r="E117" s="326" t="s">
        <v>184</v>
      </c>
      <c r="F117" s="338">
        <v>2</v>
      </c>
      <c r="G117" s="339">
        <v>850000</v>
      </c>
      <c r="H117" s="100">
        <f t="shared" si="0"/>
        <v>1700000</v>
      </c>
      <c r="I117" s="68" t="s">
        <v>320</v>
      </c>
    </row>
    <row r="118" spans="1:9" ht="15.95" customHeight="1">
      <c r="A118" s="518"/>
      <c r="B118" s="99"/>
      <c r="C118" s="331" t="s">
        <v>498</v>
      </c>
      <c r="D118" s="345" t="s">
        <v>499</v>
      </c>
      <c r="E118" s="326" t="s">
        <v>184</v>
      </c>
      <c r="F118" s="338">
        <v>2</v>
      </c>
      <c r="G118" s="339">
        <v>85000</v>
      </c>
      <c r="H118" s="100">
        <f t="shared" si="0"/>
        <v>170000</v>
      </c>
      <c r="I118" s="68" t="s">
        <v>506</v>
      </c>
    </row>
    <row r="119" spans="1:9" ht="15.95" customHeight="1">
      <c r="A119" s="518"/>
      <c r="B119" s="99"/>
      <c r="C119" s="331" t="s">
        <v>500</v>
      </c>
      <c r="D119" s="345" t="s">
        <v>501</v>
      </c>
      <c r="E119" s="326" t="s">
        <v>213</v>
      </c>
      <c r="F119" s="338">
        <v>4</v>
      </c>
      <c r="G119" s="339">
        <v>10000</v>
      </c>
      <c r="H119" s="100">
        <f t="shared" si="0"/>
        <v>40000</v>
      </c>
      <c r="I119" s="68" t="s">
        <v>505</v>
      </c>
    </row>
    <row r="120" spans="1:9" ht="15.95" customHeight="1">
      <c r="A120" s="518"/>
      <c r="B120" s="99"/>
      <c r="C120" s="331" t="s">
        <v>235</v>
      </c>
      <c r="D120" s="345"/>
      <c r="E120" s="326" t="s">
        <v>209</v>
      </c>
      <c r="F120" s="338">
        <v>2</v>
      </c>
      <c r="G120" s="339">
        <v>678000</v>
      </c>
      <c r="H120" s="100">
        <f t="shared" si="0"/>
        <v>1356000</v>
      </c>
      <c r="I120" s="68"/>
    </row>
    <row r="121" spans="1:9" ht="15.95" customHeight="1">
      <c r="A121" s="518"/>
      <c r="B121" s="99" t="s">
        <v>502</v>
      </c>
      <c r="C121" s="331" t="s">
        <v>469</v>
      </c>
      <c r="D121" s="345" t="s">
        <v>470</v>
      </c>
      <c r="E121" s="326" t="s">
        <v>184</v>
      </c>
      <c r="F121" s="338">
        <v>4</v>
      </c>
      <c r="G121" s="339">
        <v>140000</v>
      </c>
      <c r="H121" s="100">
        <f t="shared" si="0"/>
        <v>560000</v>
      </c>
      <c r="I121" s="68"/>
    </row>
    <row r="122" spans="1:9" ht="15.95" customHeight="1">
      <c r="A122" s="518"/>
      <c r="B122" s="99" t="s">
        <v>512</v>
      </c>
      <c r="C122" s="331" t="s">
        <v>471</v>
      </c>
      <c r="D122" s="345" t="s">
        <v>472</v>
      </c>
      <c r="E122" s="326" t="s">
        <v>213</v>
      </c>
      <c r="F122" s="338">
        <v>16</v>
      </c>
      <c r="G122" s="339">
        <v>3000</v>
      </c>
      <c r="H122" s="100">
        <f t="shared" si="0"/>
        <v>48000</v>
      </c>
      <c r="I122" s="68"/>
    </row>
    <row r="123" spans="1:9" ht="15.95" customHeight="1">
      <c r="A123" s="518"/>
      <c r="B123" s="99"/>
      <c r="C123" s="331" t="s">
        <v>473</v>
      </c>
      <c r="D123" s="345" t="s">
        <v>472</v>
      </c>
      <c r="E123" s="326" t="s">
        <v>213</v>
      </c>
      <c r="F123" s="338">
        <v>8</v>
      </c>
      <c r="G123" s="339">
        <v>2000</v>
      </c>
      <c r="H123" s="100">
        <f t="shared" si="0"/>
        <v>16000</v>
      </c>
      <c r="I123" s="68"/>
    </row>
    <row r="124" spans="1:9" ht="15.95" customHeight="1">
      <c r="A124" s="518"/>
      <c r="B124" s="99"/>
      <c r="C124" s="331" t="s">
        <v>474</v>
      </c>
      <c r="D124" s="345" t="s">
        <v>475</v>
      </c>
      <c r="E124" s="326" t="s">
        <v>213</v>
      </c>
      <c r="F124" s="338">
        <v>16</v>
      </c>
      <c r="G124" s="339">
        <v>8000</v>
      </c>
      <c r="H124" s="100">
        <f t="shared" si="0"/>
        <v>128000</v>
      </c>
      <c r="I124" s="68"/>
    </row>
    <row r="125" spans="1:9" ht="15.95" customHeight="1">
      <c r="A125" s="518"/>
      <c r="B125" s="99"/>
      <c r="C125" s="331" t="s">
        <v>480</v>
      </c>
      <c r="D125" s="345" t="s">
        <v>481</v>
      </c>
      <c r="E125" s="326" t="s">
        <v>184</v>
      </c>
      <c r="F125" s="338">
        <v>4</v>
      </c>
      <c r="G125" s="339">
        <v>20000</v>
      </c>
      <c r="H125" s="100">
        <f t="shared" si="0"/>
        <v>80000</v>
      </c>
      <c r="I125" s="68"/>
    </row>
    <row r="126" spans="1:9" ht="15.95" customHeight="1">
      <c r="A126" s="518"/>
      <c r="B126" s="99"/>
      <c r="C126" s="331" t="s">
        <v>492</v>
      </c>
      <c r="D126" s="345" t="s">
        <v>493</v>
      </c>
      <c r="E126" s="326" t="s">
        <v>213</v>
      </c>
      <c r="F126" s="338">
        <v>4</v>
      </c>
      <c r="G126" s="339">
        <v>12000</v>
      </c>
      <c r="H126" s="100">
        <f t="shared" si="0"/>
        <v>48000</v>
      </c>
      <c r="I126" s="68"/>
    </row>
    <row r="127" spans="1:9" ht="15.95" customHeight="1">
      <c r="A127" s="518"/>
      <c r="B127" s="99"/>
      <c r="C127" s="331" t="s">
        <v>495</v>
      </c>
      <c r="D127" s="345" t="s">
        <v>470</v>
      </c>
      <c r="E127" s="326" t="s">
        <v>213</v>
      </c>
      <c r="F127" s="338">
        <v>16</v>
      </c>
      <c r="G127" s="339">
        <v>45000</v>
      </c>
      <c r="H127" s="100">
        <f t="shared" si="0"/>
        <v>720000</v>
      </c>
      <c r="I127" s="68" t="s">
        <v>505</v>
      </c>
    </row>
    <row r="128" spans="1:9" ht="15.95" customHeight="1">
      <c r="A128" s="518"/>
      <c r="B128" s="99"/>
      <c r="C128" s="331" t="s">
        <v>496</v>
      </c>
      <c r="D128" s="345" t="s">
        <v>504</v>
      </c>
      <c r="E128" s="326" t="s">
        <v>184</v>
      </c>
      <c r="F128" s="338">
        <v>2</v>
      </c>
      <c r="G128" s="339">
        <v>400000</v>
      </c>
      <c r="H128" s="100">
        <f t="shared" si="0"/>
        <v>800000</v>
      </c>
      <c r="I128" s="68" t="s">
        <v>320</v>
      </c>
    </row>
    <row r="129" spans="1:9" ht="15.95" customHeight="1">
      <c r="A129" s="518"/>
      <c r="B129" s="99"/>
      <c r="C129" s="331" t="s">
        <v>498</v>
      </c>
      <c r="D129" s="345" t="s">
        <v>499</v>
      </c>
      <c r="E129" s="326" t="s">
        <v>184</v>
      </c>
      <c r="F129" s="338">
        <v>2</v>
      </c>
      <c r="G129" s="339">
        <v>85000</v>
      </c>
      <c r="H129" s="100">
        <f t="shared" si="0"/>
        <v>170000</v>
      </c>
      <c r="I129" s="68" t="s">
        <v>506</v>
      </c>
    </row>
    <row r="130" spans="1:9" ht="15.95" customHeight="1">
      <c r="A130" s="518"/>
      <c r="B130" s="99"/>
      <c r="C130" s="331" t="s">
        <v>500</v>
      </c>
      <c r="D130" s="345" t="s">
        <v>501</v>
      </c>
      <c r="E130" s="326" t="s">
        <v>213</v>
      </c>
      <c r="F130" s="338">
        <v>4</v>
      </c>
      <c r="G130" s="339">
        <v>10000</v>
      </c>
      <c r="H130" s="100">
        <f t="shared" si="0"/>
        <v>40000</v>
      </c>
      <c r="I130" s="68" t="s">
        <v>505</v>
      </c>
    </row>
    <row r="131" spans="1:9" ht="15.95" customHeight="1">
      <c r="A131" s="518"/>
      <c r="B131" s="99"/>
      <c r="C131" s="331" t="s">
        <v>235</v>
      </c>
      <c r="D131" s="345"/>
      <c r="E131" s="326" t="s">
        <v>209</v>
      </c>
      <c r="F131" s="338">
        <v>2</v>
      </c>
      <c r="G131" s="339">
        <v>132000</v>
      </c>
      <c r="H131" s="100">
        <f t="shared" si="0"/>
        <v>264000</v>
      </c>
      <c r="I131" s="68"/>
    </row>
    <row r="132" spans="1:9" ht="15.95" customHeight="1">
      <c r="A132" s="518"/>
      <c r="B132" s="99" t="s">
        <v>510</v>
      </c>
      <c r="C132" s="331" t="s">
        <v>509</v>
      </c>
      <c r="D132" s="345" t="s">
        <v>514</v>
      </c>
      <c r="E132" s="326" t="s">
        <v>184</v>
      </c>
      <c r="F132" s="338">
        <v>30</v>
      </c>
      <c r="G132" s="339">
        <v>440000</v>
      </c>
      <c r="H132" s="100">
        <f t="shared" si="0"/>
        <v>13200000</v>
      </c>
      <c r="I132" s="68" t="s">
        <v>381</v>
      </c>
    </row>
    <row r="133" spans="1:9" ht="15.95" customHeight="1">
      <c r="A133" s="518"/>
      <c r="B133" s="99" t="s">
        <v>513</v>
      </c>
      <c r="C133" s="331" t="s">
        <v>515</v>
      </c>
      <c r="D133" s="345" t="s">
        <v>516</v>
      </c>
      <c r="E133" s="326" t="s">
        <v>186</v>
      </c>
      <c r="F133" s="338">
        <v>30</v>
      </c>
      <c r="G133" s="339">
        <v>150000</v>
      </c>
      <c r="H133" s="100">
        <f t="shared" si="0"/>
        <v>4500000</v>
      </c>
      <c r="I133" s="68" t="s">
        <v>381</v>
      </c>
    </row>
    <row r="134" spans="1:9" ht="15.95" customHeight="1">
      <c r="A134" s="518"/>
      <c r="B134" s="99"/>
      <c r="C134" s="331" t="s">
        <v>235</v>
      </c>
      <c r="D134" s="345"/>
      <c r="E134" s="326" t="s">
        <v>209</v>
      </c>
      <c r="F134" s="338">
        <v>30</v>
      </c>
      <c r="G134" s="339">
        <v>34000</v>
      </c>
      <c r="H134" s="100">
        <f t="shared" si="0"/>
        <v>1020000</v>
      </c>
      <c r="I134" s="68"/>
    </row>
    <row r="135" spans="1:9" ht="15.95" customHeight="1">
      <c r="A135" s="518"/>
      <c r="B135" s="99" t="s">
        <v>520</v>
      </c>
      <c r="C135" s="331" t="s">
        <v>543</v>
      </c>
      <c r="D135" s="345" t="s">
        <v>544</v>
      </c>
      <c r="E135" s="326" t="s">
        <v>184</v>
      </c>
      <c r="F135" s="338">
        <v>4</v>
      </c>
      <c r="G135" s="339">
        <v>230000</v>
      </c>
      <c r="H135" s="100">
        <f t="shared" si="0"/>
        <v>920000</v>
      </c>
      <c r="I135" s="68" t="s">
        <v>381</v>
      </c>
    </row>
    <row r="136" spans="1:9" ht="15.95" customHeight="1">
      <c r="A136" s="518"/>
      <c r="B136" s="99" t="s">
        <v>522</v>
      </c>
      <c r="C136" s="331" t="s">
        <v>545</v>
      </c>
      <c r="D136" s="345" t="s">
        <v>546</v>
      </c>
      <c r="E136" s="326" t="s">
        <v>186</v>
      </c>
      <c r="F136" s="338">
        <v>4</v>
      </c>
      <c r="G136" s="339">
        <v>300000</v>
      </c>
      <c r="H136" s="100">
        <f t="shared" si="0"/>
        <v>1200000</v>
      </c>
      <c r="I136" s="68" t="s">
        <v>554</v>
      </c>
    </row>
    <row r="137" spans="1:9" ht="15.95" customHeight="1">
      <c r="A137" s="518"/>
      <c r="B137" s="99"/>
      <c r="C137" s="331" t="s">
        <v>496</v>
      </c>
      <c r="D137" s="345" t="s">
        <v>547</v>
      </c>
      <c r="E137" s="326" t="s">
        <v>184</v>
      </c>
      <c r="F137" s="338">
        <v>4</v>
      </c>
      <c r="G137" s="339">
        <v>450000</v>
      </c>
      <c r="H137" s="100">
        <f t="shared" si="0"/>
        <v>1800000</v>
      </c>
      <c r="I137" s="68" t="s">
        <v>320</v>
      </c>
    </row>
    <row r="138" spans="1:9" ht="15.95" customHeight="1">
      <c r="A138" s="518"/>
      <c r="B138" s="99"/>
      <c r="C138" s="331" t="s">
        <v>500</v>
      </c>
      <c r="D138" s="345" t="s">
        <v>548</v>
      </c>
      <c r="E138" s="326" t="s">
        <v>213</v>
      </c>
      <c r="F138" s="338">
        <v>4</v>
      </c>
      <c r="G138" s="339">
        <v>10000</v>
      </c>
      <c r="H138" s="100">
        <f t="shared" si="0"/>
        <v>40000</v>
      </c>
      <c r="I138" s="68"/>
    </row>
    <row r="139" spans="1:9" ht="15.95" customHeight="1">
      <c r="A139" s="518"/>
      <c r="B139" s="99"/>
      <c r="C139" s="331" t="s">
        <v>196</v>
      </c>
      <c r="D139" s="345" t="s">
        <v>549</v>
      </c>
      <c r="E139" s="326" t="s">
        <v>209</v>
      </c>
      <c r="F139" s="338">
        <v>4</v>
      </c>
      <c r="G139" s="339">
        <v>30000</v>
      </c>
      <c r="H139" s="100">
        <f t="shared" si="0"/>
        <v>120000</v>
      </c>
      <c r="I139" s="68" t="s">
        <v>555</v>
      </c>
    </row>
    <row r="140" spans="1:9" ht="15.95" customHeight="1">
      <c r="A140" s="518"/>
      <c r="B140" s="99"/>
      <c r="C140" s="331" t="s">
        <v>550</v>
      </c>
      <c r="D140" s="345" t="s">
        <v>551</v>
      </c>
      <c r="E140" s="326" t="s">
        <v>184</v>
      </c>
      <c r="F140" s="338">
        <v>8</v>
      </c>
      <c r="G140" s="339">
        <v>100000</v>
      </c>
      <c r="H140" s="100">
        <f t="shared" si="0"/>
        <v>800000</v>
      </c>
      <c r="I140" s="68" t="s">
        <v>556</v>
      </c>
    </row>
    <row r="141" spans="1:9" ht="15.95" customHeight="1">
      <c r="A141" s="518"/>
      <c r="B141" s="99"/>
      <c r="C141" s="331" t="s">
        <v>552</v>
      </c>
      <c r="D141" s="345" t="s">
        <v>553</v>
      </c>
      <c r="E141" s="326" t="s">
        <v>184</v>
      </c>
      <c r="F141" s="338">
        <v>4</v>
      </c>
      <c r="G141" s="339">
        <v>230000</v>
      </c>
      <c r="H141" s="100">
        <f t="shared" si="0"/>
        <v>920000</v>
      </c>
      <c r="I141" s="68" t="s">
        <v>381</v>
      </c>
    </row>
    <row r="142" spans="1:9" ht="15.95" customHeight="1">
      <c r="A142" s="518"/>
      <c r="B142" s="99"/>
      <c r="C142" s="331" t="s">
        <v>515</v>
      </c>
      <c r="D142" s="345" t="s">
        <v>516</v>
      </c>
      <c r="E142" s="326" t="s">
        <v>186</v>
      </c>
      <c r="F142" s="338">
        <v>8</v>
      </c>
      <c r="G142" s="339">
        <v>150000</v>
      </c>
      <c r="H142" s="100">
        <f t="shared" si="0"/>
        <v>1200000</v>
      </c>
      <c r="I142" s="68" t="s">
        <v>381</v>
      </c>
    </row>
    <row r="143" spans="1:9" ht="15.95" customHeight="1">
      <c r="A143" s="518"/>
      <c r="B143" s="99"/>
      <c r="C143" s="331" t="s">
        <v>235</v>
      </c>
      <c r="D143" s="345"/>
      <c r="E143" s="326" t="s">
        <v>209</v>
      </c>
      <c r="F143" s="338">
        <v>4</v>
      </c>
      <c r="G143" s="339">
        <v>152000</v>
      </c>
      <c r="H143" s="100">
        <f t="shared" si="0"/>
        <v>608000</v>
      </c>
      <c r="I143" s="68"/>
    </row>
    <row r="144" spans="1:9" ht="15.95" customHeight="1">
      <c r="A144" s="518"/>
      <c r="B144" s="99" t="s">
        <v>557</v>
      </c>
      <c r="C144" s="331" t="s">
        <v>543</v>
      </c>
      <c r="D144" s="345" t="s">
        <v>562</v>
      </c>
      <c r="E144" s="326" t="s">
        <v>184</v>
      </c>
      <c r="F144" s="338">
        <v>2</v>
      </c>
      <c r="G144" s="339">
        <v>250000</v>
      </c>
      <c r="H144" s="100">
        <f t="shared" si="0"/>
        <v>500000</v>
      </c>
      <c r="I144" s="68"/>
    </row>
    <row r="145" spans="1:9" ht="15.95" customHeight="1">
      <c r="A145" s="518"/>
      <c r="B145" s="99" t="s">
        <v>511</v>
      </c>
      <c r="C145" s="331" t="s">
        <v>545</v>
      </c>
      <c r="D145" s="345" t="s">
        <v>563</v>
      </c>
      <c r="E145" s="326" t="s">
        <v>186</v>
      </c>
      <c r="F145" s="338">
        <v>2</v>
      </c>
      <c r="G145" s="339">
        <v>300000</v>
      </c>
      <c r="H145" s="100">
        <f t="shared" si="0"/>
        <v>600000</v>
      </c>
      <c r="I145" s="68"/>
    </row>
    <row r="146" spans="1:9" ht="15.95" customHeight="1">
      <c r="A146" s="518"/>
      <c r="B146" s="99"/>
      <c r="C146" s="331" t="s">
        <v>515</v>
      </c>
      <c r="D146" s="345" t="s">
        <v>516</v>
      </c>
      <c r="E146" s="326" t="s">
        <v>186</v>
      </c>
      <c r="F146" s="338">
        <v>2</v>
      </c>
      <c r="G146" s="339">
        <v>150000</v>
      </c>
      <c r="H146" s="100">
        <f t="shared" si="0"/>
        <v>300000</v>
      </c>
      <c r="I146" s="68"/>
    </row>
    <row r="147" spans="1:9" ht="15.95" customHeight="1">
      <c r="A147" s="518"/>
      <c r="B147" s="99"/>
      <c r="C147" s="331" t="s">
        <v>235</v>
      </c>
      <c r="D147" s="345"/>
      <c r="E147" s="326" t="s">
        <v>209</v>
      </c>
      <c r="F147" s="338">
        <v>2</v>
      </c>
      <c r="G147" s="339">
        <v>53000</v>
      </c>
      <c r="H147" s="100">
        <f t="shared" si="0"/>
        <v>106000</v>
      </c>
      <c r="I147" s="68"/>
    </row>
    <row r="148" spans="1:9" ht="15.95" customHeight="1">
      <c r="A148" s="518"/>
      <c r="B148" s="99" t="s">
        <v>565</v>
      </c>
      <c r="C148" s="331" t="s">
        <v>425</v>
      </c>
      <c r="D148" s="345" t="s">
        <v>568</v>
      </c>
      <c r="E148" s="326" t="s">
        <v>184</v>
      </c>
      <c r="F148" s="338">
        <v>1</v>
      </c>
      <c r="G148" s="339">
        <v>460000</v>
      </c>
      <c r="H148" s="100">
        <f t="shared" si="0"/>
        <v>460000</v>
      </c>
      <c r="I148" s="68" t="s">
        <v>320</v>
      </c>
    </row>
    <row r="149" spans="1:9" ht="15.95" customHeight="1">
      <c r="A149" s="518"/>
      <c r="B149" s="99"/>
      <c r="C149" s="331" t="s">
        <v>428</v>
      </c>
      <c r="D149" s="345" t="s">
        <v>569</v>
      </c>
      <c r="E149" s="326" t="s">
        <v>184</v>
      </c>
      <c r="F149" s="338">
        <v>1</v>
      </c>
      <c r="G149" s="339">
        <v>800000</v>
      </c>
      <c r="H149" s="100">
        <f t="shared" si="0"/>
        <v>800000</v>
      </c>
      <c r="I149" s="68" t="s">
        <v>320</v>
      </c>
    </row>
    <row r="150" spans="1:9" ht="15.95" customHeight="1">
      <c r="A150" s="518"/>
      <c r="B150" s="99"/>
      <c r="C150" s="331" t="s">
        <v>570</v>
      </c>
      <c r="D150" s="345"/>
      <c r="E150" s="326" t="s">
        <v>213</v>
      </c>
      <c r="F150" s="338">
        <v>30</v>
      </c>
      <c r="G150" s="339">
        <v>20000</v>
      </c>
      <c r="H150" s="100">
        <f t="shared" si="0"/>
        <v>600000</v>
      </c>
      <c r="I150" s="68"/>
    </row>
    <row r="151" spans="1:9" ht="15.95" customHeight="1">
      <c r="A151" s="518"/>
      <c r="B151" s="99"/>
      <c r="C151" s="331" t="s">
        <v>571</v>
      </c>
      <c r="D151" s="345"/>
      <c r="E151" s="326" t="s">
        <v>184</v>
      </c>
      <c r="F151" s="338">
        <v>2</v>
      </c>
      <c r="G151" s="339">
        <v>80000</v>
      </c>
      <c r="H151" s="100">
        <f t="shared" si="0"/>
        <v>160000</v>
      </c>
      <c r="I151" s="68"/>
    </row>
    <row r="152" spans="1:9" ht="15.95" customHeight="1">
      <c r="A152" s="518"/>
      <c r="B152" s="99"/>
      <c r="C152" s="331" t="s">
        <v>572</v>
      </c>
      <c r="D152" s="345"/>
      <c r="E152" s="326" t="s">
        <v>184</v>
      </c>
      <c r="F152" s="338">
        <v>1</v>
      </c>
      <c r="G152" s="339">
        <v>30000</v>
      </c>
      <c r="H152" s="100">
        <f t="shared" si="0"/>
        <v>30000</v>
      </c>
      <c r="I152" s="68"/>
    </row>
    <row r="153" spans="1:9" ht="15.95" customHeight="1">
      <c r="A153" s="518"/>
      <c r="B153" s="99"/>
      <c r="C153" s="331" t="s">
        <v>573</v>
      </c>
      <c r="D153" s="345"/>
      <c r="E153" s="326" t="s">
        <v>184</v>
      </c>
      <c r="F153" s="338">
        <v>1</v>
      </c>
      <c r="G153" s="339">
        <v>50000</v>
      </c>
      <c r="H153" s="100">
        <f t="shared" si="0"/>
        <v>50000</v>
      </c>
      <c r="I153" s="68"/>
    </row>
    <row r="154" spans="1:9" ht="15.95" customHeight="1">
      <c r="A154" s="518"/>
      <c r="B154" s="99"/>
      <c r="C154" s="331" t="s">
        <v>574</v>
      </c>
      <c r="D154" s="345" t="s">
        <v>575</v>
      </c>
      <c r="E154" s="326" t="s">
        <v>184</v>
      </c>
      <c r="F154" s="338">
        <v>4</v>
      </c>
      <c r="G154" s="339">
        <v>30000</v>
      </c>
      <c r="H154" s="100">
        <f t="shared" si="0"/>
        <v>120000</v>
      </c>
      <c r="I154" s="68" t="s">
        <v>579</v>
      </c>
    </row>
    <row r="155" spans="1:9" ht="15.95" customHeight="1">
      <c r="A155" s="518"/>
      <c r="B155" s="99"/>
      <c r="C155" s="66" t="s">
        <v>576</v>
      </c>
      <c r="D155" s="66" t="s">
        <v>577</v>
      </c>
      <c r="E155" s="326" t="s">
        <v>184</v>
      </c>
      <c r="F155" s="343">
        <v>4</v>
      </c>
      <c r="G155" s="67">
        <v>30000</v>
      </c>
      <c r="H155" s="100">
        <f t="shared" si="0"/>
        <v>120000</v>
      </c>
      <c r="I155" s="68" t="s">
        <v>456</v>
      </c>
    </row>
    <row r="156" spans="1:9" ht="15.95" customHeight="1">
      <c r="A156" s="518"/>
      <c r="B156" s="99"/>
      <c r="C156" s="66" t="s">
        <v>543</v>
      </c>
      <c r="D156" s="66" t="s">
        <v>578</v>
      </c>
      <c r="E156" s="326" t="s">
        <v>184</v>
      </c>
      <c r="F156" s="343">
        <v>1</v>
      </c>
      <c r="G156" s="67">
        <v>300000</v>
      </c>
      <c r="H156" s="100">
        <f t="shared" si="0"/>
        <v>300000</v>
      </c>
      <c r="I156" s="68" t="s">
        <v>381</v>
      </c>
    </row>
    <row r="157" spans="1:9" ht="15.95" customHeight="1">
      <c r="A157" s="518"/>
      <c r="B157" s="99"/>
      <c r="C157" s="66" t="s">
        <v>545</v>
      </c>
      <c r="D157" s="66" t="s">
        <v>563</v>
      </c>
      <c r="E157" s="326" t="s">
        <v>186</v>
      </c>
      <c r="F157" s="343">
        <v>1</v>
      </c>
      <c r="G157" s="67">
        <v>300000</v>
      </c>
      <c r="H157" s="100">
        <f t="shared" si="0"/>
        <v>300000</v>
      </c>
      <c r="I157" s="68" t="s">
        <v>554</v>
      </c>
    </row>
    <row r="158" spans="1:9" ht="15.95" customHeight="1">
      <c r="A158" s="518"/>
      <c r="B158" s="99"/>
      <c r="C158" s="66" t="s">
        <v>197</v>
      </c>
      <c r="D158" s="66" t="s">
        <v>516</v>
      </c>
      <c r="E158" s="326" t="s">
        <v>186</v>
      </c>
      <c r="F158" s="343">
        <v>2</v>
      </c>
      <c r="G158" s="67">
        <v>150000</v>
      </c>
      <c r="H158" s="100">
        <f t="shared" si="0"/>
        <v>300000</v>
      </c>
      <c r="I158" s="68" t="s">
        <v>381</v>
      </c>
    </row>
    <row r="159" spans="1:9" ht="15.95" customHeight="1">
      <c r="A159" s="518"/>
      <c r="B159" s="99"/>
      <c r="C159" s="66" t="s">
        <v>235</v>
      </c>
      <c r="D159" s="66"/>
      <c r="E159" s="326" t="s">
        <v>209</v>
      </c>
      <c r="F159" s="343">
        <v>1</v>
      </c>
      <c r="G159" s="67">
        <v>194000</v>
      </c>
      <c r="H159" s="100">
        <f t="shared" si="0"/>
        <v>194000</v>
      </c>
      <c r="I159" s="68"/>
    </row>
    <row r="160" spans="1:9" ht="15.95" customHeight="1">
      <c r="A160" s="518"/>
      <c r="B160" s="99" t="s">
        <v>580</v>
      </c>
      <c r="C160" s="66" t="s">
        <v>583</v>
      </c>
      <c r="D160" s="66"/>
      <c r="E160" s="326" t="s">
        <v>184</v>
      </c>
      <c r="F160" s="343">
        <v>50</v>
      </c>
      <c r="G160" s="67">
        <v>5000</v>
      </c>
      <c r="H160" s="100">
        <f t="shared" si="0"/>
        <v>250000</v>
      </c>
      <c r="I160" s="68"/>
    </row>
    <row r="161" spans="1:9" ht="15.95" customHeight="1">
      <c r="A161" s="518"/>
      <c r="B161" s="99"/>
      <c r="C161" s="66" t="s">
        <v>584</v>
      </c>
      <c r="D161" s="66" t="s">
        <v>585</v>
      </c>
      <c r="E161" s="326" t="s">
        <v>184</v>
      </c>
      <c r="F161" s="343">
        <v>2</v>
      </c>
      <c r="G161" s="67">
        <v>16000000</v>
      </c>
      <c r="H161" s="100">
        <f t="shared" si="0"/>
        <v>32000000</v>
      </c>
      <c r="I161" s="68"/>
    </row>
    <row r="162" spans="1:9" ht="15.95" customHeight="1">
      <c r="A162" s="518"/>
      <c r="B162" s="99"/>
      <c r="C162" s="66" t="s">
        <v>588</v>
      </c>
      <c r="D162" s="66" t="s">
        <v>589</v>
      </c>
      <c r="E162" s="326" t="s">
        <v>184</v>
      </c>
      <c r="F162" s="343">
        <v>2</v>
      </c>
      <c r="G162" s="67">
        <v>110000</v>
      </c>
      <c r="H162" s="100">
        <f t="shared" si="0"/>
        <v>220000</v>
      </c>
      <c r="I162" s="68"/>
    </row>
    <row r="163" spans="1:9" ht="15.95" customHeight="1">
      <c r="A163" s="518"/>
      <c r="B163" s="99"/>
      <c r="C163" s="66" t="s">
        <v>590</v>
      </c>
      <c r="D163" s="66" t="s">
        <v>591</v>
      </c>
      <c r="E163" s="326" t="s">
        <v>184</v>
      </c>
      <c r="F163" s="343">
        <v>2</v>
      </c>
      <c r="G163" s="67">
        <v>150000</v>
      </c>
      <c r="H163" s="100">
        <f t="shared" si="0"/>
        <v>300000</v>
      </c>
      <c r="I163" s="68"/>
    </row>
    <row r="164" spans="1:9" ht="15.95" customHeight="1">
      <c r="A164" s="518"/>
      <c r="B164" s="99"/>
      <c r="C164" s="66" t="s">
        <v>441</v>
      </c>
      <c r="D164" s="66" t="s">
        <v>592</v>
      </c>
      <c r="E164" s="326" t="s">
        <v>186</v>
      </c>
      <c r="F164" s="343">
        <v>2</v>
      </c>
      <c r="G164" s="67">
        <v>150000</v>
      </c>
      <c r="H164" s="100">
        <f t="shared" si="0"/>
        <v>300000</v>
      </c>
      <c r="I164" s="68"/>
    </row>
    <row r="165" spans="1:9" ht="15.95" customHeight="1">
      <c r="A165" s="518"/>
      <c r="B165" s="99"/>
      <c r="C165" s="66" t="s">
        <v>197</v>
      </c>
      <c r="D165" s="66" t="s">
        <v>516</v>
      </c>
      <c r="E165" s="326" t="s">
        <v>186</v>
      </c>
      <c r="F165" s="343">
        <v>2</v>
      </c>
      <c r="G165" s="67">
        <v>150000</v>
      </c>
      <c r="H165" s="100">
        <f t="shared" si="0"/>
        <v>300000</v>
      </c>
      <c r="I165" s="68"/>
    </row>
    <row r="166" spans="1:9" ht="15.95" customHeight="1">
      <c r="A166" s="518"/>
      <c r="B166" s="99"/>
      <c r="C166" s="66" t="s">
        <v>235</v>
      </c>
      <c r="D166" s="66"/>
      <c r="E166" s="326" t="s">
        <v>209</v>
      </c>
      <c r="F166" s="343">
        <v>1</v>
      </c>
      <c r="G166" s="67">
        <v>1707000</v>
      </c>
      <c r="H166" s="100">
        <f t="shared" si="0"/>
        <v>1707000</v>
      </c>
      <c r="I166" s="68"/>
    </row>
    <row r="167" spans="1:9" ht="15.95" customHeight="1">
      <c r="A167" s="518"/>
      <c r="B167" s="99" t="s">
        <v>593</v>
      </c>
      <c r="C167" s="66" t="s">
        <v>601</v>
      </c>
      <c r="D167" s="66" t="s">
        <v>599</v>
      </c>
      <c r="E167" s="326" t="s">
        <v>186</v>
      </c>
      <c r="F167" s="343">
        <v>1</v>
      </c>
      <c r="G167" s="67"/>
      <c r="H167" s="100">
        <f t="shared" si="0"/>
        <v>0</v>
      </c>
      <c r="I167" s="68" t="s">
        <v>600</v>
      </c>
    </row>
    <row r="168" spans="1:9" ht="15.95" customHeight="1">
      <c r="A168" s="518"/>
      <c r="B168" s="99"/>
      <c r="C168" s="66" t="s">
        <v>235</v>
      </c>
      <c r="D168" s="66"/>
      <c r="E168" s="326" t="s">
        <v>209</v>
      </c>
      <c r="F168" s="343">
        <v>1</v>
      </c>
      <c r="G168" s="67">
        <v>283000</v>
      </c>
      <c r="H168" s="100">
        <f t="shared" si="0"/>
        <v>283000</v>
      </c>
      <c r="I168" s="68"/>
    </row>
    <row r="169" spans="1:9" ht="15.95" customHeight="1">
      <c r="A169" s="518"/>
      <c r="B169" s="99" t="s">
        <v>603</v>
      </c>
      <c r="C169" s="66" t="s">
        <v>604</v>
      </c>
      <c r="D169" s="66" t="s">
        <v>605</v>
      </c>
      <c r="E169" s="326" t="s">
        <v>184</v>
      </c>
      <c r="F169" s="343">
        <v>4</v>
      </c>
      <c r="G169" s="67">
        <v>320000</v>
      </c>
      <c r="H169" s="100">
        <f t="shared" si="0"/>
        <v>1280000</v>
      </c>
      <c r="I169" s="68"/>
    </row>
    <row r="170" spans="1:9" ht="15.95" customHeight="1">
      <c r="A170" s="518"/>
      <c r="B170" s="99" t="s">
        <v>602</v>
      </c>
      <c r="C170" s="66" t="s">
        <v>197</v>
      </c>
      <c r="D170" s="66" t="s">
        <v>606</v>
      </c>
      <c r="E170" s="326" t="s">
        <v>186</v>
      </c>
      <c r="F170" s="343">
        <v>5</v>
      </c>
      <c r="G170" s="67">
        <v>120000</v>
      </c>
      <c r="H170" s="100">
        <f t="shared" si="0"/>
        <v>600000</v>
      </c>
      <c r="I170" s="68"/>
    </row>
    <row r="171" spans="1:9" ht="15.95" customHeight="1">
      <c r="A171" s="518"/>
      <c r="B171" s="99"/>
      <c r="C171" s="66" t="s">
        <v>235</v>
      </c>
      <c r="D171" s="66"/>
      <c r="E171" s="326" t="s">
        <v>209</v>
      </c>
      <c r="F171" s="343">
        <v>1</v>
      </c>
      <c r="G171" s="67">
        <v>239000</v>
      </c>
      <c r="H171" s="100">
        <f t="shared" si="0"/>
        <v>239000</v>
      </c>
      <c r="I171" s="68"/>
    </row>
    <row r="172" spans="1:9" ht="15.95" customHeight="1">
      <c r="A172" s="518"/>
      <c r="B172" s="99" t="s">
        <v>611</v>
      </c>
      <c r="C172" s="66" t="s">
        <v>441</v>
      </c>
      <c r="D172" s="66"/>
      <c r="E172" s="326" t="s">
        <v>209</v>
      </c>
      <c r="F172" s="343">
        <v>1</v>
      </c>
      <c r="G172" s="67">
        <v>200000</v>
      </c>
      <c r="H172" s="100">
        <f t="shared" si="0"/>
        <v>200000</v>
      </c>
      <c r="I172" s="68"/>
    </row>
    <row r="173" spans="1:9" ht="15.95" customHeight="1">
      <c r="A173" s="518"/>
      <c r="B173" s="99"/>
      <c r="C173" s="66" t="s">
        <v>235</v>
      </c>
      <c r="D173" s="66"/>
      <c r="E173" s="326" t="s">
        <v>209</v>
      </c>
      <c r="F173" s="343">
        <v>1</v>
      </c>
      <c r="G173" s="67">
        <v>172000</v>
      </c>
      <c r="H173" s="100">
        <f t="shared" si="0"/>
        <v>172000</v>
      </c>
      <c r="I173" s="68"/>
    </row>
    <row r="174" spans="1:9" ht="15.95" customHeight="1">
      <c r="A174" s="518"/>
      <c r="B174" s="99" t="s">
        <v>623</v>
      </c>
      <c r="C174" s="66" t="s">
        <v>405</v>
      </c>
      <c r="D174" s="66" t="s">
        <v>406</v>
      </c>
      <c r="E174" s="326" t="s">
        <v>186</v>
      </c>
      <c r="F174" s="343">
        <v>4</v>
      </c>
      <c r="G174" s="67">
        <v>3900000</v>
      </c>
      <c r="H174" s="100">
        <f t="shared" si="0"/>
        <v>15600000</v>
      </c>
      <c r="I174" s="68"/>
    </row>
    <row r="175" spans="1:9" ht="15.95" customHeight="1">
      <c r="A175" s="518"/>
      <c r="B175" s="99" t="s">
        <v>622</v>
      </c>
      <c r="C175" s="66" t="s">
        <v>378</v>
      </c>
      <c r="D175" s="66" t="s">
        <v>379</v>
      </c>
      <c r="E175" s="326" t="s">
        <v>186</v>
      </c>
      <c r="F175" s="343">
        <v>4</v>
      </c>
      <c r="G175" s="67">
        <v>350000</v>
      </c>
      <c r="H175" s="100">
        <f t="shared" si="0"/>
        <v>1400000</v>
      </c>
      <c r="I175" s="68"/>
    </row>
    <row r="176" spans="1:9" ht="15.95" customHeight="1">
      <c r="A176" s="518"/>
      <c r="B176" s="99"/>
      <c r="C176" s="66" t="s">
        <v>210</v>
      </c>
      <c r="D176" s="66" t="s">
        <v>624</v>
      </c>
      <c r="E176" s="326" t="s">
        <v>184</v>
      </c>
      <c r="F176" s="343">
        <v>120</v>
      </c>
      <c r="G176" s="67">
        <v>80000</v>
      </c>
      <c r="H176" s="100">
        <f t="shared" si="0"/>
        <v>9600000</v>
      </c>
      <c r="I176" s="68"/>
    </row>
    <row r="177" spans="1:9" ht="15.75" customHeight="1">
      <c r="A177" s="518"/>
      <c r="B177" s="99"/>
      <c r="C177" s="66" t="s">
        <v>390</v>
      </c>
      <c r="D177" s="66" t="s">
        <v>237</v>
      </c>
      <c r="E177" s="66" t="s">
        <v>184</v>
      </c>
      <c r="F177" s="67">
        <v>20</v>
      </c>
      <c r="G177" s="67">
        <v>180000</v>
      </c>
      <c r="H177" s="100">
        <f t="shared" si="0"/>
        <v>3600000</v>
      </c>
      <c r="I177" s="68"/>
    </row>
    <row r="178" spans="1:9" ht="15.95" customHeight="1">
      <c r="A178" s="518"/>
      <c r="B178" s="99"/>
      <c r="C178" s="66" t="s">
        <v>625</v>
      </c>
      <c r="D178" s="66" t="s">
        <v>626</v>
      </c>
      <c r="E178" s="66" t="s">
        <v>186</v>
      </c>
      <c r="F178" s="67">
        <v>2</v>
      </c>
      <c r="G178" s="67">
        <v>550000</v>
      </c>
      <c r="H178" s="100">
        <f t="shared" si="0"/>
        <v>1100000</v>
      </c>
      <c r="I178" s="68"/>
    </row>
    <row r="179" spans="1:9" ht="15.95" customHeight="1">
      <c r="A179" s="518"/>
      <c r="B179" s="99"/>
      <c r="C179" s="66" t="s">
        <v>453</v>
      </c>
      <c r="D179" s="66" t="s">
        <v>627</v>
      </c>
      <c r="E179" s="66" t="s">
        <v>186</v>
      </c>
      <c r="F179" s="67">
        <v>2</v>
      </c>
      <c r="G179" s="67">
        <v>4500000</v>
      </c>
      <c r="H179" s="100">
        <f t="shared" si="0"/>
        <v>9000000</v>
      </c>
      <c r="I179" s="68"/>
    </row>
    <row r="180" spans="1:9" ht="15.95" customHeight="1">
      <c r="A180" s="518"/>
      <c r="B180" s="99"/>
      <c r="C180" s="66" t="s">
        <v>403</v>
      </c>
      <c r="D180" s="66" t="s">
        <v>404</v>
      </c>
      <c r="E180" s="66" t="s">
        <v>186</v>
      </c>
      <c r="F180" s="67">
        <v>2</v>
      </c>
      <c r="G180" s="67">
        <v>280000</v>
      </c>
      <c r="H180" s="100">
        <f t="shared" si="0"/>
        <v>560000</v>
      </c>
      <c r="I180" s="68"/>
    </row>
    <row r="181" spans="1:9" ht="15.95" customHeight="1">
      <c r="A181" s="518"/>
      <c r="B181" s="99"/>
      <c r="C181" s="66" t="s">
        <v>628</v>
      </c>
      <c r="D181" s="66" t="s">
        <v>629</v>
      </c>
      <c r="E181" s="66" t="s">
        <v>186</v>
      </c>
      <c r="F181" s="67">
        <v>1</v>
      </c>
      <c r="G181" s="67">
        <v>10000000</v>
      </c>
      <c r="H181" s="100">
        <f t="shared" si="0"/>
        <v>10000000</v>
      </c>
      <c r="I181" s="68"/>
    </row>
    <row r="182" spans="1:9" ht="15.95" customHeight="1">
      <c r="A182" s="518"/>
      <c r="B182" s="99"/>
      <c r="C182" s="66" t="s">
        <v>235</v>
      </c>
      <c r="D182" s="66"/>
      <c r="E182" s="66" t="s">
        <v>209</v>
      </c>
      <c r="F182" s="67">
        <v>1</v>
      </c>
      <c r="G182" s="67">
        <v>2543000</v>
      </c>
      <c r="H182" s="100">
        <f t="shared" si="0"/>
        <v>2543000</v>
      </c>
      <c r="I182" s="68"/>
    </row>
    <row r="183" spans="1:9" ht="15.95" customHeight="1">
      <c r="A183" s="518"/>
      <c r="B183" s="99"/>
      <c r="C183" s="114"/>
      <c r="D183" s="114"/>
      <c r="E183" s="340"/>
      <c r="F183" s="341"/>
      <c r="G183" s="115"/>
      <c r="H183" s="105">
        <f t="shared" si="0"/>
        <v>0</v>
      </c>
      <c r="I183" s="69"/>
    </row>
    <row r="184" spans="1:9" ht="15.95" customHeight="1">
      <c r="A184" s="518"/>
      <c r="B184" s="70"/>
      <c r="C184" s="102"/>
      <c r="D184" s="92"/>
      <c r="E184" s="92"/>
      <c r="F184" s="37"/>
      <c r="G184" s="37"/>
      <c r="H184" s="27">
        <f>SUM(H109:H183)</f>
        <v>139462000</v>
      </c>
      <c r="I184" s="72"/>
    </row>
    <row r="185" spans="1:9" ht="15.95" customHeight="1">
      <c r="A185" s="518"/>
      <c r="B185" s="103" t="s">
        <v>39</v>
      </c>
      <c r="C185" s="112" t="s">
        <v>632</v>
      </c>
      <c r="D185" s="112" t="s">
        <v>633</v>
      </c>
      <c r="E185" s="346" t="s">
        <v>209</v>
      </c>
      <c r="F185" s="113">
        <v>1</v>
      </c>
      <c r="G185" s="113">
        <v>88700000</v>
      </c>
      <c r="H185" s="104">
        <f t="shared" si="0"/>
        <v>88700000</v>
      </c>
      <c r="I185" s="73"/>
    </row>
    <row r="186" spans="1:9" ht="15.95" customHeight="1">
      <c r="A186" s="518"/>
      <c r="B186" s="99" t="s">
        <v>630</v>
      </c>
      <c r="C186" s="117" t="s">
        <v>634</v>
      </c>
      <c r="D186" s="117" t="s">
        <v>635</v>
      </c>
      <c r="E186" s="336" t="s">
        <v>209</v>
      </c>
      <c r="F186" s="118">
        <v>1</v>
      </c>
      <c r="G186" s="118">
        <v>167400000</v>
      </c>
      <c r="H186" s="100">
        <f t="shared" si="0"/>
        <v>167400000</v>
      </c>
      <c r="I186" s="120"/>
    </row>
    <row r="187" spans="1:9" ht="15.95" customHeight="1">
      <c r="A187" s="518"/>
      <c r="B187" s="99" t="s">
        <v>631</v>
      </c>
      <c r="C187" s="117" t="s">
        <v>636</v>
      </c>
      <c r="D187" s="117" t="s">
        <v>637</v>
      </c>
      <c r="E187" s="336" t="s">
        <v>209</v>
      </c>
      <c r="F187" s="118">
        <v>1</v>
      </c>
      <c r="G187" s="118">
        <v>205000000</v>
      </c>
      <c r="H187" s="100">
        <f t="shared" si="0"/>
        <v>205000000</v>
      </c>
      <c r="I187" s="120"/>
    </row>
    <row r="188" spans="1:9" ht="15.95" customHeight="1">
      <c r="A188" s="518"/>
      <c r="B188" s="99"/>
      <c r="C188" s="117" t="s">
        <v>638</v>
      </c>
      <c r="D188" s="117" t="s">
        <v>639</v>
      </c>
      <c r="E188" s="336" t="s">
        <v>209</v>
      </c>
      <c r="F188" s="118">
        <v>1</v>
      </c>
      <c r="G188" s="118">
        <v>153200000</v>
      </c>
      <c r="H188" s="100">
        <f t="shared" si="0"/>
        <v>153200000</v>
      </c>
      <c r="I188" s="120"/>
    </row>
    <row r="189" spans="1:9" ht="15.95" customHeight="1">
      <c r="A189" s="518"/>
      <c r="B189" s="99"/>
      <c r="C189" s="117" t="s">
        <v>640</v>
      </c>
      <c r="D189" s="117"/>
      <c r="E189" s="336" t="s">
        <v>209</v>
      </c>
      <c r="F189" s="118">
        <v>1</v>
      </c>
      <c r="G189" s="118">
        <v>9000000</v>
      </c>
      <c r="H189" s="100">
        <f t="shared" si="0"/>
        <v>9000000</v>
      </c>
      <c r="I189" s="120"/>
    </row>
    <row r="190" spans="1:9" ht="15.95" customHeight="1">
      <c r="A190" s="518"/>
      <c r="B190" s="99"/>
      <c r="C190" s="117" t="s">
        <v>641</v>
      </c>
      <c r="D190" s="117"/>
      <c r="E190" s="336" t="s">
        <v>209</v>
      </c>
      <c r="F190" s="118">
        <v>1</v>
      </c>
      <c r="G190" s="118">
        <v>54100000</v>
      </c>
      <c r="H190" s="100">
        <f t="shared" si="0"/>
        <v>54100000</v>
      </c>
      <c r="I190" s="120"/>
    </row>
    <row r="191" spans="1:9" ht="15.95" customHeight="1">
      <c r="A191" s="518"/>
      <c r="B191" s="99"/>
      <c r="C191" s="117" t="s">
        <v>642</v>
      </c>
      <c r="D191" s="117"/>
      <c r="E191" s="336" t="s">
        <v>209</v>
      </c>
      <c r="F191" s="118">
        <v>1</v>
      </c>
      <c r="G191" s="118">
        <v>35600000</v>
      </c>
      <c r="H191" s="100">
        <f t="shared" si="0"/>
        <v>35600000</v>
      </c>
      <c r="I191" s="120"/>
    </row>
    <row r="192" spans="1:9" ht="15.95" customHeight="1">
      <c r="A192" s="518"/>
      <c r="B192" s="99" t="s">
        <v>643</v>
      </c>
      <c r="C192" s="117" t="s">
        <v>644</v>
      </c>
      <c r="D192" s="117" t="s">
        <v>645</v>
      </c>
      <c r="E192" s="336" t="s">
        <v>186</v>
      </c>
      <c r="F192" s="118">
        <v>1</v>
      </c>
      <c r="G192" s="118">
        <v>32000000</v>
      </c>
      <c r="H192" s="100">
        <f t="shared" si="0"/>
        <v>32000000</v>
      </c>
      <c r="I192" s="120"/>
    </row>
    <row r="193" spans="1:9" ht="15.95" customHeight="1">
      <c r="A193" s="518"/>
      <c r="B193" s="99" t="s">
        <v>631</v>
      </c>
      <c r="C193" s="117" t="s">
        <v>646</v>
      </c>
      <c r="D193" s="117"/>
      <c r="E193" s="336" t="s">
        <v>186</v>
      </c>
      <c r="F193" s="118">
        <v>1</v>
      </c>
      <c r="G193" s="118">
        <v>4500000</v>
      </c>
      <c r="H193" s="100">
        <f t="shared" si="0"/>
        <v>4500000</v>
      </c>
      <c r="I193" s="120"/>
    </row>
    <row r="194" spans="1:9" ht="15.95" customHeight="1">
      <c r="A194" s="518"/>
      <c r="B194" s="99"/>
      <c r="C194" s="117" t="s">
        <v>647</v>
      </c>
      <c r="D194" s="117"/>
      <c r="E194" s="336" t="s">
        <v>186</v>
      </c>
      <c r="F194" s="118">
        <v>1</v>
      </c>
      <c r="G194" s="118">
        <v>6000000</v>
      </c>
      <c r="H194" s="100">
        <f t="shared" si="0"/>
        <v>6000000</v>
      </c>
      <c r="I194" s="120"/>
    </row>
    <row r="195" spans="1:9" ht="15.95" customHeight="1">
      <c r="A195" s="518"/>
      <c r="B195" s="99"/>
      <c r="C195" s="117" t="s">
        <v>648</v>
      </c>
      <c r="D195" s="117"/>
      <c r="E195" s="336" t="s">
        <v>186</v>
      </c>
      <c r="F195" s="118">
        <v>1</v>
      </c>
      <c r="G195" s="118">
        <v>4000000</v>
      </c>
      <c r="H195" s="100">
        <f t="shared" si="0"/>
        <v>4000000</v>
      </c>
      <c r="I195" s="120"/>
    </row>
    <row r="196" spans="1:9" ht="15.95" customHeight="1">
      <c r="A196" s="518"/>
      <c r="B196" s="99"/>
      <c r="C196" s="117" t="s">
        <v>641</v>
      </c>
      <c r="D196" s="117"/>
      <c r="E196" s="336" t="s">
        <v>209</v>
      </c>
      <c r="F196" s="118">
        <v>1</v>
      </c>
      <c r="G196" s="118">
        <v>3500000</v>
      </c>
      <c r="H196" s="100">
        <f t="shared" si="0"/>
        <v>3500000</v>
      </c>
      <c r="I196" s="120"/>
    </row>
    <row r="197" spans="1:9" ht="15.95" customHeight="1">
      <c r="A197" s="518"/>
      <c r="B197" s="99"/>
      <c r="C197" s="117" t="s">
        <v>642</v>
      </c>
      <c r="D197" s="117"/>
      <c r="E197" s="336" t="s">
        <v>209</v>
      </c>
      <c r="F197" s="118">
        <v>1</v>
      </c>
      <c r="G197" s="118">
        <v>28650000</v>
      </c>
      <c r="H197" s="100">
        <f t="shared" si="0"/>
        <v>28650000</v>
      </c>
      <c r="I197" s="120"/>
    </row>
    <row r="198" spans="1:9" ht="15.95" customHeight="1">
      <c r="A198" s="518"/>
      <c r="B198" s="99" t="s">
        <v>649</v>
      </c>
      <c r="C198" s="117" t="s">
        <v>636</v>
      </c>
      <c r="D198" s="117" t="s">
        <v>650</v>
      </c>
      <c r="E198" s="336" t="s">
        <v>209</v>
      </c>
      <c r="F198" s="118">
        <v>1</v>
      </c>
      <c r="G198" s="118">
        <v>154500000</v>
      </c>
      <c r="H198" s="100">
        <f t="shared" si="0"/>
        <v>154500000</v>
      </c>
      <c r="I198" s="120"/>
    </row>
    <row r="199" spans="1:9" ht="15.95" customHeight="1">
      <c r="A199" s="518"/>
      <c r="B199" s="99" t="s">
        <v>631</v>
      </c>
      <c r="C199" s="117" t="s">
        <v>651</v>
      </c>
      <c r="D199" s="117"/>
      <c r="E199" s="336" t="s">
        <v>209</v>
      </c>
      <c r="F199" s="118">
        <v>1</v>
      </c>
      <c r="G199" s="118">
        <v>55400000</v>
      </c>
      <c r="H199" s="100">
        <f t="shared" si="0"/>
        <v>55400000</v>
      </c>
      <c r="I199" s="120"/>
    </row>
    <row r="200" spans="1:9" ht="15.95" customHeight="1">
      <c r="A200" s="518"/>
      <c r="B200" s="99"/>
      <c r="C200" s="117" t="s">
        <v>640</v>
      </c>
      <c r="D200" s="117"/>
      <c r="E200" s="336" t="s">
        <v>209</v>
      </c>
      <c r="F200" s="118">
        <v>1</v>
      </c>
      <c r="G200" s="118">
        <v>800000</v>
      </c>
      <c r="H200" s="100">
        <f t="shared" si="0"/>
        <v>800000</v>
      </c>
      <c r="I200" s="120"/>
    </row>
    <row r="201" spans="1:9" ht="15.95" customHeight="1">
      <c r="A201" s="518"/>
      <c r="B201" s="99"/>
      <c r="C201" s="384" t="s">
        <v>652</v>
      </c>
      <c r="D201" s="383"/>
      <c r="E201" s="336" t="s">
        <v>209</v>
      </c>
      <c r="F201" s="118">
        <v>1</v>
      </c>
      <c r="G201" s="118">
        <v>59100000</v>
      </c>
      <c r="H201" s="100">
        <f t="shared" si="0"/>
        <v>59100000</v>
      </c>
      <c r="I201" s="120"/>
    </row>
    <row r="202" spans="1:9" ht="15.95" customHeight="1">
      <c r="A202" s="518"/>
      <c r="B202" s="99"/>
      <c r="C202" s="117"/>
      <c r="D202" s="117"/>
      <c r="E202" s="336"/>
      <c r="F202" s="118"/>
      <c r="G202" s="118"/>
      <c r="H202" s="100">
        <f t="shared" si="0"/>
        <v>0</v>
      </c>
      <c r="I202" s="120"/>
    </row>
    <row r="203" spans="1:9" ht="15.95" customHeight="1">
      <c r="A203" s="518"/>
      <c r="B203" s="99"/>
      <c r="C203" s="117"/>
      <c r="D203" s="117"/>
      <c r="E203" s="336"/>
      <c r="F203" s="118"/>
      <c r="G203" s="118"/>
      <c r="H203" s="100">
        <f t="shared" si="0"/>
        <v>0</v>
      </c>
      <c r="I203" s="120"/>
    </row>
    <row r="204" spans="1:9" ht="15.95" customHeight="1">
      <c r="A204" s="518"/>
      <c r="B204" s="99"/>
      <c r="C204" s="114"/>
      <c r="D204" s="114"/>
      <c r="E204" s="340"/>
      <c r="F204" s="115"/>
      <c r="G204" s="115"/>
      <c r="H204" s="105">
        <f t="shared" si="0"/>
        <v>0</v>
      </c>
      <c r="I204" s="69"/>
    </row>
    <row r="205" spans="1:9" ht="15.95" customHeight="1">
      <c r="A205" s="518"/>
      <c r="B205" s="70"/>
      <c r="C205" s="102"/>
      <c r="D205" s="92"/>
      <c r="E205" s="92"/>
      <c r="F205" s="37"/>
      <c r="G205" s="37"/>
      <c r="H205" s="27">
        <f>SUM(H185:H204)</f>
        <v>1061450000</v>
      </c>
      <c r="I205" s="72"/>
    </row>
    <row r="206" spans="1:9" ht="15.95" customHeight="1">
      <c r="A206" s="74"/>
      <c r="B206" s="97" t="s">
        <v>42</v>
      </c>
      <c r="C206" s="71"/>
      <c r="D206" s="72"/>
      <c r="E206" s="72"/>
      <c r="F206" s="52"/>
      <c r="G206" s="52"/>
      <c r="H206" s="27">
        <f>SUM(H205,H184,H108,H102)</f>
        <v>1249028000</v>
      </c>
      <c r="I206" s="72"/>
    </row>
    <row r="207" spans="1:9" ht="15.95" customHeight="1">
      <c r="A207" s="519" t="s">
        <v>72</v>
      </c>
      <c r="B207" s="137" t="s">
        <v>70</v>
      </c>
      <c r="C207" s="71"/>
      <c r="D207" s="75"/>
      <c r="E207" s="106" t="s">
        <v>51</v>
      </c>
      <c r="F207" s="342"/>
      <c r="G207" s="116"/>
      <c r="H207" s="49">
        <f>F207*G207</f>
        <v>0</v>
      </c>
      <c r="I207" s="72"/>
    </row>
    <row r="208" spans="1:9" ht="15.95" customHeight="1">
      <c r="A208" s="518"/>
      <c r="B208" s="138" t="s">
        <v>109</v>
      </c>
      <c r="C208" s="141"/>
      <c r="D208" s="76"/>
      <c r="E208" s="107" t="s">
        <v>50</v>
      </c>
      <c r="F208" s="337">
        <v>27</v>
      </c>
      <c r="G208" s="113">
        <v>300000</v>
      </c>
      <c r="H208" s="104">
        <f t="shared" ref="H208:H214" si="1">F208*G208</f>
        <v>8100000</v>
      </c>
      <c r="I208" s="73"/>
    </row>
    <row r="209" spans="1:9" ht="15.95" customHeight="1">
      <c r="A209" s="518"/>
      <c r="B209" s="170" t="s">
        <v>110</v>
      </c>
      <c r="C209" s="142"/>
      <c r="D209" s="77"/>
      <c r="E209" s="108" t="s">
        <v>50</v>
      </c>
      <c r="F209" s="343">
        <v>80</v>
      </c>
      <c r="G209" s="67">
        <v>300000</v>
      </c>
      <c r="H209" s="100">
        <f t="shared" si="1"/>
        <v>24000000</v>
      </c>
      <c r="I209" s="68"/>
    </row>
    <row r="210" spans="1:9" ht="15.95" customHeight="1">
      <c r="A210" s="518"/>
      <c r="B210" s="139" t="s">
        <v>111</v>
      </c>
      <c r="C210" s="142"/>
      <c r="D210" s="77"/>
      <c r="E210" s="108" t="s">
        <v>50</v>
      </c>
      <c r="F210" s="343">
        <v>70</v>
      </c>
      <c r="G210" s="67">
        <v>300000</v>
      </c>
      <c r="H210" s="100">
        <f t="shared" si="1"/>
        <v>21000000</v>
      </c>
      <c r="I210" s="68"/>
    </row>
    <row r="211" spans="1:9" ht="15.95" customHeight="1">
      <c r="A211" s="518"/>
      <c r="B211" s="139" t="s">
        <v>112</v>
      </c>
      <c r="C211" s="142"/>
      <c r="D211" s="77"/>
      <c r="E211" s="108" t="s">
        <v>50</v>
      </c>
      <c r="F211" s="343">
        <v>10</v>
      </c>
      <c r="G211" s="67">
        <v>300000</v>
      </c>
      <c r="H211" s="100">
        <f t="shared" si="1"/>
        <v>3000000</v>
      </c>
      <c r="I211" s="68"/>
    </row>
    <row r="212" spans="1:9" ht="15.95" customHeight="1">
      <c r="A212" s="518"/>
      <c r="B212" s="139" t="s">
        <v>113</v>
      </c>
      <c r="C212" s="142"/>
      <c r="D212" s="77"/>
      <c r="E212" s="108" t="s">
        <v>50</v>
      </c>
      <c r="F212" s="343">
        <v>35</v>
      </c>
      <c r="G212" s="67">
        <v>300000</v>
      </c>
      <c r="H212" s="100">
        <f t="shared" si="1"/>
        <v>10500000</v>
      </c>
      <c r="I212" s="68"/>
    </row>
    <row r="213" spans="1:9" ht="15.95" customHeight="1">
      <c r="A213" s="518"/>
      <c r="B213" s="139" t="s">
        <v>114</v>
      </c>
      <c r="C213" s="142" t="s">
        <v>670</v>
      </c>
      <c r="D213" s="77"/>
      <c r="E213" s="108" t="s">
        <v>50</v>
      </c>
      <c r="F213" s="343">
        <v>70</v>
      </c>
      <c r="G213" s="67">
        <v>500000</v>
      </c>
      <c r="H213" s="100">
        <f t="shared" si="1"/>
        <v>35000000</v>
      </c>
      <c r="I213" s="68"/>
    </row>
    <row r="214" spans="1:9" ht="15.95" customHeight="1">
      <c r="A214" s="518"/>
      <c r="B214" s="140" t="s">
        <v>115</v>
      </c>
      <c r="C214" s="143"/>
      <c r="D214" s="78"/>
      <c r="E214" s="109" t="s">
        <v>50</v>
      </c>
      <c r="F214" s="341">
        <v>1</v>
      </c>
      <c r="G214" s="115">
        <v>8100000</v>
      </c>
      <c r="H214" s="105">
        <f t="shared" si="1"/>
        <v>8100000</v>
      </c>
      <c r="I214" s="69"/>
    </row>
    <row r="215" spans="1:9" ht="15.95" customHeight="1">
      <c r="A215" s="74"/>
      <c r="B215" s="96" t="s">
        <v>41</v>
      </c>
      <c r="C215" s="71"/>
      <c r="D215" s="72"/>
      <c r="E215" s="72"/>
      <c r="F215" s="37"/>
      <c r="G215" s="37"/>
      <c r="H215" s="37">
        <f>SUM(H207:H214)</f>
        <v>109700000</v>
      </c>
      <c r="I215" s="92"/>
    </row>
    <row r="216" spans="1:9" ht="15.95" customHeight="1">
      <c r="A216" s="48"/>
      <c r="B216" s="96" t="s">
        <v>171</v>
      </c>
      <c r="C216" s="71"/>
      <c r="D216" s="72"/>
      <c r="E216" s="72"/>
      <c r="F216" s="27"/>
      <c r="G216" s="27"/>
      <c r="H216" s="52">
        <f>'단위공사별(집계)'!L8+'단위공사별(집계)'!I8</f>
        <v>27239421.979848765</v>
      </c>
      <c r="I216" s="72"/>
    </row>
    <row r="217" spans="1:9" ht="15.95" customHeight="1">
      <c r="A217" s="48"/>
      <c r="B217" s="96" t="s">
        <v>25</v>
      </c>
      <c r="C217" s="71"/>
      <c r="D217" s="72"/>
      <c r="E217" s="72" t="s">
        <v>182</v>
      </c>
      <c r="F217" s="27">
        <v>3</v>
      </c>
      <c r="G217" s="51"/>
      <c r="H217" s="116">
        <f>SUM(H206+H215)*0.03</f>
        <v>40761840</v>
      </c>
      <c r="I217" s="71"/>
    </row>
    <row r="218" spans="1:9" ht="15.95" customHeight="1">
      <c r="A218" s="48"/>
      <c r="B218" s="96" t="s">
        <v>151</v>
      </c>
      <c r="C218" s="71"/>
      <c r="D218" s="72"/>
      <c r="E218" s="72" t="s">
        <v>182</v>
      </c>
      <c r="F218" s="27">
        <v>12</v>
      </c>
      <c r="G218" s="51"/>
      <c r="H218" s="116">
        <f>SUM(H206+H215)*0.12</f>
        <v>163047360</v>
      </c>
      <c r="I218" s="71"/>
    </row>
    <row r="219" spans="1:9" ht="15.95" customHeight="1">
      <c r="A219" s="48"/>
      <c r="B219" s="96" t="s">
        <v>152</v>
      </c>
      <c r="C219" s="71"/>
      <c r="D219" s="72"/>
      <c r="E219" s="72"/>
      <c r="F219" s="27"/>
      <c r="G219" s="27"/>
      <c r="H219" s="37">
        <f>H206+H215+H216+H217+H218</f>
        <v>1589776621.9798489</v>
      </c>
      <c r="I219" s="72"/>
    </row>
    <row r="220" spans="1:9">
      <c r="A220" s="26"/>
    </row>
  </sheetData>
  <mergeCells count="3">
    <mergeCell ref="A2:B2"/>
    <mergeCell ref="A207:A214"/>
    <mergeCell ref="A3:A20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00B050"/>
    <pageSetUpPr fitToPage="1"/>
  </sheetPr>
  <dimension ref="A1:I56"/>
  <sheetViews>
    <sheetView zoomScale="85" workbookViewId="0">
      <pane xSplit="2" ySplit="2" topLeftCell="C24" activePane="bottomRight" state="frozen"/>
      <selection activeCell="B69" sqref="B69"/>
      <selection pane="topRight" activeCell="B69" sqref="B69"/>
      <selection pane="bottomLeft" activeCell="B69" sqref="B69"/>
      <selection pane="bottomRight" activeCell="N40" sqref="N40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 t="s">
        <v>669</v>
      </c>
      <c r="D1" s="61"/>
      <c r="E1" s="61"/>
      <c r="F1" s="62"/>
      <c r="G1" s="63"/>
      <c r="I1" s="25" t="s">
        <v>83</v>
      </c>
    </row>
    <row r="2" spans="1:9" s="26" customFormat="1" ht="16.5" customHeight="1">
      <c r="A2" s="438" t="s">
        <v>31</v>
      </c>
      <c r="B2" s="513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6" t="s">
        <v>82</v>
      </c>
      <c r="B3" s="99" t="s">
        <v>37</v>
      </c>
      <c r="C3" s="318"/>
      <c r="D3" s="318"/>
      <c r="E3" s="326"/>
      <c r="F3" s="329"/>
      <c r="G3" s="330"/>
      <c r="H3" s="104">
        <f>IF(F3=0,G3,G3*F3)</f>
        <v>0</v>
      </c>
      <c r="I3" s="73"/>
    </row>
    <row r="4" spans="1:9" ht="15.95" customHeight="1">
      <c r="A4" s="518"/>
      <c r="B4" s="99"/>
      <c r="C4" s="331"/>
      <c r="D4" s="345"/>
      <c r="E4" s="326"/>
      <c r="F4" s="332"/>
      <c r="G4" s="328"/>
      <c r="H4" s="100">
        <f>IF(F4=0,G4,G4*F4)</f>
        <v>0</v>
      </c>
      <c r="I4" s="68"/>
    </row>
    <row r="5" spans="1:9" ht="15.95" customHeight="1">
      <c r="A5" s="518"/>
      <c r="B5" s="99"/>
      <c r="C5" s="318"/>
      <c r="D5" s="318"/>
      <c r="E5" s="326"/>
      <c r="F5" s="329"/>
      <c r="G5" s="330"/>
      <c r="H5" s="100">
        <f t="shared" ref="H5:H40" si="0">IF(F5=0,G5,G5*F5)</f>
        <v>0</v>
      </c>
      <c r="I5" s="68"/>
    </row>
    <row r="6" spans="1:9" ht="15.95" customHeight="1">
      <c r="A6" s="518"/>
      <c r="B6" s="99"/>
      <c r="C6" s="66"/>
      <c r="D6" s="66"/>
      <c r="E6" s="326"/>
      <c r="F6" s="67"/>
      <c r="G6" s="67"/>
      <c r="H6" s="100">
        <f t="shared" si="0"/>
        <v>0</v>
      </c>
      <c r="I6" s="68"/>
    </row>
    <row r="7" spans="1:9" ht="15.95" customHeight="1">
      <c r="A7" s="518"/>
      <c r="B7" s="99"/>
      <c r="C7" s="66"/>
      <c r="D7" s="66"/>
      <c r="E7" s="326"/>
      <c r="F7" s="67"/>
      <c r="G7" s="67"/>
      <c r="H7" s="100">
        <f t="shared" si="0"/>
        <v>0</v>
      </c>
      <c r="I7" s="68"/>
    </row>
    <row r="8" spans="1:9" ht="15.95" customHeight="1">
      <c r="A8" s="518"/>
      <c r="B8" s="99"/>
      <c r="C8" s="66"/>
      <c r="D8" s="66"/>
      <c r="E8" s="326"/>
      <c r="F8" s="328"/>
      <c r="G8" s="67"/>
      <c r="H8" s="100">
        <f t="shared" si="0"/>
        <v>0</v>
      </c>
      <c r="I8" s="68"/>
    </row>
    <row r="9" spans="1:9" ht="15.95" customHeight="1">
      <c r="A9" s="518"/>
      <c r="B9" s="99"/>
      <c r="C9" s="66"/>
      <c r="D9" s="66"/>
      <c r="E9" s="326"/>
      <c r="F9" s="328"/>
      <c r="G9" s="67"/>
      <c r="H9" s="100">
        <f t="shared" si="0"/>
        <v>0</v>
      </c>
      <c r="I9" s="68"/>
    </row>
    <row r="10" spans="1:9" ht="15.95" customHeight="1">
      <c r="A10" s="518"/>
      <c r="B10" s="99"/>
      <c r="C10" s="114"/>
      <c r="D10" s="276"/>
      <c r="E10" s="333"/>
      <c r="F10" s="277"/>
      <c r="G10" s="277"/>
      <c r="H10" s="278">
        <f t="shared" si="0"/>
        <v>0</v>
      </c>
      <c r="I10" s="279"/>
    </row>
    <row r="11" spans="1:9" ht="15.95" customHeight="1">
      <c r="A11" s="518"/>
      <c r="B11" s="70"/>
      <c r="C11" s="282"/>
      <c r="D11" s="282"/>
      <c r="E11" s="282"/>
      <c r="F11" s="283"/>
      <c r="G11" s="283"/>
      <c r="H11" s="284">
        <f>SUM(H3:H10)</f>
        <v>0</v>
      </c>
      <c r="I11" s="282"/>
    </row>
    <row r="12" spans="1:9" ht="15.95" customHeight="1">
      <c r="A12" s="518"/>
      <c r="B12" s="99" t="s">
        <v>160</v>
      </c>
      <c r="C12" s="117"/>
      <c r="D12" s="117"/>
      <c r="E12" s="117"/>
      <c r="F12" s="118"/>
      <c r="G12" s="118"/>
      <c r="H12" s="119">
        <f t="shared" si="0"/>
        <v>0</v>
      </c>
      <c r="I12" s="120"/>
    </row>
    <row r="13" spans="1:9" ht="15.95" customHeight="1">
      <c r="A13" s="518"/>
      <c r="B13" s="99" t="s">
        <v>161</v>
      </c>
      <c r="C13" s="66"/>
      <c r="D13" s="66"/>
      <c r="E13" s="66"/>
      <c r="F13" s="67"/>
      <c r="G13" s="67"/>
      <c r="H13" s="100">
        <f t="shared" si="0"/>
        <v>0</v>
      </c>
      <c r="I13" s="68"/>
    </row>
    <row r="14" spans="1:9" ht="15.95" customHeight="1">
      <c r="A14" s="518"/>
      <c r="B14" s="99"/>
      <c r="C14" s="66"/>
      <c r="D14" s="66"/>
      <c r="E14" s="66"/>
      <c r="F14" s="67"/>
      <c r="G14" s="67"/>
      <c r="H14" s="100">
        <f t="shared" si="0"/>
        <v>0</v>
      </c>
      <c r="I14" s="68"/>
    </row>
    <row r="15" spans="1:9" ht="15.95" customHeight="1">
      <c r="A15" s="518"/>
      <c r="B15" s="99"/>
      <c r="C15" s="66"/>
      <c r="D15" s="66"/>
      <c r="E15" s="66"/>
      <c r="F15" s="67"/>
      <c r="G15" s="67"/>
      <c r="H15" s="100">
        <f t="shared" si="0"/>
        <v>0</v>
      </c>
      <c r="I15" s="68"/>
    </row>
    <row r="16" spans="1:9" ht="15.95" customHeight="1">
      <c r="A16" s="518"/>
      <c r="B16" s="99"/>
      <c r="C16" s="114"/>
      <c r="D16" s="114"/>
      <c r="E16" s="114"/>
      <c r="F16" s="115"/>
      <c r="G16" s="115"/>
      <c r="H16" s="100">
        <f t="shared" si="0"/>
        <v>0</v>
      </c>
      <c r="I16" s="69"/>
    </row>
    <row r="17" spans="1:9" ht="15.95" customHeight="1">
      <c r="A17" s="518"/>
      <c r="B17" s="70"/>
      <c r="C17" s="102"/>
      <c r="D17" s="92"/>
      <c r="E17" s="92"/>
      <c r="F17" s="148"/>
      <c r="G17" s="37"/>
      <c r="H17" s="27">
        <f>SUM(H12:H16)</f>
        <v>0</v>
      </c>
      <c r="I17" s="72"/>
    </row>
    <row r="18" spans="1:9" ht="15.95" customHeight="1">
      <c r="A18" s="518"/>
      <c r="B18" s="103" t="s">
        <v>38</v>
      </c>
      <c r="C18" s="331"/>
      <c r="D18" s="335"/>
      <c r="E18" s="336"/>
      <c r="F18" s="337"/>
      <c r="G18" s="330"/>
      <c r="H18" s="104">
        <f t="shared" si="0"/>
        <v>0</v>
      </c>
      <c r="I18" s="73"/>
    </row>
    <row r="19" spans="1:9" ht="15.95" customHeight="1">
      <c r="A19" s="518"/>
      <c r="B19" s="99" t="s">
        <v>45</v>
      </c>
      <c r="C19" s="331"/>
      <c r="D19" s="335"/>
      <c r="E19" s="336"/>
      <c r="F19" s="337"/>
      <c r="G19" s="330"/>
      <c r="H19" s="100">
        <f t="shared" si="0"/>
        <v>0</v>
      </c>
      <c r="I19" s="68"/>
    </row>
    <row r="20" spans="1:9" ht="15.95" customHeight="1">
      <c r="A20" s="518"/>
      <c r="B20" s="99"/>
      <c r="C20" s="331"/>
      <c r="D20" s="318"/>
      <c r="E20" s="326"/>
      <c r="F20" s="338"/>
      <c r="G20" s="339"/>
      <c r="H20" s="100">
        <f t="shared" si="0"/>
        <v>0</v>
      </c>
      <c r="I20" s="68"/>
    </row>
    <row r="21" spans="1:9" ht="15.95" customHeight="1">
      <c r="A21" s="518"/>
      <c r="B21" s="99"/>
      <c r="C21" s="331"/>
      <c r="D21" s="345"/>
      <c r="E21" s="326"/>
      <c r="F21" s="338"/>
      <c r="G21" s="339"/>
      <c r="H21" s="100">
        <f t="shared" si="0"/>
        <v>0</v>
      </c>
      <c r="I21" s="68"/>
    </row>
    <row r="22" spans="1:9" ht="15.95" customHeight="1">
      <c r="A22" s="518"/>
      <c r="B22" s="99"/>
      <c r="C22" s="66"/>
      <c r="D22" s="66"/>
      <c r="E22" s="326"/>
      <c r="F22" s="67"/>
      <c r="G22" s="67"/>
      <c r="H22" s="100">
        <f t="shared" si="0"/>
        <v>0</v>
      </c>
      <c r="I22" s="68"/>
    </row>
    <row r="23" spans="1:9" ht="15.95" customHeight="1">
      <c r="A23" s="518"/>
      <c r="B23" s="99"/>
      <c r="C23" s="66"/>
      <c r="D23" s="66"/>
      <c r="E23" s="66"/>
      <c r="F23" s="67"/>
      <c r="G23" s="67"/>
      <c r="H23" s="100">
        <f t="shared" si="0"/>
        <v>0</v>
      </c>
      <c r="I23" s="68"/>
    </row>
    <row r="24" spans="1:9" ht="15.95" customHeight="1">
      <c r="A24" s="518"/>
      <c r="B24" s="99"/>
      <c r="C24" s="114"/>
      <c r="D24" s="114"/>
      <c r="E24" s="340"/>
      <c r="F24" s="341"/>
      <c r="G24" s="115"/>
      <c r="H24" s="105">
        <f t="shared" si="0"/>
        <v>0</v>
      </c>
      <c r="I24" s="69"/>
    </row>
    <row r="25" spans="1:9" ht="15.95" customHeight="1">
      <c r="A25" s="518"/>
      <c r="B25" s="70"/>
      <c r="C25" s="102"/>
      <c r="D25" s="92"/>
      <c r="E25" s="92"/>
      <c r="F25" s="37"/>
      <c r="G25" s="37"/>
      <c r="H25" s="27">
        <f>SUM(H18:H24)</f>
        <v>0</v>
      </c>
      <c r="I25" s="72"/>
    </row>
    <row r="26" spans="1:9" ht="15.95" customHeight="1">
      <c r="A26" s="518"/>
      <c r="B26" s="103" t="s">
        <v>2</v>
      </c>
      <c r="C26" s="117" t="s">
        <v>653</v>
      </c>
      <c r="D26" s="117" t="s">
        <v>654</v>
      </c>
      <c r="E26" s="336" t="s">
        <v>213</v>
      </c>
      <c r="F26" s="118">
        <v>5</v>
      </c>
      <c r="G26" s="118">
        <v>1500000</v>
      </c>
      <c r="H26" s="100">
        <f t="shared" si="0"/>
        <v>7500000</v>
      </c>
      <c r="I26" s="120"/>
    </row>
    <row r="27" spans="1:9" ht="15.95" customHeight="1">
      <c r="A27" s="518"/>
      <c r="B27" s="99"/>
      <c r="C27" s="117" t="s">
        <v>655</v>
      </c>
      <c r="D27" s="117" t="s">
        <v>656</v>
      </c>
      <c r="E27" s="336" t="s">
        <v>213</v>
      </c>
      <c r="F27" s="118">
        <v>4</v>
      </c>
      <c r="G27" s="118">
        <v>1500000</v>
      </c>
      <c r="H27" s="100">
        <f t="shared" si="0"/>
        <v>6000000</v>
      </c>
      <c r="I27" s="120"/>
    </row>
    <row r="28" spans="1:9" ht="15.95" customHeight="1">
      <c r="A28" s="518"/>
      <c r="B28" s="99"/>
      <c r="C28" s="117" t="s">
        <v>657</v>
      </c>
      <c r="D28" s="117" t="s">
        <v>658</v>
      </c>
      <c r="E28" s="336" t="s">
        <v>213</v>
      </c>
      <c r="F28" s="118">
        <v>3</v>
      </c>
      <c r="G28" s="118">
        <v>1500000</v>
      </c>
      <c r="H28" s="100">
        <f t="shared" si="0"/>
        <v>4500000</v>
      </c>
      <c r="I28" s="120"/>
    </row>
    <row r="29" spans="1:9" ht="15.95" customHeight="1">
      <c r="A29" s="518"/>
      <c r="B29" s="99"/>
      <c r="C29" s="117" t="s">
        <v>659</v>
      </c>
      <c r="D29" s="117" t="s">
        <v>656</v>
      </c>
      <c r="E29" s="336" t="s">
        <v>213</v>
      </c>
      <c r="F29" s="118">
        <v>4</v>
      </c>
      <c r="G29" s="118">
        <v>1500000</v>
      </c>
      <c r="H29" s="100">
        <f t="shared" si="0"/>
        <v>6000000</v>
      </c>
      <c r="I29" s="120"/>
    </row>
    <row r="30" spans="1:9" ht="15.95" customHeight="1">
      <c r="A30" s="518"/>
      <c r="B30" s="99"/>
      <c r="C30" s="117" t="s">
        <v>660</v>
      </c>
      <c r="D30" s="117" t="s">
        <v>661</v>
      </c>
      <c r="E30" s="336" t="s">
        <v>50</v>
      </c>
      <c r="F30" s="118">
        <v>80</v>
      </c>
      <c r="G30" s="118">
        <v>300000</v>
      </c>
      <c r="H30" s="100">
        <f t="shared" si="0"/>
        <v>24000000</v>
      </c>
      <c r="I30" s="120"/>
    </row>
    <row r="31" spans="1:9" ht="15.95" customHeight="1">
      <c r="A31" s="518"/>
      <c r="B31" s="99"/>
      <c r="C31" s="117" t="s">
        <v>662</v>
      </c>
      <c r="D31" s="117" t="s">
        <v>663</v>
      </c>
      <c r="E31" s="336" t="s">
        <v>50</v>
      </c>
      <c r="F31" s="118">
        <v>47</v>
      </c>
      <c r="G31" s="118">
        <v>300000</v>
      </c>
      <c r="H31" s="100">
        <f t="shared" si="0"/>
        <v>14100000</v>
      </c>
      <c r="I31" s="120"/>
    </row>
    <row r="32" spans="1:9" ht="15.95" customHeight="1">
      <c r="A32" s="518"/>
      <c r="B32" s="99"/>
      <c r="C32" s="117" t="s">
        <v>664</v>
      </c>
      <c r="D32" s="117" t="s">
        <v>665</v>
      </c>
      <c r="E32" s="336" t="s">
        <v>50</v>
      </c>
      <c r="F32" s="118">
        <v>42</v>
      </c>
      <c r="G32" s="118">
        <v>300000</v>
      </c>
      <c r="H32" s="100">
        <f t="shared" si="0"/>
        <v>12600000</v>
      </c>
      <c r="I32" s="120"/>
    </row>
    <row r="33" spans="1:9" ht="15.95" customHeight="1">
      <c r="A33" s="518"/>
      <c r="B33" s="99"/>
      <c r="C33" s="117" t="s">
        <v>666</v>
      </c>
      <c r="D33" s="117" t="s">
        <v>663</v>
      </c>
      <c r="E33" s="336" t="s">
        <v>50</v>
      </c>
      <c r="F33" s="118">
        <v>47</v>
      </c>
      <c r="G33" s="118">
        <v>300000</v>
      </c>
      <c r="H33" s="100">
        <f t="shared" si="0"/>
        <v>14100000</v>
      </c>
      <c r="I33" s="120"/>
    </row>
    <row r="34" spans="1:9" ht="15.95" customHeight="1">
      <c r="A34" s="518"/>
      <c r="B34" s="99"/>
      <c r="C34" s="117" t="s">
        <v>667</v>
      </c>
      <c r="D34" s="117"/>
      <c r="E34" s="336" t="s">
        <v>209</v>
      </c>
      <c r="F34" s="118">
        <v>1</v>
      </c>
      <c r="G34" s="118">
        <v>8000000</v>
      </c>
      <c r="H34" s="100">
        <f t="shared" si="0"/>
        <v>8000000</v>
      </c>
      <c r="I34" s="120"/>
    </row>
    <row r="35" spans="1:9" ht="15.95" customHeight="1">
      <c r="A35" s="518"/>
      <c r="B35" s="99"/>
      <c r="C35" s="66" t="s">
        <v>668</v>
      </c>
      <c r="D35" s="66"/>
      <c r="E35" s="326" t="s">
        <v>209</v>
      </c>
      <c r="F35" s="67">
        <v>1</v>
      </c>
      <c r="G35" s="67">
        <v>6000000</v>
      </c>
      <c r="H35" s="100">
        <f t="shared" si="0"/>
        <v>6000000</v>
      </c>
      <c r="I35" s="68"/>
    </row>
    <row r="36" spans="1:9" ht="15.95" customHeight="1">
      <c r="A36" s="518"/>
      <c r="B36" s="99"/>
      <c r="C36" s="66"/>
      <c r="D36" s="66"/>
      <c r="E36" s="326"/>
      <c r="F36" s="67"/>
      <c r="G36" s="67"/>
      <c r="H36" s="100">
        <f t="shared" si="0"/>
        <v>0</v>
      </c>
      <c r="I36" s="68"/>
    </row>
    <row r="37" spans="1:9" ht="15.95" customHeight="1">
      <c r="A37" s="518"/>
      <c r="B37" s="99"/>
      <c r="C37" s="66"/>
      <c r="D37" s="66"/>
      <c r="E37" s="326"/>
      <c r="F37" s="67"/>
      <c r="G37" s="67"/>
      <c r="H37" s="100">
        <f t="shared" si="0"/>
        <v>0</v>
      </c>
      <c r="I37" s="68"/>
    </row>
    <row r="38" spans="1:9" ht="15.95" customHeight="1">
      <c r="A38" s="518"/>
      <c r="B38" s="99"/>
      <c r="C38" s="66"/>
      <c r="D38" s="66"/>
      <c r="E38" s="326"/>
      <c r="F38" s="67"/>
      <c r="G38" s="67"/>
      <c r="H38" s="100">
        <f t="shared" si="0"/>
        <v>0</v>
      </c>
      <c r="I38" s="68"/>
    </row>
    <row r="39" spans="1:9" ht="15.95" customHeight="1">
      <c r="A39" s="518"/>
      <c r="B39" s="99"/>
      <c r="C39" s="66"/>
      <c r="D39" s="66"/>
      <c r="E39" s="326"/>
      <c r="F39" s="67"/>
      <c r="G39" s="67"/>
      <c r="H39" s="100">
        <f t="shared" si="0"/>
        <v>0</v>
      </c>
      <c r="I39" s="68"/>
    </row>
    <row r="40" spans="1:9" ht="15.95" customHeight="1">
      <c r="A40" s="518"/>
      <c r="B40" s="99"/>
      <c r="C40" s="114"/>
      <c r="D40" s="114"/>
      <c r="E40" s="340"/>
      <c r="F40" s="115"/>
      <c r="G40" s="115"/>
      <c r="H40" s="105">
        <f t="shared" si="0"/>
        <v>0</v>
      </c>
      <c r="I40" s="69"/>
    </row>
    <row r="41" spans="1:9" ht="15.95" customHeight="1">
      <c r="A41" s="518"/>
      <c r="B41" s="70"/>
      <c r="C41" s="102"/>
      <c r="D41" s="92"/>
      <c r="E41" s="92"/>
      <c r="F41" s="37"/>
      <c r="G41" s="37"/>
      <c r="H41" s="27">
        <f>SUM(H26:H40)</f>
        <v>102800000</v>
      </c>
      <c r="I41" s="72"/>
    </row>
    <row r="42" spans="1:9" ht="15.95" customHeight="1">
      <c r="A42" s="74"/>
      <c r="B42" s="97" t="s">
        <v>42</v>
      </c>
      <c r="C42" s="71"/>
      <c r="D42" s="72"/>
      <c r="E42" s="72"/>
      <c r="F42" s="52"/>
      <c r="G42" s="52"/>
      <c r="H42" s="27">
        <f>SUM(H41,H25,H17,H11)</f>
        <v>102800000</v>
      </c>
      <c r="I42" s="72"/>
    </row>
    <row r="43" spans="1:9" ht="15.95" customHeight="1">
      <c r="A43" s="519" t="s">
        <v>72</v>
      </c>
      <c r="B43" s="137" t="s">
        <v>70</v>
      </c>
      <c r="C43" s="71"/>
      <c r="D43" s="75"/>
      <c r="E43" s="106" t="s">
        <v>51</v>
      </c>
      <c r="F43" s="342"/>
      <c r="G43" s="116"/>
      <c r="H43" s="49">
        <f>F43*G43</f>
        <v>0</v>
      </c>
      <c r="I43" s="72"/>
    </row>
    <row r="44" spans="1:9" ht="15.95" customHeight="1">
      <c r="A44" s="518"/>
      <c r="B44" s="138" t="s">
        <v>109</v>
      </c>
      <c r="C44" s="141"/>
      <c r="D44" s="76"/>
      <c r="E44" s="107" t="s">
        <v>50</v>
      </c>
      <c r="F44" s="337"/>
      <c r="G44" s="113"/>
      <c r="H44" s="104">
        <f t="shared" ref="H44:H50" si="1">F44*G44</f>
        <v>0</v>
      </c>
      <c r="I44" s="73"/>
    </row>
    <row r="45" spans="1:9" ht="15.95" customHeight="1">
      <c r="A45" s="518"/>
      <c r="B45" s="170" t="s">
        <v>110</v>
      </c>
      <c r="C45" s="142"/>
      <c r="D45" s="77"/>
      <c r="E45" s="108" t="s">
        <v>50</v>
      </c>
      <c r="F45" s="343"/>
      <c r="G45" s="67"/>
      <c r="H45" s="100">
        <f t="shared" si="1"/>
        <v>0</v>
      </c>
      <c r="I45" s="68"/>
    </row>
    <row r="46" spans="1:9" ht="15.95" customHeight="1">
      <c r="A46" s="518"/>
      <c r="B46" s="139" t="s">
        <v>111</v>
      </c>
      <c r="C46" s="142"/>
      <c r="D46" s="77"/>
      <c r="E46" s="108" t="s">
        <v>50</v>
      </c>
      <c r="F46" s="343"/>
      <c r="G46" s="67"/>
      <c r="H46" s="100">
        <f t="shared" si="1"/>
        <v>0</v>
      </c>
      <c r="I46" s="68"/>
    </row>
    <row r="47" spans="1:9" ht="15.95" customHeight="1">
      <c r="A47" s="518"/>
      <c r="B47" s="139" t="s">
        <v>112</v>
      </c>
      <c r="C47" s="142"/>
      <c r="D47" s="77"/>
      <c r="E47" s="108" t="s">
        <v>50</v>
      </c>
      <c r="F47" s="343"/>
      <c r="G47" s="67"/>
      <c r="H47" s="100">
        <f t="shared" si="1"/>
        <v>0</v>
      </c>
      <c r="I47" s="68"/>
    </row>
    <row r="48" spans="1:9" ht="15.95" customHeight="1">
      <c r="A48" s="518"/>
      <c r="B48" s="139" t="s">
        <v>113</v>
      </c>
      <c r="C48" s="142" t="s">
        <v>198</v>
      </c>
      <c r="D48" s="77"/>
      <c r="E48" s="108" t="s">
        <v>50</v>
      </c>
      <c r="F48" s="343">
        <v>10</v>
      </c>
      <c r="G48" s="67">
        <v>500000</v>
      </c>
      <c r="H48" s="100">
        <f t="shared" si="1"/>
        <v>5000000</v>
      </c>
      <c r="I48" s="68"/>
    </row>
    <row r="49" spans="1:9" ht="15.95" customHeight="1">
      <c r="A49" s="518"/>
      <c r="B49" s="139" t="s">
        <v>114</v>
      </c>
      <c r="C49" s="142" t="s">
        <v>198</v>
      </c>
      <c r="D49" s="77"/>
      <c r="E49" s="108" t="s">
        <v>50</v>
      </c>
      <c r="F49" s="343">
        <v>10</v>
      </c>
      <c r="G49" s="67">
        <v>500000</v>
      </c>
      <c r="H49" s="100">
        <f t="shared" si="1"/>
        <v>5000000</v>
      </c>
      <c r="I49" s="68"/>
    </row>
    <row r="50" spans="1:9" ht="15.95" customHeight="1">
      <c r="A50" s="518"/>
      <c r="B50" s="140" t="s">
        <v>115</v>
      </c>
      <c r="C50" s="143"/>
      <c r="D50" s="78"/>
      <c r="E50" s="109" t="s">
        <v>50</v>
      </c>
      <c r="F50" s="341"/>
      <c r="G50" s="115"/>
      <c r="H50" s="105">
        <f t="shared" si="1"/>
        <v>0</v>
      </c>
      <c r="I50" s="69"/>
    </row>
    <row r="51" spans="1:9" ht="15.95" customHeight="1">
      <c r="A51" s="74"/>
      <c r="B51" s="96" t="s">
        <v>41</v>
      </c>
      <c r="C51" s="71"/>
      <c r="D51" s="72"/>
      <c r="E51" s="72"/>
      <c r="F51" s="37"/>
      <c r="G51" s="37"/>
      <c r="H51" s="37">
        <f>SUM(H43:H50)</f>
        <v>10000000</v>
      </c>
      <c r="I51" s="92"/>
    </row>
    <row r="52" spans="1:9" ht="15.95" customHeight="1">
      <c r="A52" s="48"/>
      <c r="B52" s="96" t="s">
        <v>171</v>
      </c>
      <c r="C52" s="71"/>
      <c r="D52" s="72"/>
      <c r="E52" s="72"/>
      <c r="F52" s="27"/>
      <c r="G52" s="27"/>
      <c r="H52" s="52">
        <f>'단위공사별(집계)'!L9+'단위공사별(집계)'!I9</f>
        <v>2261384.7652561371</v>
      </c>
      <c r="I52" s="72"/>
    </row>
    <row r="53" spans="1:9" ht="15.95" customHeight="1">
      <c r="A53" s="48"/>
      <c r="B53" s="96" t="s">
        <v>25</v>
      </c>
      <c r="C53" s="71"/>
      <c r="D53" s="72"/>
      <c r="E53" s="72" t="s">
        <v>182</v>
      </c>
      <c r="F53" s="27">
        <v>3</v>
      </c>
      <c r="G53" s="51"/>
      <c r="H53" s="116">
        <f>SUM(H42+H51)*0.03</f>
        <v>3384000</v>
      </c>
      <c r="I53" s="71"/>
    </row>
    <row r="54" spans="1:9" ht="15.95" customHeight="1">
      <c r="A54" s="48"/>
      <c r="B54" s="96" t="s">
        <v>151</v>
      </c>
      <c r="C54" s="71"/>
      <c r="D54" s="72"/>
      <c r="E54" s="72" t="s">
        <v>182</v>
      </c>
      <c r="F54" s="27">
        <v>12</v>
      </c>
      <c r="G54" s="51"/>
      <c r="H54" s="116">
        <f>SUM(H42+H51)*0.12</f>
        <v>13536000</v>
      </c>
      <c r="I54" s="71"/>
    </row>
    <row r="55" spans="1:9" ht="15.95" customHeight="1">
      <c r="A55" s="48"/>
      <c r="B55" s="96" t="s">
        <v>152</v>
      </c>
      <c r="C55" s="71"/>
      <c r="D55" s="72"/>
      <c r="E55" s="72"/>
      <c r="F55" s="27"/>
      <c r="G55" s="27"/>
      <c r="H55" s="37">
        <f>H42+H51+H52+H53+H54</f>
        <v>131981384.76525614</v>
      </c>
      <c r="I55" s="72"/>
    </row>
    <row r="56" spans="1:9">
      <c r="A56" s="26"/>
    </row>
  </sheetData>
  <mergeCells count="3">
    <mergeCell ref="A2:B2"/>
    <mergeCell ref="A43:A50"/>
    <mergeCell ref="A3:A4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00B050"/>
    <pageSetUpPr fitToPage="1"/>
  </sheetPr>
  <dimension ref="A1:I68"/>
  <sheetViews>
    <sheetView zoomScale="82" zoomScaleNormal="82" workbookViewId="0">
      <pane xSplit="2" ySplit="2" topLeftCell="C39" activePane="bottomRight" state="frozen"/>
      <selection activeCell="B69" sqref="B69"/>
      <selection pane="topRight" activeCell="B69" sqref="B69"/>
      <selection pane="bottomLeft" activeCell="B69" sqref="B69"/>
      <selection pane="bottomRight" activeCell="O60" sqref="O60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438" t="s">
        <v>31</v>
      </c>
      <c r="B2" s="513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6" t="s">
        <v>82</v>
      </c>
      <c r="B3" s="99" t="s">
        <v>37</v>
      </c>
      <c r="C3" s="318"/>
      <c r="D3" s="318"/>
      <c r="E3" s="329"/>
      <c r="F3" s="329"/>
      <c r="G3" s="330"/>
      <c r="H3" s="104">
        <f>IF(F3=0,G3,G3*F3)</f>
        <v>0</v>
      </c>
      <c r="I3" s="73"/>
    </row>
    <row r="4" spans="1:9" ht="15.95" customHeight="1">
      <c r="A4" s="518"/>
      <c r="B4" s="99"/>
      <c r="C4" s="331"/>
      <c r="D4" s="345"/>
      <c r="E4" s="332"/>
      <c r="F4" s="332"/>
      <c r="G4" s="328"/>
      <c r="H4" s="100">
        <f>IF(F4=0,G4,G4*F4)</f>
        <v>0</v>
      </c>
      <c r="I4" s="68"/>
    </row>
    <row r="5" spans="1:9" ht="15.95" customHeight="1">
      <c r="A5" s="518"/>
      <c r="B5" s="99"/>
      <c r="C5" s="66"/>
      <c r="D5" s="66"/>
      <c r="E5" s="67"/>
      <c r="F5" s="67"/>
      <c r="G5" s="67"/>
      <c r="H5" s="100">
        <f t="shared" ref="H5:H52" si="0">IF(F5=0,G5,G5*F5)</f>
        <v>0</v>
      </c>
      <c r="I5" s="68"/>
    </row>
    <row r="6" spans="1:9" ht="15.95" customHeight="1">
      <c r="A6" s="518"/>
      <c r="B6" s="99"/>
      <c r="C6" s="331"/>
      <c r="D6" s="345"/>
      <c r="E6" s="332"/>
      <c r="F6" s="332"/>
      <c r="G6" s="328"/>
      <c r="H6" s="100">
        <f t="shared" si="0"/>
        <v>0</v>
      </c>
      <c r="I6" s="68"/>
    </row>
    <row r="7" spans="1:9" ht="15.95" customHeight="1">
      <c r="A7" s="518"/>
      <c r="B7" s="99"/>
      <c r="C7" s="331"/>
      <c r="D7" s="331"/>
      <c r="E7" s="329"/>
      <c r="F7" s="329"/>
      <c r="G7" s="328"/>
      <c r="H7" s="100">
        <f t="shared" si="0"/>
        <v>0</v>
      </c>
      <c r="I7" s="68"/>
    </row>
    <row r="8" spans="1:9" ht="15.95" customHeight="1">
      <c r="A8" s="518"/>
      <c r="B8" s="99"/>
      <c r="C8" s="66"/>
      <c r="D8" s="66"/>
      <c r="E8" s="67"/>
      <c r="F8" s="67"/>
      <c r="G8" s="67"/>
      <c r="H8" s="100">
        <f t="shared" si="0"/>
        <v>0</v>
      </c>
      <c r="I8" s="68"/>
    </row>
    <row r="9" spans="1:9" ht="15.95" customHeight="1">
      <c r="A9" s="518"/>
      <c r="B9" s="99"/>
      <c r="C9" s="66"/>
      <c r="D9" s="66"/>
      <c r="E9" s="67"/>
      <c r="F9" s="67"/>
      <c r="G9" s="67"/>
      <c r="H9" s="100">
        <f t="shared" si="0"/>
        <v>0</v>
      </c>
      <c r="I9" s="68"/>
    </row>
    <row r="10" spans="1:9" ht="15.95" customHeight="1">
      <c r="A10" s="518"/>
      <c r="B10" s="99"/>
      <c r="C10" s="66"/>
      <c r="D10" s="66"/>
      <c r="E10" s="67"/>
      <c r="F10" s="67"/>
      <c r="G10" s="67"/>
      <c r="H10" s="100">
        <f t="shared" si="0"/>
        <v>0</v>
      </c>
      <c r="I10" s="68"/>
    </row>
    <row r="11" spans="1:9" ht="15.95" customHeight="1">
      <c r="A11" s="518"/>
      <c r="B11" s="99"/>
      <c r="C11" s="66"/>
      <c r="D11" s="66"/>
      <c r="E11" s="67"/>
      <c r="F11" s="67"/>
      <c r="G11" s="67"/>
      <c r="H11" s="100">
        <f t="shared" si="0"/>
        <v>0</v>
      </c>
      <c r="I11" s="68"/>
    </row>
    <row r="12" spans="1:9" ht="15.95" customHeight="1">
      <c r="A12" s="518"/>
      <c r="B12" s="99"/>
      <c r="C12" s="66"/>
      <c r="D12" s="66"/>
      <c r="E12" s="67"/>
      <c r="F12" s="67"/>
      <c r="G12" s="67"/>
      <c r="H12" s="100">
        <f t="shared" si="0"/>
        <v>0</v>
      </c>
      <c r="I12" s="68"/>
    </row>
    <row r="13" spans="1:9" ht="15.95" customHeight="1">
      <c r="A13" s="518"/>
      <c r="B13" s="99"/>
      <c r="C13" s="66"/>
      <c r="D13" s="66"/>
      <c r="E13" s="67"/>
      <c r="F13" s="67"/>
      <c r="G13" s="67"/>
      <c r="H13" s="100">
        <f t="shared" si="0"/>
        <v>0</v>
      </c>
      <c r="I13" s="68"/>
    </row>
    <row r="14" spans="1:9" ht="15.95" customHeight="1">
      <c r="A14" s="518"/>
      <c r="B14" s="99"/>
      <c r="C14" s="66"/>
      <c r="D14" s="66"/>
      <c r="E14" s="67"/>
      <c r="F14" s="67"/>
      <c r="G14" s="67"/>
      <c r="H14" s="100">
        <f t="shared" si="0"/>
        <v>0</v>
      </c>
      <c r="I14" s="68"/>
    </row>
    <row r="15" spans="1:9" ht="15.95" customHeight="1">
      <c r="A15" s="518"/>
      <c r="B15" s="99"/>
      <c r="C15" s="66"/>
      <c r="D15" s="66"/>
      <c r="E15" s="67"/>
      <c r="F15" s="67"/>
      <c r="G15" s="67"/>
      <c r="H15" s="100">
        <f t="shared" si="0"/>
        <v>0</v>
      </c>
      <c r="I15" s="68"/>
    </row>
    <row r="16" spans="1:9" ht="15.95" customHeight="1">
      <c r="A16" s="518"/>
      <c r="B16" s="99"/>
      <c r="C16" s="66"/>
      <c r="D16" s="66"/>
      <c r="E16" s="67"/>
      <c r="F16" s="67"/>
      <c r="G16" s="67"/>
      <c r="H16" s="100">
        <f t="shared" si="0"/>
        <v>0</v>
      </c>
      <c r="I16" s="68"/>
    </row>
    <row r="17" spans="1:9" ht="15.95" customHeight="1">
      <c r="A17" s="518"/>
      <c r="B17" s="99"/>
      <c r="C17" s="66"/>
      <c r="D17" s="66"/>
      <c r="E17" s="67"/>
      <c r="F17" s="67"/>
      <c r="G17" s="67"/>
      <c r="H17" s="100">
        <f t="shared" si="0"/>
        <v>0</v>
      </c>
      <c r="I17" s="68"/>
    </row>
    <row r="18" spans="1:9" ht="15.95" customHeight="1">
      <c r="A18" s="518"/>
      <c r="B18" s="99"/>
      <c r="C18" s="66"/>
      <c r="D18" s="66"/>
      <c r="E18" s="326"/>
      <c r="F18" s="343"/>
      <c r="G18" s="67"/>
      <c r="H18" s="100">
        <f t="shared" si="0"/>
        <v>0</v>
      </c>
      <c r="I18" s="68"/>
    </row>
    <row r="19" spans="1:9" ht="15.95" customHeight="1">
      <c r="A19" s="518"/>
      <c r="B19" s="99"/>
      <c r="C19" s="117"/>
      <c r="D19" s="117"/>
      <c r="E19" s="336"/>
      <c r="F19" s="337"/>
      <c r="G19" s="118"/>
      <c r="H19" s="100">
        <f t="shared" si="0"/>
        <v>0</v>
      </c>
      <c r="I19" s="68"/>
    </row>
    <row r="20" spans="1:9" ht="15.95" customHeight="1">
      <c r="A20" s="518"/>
      <c r="B20" s="99"/>
      <c r="C20" s="66"/>
      <c r="D20" s="66"/>
      <c r="E20" s="326"/>
      <c r="F20" s="343"/>
      <c r="G20" s="67"/>
      <c r="H20" s="100">
        <f t="shared" si="0"/>
        <v>0</v>
      </c>
      <c r="I20" s="68"/>
    </row>
    <row r="21" spans="1:9" ht="15.95" customHeight="1">
      <c r="A21" s="518"/>
      <c r="B21" s="99"/>
      <c r="C21" s="114"/>
      <c r="D21" s="276"/>
      <c r="E21" s="333"/>
      <c r="F21" s="277"/>
      <c r="G21" s="277"/>
      <c r="H21" s="278">
        <f t="shared" si="0"/>
        <v>0</v>
      </c>
      <c r="I21" s="279"/>
    </row>
    <row r="22" spans="1:9" ht="15.95" customHeight="1">
      <c r="A22" s="518"/>
      <c r="B22" s="70"/>
      <c r="C22" s="282"/>
      <c r="D22" s="282"/>
      <c r="E22" s="348"/>
      <c r="F22" s="349"/>
      <c r="G22" s="283"/>
      <c r="H22" s="284">
        <f>SUM(H3:H21)</f>
        <v>0</v>
      </c>
      <c r="I22" s="282"/>
    </row>
    <row r="23" spans="1:9" ht="15.95" customHeight="1">
      <c r="A23" s="518"/>
      <c r="B23" s="99" t="s">
        <v>160</v>
      </c>
      <c r="C23" s="117"/>
      <c r="D23" s="117"/>
      <c r="E23" s="117"/>
      <c r="F23" s="118"/>
      <c r="G23" s="118"/>
      <c r="H23" s="119">
        <f t="shared" si="0"/>
        <v>0</v>
      </c>
      <c r="I23" s="120"/>
    </row>
    <row r="24" spans="1:9" ht="15.95" customHeight="1">
      <c r="A24" s="518"/>
      <c r="B24" s="99" t="s">
        <v>161</v>
      </c>
      <c r="C24" s="66"/>
      <c r="D24" s="66"/>
      <c r="E24" s="66"/>
      <c r="F24" s="67"/>
      <c r="G24" s="67"/>
      <c r="H24" s="100">
        <f t="shared" si="0"/>
        <v>0</v>
      </c>
      <c r="I24" s="68"/>
    </row>
    <row r="25" spans="1:9" ht="15.95" customHeight="1">
      <c r="A25" s="518"/>
      <c r="B25" s="99"/>
      <c r="C25" s="66"/>
      <c r="D25" s="66"/>
      <c r="E25" s="66"/>
      <c r="F25" s="67"/>
      <c r="G25" s="67"/>
      <c r="H25" s="100">
        <f t="shared" si="0"/>
        <v>0</v>
      </c>
      <c r="I25" s="68"/>
    </row>
    <row r="26" spans="1:9" ht="15.95" customHeight="1">
      <c r="A26" s="518"/>
      <c r="B26" s="99"/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8"/>
      <c r="B27" s="99"/>
      <c r="C27" s="114"/>
      <c r="D27" s="114"/>
      <c r="E27" s="114"/>
      <c r="F27" s="115"/>
      <c r="G27" s="115"/>
      <c r="H27" s="100">
        <f t="shared" si="0"/>
        <v>0</v>
      </c>
      <c r="I27" s="69"/>
    </row>
    <row r="28" spans="1:9" ht="15.95" customHeight="1">
      <c r="A28" s="518"/>
      <c r="B28" s="70"/>
      <c r="C28" s="102"/>
      <c r="D28" s="92"/>
      <c r="E28" s="92"/>
      <c r="F28" s="148"/>
      <c r="G28" s="37"/>
      <c r="H28" s="27">
        <f>SUM(H23:H27)</f>
        <v>0</v>
      </c>
      <c r="I28" s="72"/>
    </row>
    <row r="29" spans="1:9" ht="15.95" customHeight="1">
      <c r="A29" s="518"/>
      <c r="B29" s="103" t="s">
        <v>38</v>
      </c>
      <c r="C29" s="66"/>
      <c r="D29" s="66"/>
      <c r="E29" s="67"/>
      <c r="F29" s="67"/>
      <c r="G29" s="67"/>
      <c r="H29" s="104">
        <f t="shared" si="0"/>
        <v>0</v>
      </c>
      <c r="I29" s="73"/>
    </row>
    <row r="30" spans="1:9" ht="15.95" customHeight="1">
      <c r="A30" s="518"/>
      <c r="B30" s="99" t="s">
        <v>45</v>
      </c>
      <c r="C30" s="66"/>
      <c r="D30" s="66"/>
      <c r="E30" s="67"/>
      <c r="F30" s="67"/>
      <c r="G30" s="67"/>
      <c r="H30" s="100">
        <f t="shared" si="0"/>
        <v>0</v>
      </c>
      <c r="I30" s="68"/>
    </row>
    <row r="31" spans="1:9" ht="15.95" customHeight="1">
      <c r="A31" s="518"/>
      <c r="B31" s="99"/>
      <c r="C31" s="66"/>
      <c r="D31" s="66"/>
      <c r="E31" s="67"/>
      <c r="F31" s="67"/>
      <c r="G31" s="67"/>
      <c r="H31" s="100">
        <f t="shared" si="0"/>
        <v>0</v>
      </c>
      <c r="I31" s="68"/>
    </row>
    <row r="32" spans="1:9" ht="15.95" customHeight="1">
      <c r="A32" s="518"/>
      <c r="B32" s="99"/>
      <c r="C32" s="318"/>
      <c r="D32" s="318"/>
      <c r="E32" s="329"/>
      <c r="F32" s="329"/>
      <c r="G32" s="330"/>
      <c r="H32" s="100">
        <f t="shared" si="0"/>
        <v>0</v>
      </c>
      <c r="I32" s="68"/>
    </row>
    <row r="33" spans="1:9" ht="15.95" customHeight="1">
      <c r="A33" s="518"/>
      <c r="B33" s="99"/>
      <c r="C33" s="66"/>
      <c r="D33" s="66"/>
      <c r="E33" s="67"/>
      <c r="F33" s="67"/>
      <c r="G33" s="67"/>
      <c r="H33" s="100">
        <f t="shared" si="0"/>
        <v>0</v>
      </c>
      <c r="I33" s="68"/>
    </row>
    <row r="34" spans="1:9" ht="15.95" customHeight="1">
      <c r="A34" s="518"/>
      <c r="B34" s="99"/>
      <c r="C34" s="66"/>
      <c r="D34" s="66"/>
      <c r="E34" s="67"/>
      <c r="F34" s="67"/>
      <c r="G34" s="67"/>
      <c r="H34" s="100">
        <f t="shared" si="0"/>
        <v>0</v>
      </c>
      <c r="I34" s="68"/>
    </row>
    <row r="35" spans="1:9" ht="15.95" customHeight="1">
      <c r="A35" s="518"/>
      <c r="B35" s="99"/>
      <c r="C35" s="66"/>
      <c r="D35" s="66"/>
      <c r="E35" s="326"/>
      <c r="F35" s="67"/>
      <c r="G35" s="67"/>
      <c r="H35" s="100">
        <f t="shared" si="0"/>
        <v>0</v>
      </c>
      <c r="I35" s="68"/>
    </row>
    <row r="36" spans="1:9" ht="15.95" customHeight="1">
      <c r="A36" s="518"/>
      <c r="B36" s="99"/>
      <c r="C36" s="66"/>
      <c r="D36" s="66"/>
      <c r="E36" s="326"/>
      <c r="F36" s="67"/>
      <c r="G36" s="67"/>
      <c r="H36" s="100">
        <f t="shared" si="0"/>
        <v>0</v>
      </c>
      <c r="I36" s="68"/>
    </row>
    <row r="37" spans="1:9" ht="15.95" customHeight="1">
      <c r="A37" s="518"/>
      <c r="B37" s="99"/>
      <c r="C37" s="66"/>
      <c r="D37" s="66"/>
      <c r="E37" s="326"/>
      <c r="F37" s="67"/>
      <c r="G37" s="67"/>
      <c r="H37" s="100">
        <f t="shared" si="0"/>
        <v>0</v>
      </c>
      <c r="I37" s="68"/>
    </row>
    <row r="38" spans="1:9" ht="15.95" customHeight="1">
      <c r="A38" s="518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8"/>
      <c r="B39" s="99"/>
      <c r="C39" s="66"/>
      <c r="D39" s="66"/>
      <c r="E39" s="326"/>
      <c r="F39" s="343"/>
      <c r="G39" s="67"/>
      <c r="H39" s="100">
        <f t="shared" si="0"/>
        <v>0</v>
      </c>
      <c r="I39" s="68"/>
    </row>
    <row r="40" spans="1:9" ht="15.95" customHeight="1">
      <c r="A40" s="518"/>
      <c r="B40" s="99"/>
      <c r="C40" s="66"/>
      <c r="D40" s="66"/>
      <c r="E40" s="326"/>
      <c r="F40" s="343"/>
      <c r="G40" s="67"/>
      <c r="H40" s="100">
        <f t="shared" si="0"/>
        <v>0</v>
      </c>
      <c r="I40" s="68"/>
    </row>
    <row r="41" spans="1:9" ht="15.95" customHeight="1">
      <c r="A41" s="518"/>
      <c r="B41" s="99"/>
      <c r="C41" s="66"/>
      <c r="D41" s="66"/>
      <c r="E41" s="326"/>
      <c r="F41" s="343"/>
      <c r="G41" s="67"/>
      <c r="H41" s="100">
        <f t="shared" si="0"/>
        <v>0</v>
      </c>
      <c r="I41" s="68"/>
    </row>
    <row r="42" spans="1:9" ht="15.95" customHeight="1">
      <c r="A42" s="518"/>
      <c r="B42" s="99"/>
      <c r="C42" s="66"/>
      <c r="D42" s="66"/>
      <c r="E42" s="326"/>
      <c r="F42" s="343"/>
      <c r="G42" s="67"/>
      <c r="H42" s="100">
        <f t="shared" si="0"/>
        <v>0</v>
      </c>
      <c r="I42" s="68"/>
    </row>
    <row r="43" spans="1:9" ht="15.95" customHeight="1">
      <c r="A43" s="518"/>
      <c r="B43" s="99"/>
      <c r="C43" s="66"/>
      <c r="D43" s="66"/>
      <c r="E43" s="326"/>
      <c r="F43" s="343"/>
      <c r="G43" s="67"/>
      <c r="H43" s="100">
        <f t="shared" si="0"/>
        <v>0</v>
      </c>
      <c r="I43" s="68"/>
    </row>
    <row r="44" spans="1:9" ht="15.95" customHeight="1">
      <c r="A44" s="518"/>
      <c r="B44" s="99"/>
      <c r="C44" s="114"/>
      <c r="D44" s="114"/>
      <c r="E44" s="340"/>
      <c r="F44" s="341"/>
      <c r="G44" s="115"/>
      <c r="H44" s="105">
        <f t="shared" si="0"/>
        <v>0</v>
      </c>
      <c r="I44" s="69"/>
    </row>
    <row r="45" spans="1:9" ht="15.95" customHeight="1">
      <c r="A45" s="518"/>
      <c r="B45" s="70"/>
      <c r="C45" s="102"/>
      <c r="D45" s="92"/>
      <c r="E45" s="121"/>
      <c r="F45" s="350"/>
      <c r="G45" s="37"/>
      <c r="H45" s="27">
        <f>SUM(H29:H44)</f>
        <v>0</v>
      </c>
      <c r="I45" s="72"/>
    </row>
    <row r="46" spans="1:9" ht="15.95" customHeight="1">
      <c r="A46" s="518"/>
      <c r="B46" s="103" t="s">
        <v>39</v>
      </c>
      <c r="C46" s="66"/>
      <c r="D46" s="66"/>
      <c r="E46" s="67"/>
      <c r="F46" s="67"/>
      <c r="G46" s="67"/>
      <c r="H46" s="104">
        <f t="shared" si="0"/>
        <v>0</v>
      </c>
      <c r="I46" s="73"/>
    </row>
    <row r="47" spans="1:9" ht="15.95" customHeight="1">
      <c r="A47" s="518"/>
      <c r="B47" s="99"/>
      <c r="C47" s="66"/>
      <c r="D47" s="66"/>
      <c r="E47" s="67"/>
      <c r="F47" s="67"/>
      <c r="G47" s="67"/>
      <c r="H47" s="100">
        <f t="shared" si="0"/>
        <v>0</v>
      </c>
      <c r="I47" s="68"/>
    </row>
    <row r="48" spans="1:9" ht="15.95" customHeight="1">
      <c r="A48" s="518"/>
      <c r="B48" s="99"/>
      <c r="C48" s="66"/>
      <c r="D48" s="66"/>
      <c r="E48" s="326"/>
      <c r="F48" s="67"/>
      <c r="G48" s="67"/>
      <c r="H48" s="100">
        <f t="shared" si="0"/>
        <v>0</v>
      </c>
      <c r="I48" s="68"/>
    </row>
    <row r="49" spans="1:9" ht="15.95" customHeight="1">
      <c r="A49" s="518"/>
      <c r="B49" s="99"/>
      <c r="C49" s="66"/>
      <c r="D49" s="66"/>
      <c r="E49" s="326"/>
      <c r="F49" s="67"/>
      <c r="G49" s="67"/>
      <c r="H49" s="100">
        <f t="shared" si="0"/>
        <v>0</v>
      </c>
      <c r="I49" s="68"/>
    </row>
    <row r="50" spans="1:9" ht="15.95" customHeight="1">
      <c r="A50" s="518"/>
      <c r="B50" s="99"/>
      <c r="C50" s="66"/>
      <c r="D50" s="66"/>
      <c r="E50" s="326"/>
      <c r="F50" s="67"/>
      <c r="G50" s="67"/>
      <c r="H50" s="100">
        <f t="shared" si="0"/>
        <v>0</v>
      </c>
      <c r="I50" s="68"/>
    </row>
    <row r="51" spans="1:9" ht="15.95" customHeight="1">
      <c r="A51" s="518"/>
      <c r="B51" s="99"/>
      <c r="C51" s="66"/>
      <c r="D51" s="66"/>
      <c r="E51" s="326"/>
      <c r="F51" s="67"/>
      <c r="G51" s="67"/>
      <c r="H51" s="100">
        <f t="shared" si="0"/>
        <v>0</v>
      </c>
      <c r="I51" s="68"/>
    </row>
    <row r="52" spans="1:9" ht="15.95" customHeight="1">
      <c r="A52" s="518"/>
      <c r="B52" s="99"/>
      <c r="C52" s="114"/>
      <c r="D52" s="114"/>
      <c r="E52" s="340"/>
      <c r="F52" s="115"/>
      <c r="G52" s="115"/>
      <c r="H52" s="105">
        <f t="shared" si="0"/>
        <v>0</v>
      </c>
      <c r="I52" s="69"/>
    </row>
    <row r="53" spans="1:9" ht="15.95" customHeight="1">
      <c r="A53" s="518"/>
      <c r="B53" s="70"/>
      <c r="C53" s="102"/>
      <c r="D53" s="92"/>
      <c r="E53" s="92"/>
      <c r="F53" s="37"/>
      <c r="G53" s="37"/>
      <c r="H53" s="27">
        <f>SUM(H46:H52)</f>
        <v>0</v>
      </c>
      <c r="I53" s="72"/>
    </row>
    <row r="54" spans="1:9" ht="15.95" customHeight="1">
      <c r="A54" s="74"/>
      <c r="B54" s="97" t="s">
        <v>42</v>
      </c>
      <c r="C54" s="71"/>
      <c r="D54" s="72"/>
      <c r="E54" s="72"/>
      <c r="F54" s="52"/>
      <c r="G54" s="52"/>
      <c r="H54" s="27">
        <f>SUM(H53,H45,H28,H22)</f>
        <v>0</v>
      </c>
      <c r="I54" s="72"/>
    </row>
    <row r="55" spans="1:9" ht="15.95" customHeight="1">
      <c r="A55" s="519" t="s">
        <v>72</v>
      </c>
      <c r="B55" s="137" t="s">
        <v>70</v>
      </c>
      <c r="C55" s="71"/>
      <c r="D55" s="75"/>
      <c r="E55" s="106" t="s">
        <v>51</v>
      </c>
      <c r="F55" s="342"/>
      <c r="G55" s="116"/>
      <c r="H55" s="322">
        <f>SUM(F55*G55)</f>
        <v>0</v>
      </c>
      <c r="I55" s="72"/>
    </row>
    <row r="56" spans="1:9" ht="15.95" customHeight="1">
      <c r="A56" s="518"/>
      <c r="B56" s="138" t="s">
        <v>109</v>
      </c>
      <c r="C56" s="141"/>
      <c r="D56" s="76"/>
      <c r="E56" s="107" t="s">
        <v>50</v>
      </c>
      <c r="F56" s="337"/>
      <c r="G56" s="113"/>
      <c r="H56" s="323">
        <f t="shared" ref="H56:H62" si="1">SUM(F56*G56)</f>
        <v>0</v>
      </c>
      <c r="I56" s="73"/>
    </row>
    <row r="57" spans="1:9" ht="15.95" customHeight="1">
      <c r="A57" s="518"/>
      <c r="B57" s="170" t="s">
        <v>110</v>
      </c>
      <c r="C57" s="142"/>
      <c r="D57" s="77"/>
      <c r="E57" s="108" t="s">
        <v>50</v>
      </c>
      <c r="F57" s="343"/>
      <c r="G57" s="67"/>
      <c r="H57" s="324">
        <f t="shared" si="1"/>
        <v>0</v>
      </c>
      <c r="I57" s="68"/>
    </row>
    <row r="58" spans="1:9" ht="15.95" customHeight="1">
      <c r="A58" s="518"/>
      <c r="B58" s="139" t="s">
        <v>111</v>
      </c>
      <c r="C58" s="142"/>
      <c r="D58" s="77"/>
      <c r="E58" s="108" t="s">
        <v>50</v>
      </c>
      <c r="F58" s="343"/>
      <c r="G58" s="67"/>
      <c r="H58" s="324">
        <f t="shared" si="1"/>
        <v>0</v>
      </c>
      <c r="I58" s="68"/>
    </row>
    <row r="59" spans="1:9" ht="15.95" customHeight="1">
      <c r="A59" s="518"/>
      <c r="B59" s="139" t="s">
        <v>112</v>
      </c>
      <c r="C59" s="142"/>
      <c r="D59" s="77"/>
      <c r="E59" s="108" t="s">
        <v>50</v>
      </c>
      <c r="F59" s="343"/>
      <c r="G59" s="67"/>
      <c r="H59" s="324">
        <f t="shared" si="1"/>
        <v>0</v>
      </c>
      <c r="I59" s="68"/>
    </row>
    <row r="60" spans="1:9" ht="15.95" customHeight="1">
      <c r="A60" s="518"/>
      <c r="B60" s="139" t="s">
        <v>113</v>
      </c>
      <c r="C60" s="142"/>
      <c r="D60" s="77"/>
      <c r="E60" s="108" t="s">
        <v>50</v>
      </c>
      <c r="F60" s="343"/>
      <c r="G60" s="67"/>
      <c r="H60" s="324">
        <f t="shared" si="1"/>
        <v>0</v>
      </c>
      <c r="I60" s="68"/>
    </row>
    <row r="61" spans="1:9" ht="15.95" customHeight="1">
      <c r="A61" s="518"/>
      <c r="B61" s="139" t="s">
        <v>114</v>
      </c>
      <c r="C61" s="142"/>
      <c r="D61" s="77"/>
      <c r="E61" s="108" t="s">
        <v>50</v>
      </c>
      <c r="F61" s="343"/>
      <c r="G61" s="67"/>
      <c r="H61" s="324">
        <f t="shared" si="1"/>
        <v>0</v>
      </c>
      <c r="I61" s="68"/>
    </row>
    <row r="62" spans="1:9" ht="15.95" customHeight="1">
      <c r="A62" s="518"/>
      <c r="B62" s="140" t="s">
        <v>115</v>
      </c>
      <c r="C62" s="143"/>
      <c r="D62" s="78"/>
      <c r="E62" s="109" t="s">
        <v>50</v>
      </c>
      <c r="F62" s="341"/>
      <c r="G62" s="115"/>
      <c r="H62" s="325">
        <f t="shared" si="1"/>
        <v>0</v>
      </c>
      <c r="I62" s="69"/>
    </row>
    <row r="63" spans="1:9" ht="15.95" customHeight="1">
      <c r="A63" s="74"/>
      <c r="B63" s="96" t="s">
        <v>41</v>
      </c>
      <c r="C63" s="71"/>
      <c r="D63" s="72"/>
      <c r="E63" s="72"/>
      <c r="F63" s="37"/>
      <c r="G63" s="37"/>
      <c r="H63" s="37">
        <f>SUM(H55:H62)</f>
        <v>0</v>
      </c>
      <c r="I63" s="92"/>
    </row>
    <row r="64" spans="1:9" ht="15.95" customHeight="1">
      <c r="A64" s="48"/>
      <c r="B64" s="96" t="s">
        <v>171</v>
      </c>
      <c r="C64" s="71"/>
      <c r="D64" s="72"/>
      <c r="E64" s="72"/>
      <c r="F64" s="27"/>
      <c r="G64" s="27"/>
      <c r="H64" s="52">
        <f>'단위공사별(집계)'!L10+'단위공사별(집계)'!I10</f>
        <v>0</v>
      </c>
      <c r="I64" s="72"/>
    </row>
    <row r="65" spans="1:9" ht="15.95" customHeight="1">
      <c r="A65" s="48"/>
      <c r="B65" s="96" t="s">
        <v>25</v>
      </c>
      <c r="C65" s="71"/>
      <c r="D65" s="72"/>
      <c r="E65" s="72" t="s">
        <v>182</v>
      </c>
      <c r="F65" s="27">
        <v>3</v>
      </c>
      <c r="G65" s="51"/>
      <c r="H65" s="116">
        <f>SUM(H54+H63)*0.03</f>
        <v>0</v>
      </c>
      <c r="I65" s="71"/>
    </row>
    <row r="66" spans="1:9" ht="15.95" customHeight="1">
      <c r="A66" s="48"/>
      <c r="B66" s="96" t="s">
        <v>151</v>
      </c>
      <c r="C66" s="71"/>
      <c r="D66" s="72"/>
      <c r="E66" s="72" t="s">
        <v>182</v>
      </c>
      <c r="F66" s="27">
        <v>12</v>
      </c>
      <c r="G66" s="51"/>
      <c r="H66" s="116">
        <f>SUM(H54+H63)*0.12</f>
        <v>0</v>
      </c>
      <c r="I66" s="71"/>
    </row>
    <row r="67" spans="1:9" ht="15.95" customHeight="1">
      <c r="A67" s="48"/>
      <c r="B67" s="96" t="s">
        <v>152</v>
      </c>
      <c r="C67" s="71"/>
      <c r="D67" s="72"/>
      <c r="E67" s="72"/>
      <c r="F67" s="27"/>
      <c r="G67" s="27"/>
      <c r="H67" s="37">
        <f>H54+H63+H64+H65+H66</f>
        <v>0</v>
      </c>
      <c r="I67" s="72"/>
    </row>
    <row r="68" spans="1:9">
      <c r="A68" s="26"/>
    </row>
  </sheetData>
  <mergeCells count="3">
    <mergeCell ref="A2:B2"/>
    <mergeCell ref="A55:A62"/>
    <mergeCell ref="A3:A5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00B050"/>
    <pageSetUpPr fitToPage="1"/>
  </sheetPr>
  <dimension ref="A1:I70"/>
  <sheetViews>
    <sheetView zoomScale="85" workbookViewId="0">
      <pane xSplit="2" ySplit="2" topLeftCell="C51" activePane="bottomRight" state="frozen"/>
      <selection activeCell="B69" sqref="B69"/>
      <selection pane="topRight" activeCell="B69" sqref="B69"/>
      <selection pane="bottomLeft" activeCell="B69" sqref="B69"/>
      <selection pane="bottomRight" activeCell="B67" sqref="B67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438" t="s">
        <v>31</v>
      </c>
      <c r="B2" s="513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6" t="s">
        <v>82</v>
      </c>
      <c r="B3" s="99" t="s">
        <v>37</v>
      </c>
      <c r="C3" s="112"/>
      <c r="D3" s="112"/>
      <c r="E3" s="346"/>
      <c r="F3" s="347"/>
      <c r="G3" s="113"/>
      <c r="H3" s="104">
        <f>IF(F3=0,G3,G3*F3)</f>
        <v>0</v>
      </c>
      <c r="I3" s="73"/>
    </row>
    <row r="4" spans="1:9" ht="15.95" customHeight="1">
      <c r="A4" s="518"/>
      <c r="B4" s="99"/>
      <c r="C4" s="66"/>
      <c r="D4" s="66"/>
      <c r="E4" s="326"/>
      <c r="F4" s="343"/>
      <c r="G4" s="67"/>
      <c r="H4" s="100">
        <f>IF(F4=0,G4,G4*F4)</f>
        <v>0</v>
      </c>
      <c r="I4" s="68"/>
    </row>
    <row r="5" spans="1:9" ht="15.95" customHeight="1">
      <c r="A5" s="518"/>
      <c r="B5" s="99"/>
      <c r="C5" s="66"/>
      <c r="D5" s="66"/>
      <c r="E5" s="326"/>
      <c r="F5" s="343"/>
      <c r="G5" s="67"/>
      <c r="H5" s="100">
        <f t="shared" ref="H5:H54" si="0">IF(F5=0,G5,G5*F5)</f>
        <v>0</v>
      </c>
      <c r="I5" s="68"/>
    </row>
    <row r="6" spans="1:9" ht="15.95" customHeight="1">
      <c r="A6" s="518"/>
      <c r="B6" s="99"/>
      <c r="C6" s="66"/>
      <c r="D6" s="66"/>
      <c r="E6" s="326"/>
      <c r="F6" s="343"/>
      <c r="G6" s="67"/>
      <c r="H6" s="100">
        <f t="shared" si="0"/>
        <v>0</v>
      </c>
      <c r="I6" s="68"/>
    </row>
    <row r="7" spans="1:9" ht="15.95" customHeight="1">
      <c r="A7" s="518"/>
      <c r="B7" s="99"/>
      <c r="C7" s="66"/>
      <c r="D7" s="66"/>
      <c r="E7" s="326"/>
      <c r="F7" s="343"/>
      <c r="G7" s="67"/>
      <c r="H7" s="100">
        <f t="shared" si="0"/>
        <v>0</v>
      </c>
      <c r="I7" s="68"/>
    </row>
    <row r="8" spans="1:9" ht="15.95" customHeight="1">
      <c r="A8" s="518"/>
      <c r="B8" s="99"/>
      <c r="C8" s="66"/>
      <c r="D8" s="66"/>
      <c r="E8" s="326"/>
      <c r="F8" s="343"/>
      <c r="G8" s="67"/>
      <c r="H8" s="100">
        <f t="shared" si="0"/>
        <v>0</v>
      </c>
      <c r="I8" s="68"/>
    </row>
    <row r="9" spans="1:9" ht="15.95" customHeight="1">
      <c r="A9" s="518"/>
      <c r="B9" s="99"/>
      <c r="C9" s="66"/>
      <c r="D9" s="66"/>
      <c r="E9" s="326"/>
      <c r="F9" s="343"/>
      <c r="G9" s="67"/>
      <c r="H9" s="100">
        <f t="shared" si="0"/>
        <v>0</v>
      </c>
      <c r="I9" s="68"/>
    </row>
    <row r="10" spans="1:9" ht="15.95" customHeight="1">
      <c r="A10" s="518"/>
      <c r="B10" s="99"/>
      <c r="C10" s="66"/>
      <c r="D10" s="66"/>
      <c r="E10" s="326"/>
      <c r="F10" s="343"/>
      <c r="G10" s="67"/>
      <c r="H10" s="100">
        <f t="shared" si="0"/>
        <v>0</v>
      </c>
      <c r="I10" s="68"/>
    </row>
    <row r="11" spans="1:9" ht="15.95" customHeight="1">
      <c r="A11" s="518"/>
      <c r="B11" s="99"/>
      <c r="C11" s="66"/>
      <c r="D11" s="66"/>
      <c r="E11" s="326"/>
      <c r="F11" s="343"/>
      <c r="G11" s="67"/>
      <c r="H11" s="100">
        <f t="shared" si="0"/>
        <v>0</v>
      </c>
      <c r="I11" s="68"/>
    </row>
    <row r="12" spans="1:9" ht="15.95" customHeight="1">
      <c r="A12" s="518"/>
      <c r="B12" s="99"/>
      <c r="C12" s="66"/>
      <c r="D12" s="66"/>
      <c r="E12" s="326"/>
      <c r="F12" s="343"/>
      <c r="G12" s="67"/>
      <c r="H12" s="100">
        <f t="shared" si="0"/>
        <v>0</v>
      </c>
      <c r="I12" s="68"/>
    </row>
    <row r="13" spans="1:9" ht="15.95" customHeight="1">
      <c r="A13" s="518"/>
      <c r="B13" s="99"/>
      <c r="C13" s="66"/>
      <c r="D13" s="66"/>
      <c r="E13" s="326"/>
      <c r="F13" s="343"/>
      <c r="G13" s="67"/>
      <c r="H13" s="100">
        <f t="shared" si="0"/>
        <v>0</v>
      </c>
      <c r="I13" s="68"/>
    </row>
    <row r="14" spans="1:9" ht="15.95" customHeight="1">
      <c r="A14" s="518"/>
      <c r="B14" s="99"/>
      <c r="C14" s="66"/>
      <c r="D14" s="66"/>
      <c r="E14" s="326"/>
      <c r="F14" s="343"/>
      <c r="G14" s="67"/>
      <c r="H14" s="100">
        <f t="shared" si="0"/>
        <v>0</v>
      </c>
      <c r="I14" s="68"/>
    </row>
    <row r="15" spans="1:9" ht="15.95" customHeight="1">
      <c r="A15" s="518"/>
      <c r="B15" s="99"/>
      <c r="C15" s="66"/>
      <c r="D15" s="66"/>
      <c r="E15" s="326"/>
      <c r="F15" s="343"/>
      <c r="G15" s="67"/>
      <c r="H15" s="100">
        <f t="shared" si="0"/>
        <v>0</v>
      </c>
      <c r="I15" s="68"/>
    </row>
    <row r="16" spans="1:9" ht="15.95" customHeight="1">
      <c r="A16" s="518"/>
      <c r="B16" s="99"/>
      <c r="C16" s="66"/>
      <c r="D16" s="66"/>
      <c r="E16" s="326"/>
      <c r="F16" s="343"/>
      <c r="G16" s="67"/>
      <c r="H16" s="100">
        <f t="shared" si="0"/>
        <v>0</v>
      </c>
      <c r="I16" s="68"/>
    </row>
    <row r="17" spans="1:9" ht="15.95" customHeight="1">
      <c r="A17" s="518"/>
      <c r="B17" s="99"/>
      <c r="C17" s="66"/>
      <c r="D17" s="66"/>
      <c r="E17" s="326"/>
      <c r="F17" s="343"/>
      <c r="G17" s="67"/>
      <c r="H17" s="100">
        <f t="shared" si="0"/>
        <v>0</v>
      </c>
      <c r="I17" s="68"/>
    </row>
    <row r="18" spans="1:9" ht="15.95" customHeight="1">
      <c r="A18" s="518"/>
      <c r="B18" s="99"/>
      <c r="C18" s="66"/>
      <c r="D18" s="66"/>
      <c r="E18" s="326"/>
      <c r="F18" s="343"/>
      <c r="G18" s="67"/>
      <c r="H18" s="100">
        <f t="shared" si="0"/>
        <v>0</v>
      </c>
      <c r="I18" s="68"/>
    </row>
    <row r="19" spans="1:9" ht="15.95" customHeight="1">
      <c r="A19" s="518"/>
      <c r="B19" s="99"/>
      <c r="C19" s="66"/>
      <c r="D19" s="66"/>
      <c r="E19" s="326"/>
      <c r="F19" s="343"/>
      <c r="G19" s="67"/>
      <c r="H19" s="100">
        <f t="shared" si="0"/>
        <v>0</v>
      </c>
      <c r="I19" s="68"/>
    </row>
    <row r="20" spans="1:9" ht="15.95" customHeight="1">
      <c r="A20" s="518"/>
      <c r="B20" s="99"/>
      <c r="C20" s="66"/>
      <c r="D20" s="66"/>
      <c r="E20" s="326"/>
      <c r="F20" s="343"/>
      <c r="G20" s="67"/>
      <c r="H20" s="100">
        <f t="shared" si="0"/>
        <v>0</v>
      </c>
      <c r="I20" s="68"/>
    </row>
    <row r="21" spans="1:9" ht="15.95" customHeight="1">
      <c r="A21" s="518"/>
      <c r="B21" s="99"/>
      <c r="C21" s="66"/>
      <c r="D21" s="66"/>
      <c r="E21" s="326"/>
      <c r="F21" s="343"/>
      <c r="G21" s="67"/>
      <c r="H21" s="100">
        <f t="shared" si="0"/>
        <v>0</v>
      </c>
      <c r="I21" s="68"/>
    </row>
    <row r="22" spans="1:9" ht="15.95" customHeight="1">
      <c r="A22" s="518"/>
      <c r="B22" s="99"/>
      <c r="C22" s="66"/>
      <c r="D22" s="66"/>
      <c r="E22" s="326"/>
      <c r="F22" s="343"/>
      <c r="G22" s="67"/>
      <c r="H22" s="100">
        <f t="shared" si="0"/>
        <v>0</v>
      </c>
      <c r="I22" s="68"/>
    </row>
    <row r="23" spans="1:9" ht="15.95" customHeight="1">
      <c r="A23" s="518"/>
      <c r="B23" s="99"/>
      <c r="C23" s="114"/>
      <c r="D23" s="276"/>
      <c r="E23" s="333"/>
      <c r="F23" s="334"/>
      <c r="G23" s="277"/>
      <c r="H23" s="278">
        <f t="shared" si="0"/>
        <v>0</v>
      </c>
      <c r="I23" s="279"/>
    </row>
    <row r="24" spans="1:9" ht="15.95" customHeight="1">
      <c r="A24" s="518"/>
      <c r="B24" s="70"/>
      <c r="C24" s="282"/>
      <c r="D24" s="282"/>
      <c r="E24" s="348"/>
      <c r="F24" s="349"/>
      <c r="G24" s="283"/>
      <c r="H24" s="284">
        <f>SUM(H3:H23)</f>
        <v>0</v>
      </c>
      <c r="I24" s="282"/>
    </row>
    <row r="25" spans="1:9" ht="15.95" customHeight="1">
      <c r="A25" s="518"/>
      <c r="B25" s="99" t="s">
        <v>160</v>
      </c>
      <c r="C25" s="117"/>
      <c r="D25" s="117"/>
      <c r="E25" s="336"/>
      <c r="F25" s="337"/>
      <c r="G25" s="118"/>
      <c r="H25" s="119">
        <f t="shared" si="0"/>
        <v>0</v>
      </c>
      <c r="I25" s="120"/>
    </row>
    <row r="26" spans="1:9" ht="15.95" customHeight="1">
      <c r="A26" s="518"/>
      <c r="B26" s="99" t="s">
        <v>161</v>
      </c>
      <c r="C26" s="66"/>
      <c r="D26" s="66"/>
      <c r="E26" s="326"/>
      <c r="F26" s="343"/>
      <c r="G26" s="67"/>
      <c r="H26" s="100">
        <f t="shared" si="0"/>
        <v>0</v>
      </c>
      <c r="I26" s="68"/>
    </row>
    <row r="27" spans="1:9" ht="15.95" customHeight="1">
      <c r="A27" s="518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8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8"/>
      <c r="B29" s="99"/>
      <c r="C29" s="114"/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8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8"/>
      <c r="B31" s="103" t="s">
        <v>38</v>
      </c>
      <c r="C31" s="112"/>
      <c r="D31" s="112"/>
      <c r="E31" s="346"/>
      <c r="F31" s="347"/>
      <c r="G31" s="113"/>
      <c r="H31" s="104">
        <f t="shared" si="0"/>
        <v>0</v>
      </c>
      <c r="I31" s="73"/>
    </row>
    <row r="32" spans="1:9" ht="15.95" customHeight="1">
      <c r="A32" s="518"/>
      <c r="B32" s="99" t="s">
        <v>45</v>
      </c>
      <c r="C32" s="66"/>
      <c r="D32" s="66"/>
      <c r="E32" s="326"/>
      <c r="F32" s="343"/>
      <c r="G32" s="67"/>
      <c r="H32" s="100">
        <f t="shared" si="0"/>
        <v>0</v>
      </c>
      <c r="I32" s="68"/>
    </row>
    <row r="33" spans="1:9" ht="15.95" customHeight="1">
      <c r="A33" s="518"/>
      <c r="B33" s="99"/>
      <c r="C33" s="66"/>
      <c r="D33" s="66"/>
      <c r="E33" s="326"/>
      <c r="F33" s="343"/>
      <c r="G33" s="67"/>
      <c r="H33" s="100">
        <f t="shared" si="0"/>
        <v>0</v>
      </c>
      <c r="I33" s="68"/>
    </row>
    <row r="34" spans="1:9" ht="15.95" customHeight="1">
      <c r="A34" s="518"/>
      <c r="B34" s="99"/>
      <c r="C34" s="66"/>
      <c r="D34" s="66"/>
      <c r="E34" s="326"/>
      <c r="F34" s="343"/>
      <c r="G34" s="67"/>
      <c r="H34" s="100">
        <f t="shared" si="0"/>
        <v>0</v>
      </c>
      <c r="I34" s="68"/>
    </row>
    <row r="35" spans="1:9" ht="15.95" customHeight="1">
      <c r="A35" s="518"/>
      <c r="B35" s="99"/>
      <c r="C35" s="66"/>
      <c r="D35" s="66"/>
      <c r="E35" s="326"/>
      <c r="F35" s="343"/>
      <c r="G35" s="67"/>
      <c r="H35" s="100">
        <f t="shared" si="0"/>
        <v>0</v>
      </c>
      <c r="I35" s="68"/>
    </row>
    <row r="36" spans="1:9" ht="15.95" customHeight="1">
      <c r="A36" s="518"/>
      <c r="B36" s="99"/>
      <c r="C36" s="66"/>
      <c r="D36" s="66"/>
      <c r="E36" s="326"/>
      <c r="F36" s="343"/>
      <c r="G36" s="67"/>
      <c r="H36" s="100">
        <f t="shared" si="0"/>
        <v>0</v>
      </c>
      <c r="I36" s="68"/>
    </row>
    <row r="37" spans="1:9" ht="15.95" customHeight="1">
      <c r="A37" s="518"/>
      <c r="B37" s="99"/>
      <c r="C37" s="66"/>
      <c r="D37" s="66"/>
      <c r="E37" s="326"/>
      <c r="F37" s="343"/>
      <c r="G37" s="67"/>
      <c r="H37" s="100">
        <f t="shared" si="0"/>
        <v>0</v>
      </c>
      <c r="I37" s="68"/>
    </row>
    <row r="38" spans="1:9" ht="15.95" customHeight="1">
      <c r="A38" s="518"/>
      <c r="B38" s="99"/>
      <c r="C38" s="66"/>
      <c r="D38" s="66"/>
      <c r="E38" s="326"/>
      <c r="F38" s="343"/>
      <c r="G38" s="67"/>
      <c r="H38" s="100">
        <f t="shared" si="0"/>
        <v>0</v>
      </c>
      <c r="I38" s="68"/>
    </row>
    <row r="39" spans="1:9" ht="15.95" customHeight="1">
      <c r="A39" s="518"/>
      <c r="B39" s="99"/>
      <c r="C39" s="66"/>
      <c r="D39" s="66"/>
      <c r="E39" s="326"/>
      <c r="F39" s="343"/>
      <c r="G39" s="67"/>
      <c r="H39" s="100">
        <f t="shared" si="0"/>
        <v>0</v>
      </c>
      <c r="I39" s="68"/>
    </row>
    <row r="40" spans="1:9" ht="15.95" customHeight="1">
      <c r="A40" s="518"/>
      <c r="B40" s="99"/>
      <c r="C40" s="66"/>
      <c r="D40" s="66"/>
      <c r="E40" s="326"/>
      <c r="F40" s="343"/>
      <c r="G40" s="67"/>
      <c r="H40" s="100">
        <f t="shared" si="0"/>
        <v>0</v>
      </c>
      <c r="I40" s="68"/>
    </row>
    <row r="41" spans="1:9" ht="15.95" customHeight="1">
      <c r="A41" s="518"/>
      <c r="B41" s="99"/>
      <c r="C41" s="66"/>
      <c r="D41" s="66"/>
      <c r="E41" s="326"/>
      <c r="F41" s="343"/>
      <c r="G41" s="67"/>
      <c r="H41" s="100">
        <f t="shared" si="0"/>
        <v>0</v>
      </c>
      <c r="I41" s="68"/>
    </row>
    <row r="42" spans="1:9" ht="15.95" customHeight="1">
      <c r="A42" s="518"/>
      <c r="B42" s="99"/>
      <c r="C42" s="66"/>
      <c r="D42" s="66"/>
      <c r="E42" s="326"/>
      <c r="F42" s="343"/>
      <c r="G42" s="67"/>
      <c r="H42" s="100">
        <f t="shared" si="0"/>
        <v>0</v>
      </c>
      <c r="I42" s="68"/>
    </row>
    <row r="43" spans="1:9" ht="15.95" customHeight="1">
      <c r="A43" s="518"/>
      <c r="B43" s="99"/>
      <c r="C43" s="66"/>
      <c r="D43" s="66"/>
      <c r="E43" s="326"/>
      <c r="F43" s="343"/>
      <c r="G43" s="67"/>
      <c r="H43" s="100">
        <f t="shared" si="0"/>
        <v>0</v>
      </c>
      <c r="I43" s="68"/>
    </row>
    <row r="44" spans="1:9" ht="15.95" customHeight="1">
      <c r="A44" s="518"/>
      <c r="B44" s="99"/>
      <c r="C44" s="66"/>
      <c r="D44" s="66"/>
      <c r="E44" s="326"/>
      <c r="F44" s="343"/>
      <c r="G44" s="67"/>
      <c r="H44" s="100">
        <f t="shared" si="0"/>
        <v>0</v>
      </c>
      <c r="I44" s="68"/>
    </row>
    <row r="45" spans="1:9" ht="15.95" customHeight="1">
      <c r="A45" s="518"/>
      <c r="B45" s="99"/>
      <c r="C45" s="66"/>
      <c r="D45" s="66"/>
      <c r="E45" s="326"/>
      <c r="F45" s="343"/>
      <c r="G45" s="67"/>
      <c r="H45" s="100">
        <f t="shared" si="0"/>
        <v>0</v>
      </c>
      <c r="I45" s="68"/>
    </row>
    <row r="46" spans="1:9" ht="15.95" customHeight="1">
      <c r="A46" s="518"/>
      <c r="B46" s="99"/>
      <c r="C46" s="114"/>
      <c r="D46" s="114"/>
      <c r="E46" s="340"/>
      <c r="F46" s="341"/>
      <c r="G46" s="115"/>
      <c r="H46" s="105">
        <f t="shared" si="0"/>
        <v>0</v>
      </c>
      <c r="I46" s="69"/>
    </row>
    <row r="47" spans="1:9" ht="15.95" customHeight="1">
      <c r="A47" s="518"/>
      <c r="B47" s="70"/>
      <c r="C47" s="102"/>
      <c r="D47" s="92"/>
      <c r="E47" s="121"/>
      <c r="F47" s="350"/>
      <c r="G47" s="37"/>
      <c r="H47" s="27">
        <f>SUM(H31:H46)</f>
        <v>0</v>
      </c>
      <c r="I47" s="72"/>
    </row>
    <row r="48" spans="1:9" ht="15.95" customHeight="1">
      <c r="A48" s="518"/>
      <c r="B48" s="103" t="s">
        <v>39</v>
      </c>
      <c r="C48" s="112"/>
      <c r="D48" s="112"/>
      <c r="E48" s="346"/>
      <c r="F48" s="347"/>
      <c r="G48" s="113"/>
      <c r="H48" s="104">
        <f t="shared" si="0"/>
        <v>0</v>
      </c>
      <c r="I48" s="73"/>
    </row>
    <row r="49" spans="1:9" ht="15.95" customHeight="1">
      <c r="A49" s="518"/>
      <c r="B49" s="99"/>
      <c r="C49" s="66"/>
      <c r="D49" s="66"/>
      <c r="E49" s="326"/>
      <c r="F49" s="343"/>
      <c r="G49" s="67"/>
      <c r="H49" s="100">
        <f t="shared" si="0"/>
        <v>0</v>
      </c>
      <c r="I49" s="68"/>
    </row>
    <row r="50" spans="1:9" ht="15.95" customHeight="1">
      <c r="A50" s="518"/>
      <c r="B50" s="99"/>
      <c r="C50" s="66"/>
      <c r="D50" s="66"/>
      <c r="E50" s="326"/>
      <c r="F50" s="343"/>
      <c r="G50" s="67"/>
      <c r="H50" s="100">
        <f t="shared" si="0"/>
        <v>0</v>
      </c>
      <c r="I50" s="68"/>
    </row>
    <row r="51" spans="1:9" ht="15.95" customHeight="1">
      <c r="A51" s="518"/>
      <c r="B51" s="99"/>
      <c r="C51" s="66"/>
      <c r="D51" s="66"/>
      <c r="E51" s="326"/>
      <c r="F51" s="343"/>
      <c r="G51" s="67"/>
      <c r="H51" s="100">
        <f t="shared" si="0"/>
        <v>0</v>
      </c>
      <c r="I51" s="68"/>
    </row>
    <row r="52" spans="1:9" ht="15.95" customHeight="1">
      <c r="A52" s="518"/>
      <c r="B52" s="99"/>
      <c r="C52" s="66"/>
      <c r="D52" s="66"/>
      <c r="E52" s="326"/>
      <c r="F52" s="343"/>
      <c r="G52" s="67"/>
      <c r="H52" s="100">
        <f t="shared" si="0"/>
        <v>0</v>
      </c>
      <c r="I52" s="68"/>
    </row>
    <row r="53" spans="1:9" ht="15.95" customHeight="1">
      <c r="A53" s="518"/>
      <c r="B53" s="99"/>
      <c r="C53" s="66"/>
      <c r="D53" s="66"/>
      <c r="E53" s="326"/>
      <c r="F53" s="343"/>
      <c r="G53" s="67"/>
      <c r="H53" s="100">
        <f t="shared" si="0"/>
        <v>0</v>
      </c>
      <c r="I53" s="68"/>
    </row>
    <row r="54" spans="1:9" ht="15.95" customHeight="1">
      <c r="A54" s="518"/>
      <c r="B54" s="99"/>
      <c r="C54" s="114"/>
      <c r="D54" s="114"/>
      <c r="E54" s="340"/>
      <c r="F54" s="341"/>
      <c r="G54" s="115"/>
      <c r="H54" s="105">
        <f t="shared" si="0"/>
        <v>0</v>
      </c>
      <c r="I54" s="69"/>
    </row>
    <row r="55" spans="1:9" ht="15.95" customHeight="1">
      <c r="A55" s="518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9" t="s">
        <v>72</v>
      </c>
      <c r="B57" s="137" t="s">
        <v>70</v>
      </c>
      <c r="C57" s="71"/>
      <c r="D57" s="75"/>
      <c r="E57" s="106" t="s">
        <v>51</v>
      </c>
      <c r="F57" s="342"/>
      <c r="G57" s="116"/>
      <c r="H57" s="49">
        <f>F57*G57</f>
        <v>0</v>
      </c>
      <c r="I57" s="72"/>
    </row>
    <row r="58" spans="1:9" ht="15.95" customHeight="1">
      <c r="A58" s="518"/>
      <c r="B58" s="138" t="s">
        <v>109</v>
      </c>
      <c r="C58" s="141"/>
      <c r="D58" s="76"/>
      <c r="E58" s="107" t="s">
        <v>50</v>
      </c>
      <c r="F58" s="337"/>
      <c r="G58" s="113"/>
      <c r="H58" s="104">
        <f t="shared" ref="H58:H64" si="1">F58*G58</f>
        <v>0</v>
      </c>
      <c r="I58" s="73"/>
    </row>
    <row r="59" spans="1:9" ht="15.95" customHeight="1">
      <c r="A59" s="518"/>
      <c r="B59" s="170" t="s">
        <v>110</v>
      </c>
      <c r="C59" s="142"/>
      <c r="D59" s="77"/>
      <c r="E59" s="108" t="s">
        <v>50</v>
      </c>
      <c r="F59" s="343"/>
      <c r="G59" s="67"/>
      <c r="H59" s="100">
        <f t="shared" si="1"/>
        <v>0</v>
      </c>
      <c r="I59" s="68"/>
    </row>
    <row r="60" spans="1:9" ht="15.95" customHeight="1">
      <c r="A60" s="518"/>
      <c r="B60" s="139" t="s">
        <v>111</v>
      </c>
      <c r="C60" s="142"/>
      <c r="D60" s="77"/>
      <c r="E60" s="108" t="s">
        <v>50</v>
      </c>
      <c r="F60" s="343"/>
      <c r="G60" s="67"/>
      <c r="H60" s="100">
        <f t="shared" si="1"/>
        <v>0</v>
      </c>
      <c r="I60" s="68"/>
    </row>
    <row r="61" spans="1:9" ht="15.95" customHeight="1">
      <c r="A61" s="518"/>
      <c r="B61" s="139" t="s">
        <v>112</v>
      </c>
      <c r="C61" s="142"/>
      <c r="D61" s="77"/>
      <c r="E61" s="108" t="s">
        <v>50</v>
      </c>
      <c r="F61" s="343"/>
      <c r="G61" s="67"/>
      <c r="H61" s="100">
        <f t="shared" si="1"/>
        <v>0</v>
      </c>
      <c r="I61" s="68"/>
    </row>
    <row r="62" spans="1:9" ht="15.95" customHeight="1">
      <c r="A62" s="518"/>
      <c r="B62" s="139" t="s">
        <v>113</v>
      </c>
      <c r="C62" s="142"/>
      <c r="D62" s="77"/>
      <c r="E62" s="108" t="s">
        <v>50</v>
      </c>
      <c r="F62" s="343"/>
      <c r="G62" s="67"/>
      <c r="H62" s="100">
        <f t="shared" si="1"/>
        <v>0</v>
      </c>
      <c r="I62" s="68"/>
    </row>
    <row r="63" spans="1:9" ht="15.95" customHeight="1">
      <c r="A63" s="518"/>
      <c r="B63" s="139" t="s">
        <v>114</v>
      </c>
      <c r="C63" s="142"/>
      <c r="D63" s="77"/>
      <c r="E63" s="108" t="s">
        <v>50</v>
      </c>
      <c r="F63" s="343"/>
      <c r="G63" s="67"/>
      <c r="H63" s="100">
        <f t="shared" si="1"/>
        <v>0</v>
      </c>
      <c r="I63" s="68"/>
    </row>
    <row r="64" spans="1:9" ht="15.95" customHeight="1">
      <c r="A64" s="518"/>
      <c r="B64" s="140" t="s">
        <v>115</v>
      </c>
      <c r="C64" s="143"/>
      <c r="D64" s="78"/>
      <c r="E64" s="109" t="s">
        <v>50</v>
      </c>
      <c r="F64" s="341"/>
      <c r="G64" s="115"/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'단위공사별(집계)'!I11+'단위공사별(집계)'!L11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Header>&amp;C&amp;G</oddHeader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rgb="FF00B050"/>
    <pageSetUpPr fitToPage="1"/>
  </sheetPr>
  <dimension ref="A1:I70"/>
  <sheetViews>
    <sheetView zoomScale="85" workbookViewId="0">
      <pane xSplit="2" ySplit="2" topLeftCell="C24" activePane="bottomRight" state="frozen"/>
      <selection activeCell="B69" sqref="B69"/>
      <selection pane="topRight" activeCell="B69" sqref="B69"/>
      <selection pane="bottomLeft" activeCell="B69" sqref="B69"/>
      <selection pane="bottomRight" activeCell="C3" sqref="C3:G38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438" t="s">
        <v>31</v>
      </c>
      <c r="B2" s="513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6" t="s">
        <v>82</v>
      </c>
      <c r="B3" s="99" t="s">
        <v>37</v>
      </c>
      <c r="C3" s="112"/>
      <c r="D3" s="112"/>
      <c r="E3" s="346"/>
      <c r="F3" s="347"/>
      <c r="G3" s="113"/>
      <c r="H3" s="104">
        <f>IF(F3=0,G3,G3*F3)</f>
        <v>0</v>
      </c>
      <c r="I3" s="73"/>
    </row>
    <row r="4" spans="1:9" ht="15.95" customHeight="1">
      <c r="A4" s="518"/>
      <c r="B4" s="99"/>
      <c r="C4" s="66"/>
      <c r="D4" s="66"/>
      <c r="E4" s="326"/>
      <c r="F4" s="343"/>
      <c r="G4" s="67"/>
      <c r="H4" s="100">
        <f>IF(F4=0,G4,G4*F4)</f>
        <v>0</v>
      </c>
      <c r="I4" s="68"/>
    </row>
    <row r="5" spans="1:9" ht="15.95" customHeight="1">
      <c r="A5" s="518"/>
      <c r="B5" s="99"/>
      <c r="C5" s="66"/>
      <c r="D5" s="66"/>
      <c r="E5" s="326"/>
      <c r="F5" s="343"/>
      <c r="G5" s="67"/>
      <c r="H5" s="100">
        <f t="shared" ref="H5:H54" si="0">IF(F5=0,G5,G5*F5)</f>
        <v>0</v>
      </c>
      <c r="I5" s="68"/>
    </row>
    <row r="6" spans="1:9" ht="15.95" customHeight="1">
      <c r="A6" s="518"/>
      <c r="B6" s="99"/>
      <c r="C6" s="66"/>
      <c r="D6" s="66"/>
      <c r="E6" s="326"/>
      <c r="F6" s="343"/>
      <c r="G6" s="67"/>
      <c r="H6" s="100">
        <f t="shared" si="0"/>
        <v>0</v>
      </c>
      <c r="I6" s="68"/>
    </row>
    <row r="7" spans="1:9" ht="15.95" customHeight="1">
      <c r="A7" s="518"/>
      <c r="B7" s="99"/>
      <c r="C7" s="66"/>
      <c r="D7" s="66"/>
      <c r="E7" s="326"/>
      <c r="F7" s="343"/>
      <c r="G7" s="67"/>
      <c r="H7" s="100">
        <f t="shared" si="0"/>
        <v>0</v>
      </c>
      <c r="I7" s="68"/>
    </row>
    <row r="8" spans="1:9" ht="15.95" customHeight="1">
      <c r="A8" s="518"/>
      <c r="B8" s="99"/>
      <c r="C8" s="66"/>
      <c r="D8" s="66"/>
      <c r="E8" s="326"/>
      <c r="F8" s="343"/>
      <c r="G8" s="67"/>
      <c r="H8" s="100">
        <f t="shared" si="0"/>
        <v>0</v>
      </c>
      <c r="I8" s="68"/>
    </row>
    <row r="9" spans="1:9" ht="15.95" customHeight="1">
      <c r="A9" s="518"/>
      <c r="B9" s="99"/>
      <c r="C9" s="66"/>
      <c r="D9" s="66"/>
      <c r="E9" s="326"/>
      <c r="F9" s="343"/>
      <c r="G9" s="67"/>
      <c r="H9" s="100">
        <f t="shared" si="0"/>
        <v>0</v>
      </c>
      <c r="I9" s="68"/>
    </row>
    <row r="10" spans="1:9" ht="15.95" customHeight="1">
      <c r="A10" s="518"/>
      <c r="B10" s="99"/>
      <c r="C10" s="66"/>
      <c r="D10" s="66"/>
      <c r="E10" s="326"/>
      <c r="F10" s="343"/>
      <c r="G10" s="67"/>
      <c r="H10" s="100">
        <f t="shared" si="0"/>
        <v>0</v>
      </c>
      <c r="I10" s="68"/>
    </row>
    <row r="11" spans="1:9" ht="15.95" customHeight="1">
      <c r="A11" s="518"/>
      <c r="B11" s="99"/>
      <c r="C11" s="66"/>
      <c r="D11" s="66"/>
      <c r="E11" s="326"/>
      <c r="F11" s="343"/>
      <c r="G11" s="67"/>
      <c r="H11" s="100">
        <f t="shared" si="0"/>
        <v>0</v>
      </c>
      <c r="I11" s="68"/>
    </row>
    <row r="12" spans="1:9" ht="15.95" customHeight="1">
      <c r="A12" s="518"/>
      <c r="B12" s="99"/>
      <c r="C12" s="66"/>
      <c r="D12" s="66"/>
      <c r="E12" s="326"/>
      <c r="F12" s="343"/>
      <c r="G12" s="67"/>
      <c r="H12" s="100">
        <f t="shared" si="0"/>
        <v>0</v>
      </c>
      <c r="I12" s="68"/>
    </row>
    <row r="13" spans="1:9" ht="15.95" customHeight="1">
      <c r="A13" s="518"/>
      <c r="B13" s="99"/>
      <c r="C13" s="66"/>
      <c r="D13" s="66"/>
      <c r="E13" s="326"/>
      <c r="F13" s="343"/>
      <c r="G13" s="67"/>
      <c r="H13" s="100">
        <f t="shared" si="0"/>
        <v>0</v>
      </c>
      <c r="I13" s="68"/>
    </row>
    <row r="14" spans="1:9" ht="15.95" customHeight="1">
      <c r="A14" s="518"/>
      <c r="B14" s="99"/>
      <c r="C14" s="66"/>
      <c r="D14" s="66"/>
      <c r="E14" s="326"/>
      <c r="F14" s="343"/>
      <c r="G14" s="67"/>
      <c r="H14" s="100">
        <f t="shared" si="0"/>
        <v>0</v>
      </c>
      <c r="I14" s="68"/>
    </row>
    <row r="15" spans="1:9" ht="15.95" customHeight="1">
      <c r="A15" s="518"/>
      <c r="B15" s="99"/>
      <c r="C15" s="66"/>
      <c r="D15" s="66"/>
      <c r="E15" s="326"/>
      <c r="F15" s="343"/>
      <c r="G15" s="67"/>
      <c r="H15" s="100">
        <f t="shared" si="0"/>
        <v>0</v>
      </c>
      <c r="I15" s="68"/>
    </row>
    <row r="16" spans="1:9" ht="15.95" customHeight="1">
      <c r="A16" s="518"/>
      <c r="B16" s="99"/>
      <c r="C16" s="66"/>
      <c r="D16" s="66"/>
      <c r="E16" s="326"/>
      <c r="F16" s="343"/>
      <c r="G16" s="67"/>
      <c r="H16" s="100">
        <f t="shared" si="0"/>
        <v>0</v>
      </c>
      <c r="I16" s="68"/>
    </row>
    <row r="17" spans="1:9" ht="15.95" customHeight="1">
      <c r="A17" s="518"/>
      <c r="B17" s="99"/>
      <c r="C17" s="66"/>
      <c r="D17" s="66"/>
      <c r="E17" s="326"/>
      <c r="F17" s="343"/>
      <c r="G17" s="67"/>
      <c r="H17" s="100">
        <f t="shared" si="0"/>
        <v>0</v>
      </c>
      <c r="I17" s="68"/>
    </row>
    <row r="18" spans="1:9" ht="15.95" customHeight="1">
      <c r="A18" s="518"/>
      <c r="B18" s="99"/>
      <c r="C18" s="66"/>
      <c r="D18" s="66"/>
      <c r="E18" s="326"/>
      <c r="F18" s="343"/>
      <c r="G18" s="67"/>
      <c r="H18" s="100">
        <f t="shared" si="0"/>
        <v>0</v>
      </c>
      <c r="I18" s="68"/>
    </row>
    <row r="19" spans="1:9" ht="15.95" customHeight="1">
      <c r="A19" s="518"/>
      <c r="B19" s="99"/>
      <c r="C19" s="66"/>
      <c r="D19" s="66"/>
      <c r="E19" s="326"/>
      <c r="F19" s="343"/>
      <c r="G19" s="67"/>
      <c r="H19" s="100">
        <f t="shared" si="0"/>
        <v>0</v>
      </c>
      <c r="I19" s="68"/>
    </row>
    <row r="20" spans="1:9" ht="15.95" customHeight="1">
      <c r="A20" s="518"/>
      <c r="B20" s="99"/>
      <c r="C20" s="66"/>
      <c r="D20" s="66"/>
      <c r="E20" s="326"/>
      <c r="F20" s="343"/>
      <c r="G20" s="67"/>
      <c r="H20" s="100">
        <f t="shared" si="0"/>
        <v>0</v>
      </c>
      <c r="I20" s="68"/>
    </row>
    <row r="21" spans="1:9" ht="15.95" customHeight="1">
      <c r="A21" s="518"/>
      <c r="B21" s="99"/>
      <c r="C21" s="66"/>
      <c r="D21" s="66"/>
      <c r="E21" s="326"/>
      <c r="F21" s="343"/>
      <c r="G21" s="67"/>
      <c r="H21" s="100">
        <f t="shared" si="0"/>
        <v>0</v>
      </c>
      <c r="I21" s="68"/>
    </row>
    <row r="22" spans="1:9" ht="15.95" customHeight="1">
      <c r="A22" s="518"/>
      <c r="B22" s="99"/>
      <c r="C22" s="66"/>
      <c r="D22" s="66"/>
      <c r="E22" s="326"/>
      <c r="F22" s="343"/>
      <c r="G22" s="67"/>
      <c r="H22" s="100">
        <f t="shared" si="0"/>
        <v>0</v>
      </c>
      <c r="I22" s="68"/>
    </row>
    <row r="23" spans="1:9" ht="15.95" customHeight="1">
      <c r="A23" s="518"/>
      <c r="B23" s="99"/>
      <c r="C23" s="114"/>
      <c r="D23" s="276"/>
      <c r="E23" s="333"/>
      <c r="F23" s="334"/>
      <c r="G23" s="277"/>
      <c r="H23" s="278">
        <f t="shared" si="0"/>
        <v>0</v>
      </c>
      <c r="I23" s="279"/>
    </row>
    <row r="24" spans="1:9" ht="15.95" customHeight="1">
      <c r="A24" s="518"/>
      <c r="B24" s="70"/>
      <c r="C24" s="282"/>
      <c r="D24" s="282"/>
      <c r="E24" s="348"/>
      <c r="F24" s="349"/>
      <c r="G24" s="283"/>
      <c r="H24" s="284">
        <f>SUM(H3:H23)</f>
        <v>0</v>
      </c>
      <c r="I24" s="282"/>
    </row>
    <row r="25" spans="1:9" ht="15.95" customHeight="1">
      <c r="A25" s="518"/>
      <c r="B25" s="99" t="s">
        <v>160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>
      <c r="A26" s="518"/>
      <c r="B26" s="99" t="s">
        <v>161</v>
      </c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8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8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8"/>
      <c r="B29" s="99"/>
      <c r="C29" s="114"/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8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8"/>
      <c r="B31" s="103" t="s">
        <v>38</v>
      </c>
      <c r="C31" s="112"/>
      <c r="D31" s="112"/>
      <c r="E31" s="346"/>
      <c r="F31" s="347"/>
      <c r="G31" s="113"/>
      <c r="H31" s="104">
        <f t="shared" si="0"/>
        <v>0</v>
      </c>
      <c r="I31" s="73"/>
    </row>
    <row r="32" spans="1:9" ht="15.95" customHeight="1">
      <c r="A32" s="518"/>
      <c r="B32" s="99" t="s">
        <v>45</v>
      </c>
      <c r="C32" s="66"/>
      <c r="D32" s="66"/>
      <c r="E32" s="326"/>
      <c r="F32" s="343"/>
      <c r="G32" s="67"/>
      <c r="H32" s="100">
        <f t="shared" si="0"/>
        <v>0</v>
      </c>
      <c r="I32" s="68"/>
    </row>
    <row r="33" spans="1:9" ht="15.95" customHeight="1">
      <c r="A33" s="518"/>
      <c r="B33" s="99"/>
      <c r="C33" s="66"/>
      <c r="D33" s="66"/>
      <c r="E33" s="326"/>
      <c r="F33" s="343"/>
      <c r="G33" s="67"/>
      <c r="H33" s="100">
        <f t="shared" si="0"/>
        <v>0</v>
      </c>
      <c r="I33" s="68"/>
    </row>
    <row r="34" spans="1:9" ht="15.95" customHeight="1">
      <c r="A34" s="518"/>
      <c r="B34" s="99"/>
      <c r="C34" s="66"/>
      <c r="D34" s="66"/>
      <c r="E34" s="66"/>
      <c r="F34" s="67"/>
      <c r="G34" s="67"/>
      <c r="H34" s="100">
        <f t="shared" si="0"/>
        <v>0</v>
      </c>
      <c r="I34" s="68"/>
    </row>
    <row r="35" spans="1:9" ht="15.95" customHeight="1">
      <c r="A35" s="518"/>
      <c r="B35" s="99"/>
      <c r="C35" s="66"/>
      <c r="D35" s="66"/>
      <c r="E35" s="66"/>
      <c r="F35" s="67"/>
      <c r="G35" s="67"/>
      <c r="H35" s="100">
        <f t="shared" si="0"/>
        <v>0</v>
      </c>
      <c r="I35" s="68"/>
    </row>
    <row r="36" spans="1:9" ht="15.95" customHeight="1">
      <c r="A36" s="518"/>
      <c r="B36" s="99"/>
      <c r="C36" s="66"/>
      <c r="D36" s="66"/>
      <c r="E36" s="66"/>
      <c r="F36" s="67"/>
      <c r="G36" s="67"/>
      <c r="H36" s="100">
        <f t="shared" si="0"/>
        <v>0</v>
      </c>
      <c r="I36" s="68"/>
    </row>
    <row r="37" spans="1:9" ht="15.95" customHeight="1">
      <c r="A37" s="518"/>
      <c r="B37" s="99"/>
      <c r="C37" s="66"/>
      <c r="D37" s="66"/>
      <c r="E37" s="66"/>
      <c r="F37" s="67"/>
      <c r="G37" s="67"/>
      <c r="H37" s="100">
        <f t="shared" si="0"/>
        <v>0</v>
      </c>
      <c r="I37" s="68"/>
    </row>
    <row r="38" spans="1:9" ht="15.95" customHeight="1">
      <c r="A38" s="518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8"/>
      <c r="B39" s="99"/>
      <c r="C39" s="66"/>
      <c r="D39" s="66"/>
      <c r="E39" s="66"/>
      <c r="F39" s="67"/>
      <c r="G39" s="67"/>
      <c r="H39" s="100">
        <f t="shared" si="0"/>
        <v>0</v>
      </c>
      <c r="I39" s="68"/>
    </row>
    <row r="40" spans="1:9" ht="15.95" customHeight="1">
      <c r="A40" s="518"/>
      <c r="B40" s="99"/>
      <c r="C40" s="66"/>
      <c r="D40" s="66"/>
      <c r="E40" s="66"/>
      <c r="F40" s="67"/>
      <c r="G40" s="67"/>
      <c r="H40" s="100">
        <f t="shared" si="0"/>
        <v>0</v>
      </c>
      <c r="I40" s="68"/>
    </row>
    <row r="41" spans="1:9" ht="15.95" customHeight="1">
      <c r="A41" s="518"/>
      <c r="B41" s="99"/>
      <c r="C41" s="66"/>
      <c r="D41" s="66"/>
      <c r="E41" s="66"/>
      <c r="F41" s="67"/>
      <c r="G41" s="67"/>
      <c r="H41" s="100">
        <f t="shared" si="0"/>
        <v>0</v>
      </c>
      <c r="I41" s="68"/>
    </row>
    <row r="42" spans="1:9" ht="15.95" customHeight="1">
      <c r="A42" s="518"/>
      <c r="B42" s="99"/>
      <c r="C42" s="66"/>
      <c r="D42" s="66"/>
      <c r="E42" s="66"/>
      <c r="F42" s="67"/>
      <c r="G42" s="67"/>
      <c r="H42" s="100">
        <f t="shared" si="0"/>
        <v>0</v>
      </c>
      <c r="I42" s="68"/>
    </row>
    <row r="43" spans="1:9" ht="15.95" customHeight="1">
      <c r="A43" s="518"/>
      <c r="B43" s="99"/>
      <c r="C43" s="66"/>
      <c r="D43" s="66"/>
      <c r="E43" s="66"/>
      <c r="F43" s="67"/>
      <c r="G43" s="67"/>
      <c r="H43" s="100">
        <f t="shared" si="0"/>
        <v>0</v>
      </c>
      <c r="I43" s="68"/>
    </row>
    <row r="44" spans="1:9" ht="15.95" customHeight="1">
      <c r="A44" s="518"/>
      <c r="B44" s="99"/>
      <c r="C44" s="66"/>
      <c r="D44" s="66"/>
      <c r="E44" s="66"/>
      <c r="F44" s="67"/>
      <c r="G44" s="67"/>
      <c r="H44" s="100">
        <f t="shared" si="0"/>
        <v>0</v>
      </c>
      <c r="I44" s="68"/>
    </row>
    <row r="45" spans="1:9" ht="15.95" customHeight="1">
      <c r="A45" s="518"/>
      <c r="B45" s="99"/>
      <c r="C45" s="66"/>
      <c r="D45" s="66"/>
      <c r="E45" s="66"/>
      <c r="F45" s="67"/>
      <c r="G45" s="67"/>
      <c r="H45" s="100">
        <f t="shared" si="0"/>
        <v>0</v>
      </c>
      <c r="I45" s="68"/>
    </row>
    <row r="46" spans="1:9" ht="15.95" customHeight="1">
      <c r="A46" s="518"/>
      <c r="B46" s="99"/>
      <c r="C46" s="114"/>
      <c r="D46" s="114"/>
      <c r="E46" s="114"/>
      <c r="F46" s="115"/>
      <c r="G46" s="115"/>
      <c r="H46" s="105">
        <f t="shared" si="0"/>
        <v>0</v>
      </c>
      <c r="I46" s="69"/>
    </row>
    <row r="47" spans="1:9" ht="15.95" customHeight="1">
      <c r="A47" s="518"/>
      <c r="B47" s="70"/>
      <c r="C47" s="102"/>
      <c r="D47" s="92"/>
      <c r="E47" s="92"/>
      <c r="F47" s="37"/>
      <c r="G47" s="37"/>
      <c r="H47" s="27">
        <f>SUM(H31:H46)</f>
        <v>0</v>
      </c>
      <c r="I47" s="72"/>
    </row>
    <row r="48" spans="1:9" ht="15.95" customHeight="1">
      <c r="A48" s="518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3"/>
    </row>
    <row r="49" spans="1:9" ht="15.95" customHeight="1">
      <c r="A49" s="518"/>
      <c r="B49" s="99"/>
      <c r="C49" s="66"/>
      <c r="D49" s="66"/>
      <c r="E49" s="66"/>
      <c r="F49" s="67"/>
      <c r="G49" s="67"/>
      <c r="H49" s="100">
        <f t="shared" si="0"/>
        <v>0</v>
      </c>
      <c r="I49" s="68"/>
    </row>
    <row r="50" spans="1:9" ht="15.95" customHeight="1">
      <c r="A50" s="518"/>
      <c r="B50" s="99"/>
      <c r="C50" s="66"/>
      <c r="D50" s="66"/>
      <c r="E50" s="66"/>
      <c r="F50" s="67"/>
      <c r="G50" s="67"/>
      <c r="H50" s="100">
        <f t="shared" si="0"/>
        <v>0</v>
      </c>
      <c r="I50" s="68"/>
    </row>
    <row r="51" spans="1:9" ht="15.95" customHeight="1">
      <c r="A51" s="518"/>
      <c r="B51" s="99"/>
      <c r="C51" s="66"/>
      <c r="D51" s="66"/>
      <c r="E51" s="66"/>
      <c r="F51" s="67"/>
      <c r="G51" s="67"/>
      <c r="H51" s="100">
        <f t="shared" si="0"/>
        <v>0</v>
      </c>
      <c r="I51" s="68"/>
    </row>
    <row r="52" spans="1:9" ht="15.95" customHeight="1">
      <c r="A52" s="518"/>
      <c r="B52" s="99"/>
      <c r="C52" s="66"/>
      <c r="D52" s="66"/>
      <c r="E52" s="66"/>
      <c r="F52" s="67"/>
      <c r="G52" s="67"/>
      <c r="H52" s="100">
        <f t="shared" si="0"/>
        <v>0</v>
      </c>
      <c r="I52" s="68"/>
    </row>
    <row r="53" spans="1:9" ht="15.95" customHeight="1">
      <c r="A53" s="518"/>
      <c r="B53" s="99"/>
      <c r="C53" s="66"/>
      <c r="D53" s="66"/>
      <c r="E53" s="66"/>
      <c r="F53" s="67"/>
      <c r="G53" s="67"/>
      <c r="H53" s="100">
        <f t="shared" si="0"/>
        <v>0</v>
      </c>
      <c r="I53" s="68"/>
    </row>
    <row r="54" spans="1:9" ht="15.95" customHeight="1">
      <c r="A54" s="518"/>
      <c r="B54" s="99"/>
      <c r="C54" s="114"/>
      <c r="D54" s="114"/>
      <c r="E54" s="114"/>
      <c r="F54" s="115"/>
      <c r="G54" s="115"/>
      <c r="H54" s="105">
        <f t="shared" si="0"/>
        <v>0</v>
      </c>
      <c r="I54" s="69"/>
    </row>
    <row r="55" spans="1:9" ht="15.95" customHeight="1">
      <c r="A55" s="518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9" t="s">
        <v>72</v>
      </c>
      <c r="B57" s="137" t="s">
        <v>70</v>
      </c>
      <c r="C57" s="71"/>
      <c r="D57" s="75"/>
      <c r="E57" s="106" t="s">
        <v>51</v>
      </c>
      <c r="F57" s="116"/>
      <c r="G57" s="116"/>
      <c r="H57" s="49">
        <f>F57*G57</f>
        <v>0</v>
      </c>
      <c r="I57" s="72"/>
    </row>
    <row r="58" spans="1:9" ht="15.95" customHeight="1">
      <c r="A58" s="518"/>
      <c r="B58" s="138" t="s">
        <v>109</v>
      </c>
      <c r="C58" s="141"/>
      <c r="D58" s="76"/>
      <c r="E58" s="107" t="s">
        <v>50</v>
      </c>
      <c r="F58" s="113"/>
      <c r="G58" s="113"/>
      <c r="H58" s="104">
        <f t="shared" ref="H58:H64" si="1">F58*G58</f>
        <v>0</v>
      </c>
      <c r="I58" s="73"/>
    </row>
    <row r="59" spans="1:9" ht="15.95" customHeight="1">
      <c r="A59" s="518"/>
      <c r="B59" s="170" t="s">
        <v>110</v>
      </c>
      <c r="C59" s="142"/>
      <c r="D59" s="77"/>
      <c r="E59" s="108" t="s">
        <v>50</v>
      </c>
      <c r="F59" s="67"/>
      <c r="G59" s="67"/>
      <c r="H59" s="100">
        <f t="shared" si="1"/>
        <v>0</v>
      </c>
      <c r="I59" s="68"/>
    </row>
    <row r="60" spans="1:9" ht="15.95" customHeight="1">
      <c r="A60" s="518"/>
      <c r="B60" s="139" t="s">
        <v>111</v>
      </c>
      <c r="C60" s="142"/>
      <c r="D60" s="77"/>
      <c r="E60" s="108" t="s">
        <v>50</v>
      </c>
      <c r="F60" s="67"/>
      <c r="G60" s="67"/>
      <c r="H60" s="100">
        <f t="shared" si="1"/>
        <v>0</v>
      </c>
      <c r="I60" s="68"/>
    </row>
    <row r="61" spans="1:9" ht="15.95" customHeight="1">
      <c r="A61" s="518"/>
      <c r="B61" s="139" t="s">
        <v>112</v>
      </c>
      <c r="C61" s="142"/>
      <c r="D61" s="77"/>
      <c r="E61" s="108" t="s">
        <v>50</v>
      </c>
      <c r="F61" s="67"/>
      <c r="G61" s="67"/>
      <c r="H61" s="100">
        <f t="shared" si="1"/>
        <v>0</v>
      </c>
      <c r="I61" s="68"/>
    </row>
    <row r="62" spans="1:9" ht="15.95" customHeight="1">
      <c r="A62" s="518"/>
      <c r="B62" s="139" t="s">
        <v>113</v>
      </c>
      <c r="C62" s="142"/>
      <c r="D62" s="77"/>
      <c r="E62" s="108" t="s">
        <v>50</v>
      </c>
      <c r="F62" s="67"/>
      <c r="G62" s="67"/>
      <c r="H62" s="100">
        <f t="shared" si="1"/>
        <v>0</v>
      </c>
      <c r="I62" s="68"/>
    </row>
    <row r="63" spans="1:9" ht="15.95" customHeight="1">
      <c r="A63" s="518"/>
      <c r="B63" s="139" t="s">
        <v>114</v>
      </c>
      <c r="C63" s="142"/>
      <c r="D63" s="77"/>
      <c r="E63" s="108" t="s">
        <v>50</v>
      </c>
      <c r="F63" s="67"/>
      <c r="G63" s="67"/>
      <c r="H63" s="100">
        <f t="shared" si="1"/>
        <v>0</v>
      </c>
      <c r="I63" s="68"/>
    </row>
    <row r="64" spans="1:9" ht="15.95" customHeight="1">
      <c r="A64" s="518"/>
      <c r="B64" s="140" t="s">
        <v>115</v>
      </c>
      <c r="C64" s="143"/>
      <c r="D64" s="78"/>
      <c r="E64" s="109" t="s">
        <v>50</v>
      </c>
      <c r="F64" s="115"/>
      <c r="G64" s="115"/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'단위공사별(집계)'!L12+'단위공사별(집계)'!I12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00B050"/>
    <pageSetUpPr fitToPage="1"/>
  </sheetPr>
  <dimension ref="A1:I70"/>
  <sheetViews>
    <sheetView zoomScale="85" workbookViewId="0">
      <pane xSplit="2" ySplit="2" topLeftCell="C18" activePane="bottomRight" state="frozen"/>
      <selection activeCell="B69" sqref="B69"/>
      <selection pane="topRight" activeCell="B69" sqref="B69"/>
      <selection pane="bottomLeft" activeCell="B69" sqref="B69"/>
      <selection pane="bottomRight" activeCell="C3" sqref="C3:G36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438" t="s">
        <v>31</v>
      </c>
      <c r="B2" s="513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6" t="s">
        <v>82</v>
      </c>
      <c r="B3" s="99" t="s">
        <v>37</v>
      </c>
      <c r="C3" s="112"/>
      <c r="D3" s="112"/>
      <c r="E3" s="346"/>
      <c r="F3" s="347"/>
      <c r="G3" s="113"/>
      <c r="H3" s="104">
        <f>IF(F3=0,G3,G3*F3)</f>
        <v>0</v>
      </c>
      <c r="I3" s="73"/>
    </row>
    <row r="4" spans="1:9" ht="15.95" customHeight="1">
      <c r="A4" s="518"/>
      <c r="B4" s="99"/>
      <c r="C4" s="66"/>
      <c r="D4" s="66"/>
      <c r="E4" s="326"/>
      <c r="F4" s="343"/>
      <c r="G4" s="67"/>
      <c r="H4" s="100">
        <f>IF(F4=0,G4,G4*F4)</f>
        <v>0</v>
      </c>
      <c r="I4" s="68"/>
    </row>
    <row r="5" spans="1:9" ht="15.95" customHeight="1">
      <c r="A5" s="518"/>
      <c r="B5" s="99"/>
      <c r="C5" s="66"/>
      <c r="D5" s="66"/>
      <c r="E5" s="326"/>
      <c r="F5" s="343"/>
      <c r="G5" s="67"/>
      <c r="H5" s="100">
        <f t="shared" ref="H5:H54" si="0">IF(F5=0,G5,G5*F5)</f>
        <v>0</v>
      </c>
      <c r="I5" s="68"/>
    </row>
    <row r="6" spans="1:9" ht="15.95" customHeight="1">
      <c r="A6" s="518"/>
      <c r="B6" s="99"/>
      <c r="C6" s="66"/>
      <c r="D6" s="66"/>
      <c r="E6" s="326"/>
      <c r="F6" s="343"/>
      <c r="G6" s="67"/>
      <c r="H6" s="100">
        <f t="shared" si="0"/>
        <v>0</v>
      </c>
      <c r="I6" s="68"/>
    </row>
    <row r="7" spans="1:9" ht="15.95" customHeight="1">
      <c r="A7" s="518"/>
      <c r="B7" s="99"/>
      <c r="C7" s="66"/>
      <c r="D7" s="66"/>
      <c r="E7" s="326"/>
      <c r="F7" s="343"/>
      <c r="G7" s="67"/>
      <c r="H7" s="100">
        <f t="shared" si="0"/>
        <v>0</v>
      </c>
      <c r="I7" s="68"/>
    </row>
    <row r="8" spans="1:9" ht="15.95" customHeight="1">
      <c r="A8" s="518"/>
      <c r="B8" s="99"/>
      <c r="C8" s="66"/>
      <c r="D8" s="66"/>
      <c r="E8" s="326"/>
      <c r="F8" s="343"/>
      <c r="G8" s="67"/>
      <c r="H8" s="100">
        <f t="shared" si="0"/>
        <v>0</v>
      </c>
      <c r="I8" s="68"/>
    </row>
    <row r="9" spans="1:9" ht="15.95" customHeight="1">
      <c r="A9" s="518"/>
      <c r="B9" s="99"/>
      <c r="C9" s="66"/>
      <c r="D9" s="66"/>
      <c r="E9" s="326"/>
      <c r="F9" s="343"/>
      <c r="G9" s="67"/>
      <c r="H9" s="100">
        <f t="shared" si="0"/>
        <v>0</v>
      </c>
      <c r="I9" s="68"/>
    </row>
    <row r="10" spans="1:9" ht="15.95" customHeight="1">
      <c r="A10" s="518"/>
      <c r="B10" s="99"/>
      <c r="C10" s="66"/>
      <c r="D10" s="66"/>
      <c r="E10" s="326"/>
      <c r="F10" s="343"/>
      <c r="G10" s="67"/>
      <c r="H10" s="100">
        <f t="shared" si="0"/>
        <v>0</v>
      </c>
      <c r="I10" s="68"/>
    </row>
    <row r="11" spans="1:9" ht="15.95" customHeight="1">
      <c r="A11" s="518"/>
      <c r="B11" s="99"/>
      <c r="C11" s="66"/>
      <c r="D11" s="66"/>
      <c r="E11" s="326"/>
      <c r="F11" s="343"/>
      <c r="G11" s="67"/>
      <c r="H11" s="100">
        <f t="shared" si="0"/>
        <v>0</v>
      </c>
      <c r="I11" s="68"/>
    </row>
    <row r="12" spans="1:9" ht="15.95" customHeight="1">
      <c r="A12" s="518"/>
      <c r="B12" s="99"/>
      <c r="C12" s="66"/>
      <c r="D12" s="66"/>
      <c r="E12" s="326"/>
      <c r="F12" s="343"/>
      <c r="G12" s="67"/>
      <c r="H12" s="100">
        <f t="shared" si="0"/>
        <v>0</v>
      </c>
      <c r="I12" s="68"/>
    </row>
    <row r="13" spans="1:9" ht="15.95" customHeight="1">
      <c r="A13" s="518"/>
      <c r="B13" s="99"/>
      <c r="C13" s="66"/>
      <c r="D13" s="66"/>
      <c r="E13" s="326"/>
      <c r="F13" s="343"/>
      <c r="G13" s="67"/>
      <c r="H13" s="100">
        <f t="shared" si="0"/>
        <v>0</v>
      </c>
      <c r="I13" s="68"/>
    </row>
    <row r="14" spans="1:9" ht="15.95" customHeight="1">
      <c r="A14" s="518"/>
      <c r="B14" s="99"/>
      <c r="C14" s="66"/>
      <c r="D14" s="66"/>
      <c r="E14" s="326"/>
      <c r="F14" s="343"/>
      <c r="G14" s="67"/>
      <c r="H14" s="100">
        <f t="shared" si="0"/>
        <v>0</v>
      </c>
      <c r="I14" s="68"/>
    </row>
    <row r="15" spans="1:9" ht="15.95" customHeight="1">
      <c r="A15" s="518"/>
      <c r="B15" s="99"/>
      <c r="C15" s="66"/>
      <c r="D15" s="66"/>
      <c r="E15" s="326"/>
      <c r="F15" s="343"/>
      <c r="G15" s="67"/>
      <c r="H15" s="100">
        <f t="shared" si="0"/>
        <v>0</v>
      </c>
      <c r="I15" s="68"/>
    </row>
    <row r="16" spans="1:9" ht="15.95" customHeight="1">
      <c r="A16" s="518"/>
      <c r="B16" s="99"/>
      <c r="C16" s="66"/>
      <c r="D16" s="66"/>
      <c r="E16" s="326"/>
      <c r="F16" s="343"/>
      <c r="G16" s="67"/>
      <c r="H16" s="100">
        <f t="shared" si="0"/>
        <v>0</v>
      </c>
      <c r="I16" s="68"/>
    </row>
    <row r="17" spans="1:9" ht="15.95" customHeight="1">
      <c r="A17" s="518"/>
      <c r="B17" s="99"/>
      <c r="C17" s="66"/>
      <c r="D17" s="66"/>
      <c r="E17" s="326"/>
      <c r="F17" s="343"/>
      <c r="G17" s="67"/>
      <c r="H17" s="100">
        <f t="shared" si="0"/>
        <v>0</v>
      </c>
      <c r="I17" s="68"/>
    </row>
    <row r="18" spans="1:9" ht="15.95" customHeight="1">
      <c r="A18" s="518"/>
      <c r="B18" s="99"/>
      <c r="C18" s="66"/>
      <c r="D18" s="66"/>
      <c r="E18" s="326"/>
      <c r="F18" s="343"/>
      <c r="G18" s="67"/>
      <c r="H18" s="100">
        <f t="shared" si="0"/>
        <v>0</v>
      </c>
      <c r="I18" s="68"/>
    </row>
    <row r="19" spans="1:9" ht="15.95" customHeight="1">
      <c r="A19" s="518"/>
      <c r="B19" s="99"/>
      <c r="C19" s="66"/>
      <c r="D19" s="66"/>
      <c r="E19" s="326"/>
      <c r="F19" s="343"/>
      <c r="G19" s="67"/>
      <c r="H19" s="100">
        <f t="shared" si="0"/>
        <v>0</v>
      </c>
      <c r="I19" s="68"/>
    </row>
    <row r="20" spans="1:9" ht="15.95" customHeight="1">
      <c r="A20" s="518"/>
      <c r="B20" s="99"/>
      <c r="C20" s="66"/>
      <c r="D20" s="66"/>
      <c r="E20" s="326"/>
      <c r="F20" s="343"/>
      <c r="G20" s="67"/>
      <c r="H20" s="100">
        <f t="shared" si="0"/>
        <v>0</v>
      </c>
      <c r="I20" s="68"/>
    </row>
    <row r="21" spans="1:9" ht="15.95" customHeight="1">
      <c r="A21" s="518"/>
      <c r="B21" s="99"/>
      <c r="C21" s="66"/>
      <c r="D21" s="66"/>
      <c r="E21" s="326"/>
      <c r="F21" s="343"/>
      <c r="G21" s="67"/>
      <c r="H21" s="100">
        <f t="shared" si="0"/>
        <v>0</v>
      </c>
      <c r="I21" s="68"/>
    </row>
    <row r="22" spans="1:9" ht="15.95" customHeight="1">
      <c r="A22" s="518"/>
      <c r="B22" s="99"/>
      <c r="C22" s="66"/>
      <c r="D22" s="66"/>
      <c r="E22" s="326"/>
      <c r="F22" s="343"/>
      <c r="G22" s="67"/>
      <c r="H22" s="100">
        <f t="shared" si="0"/>
        <v>0</v>
      </c>
      <c r="I22" s="68"/>
    </row>
    <row r="23" spans="1:9" ht="15.95" customHeight="1">
      <c r="A23" s="518"/>
      <c r="B23" s="99"/>
      <c r="C23" s="114"/>
      <c r="D23" s="276"/>
      <c r="E23" s="333"/>
      <c r="F23" s="334"/>
      <c r="G23" s="277"/>
      <c r="H23" s="278">
        <f t="shared" si="0"/>
        <v>0</v>
      </c>
      <c r="I23" s="279"/>
    </row>
    <row r="24" spans="1:9" ht="15.95" customHeight="1">
      <c r="A24" s="518"/>
      <c r="B24" s="70"/>
      <c r="C24" s="282"/>
      <c r="D24" s="282"/>
      <c r="E24" s="282"/>
      <c r="F24" s="283"/>
      <c r="G24" s="283"/>
      <c r="H24" s="284">
        <f>SUM(H3:H23)</f>
        <v>0</v>
      </c>
      <c r="I24" s="282"/>
    </row>
    <row r="25" spans="1:9" ht="15.95" customHeight="1">
      <c r="A25" s="518"/>
      <c r="B25" s="99" t="s">
        <v>160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>
      <c r="A26" s="518"/>
      <c r="B26" s="99" t="s">
        <v>161</v>
      </c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8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8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8"/>
      <c r="B29" s="99"/>
      <c r="C29" s="114"/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8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8"/>
      <c r="B31" s="103" t="s">
        <v>38</v>
      </c>
      <c r="C31" s="112"/>
      <c r="D31" s="112"/>
      <c r="E31" s="346"/>
      <c r="F31" s="347"/>
      <c r="G31" s="113"/>
      <c r="H31" s="104">
        <f t="shared" si="0"/>
        <v>0</v>
      </c>
      <c r="I31" s="73"/>
    </row>
    <row r="32" spans="1:9" ht="15.95" customHeight="1">
      <c r="A32" s="518"/>
      <c r="B32" s="99" t="s">
        <v>45</v>
      </c>
      <c r="C32" s="66"/>
      <c r="D32" s="66"/>
      <c r="E32" s="326"/>
      <c r="F32" s="343"/>
      <c r="G32" s="67"/>
      <c r="H32" s="100">
        <f t="shared" si="0"/>
        <v>0</v>
      </c>
      <c r="I32" s="68"/>
    </row>
    <row r="33" spans="1:9" ht="15.95" customHeight="1">
      <c r="A33" s="518"/>
      <c r="B33" s="99"/>
      <c r="C33" s="66"/>
      <c r="D33" s="66"/>
      <c r="E33" s="326"/>
      <c r="F33" s="343"/>
      <c r="G33" s="67"/>
      <c r="H33" s="100">
        <f t="shared" si="0"/>
        <v>0</v>
      </c>
      <c r="I33" s="68"/>
    </row>
    <row r="34" spans="1:9" ht="15.95" customHeight="1">
      <c r="A34" s="518"/>
      <c r="B34" s="99"/>
      <c r="C34" s="66"/>
      <c r="D34" s="66"/>
      <c r="E34" s="326"/>
      <c r="F34" s="343"/>
      <c r="G34" s="67"/>
      <c r="H34" s="100">
        <f t="shared" si="0"/>
        <v>0</v>
      </c>
      <c r="I34" s="68"/>
    </row>
    <row r="35" spans="1:9" ht="15.95" customHeight="1">
      <c r="A35" s="518"/>
      <c r="B35" s="99"/>
      <c r="C35" s="66"/>
      <c r="D35" s="66"/>
      <c r="E35" s="326"/>
      <c r="F35" s="343"/>
      <c r="G35" s="67"/>
      <c r="H35" s="100">
        <f t="shared" si="0"/>
        <v>0</v>
      </c>
      <c r="I35" s="68"/>
    </row>
    <row r="36" spans="1:9" ht="15.95" customHeight="1">
      <c r="A36" s="518"/>
      <c r="B36" s="99"/>
      <c r="C36" s="66"/>
      <c r="D36" s="66"/>
      <c r="E36" s="326"/>
      <c r="F36" s="343"/>
      <c r="G36" s="67"/>
      <c r="H36" s="100">
        <f t="shared" si="0"/>
        <v>0</v>
      </c>
      <c r="I36" s="68"/>
    </row>
    <row r="37" spans="1:9" ht="15.95" customHeight="1">
      <c r="A37" s="518"/>
      <c r="B37" s="99"/>
      <c r="C37" s="66"/>
      <c r="D37" s="66"/>
      <c r="E37" s="66"/>
      <c r="F37" s="67"/>
      <c r="G37" s="67"/>
      <c r="H37" s="100">
        <f t="shared" si="0"/>
        <v>0</v>
      </c>
      <c r="I37" s="68"/>
    </row>
    <row r="38" spans="1:9" ht="15.95" customHeight="1">
      <c r="A38" s="518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8"/>
      <c r="B39" s="99"/>
      <c r="C39" s="66"/>
      <c r="D39" s="66"/>
      <c r="E39" s="66"/>
      <c r="F39" s="67"/>
      <c r="G39" s="67"/>
      <c r="H39" s="100">
        <f t="shared" si="0"/>
        <v>0</v>
      </c>
      <c r="I39" s="68"/>
    </row>
    <row r="40" spans="1:9" ht="15.95" customHeight="1">
      <c r="A40" s="518"/>
      <c r="B40" s="99"/>
      <c r="C40" s="66"/>
      <c r="D40" s="66"/>
      <c r="E40" s="66"/>
      <c r="F40" s="67"/>
      <c r="G40" s="67"/>
      <c r="H40" s="100">
        <f t="shared" si="0"/>
        <v>0</v>
      </c>
      <c r="I40" s="68"/>
    </row>
    <row r="41" spans="1:9" ht="15.95" customHeight="1">
      <c r="A41" s="518"/>
      <c r="B41" s="99"/>
      <c r="C41" s="66"/>
      <c r="D41" s="66"/>
      <c r="E41" s="66"/>
      <c r="F41" s="67"/>
      <c r="G41" s="67"/>
      <c r="H41" s="100">
        <f t="shared" si="0"/>
        <v>0</v>
      </c>
      <c r="I41" s="68"/>
    </row>
    <row r="42" spans="1:9" ht="15.95" customHeight="1">
      <c r="A42" s="518"/>
      <c r="B42" s="99"/>
      <c r="C42" s="66"/>
      <c r="D42" s="66"/>
      <c r="E42" s="66"/>
      <c r="F42" s="67"/>
      <c r="G42" s="67"/>
      <c r="H42" s="100">
        <f t="shared" si="0"/>
        <v>0</v>
      </c>
      <c r="I42" s="68"/>
    </row>
    <row r="43" spans="1:9" ht="15.95" customHeight="1">
      <c r="A43" s="518"/>
      <c r="B43" s="99"/>
      <c r="C43" s="66"/>
      <c r="D43" s="66"/>
      <c r="E43" s="66"/>
      <c r="F43" s="67"/>
      <c r="G43" s="67"/>
      <c r="H43" s="100">
        <f t="shared" si="0"/>
        <v>0</v>
      </c>
      <c r="I43" s="68"/>
    </row>
    <row r="44" spans="1:9" ht="15.95" customHeight="1">
      <c r="A44" s="518"/>
      <c r="B44" s="99"/>
      <c r="C44" s="66"/>
      <c r="D44" s="66"/>
      <c r="E44" s="66"/>
      <c r="F44" s="67"/>
      <c r="G44" s="67"/>
      <c r="H44" s="100">
        <f t="shared" si="0"/>
        <v>0</v>
      </c>
      <c r="I44" s="68"/>
    </row>
    <row r="45" spans="1:9" ht="15.95" customHeight="1">
      <c r="A45" s="518"/>
      <c r="B45" s="99"/>
      <c r="C45" s="66"/>
      <c r="D45" s="66"/>
      <c r="E45" s="66"/>
      <c r="F45" s="67"/>
      <c r="G45" s="67"/>
      <c r="H45" s="100">
        <f t="shared" si="0"/>
        <v>0</v>
      </c>
      <c r="I45" s="68"/>
    </row>
    <row r="46" spans="1:9" ht="15.95" customHeight="1">
      <c r="A46" s="518"/>
      <c r="B46" s="99"/>
      <c r="C46" s="114"/>
      <c r="D46" s="114"/>
      <c r="E46" s="340"/>
      <c r="F46" s="341"/>
      <c r="G46" s="115"/>
      <c r="H46" s="105">
        <f t="shared" si="0"/>
        <v>0</v>
      </c>
      <c r="I46" s="69"/>
    </row>
    <row r="47" spans="1:9" ht="15.95" customHeight="1">
      <c r="A47" s="518"/>
      <c r="B47" s="70"/>
      <c r="C47" s="102"/>
      <c r="D47" s="92"/>
      <c r="E47" s="92"/>
      <c r="F47" s="37"/>
      <c r="G47" s="37"/>
      <c r="H47" s="27">
        <f>SUM(H31:H46)</f>
        <v>0</v>
      </c>
      <c r="I47" s="72"/>
    </row>
    <row r="48" spans="1:9" ht="15.95" customHeight="1">
      <c r="A48" s="518"/>
      <c r="B48" s="103" t="s">
        <v>39</v>
      </c>
      <c r="C48" s="112"/>
      <c r="D48" s="112"/>
      <c r="E48" s="346"/>
      <c r="F48" s="347"/>
      <c r="G48" s="113"/>
      <c r="H48" s="104">
        <f t="shared" si="0"/>
        <v>0</v>
      </c>
      <c r="I48" s="73"/>
    </row>
    <row r="49" spans="1:9" ht="15.95" customHeight="1">
      <c r="A49" s="518"/>
      <c r="B49" s="99"/>
      <c r="C49" s="66"/>
      <c r="D49" s="66"/>
      <c r="E49" s="326"/>
      <c r="F49" s="343"/>
      <c r="G49" s="67"/>
      <c r="H49" s="100">
        <f t="shared" si="0"/>
        <v>0</v>
      </c>
      <c r="I49" s="68"/>
    </row>
    <row r="50" spans="1:9" ht="15.95" customHeight="1">
      <c r="A50" s="518"/>
      <c r="B50" s="99"/>
      <c r="C50" s="66"/>
      <c r="D50" s="66"/>
      <c r="E50" s="326"/>
      <c r="F50" s="343"/>
      <c r="G50" s="67"/>
      <c r="H50" s="100">
        <f t="shared" si="0"/>
        <v>0</v>
      </c>
      <c r="I50" s="68"/>
    </row>
    <row r="51" spans="1:9" ht="15.95" customHeight="1">
      <c r="A51" s="518"/>
      <c r="B51" s="99"/>
      <c r="C51" s="66"/>
      <c r="D51" s="66"/>
      <c r="E51" s="326"/>
      <c r="F51" s="343"/>
      <c r="G51" s="67"/>
      <c r="H51" s="100">
        <f t="shared" si="0"/>
        <v>0</v>
      </c>
      <c r="I51" s="68"/>
    </row>
    <row r="52" spans="1:9" ht="15.95" customHeight="1">
      <c r="A52" s="518"/>
      <c r="B52" s="99"/>
      <c r="C52" s="66"/>
      <c r="D52" s="66"/>
      <c r="E52" s="326"/>
      <c r="F52" s="343"/>
      <c r="G52" s="67"/>
      <c r="H52" s="100">
        <f t="shared" si="0"/>
        <v>0</v>
      </c>
      <c r="I52" s="68"/>
    </row>
    <row r="53" spans="1:9" ht="15.95" customHeight="1">
      <c r="A53" s="518"/>
      <c r="B53" s="99"/>
      <c r="C53" s="66"/>
      <c r="D53" s="66"/>
      <c r="E53" s="326"/>
      <c r="F53" s="343"/>
      <c r="G53" s="67"/>
      <c r="H53" s="100">
        <f t="shared" si="0"/>
        <v>0</v>
      </c>
      <c r="I53" s="68"/>
    </row>
    <row r="54" spans="1:9" ht="15.95" customHeight="1">
      <c r="A54" s="518"/>
      <c r="B54" s="99"/>
      <c r="C54" s="114"/>
      <c r="D54" s="114"/>
      <c r="E54" s="340"/>
      <c r="F54" s="341"/>
      <c r="G54" s="115"/>
      <c r="H54" s="105">
        <f t="shared" si="0"/>
        <v>0</v>
      </c>
      <c r="I54" s="69"/>
    </row>
    <row r="55" spans="1:9" ht="15.95" customHeight="1">
      <c r="A55" s="518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9" t="s">
        <v>72</v>
      </c>
      <c r="B57" s="137" t="s">
        <v>70</v>
      </c>
      <c r="C57" s="71"/>
      <c r="D57" s="75"/>
      <c r="E57" s="106" t="s">
        <v>51</v>
      </c>
      <c r="F57" s="116"/>
      <c r="G57" s="116"/>
      <c r="H57" s="49">
        <f>F57*G57</f>
        <v>0</v>
      </c>
      <c r="I57" s="72"/>
    </row>
    <row r="58" spans="1:9" ht="15.95" customHeight="1">
      <c r="A58" s="518"/>
      <c r="B58" s="138" t="s">
        <v>109</v>
      </c>
      <c r="C58" s="141"/>
      <c r="D58" s="76"/>
      <c r="E58" s="107" t="s">
        <v>50</v>
      </c>
      <c r="F58" s="113"/>
      <c r="G58" s="113"/>
      <c r="H58" s="104">
        <f t="shared" ref="H58:H64" si="1">F58*G58</f>
        <v>0</v>
      </c>
      <c r="I58" s="73"/>
    </row>
    <row r="59" spans="1:9" ht="15.95" customHeight="1">
      <c r="A59" s="518"/>
      <c r="B59" s="170" t="s">
        <v>110</v>
      </c>
      <c r="C59" s="142"/>
      <c r="D59" s="77"/>
      <c r="E59" s="108" t="s">
        <v>50</v>
      </c>
      <c r="F59" s="67"/>
      <c r="G59" s="67"/>
      <c r="H59" s="100">
        <f t="shared" si="1"/>
        <v>0</v>
      </c>
      <c r="I59" s="68"/>
    </row>
    <row r="60" spans="1:9" ht="15.95" customHeight="1">
      <c r="A60" s="518"/>
      <c r="B60" s="139" t="s">
        <v>111</v>
      </c>
      <c r="C60" s="142"/>
      <c r="D60" s="77"/>
      <c r="E60" s="108" t="s">
        <v>50</v>
      </c>
      <c r="F60" s="67"/>
      <c r="G60" s="67"/>
      <c r="H60" s="100">
        <f t="shared" si="1"/>
        <v>0</v>
      </c>
      <c r="I60" s="68"/>
    </row>
    <row r="61" spans="1:9" ht="15.95" customHeight="1">
      <c r="A61" s="518"/>
      <c r="B61" s="139" t="s">
        <v>112</v>
      </c>
      <c r="C61" s="142"/>
      <c r="D61" s="77"/>
      <c r="E61" s="108" t="s">
        <v>50</v>
      </c>
      <c r="F61" s="67"/>
      <c r="G61" s="67"/>
      <c r="H61" s="100">
        <f t="shared" si="1"/>
        <v>0</v>
      </c>
      <c r="I61" s="68"/>
    </row>
    <row r="62" spans="1:9" ht="15.95" customHeight="1">
      <c r="A62" s="518"/>
      <c r="B62" s="139" t="s">
        <v>113</v>
      </c>
      <c r="C62" s="142"/>
      <c r="D62" s="77"/>
      <c r="E62" s="108" t="s">
        <v>50</v>
      </c>
      <c r="F62" s="67"/>
      <c r="G62" s="67"/>
      <c r="H62" s="100">
        <f t="shared" si="1"/>
        <v>0</v>
      </c>
      <c r="I62" s="68"/>
    </row>
    <row r="63" spans="1:9" ht="15.95" customHeight="1">
      <c r="A63" s="518"/>
      <c r="B63" s="139" t="s">
        <v>114</v>
      </c>
      <c r="C63" s="142"/>
      <c r="D63" s="77"/>
      <c r="E63" s="108" t="s">
        <v>50</v>
      </c>
      <c r="F63" s="67"/>
      <c r="G63" s="67"/>
      <c r="H63" s="100">
        <f t="shared" si="1"/>
        <v>0</v>
      </c>
      <c r="I63" s="68"/>
    </row>
    <row r="64" spans="1:9" ht="15.95" customHeight="1">
      <c r="A64" s="518"/>
      <c r="B64" s="140" t="s">
        <v>115</v>
      </c>
      <c r="C64" s="143"/>
      <c r="D64" s="78"/>
      <c r="E64" s="109" t="s">
        <v>50</v>
      </c>
      <c r="F64" s="115"/>
      <c r="G64" s="115"/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'단위공사별(집계)'!L13+'단위공사별(집계)'!I13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B050"/>
    <pageSetUpPr fitToPage="1"/>
  </sheetPr>
  <dimension ref="A1:I70"/>
  <sheetViews>
    <sheetView zoomScale="85" workbookViewId="0">
      <pane xSplit="2" ySplit="2" topLeftCell="C45" activePane="bottomRight" state="frozen"/>
      <selection activeCell="B69" sqref="B69"/>
      <selection pane="topRight" activeCell="B69" sqref="B69"/>
      <selection pane="bottomLeft" activeCell="B69" sqref="B69"/>
      <selection pane="bottomRight" activeCell="G57" sqref="G57:G64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438" t="s">
        <v>31</v>
      </c>
      <c r="B2" s="513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6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3"/>
    </row>
    <row r="4" spans="1:9" ht="15.95" customHeight="1">
      <c r="A4" s="518"/>
      <c r="B4" s="99"/>
      <c r="C4" s="66"/>
      <c r="D4" s="66"/>
      <c r="E4" s="66"/>
      <c r="F4" s="67"/>
      <c r="G4" s="67"/>
      <c r="H4" s="100">
        <f>IF(F4=0,G4,G4*F4)</f>
        <v>0</v>
      </c>
      <c r="I4" s="68"/>
    </row>
    <row r="5" spans="1:9" ht="15.95" customHeight="1">
      <c r="A5" s="518"/>
      <c r="B5" s="99"/>
      <c r="C5" s="66"/>
      <c r="D5" s="66"/>
      <c r="E5" s="66"/>
      <c r="F5" s="67"/>
      <c r="G5" s="67"/>
      <c r="H5" s="100">
        <f t="shared" ref="H5:H54" si="0">IF(F5=0,G5,G5*F5)</f>
        <v>0</v>
      </c>
      <c r="I5" s="68"/>
    </row>
    <row r="6" spans="1:9" ht="15.95" customHeight="1">
      <c r="A6" s="518"/>
      <c r="B6" s="99"/>
      <c r="C6" s="66"/>
      <c r="D6" s="66"/>
      <c r="E6" s="66"/>
      <c r="F6" s="67"/>
      <c r="G6" s="67"/>
      <c r="H6" s="100">
        <f t="shared" si="0"/>
        <v>0</v>
      </c>
      <c r="I6" s="68"/>
    </row>
    <row r="7" spans="1:9" ht="15.95" customHeight="1">
      <c r="A7" s="518"/>
      <c r="B7" s="99"/>
      <c r="C7" s="66"/>
      <c r="D7" s="66"/>
      <c r="E7" s="66"/>
      <c r="F7" s="67"/>
      <c r="G7" s="67"/>
      <c r="H7" s="100">
        <f t="shared" si="0"/>
        <v>0</v>
      </c>
      <c r="I7" s="68"/>
    </row>
    <row r="8" spans="1:9" ht="15.95" customHeight="1">
      <c r="A8" s="518"/>
      <c r="B8" s="99"/>
      <c r="C8" s="66"/>
      <c r="D8" s="66"/>
      <c r="E8" s="66"/>
      <c r="F8" s="67"/>
      <c r="G8" s="67"/>
      <c r="H8" s="100">
        <f t="shared" si="0"/>
        <v>0</v>
      </c>
      <c r="I8" s="68"/>
    </row>
    <row r="9" spans="1:9" ht="15.95" customHeight="1">
      <c r="A9" s="518"/>
      <c r="B9" s="99"/>
      <c r="C9" s="66"/>
      <c r="D9" s="66"/>
      <c r="E9" s="66"/>
      <c r="F9" s="67"/>
      <c r="G9" s="67"/>
      <c r="H9" s="100">
        <f t="shared" si="0"/>
        <v>0</v>
      </c>
      <c r="I9" s="68"/>
    </row>
    <row r="10" spans="1:9" ht="15.95" customHeight="1">
      <c r="A10" s="518"/>
      <c r="B10" s="99"/>
      <c r="C10" s="66"/>
      <c r="D10" s="66"/>
      <c r="E10" s="66"/>
      <c r="F10" s="67"/>
      <c r="G10" s="67"/>
      <c r="H10" s="100">
        <f t="shared" si="0"/>
        <v>0</v>
      </c>
      <c r="I10" s="68"/>
    </row>
    <row r="11" spans="1:9" ht="15.95" customHeight="1">
      <c r="A11" s="518"/>
      <c r="B11" s="99"/>
      <c r="C11" s="66"/>
      <c r="D11" s="66"/>
      <c r="E11" s="66"/>
      <c r="F11" s="67"/>
      <c r="G11" s="67"/>
      <c r="H11" s="100">
        <f t="shared" si="0"/>
        <v>0</v>
      </c>
      <c r="I11" s="68"/>
    </row>
    <row r="12" spans="1:9" ht="15.95" customHeight="1">
      <c r="A12" s="518"/>
      <c r="B12" s="99"/>
      <c r="C12" s="66"/>
      <c r="D12" s="66"/>
      <c r="E12" s="66"/>
      <c r="F12" s="67"/>
      <c r="G12" s="67"/>
      <c r="H12" s="100">
        <f t="shared" si="0"/>
        <v>0</v>
      </c>
      <c r="I12" s="68"/>
    </row>
    <row r="13" spans="1:9" ht="15.95" customHeight="1">
      <c r="A13" s="518"/>
      <c r="B13" s="99"/>
      <c r="C13" s="66"/>
      <c r="D13" s="66"/>
      <c r="E13" s="66"/>
      <c r="F13" s="67"/>
      <c r="G13" s="67"/>
      <c r="H13" s="100">
        <f t="shared" si="0"/>
        <v>0</v>
      </c>
      <c r="I13" s="68"/>
    </row>
    <row r="14" spans="1:9" ht="15.95" customHeight="1">
      <c r="A14" s="518"/>
      <c r="B14" s="99"/>
      <c r="C14" s="66"/>
      <c r="D14" s="66"/>
      <c r="E14" s="66"/>
      <c r="F14" s="67"/>
      <c r="G14" s="67"/>
      <c r="H14" s="100">
        <f t="shared" si="0"/>
        <v>0</v>
      </c>
      <c r="I14" s="68"/>
    </row>
    <row r="15" spans="1:9" ht="15.95" customHeight="1">
      <c r="A15" s="518"/>
      <c r="B15" s="99"/>
      <c r="C15" s="66"/>
      <c r="D15" s="66"/>
      <c r="E15" s="66"/>
      <c r="F15" s="67"/>
      <c r="G15" s="67"/>
      <c r="H15" s="100">
        <f t="shared" si="0"/>
        <v>0</v>
      </c>
      <c r="I15" s="68"/>
    </row>
    <row r="16" spans="1:9" ht="15.95" customHeight="1">
      <c r="A16" s="518"/>
      <c r="B16" s="99"/>
      <c r="C16" s="66"/>
      <c r="D16" s="66"/>
      <c r="E16" s="66"/>
      <c r="F16" s="67"/>
      <c r="G16" s="67"/>
      <c r="H16" s="100">
        <f t="shared" si="0"/>
        <v>0</v>
      </c>
      <c r="I16" s="68"/>
    </row>
    <row r="17" spans="1:9" ht="15.95" customHeight="1">
      <c r="A17" s="518"/>
      <c r="B17" s="99"/>
      <c r="C17" s="66"/>
      <c r="D17" s="66"/>
      <c r="E17" s="66"/>
      <c r="F17" s="67"/>
      <c r="G17" s="67"/>
      <c r="H17" s="100">
        <f t="shared" si="0"/>
        <v>0</v>
      </c>
      <c r="I17" s="68"/>
    </row>
    <row r="18" spans="1:9" ht="15.95" customHeight="1">
      <c r="A18" s="518"/>
      <c r="B18" s="99"/>
      <c r="C18" s="66"/>
      <c r="D18" s="66"/>
      <c r="E18" s="66"/>
      <c r="F18" s="67"/>
      <c r="G18" s="67"/>
      <c r="H18" s="100">
        <f t="shared" si="0"/>
        <v>0</v>
      </c>
      <c r="I18" s="68"/>
    </row>
    <row r="19" spans="1:9" ht="15.95" customHeight="1">
      <c r="A19" s="518"/>
      <c r="B19" s="99"/>
      <c r="C19" s="66"/>
      <c r="D19" s="66"/>
      <c r="E19" s="66"/>
      <c r="F19" s="67"/>
      <c r="G19" s="67"/>
      <c r="H19" s="100">
        <f t="shared" si="0"/>
        <v>0</v>
      </c>
      <c r="I19" s="68"/>
    </row>
    <row r="20" spans="1:9" ht="15.95" customHeight="1">
      <c r="A20" s="518"/>
      <c r="B20" s="99"/>
      <c r="C20" s="66"/>
      <c r="D20" s="66"/>
      <c r="E20" s="66"/>
      <c r="F20" s="67"/>
      <c r="G20" s="67"/>
      <c r="H20" s="100">
        <f t="shared" si="0"/>
        <v>0</v>
      </c>
      <c r="I20" s="68"/>
    </row>
    <row r="21" spans="1:9" ht="15.95" customHeight="1">
      <c r="A21" s="518"/>
      <c r="B21" s="99"/>
      <c r="C21" s="66"/>
      <c r="D21" s="66"/>
      <c r="E21" s="66"/>
      <c r="F21" s="67"/>
      <c r="G21" s="67"/>
      <c r="H21" s="100">
        <f t="shared" si="0"/>
        <v>0</v>
      </c>
      <c r="I21" s="68"/>
    </row>
    <row r="22" spans="1:9" ht="15.95" customHeight="1">
      <c r="A22" s="518"/>
      <c r="B22" s="99"/>
      <c r="C22" s="66"/>
      <c r="D22" s="66"/>
      <c r="E22" s="66"/>
      <c r="F22" s="67"/>
      <c r="G22" s="67"/>
      <c r="H22" s="100">
        <f t="shared" si="0"/>
        <v>0</v>
      </c>
      <c r="I22" s="68"/>
    </row>
    <row r="23" spans="1:9" ht="15.95" customHeight="1">
      <c r="A23" s="518"/>
      <c r="B23" s="99"/>
      <c r="C23" s="114" t="s">
        <v>47</v>
      </c>
      <c r="D23" s="276"/>
      <c r="E23" s="276"/>
      <c r="F23" s="277"/>
      <c r="G23" s="277"/>
      <c r="H23" s="278">
        <f t="shared" si="0"/>
        <v>0</v>
      </c>
      <c r="I23" s="279"/>
    </row>
    <row r="24" spans="1:9" ht="15.95" customHeight="1">
      <c r="A24" s="518"/>
      <c r="B24" s="70"/>
      <c r="C24" s="282"/>
      <c r="D24" s="282"/>
      <c r="E24" s="282"/>
      <c r="F24" s="283"/>
      <c r="G24" s="283"/>
      <c r="H24" s="284">
        <f>SUM(H3:H23)</f>
        <v>0</v>
      </c>
      <c r="I24" s="282"/>
    </row>
    <row r="25" spans="1:9" ht="15.95" customHeight="1">
      <c r="A25" s="518"/>
      <c r="B25" s="99" t="s">
        <v>160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>
      <c r="A26" s="518"/>
      <c r="B26" s="99" t="s">
        <v>161</v>
      </c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8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8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8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8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8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3"/>
    </row>
    <row r="32" spans="1:9" ht="15.95" customHeight="1">
      <c r="A32" s="518"/>
      <c r="B32" s="99" t="s">
        <v>45</v>
      </c>
      <c r="C32" s="66"/>
      <c r="D32" s="66"/>
      <c r="E32" s="66"/>
      <c r="F32" s="67"/>
      <c r="G32" s="67"/>
      <c r="H32" s="100">
        <f t="shared" si="0"/>
        <v>0</v>
      </c>
      <c r="I32" s="68"/>
    </row>
    <row r="33" spans="1:9" ht="15.95" customHeight="1">
      <c r="A33" s="518"/>
      <c r="B33" s="99"/>
      <c r="C33" s="66"/>
      <c r="D33" s="66"/>
      <c r="E33" s="66"/>
      <c r="F33" s="67"/>
      <c r="G33" s="67"/>
      <c r="H33" s="100">
        <f t="shared" si="0"/>
        <v>0</v>
      </c>
      <c r="I33" s="68"/>
    </row>
    <row r="34" spans="1:9" ht="15.95" customHeight="1">
      <c r="A34" s="518"/>
      <c r="B34" s="99"/>
      <c r="C34" s="66"/>
      <c r="D34" s="66"/>
      <c r="E34" s="66"/>
      <c r="F34" s="67"/>
      <c r="G34" s="67"/>
      <c r="H34" s="100">
        <f t="shared" si="0"/>
        <v>0</v>
      </c>
      <c r="I34" s="68"/>
    </row>
    <row r="35" spans="1:9" ht="15.95" customHeight="1">
      <c r="A35" s="518"/>
      <c r="B35" s="99"/>
      <c r="C35" s="66"/>
      <c r="D35" s="66"/>
      <c r="E35" s="66"/>
      <c r="F35" s="67"/>
      <c r="G35" s="67"/>
      <c r="H35" s="100">
        <f t="shared" si="0"/>
        <v>0</v>
      </c>
      <c r="I35" s="68"/>
    </row>
    <row r="36" spans="1:9" ht="15.95" customHeight="1">
      <c r="A36" s="518"/>
      <c r="B36" s="99"/>
      <c r="C36" s="66"/>
      <c r="D36" s="66"/>
      <c r="E36" s="66"/>
      <c r="F36" s="67"/>
      <c r="G36" s="67"/>
      <c r="H36" s="100">
        <f t="shared" si="0"/>
        <v>0</v>
      </c>
      <c r="I36" s="68"/>
    </row>
    <row r="37" spans="1:9" ht="15.95" customHeight="1">
      <c r="A37" s="518"/>
      <c r="B37" s="99"/>
      <c r="C37" s="66"/>
      <c r="D37" s="66"/>
      <c r="E37" s="66"/>
      <c r="F37" s="67"/>
      <c r="G37" s="67"/>
      <c r="H37" s="100">
        <f t="shared" si="0"/>
        <v>0</v>
      </c>
      <c r="I37" s="68"/>
    </row>
    <row r="38" spans="1:9" ht="15.95" customHeight="1">
      <c r="A38" s="518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8"/>
      <c r="B39" s="99"/>
      <c r="C39" s="66"/>
      <c r="D39" s="66"/>
      <c r="E39" s="66"/>
      <c r="F39" s="67"/>
      <c r="G39" s="67"/>
      <c r="H39" s="100">
        <f t="shared" si="0"/>
        <v>0</v>
      </c>
      <c r="I39" s="68"/>
    </row>
    <row r="40" spans="1:9" ht="15.95" customHeight="1">
      <c r="A40" s="518"/>
      <c r="B40" s="99"/>
      <c r="C40" s="66"/>
      <c r="D40" s="66"/>
      <c r="E40" s="66"/>
      <c r="F40" s="67"/>
      <c r="G40" s="67"/>
      <c r="H40" s="100">
        <f t="shared" si="0"/>
        <v>0</v>
      </c>
      <c r="I40" s="68"/>
    </row>
    <row r="41" spans="1:9" ht="15.95" customHeight="1">
      <c r="A41" s="518"/>
      <c r="B41" s="99"/>
      <c r="C41" s="66"/>
      <c r="D41" s="66"/>
      <c r="E41" s="66"/>
      <c r="F41" s="67"/>
      <c r="G41" s="67"/>
      <c r="H41" s="100">
        <f t="shared" si="0"/>
        <v>0</v>
      </c>
      <c r="I41" s="68"/>
    </row>
    <row r="42" spans="1:9" ht="15.95" customHeight="1">
      <c r="A42" s="518"/>
      <c r="B42" s="99"/>
      <c r="C42" s="66"/>
      <c r="D42" s="66"/>
      <c r="E42" s="66"/>
      <c r="F42" s="67"/>
      <c r="G42" s="67"/>
      <c r="H42" s="100">
        <f t="shared" si="0"/>
        <v>0</v>
      </c>
      <c r="I42" s="68"/>
    </row>
    <row r="43" spans="1:9" ht="15.95" customHeight="1">
      <c r="A43" s="518"/>
      <c r="B43" s="99"/>
      <c r="C43" s="66"/>
      <c r="D43" s="66"/>
      <c r="E43" s="66"/>
      <c r="F43" s="67"/>
      <c r="G43" s="67"/>
      <c r="H43" s="100">
        <f t="shared" si="0"/>
        <v>0</v>
      </c>
      <c r="I43" s="68"/>
    </row>
    <row r="44" spans="1:9" ht="15.95" customHeight="1">
      <c r="A44" s="518"/>
      <c r="B44" s="99"/>
      <c r="C44" s="66"/>
      <c r="D44" s="66"/>
      <c r="E44" s="66"/>
      <c r="F44" s="67"/>
      <c r="G44" s="67"/>
      <c r="H44" s="100">
        <f t="shared" si="0"/>
        <v>0</v>
      </c>
      <c r="I44" s="68"/>
    </row>
    <row r="45" spans="1:9" ht="15.95" customHeight="1">
      <c r="A45" s="518"/>
      <c r="B45" s="99"/>
      <c r="C45" s="66"/>
      <c r="D45" s="66"/>
      <c r="E45" s="66"/>
      <c r="F45" s="67"/>
      <c r="G45" s="67"/>
      <c r="H45" s="100">
        <f t="shared" si="0"/>
        <v>0</v>
      </c>
      <c r="I45" s="68"/>
    </row>
    <row r="46" spans="1:9" ht="15.95" customHeight="1">
      <c r="A46" s="518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69"/>
    </row>
    <row r="47" spans="1:9" ht="15.95" customHeight="1">
      <c r="A47" s="518"/>
      <c r="B47" s="70"/>
      <c r="C47" s="102"/>
      <c r="D47" s="92"/>
      <c r="E47" s="92"/>
      <c r="F47" s="37"/>
      <c r="G47" s="37"/>
      <c r="H47" s="27">
        <f>SUM(H31:H46)</f>
        <v>0</v>
      </c>
      <c r="I47" s="72"/>
    </row>
    <row r="48" spans="1:9" ht="15.95" customHeight="1">
      <c r="A48" s="518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3"/>
    </row>
    <row r="49" spans="1:9" ht="15.95" customHeight="1">
      <c r="A49" s="518"/>
      <c r="B49" s="99"/>
      <c r="C49" s="66"/>
      <c r="D49" s="66"/>
      <c r="E49" s="66"/>
      <c r="F49" s="67"/>
      <c r="G49" s="67"/>
      <c r="H49" s="100">
        <f t="shared" si="0"/>
        <v>0</v>
      </c>
      <c r="I49" s="68"/>
    </row>
    <row r="50" spans="1:9" ht="15.95" customHeight="1">
      <c r="A50" s="518"/>
      <c r="B50" s="99"/>
      <c r="C50" s="66"/>
      <c r="D50" s="66"/>
      <c r="E50" s="66"/>
      <c r="F50" s="67"/>
      <c r="G50" s="67"/>
      <c r="H50" s="100">
        <f t="shared" si="0"/>
        <v>0</v>
      </c>
      <c r="I50" s="68"/>
    </row>
    <row r="51" spans="1:9" ht="15.95" customHeight="1">
      <c r="A51" s="518"/>
      <c r="B51" s="99"/>
      <c r="C51" s="66"/>
      <c r="D51" s="66"/>
      <c r="E51" s="66"/>
      <c r="F51" s="67"/>
      <c r="G51" s="67"/>
      <c r="H51" s="100">
        <f t="shared" si="0"/>
        <v>0</v>
      </c>
      <c r="I51" s="68"/>
    </row>
    <row r="52" spans="1:9" ht="15.95" customHeight="1">
      <c r="A52" s="518"/>
      <c r="B52" s="99"/>
      <c r="C52" s="66"/>
      <c r="D52" s="66"/>
      <c r="E52" s="66"/>
      <c r="F52" s="67"/>
      <c r="G52" s="67"/>
      <c r="H52" s="100">
        <f t="shared" si="0"/>
        <v>0</v>
      </c>
      <c r="I52" s="68"/>
    </row>
    <row r="53" spans="1:9" ht="15.95" customHeight="1">
      <c r="A53" s="518"/>
      <c r="B53" s="99"/>
      <c r="C53" s="66"/>
      <c r="D53" s="66"/>
      <c r="E53" s="66"/>
      <c r="F53" s="67"/>
      <c r="G53" s="67"/>
      <c r="H53" s="100">
        <f t="shared" si="0"/>
        <v>0</v>
      </c>
      <c r="I53" s="68"/>
    </row>
    <row r="54" spans="1:9" ht="15.95" customHeight="1">
      <c r="A54" s="518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69"/>
    </row>
    <row r="55" spans="1:9" ht="15.95" customHeight="1">
      <c r="A55" s="518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9" t="s">
        <v>72</v>
      </c>
      <c r="B57" s="137" t="s">
        <v>70</v>
      </c>
      <c r="C57" s="71"/>
      <c r="D57" s="75"/>
      <c r="E57" s="106" t="s">
        <v>51</v>
      </c>
      <c r="F57" s="116"/>
      <c r="G57" s="116">
        <v>200000</v>
      </c>
      <c r="H57" s="49">
        <f>F57*G57</f>
        <v>0</v>
      </c>
      <c r="I57" s="72"/>
    </row>
    <row r="58" spans="1:9" ht="15.95" customHeight="1">
      <c r="A58" s="518"/>
      <c r="B58" s="138" t="s">
        <v>109</v>
      </c>
      <c r="C58" s="141"/>
      <c r="D58" s="76"/>
      <c r="E58" s="107" t="s">
        <v>50</v>
      </c>
      <c r="F58" s="113"/>
      <c r="G58" s="113">
        <v>250000</v>
      </c>
      <c r="H58" s="104">
        <f t="shared" ref="H58:H64" si="1">F58*G58</f>
        <v>0</v>
      </c>
      <c r="I58" s="73"/>
    </row>
    <row r="59" spans="1:9" ht="15.95" customHeight="1">
      <c r="A59" s="518"/>
      <c r="B59" s="170" t="s">
        <v>110</v>
      </c>
      <c r="C59" s="142"/>
      <c r="D59" s="77"/>
      <c r="E59" s="108" t="s">
        <v>50</v>
      </c>
      <c r="F59" s="67"/>
      <c r="G59" s="67">
        <v>180000</v>
      </c>
      <c r="H59" s="100">
        <f t="shared" si="1"/>
        <v>0</v>
      </c>
      <c r="I59" s="68"/>
    </row>
    <row r="60" spans="1:9" ht="15.95" customHeight="1">
      <c r="A60" s="518"/>
      <c r="B60" s="139" t="s">
        <v>111</v>
      </c>
      <c r="C60" s="142"/>
      <c r="D60" s="77"/>
      <c r="E60" s="108" t="s">
        <v>50</v>
      </c>
      <c r="F60" s="67"/>
      <c r="G60" s="67">
        <v>180000</v>
      </c>
      <c r="H60" s="100">
        <f t="shared" si="1"/>
        <v>0</v>
      </c>
      <c r="I60" s="68"/>
    </row>
    <row r="61" spans="1:9" ht="15.95" customHeight="1">
      <c r="A61" s="518"/>
      <c r="B61" s="139" t="s">
        <v>112</v>
      </c>
      <c r="C61" s="142"/>
      <c r="D61" s="77"/>
      <c r="E61" s="108" t="s">
        <v>50</v>
      </c>
      <c r="F61" s="67"/>
      <c r="G61" s="67">
        <v>200000</v>
      </c>
      <c r="H61" s="100">
        <f t="shared" si="1"/>
        <v>0</v>
      </c>
      <c r="I61" s="68"/>
    </row>
    <row r="62" spans="1:9" ht="15.95" customHeight="1">
      <c r="A62" s="518"/>
      <c r="B62" s="139" t="s">
        <v>113</v>
      </c>
      <c r="C62" s="142"/>
      <c r="D62" s="77"/>
      <c r="E62" s="108" t="s">
        <v>50</v>
      </c>
      <c r="F62" s="67"/>
      <c r="G62" s="67">
        <v>200000</v>
      </c>
      <c r="H62" s="100">
        <f t="shared" si="1"/>
        <v>0</v>
      </c>
      <c r="I62" s="68"/>
    </row>
    <row r="63" spans="1:9" ht="15.95" customHeight="1">
      <c r="A63" s="518"/>
      <c r="B63" s="139" t="s">
        <v>114</v>
      </c>
      <c r="C63" s="142"/>
      <c r="D63" s="77"/>
      <c r="E63" s="108" t="s">
        <v>50</v>
      </c>
      <c r="F63" s="67"/>
      <c r="G63" s="67">
        <v>250000</v>
      </c>
      <c r="H63" s="100">
        <f t="shared" si="1"/>
        <v>0</v>
      </c>
      <c r="I63" s="68"/>
    </row>
    <row r="64" spans="1:9" ht="15.95" customHeight="1">
      <c r="A64" s="518"/>
      <c r="B64" s="140" t="s">
        <v>115</v>
      </c>
      <c r="C64" s="143"/>
      <c r="D64" s="78"/>
      <c r="E64" s="109" t="s">
        <v>50</v>
      </c>
      <c r="F64" s="115"/>
      <c r="G64" s="115">
        <v>150000</v>
      </c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'단위공사별(집계)'!L14+'단위공사별(집계)'!I14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I70"/>
  <sheetViews>
    <sheetView zoomScale="85" workbookViewId="0">
      <pane xSplit="2" ySplit="2" topLeftCell="C51" activePane="bottomRight" state="frozen"/>
      <selection activeCell="B69" sqref="B69"/>
      <selection pane="topRight" activeCell="B69" sqref="B69"/>
      <selection pane="bottomLeft" activeCell="B69" sqref="B69"/>
      <selection pane="bottomRight" activeCell="L66" sqref="L66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438" t="s">
        <v>31</v>
      </c>
      <c r="B2" s="513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6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3"/>
    </row>
    <row r="4" spans="1:9" ht="15.95" customHeight="1">
      <c r="A4" s="518"/>
      <c r="B4" s="99"/>
      <c r="C4" s="66"/>
      <c r="D4" s="66"/>
      <c r="E4" s="66"/>
      <c r="F4" s="67"/>
      <c r="G4" s="67"/>
      <c r="H4" s="100">
        <f>IF(F4=0,G4,G4*F4)</f>
        <v>0</v>
      </c>
      <c r="I4" s="68"/>
    </row>
    <row r="5" spans="1:9" ht="15.95" customHeight="1">
      <c r="A5" s="518"/>
      <c r="B5" s="99"/>
      <c r="C5" s="66"/>
      <c r="D5" s="66"/>
      <c r="E5" s="66"/>
      <c r="F5" s="67"/>
      <c r="G5" s="67"/>
      <c r="H5" s="100">
        <f t="shared" ref="H5:H54" si="0">IF(F5=0,G5,G5*F5)</f>
        <v>0</v>
      </c>
      <c r="I5" s="68"/>
    </row>
    <row r="6" spans="1:9" ht="15.95" customHeight="1">
      <c r="A6" s="518"/>
      <c r="B6" s="99"/>
      <c r="C6" s="66"/>
      <c r="D6" s="66"/>
      <c r="E6" s="66"/>
      <c r="F6" s="67"/>
      <c r="G6" s="67"/>
      <c r="H6" s="100">
        <f t="shared" si="0"/>
        <v>0</v>
      </c>
      <c r="I6" s="68"/>
    </row>
    <row r="7" spans="1:9" ht="15.95" customHeight="1">
      <c r="A7" s="518"/>
      <c r="B7" s="99"/>
      <c r="C7" s="66"/>
      <c r="D7" s="66"/>
      <c r="E7" s="66"/>
      <c r="F7" s="67"/>
      <c r="G7" s="67"/>
      <c r="H7" s="100">
        <f t="shared" si="0"/>
        <v>0</v>
      </c>
      <c r="I7" s="68"/>
    </row>
    <row r="8" spans="1:9" ht="15.95" customHeight="1">
      <c r="A8" s="518"/>
      <c r="B8" s="99"/>
      <c r="C8" s="66"/>
      <c r="D8" s="66"/>
      <c r="E8" s="66"/>
      <c r="F8" s="67"/>
      <c r="G8" s="67"/>
      <c r="H8" s="100">
        <f t="shared" si="0"/>
        <v>0</v>
      </c>
      <c r="I8" s="68"/>
    </row>
    <row r="9" spans="1:9" ht="15.95" customHeight="1">
      <c r="A9" s="518"/>
      <c r="B9" s="99"/>
      <c r="C9" s="66"/>
      <c r="D9" s="66"/>
      <c r="E9" s="66"/>
      <c r="F9" s="67"/>
      <c r="G9" s="67"/>
      <c r="H9" s="100">
        <f t="shared" si="0"/>
        <v>0</v>
      </c>
      <c r="I9" s="68"/>
    </row>
    <row r="10" spans="1:9" ht="15.95" customHeight="1">
      <c r="A10" s="518"/>
      <c r="B10" s="99"/>
      <c r="C10" s="66"/>
      <c r="D10" s="66"/>
      <c r="E10" s="66"/>
      <c r="F10" s="67"/>
      <c r="G10" s="67"/>
      <c r="H10" s="100">
        <f t="shared" si="0"/>
        <v>0</v>
      </c>
      <c r="I10" s="68"/>
    </row>
    <row r="11" spans="1:9" ht="15.95" customHeight="1">
      <c r="A11" s="518"/>
      <c r="B11" s="99"/>
      <c r="C11" s="66"/>
      <c r="D11" s="66"/>
      <c r="E11" s="66"/>
      <c r="F11" s="67"/>
      <c r="G11" s="67"/>
      <c r="H11" s="100">
        <f t="shared" si="0"/>
        <v>0</v>
      </c>
      <c r="I11" s="68"/>
    </row>
    <row r="12" spans="1:9" ht="15.95" customHeight="1">
      <c r="A12" s="518"/>
      <c r="B12" s="99"/>
      <c r="C12" s="66"/>
      <c r="D12" s="66"/>
      <c r="E12" s="66"/>
      <c r="F12" s="67"/>
      <c r="G12" s="67"/>
      <c r="H12" s="100">
        <f t="shared" si="0"/>
        <v>0</v>
      </c>
      <c r="I12" s="68"/>
    </row>
    <row r="13" spans="1:9" ht="15.95" customHeight="1">
      <c r="A13" s="518"/>
      <c r="B13" s="99"/>
      <c r="C13" s="66"/>
      <c r="D13" s="66"/>
      <c r="E13" s="66"/>
      <c r="F13" s="67"/>
      <c r="G13" s="67"/>
      <c r="H13" s="100">
        <f t="shared" si="0"/>
        <v>0</v>
      </c>
      <c r="I13" s="68"/>
    </row>
    <row r="14" spans="1:9" ht="15.95" customHeight="1">
      <c r="A14" s="518"/>
      <c r="B14" s="99"/>
      <c r="C14" s="66"/>
      <c r="D14" s="66"/>
      <c r="E14" s="66"/>
      <c r="F14" s="67"/>
      <c r="G14" s="67"/>
      <c r="H14" s="100">
        <f t="shared" si="0"/>
        <v>0</v>
      </c>
      <c r="I14" s="68"/>
    </row>
    <row r="15" spans="1:9" ht="15.95" customHeight="1">
      <c r="A15" s="518"/>
      <c r="B15" s="99"/>
      <c r="C15" s="66"/>
      <c r="D15" s="66"/>
      <c r="E15" s="66"/>
      <c r="F15" s="67"/>
      <c r="G15" s="67"/>
      <c r="H15" s="100">
        <f t="shared" si="0"/>
        <v>0</v>
      </c>
      <c r="I15" s="68"/>
    </row>
    <row r="16" spans="1:9" ht="15.95" customHeight="1">
      <c r="A16" s="518"/>
      <c r="B16" s="99"/>
      <c r="C16" s="66"/>
      <c r="D16" s="66"/>
      <c r="E16" s="66"/>
      <c r="F16" s="67"/>
      <c r="G16" s="67"/>
      <c r="H16" s="100">
        <f t="shared" si="0"/>
        <v>0</v>
      </c>
      <c r="I16" s="68"/>
    </row>
    <row r="17" spans="1:9" ht="15.95" customHeight="1">
      <c r="A17" s="518"/>
      <c r="B17" s="99"/>
      <c r="C17" s="66"/>
      <c r="D17" s="66"/>
      <c r="E17" s="66"/>
      <c r="F17" s="67"/>
      <c r="G17" s="67"/>
      <c r="H17" s="100">
        <f t="shared" si="0"/>
        <v>0</v>
      </c>
      <c r="I17" s="68"/>
    </row>
    <row r="18" spans="1:9" ht="15.95" customHeight="1">
      <c r="A18" s="518"/>
      <c r="B18" s="99"/>
      <c r="C18" s="66"/>
      <c r="D18" s="66"/>
      <c r="E18" s="66"/>
      <c r="F18" s="67"/>
      <c r="G18" s="67"/>
      <c r="H18" s="100">
        <f t="shared" si="0"/>
        <v>0</v>
      </c>
      <c r="I18" s="68"/>
    </row>
    <row r="19" spans="1:9" ht="15.95" customHeight="1">
      <c r="A19" s="518"/>
      <c r="B19" s="99"/>
      <c r="C19" s="66"/>
      <c r="D19" s="66"/>
      <c r="E19" s="66"/>
      <c r="F19" s="67"/>
      <c r="G19" s="67"/>
      <c r="H19" s="100">
        <f t="shared" si="0"/>
        <v>0</v>
      </c>
      <c r="I19" s="68"/>
    </row>
    <row r="20" spans="1:9" ht="15.95" customHeight="1">
      <c r="A20" s="518"/>
      <c r="B20" s="99"/>
      <c r="C20" s="66"/>
      <c r="D20" s="66"/>
      <c r="E20" s="66"/>
      <c r="F20" s="67"/>
      <c r="G20" s="67"/>
      <c r="H20" s="100">
        <f t="shared" si="0"/>
        <v>0</v>
      </c>
      <c r="I20" s="68"/>
    </row>
    <row r="21" spans="1:9" ht="15.95" customHeight="1">
      <c r="A21" s="518"/>
      <c r="B21" s="99"/>
      <c r="C21" s="66"/>
      <c r="D21" s="66"/>
      <c r="E21" s="66"/>
      <c r="F21" s="67"/>
      <c r="G21" s="67"/>
      <c r="H21" s="100">
        <f t="shared" si="0"/>
        <v>0</v>
      </c>
      <c r="I21" s="68"/>
    </row>
    <row r="22" spans="1:9" ht="15.95" customHeight="1">
      <c r="A22" s="518"/>
      <c r="B22" s="99"/>
      <c r="C22" s="66"/>
      <c r="D22" s="66"/>
      <c r="E22" s="66"/>
      <c r="F22" s="67"/>
      <c r="G22" s="67"/>
      <c r="H22" s="100">
        <f t="shared" si="0"/>
        <v>0</v>
      </c>
      <c r="I22" s="68"/>
    </row>
    <row r="23" spans="1:9" ht="15.95" customHeight="1">
      <c r="A23" s="518"/>
      <c r="B23" s="99"/>
      <c r="C23" s="114" t="s">
        <v>47</v>
      </c>
      <c r="D23" s="276"/>
      <c r="E23" s="276"/>
      <c r="F23" s="277"/>
      <c r="G23" s="277"/>
      <c r="H23" s="278">
        <f t="shared" si="0"/>
        <v>0</v>
      </c>
      <c r="I23" s="279"/>
    </row>
    <row r="24" spans="1:9" ht="15.95" customHeight="1">
      <c r="A24" s="518"/>
      <c r="B24" s="70"/>
      <c r="C24" s="282"/>
      <c r="D24" s="282"/>
      <c r="E24" s="282"/>
      <c r="F24" s="283"/>
      <c r="G24" s="283"/>
      <c r="H24" s="284">
        <f>SUM(H3:H23)</f>
        <v>0</v>
      </c>
      <c r="I24" s="282"/>
    </row>
    <row r="25" spans="1:9" ht="15.95" customHeight="1">
      <c r="A25" s="518"/>
      <c r="B25" s="99" t="s">
        <v>160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>
      <c r="A26" s="518"/>
      <c r="B26" s="99" t="s">
        <v>161</v>
      </c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8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8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8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8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8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3"/>
    </row>
    <row r="32" spans="1:9" ht="15.95" customHeight="1">
      <c r="A32" s="518"/>
      <c r="B32" s="99" t="s">
        <v>45</v>
      </c>
      <c r="C32" s="66"/>
      <c r="D32" s="66"/>
      <c r="E32" s="66"/>
      <c r="F32" s="67"/>
      <c r="G32" s="67"/>
      <c r="H32" s="100">
        <f t="shared" si="0"/>
        <v>0</v>
      </c>
      <c r="I32" s="68"/>
    </row>
    <row r="33" spans="1:9" ht="15.95" customHeight="1">
      <c r="A33" s="518"/>
      <c r="B33" s="99"/>
      <c r="C33" s="66"/>
      <c r="D33" s="66"/>
      <c r="E33" s="66"/>
      <c r="F33" s="67"/>
      <c r="G33" s="67"/>
      <c r="H33" s="100">
        <f t="shared" si="0"/>
        <v>0</v>
      </c>
      <c r="I33" s="68"/>
    </row>
    <row r="34" spans="1:9" ht="15.95" customHeight="1">
      <c r="A34" s="518"/>
      <c r="B34" s="99"/>
      <c r="C34" s="66"/>
      <c r="D34" s="66"/>
      <c r="E34" s="66"/>
      <c r="F34" s="67"/>
      <c r="G34" s="67"/>
      <c r="H34" s="100">
        <f t="shared" si="0"/>
        <v>0</v>
      </c>
      <c r="I34" s="68"/>
    </row>
    <row r="35" spans="1:9" ht="15.95" customHeight="1">
      <c r="A35" s="518"/>
      <c r="B35" s="99"/>
      <c r="C35" s="66"/>
      <c r="D35" s="66"/>
      <c r="E35" s="66"/>
      <c r="F35" s="67"/>
      <c r="G35" s="67"/>
      <c r="H35" s="100">
        <f t="shared" si="0"/>
        <v>0</v>
      </c>
      <c r="I35" s="68"/>
    </row>
    <row r="36" spans="1:9" ht="15.95" customHeight="1">
      <c r="A36" s="518"/>
      <c r="B36" s="99"/>
      <c r="C36" s="66"/>
      <c r="D36" s="66"/>
      <c r="E36" s="66"/>
      <c r="F36" s="67"/>
      <c r="G36" s="67"/>
      <c r="H36" s="100">
        <f t="shared" si="0"/>
        <v>0</v>
      </c>
      <c r="I36" s="68"/>
    </row>
    <row r="37" spans="1:9" ht="15.95" customHeight="1">
      <c r="A37" s="518"/>
      <c r="B37" s="99"/>
      <c r="C37" s="66"/>
      <c r="D37" s="66"/>
      <c r="E37" s="66"/>
      <c r="F37" s="67"/>
      <c r="G37" s="67"/>
      <c r="H37" s="100">
        <f t="shared" si="0"/>
        <v>0</v>
      </c>
      <c r="I37" s="68"/>
    </row>
    <row r="38" spans="1:9" ht="15.95" customHeight="1">
      <c r="A38" s="518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8"/>
      <c r="B39" s="99"/>
      <c r="C39" s="66"/>
      <c r="D39" s="66"/>
      <c r="E39" s="66"/>
      <c r="F39" s="67"/>
      <c r="G39" s="67"/>
      <c r="H39" s="100">
        <f t="shared" si="0"/>
        <v>0</v>
      </c>
      <c r="I39" s="68"/>
    </row>
    <row r="40" spans="1:9" ht="15.95" customHeight="1">
      <c r="A40" s="518"/>
      <c r="B40" s="99"/>
      <c r="C40" s="66"/>
      <c r="D40" s="66"/>
      <c r="E40" s="66"/>
      <c r="F40" s="67"/>
      <c r="G40" s="67"/>
      <c r="H40" s="100">
        <f t="shared" si="0"/>
        <v>0</v>
      </c>
      <c r="I40" s="68"/>
    </row>
    <row r="41" spans="1:9" ht="15.95" customHeight="1">
      <c r="A41" s="518"/>
      <c r="B41" s="99"/>
      <c r="C41" s="66"/>
      <c r="D41" s="66"/>
      <c r="E41" s="66"/>
      <c r="F41" s="67"/>
      <c r="G41" s="67"/>
      <c r="H41" s="100">
        <f t="shared" si="0"/>
        <v>0</v>
      </c>
      <c r="I41" s="68"/>
    </row>
    <row r="42" spans="1:9" ht="15.95" customHeight="1">
      <c r="A42" s="518"/>
      <c r="B42" s="99"/>
      <c r="C42" s="66"/>
      <c r="D42" s="66"/>
      <c r="E42" s="66"/>
      <c r="F42" s="67"/>
      <c r="G42" s="67"/>
      <c r="H42" s="100">
        <f t="shared" si="0"/>
        <v>0</v>
      </c>
      <c r="I42" s="68"/>
    </row>
    <row r="43" spans="1:9" ht="15.95" customHeight="1">
      <c r="A43" s="518"/>
      <c r="B43" s="99"/>
      <c r="C43" s="66"/>
      <c r="D43" s="66"/>
      <c r="E43" s="66"/>
      <c r="F43" s="67"/>
      <c r="G43" s="67"/>
      <c r="H43" s="100">
        <f t="shared" si="0"/>
        <v>0</v>
      </c>
      <c r="I43" s="68"/>
    </row>
    <row r="44" spans="1:9" ht="15.95" customHeight="1">
      <c r="A44" s="518"/>
      <c r="B44" s="99"/>
      <c r="C44" s="66"/>
      <c r="D44" s="66"/>
      <c r="E44" s="66"/>
      <c r="F44" s="67"/>
      <c r="G44" s="67"/>
      <c r="H44" s="100">
        <f t="shared" si="0"/>
        <v>0</v>
      </c>
      <c r="I44" s="68"/>
    </row>
    <row r="45" spans="1:9" ht="15.95" customHeight="1">
      <c r="A45" s="518"/>
      <c r="B45" s="99"/>
      <c r="C45" s="66"/>
      <c r="D45" s="66"/>
      <c r="E45" s="66"/>
      <c r="F45" s="67"/>
      <c r="G45" s="67"/>
      <c r="H45" s="100">
        <f t="shared" si="0"/>
        <v>0</v>
      </c>
      <c r="I45" s="68"/>
    </row>
    <row r="46" spans="1:9" ht="15.95" customHeight="1">
      <c r="A46" s="518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69"/>
    </row>
    <row r="47" spans="1:9" ht="15.95" customHeight="1">
      <c r="A47" s="518"/>
      <c r="B47" s="70"/>
      <c r="C47" s="102"/>
      <c r="D47" s="92"/>
      <c r="E47" s="92"/>
      <c r="F47" s="37"/>
      <c r="G47" s="37"/>
      <c r="H47" s="27">
        <f>SUM(H31:H46)</f>
        <v>0</v>
      </c>
      <c r="I47" s="72"/>
    </row>
    <row r="48" spans="1:9" ht="15.95" customHeight="1">
      <c r="A48" s="518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3"/>
    </row>
    <row r="49" spans="1:9" ht="15.95" customHeight="1">
      <c r="A49" s="518"/>
      <c r="B49" s="99"/>
      <c r="C49" s="66"/>
      <c r="D49" s="66"/>
      <c r="E49" s="66"/>
      <c r="F49" s="67"/>
      <c r="G49" s="67"/>
      <c r="H49" s="100">
        <f t="shared" si="0"/>
        <v>0</v>
      </c>
      <c r="I49" s="68"/>
    </row>
    <row r="50" spans="1:9" ht="15.95" customHeight="1">
      <c r="A50" s="518"/>
      <c r="B50" s="99"/>
      <c r="C50" s="66"/>
      <c r="D50" s="66"/>
      <c r="E50" s="66"/>
      <c r="F50" s="67"/>
      <c r="G50" s="67"/>
      <c r="H50" s="100">
        <f t="shared" si="0"/>
        <v>0</v>
      </c>
      <c r="I50" s="68"/>
    </row>
    <row r="51" spans="1:9" ht="15.95" customHeight="1">
      <c r="A51" s="518"/>
      <c r="B51" s="99"/>
      <c r="C51" s="66"/>
      <c r="D51" s="66"/>
      <c r="E51" s="66"/>
      <c r="F51" s="67"/>
      <c r="G51" s="67"/>
      <c r="H51" s="100">
        <f t="shared" si="0"/>
        <v>0</v>
      </c>
      <c r="I51" s="68"/>
    </row>
    <row r="52" spans="1:9" ht="15.95" customHeight="1">
      <c r="A52" s="518"/>
      <c r="B52" s="99"/>
      <c r="C52" s="66"/>
      <c r="D52" s="66"/>
      <c r="E52" s="66"/>
      <c r="F52" s="67"/>
      <c r="G52" s="67"/>
      <c r="H52" s="100">
        <f t="shared" si="0"/>
        <v>0</v>
      </c>
      <c r="I52" s="68"/>
    </row>
    <row r="53" spans="1:9" ht="15.95" customHeight="1">
      <c r="A53" s="518"/>
      <c r="B53" s="99"/>
      <c r="C53" s="66"/>
      <c r="D53" s="66"/>
      <c r="E53" s="66"/>
      <c r="F53" s="67"/>
      <c r="G53" s="67"/>
      <c r="H53" s="100">
        <f t="shared" si="0"/>
        <v>0</v>
      </c>
      <c r="I53" s="68"/>
    </row>
    <row r="54" spans="1:9" ht="15.95" customHeight="1">
      <c r="A54" s="518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69"/>
    </row>
    <row r="55" spans="1:9" ht="15.95" customHeight="1">
      <c r="A55" s="518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9" t="s">
        <v>72</v>
      </c>
      <c r="B57" s="137" t="s">
        <v>70</v>
      </c>
      <c r="C57" s="71"/>
      <c r="D57" s="75"/>
      <c r="E57" s="106" t="s">
        <v>51</v>
      </c>
      <c r="F57" s="116"/>
      <c r="G57" s="116">
        <v>200000</v>
      </c>
      <c r="H57" s="49">
        <f>F57*G57</f>
        <v>0</v>
      </c>
      <c r="I57" s="72"/>
    </row>
    <row r="58" spans="1:9" ht="15.95" customHeight="1">
      <c r="A58" s="518"/>
      <c r="B58" s="138" t="s">
        <v>109</v>
      </c>
      <c r="C58" s="141"/>
      <c r="D58" s="76"/>
      <c r="E58" s="107" t="s">
        <v>50</v>
      </c>
      <c r="F58" s="113"/>
      <c r="G58" s="113">
        <v>250000</v>
      </c>
      <c r="H58" s="104">
        <f t="shared" ref="H58:H64" si="1">F58*G58</f>
        <v>0</v>
      </c>
      <c r="I58" s="73"/>
    </row>
    <row r="59" spans="1:9" ht="15.95" customHeight="1">
      <c r="A59" s="518"/>
      <c r="B59" s="170" t="s">
        <v>110</v>
      </c>
      <c r="C59" s="142"/>
      <c r="D59" s="77"/>
      <c r="E59" s="108" t="s">
        <v>50</v>
      </c>
      <c r="F59" s="67"/>
      <c r="G59" s="67">
        <v>180000</v>
      </c>
      <c r="H59" s="100">
        <f t="shared" si="1"/>
        <v>0</v>
      </c>
      <c r="I59" s="68"/>
    </row>
    <row r="60" spans="1:9" ht="15.95" customHeight="1">
      <c r="A60" s="518"/>
      <c r="B60" s="139" t="s">
        <v>111</v>
      </c>
      <c r="C60" s="142"/>
      <c r="D60" s="77"/>
      <c r="E60" s="108" t="s">
        <v>50</v>
      </c>
      <c r="F60" s="67"/>
      <c r="G60" s="67">
        <v>180000</v>
      </c>
      <c r="H60" s="100">
        <f t="shared" si="1"/>
        <v>0</v>
      </c>
      <c r="I60" s="68"/>
    </row>
    <row r="61" spans="1:9" ht="15.95" customHeight="1">
      <c r="A61" s="518"/>
      <c r="B61" s="139" t="s">
        <v>112</v>
      </c>
      <c r="C61" s="142"/>
      <c r="D61" s="77"/>
      <c r="E61" s="108" t="s">
        <v>50</v>
      </c>
      <c r="F61" s="67"/>
      <c r="G61" s="67">
        <v>200000</v>
      </c>
      <c r="H61" s="100">
        <f t="shared" si="1"/>
        <v>0</v>
      </c>
      <c r="I61" s="68"/>
    </row>
    <row r="62" spans="1:9" ht="15.95" customHeight="1">
      <c r="A62" s="518"/>
      <c r="B62" s="139" t="s">
        <v>113</v>
      </c>
      <c r="C62" s="142"/>
      <c r="D62" s="77"/>
      <c r="E62" s="108" t="s">
        <v>50</v>
      </c>
      <c r="F62" s="67"/>
      <c r="G62" s="67">
        <v>200000</v>
      </c>
      <c r="H62" s="100">
        <f t="shared" si="1"/>
        <v>0</v>
      </c>
      <c r="I62" s="68"/>
    </row>
    <row r="63" spans="1:9" ht="15.95" customHeight="1">
      <c r="A63" s="518"/>
      <c r="B63" s="139" t="s">
        <v>114</v>
      </c>
      <c r="C63" s="142"/>
      <c r="D63" s="77"/>
      <c r="E63" s="108" t="s">
        <v>50</v>
      </c>
      <c r="F63" s="67"/>
      <c r="G63" s="67">
        <v>250000</v>
      </c>
      <c r="H63" s="100">
        <f t="shared" si="1"/>
        <v>0</v>
      </c>
      <c r="I63" s="68"/>
    </row>
    <row r="64" spans="1:9" ht="15.95" customHeight="1">
      <c r="A64" s="518"/>
      <c r="B64" s="140" t="s">
        <v>115</v>
      </c>
      <c r="C64" s="143"/>
      <c r="D64" s="78"/>
      <c r="E64" s="109" t="s">
        <v>50</v>
      </c>
      <c r="F64" s="115"/>
      <c r="G64" s="115">
        <v>150000</v>
      </c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'단위공사별(집계)'!L14+'단위공사별(집계)'!I14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I70"/>
  <sheetViews>
    <sheetView zoomScale="85" workbookViewId="0">
      <pane xSplit="2" ySplit="2" topLeftCell="C45" activePane="bottomRight" state="frozen"/>
      <selection activeCell="B69" sqref="B69"/>
      <selection pane="topRight" activeCell="B69" sqref="B69"/>
      <selection pane="bottomLeft" activeCell="B69" sqref="B69"/>
      <selection pane="bottomRight" activeCell="M70" sqref="M70:M71"/>
    </sheetView>
  </sheetViews>
  <sheetFormatPr defaultRowHeight="13.5"/>
  <cols>
    <col min="1" max="1" width="5" style="25" customWidth="1"/>
    <col min="2" max="2" width="17.875" style="25" bestFit="1" customWidth="1"/>
    <col min="3" max="3" width="23.625" style="25" customWidth="1"/>
    <col min="4" max="4" width="18.25" style="25" customWidth="1"/>
    <col min="5" max="5" width="5.25" style="25" bestFit="1" customWidth="1"/>
    <col min="6" max="6" width="9" style="28"/>
    <col min="7" max="7" width="11.875" style="28" customWidth="1"/>
    <col min="8" max="8" width="13.625" style="28" customWidth="1"/>
    <col min="9" max="9" width="12.75" style="25" customWidth="1"/>
    <col min="10" max="16384" width="9" style="25"/>
  </cols>
  <sheetData>
    <row r="1" spans="1:9" ht="22.5" customHeight="1">
      <c r="B1" s="98" t="s">
        <v>81</v>
      </c>
      <c r="C1" s="147"/>
      <c r="D1" s="61"/>
      <c r="E1" s="61"/>
      <c r="F1" s="62"/>
      <c r="G1" s="63"/>
      <c r="I1" s="25" t="s">
        <v>83</v>
      </c>
    </row>
    <row r="2" spans="1:9" s="26" customFormat="1" ht="16.5" customHeight="1">
      <c r="A2" s="438" t="s">
        <v>31</v>
      </c>
      <c r="B2" s="513"/>
      <c r="C2" s="64" t="s">
        <v>44</v>
      </c>
      <c r="D2" s="29" t="s">
        <v>32</v>
      </c>
      <c r="E2" s="29" t="s">
        <v>33</v>
      </c>
      <c r="F2" s="101" t="s">
        <v>34</v>
      </c>
      <c r="G2" s="101" t="s">
        <v>35</v>
      </c>
      <c r="H2" s="101" t="s">
        <v>36</v>
      </c>
      <c r="I2" s="29" t="s">
        <v>46</v>
      </c>
    </row>
    <row r="3" spans="1:9" ht="15.95" customHeight="1">
      <c r="A3" s="516" t="s">
        <v>82</v>
      </c>
      <c r="B3" s="99" t="s">
        <v>37</v>
      </c>
      <c r="C3" s="112"/>
      <c r="D3" s="112"/>
      <c r="E3" s="112"/>
      <c r="F3" s="113"/>
      <c r="G3" s="113"/>
      <c r="H3" s="104">
        <f>IF(F3=0,G3,G3*F3)</f>
        <v>0</v>
      </c>
      <c r="I3" s="73"/>
    </row>
    <row r="4" spans="1:9" ht="15.95" customHeight="1">
      <c r="A4" s="518"/>
      <c r="B4" s="99"/>
      <c r="C4" s="66"/>
      <c r="D4" s="66"/>
      <c r="E4" s="66"/>
      <c r="F4" s="67"/>
      <c r="G4" s="67"/>
      <c r="H4" s="100">
        <f>IF(F4=0,G4,G4*F4)</f>
        <v>0</v>
      </c>
      <c r="I4" s="68"/>
    </row>
    <row r="5" spans="1:9" ht="15.95" customHeight="1">
      <c r="A5" s="518"/>
      <c r="B5" s="99"/>
      <c r="C5" s="66"/>
      <c r="D5" s="66"/>
      <c r="E5" s="66"/>
      <c r="F5" s="67"/>
      <c r="G5" s="67"/>
      <c r="H5" s="100">
        <f t="shared" ref="H5:H54" si="0">IF(F5=0,G5,G5*F5)</f>
        <v>0</v>
      </c>
      <c r="I5" s="68"/>
    </row>
    <row r="6" spans="1:9" ht="15.95" customHeight="1">
      <c r="A6" s="518"/>
      <c r="B6" s="99"/>
      <c r="C6" s="66"/>
      <c r="D6" s="66"/>
      <c r="E6" s="66"/>
      <c r="F6" s="67"/>
      <c r="G6" s="67"/>
      <c r="H6" s="100">
        <f t="shared" si="0"/>
        <v>0</v>
      </c>
      <c r="I6" s="68"/>
    </row>
    <row r="7" spans="1:9" ht="15.95" customHeight="1">
      <c r="A7" s="518"/>
      <c r="B7" s="99"/>
      <c r="C7" s="66"/>
      <c r="D7" s="66"/>
      <c r="E7" s="66"/>
      <c r="F7" s="67"/>
      <c r="G7" s="67"/>
      <c r="H7" s="100">
        <f t="shared" si="0"/>
        <v>0</v>
      </c>
      <c r="I7" s="68"/>
    </row>
    <row r="8" spans="1:9" ht="15.95" customHeight="1">
      <c r="A8" s="518"/>
      <c r="B8" s="99"/>
      <c r="C8" s="66"/>
      <c r="D8" s="66"/>
      <c r="E8" s="66"/>
      <c r="F8" s="67"/>
      <c r="G8" s="67"/>
      <c r="H8" s="100">
        <f t="shared" si="0"/>
        <v>0</v>
      </c>
      <c r="I8" s="68"/>
    </row>
    <row r="9" spans="1:9" ht="15.95" customHeight="1">
      <c r="A9" s="518"/>
      <c r="B9" s="99"/>
      <c r="C9" s="66"/>
      <c r="D9" s="66"/>
      <c r="E9" s="66"/>
      <c r="F9" s="67"/>
      <c r="G9" s="67"/>
      <c r="H9" s="100">
        <f t="shared" si="0"/>
        <v>0</v>
      </c>
      <c r="I9" s="68"/>
    </row>
    <row r="10" spans="1:9" ht="15.95" customHeight="1">
      <c r="A10" s="518"/>
      <c r="B10" s="99"/>
      <c r="C10" s="66"/>
      <c r="D10" s="66"/>
      <c r="E10" s="66"/>
      <c r="F10" s="67"/>
      <c r="G10" s="67"/>
      <c r="H10" s="100">
        <f t="shared" si="0"/>
        <v>0</v>
      </c>
      <c r="I10" s="68"/>
    </row>
    <row r="11" spans="1:9" ht="15.95" customHeight="1">
      <c r="A11" s="518"/>
      <c r="B11" s="99"/>
      <c r="C11" s="66"/>
      <c r="D11" s="66"/>
      <c r="E11" s="66"/>
      <c r="F11" s="67"/>
      <c r="G11" s="67"/>
      <c r="H11" s="100">
        <f t="shared" si="0"/>
        <v>0</v>
      </c>
      <c r="I11" s="68"/>
    </row>
    <row r="12" spans="1:9" ht="15.95" customHeight="1">
      <c r="A12" s="518"/>
      <c r="B12" s="99"/>
      <c r="C12" s="66"/>
      <c r="D12" s="66"/>
      <c r="E12" s="66"/>
      <c r="F12" s="67"/>
      <c r="G12" s="67"/>
      <c r="H12" s="100">
        <f t="shared" si="0"/>
        <v>0</v>
      </c>
      <c r="I12" s="68"/>
    </row>
    <row r="13" spans="1:9" ht="15.95" customHeight="1">
      <c r="A13" s="518"/>
      <c r="B13" s="99"/>
      <c r="C13" s="66"/>
      <c r="D13" s="66"/>
      <c r="E13" s="66"/>
      <c r="F13" s="67"/>
      <c r="G13" s="67"/>
      <c r="H13" s="100">
        <f t="shared" si="0"/>
        <v>0</v>
      </c>
      <c r="I13" s="68"/>
    </row>
    <row r="14" spans="1:9" ht="15.95" customHeight="1">
      <c r="A14" s="518"/>
      <c r="B14" s="99"/>
      <c r="C14" s="66"/>
      <c r="D14" s="66"/>
      <c r="E14" s="66"/>
      <c r="F14" s="67"/>
      <c r="G14" s="67"/>
      <c r="H14" s="100">
        <f t="shared" si="0"/>
        <v>0</v>
      </c>
      <c r="I14" s="68"/>
    </row>
    <row r="15" spans="1:9" ht="15.95" customHeight="1">
      <c r="A15" s="518"/>
      <c r="B15" s="99"/>
      <c r="C15" s="66"/>
      <c r="D15" s="66"/>
      <c r="E15" s="66"/>
      <c r="F15" s="67"/>
      <c r="G15" s="67"/>
      <c r="H15" s="100">
        <f t="shared" si="0"/>
        <v>0</v>
      </c>
      <c r="I15" s="68"/>
    </row>
    <row r="16" spans="1:9" ht="15.95" customHeight="1">
      <c r="A16" s="518"/>
      <c r="B16" s="99"/>
      <c r="C16" s="66"/>
      <c r="D16" s="66"/>
      <c r="E16" s="66"/>
      <c r="F16" s="67"/>
      <c r="G16" s="67"/>
      <c r="H16" s="100">
        <f t="shared" si="0"/>
        <v>0</v>
      </c>
      <c r="I16" s="68"/>
    </row>
    <row r="17" spans="1:9" ht="15.95" customHeight="1">
      <c r="A17" s="518"/>
      <c r="B17" s="99"/>
      <c r="C17" s="66"/>
      <c r="D17" s="66"/>
      <c r="E17" s="66"/>
      <c r="F17" s="67"/>
      <c r="G17" s="67"/>
      <c r="H17" s="100">
        <f t="shared" si="0"/>
        <v>0</v>
      </c>
      <c r="I17" s="68"/>
    </row>
    <row r="18" spans="1:9" ht="15.95" customHeight="1">
      <c r="A18" s="518"/>
      <c r="B18" s="99"/>
      <c r="C18" s="66"/>
      <c r="D18" s="66"/>
      <c r="E18" s="66"/>
      <c r="F18" s="67"/>
      <c r="G18" s="67"/>
      <c r="H18" s="100">
        <f t="shared" si="0"/>
        <v>0</v>
      </c>
      <c r="I18" s="68"/>
    </row>
    <row r="19" spans="1:9" ht="15.95" customHeight="1">
      <c r="A19" s="518"/>
      <c r="B19" s="99"/>
      <c r="C19" s="66"/>
      <c r="D19" s="66"/>
      <c r="E19" s="66"/>
      <c r="F19" s="67"/>
      <c r="G19" s="67"/>
      <c r="H19" s="100">
        <f t="shared" si="0"/>
        <v>0</v>
      </c>
      <c r="I19" s="68"/>
    </row>
    <row r="20" spans="1:9" ht="15.95" customHeight="1">
      <c r="A20" s="518"/>
      <c r="B20" s="99"/>
      <c r="C20" s="66"/>
      <c r="D20" s="66"/>
      <c r="E20" s="66"/>
      <c r="F20" s="67"/>
      <c r="G20" s="67"/>
      <c r="H20" s="100">
        <f t="shared" si="0"/>
        <v>0</v>
      </c>
      <c r="I20" s="68"/>
    </row>
    <row r="21" spans="1:9" ht="15.95" customHeight="1">
      <c r="A21" s="518"/>
      <c r="B21" s="99"/>
      <c r="C21" s="66"/>
      <c r="D21" s="66"/>
      <c r="E21" s="66"/>
      <c r="F21" s="67"/>
      <c r="G21" s="67"/>
      <c r="H21" s="100">
        <f t="shared" si="0"/>
        <v>0</v>
      </c>
      <c r="I21" s="68"/>
    </row>
    <row r="22" spans="1:9" ht="15.95" customHeight="1">
      <c r="A22" s="518"/>
      <c r="B22" s="99"/>
      <c r="C22" s="66"/>
      <c r="D22" s="66"/>
      <c r="E22" s="66"/>
      <c r="F22" s="67"/>
      <c r="G22" s="67"/>
      <c r="H22" s="100">
        <f t="shared" si="0"/>
        <v>0</v>
      </c>
      <c r="I22" s="68"/>
    </row>
    <row r="23" spans="1:9" ht="15.95" customHeight="1">
      <c r="A23" s="518"/>
      <c r="B23" s="99"/>
      <c r="C23" s="114" t="s">
        <v>47</v>
      </c>
      <c r="D23" s="276"/>
      <c r="E23" s="276"/>
      <c r="F23" s="277"/>
      <c r="G23" s="277"/>
      <c r="H23" s="278">
        <f t="shared" si="0"/>
        <v>0</v>
      </c>
      <c r="I23" s="279"/>
    </row>
    <row r="24" spans="1:9" ht="15.95" customHeight="1">
      <c r="A24" s="518"/>
      <c r="B24" s="70"/>
      <c r="C24" s="282"/>
      <c r="D24" s="282"/>
      <c r="E24" s="282"/>
      <c r="F24" s="283"/>
      <c r="G24" s="283"/>
      <c r="H24" s="284">
        <f>SUM(H3:H23)</f>
        <v>0</v>
      </c>
      <c r="I24" s="282"/>
    </row>
    <row r="25" spans="1:9" ht="15.95" customHeight="1">
      <c r="A25" s="518"/>
      <c r="B25" s="99" t="s">
        <v>160</v>
      </c>
      <c r="C25" s="117"/>
      <c r="D25" s="117"/>
      <c r="E25" s="117"/>
      <c r="F25" s="118"/>
      <c r="G25" s="118"/>
      <c r="H25" s="119">
        <f t="shared" si="0"/>
        <v>0</v>
      </c>
      <c r="I25" s="120"/>
    </row>
    <row r="26" spans="1:9" ht="15.95" customHeight="1">
      <c r="A26" s="518"/>
      <c r="B26" s="99" t="s">
        <v>161</v>
      </c>
      <c r="C26" s="66"/>
      <c r="D26" s="66"/>
      <c r="E26" s="66"/>
      <c r="F26" s="67"/>
      <c r="G26" s="67"/>
      <c r="H26" s="100">
        <f t="shared" si="0"/>
        <v>0</v>
      </c>
      <c r="I26" s="68"/>
    </row>
    <row r="27" spans="1:9" ht="15.95" customHeight="1">
      <c r="A27" s="518"/>
      <c r="B27" s="99"/>
      <c r="C27" s="66"/>
      <c r="D27" s="66"/>
      <c r="E27" s="66"/>
      <c r="F27" s="67"/>
      <c r="G27" s="67"/>
      <c r="H27" s="100">
        <f t="shared" si="0"/>
        <v>0</v>
      </c>
      <c r="I27" s="68"/>
    </row>
    <row r="28" spans="1:9" ht="15.95" customHeight="1">
      <c r="A28" s="518"/>
      <c r="B28" s="99"/>
      <c r="C28" s="66"/>
      <c r="D28" s="66"/>
      <c r="E28" s="66"/>
      <c r="F28" s="67"/>
      <c r="G28" s="67"/>
      <c r="H28" s="100">
        <f t="shared" si="0"/>
        <v>0</v>
      </c>
      <c r="I28" s="68"/>
    </row>
    <row r="29" spans="1:9" ht="15.95" customHeight="1">
      <c r="A29" s="518"/>
      <c r="B29" s="99"/>
      <c r="C29" s="114" t="s">
        <v>47</v>
      </c>
      <c r="D29" s="114"/>
      <c r="E29" s="114"/>
      <c r="F29" s="115"/>
      <c r="G29" s="115"/>
      <c r="H29" s="100">
        <f t="shared" si="0"/>
        <v>0</v>
      </c>
      <c r="I29" s="69"/>
    </row>
    <row r="30" spans="1:9" ht="15.95" customHeight="1">
      <c r="A30" s="518"/>
      <c r="B30" s="70"/>
      <c r="C30" s="102"/>
      <c r="D30" s="92"/>
      <c r="E30" s="92"/>
      <c r="F30" s="148"/>
      <c r="G30" s="37"/>
      <c r="H30" s="27">
        <f>SUM(H25:H29)</f>
        <v>0</v>
      </c>
      <c r="I30" s="72"/>
    </row>
    <row r="31" spans="1:9" ht="15.95" customHeight="1">
      <c r="A31" s="518"/>
      <c r="B31" s="103" t="s">
        <v>38</v>
      </c>
      <c r="C31" s="112"/>
      <c r="D31" s="112"/>
      <c r="E31" s="112"/>
      <c r="F31" s="113"/>
      <c r="G31" s="113"/>
      <c r="H31" s="104">
        <f t="shared" si="0"/>
        <v>0</v>
      </c>
      <c r="I31" s="73"/>
    </row>
    <row r="32" spans="1:9" ht="15.95" customHeight="1">
      <c r="A32" s="518"/>
      <c r="B32" s="99" t="s">
        <v>45</v>
      </c>
      <c r="C32" s="66"/>
      <c r="D32" s="66"/>
      <c r="E32" s="66"/>
      <c r="F32" s="67"/>
      <c r="G32" s="67"/>
      <c r="H32" s="100">
        <f t="shared" si="0"/>
        <v>0</v>
      </c>
      <c r="I32" s="68"/>
    </row>
    <row r="33" spans="1:9" ht="15.95" customHeight="1">
      <c r="A33" s="518"/>
      <c r="B33" s="99"/>
      <c r="C33" s="66"/>
      <c r="D33" s="66"/>
      <c r="E33" s="66"/>
      <c r="F33" s="67"/>
      <c r="G33" s="67"/>
      <c r="H33" s="100">
        <f t="shared" si="0"/>
        <v>0</v>
      </c>
      <c r="I33" s="68"/>
    </row>
    <row r="34" spans="1:9" ht="15.95" customHeight="1">
      <c r="A34" s="518"/>
      <c r="B34" s="99"/>
      <c r="C34" s="66"/>
      <c r="D34" s="66"/>
      <c r="E34" s="66"/>
      <c r="F34" s="67"/>
      <c r="G34" s="67"/>
      <c r="H34" s="100">
        <f t="shared" si="0"/>
        <v>0</v>
      </c>
      <c r="I34" s="68"/>
    </row>
    <row r="35" spans="1:9" ht="15.95" customHeight="1">
      <c r="A35" s="518"/>
      <c r="B35" s="99"/>
      <c r="C35" s="66"/>
      <c r="D35" s="66"/>
      <c r="E35" s="66"/>
      <c r="F35" s="67"/>
      <c r="G35" s="67"/>
      <c r="H35" s="100">
        <f t="shared" si="0"/>
        <v>0</v>
      </c>
      <c r="I35" s="68"/>
    </row>
    <row r="36" spans="1:9" ht="15.95" customHeight="1">
      <c r="A36" s="518"/>
      <c r="B36" s="99"/>
      <c r="C36" s="66"/>
      <c r="D36" s="66"/>
      <c r="E36" s="66"/>
      <c r="F36" s="67"/>
      <c r="G36" s="67"/>
      <c r="H36" s="100">
        <f t="shared" si="0"/>
        <v>0</v>
      </c>
      <c r="I36" s="68"/>
    </row>
    <row r="37" spans="1:9" ht="15.95" customHeight="1">
      <c r="A37" s="518"/>
      <c r="B37" s="99"/>
      <c r="C37" s="66"/>
      <c r="D37" s="66"/>
      <c r="E37" s="66"/>
      <c r="F37" s="67"/>
      <c r="G37" s="67"/>
      <c r="H37" s="100">
        <f t="shared" si="0"/>
        <v>0</v>
      </c>
      <c r="I37" s="68"/>
    </row>
    <row r="38" spans="1:9" ht="15.95" customHeight="1">
      <c r="A38" s="518"/>
      <c r="B38" s="99"/>
      <c r="C38" s="66"/>
      <c r="D38" s="66"/>
      <c r="E38" s="66"/>
      <c r="F38" s="67"/>
      <c r="G38" s="67"/>
      <c r="H38" s="100">
        <f t="shared" si="0"/>
        <v>0</v>
      </c>
      <c r="I38" s="68"/>
    </row>
    <row r="39" spans="1:9" ht="15.95" customHeight="1">
      <c r="A39" s="518"/>
      <c r="B39" s="99"/>
      <c r="C39" s="66"/>
      <c r="D39" s="66"/>
      <c r="E39" s="66"/>
      <c r="F39" s="67"/>
      <c r="G39" s="67"/>
      <c r="H39" s="100">
        <f t="shared" si="0"/>
        <v>0</v>
      </c>
      <c r="I39" s="68"/>
    </row>
    <row r="40" spans="1:9" ht="15.95" customHeight="1">
      <c r="A40" s="518"/>
      <c r="B40" s="99"/>
      <c r="C40" s="66"/>
      <c r="D40" s="66"/>
      <c r="E40" s="66"/>
      <c r="F40" s="67"/>
      <c r="G40" s="67"/>
      <c r="H40" s="100">
        <f t="shared" si="0"/>
        <v>0</v>
      </c>
      <c r="I40" s="68"/>
    </row>
    <row r="41" spans="1:9" ht="15.95" customHeight="1">
      <c r="A41" s="518"/>
      <c r="B41" s="99"/>
      <c r="C41" s="66"/>
      <c r="D41" s="66"/>
      <c r="E41" s="66"/>
      <c r="F41" s="67"/>
      <c r="G41" s="67"/>
      <c r="H41" s="100">
        <f t="shared" si="0"/>
        <v>0</v>
      </c>
      <c r="I41" s="68"/>
    </row>
    <row r="42" spans="1:9" ht="15.95" customHeight="1">
      <c r="A42" s="518"/>
      <c r="B42" s="99"/>
      <c r="C42" s="66"/>
      <c r="D42" s="66"/>
      <c r="E42" s="66"/>
      <c r="F42" s="67"/>
      <c r="G42" s="67"/>
      <c r="H42" s="100">
        <f t="shared" si="0"/>
        <v>0</v>
      </c>
      <c r="I42" s="68"/>
    </row>
    <row r="43" spans="1:9" ht="15.95" customHeight="1">
      <c r="A43" s="518"/>
      <c r="B43" s="99"/>
      <c r="C43" s="66"/>
      <c r="D43" s="66"/>
      <c r="E43" s="66"/>
      <c r="F43" s="67"/>
      <c r="G43" s="67"/>
      <c r="H43" s="100">
        <f t="shared" si="0"/>
        <v>0</v>
      </c>
      <c r="I43" s="68"/>
    </row>
    <row r="44" spans="1:9" ht="15.95" customHeight="1">
      <c r="A44" s="518"/>
      <c r="B44" s="99"/>
      <c r="C44" s="66"/>
      <c r="D44" s="66"/>
      <c r="E44" s="66"/>
      <c r="F44" s="67"/>
      <c r="G44" s="67"/>
      <c r="H44" s="100">
        <f t="shared" si="0"/>
        <v>0</v>
      </c>
      <c r="I44" s="68"/>
    </row>
    <row r="45" spans="1:9" ht="15.95" customHeight="1">
      <c r="A45" s="518"/>
      <c r="B45" s="99"/>
      <c r="C45" s="66"/>
      <c r="D45" s="66"/>
      <c r="E45" s="66"/>
      <c r="F45" s="67"/>
      <c r="G45" s="67"/>
      <c r="H45" s="100">
        <f t="shared" si="0"/>
        <v>0</v>
      </c>
      <c r="I45" s="68"/>
    </row>
    <row r="46" spans="1:9" ht="15.95" customHeight="1">
      <c r="A46" s="518"/>
      <c r="B46" s="99"/>
      <c r="C46" s="114" t="s">
        <v>47</v>
      </c>
      <c r="D46" s="114"/>
      <c r="E46" s="114"/>
      <c r="F46" s="115"/>
      <c r="G46" s="115"/>
      <c r="H46" s="105">
        <f t="shared" si="0"/>
        <v>0</v>
      </c>
      <c r="I46" s="69"/>
    </row>
    <row r="47" spans="1:9" ht="15.95" customHeight="1">
      <c r="A47" s="518"/>
      <c r="B47" s="70"/>
      <c r="C47" s="102"/>
      <c r="D47" s="92"/>
      <c r="E47" s="92"/>
      <c r="F47" s="37"/>
      <c r="G47" s="37"/>
      <c r="H47" s="27">
        <f>SUM(H31:H46)</f>
        <v>0</v>
      </c>
      <c r="I47" s="72"/>
    </row>
    <row r="48" spans="1:9" ht="15.95" customHeight="1">
      <c r="A48" s="518"/>
      <c r="B48" s="103" t="s">
        <v>39</v>
      </c>
      <c r="C48" s="112"/>
      <c r="D48" s="112"/>
      <c r="E48" s="112"/>
      <c r="F48" s="113"/>
      <c r="G48" s="113"/>
      <c r="H48" s="104">
        <f t="shared" si="0"/>
        <v>0</v>
      </c>
      <c r="I48" s="73"/>
    </row>
    <row r="49" spans="1:9" ht="15.95" customHeight="1">
      <c r="A49" s="518"/>
      <c r="B49" s="99"/>
      <c r="C49" s="66"/>
      <c r="D49" s="66"/>
      <c r="E49" s="66"/>
      <c r="F49" s="67"/>
      <c r="G49" s="67"/>
      <c r="H49" s="100">
        <f t="shared" si="0"/>
        <v>0</v>
      </c>
      <c r="I49" s="68"/>
    </row>
    <row r="50" spans="1:9" ht="15.95" customHeight="1">
      <c r="A50" s="518"/>
      <c r="B50" s="99"/>
      <c r="C50" s="66"/>
      <c r="D50" s="66"/>
      <c r="E50" s="66"/>
      <c r="F50" s="67"/>
      <c r="G50" s="67"/>
      <c r="H50" s="100">
        <f t="shared" si="0"/>
        <v>0</v>
      </c>
      <c r="I50" s="68"/>
    </row>
    <row r="51" spans="1:9" ht="15.95" customHeight="1">
      <c r="A51" s="518"/>
      <c r="B51" s="99"/>
      <c r="C51" s="66"/>
      <c r="D51" s="66"/>
      <c r="E51" s="66"/>
      <c r="F51" s="67"/>
      <c r="G51" s="67"/>
      <c r="H51" s="100">
        <f t="shared" si="0"/>
        <v>0</v>
      </c>
      <c r="I51" s="68"/>
    </row>
    <row r="52" spans="1:9" ht="15.95" customHeight="1">
      <c r="A52" s="518"/>
      <c r="B52" s="99"/>
      <c r="C52" s="66"/>
      <c r="D52" s="66"/>
      <c r="E52" s="66"/>
      <c r="F52" s="67"/>
      <c r="G52" s="67"/>
      <c r="H52" s="100">
        <f t="shared" si="0"/>
        <v>0</v>
      </c>
      <c r="I52" s="68"/>
    </row>
    <row r="53" spans="1:9" ht="15.95" customHeight="1">
      <c r="A53" s="518"/>
      <c r="B53" s="99"/>
      <c r="C53" s="66"/>
      <c r="D53" s="66"/>
      <c r="E53" s="66"/>
      <c r="F53" s="67"/>
      <c r="G53" s="67"/>
      <c r="H53" s="100">
        <f t="shared" si="0"/>
        <v>0</v>
      </c>
      <c r="I53" s="68"/>
    </row>
    <row r="54" spans="1:9" ht="15.95" customHeight="1">
      <c r="A54" s="518"/>
      <c r="B54" s="99"/>
      <c r="C54" s="114" t="s">
        <v>47</v>
      </c>
      <c r="D54" s="114"/>
      <c r="E54" s="114"/>
      <c r="F54" s="115"/>
      <c r="G54" s="115"/>
      <c r="H54" s="105">
        <f t="shared" si="0"/>
        <v>0</v>
      </c>
      <c r="I54" s="69"/>
    </row>
    <row r="55" spans="1:9" ht="15.95" customHeight="1">
      <c r="A55" s="518"/>
      <c r="B55" s="70"/>
      <c r="C55" s="102"/>
      <c r="D55" s="92"/>
      <c r="E55" s="92"/>
      <c r="F55" s="37"/>
      <c r="G55" s="37"/>
      <c r="H55" s="27">
        <f>SUM(H48:H54)</f>
        <v>0</v>
      </c>
      <c r="I55" s="72"/>
    </row>
    <row r="56" spans="1:9" ht="15.95" customHeight="1">
      <c r="A56" s="74"/>
      <c r="B56" s="97" t="s">
        <v>42</v>
      </c>
      <c r="C56" s="71"/>
      <c r="D56" s="72"/>
      <c r="E56" s="72"/>
      <c r="F56" s="52"/>
      <c r="G56" s="52"/>
      <c r="H56" s="27">
        <f>SUM(H55,H47,H30,H24)</f>
        <v>0</v>
      </c>
      <c r="I56" s="72"/>
    </row>
    <row r="57" spans="1:9" ht="15.95" customHeight="1">
      <c r="A57" s="519" t="s">
        <v>72</v>
      </c>
      <c r="B57" s="137" t="s">
        <v>70</v>
      </c>
      <c r="C57" s="71"/>
      <c r="D57" s="75"/>
      <c r="E57" s="106" t="s">
        <v>51</v>
      </c>
      <c r="F57" s="116"/>
      <c r="G57" s="116">
        <v>200000</v>
      </c>
      <c r="H57" s="49">
        <f>F57*G57</f>
        <v>0</v>
      </c>
      <c r="I57" s="72"/>
    </row>
    <row r="58" spans="1:9" ht="15.95" customHeight="1">
      <c r="A58" s="518"/>
      <c r="B58" s="138" t="s">
        <v>109</v>
      </c>
      <c r="C58" s="141"/>
      <c r="D58" s="76"/>
      <c r="E58" s="107" t="s">
        <v>50</v>
      </c>
      <c r="F58" s="113"/>
      <c r="G58" s="113">
        <v>250000</v>
      </c>
      <c r="H58" s="104">
        <f t="shared" ref="H58:H64" si="1">F58*G58</f>
        <v>0</v>
      </c>
      <c r="I58" s="73"/>
    </row>
    <row r="59" spans="1:9" ht="15.95" customHeight="1">
      <c r="A59" s="518"/>
      <c r="B59" s="170" t="s">
        <v>110</v>
      </c>
      <c r="C59" s="142"/>
      <c r="D59" s="77"/>
      <c r="E59" s="108" t="s">
        <v>50</v>
      </c>
      <c r="F59" s="67"/>
      <c r="G59" s="67">
        <v>180000</v>
      </c>
      <c r="H59" s="100">
        <f t="shared" si="1"/>
        <v>0</v>
      </c>
      <c r="I59" s="68"/>
    </row>
    <row r="60" spans="1:9" ht="15.95" customHeight="1">
      <c r="A60" s="518"/>
      <c r="B60" s="139" t="s">
        <v>111</v>
      </c>
      <c r="C60" s="142"/>
      <c r="D60" s="77"/>
      <c r="E60" s="108" t="s">
        <v>50</v>
      </c>
      <c r="F60" s="67"/>
      <c r="G60" s="67">
        <v>180000</v>
      </c>
      <c r="H60" s="100">
        <f t="shared" si="1"/>
        <v>0</v>
      </c>
      <c r="I60" s="68"/>
    </row>
    <row r="61" spans="1:9" ht="15.95" customHeight="1">
      <c r="A61" s="518"/>
      <c r="B61" s="139" t="s">
        <v>112</v>
      </c>
      <c r="C61" s="142"/>
      <c r="D61" s="77"/>
      <c r="E61" s="108" t="s">
        <v>50</v>
      </c>
      <c r="F61" s="67"/>
      <c r="G61" s="67">
        <v>200000</v>
      </c>
      <c r="H61" s="100">
        <f t="shared" si="1"/>
        <v>0</v>
      </c>
      <c r="I61" s="68"/>
    </row>
    <row r="62" spans="1:9" ht="15.95" customHeight="1">
      <c r="A62" s="518"/>
      <c r="B62" s="139" t="s">
        <v>113</v>
      </c>
      <c r="C62" s="142"/>
      <c r="D62" s="77"/>
      <c r="E62" s="108" t="s">
        <v>50</v>
      </c>
      <c r="F62" s="67"/>
      <c r="G62" s="67">
        <v>200000</v>
      </c>
      <c r="H62" s="100">
        <f t="shared" si="1"/>
        <v>0</v>
      </c>
      <c r="I62" s="68"/>
    </row>
    <row r="63" spans="1:9" ht="15.95" customHeight="1">
      <c r="A63" s="518"/>
      <c r="B63" s="139" t="s">
        <v>114</v>
      </c>
      <c r="C63" s="142"/>
      <c r="D63" s="77"/>
      <c r="E63" s="108" t="s">
        <v>50</v>
      </c>
      <c r="F63" s="67"/>
      <c r="G63" s="67">
        <v>250000</v>
      </c>
      <c r="H63" s="100">
        <f t="shared" si="1"/>
        <v>0</v>
      </c>
      <c r="I63" s="68"/>
    </row>
    <row r="64" spans="1:9" ht="15.95" customHeight="1">
      <c r="A64" s="518"/>
      <c r="B64" s="140" t="s">
        <v>115</v>
      </c>
      <c r="C64" s="143"/>
      <c r="D64" s="78"/>
      <c r="E64" s="109" t="s">
        <v>50</v>
      </c>
      <c r="F64" s="115"/>
      <c r="G64" s="115">
        <v>150000</v>
      </c>
      <c r="H64" s="105">
        <f t="shared" si="1"/>
        <v>0</v>
      </c>
      <c r="I64" s="69"/>
    </row>
    <row r="65" spans="1:9" ht="15.95" customHeight="1">
      <c r="A65" s="74"/>
      <c r="B65" s="96" t="s">
        <v>41</v>
      </c>
      <c r="C65" s="71"/>
      <c r="D65" s="72"/>
      <c r="E65" s="72"/>
      <c r="F65" s="37"/>
      <c r="G65" s="37"/>
      <c r="H65" s="37">
        <f>SUM(H57:H64)</f>
        <v>0</v>
      </c>
      <c r="I65" s="92"/>
    </row>
    <row r="66" spans="1:9" ht="15.95" customHeight="1">
      <c r="A66" s="48"/>
      <c r="B66" s="96" t="s">
        <v>171</v>
      </c>
      <c r="C66" s="71"/>
      <c r="D66" s="72"/>
      <c r="E66" s="72"/>
      <c r="F66" s="27"/>
      <c r="G66" s="27"/>
      <c r="H66" s="52">
        <f>'단위공사별(집계)'!L14+'단위공사별(집계)'!I14</f>
        <v>0</v>
      </c>
      <c r="I66" s="72"/>
    </row>
    <row r="67" spans="1:9" ht="15.95" customHeight="1">
      <c r="A67" s="48"/>
      <c r="B67" s="96" t="s">
        <v>25</v>
      </c>
      <c r="C67" s="71"/>
      <c r="D67" s="72"/>
      <c r="E67" s="72" t="s">
        <v>182</v>
      </c>
      <c r="F67" s="27">
        <v>3</v>
      </c>
      <c r="G67" s="51"/>
      <c r="H67" s="116">
        <f>SUM(H56+H65)*0.03</f>
        <v>0</v>
      </c>
      <c r="I67" s="71"/>
    </row>
    <row r="68" spans="1:9" ht="15.95" customHeight="1">
      <c r="A68" s="48"/>
      <c r="B68" s="96" t="s">
        <v>151</v>
      </c>
      <c r="C68" s="71"/>
      <c r="D68" s="72"/>
      <c r="E68" s="72" t="s">
        <v>182</v>
      </c>
      <c r="F68" s="27">
        <v>12</v>
      </c>
      <c r="G68" s="51"/>
      <c r="H68" s="116">
        <f>SUM(H56+H65)*0.12</f>
        <v>0</v>
      </c>
      <c r="I68" s="71"/>
    </row>
    <row r="69" spans="1:9" ht="15.95" customHeight="1">
      <c r="A69" s="48"/>
      <c r="B69" s="96" t="s">
        <v>152</v>
      </c>
      <c r="C69" s="71"/>
      <c r="D69" s="72"/>
      <c r="E69" s="72"/>
      <c r="F69" s="27"/>
      <c r="G69" s="27"/>
      <c r="H69" s="37">
        <f>H56+H65+H66+H67+H68</f>
        <v>0</v>
      </c>
      <c r="I69" s="72"/>
    </row>
    <row r="70" spans="1:9">
      <c r="A70" s="26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72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>
    <pageSetUpPr fitToPage="1"/>
  </sheetPr>
  <dimension ref="A1:D36"/>
  <sheetViews>
    <sheetView zoomScale="85" workbookViewId="0">
      <selection activeCell="D25" sqref="D25"/>
    </sheetView>
  </sheetViews>
  <sheetFormatPr defaultRowHeight="17.25" customHeight="1"/>
  <cols>
    <col min="1" max="1" width="16.5" style="25" customWidth="1"/>
    <col min="2" max="3" width="27.625" style="25" customWidth="1"/>
    <col min="4" max="4" width="11.5" style="25" customWidth="1"/>
    <col min="5" max="16384" width="9" style="25"/>
  </cols>
  <sheetData>
    <row r="1" spans="1:4" ht="17.25" customHeight="1">
      <c r="A1" s="25" t="s">
        <v>98</v>
      </c>
    </row>
    <row r="2" spans="1:4" ht="17.25" customHeight="1">
      <c r="D2" s="26" t="s">
        <v>99</v>
      </c>
    </row>
    <row r="3" spans="1:4" ht="24.75" customHeight="1">
      <c r="A3" s="89" t="s">
        <v>97</v>
      </c>
    </row>
    <row r="4" spans="1:4" ht="11.25" customHeight="1"/>
    <row r="5" spans="1:4" s="91" customFormat="1" ht="21" customHeight="1" thickBot="1">
      <c r="A5" s="90" t="s">
        <v>62</v>
      </c>
      <c r="B5" s="90" t="s">
        <v>52</v>
      </c>
      <c r="C5" s="90" t="s">
        <v>53</v>
      </c>
      <c r="D5" s="90" t="s">
        <v>27</v>
      </c>
    </row>
    <row r="6" spans="1:4" ht="17.25" customHeight="1" thickTop="1">
      <c r="A6" s="65"/>
      <c r="B6" s="65"/>
      <c r="C6" s="65"/>
      <c r="D6" s="65"/>
    </row>
    <row r="7" spans="1:4" ht="17.25" customHeight="1">
      <c r="A7" s="65"/>
      <c r="B7" s="65"/>
      <c r="C7" s="65"/>
      <c r="D7" s="65"/>
    </row>
    <row r="8" spans="1:4" ht="17.25" customHeight="1">
      <c r="A8" s="65"/>
      <c r="B8" s="65"/>
      <c r="C8" s="65"/>
      <c r="D8" s="65"/>
    </row>
    <row r="9" spans="1:4" ht="17.25" customHeight="1">
      <c r="A9" s="65"/>
      <c r="B9" s="65"/>
      <c r="C9" s="65"/>
      <c r="D9" s="65"/>
    </row>
    <row r="10" spans="1:4" ht="17.25" customHeight="1">
      <c r="A10" s="65"/>
      <c r="B10" s="65"/>
      <c r="C10" s="65"/>
      <c r="D10" s="65"/>
    </row>
    <row r="11" spans="1:4" ht="17.25" customHeight="1">
      <c r="A11" s="65"/>
      <c r="B11" s="65"/>
      <c r="C11" s="65"/>
      <c r="D11" s="65"/>
    </row>
    <row r="12" spans="1:4" ht="17.25" customHeight="1">
      <c r="A12" s="65"/>
      <c r="B12" s="65"/>
      <c r="C12" s="65"/>
      <c r="D12" s="65"/>
    </row>
    <row r="13" spans="1:4" ht="17.25" customHeight="1">
      <c r="A13" s="65"/>
      <c r="B13" s="65"/>
      <c r="C13" s="65"/>
      <c r="D13" s="65"/>
    </row>
    <row r="14" spans="1:4" ht="17.25" customHeight="1">
      <c r="A14" s="65"/>
      <c r="B14" s="65"/>
      <c r="C14" s="65"/>
      <c r="D14" s="65"/>
    </row>
    <row r="15" spans="1:4" ht="17.25" customHeight="1">
      <c r="A15" s="65"/>
      <c r="B15" s="65"/>
      <c r="C15" s="65"/>
      <c r="D15" s="65"/>
    </row>
    <row r="16" spans="1:4" ht="17.25" customHeight="1">
      <c r="A16" s="65"/>
      <c r="B16" s="65"/>
      <c r="C16" s="65"/>
      <c r="D16" s="65"/>
    </row>
    <row r="17" spans="1:4" ht="17.25" customHeight="1">
      <c r="A17" s="65"/>
      <c r="B17" s="65"/>
      <c r="C17" s="65"/>
      <c r="D17" s="65"/>
    </row>
    <row r="18" spans="1:4" ht="17.25" customHeight="1">
      <c r="A18" s="65"/>
      <c r="B18" s="65"/>
      <c r="C18" s="65"/>
      <c r="D18" s="65"/>
    </row>
    <row r="19" spans="1:4" ht="17.25" customHeight="1">
      <c r="A19" s="65"/>
      <c r="B19" s="65"/>
      <c r="C19" s="65"/>
      <c r="D19" s="65"/>
    </row>
    <row r="20" spans="1:4" ht="17.25" customHeight="1">
      <c r="A20" s="65"/>
      <c r="B20" s="65"/>
      <c r="C20" s="65"/>
      <c r="D20" s="65"/>
    </row>
    <row r="21" spans="1:4" ht="17.25" customHeight="1">
      <c r="A21" s="65"/>
      <c r="B21" s="65"/>
      <c r="C21" s="65"/>
      <c r="D21" s="65"/>
    </row>
    <row r="22" spans="1:4" ht="17.25" customHeight="1">
      <c r="A22" s="65"/>
      <c r="B22" s="65"/>
      <c r="C22" s="65"/>
      <c r="D22" s="65"/>
    </row>
    <row r="23" spans="1:4" ht="17.25" customHeight="1">
      <c r="A23" s="65"/>
      <c r="B23" s="65"/>
      <c r="C23" s="65"/>
      <c r="D23" s="65"/>
    </row>
    <row r="24" spans="1:4" ht="17.25" customHeight="1">
      <c r="A24" s="65"/>
      <c r="B24" s="65"/>
      <c r="C24" s="65"/>
      <c r="D24" s="65"/>
    </row>
    <row r="25" spans="1:4" ht="17.25" customHeight="1">
      <c r="A25" s="65"/>
      <c r="B25" s="65"/>
      <c r="C25" s="65"/>
      <c r="D25" s="65"/>
    </row>
    <row r="26" spans="1:4" ht="17.25" customHeight="1">
      <c r="A26" s="65"/>
      <c r="B26" s="65"/>
      <c r="C26" s="65"/>
      <c r="D26" s="65"/>
    </row>
    <row r="27" spans="1:4" ht="17.25" customHeight="1">
      <c r="A27" s="65"/>
      <c r="B27" s="65"/>
      <c r="C27" s="65"/>
      <c r="D27" s="65"/>
    </row>
    <row r="28" spans="1:4" ht="17.25" customHeight="1">
      <c r="A28" s="65"/>
      <c r="B28" s="65"/>
      <c r="C28" s="65"/>
      <c r="D28" s="65"/>
    </row>
    <row r="29" spans="1:4" ht="17.25" customHeight="1">
      <c r="A29" s="65"/>
      <c r="B29" s="65"/>
      <c r="C29" s="65"/>
      <c r="D29" s="65"/>
    </row>
    <row r="30" spans="1:4" ht="17.25" customHeight="1">
      <c r="A30" s="65"/>
      <c r="B30" s="65"/>
      <c r="C30" s="65"/>
      <c r="D30" s="65"/>
    </row>
    <row r="31" spans="1:4" ht="17.25" customHeight="1">
      <c r="A31" s="65"/>
      <c r="B31" s="65"/>
      <c r="C31" s="65"/>
      <c r="D31" s="65"/>
    </row>
    <row r="32" spans="1:4" ht="17.25" customHeight="1">
      <c r="A32" s="65"/>
      <c r="B32" s="65"/>
      <c r="C32" s="65"/>
      <c r="D32" s="65"/>
    </row>
    <row r="33" spans="1:4" ht="17.25" customHeight="1">
      <c r="A33" s="65"/>
      <c r="B33" s="65"/>
      <c r="C33" s="65"/>
      <c r="D33" s="65"/>
    </row>
    <row r="34" spans="1:4" ht="17.25" customHeight="1">
      <c r="A34" s="65"/>
      <c r="B34" s="65"/>
      <c r="C34" s="65"/>
      <c r="D34" s="65"/>
    </row>
    <row r="35" spans="1:4" ht="17.25" customHeight="1">
      <c r="A35" s="65"/>
      <c r="B35" s="65"/>
      <c r="C35" s="65"/>
      <c r="D35" s="65"/>
    </row>
    <row r="36" spans="1:4" ht="17.25" customHeight="1">
      <c r="A36" s="92"/>
      <c r="B36" s="92"/>
      <c r="C36" s="92"/>
      <c r="D36" s="92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r:id="rId1"/>
  <headerFooter alignWithMargins="0">
    <oddFooter>&amp;L&amp;1#&amp;"Calibri"&amp;8&amp;K000000대외비(Restricted) 정희진  heejin.jung@hyundai-wia.com 2021-08-24T05:34:45Z 본 문서는 현대위아(주)의 정보 자산으로써 무단으로 전제 및 복제할 수 없으며, 이를 위반할 시에는 당사 사규 및 관련 법규에 의해 제재를 받을 수 있습니다.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4" ma:contentTypeDescription="새 문서를 만듭니다." ma:contentTypeScope="" ma:versionID="a242935e3a113aa7f22be7a076e4b0ef">
  <xsd:schema xmlns:xsd="http://www.w3.org/2001/XMLSchema" xmlns:xs="http://www.w3.org/2001/XMLSchema" xmlns:p="http://schemas.microsoft.com/office/2006/metadata/properties" xmlns:ns2="83072e89-4523-4537-ba2a-0afc19ac2fb1" targetNamespace="http://schemas.microsoft.com/office/2006/metadata/properties" ma:root="true" ma:fieldsID="e7e2bd6d0d5a3e197b35edf89a252977" ns2:_="">
    <xsd:import namespace="83072e89-4523-4537-ba2a-0afc19ac2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30E12F-8736-4B64-9EE5-E24117D28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64CBF5-1E40-4774-B928-9FC767672A3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449AFFD-B232-4469-AD9A-81F4CD38E6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22429D5-B98F-4216-91C2-EFFBAC8AA424}">
  <ds:schemaRefs>
    <ds:schemaRef ds:uri="http://schemas.openxmlformats.org/package/2006/metadata/core-properties"/>
    <ds:schemaRef ds:uri="http://purl.org/dc/terms/"/>
    <ds:schemaRef ds:uri="83072e89-4523-4537-ba2a-0afc19ac2fb1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서브라인</vt:lpstr>
      <vt:lpstr>HVAC조립 LINE</vt:lpstr>
      <vt:lpstr>OTHER COST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조정현 책임매니저 설비구매팀</cp:lastModifiedBy>
  <cp:lastPrinted>2024-06-27T05:37:21Z</cp:lastPrinted>
  <dcterms:created xsi:type="dcterms:W3CDTF">2001-06-04T06:04:44Z</dcterms:created>
  <dcterms:modified xsi:type="dcterms:W3CDTF">2025-10-13T02:36:04Z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BUILTIN\administrators</vt:lpwstr>
  </property>
  <property fmtid="{D5CDD505-2E9C-101B-9397-08002B2CF9AE}" pid="3" name="display_urn:schemas-microsoft-com:office:office#Author">
    <vt:lpwstr>BUILTIN\administrators</vt:lpwstr>
  </property>
  <property fmtid="{D5CDD505-2E9C-101B-9397-08002B2CF9AE}" pid="4" name="Order">
    <vt:lpwstr>1842400.00000000</vt:lpwstr>
  </property>
  <property fmtid="{D5CDD505-2E9C-101B-9397-08002B2CF9AE}" pid="5" name="MSIP_Label_af9d72c4-8477-49e6-99f9-cf198593d803_SiteId">
    <vt:lpwstr>9682717c-e5aa-4e3f-ae88-3507a84b4611</vt:lpwstr>
  </property>
  <property fmtid="{D5CDD505-2E9C-101B-9397-08002B2CF9AE}" pid="6" name="MSIP_Label_af9d72c4-8477-49e6-99f9-cf198593d803_SetDate">
    <vt:lpwstr>2021-08-24T05:36:22Z</vt:lpwstr>
  </property>
  <property fmtid="{D5CDD505-2E9C-101B-9397-08002B2CF9AE}" pid="7" name="MSIP_Label_af9d72c4-8477-49e6-99f9-cf198593d803_Name">
    <vt:lpwstr>일반(Public)</vt:lpwstr>
  </property>
  <property fmtid="{D5CDD505-2E9C-101B-9397-08002B2CF9AE}" pid="8" name="MSIP_Label_af9d72c4-8477-49e6-99f9-cf198593d803_Method">
    <vt:lpwstr>Privileged</vt:lpwstr>
  </property>
  <property fmtid="{D5CDD505-2E9C-101B-9397-08002B2CF9AE}" pid="9" name="MSIP_Label_af9d72c4-8477-49e6-99f9-cf198593d803_Enabled">
    <vt:lpwstr>true</vt:lpwstr>
  </property>
  <property fmtid="{D5CDD505-2E9C-101B-9397-08002B2CF9AE}" pid="10" name="MSIP_Label_af9d72c4-8477-49e6-99f9-cf198593d803_ContentBits">
    <vt:lpwstr>0</vt:lpwstr>
  </property>
  <property fmtid="{D5CDD505-2E9C-101B-9397-08002B2CF9AE}" pid="11" name="MSIP_Label_af9d72c4-8477-49e6-99f9-cf198593d803_ActionId">
    <vt:lpwstr>0a93cda5-d7fd-4e32-b9e0-90520f53b8aa</vt:lpwstr>
  </property>
</Properties>
</file>