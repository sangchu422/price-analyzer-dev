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A\Desktop\260707 러닝랩 신규과제\견적서\"/>
    </mc:Choice>
  </mc:AlternateContent>
  <xr:revisionPtr revIDLastSave="0" documentId="13_ncr:101_{841F9E4C-D25A-4452-AD05-0F9CA619E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갑지" sheetId="2" r:id="rId1"/>
    <sheet name="원가항목별(집계)" sheetId="3" r:id="rId2"/>
    <sheet name="단위공사별(집계)" sheetId="4" r:id="rId3"/>
    <sheet name="전기" sheetId="5" r:id="rId4"/>
    <sheet name="단위장비1" sheetId="6" r:id="rId5"/>
    <sheet name="단위장비2" sheetId="7" r:id="rId6"/>
    <sheet name="단위장비3" sheetId="8" r:id="rId7"/>
    <sheet name="단위장비4" sheetId="9" r:id="rId8"/>
    <sheet name="단위장비5" sheetId="10" r:id="rId9"/>
    <sheet name="단위장비6" sheetId="11" r:id="rId10"/>
    <sheet name="단위장비7" sheetId="12" r:id="rId11"/>
    <sheet name="Sheet1" sheetId="1" r:id="rId12"/>
  </sheets>
  <externalReferences>
    <externalReference r:id="rId13"/>
  </externalReferences>
  <definedNames>
    <definedName name="_xlnm._FilterDatabase" localSheetId="4" hidden="1">단위장비1!$A$2:$I$295</definedName>
    <definedName name="_xlnm._FilterDatabase" localSheetId="5" hidden="1">단위장비2!$A$2:$I$172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12" l="1"/>
  <c r="H63" i="12"/>
  <c r="H62" i="12"/>
  <c r="H61" i="12"/>
  <c r="H60" i="12"/>
  <c r="H59" i="12"/>
  <c r="H58" i="12"/>
  <c r="H57" i="12"/>
  <c r="H65" i="12" s="1"/>
  <c r="H54" i="12"/>
  <c r="H53" i="12"/>
  <c r="H52" i="12"/>
  <c r="H51" i="12"/>
  <c r="H50" i="12"/>
  <c r="H49" i="12"/>
  <c r="H48" i="12"/>
  <c r="H55" i="12" s="1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47" i="12" s="1"/>
  <c r="H29" i="12"/>
  <c r="H28" i="12"/>
  <c r="H27" i="12"/>
  <c r="H26" i="12"/>
  <c r="H25" i="12"/>
  <c r="H30" i="12" s="1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4" i="12" s="1"/>
  <c r="H65" i="11"/>
  <c r="H64" i="11"/>
  <c r="H63" i="11"/>
  <c r="H62" i="11"/>
  <c r="H61" i="11"/>
  <c r="H60" i="11"/>
  <c r="H59" i="11"/>
  <c r="H58" i="11"/>
  <c r="H57" i="11"/>
  <c r="E12" i="4" s="1"/>
  <c r="H54" i="11"/>
  <c r="H53" i="11"/>
  <c r="H52" i="11"/>
  <c r="H51" i="11"/>
  <c r="H50" i="11"/>
  <c r="H49" i="11"/>
  <c r="H55" i="11" s="1"/>
  <c r="H48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47" i="11" s="1"/>
  <c r="H29" i="11"/>
  <c r="H28" i="11"/>
  <c r="H27" i="11"/>
  <c r="H26" i="11"/>
  <c r="H25" i="11"/>
  <c r="H30" i="11" s="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4" i="11" s="1"/>
  <c r="H63" i="10"/>
  <c r="H62" i="10"/>
  <c r="H61" i="10"/>
  <c r="H60" i="10"/>
  <c r="H59" i="10"/>
  <c r="H58" i="10"/>
  <c r="I14" i="3" s="1"/>
  <c r="H57" i="10"/>
  <c r="H56" i="10"/>
  <c r="H64" i="10" s="1"/>
  <c r="H53" i="10"/>
  <c r="H52" i="10"/>
  <c r="H51" i="10"/>
  <c r="H50" i="10"/>
  <c r="H54" i="10" s="1"/>
  <c r="H49" i="10"/>
  <c r="H48" i="10"/>
  <c r="H47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46" i="10" s="1"/>
  <c r="H28" i="10"/>
  <c r="H27" i="10"/>
  <c r="H26" i="10"/>
  <c r="H25" i="10"/>
  <c r="H24" i="10"/>
  <c r="H29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3" i="10" s="1"/>
  <c r="H64" i="9"/>
  <c r="H63" i="9"/>
  <c r="H62" i="9"/>
  <c r="H61" i="9"/>
  <c r="H60" i="9"/>
  <c r="F10" i="4" s="1"/>
  <c r="H59" i="9"/>
  <c r="H58" i="9"/>
  <c r="H57" i="9"/>
  <c r="H65" i="9" s="1"/>
  <c r="H54" i="9"/>
  <c r="H53" i="9"/>
  <c r="H52" i="9"/>
  <c r="H51" i="9"/>
  <c r="H50" i="9"/>
  <c r="H49" i="9"/>
  <c r="H48" i="9"/>
  <c r="H55" i="9" s="1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47" i="9" s="1"/>
  <c r="H29" i="9"/>
  <c r="H28" i="9"/>
  <c r="H30" i="9" s="1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4" i="9" s="1"/>
  <c r="H3" i="9"/>
  <c r="H64" i="8"/>
  <c r="H63" i="8"/>
  <c r="H62" i="8"/>
  <c r="I17" i="3" s="1"/>
  <c r="H61" i="8"/>
  <c r="H60" i="8"/>
  <c r="H59" i="8"/>
  <c r="H58" i="8"/>
  <c r="H57" i="8"/>
  <c r="H65" i="8" s="1"/>
  <c r="H54" i="8"/>
  <c r="H53" i="8"/>
  <c r="H52" i="8"/>
  <c r="H51" i="8"/>
  <c r="H50" i="8"/>
  <c r="H49" i="8"/>
  <c r="H48" i="8"/>
  <c r="H55" i="8" s="1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47" i="8" s="1"/>
  <c r="H30" i="8"/>
  <c r="H29" i="8"/>
  <c r="H28" i="8"/>
  <c r="H27" i="8"/>
  <c r="H26" i="8"/>
  <c r="H25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24" i="8" s="1"/>
  <c r="H5" i="8"/>
  <c r="H4" i="8"/>
  <c r="H167" i="7"/>
  <c r="H166" i="7"/>
  <c r="H8" i="4" s="1"/>
  <c r="H165" i="7"/>
  <c r="H164" i="7"/>
  <c r="H163" i="7"/>
  <c r="H162" i="7"/>
  <c r="H161" i="7"/>
  <c r="H160" i="7"/>
  <c r="H168" i="7" s="1"/>
  <c r="H158" i="7"/>
  <c r="H159" i="7" s="1"/>
  <c r="H157" i="7"/>
  <c r="H156" i="7"/>
  <c r="H155" i="7"/>
  <c r="H154" i="7"/>
  <c r="H153" i="7"/>
  <c r="H152" i="7"/>
  <c r="H151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150" i="7" s="1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0" i="7"/>
  <c r="H39" i="7"/>
  <c r="H38" i="7"/>
  <c r="H35" i="7"/>
  <c r="H34" i="7"/>
  <c r="H33" i="7"/>
  <c r="H32" i="7"/>
  <c r="H31" i="7"/>
  <c r="H30" i="7"/>
  <c r="H27" i="7"/>
  <c r="H26" i="7"/>
  <c r="H25" i="7"/>
  <c r="H24" i="7"/>
  <c r="H21" i="7"/>
  <c r="H20" i="7"/>
  <c r="H19" i="7"/>
  <c r="H16" i="7"/>
  <c r="H15" i="7"/>
  <c r="H11" i="7"/>
  <c r="H10" i="7"/>
  <c r="H9" i="7"/>
  <c r="H56" i="7" s="1"/>
  <c r="H6" i="7"/>
  <c r="H5" i="7"/>
  <c r="H4" i="7"/>
  <c r="H290" i="6"/>
  <c r="I19" i="3" s="1"/>
  <c r="H289" i="6"/>
  <c r="H288" i="6"/>
  <c r="H287" i="6"/>
  <c r="H286" i="6"/>
  <c r="H285" i="6"/>
  <c r="H284" i="6"/>
  <c r="H283" i="6"/>
  <c r="H291" i="6" s="1"/>
  <c r="H280" i="6"/>
  <c r="H279" i="6"/>
  <c r="H278" i="6"/>
  <c r="H277" i="6"/>
  <c r="H276" i="6"/>
  <c r="H275" i="6"/>
  <c r="H274" i="6"/>
  <c r="H281" i="6" s="1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273" i="6" s="1"/>
  <c r="H144" i="6"/>
  <c r="H143" i="6"/>
  <c r="H142" i="6"/>
  <c r="H141" i="6"/>
  <c r="H140" i="6"/>
  <c r="H145" i="6" s="1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6" i="6"/>
  <c r="H85" i="6"/>
  <c r="H84" i="6"/>
  <c r="H83" i="6"/>
  <c r="H82" i="6"/>
  <c r="H79" i="6"/>
  <c r="H78" i="6"/>
  <c r="H77" i="6"/>
  <c r="H76" i="6"/>
  <c r="H75" i="6"/>
  <c r="H74" i="6"/>
  <c r="H71" i="6"/>
  <c r="H70" i="6"/>
  <c r="H69" i="6"/>
  <c r="H66" i="6"/>
  <c r="H65" i="6"/>
  <c r="H64" i="6"/>
  <c r="H63" i="6"/>
  <c r="H62" i="6"/>
  <c r="H61" i="6"/>
  <c r="H58" i="6"/>
  <c r="H57" i="6"/>
  <c r="H56" i="6"/>
  <c r="H55" i="6"/>
  <c r="H52" i="6"/>
  <c r="H51" i="6"/>
  <c r="H48" i="6"/>
  <c r="H47" i="6"/>
  <c r="H46" i="6"/>
  <c r="H43" i="6"/>
  <c r="H42" i="6"/>
  <c r="H41" i="6"/>
  <c r="H40" i="6"/>
  <c r="H39" i="6"/>
  <c r="H38" i="6"/>
  <c r="H35" i="6"/>
  <c r="H32" i="6"/>
  <c r="H31" i="6"/>
  <c r="H30" i="6"/>
  <c r="H29" i="6"/>
  <c r="H28" i="6"/>
  <c r="H25" i="6"/>
  <c r="H24" i="6"/>
  <c r="H23" i="6"/>
  <c r="H22" i="6"/>
  <c r="H21" i="6"/>
  <c r="H20" i="6"/>
  <c r="H19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139" i="6" s="1"/>
  <c r="I7" i="3" s="1"/>
  <c r="H62" i="5"/>
  <c r="H61" i="5"/>
  <c r="H60" i="5"/>
  <c r="H59" i="5"/>
  <c r="H58" i="5"/>
  <c r="H57" i="5"/>
  <c r="F57" i="5"/>
  <c r="H56" i="5"/>
  <c r="H63" i="5" s="1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G18" i="5"/>
  <c r="H17" i="5"/>
  <c r="H54" i="5" s="1"/>
  <c r="G17" i="5"/>
  <c r="H15" i="5"/>
  <c r="H14" i="5"/>
  <c r="H13" i="5"/>
  <c r="H12" i="5"/>
  <c r="H11" i="5"/>
  <c r="H10" i="5"/>
  <c r="H16" i="5" s="1"/>
  <c r="I24" i="3" s="1"/>
  <c r="H8" i="5"/>
  <c r="H7" i="5"/>
  <c r="H6" i="5"/>
  <c r="H5" i="5"/>
  <c r="H4" i="5"/>
  <c r="H3" i="5"/>
  <c r="H9" i="5" s="1"/>
  <c r="M16" i="4"/>
  <c r="H16" i="4"/>
  <c r="G16" i="4"/>
  <c r="P16" i="4" s="1"/>
  <c r="F16" i="4"/>
  <c r="E16" i="4"/>
  <c r="D16" i="4"/>
  <c r="B16" i="4"/>
  <c r="L16" i="4" s="1"/>
  <c r="M15" i="4"/>
  <c r="H15" i="4"/>
  <c r="G15" i="4"/>
  <c r="F15" i="4"/>
  <c r="E15" i="4"/>
  <c r="D15" i="4"/>
  <c r="B15" i="4"/>
  <c r="A15" i="4" s="1"/>
  <c r="M14" i="4"/>
  <c r="H14" i="4"/>
  <c r="G14" i="4"/>
  <c r="F14" i="4"/>
  <c r="E14" i="4"/>
  <c r="D14" i="4"/>
  <c r="P14" i="4" s="1"/>
  <c r="B14" i="4"/>
  <c r="L14" i="4" s="1"/>
  <c r="H13" i="4"/>
  <c r="G13" i="4"/>
  <c r="F13" i="4"/>
  <c r="E13" i="4"/>
  <c r="B13" i="4"/>
  <c r="H12" i="4"/>
  <c r="G12" i="4"/>
  <c r="F12" i="4"/>
  <c r="B12" i="4"/>
  <c r="H11" i="4"/>
  <c r="G11" i="4"/>
  <c r="E11" i="4"/>
  <c r="B11" i="4"/>
  <c r="H10" i="4"/>
  <c r="G10" i="4"/>
  <c r="E10" i="4"/>
  <c r="B10" i="4"/>
  <c r="H9" i="4"/>
  <c r="F9" i="4"/>
  <c r="E9" i="4"/>
  <c r="B9" i="4"/>
  <c r="G8" i="4"/>
  <c r="F8" i="4"/>
  <c r="E8" i="4"/>
  <c r="B8" i="4"/>
  <c r="H7" i="4"/>
  <c r="G7" i="4"/>
  <c r="E7" i="4"/>
  <c r="B7" i="4"/>
  <c r="A7" i="4" s="1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H25" i="3"/>
  <c r="G25" i="3"/>
  <c r="H19" i="3"/>
  <c r="G19" i="3"/>
  <c r="I18" i="3"/>
  <c r="H18" i="3"/>
  <c r="G18" i="3"/>
  <c r="H17" i="3"/>
  <c r="G17" i="3"/>
  <c r="I16" i="3"/>
  <c r="H16" i="3"/>
  <c r="G16" i="3"/>
  <c r="H15" i="3"/>
  <c r="G15" i="3"/>
  <c r="H14" i="3"/>
  <c r="G14" i="3"/>
  <c r="I13" i="3"/>
  <c r="H13" i="3"/>
  <c r="G13" i="3"/>
  <c r="H12" i="3"/>
  <c r="G12" i="3"/>
  <c r="G7" i="3"/>
  <c r="C26" i="2"/>
  <c r="C25" i="2"/>
  <c r="C24" i="2"/>
  <c r="C23" i="2"/>
  <c r="C22" i="2"/>
  <c r="C21" i="2"/>
  <c r="C20" i="2"/>
  <c r="C19" i="2"/>
  <c r="C18" i="2"/>
  <c r="C17" i="2"/>
  <c r="H17" i="4" l="1"/>
  <c r="J16" i="4"/>
  <c r="N16" i="4" s="1"/>
  <c r="H56" i="11"/>
  <c r="H282" i="6"/>
  <c r="I9" i="3"/>
  <c r="H172" i="7"/>
  <c r="D8" i="4"/>
  <c r="H55" i="5"/>
  <c r="I8" i="3"/>
  <c r="I11" i="3" s="1"/>
  <c r="H171" i="7"/>
  <c r="H170" i="7"/>
  <c r="M8" i="4" s="1"/>
  <c r="H66" i="5"/>
  <c r="H65" i="5"/>
  <c r="H56" i="12"/>
  <c r="E17" i="4"/>
  <c r="E18" i="4" s="1"/>
  <c r="H56" i="8"/>
  <c r="H67" i="10"/>
  <c r="H55" i="10"/>
  <c r="G17" i="4"/>
  <c r="I10" i="3"/>
  <c r="J49" i="3" s="1"/>
  <c r="I49" i="3" s="1"/>
  <c r="H56" i="9"/>
  <c r="H67" i="9" s="1"/>
  <c r="H68" i="11"/>
  <c r="I12" i="3"/>
  <c r="I20" i="3" s="1"/>
  <c r="G9" i="4"/>
  <c r="I14" i="4"/>
  <c r="J14" i="4" s="1"/>
  <c r="N14" i="4" s="1"/>
  <c r="K15" i="4"/>
  <c r="K14" i="4"/>
  <c r="I15" i="3"/>
  <c r="A14" i="4"/>
  <c r="L15" i="4"/>
  <c r="F7" i="4"/>
  <c r="A9" i="4"/>
  <c r="A10" i="4" s="1"/>
  <c r="A11" i="4" s="1"/>
  <c r="A12" i="4" s="1"/>
  <c r="A13" i="4" s="1"/>
  <c r="F11" i="4"/>
  <c r="H67" i="11"/>
  <c r="M12" i="4" s="1"/>
  <c r="P15" i="4"/>
  <c r="I16" i="4"/>
  <c r="I25" i="3"/>
  <c r="I32" i="3" s="1"/>
  <c r="A8" i="4"/>
  <c r="A16" i="4"/>
  <c r="I15" i="4"/>
  <c r="J15" i="4" s="1"/>
  <c r="N15" i="4" s="1"/>
  <c r="K16" i="4"/>
  <c r="H25" i="2" l="1"/>
  <c r="G25" i="2"/>
  <c r="E25" i="2"/>
  <c r="H24" i="2"/>
  <c r="G24" i="2"/>
  <c r="E24" i="2"/>
  <c r="I33" i="3"/>
  <c r="D9" i="4"/>
  <c r="D7" i="4"/>
  <c r="J48" i="3"/>
  <c r="I48" i="3" s="1"/>
  <c r="I39" i="3" s="1"/>
  <c r="D13" i="4"/>
  <c r="D11" i="4"/>
  <c r="H66" i="10"/>
  <c r="M11" i="4" s="1"/>
  <c r="J39" i="3"/>
  <c r="I34" i="3"/>
  <c r="I36" i="3"/>
  <c r="H67" i="8"/>
  <c r="M9" i="4" s="1"/>
  <c r="H67" i="12"/>
  <c r="H68" i="8"/>
  <c r="H67" i="5"/>
  <c r="I23" i="3"/>
  <c r="I35" i="3" s="1"/>
  <c r="H68" i="12"/>
  <c r="H69" i="12" s="1"/>
  <c r="H293" i="6"/>
  <c r="I40" i="3" s="1"/>
  <c r="D10" i="4"/>
  <c r="G26" i="2"/>
  <c r="H26" i="2"/>
  <c r="E26" i="2"/>
  <c r="F17" i="4"/>
  <c r="H68" i="9"/>
  <c r="H69" i="9" s="1"/>
  <c r="P8" i="4"/>
  <c r="D12" i="4"/>
  <c r="H69" i="11"/>
  <c r="H294" i="6"/>
  <c r="I41" i="3" s="1"/>
  <c r="I37" i="3" l="1"/>
  <c r="P11" i="4"/>
  <c r="M10" i="4"/>
  <c r="P10" i="4" s="1"/>
  <c r="H68" i="10"/>
  <c r="H69" i="8"/>
  <c r="I21" i="3"/>
  <c r="I22" i="3" s="1"/>
  <c r="I42" i="3" s="1"/>
  <c r="M7" i="4"/>
  <c r="P7" i="4"/>
  <c r="D17" i="4"/>
  <c r="H295" i="6"/>
  <c r="K44" i="2" s="1"/>
  <c r="P12" i="4"/>
  <c r="M13" i="4"/>
  <c r="P13" i="4" s="1"/>
  <c r="P9" i="4"/>
  <c r="L7" i="4" l="1"/>
  <c r="K13" i="4"/>
  <c r="L13" i="4"/>
  <c r="P17" i="4"/>
  <c r="L10" i="4" s="1"/>
  <c r="I7" i="4"/>
  <c r="I11" i="4"/>
  <c r="J11" i="4" s="1"/>
  <c r="K7" i="4"/>
  <c r="M17" i="4"/>
  <c r="L9" i="4" l="1"/>
  <c r="I13" i="4"/>
  <c r="J13" i="4" s="1"/>
  <c r="N13" i="4" s="1"/>
  <c r="I9" i="4"/>
  <c r="J9" i="4" s="1"/>
  <c r="N9" i="4" s="1"/>
  <c r="I12" i="4"/>
  <c r="J12" i="4" s="1"/>
  <c r="N11" i="4"/>
  <c r="I17" i="4"/>
  <c r="J7" i="4"/>
  <c r="N7" i="4" s="1"/>
  <c r="K8" i="4"/>
  <c r="L11" i="4"/>
  <c r="I8" i="4"/>
  <c r="J8" i="4" s="1"/>
  <c r="K11" i="4"/>
  <c r="L8" i="4"/>
  <c r="L17" i="4" s="1"/>
  <c r="L12" i="4"/>
  <c r="K10" i="4"/>
  <c r="K17" i="4" s="1"/>
  <c r="K12" i="4"/>
  <c r="K9" i="4"/>
  <c r="I10" i="4"/>
  <c r="J10" i="4" s="1"/>
  <c r="I18" i="4" l="1"/>
  <c r="J17" i="4"/>
  <c r="H19" i="2"/>
  <c r="G19" i="2"/>
  <c r="E19" i="2"/>
  <c r="H21" i="2"/>
  <c r="G21" i="2"/>
  <c r="E21" i="2"/>
  <c r="N8" i="4"/>
  <c r="H17" i="2"/>
  <c r="G17" i="2"/>
  <c r="F17" i="2"/>
  <c r="F27" i="2" s="1"/>
  <c r="E17" i="2"/>
  <c r="N12" i="4"/>
  <c r="N10" i="4"/>
  <c r="H23" i="2"/>
  <c r="G23" i="2"/>
  <c r="E23" i="2"/>
  <c r="J18" i="4" l="1"/>
  <c r="H18" i="2"/>
  <c r="H27" i="2" s="1"/>
  <c r="G18" i="2"/>
  <c r="E18" i="2"/>
  <c r="E27" i="2" s="1"/>
  <c r="H22" i="2"/>
  <c r="G22" i="2"/>
  <c r="G27" i="2" s="1"/>
  <c r="E22" i="2"/>
  <c r="N17" i="4"/>
  <c r="H20" i="2"/>
  <c r="G20" i="2"/>
  <c r="E20" i="2"/>
  <c r="G13" i="2" l="1"/>
  <c r="D13" i="2"/>
  <c r="N18" i="4"/>
  <c r="G18" i="4"/>
  <c r="H18" i="4"/>
  <c r="F18" i="4"/>
  <c r="D18" i="4"/>
  <c r="N20" i="4"/>
  <c r="M18" i="4"/>
  <c r="L18" i="4"/>
  <c r="K18" i="4"/>
</calcChain>
</file>

<file path=xl/sharedStrings.xml><?xml version="1.0" encoding="utf-8"?>
<sst xmlns="http://schemas.openxmlformats.org/spreadsheetml/2006/main" count="1375" uniqueCount="558">
  <si>
    <t>(현대/기아차 설비협력업체 견적통일양식)</t>
    <phoneticPr fontId="3" type="noConversion"/>
  </si>
  <si>
    <t xml:space="preserve">見  積  書   </t>
    <phoneticPr fontId="3" type="noConversion"/>
  </si>
  <si>
    <t>현대 위아 貴下</t>
    <phoneticPr fontId="3" type="noConversion"/>
  </si>
  <si>
    <t>㈜ 영산테크노</t>
    <phoneticPr fontId="3" type="noConversion"/>
  </si>
  <si>
    <t>견적일자</t>
    <phoneticPr fontId="3" type="noConversion"/>
  </si>
  <si>
    <t>대표 : 김영근, 김민섭</t>
    <phoneticPr fontId="3" type="noConversion"/>
  </si>
  <si>
    <t>견적번호</t>
    <phoneticPr fontId="3" type="noConversion"/>
  </si>
  <si>
    <t>YS-25-P-124</t>
    <phoneticPr fontId="3" type="noConversion"/>
  </si>
  <si>
    <t>주소 : 경기도 군포시 군포첨단산업2로 102</t>
    <phoneticPr fontId="3" type="noConversion"/>
  </si>
  <si>
    <t>납기</t>
    <phoneticPr fontId="3" type="noConversion"/>
  </si>
  <si>
    <t>입하</t>
    <phoneticPr fontId="3" type="noConversion"/>
  </si>
  <si>
    <t>협의사항</t>
    <phoneticPr fontId="3" type="noConversion"/>
  </si>
  <si>
    <t>최종검수</t>
    <phoneticPr fontId="3" type="noConversion"/>
  </si>
  <si>
    <t>전화: (031) 355 - 1150</t>
    <phoneticPr fontId="3" type="noConversion"/>
  </si>
  <si>
    <t>견적유효기간</t>
    <phoneticPr fontId="3" type="noConversion"/>
  </si>
  <si>
    <t>제출후 30 일</t>
    <phoneticPr fontId="3" type="noConversion"/>
  </si>
  <si>
    <t>Fax: (031) 355 - 1154</t>
    <phoneticPr fontId="3" type="noConversion"/>
  </si>
  <si>
    <t>인도장소</t>
    <phoneticPr fontId="3" type="noConversion"/>
  </si>
  <si>
    <t>귀사 지정장소</t>
    <phoneticPr fontId="3" type="noConversion"/>
  </si>
  <si>
    <t>견적담당:</t>
  </si>
  <si>
    <t>조보형</t>
    <phoneticPr fontId="3" type="noConversion"/>
  </si>
  <si>
    <t>지불조건</t>
    <phoneticPr fontId="3" type="noConversion"/>
  </si>
  <si>
    <t>연 락 처 :</t>
  </si>
  <si>
    <t>010-4811-2196</t>
    <phoneticPr fontId="3" type="noConversion"/>
  </si>
  <si>
    <t>견적금액</t>
    <phoneticPr fontId="3" type="noConversion"/>
  </si>
  <si>
    <t>)</t>
    <phoneticPr fontId="3" type="noConversion"/>
  </si>
  <si>
    <t>번호</t>
    <phoneticPr fontId="3" type="noConversion"/>
  </si>
  <si>
    <t>상세품목내역</t>
    <phoneticPr fontId="3" type="noConversion"/>
  </si>
  <si>
    <r>
      <t xml:space="preserve">견적금액 </t>
    </r>
    <r>
      <rPr>
        <sz val="11"/>
        <color theme="1"/>
        <rFont val="맑은 고딕"/>
        <family val="2"/>
        <scheme val="minor"/>
      </rPr>
      <t>(천원)</t>
    </r>
    <phoneticPr fontId="3" type="noConversion"/>
  </si>
  <si>
    <t>비  고</t>
    <phoneticPr fontId="3" type="noConversion"/>
  </si>
  <si>
    <t>기계부문</t>
    <phoneticPr fontId="3" type="noConversion"/>
  </si>
  <si>
    <t>전기부문</t>
    <phoneticPr fontId="3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</si>
  <si>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</si>
  <si>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</si>
  <si>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r>
      <t>견적 합</t>
    </r>
    <r>
      <rPr>
        <sz val="11"/>
        <rFont val="굴림"/>
        <family val="3"/>
        <charset val="129"/>
      </rPr>
      <t>계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</si>
  <si>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</si>
  <si>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특기사항</t>
    <phoneticPr fontId="3" type="noConversion"/>
  </si>
  <si>
    <t>1. VAT 제외</t>
    <phoneticPr fontId="3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</si>
  <si>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</si>
  <si>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2. 기본 유틸리티공사 제외</t>
    <phoneticPr fontId="3" type="noConversion"/>
  </si>
  <si>
    <t>설계외주</t>
    <phoneticPr fontId="3" type="noConversion"/>
  </si>
  <si>
    <t>제작외주</t>
    <phoneticPr fontId="3" type="noConversion"/>
  </si>
  <si>
    <t>전기외주</t>
    <phoneticPr fontId="3" type="noConversion"/>
  </si>
  <si>
    <t>설치외주</t>
    <phoneticPr fontId="3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</si>
  <si>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</si>
  <si>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3" type="noConversion"/>
  </si>
  <si>
    <t>순번</t>
    <phoneticPr fontId="3" type="noConversion"/>
  </si>
  <si>
    <t>원가구분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</si>
  <si>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</si>
  <si>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</si>
  <si>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</si>
  <si>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r>
      <t>금  액</t>
    </r>
    <r>
      <rPr>
        <sz val="11"/>
        <color theme="1"/>
        <rFont val="맑은 고딕"/>
        <family val="2"/>
        <scheme val="minor"/>
      </rPr>
      <t>(원)</t>
    </r>
    <phoneticPr fontId="3" type="noConversion"/>
  </si>
  <si>
    <r>
      <t xml:space="preserve">비 </t>
    </r>
    <r>
      <rPr>
        <sz val="11"/>
        <color theme="1"/>
        <rFont val="맑은 고딕"/>
        <family val="2"/>
        <scheme val="minor"/>
      </rPr>
      <t xml:space="preserve"> 고</t>
    </r>
    <phoneticPr fontId="3" type="noConversion"/>
  </si>
  <si>
    <t>기계
부문</t>
    <phoneticPr fontId="3" type="noConversion"/>
  </si>
  <si>
    <t>자재비</t>
    <phoneticPr fontId="3" type="noConversion"/>
  </si>
  <si>
    <r>
      <t>철자재(</t>
    </r>
    <r>
      <rPr>
        <sz val="11"/>
        <color theme="1"/>
        <rFont val="맑은 고딕"/>
        <family val="2"/>
        <scheme val="minor"/>
      </rPr>
      <t>SS.SUS등)</t>
    </r>
    <phoneticPr fontId="3" type="noConversion"/>
  </si>
  <si>
    <t>kg</t>
    <phoneticPr fontId="3" type="noConversion"/>
  </si>
  <si>
    <t>加工必要資材</t>
    <phoneticPr fontId="3" type="noConversion"/>
  </si>
  <si>
    <t>일반구매품</t>
    <phoneticPr fontId="3" type="noConversion"/>
  </si>
  <si>
    <t>식</t>
    <phoneticPr fontId="3" type="noConversion"/>
  </si>
  <si>
    <t>加工不要資材</t>
    <phoneticPr fontId="3" type="noConversion"/>
  </si>
  <si>
    <t>외주제작품</t>
    <phoneticPr fontId="3" type="noConversion"/>
  </si>
  <si>
    <r>
      <t>旣加工S</t>
    </r>
    <r>
      <rPr>
        <sz val="11"/>
        <color theme="1"/>
        <rFont val="맑은 고딕"/>
        <family val="2"/>
        <scheme val="minor"/>
      </rPr>
      <t>UB</t>
    </r>
    <r>
      <rPr>
        <sz val="11"/>
        <rFont val="굴림"/>
        <family val="3"/>
        <charset val="129"/>
      </rPr>
      <t>資材</t>
    </r>
    <phoneticPr fontId="3" type="noConversion"/>
  </si>
  <si>
    <t>설치/해체 공사 자재</t>
    <phoneticPr fontId="3" type="noConversion"/>
  </si>
  <si>
    <t>시운전 자재 포함</t>
    <phoneticPr fontId="3" type="noConversion"/>
  </si>
  <si>
    <r>
      <t>소</t>
    </r>
    <r>
      <rPr>
        <sz val="11"/>
        <color theme="1"/>
        <rFont val="맑은 고딕"/>
        <family val="2"/>
        <scheme val="minor"/>
      </rPr>
      <t>계</t>
    </r>
    <phoneticPr fontId="3" type="noConversion"/>
  </si>
  <si>
    <t>노무비</t>
    <phoneticPr fontId="3" type="noConversion"/>
  </si>
  <si>
    <t>기존설비 철거</t>
    <phoneticPr fontId="3" type="noConversion"/>
  </si>
  <si>
    <t>M/D</t>
    <phoneticPr fontId="3" type="noConversion"/>
  </si>
  <si>
    <t>개조공사時</t>
    <phoneticPr fontId="3" type="noConversion"/>
  </si>
  <si>
    <t>설계</t>
    <phoneticPr fontId="3" type="noConversion"/>
  </si>
  <si>
    <t>제작(제관,가공)</t>
    <phoneticPr fontId="3" type="noConversion"/>
  </si>
  <si>
    <t>조립</t>
    <phoneticPr fontId="3" type="noConversion"/>
  </si>
  <si>
    <t>정도검사포함</t>
    <phoneticPr fontId="3" type="noConversion"/>
  </si>
  <si>
    <t>설치</t>
    <phoneticPr fontId="3" type="noConversion"/>
  </si>
  <si>
    <t>시운전</t>
    <phoneticPr fontId="3" type="noConversion"/>
  </si>
  <si>
    <t>양산대응</t>
    <phoneticPr fontId="3" type="noConversion"/>
  </si>
  <si>
    <t>도장</t>
    <phoneticPr fontId="3" type="noConversion"/>
  </si>
  <si>
    <t>일반관리 및 이윤</t>
    <phoneticPr fontId="3" type="noConversion"/>
  </si>
  <si>
    <t>기계 소계</t>
    <phoneticPr fontId="3" type="noConversion"/>
  </si>
  <si>
    <t>전기
부문</t>
    <phoneticPr fontId="3" type="noConversion"/>
  </si>
  <si>
    <t>기계/전기자재</t>
    <phoneticPr fontId="3" type="noConversion"/>
  </si>
  <si>
    <t>철거(개조시)</t>
    <phoneticPr fontId="3" type="noConversion"/>
  </si>
  <si>
    <t>설계,프로그램</t>
    <phoneticPr fontId="3" type="noConversion"/>
  </si>
  <si>
    <t>제작</t>
    <phoneticPr fontId="3" type="noConversion"/>
  </si>
  <si>
    <t>소계</t>
    <phoneticPr fontId="3" type="noConversion"/>
  </si>
  <si>
    <t>전기 소계</t>
    <phoneticPr fontId="3" type="noConversion"/>
  </si>
  <si>
    <t>자재비 합계</t>
    <phoneticPr fontId="3" type="noConversion"/>
  </si>
  <si>
    <t>노무비 합계</t>
    <phoneticPr fontId="3" type="noConversion"/>
  </si>
  <si>
    <r>
      <t xml:space="preserve">중간 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rFont val="굴림"/>
        <family val="3"/>
        <charset val="129"/>
      </rPr>
      <t>합계</t>
    </r>
    <phoneticPr fontId="3" type="noConversion"/>
  </si>
  <si>
    <t>포장,운송 및 중장비 사용료</t>
    <phoneticPr fontId="3" type="noConversion"/>
  </si>
  <si>
    <t>표준안전관리비</t>
  </si>
  <si>
    <t>설치/철거/수리금액 기준</t>
    <phoneticPr fontId="3" type="noConversion"/>
  </si>
  <si>
    <t>일반관리비</t>
    <phoneticPr fontId="3" type="noConversion"/>
  </si>
  <si>
    <r>
      <t xml:space="preserve">이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윤</t>
    </r>
    <phoneticPr fontId="3" type="noConversion"/>
  </si>
  <si>
    <r>
      <t xml:space="preserve">합 </t>
    </r>
    <r>
      <rPr>
        <sz val="11"/>
        <color theme="1"/>
        <rFont val="맑은 고딕"/>
        <family val="2"/>
        <scheme val="minor"/>
      </rPr>
      <t xml:space="preserve">        </t>
    </r>
    <r>
      <rPr>
        <sz val="11"/>
        <rFont val="굴림"/>
        <family val="3"/>
        <charset val="129"/>
      </rPr>
      <t>계</t>
    </r>
    <phoneticPr fontId="3" type="noConversion"/>
  </si>
  <si>
    <t>3~7항 합계</t>
    <phoneticPr fontId="3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</si>
  <si>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color theme="1"/>
        <rFont val="맑은 고딕"/>
        <family val="2"/>
        <scheme val="minor"/>
      </rPr>
      <t>(설치/철거/시운전 공사 관련 금액)의</t>
    </r>
    <phoneticPr fontId="3" type="noConversion"/>
  </si>
  <si>
    <t xml:space="preserve">        ⓐ3.15%(5억원미만),ⓑ2.53%+기초액(5억원 이상 ~ 50억원 미만),ⓒ2.60%(50억 이상일경우)</t>
    <phoneticPr fontId="3" type="noConversion"/>
  </si>
  <si>
    <r>
      <t>주2</t>
    </r>
    <r>
      <rPr>
        <sz val="11"/>
        <color theme="1"/>
        <rFont val="맑은 고딕"/>
        <family val="2"/>
        <scheme val="minor"/>
      </rPr>
      <t>. 제작을 전량 외주할경우 자재비중 [외주제작품] 항목은 삭제함</t>
    </r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</si>
  <si>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</si>
  <si>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</si>
  <si>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</si>
  <si>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</si>
  <si>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</si>
  <si>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</si>
  <si>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</si>
  <si>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</si>
  <si>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당사내 설치비限</t>
    <phoneticPr fontId="3" type="noConversion"/>
  </si>
  <si>
    <r>
      <t>※ 계상기준</t>
    </r>
    <r>
      <rPr>
        <sz val="11"/>
        <color theme="1"/>
        <rFont val="맑은 고딕"/>
        <family val="2"/>
        <scheme val="minor"/>
      </rPr>
      <t>1 : 대상액*요율 / 계상기준2 : 대상액*요율*1.2</t>
    </r>
    <phoneticPr fontId="3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</si>
  <si>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3" type="noConversion"/>
  </si>
  <si>
    <t>단위:원</t>
    <phoneticPr fontId="3" type="noConversion"/>
  </si>
  <si>
    <t>포장/운송</t>
    <phoneticPr fontId="3" type="noConversion"/>
  </si>
  <si>
    <t>표준안전</t>
    <phoneticPr fontId="3" type="noConversion"/>
  </si>
  <si>
    <t>단위장비명</t>
    <phoneticPr fontId="3" type="noConversion"/>
  </si>
  <si>
    <t>철거</t>
    <phoneticPr fontId="3" type="noConversion"/>
  </si>
  <si>
    <t>설치/시운전</t>
    <phoneticPr fontId="3" type="noConversion"/>
  </si>
  <si>
    <t>중장비사용</t>
    <phoneticPr fontId="3" type="noConversion"/>
  </si>
  <si>
    <t>기계소계</t>
    <phoneticPr fontId="3" type="noConversion"/>
  </si>
  <si>
    <t>전기소계</t>
    <phoneticPr fontId="3" type="noConversion"/>
  </si>
  <si>
    <t>관리비</t>
    <phoneticPr fontId="3" type="noConversion"/>
  </si>
  <si>
    <t>이윤</t>
    <phoneticPr fontId="3" type="noConversion"/>
  </si>
  <si>
    <t>합  계</t>
    <phoneticPr fontId="3" type="noConversion"/>
  </si>
  <si>
    <t>1식</t>
    <phoneticPr fontId="3" type="noConversion"/>
  </si>
  <si>
    <t>1식</t>
  </si>
  <si>
    <t>합   계</t>
    <phoneticPr fontId="3" type="noConversion"/>
  </si>
  <si>
    <t xml:space="preserve"> 주) 전기비용은 턴키장비의 공통비용으로서 총 전기비용을 단위장비별 기계금액의 비율에 따라 배분함</t>
    <phoneticPr fontId="3" type="noConversion"/>
  </si>
  <si>
    <t>□ 전기부문: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</si>
  <si>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</si>
  <si>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</si>
  <si>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</si>
  <si>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</si>
  <si>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</si>
  <si>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</si>
  <si>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</si>
  <si>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</si>
  <si>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철자재</t>
    <phoneticPr fontId="3" type="noConversion"/>
  </si>
  <si>
    <t>설치/해체/</t>
    <phoneticPr fontId="3" type="noConversion"/>
  </si>
  <si>
    <t>시운전 공사</t>
    <phoneticPr fontId="3" type="noConversion"/>
  </si>
  <si>
    <t>자재</t>
    <phoneticPr fontId="3" type="noConversion"/>
  </si>
  <si>
    <t>기타자재</t>
    <phoneticPr fontId="3" type="noConversion"/>
  </si>
  <si>
    <t>ST</t>
    <phoneticPr fontId="3" type="noConversion"/>
  </si>
  <si>
    <t>전기자재</t>
    <phoneticPr fontId="3" type="noConversion"/>
  </si>
  <si>
    <t xml:space="preserve"> 판넬 자재 &amp; 제작비</t>
  </si>
  <si>
    <t xml:space="preserve">  Q PLC (미쓰비시)</t>
  </si>
  <si>
    <t>LOT</t>
  </si>
  <si>
    <t xml:space="preserve"> 2차 공사 자재비</t>
  </si>
  <si>
    <t>자재비 소계</t>
    <phoneticPr fontId="3" type="noConversion"/>
  </si>
  <si>
    <t>노
무
비</t>
    <phoneticPr fontId="3" type="noConversion"/>
  </si>
  <si>
    <t>작화. PROGRAM 비</t>
    <phoneticPr fontId="3" type="noConversion"/>
  </si>
  <si>
    <t>M/D</t>
  </si>
  <si>
    <t>전기 제작</t>
    <phoneticPr fontId="3" type="noConversion"/>
  </si>
  <si>
    <t>전기 조립</t>
    <phoneticPr fontId="3" type="noConversion"/>
  </si>
  <si>
    <t>전기 설치</t>
    <phoneticPr fontId="3" type="noConversion"/>
  </si>
  <si>
    <t>전기 시운전</t>
    <phoneticPr fontId="3" type="noConversion"/>
  </si>
  <si>
    <t>전기 양산대응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</si>
  <si>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</si>
  <si>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</si>
  <si>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* 기계부문에 포함시킴</t>
    <phoneticPr fontId="3" type="noConversion"/>
  </si>
  <si>
    <t>이         윤</t>
    <phoneticPr fontId="3" type="noConversion"/>
  </si>
  <si>
    <t>합         계</t>
    <phoneticPr fontId="3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</si>
  <si>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</si>
  <si>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친수 코팅 라인</t>
    <phoneticPr fontId="3" type="noConversion"/>
  </si>
  <si>
    <t>1. FRAME &amp; BASE</t>
    <phoneticPr fontId="3" type="noConversion"/>
  </si>
  <si>
    <t xml:space="preserve"> H-BEAM</t>
  </si>
  <si>
    <t xml:space="preserve"> H - 200 x 200</t>
  </si>
  <si>
    <t xml:space="preserve"> H - 200 x 100</t>
  </si>
  <si>
    <t xml:space="preserve"> I-BEAM</t>
  </si>
  <si>
    <t xml:space="preserve"> I-250x125</t>
  </si>
  <si>
    <t xml:space="preserve"> CHANNEL</t>
  </si>
  <si>
    <t xml:space="preserve"> ㄷ - 200 x 80</t>
  </si>
  <si>
    <t xml:space="preserve"> ㄷ - 125 x 65</t>
  </si>
  <si>
    <t xml:space="preserve"> ㄷ - 100 x 50</t>
  </si>
  <si>
    <t xml:space="preserve"> STEEL PLATE</t>
  </si>
  <si>
    <t xml:space="preserve"> SS - 20Tx4'x8'외</t>
  </si>
  <si>
    <t xml:space="preserve"> ANGLE</t>
  </si>
  <si>
    <t xml:space="preserve"> SS L - 65 x 6T</t>
  </si>
  <si>
    <t xml:space="preserve"> SS L - 50 x 6T</t>
  </si>
  <si>
    <t xml:space="preserve"> CHECK PLATE</t>
  </si>
  <si>
    <t xml:space="preserve"> SS - 4'x8'x 4.5T </t>
  </si>
  <si>
    <t xml:space="preserve"> PIPE</t>
  </si>
  <si>
    <t xml:space="preserve"> 25A외</t>
  </si>
  <si>
    <t xml:space="preserve"> C형강</t>
  </si>
  <si>
    <t xml:space="preserve"> 150x65x3.2T</t>
  </si>
  <si>
    <t xml:space="preserve"> 소모자재 및 잡자재</t>
  </si>
  <si>
    <t>2. PROCESS TANK</t>
    <phoneticPr fontId="3" type="noConversion"/>
  </si>
  <si>
    <t xml:space="preserve"> 수세조 #1</t>
  </si>
  <si>
    <t>SUS304 1650x1650x1100</t>
  </si>
  <si>
    <t xml:space="preserve"> 화성조</t>
  </si>
  <si>
    <t>SUS316 1650x1650x1100/보온</t>
  </si>
  <si>
    <t xml:space="preserve"> 2단 수세조 #2,3</t>
  </si>
  <si>
    <t>SUS304 1650x3430x1100</t>
  </si>
  <si>
    <t xml:space="preserve"> 친수조</t>
  </si>
  <si>
    <t xml:space="preserve"> 화성보조조</t>
  </si>
  <si>
    <t>PP15T  900x1350x1000</t>
  </si>
  <si>
    <t xml:space="preserve"> 친수보조조</t>
  </si>
  <si>
    <t xml:space="preserve"> 약품저장조</t>
  </si>
  <si>
    <t>PP15T  940x 690x 985</t>
  </si>
  <si>
    <t>3. AUTOMATIC O/H CARRIER-2SET</t>
    <phoneticPr fontId="3" type="noConversion"/>
  </si>
  <si>
    <t xml:space="preserve"> SS41 ㄷ-150x75외</t>
  </si>
  <si>
    <t xml:space="preserve"> SQ-PIPE</t>
  </si>
  <si>
    <t xml:space="preserve"> SS41 ㅁ-100x50</t>
  </si>
  <si>
    <t xml:space="preserve"> SS41 16T외</t>
  </si>
  <si>
    <t xml:space="preserve"> SUS304 1.5T외</t>
  </si>
  <si>
    <t xml:space="preserve"> 기타잡자재</t>
  </si>
  <si>
    <t>4. 자동 약품관리 SYSTEM</t>
    <phoneticPr fontId="3" type="noConversion"/>
  </si>
  <si>
    <t xml:space="preserve"> 형강류</t>
  </si>
  <si>
    <t xml:space="preserve"> C-CHANNEL, STEEL PLATE</t>
  </si>
  <si>
    <t>5. LIFTER UNIT-2SET</t>
    <phoneticPr fontId="3" type="noConversion"/>
  </si>
  <si>
    <t xml:space="preserve"> SS ㅁ-100x100</t>
  </si>
  <si>
    <t xml:space="preserve"> SS ㄷ-100x50외</t>
  </si>
  <si>
    <t xml:space="preserve"> ELEVATOR RAIL</t>
  </si>
  <si>
    <t xml:space="preserve"> SS 9T외</t>
  </si>
  <si>
    <t xml:space="preserve"> 안전망,핸드레일</t>
  </si>
  <si>
    <t>6. LOADING CONVEYOR</t>
    <phoneticPr fontId="3" type="noConversion"/>
  </si>
  <si>
    <t xml:space="preserve"> FRAME</t>
  </si>
  <si>
    <t xml:space="preserve"> FAL6030, FAC11847</t>
  </si>
  <si>
    <t xml:space="preserve"> PLATE</t>
  </si>
  <si>
    <t xml:space="preserve"> SS400 20t 외</t>
  </si>
  <si>
    <t xml:space="preserve"> 잡자재</t>
  </si>
  <si>
    <t xml:space="preserve"> 볼트 외</t>
  </si>
  <si>
    <t>7. INDEX UNIT-2SET</t>
    <phoneticPr fontId="3" type="noConversion"/>
  </si>
  <si>
    <t>8. INDEX CONVEYOR-2SET</t>
    <phoneticPr fontId="3" type="noConversion"/>
  </si>
  <si>
    <t xml:space="preserve"> SS ㅁ-100x50</t>
  </si>
  <si>
    <t>9. ACCUM ROLLER C/V-4SET</t>
    <phoneticPr fontId="3" type="noConversion"/>
  </si>
  <si>
    <t xml:space="preserve"> SS ㅁ-100x50외</t>
  </si>
  <si>
    <t xml:space="preserve"> SS-9,12T외</t>
  </si>
  <si>
    <t xml:space="preserve"> SUS 3.OT</t>
  </si>
  <si>
    <t xml:space="preserve"> GUIDE RAIL/BRACKET</t>
  </si>
  <si>
    <t xml:space="preserve"> SUS PIPE 25A</t>
  </si>
  <si>
    <t>10. LOADING/UNLOADING LOADER-2SET</t>
    <phoneticPr fontId="3" type="noConversion"/>
  </si>
  <si>
    <t xml:space="preserve"> SS ㅁ- 100x100x3.2T외</t>
  </si>
  <si>
    <t xml:space="preserve"> AL PLATE</t>
  </si>
  <si>
    <t xml:space="preserve"> AL 20T외</t>
  </si>
  <si>
    <t>11. 배관공사</t>
    <phoneticPr fontId="3" type="noConversion"/>
  </si>
  <si>
    <t xml:space="preserve"> DRAIN,용수 배관외</t>
  </si>
  <si>
    <t xml:space="preserve"> PVC, SUS304</t>
  </si>
  <si>
    <t xml:space="preserve"> STEAM 및 응축수 배관 </t>
  </si>
  <si>
    <t xml:space="preserve"> SGP(B),SUS304(SCH20)</t>
  </si>
  <si>
    <t xml:space="preserve"> 약품공급배관</t>
  </si>
  <si>
    <t xml:space="preserve"> SUS304,PVC(SCH20)</t>
  </si>
  <si>
    <t xml:space="preserve"> 순환 배관</t>
  </si>
  <si>
    <t xml:space="preserve"> SUS304,316,PVC(SCH20)</t>
  </si>
  <si>
    <t xml:space="preserve"> AIR 배관</t>
  </si>
  <si>
    <t xml:space="preserve"> SUS304,SGP(W),PVC(SCH20)</t>
  </si>
  <si>
    <t xml:space="preserve"> 단열 및 보온</t>
  </si>
  <si>
    <t xml:space="preserve"> </t>
    <phoneticPr fontId="3" type="noConversion"/>
  </si>
  <si>
    <t>12. 배기 HOOD 장치</t>
    <phoneticPr fontId="3" type="noConversion"/>
  </si>
  <si>
    <t xml:space="preserve"> PVC PLATE</t>
  </si>
  <si>
    <t xml:space="preserve"> 5Tx1Mx2M</t>
  </si>
  <si>
    <t xml:space="preserve"> 10Tx1Mx2M</t>
  </si>
  <si>
    <t xml:space="preserve"> PVC DAMPER</t>
  </si>
  <si>
    <t xml:space="preserve"> 250x250x300H</t>
  </si>
  <si>
    <t>SET</t>
  </si>
  <si>
    <t xml:space="preserve"> DUCT HANGER &amp; HOOD SUPPORT</t>
  </si>
  <si>
    <t>13. DRY OFF OVEN</t>
    <phoneticPr fontId="3" type="noConversion"/>
  </si>
  <si>
    <t xml:space="preserve"> GI - 1.6T</t>
  </si>
  <si>
    <t xml:space="preserve"> GI - 1.2T</t>
  </si>
  <si>
    <t xml:space="preserve"> SS - 2.3 ~ 6T</t>
  </si>
  <si>
    <t xml:space="preserve"> SS ㄷ - 100 x 50</t>
  </si>
  <si>
    <t xml:space="preserve"> SQ PIPE</t>
  </si>
  <si>
    <t xml:space="preserve"> SS ㅁ-125x125x4.5T</t>
  </si>
  <si>
    <t xml:space="preserve"> FLAT BAR</t>
  </si>
  <si>
    <t xml:space="preserve"> 38Wx6T,100x12T</t>
  </si>
  <si>
    <t xml:space="preserve"> SS L - 50 x 50</t>
  </si>
  <si>
    <t xml:space="preserve"> ROUND BAR</t>
  </si>
  <si>
    <t xml:space="preserve"> SS Φ10</t>
  </si>
  <si>
    <t xml:space="preserve"> 보온재</t>
  </si>
  <si>
    <t xml:space="preserve"> 150T</t>
  </si>
  <si>
    <t xml:space="preserve"> PAKING</t>
  </si>
  <si>
    <t xml:space="preserve"> SS - 4.5T, 2.3T.1.6T</t>
  </si>
  <si>
    <t xml:space="preserve"> SS ㅁ - 50 x 50 x 2.3T</t>
  </si>
  <si>
    <t>14. 기타</t>
    <phoneticPr fontId="3" type="noConversion"/>
  </si>
  <si>
    <t xml:space="preserve"> BASKET 세척 SYSTEM</t>
  </si>
  <si>
    <t xml:space="preserve"> 안전 휀스 제작 &amp; 설치</t>
  </si>
  <si>
    <t xml:space="preserve"> 바스켓 제작비</t>
  </si>
  <si>
    <t xml:space="preserve"> 냉동기 배관 &amp; COIL</t>
  </si>
  <si>
    <t xml:space="preserve"> 폐수 저장 TANK</t>
  </si>
  <si>
    <t xml:space="preserve"> SUS316, 3t</t>
  </si>
  <si>
    <t>설치/해체/시운전</t>
    <phoneticPr fontId="3" type="noConversion"/>
  </si>
  <si>
    <t>공사 관련 자재</t>
    <phoneticPr fontId="3" type="noConversion"/>
  </si>
  <si>
    <t>구매품</t>
    <phoneticPr fontId="3" type="noConversion"/>
  </si>
  <si>
    <t xml:space="preserve"> GEARED MOTOR</t>
  </si>
  <si>
    <t xml:space="preserve"> 1.1KWx1/20/BRAKE/SEW</t>
  </si>
  <si>
    <t>(유공압품외)</t>
    <phoneticPr fontId="3" type="noConversion"/>
  </si>
  <si>
    <t xml:space="preserve"> 3KWx1/12/BRAKE/SEW</t>
  </si>
  <si>
    <t xml:space="preserve"> 4KWx1/12/BRAKE/SEW</t>
  </si>
  <si>
    <t xml:space="preserve"> FINGER UNIT</t>
  </si>
  <si>
    <t xml:space="preserve"> 3-FINGER 방식(SUS)</t>
  </si>
  <si>
    <t xml:space="preserve"> RACK GEAR</t>
  </si>
  <si>
    <t xml:space="preserve"> M5xP15.7</t>
  </si>
  <si>
    <t xml:space="preserve"> RACK JACK</t>
  </si>
  <si>
    <t xml:space="preserve"> RJ40-4S</t>
  </si>
  <si>
    <t xml:space="preserve"> TIMMING BELT &amp;PULLEY</t>
  </si>
  <si>
    <t xml:space="preserve"> S14Mx40NT</t>
  </si>
  <si>
    <t xml:space="preserve"> CHAIN CUPLING</t>
  </si>
  <si>
    <t>EA</t>
  </si>
  <si>
    <t xml:space="preserve"> BEARING</t>
  </si>
  <si>
    <t xml:space="preserve"> UCP214외</t>
  </si>
  <si>
    <t xml:space="preserve"> SPUR GEAR</t>
  </si>
  <si>
    <t xml:space="preserve"> M4x40NT외</t>
  </si>
  <si>
    <t xml:space="preserve"> 주행 WHEEL</t>
  </si>
  <si>
    <t xml:space="preserve"> Φ150 (불크란)</t>
  </si>
  <si>
    <t xml:space="preserve"> GUIDE ROLLER외</t>
  </si>
  <si>
    <t xml:space="preserve"> Φ80 (불크란)</t>
  </si>
  <si>
    <t xml:space="preserve"> CABLEVEYOR</t>
  </si>
  <si>
    <t xml:space="preserve"> 공압자재</t>
  </si>
  <si>
    <t xml:space="preserve"> SOL V/V외</t>
  </si>
  <si>
    <t xml:space="preserve"> 약품정량공급 PUMP</t>
  </si>
  <si>
    <t xml:space="preserve"> 1500cc/MIN,TEFLON/천세</t>
  </si>
  <si>
    <t xml:space="preserve"> 450cc/MIN,TEFLON/IWAKI</t>
  </si>
  <si>
    <t xml:space="preserve"> 화성조 C/R PUMP</t>
  </si>
  <si>
    <t xml:space="preserve"> SUS 150L/MIN/GRUNDFOS</t>
  </si>
  <si>
    <t xml:space="preserve"> 친수조 C/R PUMP</t>
  </si>
  <si>
    <t xml:space="preserve"> SUS 150L/MIN/TEXEL</t>
  </si>
  <si>
    <t xml:space="preserve"> FILTER HOUSING</t>
  </si>
  <si>
    <t xml:space="preserve"> SUS304 200L/MIN</t>
  </si>
  <si>
    <t xml:space="preserve"> SUS316 200L/MIN</t>
  </si>
  <si>
    <t xml:space="preserve"> 전도도계(EC)</t>
  </si>
  <si>
    <t xml:space="preserve"> 화성(2)</t>
  </si>
  <si>
    <t xml:space="preserve"> PH-METER</t>
  </si>
  <si>
    <t xml:space="preserve"> 화성(2),수세#3,친수보조</t>
  </si>
  <si>
    <t xml:space="preserve"> 유량계</t>
  </si>
  <si>
    <t xml:space="preserve"> 수세#1,화성,수세#3</t>
  </si>
  <si>
    <t>2.2KWx1/30xB"</t>
  </si>
  <si>
    <t>0.4KWx1/40xB"</t>
  </si>
  <si>
    <t xml:space="preserve"> POWER ROLLER(RUBBER)</t>
  </si>
  <si>
    <t xml:space="preserve"> Φ70x1569L</t>
  </si>
  <si>
    <t xml:space="preserve"> CHAIN</t>
  </si>
  <si>
    <t xml:space="preserve"> RS#50</t>
  </si>
  <si>
    <t>BOX</t>
  </si>
  <si>
    <t xml:space="preserve"> RJ20-4S</t>
  </si>
  <si>
    <t xml:space="preserve"> SPROCKET</t>
  </si>
  <si>
    <t xml:space="preserve"> RS50외</t>
  </si>
  <si>
    <t xml:space="preserve"> GUIDE ROLLER</t>
  </si>
  <si>
    <t xml:space="preserve"> Φ50,우레탄코팅</t>
  </si>
  <si>
    <t xml:space="preserve"> SHAFT &amp; BEARING</t>
  </si>
  <si>
    <t xml:space="preserve"> UCFL206외</t>
  </si>
  <si>
    <t xml:space="preserve"> 200Wx4Px1/50-T</t>
  </si>
  <si>
    <t xml:space="preserve"> TOP PLATE CHAIN</t>
  </si>
  <si>
    <t xml:space="preserve"> HT800-K12, 7m</t>
  </si>
  <si>
    <t xml:space="preserve"> RS CHAIN</t>
  </si>
  <si>
    <t xml:space="preserve"> GUIDE CYLINDER</t>
  </si>
  <si>
    <t xml:space="preserve"> MGPM40-75-A93L</t>
  </si>
  <si>
    <t xml:space="preserve"> 솔밸브</t>
  </si>
  <si>
    <t xml:space="preserve"> SY5240-5DZ</t>
  </si>
  <si>
    <t xml:space="preserve"> 매니폴드</t>
  </si>
  <si>
    <t xml:space="preserve"> SS5Y5-41-05-01 </t>
  </si>
  <si>
    <t xml:space="preserve"> 블랭킹</t>
  </si>
  <si>
    <t xml:space="preserve"> SY5000-26-20A</t>
  </si>
  <si>
    <t xml:space="preserve"> SERVO MOTOR</t>
  </si>
  <si>
    <t xml:space="preserve"> HG-KR73, 앰프, 레듀셔</t>
  </si>
  <si>
    <t xml:space="preserve"> TIMMING PULLEY</t>
  </si>
  <si>
    <t xml:space="preserve"> H100x16/32NT</t>
  </si>
  <si>
    <t xml:space="preserve"> TIMMING BELT</t>
  </si>
  <si>
    <t xml:space="preserve"> H100x991L</t>
  </si>
  <si>
    <t xml:space="preserve"> POWER BASE</t>
  </si>
  <si>
    <t xml:space="preserve"> SP900F</t>
  </si>
  <si>
    <t xml:space="preserve"> WORM GEARED REDUCER</t>
  </si>
  <si>
    <t xml:space="preserve"> WUM130x1/90</t>
  </si>
  <si>
    <t xml:space="preserve"> AIR CYLINDER</t>
  </si>
  <si>
    <t xml:space="preserve"> CDQ2B125-100</t>
  </si>
  <si>
    <t xml:space="preserve"> SOL V/V외 공압자재</t>
  </si>
  <si>
    <t xml:space="preserve"> Φ70x 461L</t>
  </si>
  <si>
    <t xml:space="preserve"> RS#50외</t>
  </si>
  <si>
    <t xml:space="preserve"> STOPPER</t>
  </si>
  <si>
    <t xml:space="preserve"> AS10-A</t>
  </si>
  <si>
    <t xml:space="preserve"> TAKE-UP</t>
  </si>
  <si>
    <t xml:space="preserve"> 0.75KWx1/50</t>
  </si>
  <si>
    <t xml:space="preserve"> AUTO STOPPER</t>
  </si>
  <si>
    <t xml:space="preserve"> ACCUM ROLLER</t>
  </si>
  <si>
    <t xml:space="preserve"> Φ70x1670L</t>
  </si>
  <si>
    <t xml:space="preserve"> RS#50 x 14NT</t>
  </si>
  <si>
    <t xml:space="preserve"> RS#50 x 30NT</t>
  </si>
  <si>
    <t xml:space="preserve"> IDLE SPROCKET UNIT</t>
  </si>
  <si>
    <t xml:space="preserve"> RS#50 x 11NT</t>
  </si>
  <si>
    <t xml:space="preserve"> UCFL205외</t>
  </si>
  <si>
    <t xml:space="preserve"> 1축 직교로봇</t>
  </si>
  <si>
    <t xml:space="preserve"> BR200-PL1-3200-75N-R8-V2</t>
  </si>
  <si>
    <t xml:space="preserve"> UP/DOWN UNIT</t>
  </si>
  <si>
    <t xml:space="preserve"> BALL SCREW TYPE</t>
  </si>
  <si>
    <t xml:space="preserve"> FINGER CYLINDER</t>
  </si>
  <si>
    <t xml:space="preserve"> POWER LOCK</t>
  </si>
  <si>
    <t xml:space="preserve"> SCE201</t>
  </si>
  <si>
    <t xml:space="preserve"> CP040CR075-</t>
  </si>
  <si>
    <t xml:space="preserve"> 감압변UNIT</t>
  </si>
  <si>
    <t xml:space="preserve"> 온도조절변</t>
  </si>
  <si>
    <t>25A KB43 V/V</t>
  </si>
  <si>
    <t xml:space="preserve"> TRAP/STRAINER/SIGHT</t>
  </si>
  <si>
    <t>20A FT14-4.5</t>
  </si>
  <si>
    <t xml:space="preserve"> STRAINER</t>
  </si>
  <si>
    <t>25A FLG.KS10</t>
  </si>
  <si>
    <t xml:space="preserve"> 자동밸브</t>
  </si>
  <si>
    <t>25A</t>
  </si>
  <si>
    <t xml:space="preserve"> MOTOR/감속기</t>
  </si>
  <si>
    <t xml:space="preserve"> 0.75KW x 1/600/조일</t>
  </si>
  <si>
    <t xml:space="preserve"> 구동 CHAIN</t>
  </si>
  <si>
    <t xml:space="preserve"> SUS RF2080</t>
  </si>
  <si>
    <t>M</t>
  </si>
  <si>
    <t xml:space="preserve"> 토오크 LIMIT</t>
  </si>
  <si>
    <t xml:space="preserve"> TN10-24</t>
  </si>
  <si>
    <t xml:space="preserve"> LIFTER UNIT</t>
  </si>
  <si>
    <t xml:space="preserve"> MGPM40-300</t>
  </si>
  <si>
    <t xml:space="preserve"> RS80 x 10NT</t>
  </si>
  <si>
    <t xml:space="preserve"> RS80x2P x 27NT</t>
  </si>
  <si>
    <t xml:space="preserve"> RS80x2P x 14NT</t>
  </si>
  <si>
    <t xml:space="preserve"> TESION UNIT</t>
  </si>
  <si>
    <t xml:space="preserve"> RS80</t>
  </si>
  <si>
    <t xml:space="preserve"> SHAFT</t>
  </si>
  <si>
    <t xml:space="preserve"> Φ50외</t>
  </si>
  <si>
    <t xml:space="preserve"> UCFL206</t>
  </si>
  <si>
    <t xml:space="preserve"> SPROCKET ASS'Y</t>
  </si>
  <si>
    <t xml:space="preserve"> RS#80x17NTx2P</t>
  </si>
  <si>
    <t xml:space="preserve"> RS#80</t>
  </si>
  <si>
    <t xml:space="preserve"> HEATER</t>
  </si>
  <si>
    <t xml:space="preserve"> 36KW*4존</t>
  </si>
  <si>
    <t xml:space="preserve"> R/C FAN</t>
  </si>
  <si>
    <t xml:space="preserve"> Φ500x2HP</t>
  </si>
  <si>
    <t xml:space="preserve"> BUS BAR</t>
  </si>
  <si>
    <t xml:space="preserve"> 100Wx8T-42</t>
  </si>
  <si>
    <t xml:space="preserve"> 열전대</t>
  </si>
  <si>
    <t xml:space="preserve"> K-TYPE</t>
  </si>
  <si>
    <t xml:space="preserve"> COOLING FAN</t>
  </si>
  <si>
    <t xml:space="preserve"> CHILLER UNIT</t>
  </si>
  <si>
    <t xml:space="preserve"> 20RT</t>
  </si>
  <si>
    <t>EA</t>
    <phoneticPr fontId="3" type="noConversion"/>
  </si>
  <si>
    <t xml:space="preserve"> 전기 스팀 보일러</t>
  </si>
  <si>
    <t xml:space="preserve"> 응축수 탱크</t>
  </si>
  <si>
    <t xml:space="preserve"> QR CORD READER</t>
  </si>
  <si>
    <t xml:space="preserve"> 레이저 마킹기</t>
  </si>
  <si>
    <t xml:space="preserve"> MD-X2500A, 키엔스</t>
  </si>
  <si>
    <t xml:space="preserve"> 전자 저울</t>
  </si>
  <si>
    <t xml:space="preserve"> EC-6D, 카스</t>
  </si>
  <si>
    <t xml:space="preserve"> 폐수 펌프(IN)</t>
  </si>
  <si>
    <t xml:space="preserve"> SUS, 100L/min,12M</t>
  </si>
  <si>
    <t xml:space="preserve"> 폐수 펌프(OUT)</t>
  </si>
  <si>
    <t xml:space="preserve"> 샤워 부스</t>
  </si>
  <si>
    <t xml:space="preserve"> 캐리어 상하 과부하 보호</t>
  </si>
  <si>
    <t xml:space="preserve"> 샌딩,도장비</t>
  </si>
  <si>
    <t xml:space="preserve"> 가공비</t>
  </si>
  <si>
    <t xml:space="preserve"> 보온공사비</t>
    <phoneticPr fontId="3" type="noConversion"/>
  </si>
  <si>
    <t xml:space="preserve"> 포장,운송비</t>
  </si>
  <si>
    <t xml:space="preserve"> FOB(인천)</t>
  </si>
  <si>
    <t xml:space="preserve"> 약품 폐수처리</t>
  </si>
  <si>
    <t>기계 설계</t>
    <phoneticPr fontId="3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</si>
  <si>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</si>
  <si>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</si>
  <si>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</si>
  <si>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</si>
  <si>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</si>
  <si>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샘플승인비</t>
    <phoneticPr fontId="3" type="noConversion"/>
  </si>
  <si>
    <t>운반및중장비사용</t>
    <phoneticPr fontId="3" type="noConversion"/>
  </si>
  <si>
    <t>바이오 코팅 라인</t>
    <phoneticPr fontId="3" type="noConversion"/>
  </si>
  <si>
    <t>1. LOADING/UNLOADING CONVEYOR</t>
    <phoneticPr fontId="3" type="noConversion"/>
  </si>
  <si>
    <t>2. LOADING/UNLOADING LOADER</t>
    <phoneticPr fontId="3" type="noConversion"/>
  </si>
  <si>
    <t>3. SPRAY SYSTEM &amp; BOOTH</t>
    <phoneticPr fontId="3" type="noConversion"/>
  </si>
  <si>
    <t xml:space="preserve"> S.Q PIPE 80x40x3.2t</t>
  </si>
  <si>
    <t xml:space="preserve"> STS304 3t 외</t>
  </si>
  <si>
    <t>4. 건조로 투입 TRANSFER</t>
    <phoneticPr fontId="3" type="noConversion"/>
  </si>
  <si>
    <t xml:space="preserve"> S.Q PIPE 100x100x3.2t</t>
  </si>
  <si>
    <t>5. 건조로 CONVEYOR</t>
    <phoneticPr fontId="3" type="noConversion"/>
  </si>
  <si>
    <t xml:space="preserve"> ㄷ100x50 외</t>
  </si>
  <si>
    <t xml:space="preserve"> CHAIN &amp; SPROCKET</t>
  </si>
  <si>
    <t xml:space="preserve"> RS60</t>
  </si>
  <si>
    <t xml:space="preserve"> 피치 이송 UNIT</t>
  </si>
  <si>
    <t xml:space="preserve"> AL6061 12t 외</t>
  </si>
  <si>
    <t>6. 건조로 본체</t>
    <phoneticPr fontId="3" type="noConversion"/>
  </si>
  <si>
    <t xml:space="preserve"> SS400 9t 외</t>
  </si>
  <si>
    <t xml:space="preserve"> 점검 도어</t>
  </si>
  <si>
    <t xml:space="preserve"> SS FRAME &amp; PC 점검창</t>
  </si>
  <si>
    <t xml:space="preserve"> 본체 INSULATION</t>
  </si>
  <si>
    <t xml:space="preserve"> 50t</t>
  </si>
  <si>
    <t xml:space="preserve"> 덕트 INSULATION</t>
  </si>
  <si>
    <t>7. 건조로 이송 셔틀</t>
    <phoneticPr fontId="3" type="noConversion"/>
  </si>
  <si>
    <t>8. 기타</t>
    <phoneticPr fontId="3" type="noConversion"/>
  </si>
  <si>
    <t xml:space="preserve"> 배관공사</t>
    <phoneticPr fontId="3" type="noConversion"/>
  </si>
  <si>
    <t xml:space="preserve"> 압력용기 인증비</t>
  </si>
  <si>
    <t xml:space="preserve"> BIO, 세척액 탱크</t>
  </si>
  <si>
    <t xml:space="preserve"> SPRAY GUN</t>
  </si>
  <si>
    <t xml:space="preserve"> B1/4VMAU-SS</t>
  </si>
  <si>
    <t xml:space="preserve"> 압송 TANK SYSTEM</t>
  </si>
  <si>
    <t xml:space="preserve"> TANK, 교반기</t>
  </si>
  <si>
    <t xml:space="preserve"> CLEAN TANK SYSTEM</t>
  </si>
  <si>
    <t xml:space="preserve"> TANK, 배관</t>
  </si>
  <si>
    <t xml:space="preserve"> FLOW METER</t>
  </si>
  <si>
    <t xml:space="preserve"> FD-XC8M</t>
  </si>
  <si>
    <t xml:space="preserve"> FRL UNIT</t>
  </si>
  <si>
    <t xml:space="preserve"> AC40B-N03E-B</t>
  </si>
  <si>
    <t xml:space="preserve"> 전공 레귤레이터</t>
  </si>
  <si>
    <t xml:space="preserve"> ITV3030-333CS-X420</t>
  </si>
  <si>
    <t xml:space="preserve"> 레귤레이터</t>
  </si>
  <si>
    <t xml:space="preserve"> ARP40-03BG</t>
  </si>
  <si>
    <t xml:space="preserve"> 정전식 레벨 센서</t>
  </si>
  <si>
    <t xml:space="preserve"> LR-7000</t>
  </si>
  <si>
    <t xml:space="preserve"> VX220AGXB</t>
  </si>
  <si>
    <t xml:space="preserve"> 에어 솔뱁브</t>
  </si>
  <si>
    <t xml:space="preserve"> AUTO VALVE</t>
  </si>
  <si>
    <t xml:space="preserve"> SUS 20A</t>
  </si>
  <si>
    <t xml:space="preserve"> BR200-PL1-1600-75N-R8-V2</t>
  </si>
  <si>
    <t xml:space="preserve"> UP/DOWN CYLINDER</t>
  </si>
  <si>
    <t xml:space="preserve"> CDG1FA50-250Z-A93L</t>
  </si>
  <si>
    <t xml:space="preserve"> CQ2B32-30DZ-D</t>
  </si>
  <si>
    <t xml:space="preserve"> CYLINDER(ROTATE)</t>
  </si>
  <si>
    <t xml:space="preserve"> CQ2BL32-30DZD+YA03+YU03</t>
  </si>
  <si>
    <t xml:space="preserve"> LM GUIDE</t>
  </si>
  <si>
    <t xml:space="preserve"> HSR15A2UU+340L</t>
  </si>
  <si>
    <t xml:space="preserve"> SR15V2UU+160L</t>
  </si>
  <si>
    <t xml:space="preserve"> LM SHAFT</t>
  </si>
  <si>
    <t xml:space="preserve"> LMK25UUM-440L(M12 DP25)</t>
  </si>
  <si>
    <t xml:space="preserve"> MAS 15x29</t>
  </si>
  <si>
    <t xml:space="preserve"> CP033.37-45R/B2-900L</t>
  </si>
  <si>
    <t xml:space="preserve"> CPO40CR075-R75-1800L</t>
  </si>
  <si>
    <t xml:space="preserve"> LOCK NUT</t>
  </si>
  <si>
    <t xml:space="preserve"> AN04</t>
  </si>
  <si>
    <t xml:space="preserve"> LOCK WASHER</t>
  </si>
  <si>
    <t xml:space="preserve"> AW04</t>
  </si>
  <si>
    <t xml:space="preserve"> #6004ZZ</t>
  </si>
  <si>
    <t xml:space="preserve"> SNAP RING</t>
  </si>
  <si>
    <t xml:space="preserve"> R42</t>
  </si>
  <si>
    <t xml:space="preserve"> 0.2KWx4Px1/315</t>
  </si>
  <si>
    <t xml:space="preserve"> RF CHAIN(STS304)</t>
  </si>
  <si>
    <t xml:space="preserve"> RF2080S</t>
  </si>
  <si>
    <t xml:space="preserve"> HEATER &amp; BOX</t>
  </si>
  <si>
    <t xml:space="preserve"> 20Kw</t>
  </si>
  <si>
    <t xml:space="preserve"> LIMIT LOAD FAN</t>
  </si>
  <si>
    <t xml:space="preserve"> 30CMM</t>
  </si>
  <si>
    <t xml:space="preserve"> FAN DAMPER</t>
  </si>
  <si>
    <t xml:space="preserve"> FILTER</t>
  </si>
  <si>
    <t xml:space="preserve"> 50t*500*500</t>
  </si>
  <si>
    <t xml:space="preserve"> CANVAS</t>
  </si>
  <si>
    <t xml:space="preserve"> 실텍스</t>
  </si>
  <si>
    <t xml:space="preserve"> FORK LIFT</t>
  </si>
  <si>
    <t xml:space="preserve"> 로드레스 실린더</t>
  </si>
  <si>
    <t xml:space="preserve"> MY1B32-660LHZ-A93L</t>
  </si>
  <si>
    <t xml:space="preserve"> 순수 장치</t>
  </si>
  <si>
    <t xml:space="preserve"> 순수 50리터/시간</t>
  </si>
  <si>
    <t xml:space="preserve"> 순수저장 TANK &amp; 펌프</t>
  </si>
  <si>
    <t xml:space="preserve"> PE 300리터, 50L/MIN</t>
  </si>
  <si>
    <t xml:space="preserve"> 에어 드라이어</t>
  </si>
  <si>
    <t xml:space="preserve"> TX-25K</t>
  </si>
  <si>
    <t xml:space="preserve"> SR-X300, 키엔스</t>
  </si>
  <si>
    <t xml:space="preserve"> 시약 냉장고</t>
  </si>
  <si>
    <t xml:space="preserve"> CLG-300S</t>
  </si>
  <si>
    <t xml:space="preserve"> 교반기 &amp; 테이블</t>
  </si>
  <si>
    <t>운반구 철거</t>
    <phoneticPr fontId="3" type="noConversion"/>
  </si>
  <si>
    <t>현지설치 및 시운전</t>
    <phoneticPr fontId="3" type="noConversion"/>
  </si>
  <si>
    <t>Manifold</t>
    <phoneticPr fontId="3" type="noConversion"/>
  </si>
  <si>
    <t xml:space="preserve"> 항공료(왕복)</t>
  </si>
  <si>
    <t>기계 도장</t>
    <phoneticPr fontId="3" type="noConversion"/>
  </si>
  <si>
    <t>P1 대응비</t>
    <phoneticPr fontId="3" type="noConversion"/>
  </si>
  <si>
    <t>P2 대응비</t>
    <phoneticPr fontId="3" type="noConversion"/>
  </si>
  <si>
    <t>기계 가공</t>
    <phoneticPr fontId="3" type="noConversion"/>
  </si>
  <si>
    <t>상 /하 판 가공 및 PIN HOLE 가공</t>
    <phoneticPr fontId="3" type="noConversion"/>
  </si>
  <si>
    <t>양산 대응비</t>
    <phoneticPr fontId="3" type="noConversion"/>
  </si>
  <si>
    <t>출장경비</t>
    <phoneticPr fontId="3" type="noConversion"/>
  </si>
  <si>
    <t xml:space="preserve"> 출장경비</t>
  </si>
  <si>
    <t xml:space="preserve"> 호텔,식비 등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</si>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</sst>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  <numFmt numFmtId="182" formatCode="0_);[Red]\(0\)"/>
    <numFmt numFmtId="183" formatCode="#,##0.0_ "/>
    <numFmt numFmtId="184" formatCode="0.0_);[Red]\(0.0\)"/>
    <numFmt numFmtId="185" formatCode="#,##0;[Red]#,##0"/>
  </numFmts>
  <fonts count="32">
    <font>
      <sz val="11"/>
      <color theme="1"/>
      <name val="맑은 고딕"/>
      <family val="2"/>
      <scheme val="minor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</cellStyleXfs>
  <cellXfs count="484">
    <xf numFmtId="0" fontId="0" fillId="0" borderId="0" xfId="0"/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vertical="center"/>
    </xf>
    <xf numFmtId="14" fontId="1" fillId="2" borderId="6" xfId="1" applyNumberFormat="1" applyFill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2" borderId="7" xfId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1" fillId="2" borderId="6" xfId="1" applyFill="1" applyBorder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1" fillId="2" borderId="8" xfId="1" applyFill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8" fillId="2" borderId="7" xfId="1" applyFont="1" applyFill="1" applyBorder="1" applyAlignment="1">
      <alignment horizontal="right" vertical="center"/>
    </xf>
    <xf numFmtId="0" fontId="9" fillId="2" borderId="0" xfId="1" applyFont="1" applyFill="1" applyAlignment="1">
      <alignment vertical="center"/>
    </xf>
    <xf numFmtId="0" fontId="8" fillId="2" borderId="8" xfId="1" applyFont="1" applyFill="1" applyBorder="1" applyAlignment="1">
      <alignment horizontal="left" vertical="center"/>
    </xf>
    <xf numFmtId="0" fontId="8" fillId="2" borderId="9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vertical="center"/>
    </xf>
    <xf numFmtId="0" fontId="8" fillId="2" borderId="11" xfId="1" applyFont="1" applyFill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horizontal="left" vertical="center"/>
    </xf>
    <xf numFmtId="0" fontId="6" fillId="3" borderId="0" xfId="1" applyFont="1" applyFill="1" applyAlignment="1">
      <alignment vertical="center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9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176" fontId="1" fillId="0" borderId="23" xfId="1" applyNumberFormat="1" applyBorder="1" applyAlignment="1">
      <alignment horizontal="center" vertical="center"/>
    </xf>
    <xf numFmtId="176" fontId="1" fillId="0" borderId="24" xfId="1" applyNumberFormat="1" applyBorder="1" applyAlignment="1">
      <alignment horizontal="right" vertical="center"/>
    </xf>
    <xf numFmtId="176" fontId="1" fillId="0" borderId="25" xfId="1" applyNumberFormat="1" applyBorder="1" applyAlignment="1">
      <alignment horizontal="right" vertical="center"/>
    </xf>
    <xf numFmtId="0" fontId="1" fillId="0" borderId="26" xfId="1" applyBorder="1" applyAlignment="1">
      <alignment horizontal="center" vertical="center"/>
    </xf>
    <xf numFmtId="176" fontId="1" fillId="0" borderId="29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right" vertical="center"/>
    </xf>
    <xf numFmtId="176" fontId="1" fillId="0" borderId="30" xfId="1" applyNumberFormat="1" applyBorder="1" applyAlignment="1">
      <alignment horizontal="right"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0" borderId="33" xfId="1" applyBorder="1" applyAlignment="1">
      <alignment vertical="center"/>
    </xf>
    <xf numFmtId="176" fontId="1" fillId="0" borderId="37" xfId="1" applyNumberFormat="1" applyBorder="1" applyAlignment="1">
      <alignment vertical="center"/>
    </xf>
    <xf numFmtId="176" fontId="1" fillId="0" borderId="38" xfId="1" applyNumberFormat="1" applyBorder="1" applyAlignment="1">
      <alignment vertical="center"/>
    </xf>
    <xf numFmtId="176" fontId="16" fillId="4" borderId="36" xfId="1" applyNumberFormat="1" applyFont="1" applyFill="1" applyBorder="1" applyAlignment="1">
      <alignment vertical="center"/>
    </xf>
    <xf numFmtId="0" fontId="1" fillId="0" borderId="12" xfId="1" applyBorder="1" applyAlignment="1">
      <alignment vertical="center"/>
    </xf>
    <xf numFmtId="176" fontId="1" fillId="0" borderId="39" xfId="1" applyNumberFormat="1" applyBorder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6" fontId="1" fillId="0" borderId="0" xfId="1" applyNumberFormat="1" applyAlignment="1">
      <alignment vertical="center"/>
    </xf>
    <xf numFmtId="176" fontId="1" fillId="0" borderId="12" xfId="1" applyNumberFormat="1" applyBorder="1" applyAlignment="1">
      <alignment vertical="center"/>
    </xf>
    <xf numFmtId="0" fontId="1" fillId="0" borderId="21" xfId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horizontal="center" vertical="center"/>
    </xf>
    <xf numFmtId="179" fontId="1" fillId="0" borderId="0" xfId="1" applyNumberFormat="1" applyAlignment="1">
      <alignment vertical="center"/>
    </xf>
    <xf numFmtId="4" fontId="1" fillId="0" borderId="0" xfId="1" applyNumberFormat="1" applyAlignment="1">
      <alignment vertical="center"/>
    </xf>
    <xf numFmtId="3" fontId="18" fillId="0" borderId="0" xfId="1" applyNumberFormat="1" applyFont="1" applyAlignment="1">
      <alignment vertical="center"/>
    </xf>
    <xf numFmtId="3" fontId="19" fillId="0" borderId="0" xfId="1" applyNumberFormat="1" applyFont="1" applyAlignment="1">
      <alignment vertical="center"/>
    </xf>
    <xf numFmtId="3" fontId="21" fillId="0" borderId="0" xfId="1" applyNumberFormat="1" applyFont="1" applyAlignment="1">
      <alignment vertical="center"/>
    </xf>
    <xf numFmtId="3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horizontal="center" vertical="center"/>
    </xf>
    <xf numFmtId="179" fontId="21" fillId="0" borderId="0" xfId="1" applyNumberFormat="1" applyFont="1" applyAlignment="1">
      <alignment vertical="center"/>
    </xf>
    <xf numFmtId="4" fontId="22" fillId="0" borderId="0" xfId="1" applyNumberFormat="1" applyFont="1" applyAlignment="1">
      <alignment vertical="center"/>
    </xf>
    <xf numFmtId="3" fontId="22" fillId="0" borderId="0" xfId="1" applyNumberFormat="1" applyFont="1" applyAlignment="1">
      <alignment vertical="center"/>
    </xf>
    <xf numFmtId="3" fontId="11" fillId="0" borderId="0" xfId="1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1" fillId="0" borderId="50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179" fontId="1" fillId="0" borderId="53" xfId="1" applyNumberFormat="1" applyBorder="1" applyAlignment="1">
      <alignment horizontal="center" vertical="center"/>
    </xf>
    <xf numFmtId="3" fontId="1" fillId="0" borderId="54" xfId="1" applyNumberFormat="1" applyBorder="1" applyAlignment="1">
      <alignment horizontal="center" vertical="center"/>
    </xf>
    <xf numFmtId="4" fontId="1" fillId="0" borderId="0" xfId="1" applyNumberFormat="1" applyAlignment="1">
      <alignment horizontal="center" vertical="center"/>
    </xf>
    <xf numFmtId="3" fontId="1" fillId="0" borderId="55" xfId="1" applyNumberFormat="1" applyBorder="1" applyAlignment="1">
      <alignment horizontal="center" vertical="center"/>
    </xf>
    <xf numFmtId="3" fontId="1" fillId="0" borderId="59" xfId="1" applyNumberFormat="1" applyBorder="1" applyAlignment="1">
      <alignment horizontal="center" vertical="center"/>
    </xf>
    <xf numFmtId="179" fontId="1" fillId="0" borderId="59" xfId="1" applyNumberFormat="1" applyBorder="1" applyAlignment="1">
      <alignment horizontal="center" vertical="center"/>
    </xf>
    <xf numFmtId="3" fontId="1" fillId="0" borderId="60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3" fontId="17" fillId="0" borderId="62" xfId="1" applyNumberFormat="1" applyFont="1" applyBorder="1" applyAlignment="1">
      <alignment horizontal="center" vertical="center"/>
    </xf>
    <xf numFmtId="179" fontId="1" fillId="0" borderId="62" xfId="1" applyNumberFormat="1" applyBorder="1" applyAlignment="1">
      <alignment horizontal="right" vertical="center"/>
    </xf>
    <xf numFmtId="179" fontId="1" fillId="0" borderId="62" xfId="1" applyNumberFormat="1" applyBorder="1" applyAlignment="1">
      <alignment vertical="center"/>
    </xf>
    <xf numFmtId="3" fontId="1" fillId="0" borderId="63" xfId="1" applyNumberFormat="1" applyBorder="1" applyAlignment="1">
      <alignment vertical="center"/>
    </xf>
    <xf numFmtId="3" fontId="1" fillId="0" borderId="6" xfId="1" applyNumberFormat="1" applyBorder="1" applyAlignment="1">
      <alignment horizontal="center" vertical="center"/>
    </xf>
    <xf numFmtId="3" fontId="17" fillId="0" borderId="6" xfId="1" applyNumberFormat="1" applyFont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1" applyNumberFormat="1" applyBorder="1" applyAlignment="1">
      <alignment vertical="center"/>
    </xf>
    <xf numFmtId="3" fontId="1" fillId="0" borderId="30" xfId="1" applyNumberFormat="1" applyBorder="1" applyAlignment="1">
      <alignment vertical="center"/>
    </xf>
    <xf numFmtId="179" fontId="1" fillId="0" borderId="6" xfId="1" applyNumberFormat="1" applyBorder="1" applyAlignment="1">
      <alignment horizontal="right" vertical="center"/>
    </xf>
    <xf numFmtId="3" fontId="1" fillId="5" borderId="6" xfId="1" applyNumberFormat="1" applyFill="1" applyBorder="1" applyAlignment="1">
      <alignment horizontal="center" vertical="center"/>
    </xf>
    <xf numFmtId="3" fontId="17" fillId="5" borderId="6" xfId="1" applyNumberFormat="1" applyFont="1" applyFill="1" applyBorder="1" applyAlignment="1">
      <alignment horizontal="center" vertical="center"/>
    </xf>
    <xf numFmtId="179" fontId="1" fillId="5" borderId="6" xfId="1" applyNumberFormat="1" applyFill="1" applyBorder="1" applyAlignment="1">
      <alignment horizontal="right" vertical="center"/>
    </xf>
    <xf numFmtId="179" fontId="1" fillId="5" borderId="6" xfId="1" applyNumberFormat="1" applyFill="1" applyBorder="1" applyAlignment="1">
      <alignment vertical="center"/>
    </xf>
    <xf numFmtId="3" fontId="1" fillId="0" borderId="64" xfId="1" applyNumberFormat="1" applyBorder="1" applyAlignment="1">
      <alignment horizontal="center" vertical="center"/>
    </xf>
    <xf numFmtId="179" fontId="6" fillId="0" borderId="6" xfId="1" applyNumberFormat="1" applyFont="1" applyBorder="1" applyAlignment="1">
      <alignment vertical="center"/>
    </xf>
    <xf numFmtId="3" fontId="1" fillId="0" borderId="4" xfId="1" applyNumberFormat="1" applyBorder="1" applyAlignment="1">
      <alignment horizontal="left" vertical="center"/>
    </xf>
    <xf numFmtId="3" fontId="1" fillId="0" borderId="3" xfId="1" applyNumberFormat="1" applyBorder="1" applyAlignment="1">
      <alignment horizontal="center" vertical="center"/>
    </xf>
    <xf numFmtId="179" fontId="6" fillId="0" borderId="19" xfId="1" applyNumberFormat="1" applyFont="1" applyBorder="1" applyAlignment="1">
      <alignment vertical="center"/>
    </xf>
    <xf numFmtId="3" fontId="1" fillId="0" borderId="65" xfId="1" applyNumberFormat="1" applyBorder="1" applyAlignment="1">
      <alignment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179" fontId="6" fillId="0" borderId="32" xfId="1" applyNumberFormat="1" applyFont="1" applyBorder="1" applyAlignment="1">
      <alignment vertical="center"/>
    </xf>
    <xf numFmtId="3" fontId="1" fillId="0" borderId="69" xfId="1" applyNumberFormat="1" applyBorder="1" applyAlignment="1">
      <alignment vertical="center"/>
    </xf>
    <xf numFmtId="3" fontId="1" fillId="0" borderId="24" xfId="1" applyNumberFormat="1" applyBorder="1" applyAlignment="1">
      <alignment horizontal="center" vertical="center"/>
    </xf>
    <xf numFmtId="3" fontId="17" fillId="0" borderId="24" xfId="1" applyNumberFormat="1" applyFont="1" applyBorder="1" applyAlignment="1">
      <alignment horizontal="center" vertical="center"/>
    </xf>
    <xf numFmtId="179" fontId="1" fillId="0" borderId="24" xfId="1" applyNumberFormat="1" applyBorder="1" applyAlignment="1">
      <alignment vertical="center"/>
    </xf>
    <xf numFmtId="3" fontId="1" fillId="0" borderId="25" xfId="1" applyNumberFormat="1" applyBorder="1" applyAlignment="1">
      <alignment vertical="center"/>
    </xf>
    <xf numFmtId="3" fontId="17" fillId="5" borderId="62" xfId="1" applyNumberFormat="1" applyFont="1" applyFill="1" applyBorder="1" applyAlignment="1">
      <alignment horizontal="center" vertical="center"/>
    </xf>
    <xf numFmtId="179" fontId="1" fillId="5" borderId="62" xfId="1" applyNumberFormat="1" applyFill="1" applyBorder="1" applyAlignment="1">
      <alignment vertical="center"/>
    </xf>
    <xf numFmtId="179" fontId="6" fillId="0" borderId="24" xfId="1" applyNumberFormat="1" applyFont="1" applyBorder="1" applyAlignment="1">
      <alignment vertical="center"/>
    </xf>
    <xf numFmtId="179" fontId="6" fillId="0" borderId="76" xfId="1" applyNumberFormat="1" applyFont="1" applyBorder="1" applyAlignment="1">
      <alignment vertical="center"/>
    </xf>
    <xf numFmtId="3" fontId="1" fillId="0" borderId="77" xfId="1" applyNumberFormat="1" applyBorder="1" applyAlignment="1">
      <alignment vertical="center"/>
    </xf>
    <xf numFmtId="3" fontId="1" fillId="0" borderId="78" xfId="1" applyNumberFormat="1" applyBorder="1" applyAlignment="1">
      <alignment horizontal="center" vertical="center"/>
    </xf>
    <xf numFmtId="179" fontId="6" fillId="4" borderId="82" xfId="1" applyNumberFormat="1" applyFont="1" applyFill="1" applyBorder="1" applyAlignment="1">
      <alignment vertical="center"/>
    </xf>
    <xf numFmtId="3" fontId="1" fillId="0" borderId="83" xfId="1" applyNumberFormat="1" applyBorder="1" applyAlignment="1">
      <alignment vertical="center"/>
    </xf>
    <xf numFmtId="3" fontId="1" fillId="0" borderId="29" xfId="1" applyNumberFormat="1" applyBorder="1" applyAlignment="1">
      <alignment horizontal="center" vertical="center"/>
    </xf>
    <xf numFmtId="179" fontId="6" fillId="0" borderId="62" xfId="1" applyNumberFormat="1" applyFont="1" applyBorder="1" applyAlignment="1">
      <alignment vertical="center"/>
    </xf>
    <xf numFmtId="3" fontId="17" fillId="5" borderId="30" xfId="1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18" xfId="1" applyNumberFormat="1" applyBorder="1" applyAlignment="1">
      <alignment horizontal="center" vertical="center"/>
    </xf>
    <xf numFmtId="3" fontId="1" fillId="0" borderId="84" xfId="1" applyNumberFormat="1" applyBorder="1" applyAlignment="1">
      <alignment horizontal="left" vertical="center"/>
    </xf>
    <xf numFmtId="179" fontId="6" fillId="0" borderId="86" xfId="1" applyNumberFormat="1" applyFont="1" applyBorder="1" applyAlignment="1">
      <alignment vertical="center"/>
    </xf>
    <xf numFmtId="3" fontId="1" fillId="0" borderId="88" xfId="1" applyNumberFormat="1" applyBorder="1" applyAlignment="1">
      <alignment vertical="center"/>
    </xf>
    <xf numFmtId="179" fontId="1" fillId="0" borderId="6" xfId="1" applyNumberFormat="1" applyBorder="1" applyAlignment="1">
      <alignment horizontal="center" vertical="center"/>
    </xf>
    <xf numFmtId="4" fontId="1" fillId="0" borderId="6" xfId="1" applyNumberFormat="1" applyBorder="1" applyAlignment="1">
      <alignment horizontal="center" vertical="center"/>
    </xf>
    <xf numFmtId="3" fontId="1" fillId="0" borderId="6" xfId="1" applyNumberFormat="1" applyBorder="1" applyAlignment="1">
      <alignment vertical="center"/>
    </xf>
    <xf numFmtId="3" fontId="1" fillId="5" borderId="6" xfId="1" applyNumberFormat="1" applyFill="1" applyBorder="1" applyAlignment="1">
      <alignment vertical="center"/>
    </xf>
    <xf numFmtId="179" fontId="1" fillId="0" borderId="0" xfId="1" applyNumberFormat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89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40" xfId="1" applyBorder="1" applyAlignment="1">
      <alignment horizontal="center" vertical="center"/>
    </xf>
    <xf numFmtId="0" fontId="24" fillId="0" borderId="50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4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0" xfId="1" applyBorder="1" applyAlignment="1">
      <alignment horizontal="center" vertical="center"/>
    </xf>
    <xf numFmtId="0" fontId="1" fillId="0" borderId="91" xfId="1" applyBorder="1" applyAlignment="1">
      <alignment horizontal="center" vertical="center"/>
    </xf>
    <xf numFmtId="0" fontId="1" fillId="0" borderId="92" xfId="1" applyBorder="1" applyAlignment="1">
      <alignment horizontal="center" vertical="center"/>
    </xf>
    <xf numFmtId="0" fontId="1" fillId="0" borderId="93" xfId="1" applyBorder="1" applyAlignment="1">
      <alignment horizontal="center" vertical="center"/>
    </xf>
    <xf numFmtId="0" fontId="24" fillId="0" borderId="55" xfId="1" applyFont="1" applyBorder="1" applyAlignment="1">
      <alignment horizontal="center" vertical="center"/>
    </xf>
    <xf numFmtId="0" fontId="24" fillId="0" borderId="59" xfId="1" applyFont="1" applyBorder="1" applyAlignment="1">
      <alignment horizontal="center" vertical="center"/>
    </xf>
    <xf numFmtId="0" fontId="24" fillId="0" borderId="60" xfId="1" applyFon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94" xfId="1" applyBorder="1" applyAlignment="1">
      <alignment horizontal="center" vertical="center"/>
    </xf>
    <xf numFmtId="0" fontId="1" fillId="0" borderId="95" xfId="1" applyBorder="1" applyAlignment="1">
      <alignment horizontal="center" vertical="center"/>
    </xf>
    <xf numFmtId="0" fontId="1" fillId="0" borderId="96" xfId="1" applyBorder="1" applyAlignment="1">
      <alignment horizontal="center" vertical="center"/>
    </xf>
    <xf numFmtId="176" fontId="1" fillId="0" borderId="97" xfId="1" applyNumberFormat="1" applyBorder="1" applyAlignment="1">
      <alignment horizontal="center" vertical="center"/>
    </xf>
    <xf numFmtId="176" fontId="1" fillId="0" borderId="97" xfId="1" applyNumberFormat="1" applyBorder="1" applyAlignment="1">
      <alignment horizontal="left" vertical="center"/>
    </xf>
    <xf numFmtId="176" fontId="24" fillId="0" borderId="98" xfId="1" applyNumberFormat="1" applyFont="1" applyBorder="1" applyAlignment="1">
      <alignment vertical="center"/>
    </xf>
    <xf numFmtId="176" fontId="24" fillId="0" borderId="99" xfId="1" applyNumberFormat="1" applyFont="1" applyBorder="1" applyAlignment="1">
      <alignment vertical="center"/>
    </xf>
    <xf numFmtId="176" fontId="24" fillId="0" borderId="100" xfId="1" applyNumberFormat="1" applyFont="1" applyBorder="1" applyAlignment="1">
      <alignment vertical="center"/>
    </xf>
    <xf numFmtId="176" fontId="1" fillId="0" borderId="101" xfId="1" applyNumberFormat="1" applyBorder="1" applyAlignment="1">
      <alignment vertical="center"/>
    </xf>
    <xf numFmtId="176" fontId="1" fillId="0" borderId="99" xfId="1" applyNumberFormat="1" applyBorder="1" applyAlignment="1">
      <alignment vertical="center"/>
    </xf>
    <xf numFmtId="176" fontId="1" fillId="0" borderId="102" xfId="1" applyNumberFormat="1" applyBorder="1" applyAlignment="1">
      <alignment vertical="center"/>
    </xf>
    <xf numFmtId="176" fontId="1" fillId="0" borderId="103" xfId="1" applyNumberFormat="1" applyBorder="1" applyAlignment="1">
      <alignment vertical="center"/>
    </xf>
    <xf numFmtId="176" fontId="1" fillId="0" borderId="104" xfId="1" applyNumberFormat="1" applyBorder="1" applyAlignment="1">
      <alignment vertical="center"/>
    </xf>
    <xf numFmtId="176" fontId="1" fillId="0" borderId="26" xfId="1" applyNumberFormat="1" applyBorder="1" applyAlignment="1">
      <alignment horizontal="center" vertical="center"/>
    </xf>
    <xf numFmtId="176" fontId="1" fillId="0" borderId="26" xfId="1" applyNumberFormat="1" applyBorder="1" applyAlignment="1">
      <alignment horizontal="left" vertical="center"/>
    </xf>
    <xf numFmtId="176" fontId="24" fillId="0" borderId="29" xfId="1" applyNumberFormat="1" applyFont="1" applyBorder="1" applyAlignment="1">
      <alignment vertical="center"/>
    </xf>
    <xf numFmtId="176" fontId="24" fillId="0" borderId="6" xfId="1" applyNumberFormat="1" applyFont="1" applyBorder="1" applyAlignment="1">
      <alignment vertical="center"/>
    </xf>
    <xf numFmtId="176" fontId="24" fillId="0" borderId="30" xfId="1" applyNumberFormat="1" applyFont="1" applyBorder="1" applyAlignment="1">
      <alignment vertical="center"/>
    </xf>
    <xf numFmtId="176" fontId="1" fillId="0" borderId="64" xfId="1" applyNumberFormat="1" applyBorder="1" applyAlignment="1">
      <alignment vertical="center"/>
    </xf>
    <xf numFmtId="176" fontId="1" fillId="0" borderId="6" xfId="1" applyNumberFormat="1" applyBorder="1" applyAlignment="1">
      <alignment vertical="center"/>
    </xf>
    <xf numFmtId="176" fontId="1" fillId="0" borderId="105" xfId="1" applyNumberFormat="1" applyBorder="1" applyAlignment="1">
      <alignment vertical="center"/>
    </xf>
    <xf numFmtId="176" fontId="1" fillId="0" borderId="106" xfId="1" applyNumberFormat="1" applyBorder="1" applyAlignment="1">
      <alignment vertical="center"/>
    </xf>
    <xf numFmtId="176" fontId="1" fillId="0" borderId="28" xfId="1" applyNumberFormat="1" applyBorder="1" applyAlignment="1">
      <alignment vertical="center"/>
    </xf>
    <xf numFmtId="176" fontId="1" fillId="0" borderId="33" xfId="1" applyNumberFormat="1" applyBorder="1" applyAlignment="1">
      <alignment horizontal="center" vertical="center"/>
    </xf>
    <xf numFmtId="176" fontId="1" fillId="0" borderId="33" xfId="1" applyNumberFormat="1" applyBorder="1" applyAlignment="1">
      <alignment horizontal="left" vertical="center"/>
    </xf>
    <xf numFmtId="176" fontId="24" fillId="0" borderId="107" xfId="1" applyNumberFormat="1" applyFont="1" applyBorder="1" applyAlignment="1">
      <alignment vertical="center"/>
    </xf>
    <xf numFmtId="176" fontId="24" fillId="0" borderId="32" xfId="1" applyNumberFormat="1" applyFont="1" applyBorder="1" applyAlignment="1">
      <alignment vertical="center"/>
    </xf>
    <xf numFmtId="176" fontId="24" fillId="0" borderId="69" xfId="1" applyNumberFormat="1" applyFont="1" applyBorder="1" applyAlignment="1">
      <alignment vertical="center"/>
    </xf>
    <xf numFmtId="176" fontId="1" fillId="0" borderId="68" xfId="1" applyNumberFormat="1" applyBorder="1" applyAlignment="1">
      <alignment vertical="center"/>
    </xf>
    <xf numFmtId="176" fontId="1" fillId="0" borderId="32" xfId="1" applyNumberFormat="1" applyBorder="1" applyAlignment="1">
      <alignment vertical="center"/>
    </xf>
    <xf numFmtId="176" fontId="1" fillId="0" borderId="108" xfId="1" applyNumberFormat="1" applyBorder="1" applyAlignment="1">
      <alignment vertical="center"/>
    </xf>
    <xf numFmtId="176" fontId="1" fillId="0" borderId="109" xfId="1" applyNumberFormat="1" applyBorder="1" applyAlignment="1">
      <alignment vertical="center"/>
    </xf>
    <xf numFmtId="176" fontId="1" fillId="0" borderId="49" xfId="1" applyNumberFormat="1" applyBorder="1" applyAlignment="1">
      <alignment vertical="center"/>
    </xf>
    <xf numFmtId="176" fontId="24" fillId="0" borderId="50" xfId="1" applyNumberFormat="1" applyFont="1" applyBorder="1" applyAlignment="1">
      <alignment vertical="center"/>
    </xf>
    <xf numFmtId="176" fontId="24" fillId="0" borderId="53" xfId="1" applyNumberFormat="1" applyFont="1" applyBorder="1" applyAlignment="1">
      <alignment vertical="center"/>
    </xf>
    <xf numFmtId="176" fontId="24" fillId="0" borderId="54" xfId="1" applyNumberFormat="1" applyFont="1" applyBorder="1" applyAlignment="1">
      <alignment vertical="center"/>
    </xf>
    <xf numFmtId="176" fontId="6" fillId="0" borderId="52" xfId="1" applyNumberFormat="1" applyFont="1" applyBorder="1" applyAlignment="1">
      <alignment vertical="center"/>
    </xf>
    <xf numFmtId="176" fontId="6" fillId="0" borderId="53" xfId="1" applyNumberFormat="1" applyFont="1" applyBorder="1" applyAlignment="1">
      <alignment vertical="center"/>
    </xf>
    <xf numFmtId="176" fontId="6" fillId="0" borderId="89" xfId="1" applyNumberFormat="1" applyFont="1" applyBorder="1" applyAlignment="1">
      <alignment vertical="center"/>
    </xf>
    <xf numFmtId="176" fontId="6" fillId="0" borderId="110" xfId="1" applyNumberFormat="1" applyFont="1" applyBorder="1" applyAlignment="1">
      <alignment vertical="center"/>
    </xf>
    <xf numFmtId="176" fontId="1" fillId="0" borderId="14" xfId="1" applyNumberFormat="1" applyBorder="1" applyAlignment="1">
      <alignment vertical="center"/>
    </xf>
    <xf numFmtId="176" fontId="17" fillId="0" borderId="44" xfId="1" applyNumberFormat="1" applyFont="1" applyBorder="1" applyAlignment="1">
      <alignment horizontal="center" vertical="center"/>
    </xf>
    <xf numFmtId="176" fontId="17" fillId="0" borderId="45" xfId="1" applyNumberFormat="1" applyFont="1" applyBorder="1" applyAlignment="1">
      <alignment horizontal="center" vertical="center"/>
    </xf>
    <xf numFmtId="176" fontId="17" fillId="0" borderId="46" xfId="1" applyNumberFormat="1" applyFont="1" applyBorder="1" applyAlignment="1">
      <alignment horizontal="center" vertical="center"/>
    </xf>
    <xf numFmtId="9" fontId="25" fillId="0" borderId="66" xfId="2" applyFont="1" applyBorder="1" applyAlignment="1">
      <alignment vertical="center"/>
    </xf>
    <xf numFmtId="9" fontId="25" fillId="0" borderId="111" xfId="2" applyFont="1" applyBorder="1" applyAlignment="1">
      <alignment vertical="center"/>
    </xf>
    <xf numFmtId="9" fontId="25" fillId="0" borderId="112" xfId="2" applyFont="1" applyBorder="1" applyAlignment="1">
      <alignment vertical="center"/>
    </xf>
    <xf numFmtId="9" fontId="17" fillId="0" borderId="113" xfId="2" applyFont="1" applyBorder="1" applyAlignment="1">
      <alignment vertical="center"/>
    </xf>
    <xf numFmtId="9" fontId="17" fillId="0" borderId="111" xfId="2" applyFont="1" applyFill="1" applyBorder="1" applyAlignment="1">
      <alignment vertical="center"/>
    </xf>
    <xf numFmtId="9" fontId="17" fillId="0" borderId="111" xfId="2" applyFont="1" applyBorder="1" applyAlignment="1">
      <alignment vertical="center"/>
    </xf>
    <xf numFmtId="9" fontId="17" fillId="0" borderId="114" xfId="2" applyFont="1" applyBorder="1" applyAlignment="1">
      <alignment vertical="center"/>
    </xf>
    <xf numFmtId="9" fontId="17" fillId="0" borderId="115" xfId="2" applyFont="1" applyBorder="1" applyAlignment="1">
      <alignment vertical="center"/>
    </xf>
    <xf numFmtId="176" fontId="17" fillId="0" borderId="46" xfId="1" applyNumberFormat="1" applyFont="1" applyBorder="1" applyAlignment="1">
      <alignment vertical="center"/>
    </xf>
    <xf numFmtId="176" fontId="17" fillId="0" borderId="0" xfId="1" applyNumberFormat="1" applyFont="1" applyAlignment="1">
      <alignment vertical="center"/>
    </xf>
    <xf numFmtId="0" fontId="26" fillId="0" borderId="0" xfId="1" applyFont="1" applyAlignment="1">
      <alignment vertical="center"/>
    </xf>
    <xf numFmtId="41" fontId="26" fillId="0" borderId="0" xfId="3" applyFont="1" applyAlignment="1">
      <alignment vertical="center"/>
    </xf>
    <xf numFmtId="179" fontId="27" fillId="0" borderId="0" xfId="1" applyNumberFormat="1" applyFont="1" applyAlignment="1">
      <alignment vertical="center"/>
    </xf>
    <xf numFmtId="0" fontId="11" fillId="0" borderId="0" xfId="1" applyFont="1" applyAlignment="1">
      <alignment horizontal="right" vertical="center"/>
    </xf>
    <xf numFmtId="180" fontId="28" fillId="0" borderId="45" xfId="1" applyNumberFormat="1" applyFont="1" applyBorder="1" applyAlignment="1">
      <alignment horizontal="center" vertical="center"/>
    </xf>
    <xf numFmtId="176" fontId="27" fillId="0" borderId="0" xfId="1" applyNumberFormat="1" applyFont="1" applyAlignment="1">
      <alignment horizontal="center" vertical="center"/>
    </xf>
    <xf numFmtId="0" fontId="1" fillId="0" borderId="43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176" fontId="1" fillId="0" borderId="12" xfId="1" applyNumberFormat="1" applyBorder="1" applyAlignment="1">
      <alignment horizontal="center" vertical="center"/>
    </xf>
    <xf numFmtId="0" fontId="1" fillId="0" borderId="16" xfId="1" applyBorder="1" applyAlignment="1">
      <alignment vertical="center"/>
    </xf>
    <xf numFmtId="0" fontId="1" fillId="2" borderId="116" xfId="1" applyFill="1" applyBorder="1" applyAlignment="1">
      <alignment vertical="center"/>
    </xf>
    <xf numFmtId="0" fontId="1" fillId="2" borderId="116" xfId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horizontal="center" vertical="center"/>
    </xf>
    <xf numFmtId="176" fontId="1" fillId="2" borderId="116" xfId="1" applyNumberFormat="1" applyFill="1" applyBorder="1" applyAlignment="1">
      <alignment vertical="center"/>
    </xf>
    <xf numFmtId="176" fontId="1" fillId="0" borderId="83" xfId="1" applyNumberFormat="1" applyBorder="1" applyAlignment="1">
      <alignment vertical="center"/>
    </xf>
    <xf numFmtId="0" fontId="1" fillId="0" borderId="116" xfId="1" applyBorder="1" applyAlignment="1">
      <alignment vertical="center"/>
    </xf>
    <xf numFmtId="0" fontId="1" fillId="2" borderId="26" xfId="1" applyFill="1" applyBorder="1" applyAlignment="1">
      <alignment vertical="center"/>
    </xf>
    <xf numFmtId="0" fontId="1" fillId="2" borderId="26" xfId="1" applyFill="1" applyBorder="1" applyAlignment="1">
      <alignment horizontal="center" vertical="center"/>
    </xf>
    <xf numFmtId="176" fontId="1" fillId="2" borderId="26" xfId="1" applyNumberFormat="1" applyFill="1" applyBorder="1" applyAlignment="1">
      <alignment horizontal="center" vertical="center"/>
    </xf>
    <xf numFmtId="176" fontId="1" fillId="2" borderId="26" xfId="1" applyNumberFormat="1" applyFill="1" applyBorder="1" applyAlignment="1">
      <alignment vertical="center"/>
    </xf>
    <xf numFmtId="0" fontId="1" fillId="2" borderId="33" xfId="1" applyFill="1" applyBorder="1" applyAlignment="1">
      <alignment vertical="center"/>
    </xf>
    <xf numFmtId="0" fontId="1" fillId="2" borderId="33" xfId="1" applyFill="1" applyBorder="1" applyAlignment="1">
      <alignment horizontal="center" vertical="center"/>
    </xf>
    <xf numFmtId="176" fontId="1" fillId="2" borderId="33" xfId="1" applyNumberFormat="1" applyFill="1" applyBorder="1" applyAlignment="1">
      <alignment horizontal="center" vertical="center"/>
    </xf>
    <xf numFmtId="176" fontId="1" fillId="2" borderId="33" xfId="1" applyNumberFormat="1" applyFill="1" applyBorder="1" applyAlignment="1">
      <alignment vertical="center"/>
    </xf>
    <xf numFmtId="0" fontId="1" fillId="0" borderId="44" xfId="1" applyBorder="1" applyAlignment="1">
      <alignment vertical="center"/>
    </xf>
    <xf numFmtId="0" fontId="1" fillId="0" borderId="46" xfId="1" applyBorder="1" applyAlignment="1">
      <alignment vertical="center"/>
    </xf>
    <xf numFmtId="0" fontId="1" fillId="0" borderId="43" xfId="1" applyBorder="1" applyAlignment="1">
      <alignment vertical="center"/>
    </xf>
    <xf numFmtId="176" fontId="1" fillId="0" borderId="43" xfId="1" applyNumberFormat="1" applyBorder="1" applyAlignment="1">
      <alignment horizontal="center" vertical="center"/>
    </xf>
    <xf numFmtId="176" fontId="1" fillId="0" borderId="43" xfId="1" applyNumberFormat="1" applyBorder="1" applyAlignment="1">
      <alignment vertical="center"/>
    </xf>
    <xf numFmtId="0" fontId="1" fillId="6" borderId="13" xfId="1" applyFill="1" applyBorder="1" applyAlignment="1">
      <alignment vertical="center"/>
    </xf>
    <xf numFmtId="0" fontId="1" fillId="2" borderId="20" xfId="1" applyFill="1" applyBorder="1" applyAlignment="1">
      <alignment vertical="center"/>
    </xf>
    <xf numFmtId="0" fontId="1" fillId="2" borderId="20" xfId="1" applyFill="1" applyBorder="1" applyAlignment="1">
      <alignment horizontal="center" vertical="center"/>
    </xf>
    <xf numFmtId="176" fontId="1" fillId="2" borderId="20" xfId="1" applyNumberFormat="1" applyFill="1" applyBorder="1" applyAlignment="1">
      <alignment horizontal="center" vertical="center"/>
    </xf>
    <xf numFmtId="176" fontId="1" fillId="2" borderId="20" xfId="1" applyNumberFormat="1" applyFill="1" applyBorder="1" applyAlignment="1">
      <alignment vertical="center"/>
    </xf>
    <xf numFmtId="176" fontId="1" fillId="0" borderId="22" xfId="1" applyNumberFormat="1" applyBorder="1" applyAlignment="1">
      <alignment vertical="center"/>
    </xf>
    <xf numFmtId="0" fontId="1" fillId="0" borderId="20" xfId="1" applyBorder="1" applyAlignment="1">
      <alignment vertical="center"/>
    </xf>
    <xf numFmtId="0" fontId="1" fillId="6" borderId="16" xfId="1" applyFill="1" applyBorder="1" applyAlignment="1">
      <alignment vertical="center"/>
    </xf>
    <xf numFmtId="0" fontId="1" fillId="2" borderId="117" xfId="1" applyFill="1" applyBorder="1" applyAlignment="1">
      <alignment vertical="center"/>
    </xf>
    <xf numFmtId="176" fontId="1" fillId="2" borderId="117" xfId="1" applyNumberFormat="1" applyFill="1" applyBorder="1" applyAlignment="1">
      <alignment horizontal="center" vertical="center"/>
    </xf>
    <xf numFmtId="176" fontId="1" fillId="2" borderId="117" xfId="1" applyNumberFormat="1" applyFill="1" applyBorder="1" applyAlignment="1">
      <alignment vertical="center"/>
    </xf>
    <xf numFmtId="176" fontId="1" fillId="0" borderId="118" xfId="1" applyNumberFormat="1" applyBorder="1" applyAlignment="1">
      <alignment vertical="center"/>
    </xf>
    <xf numFmtId="0" fontId="1" fillId="0" borderId="117" xfId="1" applyBorder="1" applyAlignment="1">
      <alignment vertical="center"/>
    </xf>
    <xf numFmtId="0" fontId="1" fillId="7" borderId="36" xfId="1" applyFill="1" applyBorder="1" applyAlignment="1">
      <alignment vertical="center"/>
    </xf>
    <xf numFmtId="0" fontId="1" fillId="7" borderId="12" xfId="1" applyFill="1" applyBorder="1" applyAlignment="1">
      <alignment vertical="center"/>
    </xf>
    <xf numFmtId="0" fontId="1" fillId="7" borderId="12" xfId="1" applyFill="1" applyBorder="1" applyAlignment="1">
      <alignment horizontal="center" vertical="center"/>
    </xf>
    <xf numFmtId="176" fontId="1" fillId="7" borderId="12" xfId="1" applyNumberFormat="1" applyFill="1" applyBorder="1" applyAlignment="1">
      <alignment horizontal="center" vertical="center"/>
    </xf>
    <xf numFmtId="176" fontId="1" fillId="7" borderId="12" xfId="1" applyNumberFormat="1" applyFill="1" applyBorder="1" applyAlignment="1">
      <alignment vertical="center"/>
    </xf>
    <xf numFmtId="176" fontId="1" fillId="7" borderId="36" xfId="1" applyNumberFormat="1" applyFill="1" applyBorder="1" applyAlignment="1">
      <alignment vertical="center"/>
    </xf>
    <xf numFmtId="0" fontId="1" fillId="0" borderId="13" xfId="1" applyBorder="1" applyAlignment="1">
      <alignment vertical="center"/>
    </xf>
    <xf numFmtId="0" fontId="1" fillId="8" borderId="20" xfId="1" applyFill="1" applyBorder="1" applyAlignment="1">
      <alignment vertical="center"/>
    </xf>
    <xf numFmtId="0" fontId="1" fillId="8" borderId="20" xfId="1" applyFill="1" applyBorder="1" applyAlignment="1">
      <alignment horizontal="center" vertical="center"/>
    </xf>
    <xf numFmtId="176" fontId="1" fillId="8" borderId="20" xfId="1" applyNumberFormat="1" applyFill="1" applyBorder="1" applyAlignment="1">
      <alignment horizontal="right" vertical="center"/>
    </xf>
    <xf numFmtId="176" fontId="1" fillId="8" borderId="20" xfId="1" applyNumberFormat="1" applyFill="1" applyBorder="1" applyAlignment="1">
      <alignment vertical="center"/>
    </xf>
    <xf numFmtId="0" fontId="1" fillId="8" borderId="26" xfId="1" applyFill="1" applyBorder="1" applyAlignment="1">
      <alignment vertical="center"/>
    </xf>
    <xf numFmtId="0" fontId="1" fillId="8" borderId="26" xfId="1" applyFill="1" applyBorder="1" applyAlignment="1">
      <alignment horizontal="center" vertical="center"/>
    </xf>
    <xf numFmtId="176" fontId="1" fillId="8" borderId="26" xfId="1" applyNumberFormat="1" applyFill="1" applyBorder="1" applyAlignment="1">
      <alignment horizontal="right" vertical="center"/>
    </xf>
    <xf numFmtId="176" fontId="1" fillId="8" borderId="26" xfId="1" applyNumberFormat="1" applyFill="1" applyBorder="1" applyAlignment="1">
      <alignment vertical="center"/>
    </xf>
    <xf numFmtId="0" fontId="1" fillId="8" borderId="117" xfId="1" applyFill="1" applyBorder="1" applyAlignment="1">
      <alignment vertical="center"/>
    </xf>
    <xf numFmtId="0" fontId="1" fillId="8" borderId="117" xfId="1" applyFill="1" applyBorder="1" applyAlignment="1">
      <alignment horizontal="center" vertical="center"/>
    </xf>
    <xf numFmtId="0" fontId="1" fillId="8" borderId="117" xfId="1" applyFill="1" applyBorder="1" applyAlignment="1">
      <alignment horizontal="right" vertical="center"/>
    </xf>
    <xf numFmtId="41" fontId="1" fillId="8" borderId="117" xfId="4" applyFont="1" applyFill="1" applyBorder="1" applyAlignment="1">
      <alignment horizontal="center" vertical="center"/>
    </xf>
    <xf numFmtId="0" fontId="1" fillId="8" borderId="26" xfId="1" applyFill="1" applyBorder="1" applyAlignment="1">
      <alignment horizontal="left" vertical="center"/>
    </xf>
    <xf numFmtId="0" fontId="1" fillId="8" borderId="26" xfId="1" applyFill="1" applyBorder="1" applyAlignment="1">
      <alignment horizontal="right" vertical="center"/>
    </xf>
    <xf numFmtId="41" fontId="1" fillId="8" borderId="26" xfId="4" applyFont="1" applyFill="1" applyBorder="1" applyAlignment="1">
      <alignment horizontal="right" vertical="center"/>
    </xf>
    <xf numFmtId="41" fontId="1" fillId="8" borderId="117" xfId="4" applyFont="1" applyFill="1" applyBorder="1" applyAlignment="1">
      <alignment horizontal="right" vertical="center"/>
    </xf>
    <xf numFmtId="41" fontId="1" fillId="8" borderId="26" xfId="4" applyFont="1" applyFill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35" xfId="1" applyBorder="1" applyAlignment="1">
      <alignment horizontal="left" vertical="center"/>
    </xf>
    <xf numFmtId="0" fontId="1" fillId="0" borderId="36" xfId="1" applyBorder="1" applyAlignment="1">
      <alignment vertical="center"/>
    </xf>
    <xf numFmtId="176" fontId="1" fillId="0" borderId="15" xfId="1" applyNumberFormat="1" applyBorder="1" applyAlignment="1">
      <alignment horizontal="center" vertical="center"/>
    </xf>
    <xf numFmtId="176" fontId="1" fillId="0" borderId="15" xfId="1" applyNumberFormat="1" applyBorder="1" applyAlignment="1">
      <alignment vertical="center"/>
    </xf>
    <xf numFmtId="0" fontId="1" fillId="0" borderId="34" xfId="1" applyBorder="1" applyAlignment="1">
      <alignment vertical="center"/>
    </xf>
    <xf numFmtId="0" fontId="1" fillId="0" borderId="34" xfId="1" applyBorder="1" applyAlignment="1">
      <alignment horizontal="center" vertical="center"/>
    </xf>
    <xf numFmtId="176" fontId="1" fillId="2" borderId="15" xfId="1" applyNumberFormat="1" applyFill="1" applyBorder="1" applyAlignment="1">
      <alignment horizontal="center" vertical="center"/>
    </xf>
    <xf numFmtId="176" fontId="1" fillId="2" borderId="15" xfId="1" applyNumberFormat="1" applyFill="1" applyBorder="1" applyAlignment="1">
      <alignment vertical="center"/>
    </xf>
    <xf numFmtId="176" fontId="1" fillId="0" borderId="36" xfId="1" applyNumberFormat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2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31" xfId="1" applyBorder="1" applyAlignment="1">
      <alignment vertical="center"/>
    </xf>
    <xf numFmtId="0" fontId="1" fillId="0" borderId="49" xfId="1" applyBorder="1" applyAlignment="1">
      <alignment vertical="center"/>
    </xf>
    <xf numFmtId="0" fontId="1" fillId="0" borderId="35" xfId="1" applyBorder="1" applyAlignment="1">
      <alignment vertical="center"/>
    </xf>
    <xf numFmtId="0" fontId="1" fillId="0" borderId="12" xfId="1" applyBorder="1" applyAlignment="1">
      <alignment horizontal="right" vertical="center"/>
    </xf>
    <xf numFmtId="176" fontId="1" fillId="0" borderId="34" xfId="1" applyNumberFormat="1" applyBorder="1" applyAlignment="1">
      <alignment vertical="center"/>
    </xf>
    <xf numFmtId="176" fontId="1" fillId="2" borderId="12" xfId="1" applyNumberFormat="1" applyFill="1" applyBorder="1" applyAlignment="1">
      <alignment vertical="center"/>
    </xf>
    <xf numFmtId="180" fontId="11" fillId="2" borderId="45" xfId="1" applyNumberFormat="1" applyFont="1" applyFill="1" applyBorder="1" applyAlignment="1">
      <alignment vertical="center"/>
    </xf>
    <xf numFmtId="180" fontId="1" fillId="0" borderId="0" xfId="1" applyNumberFormat="1" applyAlignment="1">
      <alignment vertical="center"/>
    </xf>
    <xf numFmtId="0" fontId="6" fillId="2" borderId="26" xfId="1" applyFont="1" applyFill="1" applyBorder="1" applyAlignment="1">
      <alignment vertical="center"/>
    </xf>
    <xf numFmtId="0" fontId="1" fillId="3" borderId="26" xfId="1" applyFill="1" applyBorder="1" applyAlignment="1">
      <alignment horizontal="left" vertical="center"/>
    </xf>
    <xf numFmtId="0" fontId="1" fillId="0" borderId="15" xfId="1" applyBorder="1" applyAlignment="1">
      <alignment vertical="center"/>
    </xf>
    <xf numFmtId="0" fontId="1" fillId="0" borderId="40" xfId="1" applyBorder="1" applyAlignment="1">
      <alignment vertical="center"/>
    </xf>
    <xf numFmtId="0" fontId="1" fillId="3" borderId="40" xfId="1" applyFill="1" applyBorder="1" applyAlignment="1">
      <alignment vertical="center"/>
    </xf>
    <xf numFmtId="0" fontId="1" fillId="3" borderId="40" xfId="1" applyFill="1" applyBorder="1" applyAlignment="1">
      <alignment horizontal="left" vertical="center"/>
    </xf>
    <xf numFmtId="0" fontId="1" fillId="3" borderId="40" xfId="1" applyFill="1" applyBorder="1" applyAlignment="1">
      <alignment horizontal="center" vertical="center"/>
    </xf>
    <xf numFmtId="176" fontId="1" fillId="3" borderId="40" xfId="1" applyNumberFormat="1" applyFill="1" applyBorder="1" applyAlignment="1">
      <alignment horizontal="center" vertical="center"/>
    </xf>
    <xf numFmtId="176" fontId="1" fillId="3" borderId="40" xfId="1" applyNumberFormat="1" applyFill="1" applyBorder="1" applyAlignment="1">
      <alignment vertical="center"/>
    </xf>
    <xf numFmtId="0" fontId="1" fillId="3" borderId="26" xfId="1" applyFill="1" applyBorder="1" applyAlignment="1">
      <alignment vertical="center"/>
    </xf>
    <xf numFmtId="0" fontId="1" fillId="3" borderId="26" xfId="1" applyFill="1" applyBorder="1" applyAlignment="1">
      <alignment horizontal="center" vertical="center"/>
    </xf>
    <xf numFmtId="176" fontId="1" fillId="3" borderId="26" xfId="1" applyNumberFormat="1" applyFill="1" applyBorder="1" applyAlignment="1">
      <alignment horizontal="center" vertical="center"/>
    </xf>
    <xf numFmtId="176" fontId="1" fillId="3" borderId="26" xfId="1" applyNumberFormat="1" applyFill="1" applyBorder="1" applyAlignment="1">
      <alignment vertical="center"/>
    </xf>
    <xf numFmtId="0" fontId="6" fillId="3" borderId="26" xfId="1" applyFont="1" applyFill="1" applyBorder="1" applyAlignment="1">
      <alignment vertical="center"/>
    </xf>
    <xf numFmtId="0" fontId="6" fillId="3" borderId="40" xfId="1" applyFont="1" applyFill="1" applyBorder="1" applyAlignment="1">
      <alignment vertical="center"/>
    </xf>
    <xf numFmtId="181" fontId="1" fillId="0" borderId="43" xfId="1" applyNumberFormat="1" applyBorder="1" applyAlignment="1">
      <alignment horizontal="center" vertical="center"/>
    </xf>
    <xf numFmtId="182" fontId="1" fillId="3" borderId="26" xfId="1" applyNumberFormat="1" applyFill="1" applyBorder="1" applyAlignment="1">
      <alignment horizontal="center" vertical="center"/>
    </xf>
    <xf numFmtId="183" fontId="1" fillId="2" borderId="12" xfId="1" applyNumberFormat="1" applyFill="1" applyBorder="1" applyAlignment="1">
      <alignment horizontal="center" vertical="center"/>
    </xf>
    <xf numFmtId="183" fontId="1" fillId="2" borderId="20" xfId="1" applyNumberFormat="1" applyFill="1" applyBorder="1" applyAlignment="1">
      <alignment horizontal="center" vertical="center"/>
    </xf>
    <xf numFmtId="183" fontId="1" fillId="3" borderId="26" xfId="1" applyNumberFormat="1" applyFill="1" applyBorder="1" applyAlignment="1">
      <alignment horizontal="center" vertical="center"/>
    </xf>
    <xf numFmtId="0" fontId="1" fillId="3" borderId="31" xfId="1" applyFill="1" applyBorder="1" applyAlignment="1">
      <alignment vertical="center"/>
    </xf>
    <xf numFmtId="183" fontId="1" fillId="2" borderId="33" xfId="1" applyNumberFormat="1" applyFill="1" applyBorder="1" applyAlignment="1">
      <alignment horizontal="center" vertical="center"/>
    </xf>
    <xf numFmtId="176" fontId="27" fillId="0" borderId="0" xfId="1" applyNumberFormat="1" applyFont="1" applyAlignment="1">
      <alignment horizontal="right" vertical="center"/>
    </xf>
    <xf numFmtId="176" fontId="1" fillId="3" borderId="26" xfId="1" applyNumberFormat="1" applyFill="1" applyBorder="1" applyAlignment="1">
      <alignment horizontal="right" vertical="center"/>
    </xf>
    <xf numFmtId="182" fontId="1" fillId="3" borderId="26" xfId="1" applyNumberFormat="1" applyFill="1" applyBorder="1" applyAlignment="1">
      <alignment horizontal="right" vertical="center"/>
    </xf>
    <xf numFmtId="184" fontId="1" fillId="3" borderId="26" xfId="1" applyNumberFormat="1" applyFill="1" applyBorder="1" applyAlignment="1">
      <alignment horizontal="right" vertical="center"/>
    </xf>
    <xf numFmtId="176" fontId="1" fillId="2" borderId="33" xfId="1" applyNumberFormat="1" applyFill="1" applyBorder="1" applyAlignment="1">
      <alignment horizontal="right" vertical="center"/>
    </xf>
    <xf numFmtId="176" fontId="1" fillId="7" borderId="12" xfId="1" applyNumberFormat="1" applyFill="1" applyBorder="1" applyAlignment="1">
      <alignment horizontal="right" vertical="center"/>
    </xf>
    <xf numFmtId="176" fontId="1" fillId="2" borderId="116" xfId="1" applyNumberFormat="1" applyFill="1" applyBorder="1" applyAlignment="1">
      <alignment horizontal="right" vertical="center"/>
    </xf>
    <xf numFmtId="181" fontId="1" fillId="0" borderId="43" xfId="1" applyNumberFormat="1" applyBorder="1" applyAlignment="1">
      <alignment horizontal="right" vertical="center"/>
    </xf>
    <xf numFmtId="0" fontId="1" fillId="3" borderId="117" xfId="1" applyFill="1" applyBorder="1" applyAlignment="1">
      <alignment vertical="center"/>
    </xf>
    <xf numFmtId="176" fontId="1" fillId="3" borderId="117" xfId="1" applyNumberFormat="1" applyFill="1" applyBorder="1" applyAlignment="1">
      <alignment horizontal="right" vertical="center"/>
    </xf>
    <xf numFmtId="176" fontId="1" fillId="3" borderId="117" xfId="1" applyNumberFormat="1" applyFill="1" applyBorder="1" applyAlignment="1">
      <alignment vertical="center"/>
    </xf>
    <xf numFmtId="176" fontId="1" fillId="0" borderId="43" xfId="1" applyNumberFormat="1" applyBorder="1" applyAlignment="1">
      <alignment horizontal="right" vertical="center"/>
    </xf>
    <xf numFmtId="0" fontId="1" fillId="0" borderId="39" xfId="1" applyBorder="1" applyAlignment="1">
      <alignment horizontal="left" vertical="center"/>
    </xf>
    <xf numFmtId="0" fontId="1" fillId="0" borderId="14" xfId="1" applyBorder="1" applyAlignment="1">
      <alignment vertical="center"/>
    </xf>
    <xf numFmtId="176" fontId="1" fillId="0" borderId="15" xfId="1" applyNumberFormat="1" applyBorder="1" applyAlignment="1">
      <alignment horizontal="right" vertical="center"/>
    </xf>
    <xf numFmtId="176" fontId="1" fillId="2" borderId="20" xfId="1" applyNumberFormat="1" applyFill="1" applyBorder="1" applyAlignment="1">
      <alignment horizontal="right" vertical="center"/>
    </xf>
    <xf numFmtId="183" fontId="1" fillId="3" borderId="26" xfId="1" applyNumberFormat="1" applyFill="1" applyBorder="1" applyAlignment="1">
      <alignment horizontal="right" vertical="center"/>
    </xf>
    <xf numFmtId="0" fontId="1" fillId="3" borderId="27" xfId="1" applyFill="1" applyBorder="1" applyAlignment="1">
      <alignment vertical="center"/>
    </xf>
    <xf numFmtId="0" fontId="1" fillId="3" borderId="119" xfId="1" applyFill="1" applyBorder="1" applyAlignment="1">
      <alignment vertical="center"/>
    </xf>
    <xf numFmtId="0" fontId="1" fillId="0" borderId="118" xfId="1" applyBorder="1" applyAlignment="1">
      <alignment vertical="center"/>
    </xf>
    <xf numFmtId="0" fontId="1" fillId="0" borderId="119" xfId="1" applyBorder="1" applyAlignment="1">
      <alignment horizontal="center" vertical="center"/>
    </xf>
    <xf numFmtId="183" fontId="1" fillId="2" borderId="117" xfId="1" applyNumberFormat="1" applyFill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6" fontId="27" fillId="0" borderId="0" xfId="1" applyNumberFormat="1" applyFont="1" applyAlignment="1">
      <alignment vertical="center"/>
    </xf>
    <xf numFmtId="181" fontId="1" fillId="0" borderId="43" xfId="1" applyNumberFormat="1" applyBorder="1" applyAlignment="1">
      <alignment vertical="center"/>
    </xf>
    <xf numFmtId="0" fontId="1" fillId="2" borderId="15" xfId="1" applyFill="1" applyBorder="1" applyAlignment="1">
      <alignment vertical="center"/>
    </xf>
    <xf numFmtId="0" fontId="1" fillId="2" borderId="15" xfId="1" applyFill="1" applyBorder="1" applyAlignment="1">
      <alignment horizontal="center" vertical="center"/>
    </xf>
    <xf numFmtId="0" fontId="1" fillId="3" borderId="22" xfId="1" applyFill="1" applyBorder="1" applyAlignment="1">
      <alignment vertical="center"/>
    </xf>
    <xf numFmtId="0" fontId="1" fillId="3" borderId="20" xfId="1" applyFill="1" applyBorder="1" applyAlignment="1">
      <alignment vertical="center"/>
    </xf>
    <xf numFmtId="0" fontId="1" fillId="3" borderId="21" xfId="1" applyFill="1" applyBorder="1" applyAlignment="1">
      <alignment vertical="center"/>
    </xf>
    <xf numFmtId="0" fontId="1" fillId="3" borderId="28" xfId="1" applyFill="1" applyBorder="1" applyAlignment="1">
      <alignment vertical="center"/>
    </xf>
    <xf numFmtId="49" fontId="1" fillId="3" borderId="26" xfId="1" applyNumberFormat="1" applyFill="1" applyBorder="1" applyAlignment="1">
      <alignment horizontal="center" vertical="center"/>
    </xf>
    <xf numFmtId="0" fontId="1" fillId="3" borderId="49" xfId="1" applyFill="1" applyBorder="1" applyAlignment="1">
      <alignment vertical="center"/>
    </xf>
    <xf numFmtId="0" fontId="1" fillId="3" borderId="33" xfId="1" applyFill="1" applyBorder="1" applyAlignment="1">
      <alignment vertical="center"/>
    </xf>
    <xf numFmtId="49" fontId="1" fillId="3" borderId="33" xfId="1" applyNumberFormat="1" applyFill="1" applyBorder="1" applyAlignment="1">
      <alignment horizontal="center" vertical="center"/>
    </xf>
    <xf numFmtId="0" fontId="30" fillId="3" borderId="26" xfId="1" applyFont="1" applyFill="1" applyBorder="1" applyAlignment="1">
      <alignment vertical="center"/>
    </xf>
    <xf numFmtId="0" fontId="17" fillId="2" borderId="26" xfId="1" applyFont="1" applyFill="1" applyBorder="1" applyAlignment="1">
      <alignment vertical="center"/>
    </xf>
    <xf numFmtId="183" fontId="1" fillId="2" borderId="26" xfId="1" applyNumberFormat="1" applyFill="1" applyBorder="1" applyAlignment="1">
      <alignment vertical="center"/>
    </xf>
    <xf numFmtId="0" fontId="31" fillId="3" borderId="26" xfId="1" applyFont="1" applyFill="1" applyBorder="1" applyAlignment="1">
      <alignment horizontal="center" vertical="center"/>
    </xf>
    <xf numFmtId="0" fontId="31" fillId="3" borderId="28" xfId="1" applyFont="1" applyFill="1" applyBorder="1" applyAlignment="1">
      <alignment horizontal="center" vertical="center"/>
    </xf>
    <xf numFmtId="185" fontId="31" fillId="3" borderId="26" xfId="1" applyNumberFormat="1" applyFont="1" applyFill="1" applyBorder="1" applyAlignment="1">
      <alignment vertical="center"/>
    </xf>
    <xf numFmtId="185" fontId="1" fillId="0" borderId="0" xfId="1" applyNumberFormat="1" applyAlignment="1">
      <alignment vertical="center"/>
    </xf>
    <xf numFmtId="0" fontId="1" fillId="3" borderId="26" xfId="1" quotePrefix="1" applyFill="1" applyBorder="1" applyAlignment="1">
      <alignment horizontal="center" vertical="center"/>
    </xf>
    <xf numFmtId="184" fontId="1" fillId="2" borderId="26" xfId="1" applyNumberFormat="1" applyFill="1" applyBorder="1" applyAlignment="1">
      <alignment vertical="center"/>
    </xf>
    <xf numFmtId="184" fontId="1" fillId="2" borderId="33" xfId="1" applyNumberFormat="1" applyFill="1" applyBorder="1" applyAlignment="1">
      <alignment vertical="center"/>
    </xf>
    <xf numFmtId="0" fontId="31" fillId="3" borderId="27" xfId="1" applyFont="1" applyFill="1" applyBorder="1" applyAlignment="1">
      <alignment vertical="center"/>
    </xf>
    <xf numFmtId="0" fontId="31" fillId="3" borderId="26" xfId="1" applyFont="1" applyFill="1" applyBorder="1" applyAlignment="1">
      <alignment horizontal="left" vertical="center"/>
    </xf>
    <xf numFmtId="0" fontId="1" fillId="3" borderId="33" xfId="1" applyFill="1" applyBorder="1" applyAlignment="1">
      <alignment horizontal="center" vertical="center"/>
    </xf>
    <xf numFmtId="183" fontId="1" fillId="2" borderId="33" xfId="1" applyNumberFormat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28" xfId="1" applyFill="1" applyBorder="1" applyAlignment="1">
      <alignment vertical="center"/>
    </xf>
    <xf numFmtId="178" fontId="1" fillId="2" borderId="16" xfId="1" applyNumberFormat="1" applyFill="1" applyBorder="1" applyAlignment="1">
      <alignment vertical="center"/>
    </xf>
    <xf numFmtId="178" fontId="1" fillId="2" borderId="0" xfId="1" applyNumberFormat="1" applyFill="1" applyAlignment="1">
      <alignment vertical="center"/>
    </xf>
    <xf numFmtId="178" fontId="1" fillId="2" borderId="17" xfId="1" applyNumberFormat="1" applyFill="1" applyBorder="1" applyAlignment="1">
      <alignment vertical="center"/>
    </xf>
    <xf numFmtId="0" fontId="1" fillId="2" borderId="44" xfId="1" applyFill="1" applyBorder="1" applyAlignment="1">
      <alignment vertical="center"/>
    </xf>
    <xf numFmtId="0" fontId="1" fillId="2" borderId="45" xfId="1" applyFill="1" applyBorder="1" applyAlignment="1">
      <alignment vertical="center"/>
    </xf>
    <xf numFmtId="0" fontId="1" fillId="2" borderId="46" xfId="1" applyFill="1" applyBorder="1" applyAlignment="1">
      <alignment vertical="center"/>
    </xf>
    <xf numFmtId="0" fontId="1" fillId="2" borderId="47" xfId="1" applyFill="1" applyBorder="1" applyAlignment="1">
      <alignment vertical="center"/>
    </xf>
    <xf numFmtId="0" fontId="1" fillId="2" borderId="48" xfId="1" applyFill="1" applyBorder="1" applyAlignment="1">
      <alignment vertical="center"/>
    </xf>
    <xf numFmtId="0" fontId="1" fillId="2" borderId="49" xfId="1" applyFill="1" applyBorder="1" applyAlignment="1">
      <alignment vertical="center"/>
    </xf>
    <xf numFmtId="0" fontId="1" fillId="0" borderId="27" xfId="1" applyBorder="1" applyAlignment="1">
      <alignment horizontal="left" vertical="center"/>
    </xf>
    <xf numFmtId="0" fontId="1" fillId="0" borderId="28" xfId="1" applyBorder="1" applyAlignment="1">
      <alignment horizontal="left" vertical="center"/>
    </xf>
    <xf numFmtId="176" fontId="1" fillId="0" borderId="34" xfId="1" applyNumberFormat="1" applyBorder="1" applyAlignment="1">
      <alignment horizontal="center" vertical="center"/>
    </xf>
    <xf numFmtId="176" fontId="1" fillId="0" borderId="35" xfId="1" applyNumberFormat="1" applyBorder="1" applyAlignment="1">
      <alignment horizontal="center" vertical="center"/>
    </xf>
    <xf numFmtId="176" fontId="1" fillId="0" borderId="36" xfId="1" applyNumberFormat="1" applyBorder="1" applyAlignment="1">
      <alignment horizontal="center" vertical="center"/>
    </xf>
    <xf numFmtId="176" fontId="1" fillId="0" borderId="34" xfId="1" applyNumberFormat="1" applyBorder="1" applyAlignment="1">
      <alignment horizontal="center" vertical="center" wrapText="1"/>
    </xf>
    <xf numFmtId="176" fontId="1" fillId="0" borderId="36" xfId="1" applyNumberFormat="1" applyBorder="1" applyAlignment="1">
      <alignment horizontal="center" vertical="center" wrapText="1"/>
    </xf>
    <xf numFmtId="0" fontId="1" fillId="0" borderId="15" xfId="1" applyBorder="1" applyAlignment="1">
      <alignment horizontal="center" vertical="center" textRotation="255"/>
    </xf>
    <xf numFmtId="0" fontId="1" fillId="0" borderId="40" xfId="1" applyBorder="1" applyAlignment="1">
      <alignment horizontal="center" vertical="center" textRotation="255"/>
    </xf>
    <xf numFmtId="0" fontId="1" fillId="0" borderId="43" xfId="1" applyBorder="1" applyAlignment="1">
      <alignment horizontal="center" vertical="center" textRotation="255"/>
    </xf>
    <xf numFmtId="0" fontId="1" fillId="2" borderId="13" xfId="1" applyFill="1" applyBorder="1" applyAlignment="1">
      <alignment vertical="center"/>
    </xf>
    <xf numFmtId="0" fontId="1" fillId="2" borderId="39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0" borderId="34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2" borderId="16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" fillId="2" borderId="17" xfId="1" applyFill="1" applyBorder="1" applyAlignment="1">
      <alignment vertical="center"/>
    </xf>
    <xf numFmtId="0" fontId="1" fillId="2" borderId="41" xfId="1" applyFill="1" applyBorder="1" applyAlignment="1">
      <alignment vertical="center"/>
    </xf>
    <xf numFmtId="0" fontId="1" fillId="2" borderId="42" xfId="1" applyFill="1" applyBorder="1" applyAlignment="1">
      <alignment vertical="center"/>
    </xf>
    <xf numFmtId="0" fontId="1" fillId="2" borderId="22" xfId="1" applyFill="1" applyBorder="1" applyAlignment="1">
      <alignment vertical="center"/>
    </xf>
    <xf numFmtId="177" fontId="1" fillId="2" borderId="16" xfId="1" applyNumberFormat="1" applyFill="1" applyBorder="1" applyAlignment="1">
      <alignment horizontal="left" vertical="center"/>
    </xf>
    <xf numFmtId="177" fontId="1" fillId="2" borderId="0" xfId="1" applyNumberFormat="1" applyFill="1" applyAlignment="1">
      <alignment horizontal="left" vertical="center"/>
    </xf>
    <xf numFmtId="177" fontId="1" fillId="2" borderId="17" xfId="1" applyNumberFormat="1" applyFill="1" applyBorder="1" applyAlignment="1">
      <alignment horizontal="left" vertical="center"/>
    </xf>
    <xf numFmtId="0" fontId="1" fillId="0" borderId="12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176" fontId="1" fillId="0" borderId="24" xfId="1" applyNumberFormat="1" applyBorder="1" applyAlignment="1">
      <alignment horizontal="center" vertical="center"/>
    </xf>
    <xf numFmtId="176" fontId="1" fillId="0" borderId="6" xfId="1" applyNumberFormat="1" applyBorder="1" applyAlignment="1">
      <alignment horizontal="center" vertical="center"/>
    </xf>
    <xf numFmtId="176" fontId="1" fillId="0" borderId="32" xfId="1" applyNumberForma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13" fillId="3" borderId="0" xfId="1" applyFont="1" applyFill="1" applyAlignment="1">
      <alignment horizontal="left" vertical="center"/>
    </xf>
    <xf numFmtId="0" fontId="1" fillId="0" borderId="0" xfId="1" applyAlignment="1">
      <alignment vertical="center"/>
    </xf>
    <xf numFmtId="176" fontId="6" fillId="3" borderId="0" xfId="1" applyNumberFormat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 applyAlignment="1">
      <alignment horizontal="center" vertical="center" textRotation="255"/>
    </xf>
    <xf numFmtId="3" fontId="1" fillId="0" borderId="47" xfId="1" applyNumberFormat="1" applyBorder="1" applyAlignment="1">
      <alignment horizontal="center" vertical="center"/>
    </xf>
    <xf numFmtId="3" fontId="1" fillId="0" borderId="48" xfId="1" applyNumberFormat="1" applyBorder="1" applyAlignment="1">
      <alignment horizontal="center" vertical="center"/>
    </xf>
    <xf numFmtId="3" fontId="1" fillId="0" borderId="68" xfId="1" applyNumberFormat="1" applyBorder="1" applyAlignment="1">
      <alignment horizontal="center" vertical="center"/>
    </xf>
    <xf numFmtId="3" fontId="1" fillId="0" borderId="47" xfId="1" quotePrefix="1" applyNumberFormat="1" applyBorder="1" applyAlignment="1">
      <alignment horizontal="left" vertical="center"/>
    </xf>
    <xf numFmtId="3" fontId="1" fillId="0" borderId="48" xfId="1" quotePrefix="1" applyNumberFormat="1" applyBorder="1" applyAlignment="1">
      <alignment horizontal="left" vertical="center"/>
    </xf>
    <xf numFmtId="3" fontId="1" fillId="0" borderId="68" xfId="1" quotePrefix="1" applyNumberFormat="1" applyBorder="1" applyAlignment="1">
      <alignment horizontal="left" vertical="center"/>
    </xf>
    <xf numFmtId="3" fontId="1" fillId="0" borderId="85" xfId="1" applyNumberFormat="1" applyBorder="1" applyAlignment="1">
      <alignment horizontal="center" vertical="center"/>
    </xf>
    <xf numFmtId="3" fontId="17" fillId="0" borderId="86" xfId="1" quotePrefix="1" applyNumberFormat="1" applyFont="1" applyBorder="1" applyAlignment="1">
      <alignment horizontal="left" vertical="center"/>
    </xf>
    <xf numFmtId="3" fontId="17" fillId="0" borderId="85" xfId="1" quotePrefix="1" applyNumberFormat="1" applyFont="1" applyBorder="1" applyAlignment="1">
      <alignment horizontal="left" vertical="center"/>
    </xf>
    <xf numFmtId="3" fontId="17" fillId="0" borderId="87" xfId="1" quotePrefix="1" applyNumberFormat="1" applyFont="1" applyBorder="1" applyAlignment="1">
      <alignment horizontal="left" vertical="center"/>
    </xf>
    <xf numFmtId="3" fontId="1" fillId="0" borderId="19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/>
    </xf>
    <xf numFmtId="3" fontId="1" fillId="0" borderId="62" xfId="1" applyNumberFormat="1" applyBorder="1" applyAlignment="1">
      <alignment horizontal="center" vertical="center"/>
    </xf>
    <xf numFmtId="179" fontId="1" fillId="0" borderId="4" xfId="1" applyNumberFormat="1" applyBorder="1" applyAlignment="1">
      <alignment horizontal="center" vertical="center"/>
    </xf>
    <xf numFmtId="179" fontId="1" fillId="0" borderId="5" xfId="1" applyNumberFormat="1" applyBorder="1" applyAlignment="1">
      <alignment horizontal="center" vertical="center"/>
    </xf>
    <xf numFmtId="179" fontId="1" fillId="0" borderId="64" xfId="1" applyNumberFormat="1" applyBorder="1" applyAlignment="1">
      <alignment horizontal="center" vertical="center"/>
    </xf>
    <xf numFmtId="3" fontId="1" fillId="0" borderId="6" xfId="1" applyNumberFormat="1" applyBorder="1" applyAlignment="1">
      <alignment horizontal="center" vertical="center"/>
    </xf>
    <xf numFmtId="3" fontId="1" fillId="0" borderId="9" xfId="1" applyNumberFormat="1" applyBorder="1" applyAlignment="1">
      <alignment horizontal="center" vertical="center"/>
    </xf>
    <xf numFmtId="3" fontId="1" fillId="0" borderId="10" xfId="1" applyNumberFormat="1" applyBorder="1" applyAlignment="1">
      <alignment horizontal="center" vertical="center"/>
    </xf>
    <xf numFmtId="3" fontId="1" fillId="0" borderId="11" xfId="1" applyNumberFormat="1" applyBorder="1" applyAlignment="1">
      <alignment horizontal="center" vertical="center"/>
    </xf>
    <xf numFmtId="3" fontId="1" fillId="0" borderId="79" xfId="1" applyNumberFormat="1" applyBorder="1" applyAlignment="1">
      <alignment horizontal="center" vertical="center"/>
    </xf>
    <xf numFmtId="3" fontId="1" fillId="0" borderId="80" xfId="1" applyNumberFormat="1" applyBorder="1" applyAlignment="1">
      <alignment horizontal="center" vertical="center"/>
    </xf>
    <xf numFmtId="3" fontId="1" fillId="0" borderId="81" xfId="1" applyNumberFormat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64" xfId="1" applyNumberFormat="1" applyBorder="1" applyAlignment="1">
      <alignment horizontal="center" vertical="center"/>
    </xf>
    <xf numFmtId="3" fontId="17" fillId="5" borderId="4" xfId="1" applyNumberFormat="1" applyFont="1" applyFill="1" applyBorder="1" applyAlignment="1">
      <alignment horizontal="left" vertical="center"/>
    </xf>
    <xf numFmtId="3" fontId="17" fillId="5" borderId="5" xfId="1" applyNumberFormat="1" applyFont="1" applyFill="1" applyBorder="1" applyAlignment="1">
      <alignment horizontal="left" vertical="center"/>
    </xf>
    <xf numFmtId="3" fontId="17" fillId="5" borderId="64" xfId="1" applyNumberFormat="1" applyFont="1" applyFill="1" applyBorder="1" applyAlignment="1">
      <alignment horizontal="left" vertical="center"/>
    </xf>
    <xf numFmtId="3" fontId="17" fillId="0" borderId="4" xfId="1" applyNumberFormat="1" applyFont="1" applyBorder="1" applyAlignment="1">
      <alignment horizontal="left" vertical="center"/>
    </xf>
    <xf numFmtId="3" fontId="17" fillId="0" borderId="5" xfId="1" applyNumberFormat="1" applyFont="1" applyBorder="1" applyAlignment="1">
      <alignment horizontal="left" vertical="center"/>
    </xf>
    <xf numFmtId="3" fontId="17" fillId="0" borderId="64" xfId="1" applyNumberFormat="1" applyFont="1" applyBorder="1" applyAlignment="1">
      <alignment horizontal="left" vertical="center"/>
    </xf>
    <xf numFmtId="3" fontId="1" fillId="0" borderId="13" xfId="1" applyNumberForma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3" fontId="1" fillId="0" borderId="72" xfId="1" applyNumberFormat="1" applyBorder="1" applyAlignment="1">
      <alignment horizontal="center" vertical="center"/>
    </xf>
    <xf numFmtId="3" fontId="1" fillId="0" borderId="41" xfId="1" applyNumberFormat="1" applyBorder="1" applyAlignment="1">
      <alignment horizontal="center" vertical="center"/>
    </xf>
    <xf numFmtId="3" fontId="1" fillId="0" borderId="42" xfId="1" applyNumberFormat="1" applyBorder="1" applyAlignment="1">
      <alignment horizontal="center" vertical="center"/>
    </xf>
    <xf numFmtId="3" fontId="1" fillId="0" borderId="71" xfId="1" applyNumberFormat="1" applyBorder="1" applyAlignment="1">
      <alignment horizontal="center" vertical="center"/>
    </xf>
    <xf numFmtId="3" fontId="1" fillId="0" borderId="73" xfId="1" applyNumberFormat="1" applyBorder="1" applyAlignment="1">
      <alignment horizontal="center" vertical="center"/>
    </xf>
    <xf numFmtId="3" fontId="1" fillId="0" borderId="74" xfId="1" applyNumberFormat="1" applyBorder="1" applyAlignment="1">
      <alignment horizontal="center" vertical="center"/>
    </xf>
    <xf numFmtId="3" fontId="1" fillId="0" borderId="75" xfId="1" applyNumberFormat="1" applyBorder="1" applyAlignment="1">
      <alignment horizontal="center" vertical="center"/>
    </xf>
    <xf numFmtId="3" fontId="1" fillId="0" borderId="50" xfId="1" applyNumberFormat="1" applyBorder="1" applyAlignment="1">
      <alignment horizontal="center" vertical="center"/>
    </xf>
    <xf numFmtId="3" fontId="1" fillId="0" borderId="61" xfId="1" applyNumberFormat="1" applyBorder="1" applyAlignment="1">
      <alignment horizontal="center" vertical="center"/>
    </xf>
    <xf numFmtId="3" fontId="1" fillId="0" borderId="66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 wrapText="1"/>
    </xf>
    <xf numFmtId="3" fontId="1" fillId="0" borderId="70" xfId="1" applyNumberFormat="1" applyBorder="1" applyAlignment="1">
      <alignment horizontal="center" vertical="center" wrapText="1"/>
    </xf>
    <xf numFmtId="3" fontId="1" fillId="0" borderId="7" xfId="1" applyNumberFormat="1" applyBorder="1" applyAlignment="1">
      <alignment horizontal="center" vertical="center"/>
    </xf>
    <xf numFmtId="3" fontId="1" fillId="0" borderId="67" xfId="1" applyNumberFormat="1" applyBorder="1" applyAlignment="1">
      <alignment horizontal="center" vertical="center"/>
    </xf>
    <xf numFmtId="3" fontId="1" fillId="0" borderId="53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3" fontId="1" fillId="0" borderId="51" xfId="1" applyNumberFormat="1" applyBorder="1" applyAlignment="1">
      <alignment horizontal="center" vertical="center"/>
    </xf>
    <xf numFmtId="3" fontId="1" fillId="0" borderId="39" xfId="1" applyNumberFormat="1" applyBorder="1" applyAlignment="1">
      <alignment horizontal="center" vertical="center"/>
    </xf>
    <xf numFmtId="3" fontId="1" fillId="0" borderId="52" xfId="1" applyNumberFormat="1" applyBorder="1" applyAlignment="1">
      <alignment horizontal="center" vertical="center"/>
    </xf>
    <xf numFmtId="3" fontId="1" fillId="0" borderId="56" xfId="1" applyNumberFormat="1" applyBorder="1" applyAlignment="1">
      <alignment horizontal="center" vertical="center"/>
    </xf>
    <xf numFmtId="3" fontId="1" fillId="0" borderId="57" xfId="1" applyNumberFormat="1" applyBorder="1" applyAlignment="1">
      <alignment horizontal="center" vertical="center"/>
    </xf>
    <xf numFmtId="3" fontId="1" fillId="0" borderId="58" xfId="1" applyNumberFormat="1" applyBorder="1" applyAlignment="1">
      <alignment horizontal="center" vertical="center"/>
    </xf>
    <xf numFmtId="3" fontId="1" fillId="0" borderId="7" xfId="1" applyNumberFormat="1" applyBorder="1" applyAlignment="1">
      <alignment horizontal="center" vertical="center" wrapText="1"/>
    </xf>
    <xf numFmtId="0" fontId="1" fillId="0" borderId="39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176" fontId="1" fillId="0" borderId="13" xfId="1" applyNumberFormat="1" applyBorder="1" applyAlignment="1">
      <alignment horizontal="center" vertical="center"/>
    </xf>
    <xf numFmtId="176" fontId="1" fillId="0" borderId="39" xfId="1" applyNumberFormat="1" applyBorder="1" applyAlignment="1">
      <alignment horizontal="center" vertical="center"/>
    </xf>
    <xf numFmtId="176" fontId="1" fillId="0" borderId="14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40" xfId="1" applyBorder="1" applyAlignment="1">
      <alignment horizontal="center" vertical="center" wrapText="1"/>
    </xf>
    <xf numFmtId="0" fontId="1" fillId="0" borderId="15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top" wrapText="1" shrinkToFit="1"/>
    </xf>
    <xf numFmtId="0" fontId="1" fillId="0" borderId="40" xfId="1" applyBorder="1" applyAlignment="1">
      <alignment horizontal="center" vertical="center"/>
    </xf>
  </cellXfs>
  <cellStyles count="5">
    <cellStyle name="백분율 2" xfId="2" xr:uid="{078A4994-CF49-439C-A992-4221A93A467C}"/>
    <cellStyle name="쉼표 [0] 2" xfId="3" xr:uid="{D487E739-3A72-47DF-9F33-A7D12EE87C49}"/>
    <cellStyle name="쉼표 [0] 3" xfId="4" xr:uid="{1414B09D-25E1-497E-AEBA-1A7A7755980A}"/>
    <cellStyle name="표준" xfId="0" builtinId="0"/>
    <cellStyle name="표준 2" xfId="1" xr:uid="{414F5539-D5EE-481E-A6C0-10013FF6F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240030</xdr:colOff>
      <xdr:row>15</xdr:row>
      <xdr:rowOff>28575</xdr:rowOff>
    </xdr:from>
    <xdr:to>
      <xdr:col>14</xdr:col>
      <xdr:colOff>9540</xdr:colOff>
      <xdr:row>16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304EF777-9FE8-4F24-91DB-B86525A6DD79}"/>
            </a:ext>
          </a:extLst>
        </xdr:cNvPr>
        <xdr:cNvSpPr>
          <a:spLocks/>
        </xdr:cNvSpPr>
      </xdr:nvSpPr>
      <xdr:spPr bwMode="auto">
        <a:xfrm>
          <a:off x="7692390" y="3800475"/>
          <a:ext cx="3015630" cy="21526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413F74-48FD-4886-84A9-A20492E86C91}"/>
            </a:ext>
          </a:extLst>
        </xdr:cNvPr>
        <xdr:cNvSpPr>
          <a:spLocks/>
        </xdr:cNvSpPr>
      </xdr:nvSpPr>
      <xdr:spPr bwMode="auto">
        <a:xfrm>
          <a:off x="7719060" y="2806065"/>
          <a:ext cx="3007995" cy="23431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BCDBAF3-73FD-47DE-A7E5-2A83885FB5FC}"/>
            </a:ext>
          </a:extLst>
        </xdr:cNvPr>
        <xdr:cNvSpPr>
          <a:spLocks/>
        </xdr:cNvSpPr>
      </xdr:nvSpPr>
      <xdr:spPr bwMode="auto">
        <a:xfrm>
          <a:off x="7719060" y="4269105"/>
          <a:ext cx="3007995" cy="23431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21B02513-7EC9-46C6-8448-9CABA95A32AB}"/>
            </a:ext>
          </a:extLst>
        </xdr:cNvPr>
        <xdr:cNvSpPr>
          <a:spLocks/>
        </xdr:cNvSpPr>
      </xdr:nvSpPr>
      <xdr:spPr bwMode="auto">
        <a:xfrm>
          <a:off x="7728585" y="1968820"/>
          <a:ext cx="3007995" cy="286701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242406</xdr:colOff>
      <xdr:row>14</xdr:row>
      <xdr:rowOff>0</xdr:rowOff>
    </xdr:from>
    <xdr:to>
      <xdr:col>14</xdr:col>
      <xdr:colOff>11916</xdr:colOff>
      <xdr:row>14</xdr:row>
      <xdr:rowOff>221456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F6C351B3-0DE5-4AAE-B6D1-F0963523F9F8}"/>
            </a:ext>
          </a:extLst>
        </xdr:cNvPr>
        <xdr:cNvSpPr>
          <a:spLocks/>
        </xdr:cNvSpPr>
      </xdr:nvSpPr>
      <xdr:spPr bwMode="auto">
        <a:xfrm>
          <a:off x="7694766" y="3528060"/>
          <a:ext cx="3015630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16192</xdr:colOff>
      <xdr:row>10</xdr:row>
      <xdr:rowOff>190500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B5A40C3F-DB11-4177-95BA-64D03B5B8292}"/>
            </a:ext>
          </a:extLst>
        </xdr:cNvPr>
        <xdr:cNvSpPr>
          <a:spLocks/>
        </xdr:cNvSpPr>
      </xdr:nvSpPr>
      <xdr:spPr bwMode="auto">
        <a:xfrm>
          <a:off x="7714292" y="2291238"/>
          <a:ext cx="3000380" cy="451962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2" name="AutoShape 22">
          <a:extLst>
            <a:ext uri="{FF2B5EF4-FFF2-40B4-BE49-F238E27FC236}">
              <a16:creationId xmlns:a16="http://schemas.microsoft.com/office/drawing/2014/main" id="{66F8236E-DA27-4884-8E19-B3788DD6E09D}"/>
            </a:ext>
          </a:extLst>
        </xdr:cNvPr>
        <xdr:cNvSpPr>
          <a:spLocks noChangeArrowheads="1"/>
        </xdr:cNvSpPr>
      </xdr:nvSpPr>
      <xdr:spPr bwMode="auto">
        <a:xfrm>
          <a:off x="3369945" y="11430"/>
          <a:ext cx="238887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8</xdr:col>
      <xdr:colOff>962035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B72D315-34E9-42EA-B16A-BEDC5F893AA1}"/>
            </a:ext>
          </a:extLst>
        </xdr:cNvPr>
        <xdr:cNvSpPr>
          <a:spLocks noChangeArrowheads="1"/>
        </xdr:cNvSpPr>
      </xdr:nvSpPr>
      <xdr:spPr bwMode="auto">
        <a:xfrm>
          <a:off x="5375910" y="0"/>
          <a:ext cx="354140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id="{C0E7338D-AA2D-4B7E-B3FE-3EB8E047A8BD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630E42D5-E1C8-46CA-B5E9-E8497297E95F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66800" cy="264968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201930</xdr:colOff>
      <xdr:row>0</xdr:row>
      <xdr:rowOff>0</xdr:rowOff>
    </xdr:from>
    <xdr:to>
      <xdr:col>8</xdr:col>
      <xdr:colOff>706755</xdr:colOff>
      <xdr:row>1</xdr:row>
      <xdr:rowOff>0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6B44C0F9-829D-4B25-92EA-0511C9A93882}"/>
            </a:ext>
          </a:extLst>
        </xdr:cNvPr>
        <xdr:cNvSpPr>
          <a:spLocks noChangeArrowheads="1"/>
        </xdr:cNvSpPr>
      </xdr:nvSpPr>
      <xdr:spPr bwMode="auto">
        <a:xfrm>
          <a:off x="513207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1278282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5125D00E-99ED-4397-A618-4F320F6BCC12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782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287655</xdr:colOff>
      <xdr:row>0</xdr:row>
      <xdr:rowOff>0</xdr:rowOff>
    </xdr:from>
    <xdr:to>
      <xdr:col>8</xdr:col>
      <xdr:colOff>800098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B0FBEBB4-71B1-4056-ADAE-AD7AEEA2D19E}"/>
            </a:ext>
          </a:extLst>
        </xdr:cNvPr>
        <xdr:cNvSpPr>
          <a:spLocks noChangeArrowheads="1"/>
        </xdr:cNvSpPr>
      </xdr:nvSpPr>
      <xdr:spPr bwMode="auto">
        <a:xfrm>
          <a:off x="5217795" y="0"/>
          <a:ext cx="3537583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1173495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B6457E90-E07E-4325-BF8A-DB1E76F3D87F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47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D626E1D7-E74D-4D11-BE23-0CE4CD2FB475}"/>
            </a:ext>
          </a:extLst>
        </xdr:cNvPr>
        <xdr:cNvSpPr>
          <a:spLocks noChangeArrowheads="1"/>
        </xdr:cNvSpPr>
      </xdr:nvSpPr>
      <xdr:spPr bwMode="auto">
        <a:xfrm>
          <a:off x="501586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4</xdr:col>
      <xdr:colOff>3827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70A25BA6-35BC-4423-BA94-8C3B3C28C71E}"/>
            </a:ext>
          </a:extLst>
        </xdr:cNvPr>
        <xdr:cNvSpPr>
          <a:spLocks noChangeArrowheads="1"/>
        </xdr:cNvSpPr>
      </xdr:nvSpPr>
      <xdr:spPr bwMode="auto">
        <a:xfrm>
          <a:off x="4246245" y="11430"/>
          <a:ext cx="870602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C63DCAC8-5FD9-490C-9F60-1A9234D9678B}"/>
            </a:ext>
          </a:extLst>
        </xdr:cNvPr>
        <xdr:cNvSpPr>
          <a:spLocks noChangeArrowheads="1"/>
        </xdr:cNvSpPr>
      </xdr:nvSpPr>
      <xdr:spPr bwMode="auto">
        <a:xfrm>
          <a:off x="5293995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1240183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FA2596E6-E8F4-4FFD-A7E3-4C9CA67529EF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40158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287655</xdr:colOff>
      <xdr:row>0</xdr:row>
      <xdr:rowOff>0</xdr:rowOff>
    </xdr:from>
    <xdr:to>
      <xdr:col>8</xdr:col>
      <xdr:colOff>800098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2B81C48-3AB8-4613-987C-67E78ABEA3A7}"/>
            </a:ext>
          </a:extLst>
        </xdr:cNvPr>
        <xdr:cNvSpPr>
          <a:spLocks noChangeArrowheads="1"/>
        </xdr:cNvSpPr>
      </xdr:nvSpPr>
      <xdr:spPr bwMode="auto">
        <a:xfrm>
          <a:off x="5217795" y="0"/>
          <a:ext cx="3537583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1173495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9090D0E8-5611-4E66-B904-FF9D81634771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47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163830</xdr:colOff>
      <xdr:row>0</xdr:row>
      <xdr:rowOff>0</xdr:rowOff>
    </xdr:from>
    <xdr:to>
      <xdr:col>8</xdr:col>
      <xdr:colOff>668655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0ABC859B-3DEA-47C3-9722-A2B7CDA12D05}"/>
            </a:ext>
          </a:extLst>
        </xdr:cNvPr>
        <xdr:cNvSpPr>
          <a:spLocks noChangeArrowheads="1"/>
        </xdr:cNvSpPr>
      </xdr:nvSpPr>
      <xdr:spPr bwMode="auto">
        <a:xfrm>
          <a:off x="5093970" y="0"/>
          <a:ext cx="3529965" cy="28194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A\Desktop\260707%20&#47084;&#45789;&#47017;%20&#49888;&#44508;&#44284;&#51228;\&#44204;&#51201;&#49436;\&#51116;&#44160;&#53664;\5.%20&#44204;&#51201;&#49436;%20(1).xls" TargetMode="External"/><Relationship Id="rId1" Type="http://schemas.openxmlformats.org/officeDocument/2006/relationships/externalLinkPath" Target="&#51116;&#44160;&#53664;/5.%20&#44204;&#51201;&#49436;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5. 견적서 (1)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4">
          <cell r="H24">
            <v>0</v>
          </cell>
        </row>
        <row r="30">
          <cell r="H30">
            <v>0</v>
          </cell>
        </row>
        <row r="47">
          <cell r="H47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9">
          <cell r="H69">
            <v>0</v>
          </cell>
        </row>
      </sheetData>
      <sheetData sheetId="12">
        <row r="24">
          <cell r="H24">
            <v>0</v>
          </cell>
        </row>
        <row r="30">
          <cell r="H30">
            <v>0</v>
          </cell>
        </row>
        <row r="47">
          <cell r="H47">
            <v>0</v>
          </cell>
        </row>
        <row r="55">
          <cell r="H55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9">
          <cell r="H69">
            <v>0</v>
          </cell>
        </row>
      </sheetData>
      <sheetData sheetId="13">
        <row r="24">
          <cell r="H24">
            <v>0</v>
          </cell>
        </row>
        <row r="30">
          <cell r="H30">
            <v>0</v>
          </cell>
        </row>
        <row r="47">
          <cell r="H47">
            <v>0</v>
          </cell>
        </row>
        <row r="55">
          <cell r="H55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9">
          <cell r="H69">
            <v>0</v>
          </cell>
        </row>
      </sheetData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3C64-944D-4F3B-ABB5-0E57ECA8A3D7}">
  <sheetPr>
    <pageSetUpPr fitToPage="1"/>
  </sheetPr>
  <dimension ref="B1:K44"/>
  <sheetViews>
    <sheetView tabSelected="1" topLeftCell="A12" zoomScale="90" zoomScaleNormal="90" zoomScaleSheetLayoutView="90" workbookViewId="0">
      <selection activeCell="K17" sqref="K17"/>
    </sheetView>
  </sheetViews>
  <sheetFormatPr defaultColWidth="9" defaultRowHeight="14.4"/>
  <cols>
    <col min="1" max="1" width="2" style="1" customWidth="1"/>
    <col min="2" max="2" width="4.8984375" style="1" customWidth="1"/>
    <col min="3" max="3" width="8.5" style="1" customWidth="1"/>
    <col min="4" max="4" width="14.69921875" style="1" customWidth="1"/>
    <col min="5" max="6" width="11.09765625" style="1" customWidth="1"/>
    <col min="7" max="7" width="14.09765625" style="1" customWidth="1"/>
    <col min="8" max="8" width="11.69921875" style="1" customWidth="1"/>
    <col min="9" max="9" width="8.69921875" style="1" customWidth="1"/>
    <col min="10" max="10" width="9" style="1"/>
    <col min="11" max="11" width="33.19921875" style="1" customWidth="1"/>
    <col min="12" max="256" width="9" style="1"/>
    <col min="257" max="257" width="2" style="1" customWidth="1"/>
    <col min="258" max="258" width="4.8984375" style="1" customWidth="1"/>
    <col min="259" max="259" width="8.5" style="1" customWidth="1"/>
    <col min="260" max="260" width="14.69921875" style="1" customWidth="1"/>
    <col min="261" max="262" width="11.09765625" style="1" customWidth="1"/>
    <col min="263" max="263" width="14.09765625" style="1" customWidth="1"/>
    <col min="264" max="264" width="11.69921875" style="1" customWidth="1"/>
    <col min="265" max="265" width="8.69921875" style="1" customWidth="1"/>
    <col min="266" max="266" width="9" style="1"/>
    <col min="267" max="267" width="33.19921875" style="1" customWidth="1"/>
    <col min="268" max="512" width="9" style="1"/>
    <col min="513" max="513" width="2" style="1" customWidth="1"/>
    <col min="514" max="514" width="4.8984375" style="1" customWidth="1"/>
    <col min="515" max="515" width="8.5" style="1" customWidth="1"/>
    <col min="516" max="516" width="14.69921875" style="1" customWidth="1"/>
    <col min="517" max="518" width="11.09765625" style="1" customWidth="1"/>
    <col min="519" max="519" width="14.09765625" style="1" customWidth="1"/>
    <col min="520" max="520" width="11.69921875" style="1" customWidth="1"/>
    <col min="521" max="521" width="8.69921875" style="1" customWidth="1"/>
    <col min="522" max="522" width="9" style="1"/>
    <col min="523" max="523" width="33.19921875" style="1" customWidth="1"/>
    <col min="524" max="768" width="9" style="1"/>
    <col min="769" max="769" width="2" style="1" customWidth="1"/>
    <col min="770" max="770" width="4.8984375" style="1" customWidth="1"/>
    <col min="771" max="771" width="8.5" style="1" customWidth="1"/>
    <col min="772" max="772" width="14.69921875" style="1" customWidth="1"/>
    <col min="773" max="774" width="11.09765625" style="1" customWidth="1"/>
    <col min="775" max="775" width="14.09765625" style="1" customWidth="1"/>
    <col min="776" max="776" width="11.69921875" style="1" customWidth="1"/>
    <col min="777" max="777" width="8.69921875" style="1" customWidth="1"/>
    <col min="778" max="778" width="9" style="1"/>
    <col min="779" max="779" width="33.19921875" style="1" customWidth="1"/>
    <col min="780" max="1024" width="9" style="1"/>
    <col min="1025" max="1025" width="2" style="1" customWidth="1"/>
    <col min="1026" max="1026" width="4.8984375" style="1" customWidth="1"/>
    <col min="1027" max="1027" width="8.5" style="1" customWidth="1"/>
    <col min="1028" max="1028" width="14.69921875" style="1" customWidth="1"/>
    <col min="1029" max="1030" width="11.09765625" style="1" customWidth="1"/>
    <col min="1031" max="1031" width="14.09765625" style="1" customWidth="1"/>
    <col min="1032" max="1032" width="11.69921875" style="1" customWidth="1"/>
    <col min="1033" max="1033" width="8.69921875" style="1" customWidth="1"/>
    <col min="1034" max="1034" width="9" style="1"/>
    <col min="1035" max="1035" width="33.19921875" style="1" customWidth="1"/>
    <col min="1036" max="1280" width="9" style="1"/>
    <col min="1281" max="1281" width="2" style="1" customWidth="1"/>
    <col min="1282" max="1282" width="4.8984375" style="1" customWidth="1"/>
    <col min="1283" max="1283" width="8.5" style="1" customWidth="1"/>
    <col min="1284" max="1284" width="14.69921875" style="1" customWidth="1"/>
    <col min="1285" max="1286" width="11.09765625" style="1" customWidth="1"/>
    <col min="1287" max="1287" width="14.09765625" style="1" customWidth="1"/>
    <col min="1288" max="1288" width="11.69921875" style="1" customWidth="1"/>
    <col min="1289" max="1289" width="8.69921875" style="1" customWidth="1"/>
    <col min="1290" max="1290" width="9" style="1"/>
    <col min="1291" max="1291" width="33.19921875" style="1" customWidth="1"/>
    <col min="1292" max="1536" width="9" style="1"/>
    <col min="1537" max="1537" width="2" style="1" customWidth="1"/>
    <col min="1538" max="1538" width="4.8984375" style="1" customWidth="1"/>
    <col min="1539" max="1539" width="8.5" style="1" customWidth="1"/>
    <col min="1540" max="1540" width="14.69921875" style="1" customWidth="1"/>
    <col min="1541" max="1542" width="11.09765625" style="1" customWidth="1"/>
    <col min="1543" max="1543" width="14.09765625" style="1" customWidth="1"/>
    <col min="1544" max="1544" width="11.69921875" style="1" customWidth="1"/>
    <col min="1545" max="1545" width="8.69921875" style="1" customWidth="1"/>
    <col min="1546" max="1546" width="9" style="1"/>
    <col min="1547" max="1547" width="33.19921875" style="1" customWidth="1"/>
    <col min="1548" max="1792" width="9" style="1"/>
    <col min="1793" max="1793" width="2" style="1" customWidth="1"/>
    <col min="1794" max="1794" width="4.8984375" style="1" customWidth="1"/>
    <col min="1795" max="1795" width="8.5" style="1" customWidth="1"/>
    <col min="1796" max="1796" width="14.69921875" style="1" customWidth="1"/>
    <col min="1797" max="1798" width="11.09765625" style="1" customWidth="1"/>
    <col min="1799" max="1799" width="14.09765625" style="1" customWidth="1"/>
    <col min="1800" max="1800" width="11.69921875" style="1" customWidth="1"/>
    <col min="1801" max="1801" width="8.69921875" style="1" customWidth="1"/>
    <col min="1802" max="1802" width="9" style="1"/>
    <col min="1803" max="1803" width="33.19921875" style="1" customWidth="1"/>
    <col min="1804" max="2048" width="9" style="1"/>
    <col min="2049" max="2049" width="2" style="1" customWidth="1"/>
    <col min="2050" max="2050" width="4.8984375" style="1" customWidth="1"/>
    <col min="2051" max="2051" width="8.5" style="1" customWidth="1"/>
    <col min="2052" max="2052" width="14.69921875" style="1" customWidth="1"/>
    <col min="2053" max="2054" width="11.09765625" style="1" customWidth="1"/>
    <col min="2055" max="2055" width="14.09765625" style="1" customWidth="1"/>
    <col min="2056" max="2056" width="11.69921875" style="1" customWidth="1"/>
    <col min="2057" max="2057" width="8.69921875" style="1" customWidth="1"/>
    <col min="2058" max="2058" width="9" style="1"/>
    <col min="2059" max="2059" width="33.19921875" style="1" customWidth="1"/>
    <col min="2060" max="2304" width="9" style="1"/>
    <col min="2305" max="2305" width="2" style="1" customWidth="1"/>
    <col min="2306" max="2306" width="4.8984375" style="1" customWidth="1"/>
    <col min="2307" max="2307" width="8.5" style="1" customWidth="1"/>
    <col min="2308" max="2308" width="14.69921875" style="1" customWidth="1"/>
    <col min="2309" max="2310" width="11.09765625" style="1" customWidth="1"/>
    <col min="2311" max="2311" width="14.09765625" style="1" customWidth="1"/>
    <col min="2312" max="2312" width="11.69921875" style="1" customWidth="1"/>
    <col min="2313" max="2313" width="8.69921875" style="1" customWidth="1"/>
    <col min="2314" max="2314" width="9" style="1"/>
    <col min="2315" max="2315" width="33.19921875" style="1" customWidth="1"/>
    <col min="2316" max="2560" width="9" style="1"/>
    <col min="2561" max="2561" width="2" style="1" customWidth="1"/>
    <col min="2562" max="2562" width="4.8984375" style="1" customWidth="1"/>
    <col min="2563" max="2563" width="8.5" style="1" customWidth="1"/>
    <col min="2564" max="2564" width="14.69921875" style="1" customWidth="1"/>
    <col min="2565" max="2566" width="11.09765625" style="1" customWidth="1"/>
    <col min="2567" max="2567" width="14.09765625" style="1" customWidth="1"/>
    <col min="2568" max="2568" width="11.69921875" style="1" customWidth="1"/>
    <col min="2569" max="2569" width="8.69921875" style="1" customWidth="1"/>
    <col min="2570" max="2570" width="9" style="1"/>
    <col min="2571" max="2571" width="33.19921875" style="1" customWidth="1"/>
    <col min="2572" max="2816" width="9" style="1"/>
    <col min="2817" max="2817" width="2" style="1" customWidth="1"/>
    <col min="2818" max="2818" width="4.8984375" style="1" customWidth="1"/>
    <col min="2819" max="2819" width="8.5" style="1" customWidth="1"/>
    <col min="2820" max="2820" width="14.69921875" style="1" customWidth="1"/>
    <col min="2821" max="2822" width="11.09765625" style="1" customWidth="1"/>
    <col min="2823" max="2823" width="14.09765625" style="1" customWidth="1"/>
    <col min="2824" max="2824" width="11.69921875" style="1" customWidth="1"/>
    <col min="2825" max="2825" width="8.69921875" style="1" customWidth="1"/>
    <col min="2826" max="2826" width="9" style="1"/>
    <col min="2827" max="2827" width="33.19921875" style="1" customWidth="1"/>
    <col min="2828" max="3072" width="9" style="1"/>
    <col min="3073" max="3073" width="2" style="1" customWidth="1"/>
    <col min="3074" max="3074" width="4.8984375" style="1" customWidth="1"/>
    <col min="3075" max="3075" width="8.5" style="1" customWidth="1"/>
    <col min="3076" max="3076" width="14.69921875" style="1" customWidth="1"/>
    <col min="3077" max="3078" width="11.09765625" style="1" customWidth="1"/>
    <col min="3079" max="3079" width="14.09765625" style="1" customWidth="1"/>
    <col min="3080" max="3080" width="11.69921875" style="1" customWidth="1"/>
    <col min="3081" max="3081" width="8.69921875" style="1" customWidth="1"/>
    <col min="3082" max="3082" width="9" style="1"/>
    <col min="3083" max="3083" width="33.19921875" style="1" customWidth="1"/>
    <col min="3084" max="3328" width="9" style="1"/>
    <col min="3329" max="3329" width="2" style="1" customWidth="1"/>
    <col min="3330" max="3330" width="4.8984375" style="1" customWidth="1"/>
    <col min="3331" max="3331" width="8.5" style="1" customWidth="1"/>
    <col min="3332" max="3332" width="14.69921875" style="1" customWidth="1"/>
    <col min="3333" max="3334" width="11.09765625" style="1" customWidth="1"/>
    <col min="3335" max="3335" width="14.09765625" style="1" customWidth="1"/>
    <col min="3336" max="3336" width="11.69921875" style="1" customWidth="1"/>
    <col min="3337" max="3337" width="8.69921875" style="1" customWidth="1"/>
    <col min="3338" max="3338" width="9" style="1"/>
    <col min="3339" max="3339" width="33.19921875" style="1" customWidth="1"/>
    <col min="3340" max="3584" width="9" style="1"/>
    <col min="3585" max="3585" width="2" style="1" customWidth="1"/>
    <col min="3586" max="3586" width="4.8984375" style="1" customWidth="1"/>
    <col min="3587" max="3587" width="8.5" style="1" customWidth="1"/>
    <col min="3588" max="3588" width="14.69921875" style="1" customWidth="1"/>
    <col min="3589" max="3590" width="11.09765625" style="1" customWidth="1"/>
    <col min="3591" max="3591" width="14.09765625" style="1" customWidth="1"/>
    <col min="3592" max="3592" width="11.69921875" style="1" customWidth="1"/>
    <col min="3593" max="3593" width="8.69921875" style="1" customWidth="1"/>
    <col min="3594" max="3594" width="9" style="1"/>
    <col min="3595" max="3595" width="33.19921875" style="1" customWidth="1"/>
    <col min="3596" max="3840" width="9" style="1"/>
    <col min="3841" max="3841" width="2" style="1" customWidth="1"/>
    <col min="3842" max="3842" width="4.8984375" style="1" customWidth="1"/>
    <col min="3843" max="3843" width="8.5" style="1" customWidth="1"/>
    <col min="3844" max="3844" width="14.69921875" style="1" customWidth="1"/>
    <col min="3845" max="3846" width="11.09765625" style="1" customWidth="1"/>
    <col min="3847" max="3847" width="14.09765625" style="1" customWidth="1"/>
    <col min="3848" max="3848" width="11.69921875" style="1" customWidth="1"/>
    <col min="3849" max="3849" width="8.69921875" style="1" customWidth="1"/>
    <col min="3850" max="3850" width="9" style="1"/>
    <col min="3851" max="3851" width="33.19921875" style="1" customWidth="1"/>
    <col min="3852" max="4096" width="9" style="1"/>
    <col min="4097" max="4097" width="2" style="1" customWidth="1"/>
    <col min="4098" max="4098" width="4.8984375" style="1" customWidth="1"/>
    <col min="4099" max="4099" width="8.5" style="1" customWidth="1"/>
    <col min="4100" max="4100" width="14.69921875" style="1" customWidth="1"/>
    <col min="4101" max="4102" width="11.09765625" style="1" customWidth="1"/>
    <col min="4103" max="4103" width="14.09765625" style="1" customWidth="1"/>
    <col min="4104" max="4104" width="11.69921875" style="1" customWidth="1"/>
    <col min="4105" max="4105" width="8.69921875" style="1" customWidth="1"/>
    <col min="4106" max="4106" width="9" style="1"/>
    <col min="4107" max="4107" width="33.19921875" style="1" customWidth="1"/>
    <col min="4108" max="4352" width="9" style="1"/>
    <col min="4353" max="4353" width="2" style="1" customWidth="1"/>
    <col min="4354" max="4354" width="4.8984375" style="1" customWidth="1"/>
    <col min="4355" max="4355" width="8.5" style="1" customWidth="1"/>
    <col min="4356" max="4356" width="14.69921875" style="1" customWidth="1"/>
    <col min="4357" max="4358" width="11.09765625" style="1" customWidth="1"/>
    <col min="4359" max="4359" width="14.09765625" style="1" customWidth="1"/>
    <col min="4360" max="4360" width="11.69921875" style="1" customWidth="1"/>
    <col min="4361" max="4361" width="8.69921875" style="1" customWidth="1"/>
    <col min="4362" max="4362" width="9" style="1"/>
    <col min="4363" max="4363" width="33.19921875" style="1" customWidth="1"/>
    <col min="4364" max="4608" width="9" style="1"/>
    <col min="4609" max="4609" width="2" style="1" customWidth="1"/>
    <col min="4610" max="4610" width="4.8984375" style="1" customWidth="1"/>
    <col min="4611" max="4611" width="8.5" style="1" customWidth="1"/>
    <col min="4612" max="4612" width="14.69921875" style="1" customWidth="1"/>
    <col min="4613" max="4614" width="11.09765625" style="1" customWidth="1"/>
    <col min="4615" max="4615" width="14.09765625" style="1" customWidth="1"/>
    <col min="4616" max="4616" width="11.69921875" style="1" customWidth="1"/>
    <col min="4617" max="4617" width="8.69921875" style="1" customWidth="1"/>
    <col min="4618" max="4618" width="9" style="1"/>
    <col min="4619" max="4619" width="33.19921875" style="1" customWidth="1"/>
    <col min="4620" max="4864" width="9" style="1"/>
    <col min="4865" max="4865" width="2" style="1" customWidth="1"/>
    <col min="4866" max="4866" width="4.8984375" style="1" customWidth="1"/>
    <col min="4867" max="4867" width="8.5" style="1" customWidth="1"/>
    <col min="4868" max="4868" width="14.69921875" style="1" customWidth="1"/>
    <col min="4869" max="4870" width="11.09765625" style="1" customWidth="1"/>
    <col min="4871" max="4871" width="14.09765625" style="1" customWidth="1"/>
    <col min="4872" max="4872" width="11.69921875" style="1" customWidth="1"/>
    <col min="4873" max="4873" width="8.69921875" style="1" customWidth="1"/>
    <col min="4874" max="4874" width="9" style="1"/>
    <col min="4875" max="4875" width="33.19921875" style="1" customWidth="1"/>
    <col min="4876" max="5120" width="9" style="1"/>
    <col min="5121" max="5121" width="2" style="1" customWidth="1"/>
    <col min="5122" max="5122" width="4.8984375" style="1" customWidth="1"/>
    <col min="5123" max="5123" width="8.5" style="1" customWidth="1"/>
    <col min="5124" max="5124" width="14.69921875" style="1" customWidth="1"/>
    <col min="5125" max="5126" width="11.09765625" style="1" customWidth="1"/>
    <col min="5127" max="5127" width="14.09765625" style="1" customWidth="1"/>
    <col min="5128" max="5128" width="11.69921875" style="1" customWidth="1"/>
    <col min="5129" max="5129" width="8.69921875" style="1" customWidth="1"/>
    <col min="5130" max="5130" width="9" style="1"/>
    <col min="5131" max="5131" width="33.19921875" style="1" customWidth="1"/>
    <col min="5132" max="5376" width="9" style="1"/>
    <col min="5377" max="5377" width="2" style="1" customWidth="1"/>
    <col min="5378" max="5378" width="4.8984375" style="1" customWidth="1"/>
    <col min="5379" max="5379" width="8.5" style="1" customWidth="1"/>
    <col min="5380" max="5380" width="14.69921875" style="1" customWidth="1"/>
    <col min="5381" max="5382" width="11.09765625" style="1" customWidth="1"/>
    <col min="5383" max="5383" width="14.09765625" style="1" customWidth="1"/>
    <col min="5384" max="5384" width="11.69921875" style="1" customWidth="1"/>
    <col min="5385" max="5385" width="8.69921875" style="1" customWidth="1"/>
    <col min="5386" max="5386" width="9" style="1"/>
    <col min="5387" max="5387" width="33.19921875" style="1" customWidth="1"/>
    <col min="5388" max="5632" width="9" style="1"/>
    <col min="5633" max="5633" width="2" style="1" customWidth="1"/>
    <col min="5634" max="5634" width="4.8984375" style="1" customWidth="1"/>
    <col min="5635" max="5635" width="8.5" style="1" customWidth="1"/>
    <col min="5636" max="5636" width="14.69921875" style="1" customWidth="1"/>
    <col min="5637" max="5638" width="11.09765625" style="1" customWidth="1"/>
    <col min="5639" max="5639" width="14.09765625" style="1" customWidth="1"/>
    <col min="5640" max="5640" width="11.69921875" style="1" customWidth="1"/>
    <col min="5641" max="5641" width="8.69921875" style="1" customWidth="1"/>
    <col min="5642" max="5642" width="9" style="1"/>
    <col min="5643" max="5643" width="33.19921875" style="1" customWidth="1"/>
    <col min="5644" max="5888" width="9" style="1"/>
    <col min="5889" max="5889" width="2" style="1" customWidth="1"/>
    <col min="5890" max="5890" width="4.8984375" style="1" customWidth="1"/>
    <col min="5891" max="5891" width="8.5" style="1" customWidth="1"/>
    <col min="5892" max="5892" width="14.69921875" style="1" customWidth="1"/>
    <col min="5893" max="5894" width="11.09765625" style="1" customWidth="1"/>
    <col min="5895" max="5895" width="14.09765625" style="1" customWidth="1"/>
    <col min="5896" max="5896" width="11.69921875" style="1" customWidth="1"/>
    <col min="5897" max="5897" width="8.69921875" style="1" customWidth="1"/>
    <col min="5898" max="5898" width="9" style="1"/>
    <col min="5899" max="5899" width="33.19921875" style="1" customWidth="1"/>
    <col min="5900" max="6144" width="9" style="1"/>
    <col min="6145" max="6145" width="2" style="1" customWidth="1"/>
    <col min="6146" max="6146" width="4.8984375" style="1" customWidth="1"/>
    <col min="6147" max="6147" width="8.5" style="1" customWidth="1"/>
    <col min="6148" max="6148" width="14.69921875" style="1" customWidth="1"/>
    <col min="6149" max="6150" width="11.09765625" style="1" customWidth="1"/>
    <col min="6151" max="6151" width="14.09765625" style="1" customWidth="1"/>
    <col min="6152" max="6152" width="11.69921875" style="1" customWidth="1"/>
    <col min="6153" max="6153" width="8.69921875" style="1" customWidth="1"/>
    <col min="6154" max="6154" width="9" style="1"/>
    <col min="6155" max="6155" width="33.19921875" style="1" customWidth="1"/>
    <col min="6156" max="6400" width="9" style="1"/>
    <col min="6401" max="6401" width="2" style="1" customWidth="1"/>
    <col min="6402" max="6402" width="4.8984375" style="1" customWidth="1"/>
    <col min="6403" max="6403" width="8.5" style="1" customWidth="1"/>
    <col min="6404" max="6404" width="14.69921875" style="1" customWidth="1"/>
    <col min="6405" max="6406" width="11.09765625" style="1" customWidth="1"/>
    <col min="6407" max="6407" width="14.09765625" style="1" customWidth="1"/>
    <col min="6408" max="6408" width="11.69921875" style="1" customWidth="1"/>
    <col min="6409" max="6409" width="8.69921875" style="1" customWidth="1"/>
    <col min="6410" max="6410" width="9" style="1"/>
    <col min="6411" max="6411" width="33.19921875" style="1" customWidth="1"/>
    <col min="6412" max="6656" width="9" style="1"/>
    <col min="6657" max="6657" width="2" style="1" customWidth="1"/>
    <col min="6658" max="6658" width="4.8984375" style="1" customWidth="1"/>
    <col min="6659" max="6659" width="8.5" style="1" customWidth="1"/>
    <col min="6660" max="6660" width="14.69921875" style="1" customWidth="1"/>
    <col min="6661" max="6662" width="11.09765625" style="1" customWidth="1"/>
    <col min="6663" max="6663" width="14.09765625" style="1" customWidth="1"/>
    <col min="6664" max="6664" width="11.69921875" style="1" customWidth="1"/>
    <col min="6665" max="6665" width="8.69921875" style="1" customWidth="1"/>
    <col min="6666" max="6666" width="9" style="1"/>
    <col min="6667" max="6667" width="33.19921875" style="1" customWidth="1"/>
    <col min="6668" max="6912" width="9" style="1"/>
    <col min="6913" max="6913" width="2" style="1" customWidth="1"/>
    <col min="6914" max="6914" width="4.8984375" style="1" customWidth="1"/>
    <col min="6915" max="6915" width="8.5" style="1" customWidth="1"/>
    <col min="6916" max="6916" width="14.69921875" style="1" customWidth="1"/>
    <col min="6917" max="6918" width="11.09765625" style="1" customWidth="1"/>
    <col min="6919" max="6919" width="14.09765625" style="1" customWidth="1"/>
    <col min="6920" max="6920" width="11.69921875" style="1" customWidth="1"/>
    <col min="6921" max="6921" width="8.69921875" style="1" customWidth="1"/>
    <col min="6922" max="6922" width="9" style="1"/>
    <col min="6923" max="6923" width="33.19921875" style="1" customWidth="1"/>
    <col min="6924" max="7168" width="9" style="1"/>
    <col min="7169" max="7169" width="2" style="1" customWidth="1"/>
    <col min="7170" max="7170" width="4.8984375" style="1" customWidth="1"/>
    <col min="7171" max="7171" width="8.5" style="1" customWidth="1"/>
    <col min="7172" max="7172" width="14.69921875" style="1" customWidth="1"/>
    <col min="7173" max="7174" width="11.09765625" style="1" customWidth="1"/>
    <col min="7175" max="7175" width="14.09765625" style="1" customWidth="1"/>
    <col min="7176" max="7176" width="11.69921875" style="1" customWidth="1"/>
    <col min="7177" max="7177" width="8.69921875" style="1" customWidth="1"/>
    <col min="7178" max="7178" width="9" style="1"/>
    <col min="7179" max="7179" width="33.19921875" style="1" customWidth="1"/>
    <col min="7180" max="7424" width="9" style="1"/>
    <col min="7425" max="7425" width="2" style="1" customWidth="1"/>
    <col min="7426" max="7426" width="4.8984375" style="1" customWidth="1"/>
    <col min="7427" max="7427" width="8.5" style="1" customWidth="1"/>
    <col min="7428" max="7428" width="14.69921875" style="1" customWidth="1"/>
    <col min="7429" max="7430" width="11.09765625" style="1" customWidth="1"/>
    <col min="7431" max="7431" width="14.09765625" style="1" customWidth="1"/>
    <col min="7432" max="7432" width="11.69921875" style="1" customWidth="1"/>
    <col min="7433" max="7433" width="8.69921875" style="1" customWidth="1"/>
    <col min="7434" max="7434" width="9" style="1"/>
    <col min="7435" max="7435" width="33.19921875" style="1" customWidth="1"/>
    <col min="7436" max="7680" width="9" style="1"/>
    <col min="7681" max="7681" width="2" style="1" customWidth="1"/>
    <col min="7682" max="7682" width="4.8984375" style="1" customWidth="1"/>
    <col min="7683" max="7683" width="8.5" style="1" customWidth="1"/>
    <col min="7684" max="7684" width="14.69921875" style="1" customWidth="1"/>
    <col min="7685" max="7686" width="11.09765625" style="1" customWidth="1"/>
    <col min="7687" max="7687" width="14.09765625" style="1" customWidth="1"/>
    <col min="7688" max="7688" width="11.69921875" style="1" customWidth="1"/>
    <col min="7689" max="7689" width="8.69921875" style="1" customWidth="1"/>
    <col min="7690" max="7690" width="9" style="1"/>
    <col min="7691" max="7691" width="33.19921875" style="1" customWidth="1"/>
    <col min="7692" max="7936" width="9" style="1"/>
    <col min="7937" max="7937" width="2" style="1" customWidth="1"/>
    <col min="7938" max="7938" width="4.8984375" style="1" customWidth="1"/>
    <col min="7939" max="7939" width="8.5" style="1" customWidth="1"/>
    <col min="7940" max="7940" width="14.69921875" style="1" customWidth="1"/>
    <col min="7941" max="7942" width="11.09765625" style="1" customWidth="1"/>
    <col min="7943" max="7943" width="14.09765625" style="1" customWidth="1"/>
    <col min="7944" max="7944" width="11.69921875" style="1" customWidth="1"/>
    <col min="7945" max="7945" width="8.69921875" style="1" customWidth="1"/>
    <col min="7946" max="7946" width="9" style="1"/>
    <col min="7947" max="7947" width="33.19921875" style="1" customWidth="1"/>
    <col min="7948" max="8192" width="9" style="1"/>
    <col min="8193" max="8193" width="2" style="1" customWidth="1"/>
    <col min="8194" max="8194" width="4.8984375" style="1" customWidth="1"/>
    <col min="8195" max="8195" width="8.5" style="1" customWidth="1"/>
    <col min="8196" max="8196" width="14.69921875" style="1" customWidth="1"/>
    <col min="8197" max="8198" width="11.09765625" style="1" customWidth="1"/>
    <col min="8199" max="8199" width="14.09765625" style="1" customWidth="1"/>
    <col min="8200" max="8200" width="11.69921875" style="1" customWidth="1"/>
    <col min="8201" max="8201" width="8.69921875" style="1" customWidth="1"/>
    <col min="8202" max="8202" width="9" style="1"/>
    <col min="8203" max="8203" width="33.19921875" style="1" customWidth="1"/>
    <col min="8204" max="8448" width="9" style="1"/>
    <col min="8449" max="8449" width="2" style="1" customWidth="1"/>
    <col min="8450" max="8450" width="4.8984375" style="1" customWidth="1"/>
    <col min="8451" max="8451" width="8.5" style="1" customWidth="1"/>
    <col min="8452" max="8452" width="14.69921875" style="1" customWidth="1"/>
    <col min="8453" max="8454" width="11.09765625" style="1" customWidth="1"/>
    <col min="8455" max="8455" width="14.09765625" style="1" customWidth="1"/>
    <col min="8456" max="8456" width="11.69921875" style="1" customWidth="1"/>
    <col min="8457" max="8457" width="8.69921875" style="1" customWidth="1"/>
    <col min="8458" max="8458" width="9" style="1"/>
    <col min="8459" max="8459" width="33.19921875" style="1" customWidth="1"/>
    <col min="8460" max="8704" width="9" style="1"/>
    <col min="8705" max="8705" width="2" style="1" customWidth="1"/>
    <col min="8706" max="8706" width="4.8984375" style="1" customWidth="1"/>
    <col min="8707" max="8707" width="8.5" style="1" customWidth="1"/>
    <col min="8708" max="8708" width="14.69921875" style="1" customWidth="1"/>
    <col min="8709" max="8710" width="11.09765625" style="1" customWidth="1"/>
    <col min="8711" max="8711" width="14.09765625" style="1" customWidth="1"/>
    <col min="8712" max="8712" width="11.69921875" style="1" customWidth="1"/>
    <col min="8713" max="8713" width="8.69921875" style="1" customWidth="1"/>
    <col min="8714" max="8714" width="9" style="1"/>
    <col min="8715" max="8715" width="33.19921875" style="1" customWidth="1"/>
    <col min="8716" max="8960" width="9" style="1"/>
    <col min="8961" max="8961" width="2" style="1" customWidth="1"/>
    <col min="8962" max="8962" width="4.8984375" style="1" customWidth="1"/>
    <col min="8963" max="8963" width="8.5" style="1" customWidth="1"/>
    <col min="8964" max="8964" width="14.69921875" style="1" customWidth="1"/>
    <col min="8965" max="8966" width="11.09765625" style="1" customWidth="1"/>
    <col min="8967" max="8967" width="14.09765625" style="1" customWidth="1"/>
    <col min="8968" max="8968" width="11.69921875" style="1" customWidth="1"/>
    <col min="8969" max="8969" width="8.69921875" style="1" customWidth="1"/>
    <col min="8970" max="8970" width="9" style="1"/>
    <col min="8971" max="8971" width="33.19921875" style="1" customWidth="1"/>
    <col min="8972" max="9216" width="9" style="1"/>
    <col min="9217" max="9217" width="2" style="1" customWidth="1"/>
    <col min="9218" max="9218" width="4.8984375" style="1" customWidth="1"/>
    <col min="9219" max="9219" width="8.5" style="1" customWidth="1"/>
    <col min="9220" max="9220" width="14.69921875" style="1" customWidth="1"/>
    <col min="9221" max="9222" width="11.09765625" style="1" customWidth="1"/>
    <col min="9223" max="9223" width="14.09765625" style="1" customWidth="1"/>
    <col min="9224" max="9224" width="11.69921875" style="1" customWidth="1"/>
    <col min="9225" max="9225" width="8.69921875" style="1" customWidth="1"/>
    <col min="9226" max="9226" width="9" style="1"/>
    <col min="9227" max="9227" width="33.19921875" style="1" customWidth="1"/>
    <col min="9228" max="9472" width="9" style="1"/>
    <col min="9473" max="9473" width="2" style="1" customWidth="1"/>
    <col min="9474" max="9474" width="4.8984375" style="1" customWidth="1"/>
    <col min="9475" max="9475" width="8.5" style="1" customWidth="1"/>
    <col min="9476" max="9476" width="14.69921875" style="1" customWidth="1"/>
    <col min="9477" max="9478" width="11.09765625" style="1" customWidth="1"/>
    <col min="9479" max="9479" width="14.09765625" style="1" customWidth="1"/>
    <col min="9480" max="9480" width="11.69921875" style="1" customWidth="1"/>
    <col min="9481" max="9481" width="8.69921875" style="1" customWidth="1"/>
    <col min="9482" max="9482" width="9" style="1"/>
    <col min="9483" max="9483" width="33.19921875" style="1" customWidth="1"/>
    <col min="9484" max="9728" width="9" style="1"/>
    <col min="9729" max="9729" width="2" style="1" customWidth="1"/>
    <col min="9730" max="9730" width="4.8984375" style="1" customWidth="1"/>
    <col min="9731" max="9731" width="8.5" style="1" customWidth="1"/>
    <col min="9732" max="9732" width="14.69921875" style="1" customWidth="1"/>
    <col min="9733" max="9734" width="11.09765625" style="1" customWidth="1"/>
    <col min="9735" max="9735" width="14.09765625" style="1" customWidth="1"/>
    <col min="9736" max="9736" width="11.69921875" style="1" customWidth="1"/>
    <col min="9737" max="9737" width="8.69921875" style="1" customWidth="1"/>
    <col min="9738" max="9738" width="9" style="1"/>
    <col min="9739" max="9739" width="33.19921875" style="1" customWidth="1"/>
    <col min="9740" max="9984" width="9" style="1"/>
    <col min="9985" max="9985" width="2" style="1" customWidth="1"/>
    <col min="9986" max="9986" width="4.8984375" style="1" customWidth="1"/>
    <col min="9987" max="9987" width="8.5" style="1" customWidth="1"/>
    <col min="9988" max="9988" width="14.69921875" style="1" customWidth="1"/>
    <col min="9989" max="9990" width="11.09765625" style="1" customWidth="1"/>
    <col min="9991" max="9991" width="14.09765625" style="1" customWidth="1"/>
    <col min="9992" max="9992" width="11.69921875" style="1" customWidth="1"/>
    <col min="9993" max="9993" width="8.69921875" style="1" customWidth="1"/>
    <col min="9994" max="9994" width="9" style="1"/>
    <col min="9995" max="9995" width="33.19921875" style="1" customWidth="1"/>
    <col min="9996" max="10240" width="9" style="1"/>
    <col min="10241" max="10241" width="2" style="1" customWidth="1"/>
    <col min="10242" max="10242" width="4.8984375" style="1" customWidth="1"/>
    <col min="10243" max="10243" width="8.5" style="1" customWidth="1"/>
    <col min="10244" max="10244" width="14.69921875" style="1" customWidth="1"/>
    <col min="10245" max="10246" width="11.09765625" style="1" customWidth="1"/>
    <col min="10247" max="10247" width="14.09765625" style="1" customWidth="1"/>
    <col min="10248" max="10248" width="11.69921875" style="1" customWidth="1"/>
    <col min="10249" max="10249" width="8.69921875" style="1" customWidth="1"/>
    <col min="10250" max="10250" width="9" style="1"/>
    <col min="10251" max="10251" width="33.19921875" style="1" customWidth="1"/>
    <col min="10252" max="10496" width="9" style="1"/>
    <col min="10497" max="10497" width="2" style="1" customWidth="1"/>
    <col min="10498" max="10498" width="4.8984375" style="1" customWidth="1"/>
    <col min="10499" max="10499" width="8.5" style="1" customWidth="1"/>
    <col min="10500" max="10500" width="14.69921875" style="1" customWidth="1"/>
    <col min="10501" max="10502" width="11.09765625" style="1" customWidth="1"/>
    <col min="10503" max="10503" width="14.09765625" style="1" customWidth="1"/>
    <col min="10504" max="10504" width="11.69921875" style="1" customWidth="1"/>
    <col min="10505" max="10505" width="8.69921875" style="1" customWidth="1"/>
    <col min="10506" max="10506" width="9" style="1"/>
    <col min="10507" max="10507" width="33.19921875" style="1" customWidth="1"/>
    <col min="10508" max="10752" width="9" style="1"/>
    <col min="10753" max="10753" width="2" style="1" customWidth="1"/>
    <col min="10754" max="10754" width="4.8984375" style="1" customWidth="1"/>
    <col min="10755" max="10755" width="8.5" style="1" customWidth="1"/>
    <col min="10756" max="10756" width="14.69921875" style="1" customWidth="1"/>
    <col min="10757" max="10758" width="11.09765625" style="1" customWidth="1"/>
    <col min="10759" max="10759" width="14.09765625" style="1" customWidth="1"/>
    <col min="10760" max="10760" width="11.69921875" style="1" customWidth="1"/>
    <col min="10761" max="10761" width="8.69921875" style="1" customWidth="1"/>
    <col min="10762" max="10762" width="9" style="1"/>
    <col min="10763" max="10763" width="33.19921875" style="1" customWidth="1"/>
    <col min="10764" max="11008" width="9" style="1"/>
    <col min="11009" max="11009" width="2" style="1" customWidth="1"/>
    <col min="11010" max="11010" width="4.8984375" style="1" customWidth="1"/>
    <col min="11011" max="11011" width="8.5" style="1" customWidth="1"/>
    <col min="11012" max="11012" width="14.69921875" style="1" customWidth="1"/>
    <col min="11013" max="11014" width="11.09765625" style="1" customWidth="1"/>
    <col min="11015" max="11015" width="14.09765625" style="1" customWidth="1"/>
    <col min="11016" max="11016" width="11.69921875" style="1" customWidth="1"/>
    <col min="11017" max="11017" width="8.69921875" style="1" customWidth="1"/>
    <col min="11018" max="11018" width="9" style="1"/>
    <col min="11019" max="11019" width="33.19921875" style="1" customWidth="1"/>
    <col min="11020" max="11264" width="9" style="1"/>
    <col min="11265" max="11265" width="2" style="1" customWidth="1"/>
    <col min="11266" max="11266" width="4.8984375" style="1" customWidth="1"/>
    <col min="11267" max="11267" width="8.5" style="1" customWidth="1"/>
    <col min="11268" max="11268" width="14.69921875" style="1" customWidth="1"/>
    <col min="11269" max="11270" width="11.09765625" style="1" customWidth="1"/>
    <col min="11271" max="11271" width="14.09765625" style="1" customWidth="1"/>
    <col min="11272" max="11272" width="11.69921875" style="1" customWidth="1"/>
    <col min="11273" max="11273" width="8.69921875" style="1" customWidth="1"/>
    <col min="11274" max="11274" width="9" style="1"/>
    <col min="11275" max="11275" width="33.19921875" style="1" customWidth="1"/>
    <col min="11276" max="11520" width="9" style="1"/>
    <col min="11521" max="11521" width="2" style="1" customWidth="1"/>
    <col min="11522" max="11522" width="4.8984375" style="1" customWidth="1"/>
    <col min="11523" max="11523" width="8.5" style="1" customWidth="1"/>
    <col min="11524" max="11524" width="14.69921875" style="1" customWidth="1"/>
    <col min="11525" max="11526" width="11.09765625" style="1" customWidth="1"/>
    <col min="11527" max="11527" width="14.09765625" style="1" customWidth="1"/>
    <col min="11528" max="11528" width="11.69921875" style="1" customWidth="1"/>
    <col min="11529" max="11529" width="8.69921875" style="1" customWidth="1"/>
    <col min="11530" max="11530" width="9" style="1"/>
    <col min="11531" max="11531" width="33.19921875" style="1" customWidth="1"/>
    <col min="11532" max="11776" width="9" style="1"/>
    <col min="11777" max="11777" width="2" style="1" customWidth="1"/>
    <col min="11778" max="11778" width="4.8984375" style="1" customWidth="1"/>
    <col min="11779" max="11779" width="8.5" style="1" customWidth="1"/>
    <col min="11780" max="11780" width="14.69921875" style="1" customWidth="1"/>
    <col min="11781" max="11782" width="11.09765625" style="1" customWidth="1"/>
    <col min="11783" max="11783" width="14.09765625" style="1" customWidth="1"/>
    <col min="11784" max="11784" width="11.69921875" style="1" customWidth="1"/>
    <col min="11785" max="11785" width="8.69921875" style="1" customWidth="1"/>
    <col min="11786" max="11786" width="9" style="1"/>
    <col min="11787" max="11787" width="33.19921875" style="1" customWidth="1"/>
    <col min="11788" max="12032" width="9" style="1"/>
    <col min="12033" max="12033" width="2" style="1" customWidth="1"/>
    <col min="12034" max="12034" width="4.8984375" style="1" customWidth="1"/>
    <col min="12035" max="12035" width="8.5" style="1" customWidth="1"/>
    <col min="12036" max="12036" width="14.69921875" style="1" customWidth="1"/>
    <col min="12037" max="12038" width="11.09765625" style="1" customWidth="1"/>
    <col min="12039" max="12039" width="14.09765625" style="1" customWidth="1"/>
    <col min="12040" max="12040" width="11.69921875" style="1" customWidth="1"/>
    <col min="12041" max="12041" width="8.69921875" style="1" customWidth="1"/>
    <col min="12042" max="12042" width="9" style="1"/>
    <col min="12043" max="12043" width="33.19921875" style="1" customWidth="1"/>
    <col min="12044" max="12288" width="9" style="1"/>
    <col min="12289" max="12289" width="2" style="1" customWidth="1"/>
    <col min="12290" max="12290" width="4.8984375" style="1" customWidth="1"/>
    <col min="12291" max="12291" width="8.5" style="1" customWidth="1"/>
    <col min="12292" max="12292" width="14.69921875" style="1" customWidth="1"/>
    <col min="12293" max="12294" width="11.09765625" style="1" customWidth="1"/>
    <col min="12295" max="12295" width="14.09765625" style="1" customWidth="1"/>
    <col min="12296" max="12296" width="11.69921875" style="1" customWidth="1"/>
    <col min="12297" max="12297" width="8.69921875" style="1" customWidth="1"/>
    <col min="12298" max="12298" width="9" style="1"/>
    <col min="12299" max="12299" width="33.19921875" style="1" customWidth="1"/>
    <col min="12300" max="12544" width="9" style="1"/>
    <col min="12545" max="12545" width="2" style="1" customWidth="1"/>
    <col min="12546" max="12546" width="4.8984375" style="1" customWidth="1"/>
    <col min="12547" max="12547" width="8.5" style="1" customWidth="1"/>
    <col min="12548" max="12548" width="14.69921875" style="1" customWidth="1"/>
    <col min="12549" max="12550" width="11.09765625" style="1" customWidth="1"/>
    <col min="12551" max="12551" width="14.09765625" style="1" customWidth="1"/>
    <col min="12552" max="12552" width="11.69921875" style="1" customWidth="1"/>
    <col min="12553" max="12553" width="8.69921875" style="1" customWidth="1"/>
    <col min="12554" max="12554" width="9" style="1"/>
    <col min="12555" max="12555" width="33.19921875" style="1" customWidth="1"/>
    <col min="12556" max="12800" width="9" style="1"/>
    <col min="12801" max="12801" width="2" style="1" customWidth="1"/>
    <col min="12802" max="12802" width="4.8984375" style="1" customWidth="1"/>
    <col min="12803" max="12803" width="8.5" style="1" customWidth="1"/>
    <col min="12804" max="12804" width="14.69921875" style="1" customWidth="1"/>
    <col min="12805" max="12806" width="11.09765625" style="1" customWidth="1"/>
    <col min="12807" max="12807" width="14.09765625" style="1" customWidth="1"/>
    <col min="12808" max="12808" width="11.69921875" style="1" customWidth="1"/>
    <col min="12809" max="12809" width="8.69921875" style="1" customWidth="1"/>
    <col min="12810" max="12810" width="9" style="1"/>
    <col min="12811" max="12811" width="33.19921875" style="1" customWidth="1"/>
    <col min="12812" max="13056" width="9" style="1"/>
    <col min="13057" max="13057" width="2" style="1" customWidth="1"/>
    <col min="13058" max="13058" width="4.8984375" style="1" customWidth="1"/>
    <col min="13059" max="13059" width="8.5" style="1" customWidth="1"/>
    <col min="13060" max="13060" width="14.69921875" style="1" customWidth="1"/>
    <col min="13061" max="13062" width="11.09765625" style="1" customWidth="1"/>
    <col min="13063" max="13063" width="14.09765625" style="1" customWidth="1"/>
    <col min="13064" max="13064" width="11.69921875" style="1" customWidth="1"/>
    <col min="13065" max="13065" width="8.69921875" style="1" customWidth="1"/>
    <col min="13066" max="13066" width="9" style="1"/>
    <col min="13067" max="13067" width="33.19921875" style="1" customWidth="1"/>
    <col min="13068" max="13312" width="9" style="1"/>
    <col min="13313" max="13313" width="2" style="1" customWidth="1"/>
    <col min="13314" max="13314" width="4.8984375" style="1" customWidth="1"/>
    <col min="13315" max="13315" width="8.5" style="1" customWidth="1"/>
    <col min="13316" max="13316" width="14.69921875" style="1" customWidth="1"/>
    <col min="13317" max="13318" width="11.09765625" style="1" customWidth="1"/>
    <col min="13319" max="13319" width="14.09765625" style="1" customWidth="1"/>
    <col min="13320" max="13320" width="11.69921875" style="1" customWidth="1"/>
    <col min="13321" max="13321" width="8.69921875" style="1" customWidth="1"/>
    <col min="13322" max="13322" width="9" style="1"/>
    <col min="13323" max="13323" width="33.19921875" style="1" customWidth="1"/>
    <col min="13324" max="13568" width="9" style="1"/>
    <col min="13569" max="13569" width="2" style="1" customWidth="1"/>
    <col min="13570" max="13570" width="4.8984375" style="1" customWidth="1"/>
    <col min="13571" max="13571" width="8.5" style="1" customWidth="1"/>
    <col min="13572" max="13572" width="14.69921875" style="1" customWidth="1"/>
    <col min="13573" max="13574" width="11.09765625" style="1" customWidth="1"/>
    <col min="13575" max="13575" width="14.09765625" style="1" customWidth="1"/>
    <col min="13576" max="13576" width="11.69921875" style="1" customWidth="1"/>
    <col min="13577" max="13577" width="8.69921875" style="1" customWidth="1"/>
    <col min="13578" max="13578" width="9" style="1"/>
    <col min="13579" max="13579" width="33.19921875" style="1" customWidth="1"/>
    <col min="13580" max="13824" width="9" style="1"/>
    <col min="13825" max="13825" width="2" style="1" customWidth="1"/>
    <col min="13826" max="13826" width="4.8984375" style="1" customWidth="1"/>
    <col min="13827" max="13827" width="8.5" style="1" customWidth="1"/>
    <col min="13828" max="13828" width="14.69921875" style="1" customWidth="1"/>
    <col min="13829" max="13830" width="11.09765625" style="1" customWidth="1"/>
    <col min="13831" max="13831" width="14.09765625" style="1" customWidth="1"/>
    <col min="13832" max="13832" width="11.69921875" style="1" customWidth="1"/>
    <col min="13833" max="13833" width="8.69921875" style="1" customWidth="1"/>
    <col min="13834" max="13834" width="9" style="1"/>
    <col min="13835" max="13835" width="33.19921875" style="1" customWidth="1"/>
    <col min="13836" max="14080" width="9" style="1"/>
    <col min="14081" max="14081" width="2" style="1" customWidth="1"/>
    <col min="14082" max="14082" width="4.8984375" style="1" customWidth="1"/>
    <col min="14083" max="14083" width="8.5" style="1" customWidth="1"/>
    <col min="14084" max="14084" width="14.69921875" style="1" customWidth="1"/>
    <col min="14085" max="14086" width="11.09765625" style="1" customWidth="1"/>
    <col min="14087" max="14087" width="14.09765625" style="1" customWidth="1"/>
    <col min="14088" max="14088" width="11.69921875" style="1" customWidth="1"/>
    <col min="14089" max="14089" width="8.69921875" style="1" customWidth="1"/>
    <col min="14090" max="14090" width="9" style="1"/>
    <col min="14091" max="14091" width="33.19921875" style="1" customWidth="1"/>
    <col min="14092" max="14336" width="9" style="1"/>
    <col min="14337" max="14337" width="2" style="1" customWidth="1"/>
    <col min="14338" max="14338" width="4.8984375" style="1" customWidth="1"/>
    <col min="14339" max="14339" width="8.5" style="1" customWidth="1"/>
    <col min="14340" max="14340" width="14.69921875" style="1" customWidth="1"/>
    <col min="14341" max="14342" width="11.09765625" style="1" customWidth="1"/>
    <col min="14343" max="14343" width="14.09765625" style="1" customWidth="1"/>
    <col min="14344" max="14344" width="11.69921875" style="1" customWidth="1"/>
    <col min="14345" max="14345" width="8.69921875" style="1" customWidth="1"/>
    <col min="14346" max="14346" width="9" style="1"/>
    <col min="14347" max="14347" width="33.19921875" style="1" customWidth="1"/>
    <col min="14348" max="14592" width="9" style="1"/>
    <col min="14593" max="14593" width="2" style="1" customWidth="1"/>
    <col min="14594" max="14594" width="4.8984375" style="1" customWidth="1"/>
    <col min="14595" max="14595" width="8.5" style="1" customWidth="1"/>
    <col min="14596" max="14596" width="14.69921875" style="1" customWidth="1"/>
    <col min="14597" max="14598" width="11.09765625" style="1" customWidth="1"/>
    <col min="14599" max="14599" width="14.09765625" style="1" customWidth="1"/>
    <col min="14600" max="14600" width="11.69921875" style="1" customWidth="1"/>
    <col min="14601" max="14601" width="8.69921875" style="1" customWidth="1"/>
    <col min="14602" max="14602" width="9" style="1"/>
    <col min="14603" max="14603" width="33.19921875" style="1" customWidth="1"/>
    <col min="14604" max="14848" width="9" style="1"/>
    <col min="14849" max="14849" width="2" style="1" customWidth="1"/>
    <col min="14850" max="14850" width="4.8984375" style="1" customWidth="1"/>
    <col min="14851" max="14851" width="8.5" style="1" customWidth="1"/>
    <col min="14852" max="14852" width="14.69921875" style="1" customWidth="1"/>
    <col min="14853" max="14854" width="11.09765625" style="1" customWidth="1"/>
    <col min="14855" max="14855" width="14.09765625" style="1" customWidth="1"/>
    <col min="14856" max="14856" width="11.69921875" style="1" customWidth="1"/>
    <col min="14857" max="14857" width="8.69921875" style="1" customWidth="1"/>
    <col min="14858" max="14858" width="9" style="1"/>
    <col min="14859" max="14859" width="33.19921875" style="1" customWidth="1"/>
    <col min="14860" max="15104" width="9" style="1"/>
    <col min="15105" max="15105" width="2" style="1" customWidth="1"/>
    <col min="15106" max="15106" width="4.8984375" style="1" customWidth="1"/>
    <col min="15107" max="15107" width="8.5" style="1" customWidth="1"/>
    <col min="15108" max="15108" width="14.69921875" style="1" customWidth="1"/>
    <col min="15109" max="15110" width="11.09765625" style="1" customWidth="1"/>
    <col min="15111" max="15111" width="14.09765625" style="1" customWidth="1"/>
    <col min="15112" max="15112" width="11.69921875" style="1" customWidth="1"/>
    <col min="15113" max="15113" width="8.69921875" style="1" customWidth="1"/>
    <col min="15114" max="15114" width="9" style="1"/>
    <col min="15115" max="15115" width="33.19921875" style="1" customWidth="1"/>
    <col min="15116" max="15360" width="9" style="1"/>
    <col min="15361" max="15361" width="2" style="1" customWidth="1"/>
    <col min="15362" max="15362" width="4.8984375" style="1" customWidth="1"/>
    <col min="15363" max="15363" width="8.5" style="1" customWidth="1"/>
    <col min="15364" max="15364" width="14.69921875" style="1" customWidth="1"/>
    <col min="15365" max="15366" width="11.09765625" style="1" customWidth="1"/>
    <col min="15367" max="15367" width="14.09765625" style="1" customWidth="1"/>
    <col min="15368" max="15368" width="11.69921875" style="1" customWidth="1"/>
    <col min="15369" max="15369" width="8.69921875" style="1" customWidth="1"/>
    <col min="15370" max="15370" width="9" style="1"/>
    <col min="15371" max="15371" width="33.19921875" style="1" customWidth="1"/>
    <col min="15372" max="15616" width="9" style="1"/>
    <col min="15617" max="15617" width="2" style="1" customWidth="1"/>
    <col min="15618" max="15618" width="4.8984375" style="1" customWidth="1"/>
    <col min="15619" max="15619" width="8.5" style="1" customWidth="1"/>
    <col min="15620" max="15620" width="14.69921875" style="1" customWidth="1"/>
    <col min="15621" max="15622" width="11.09765625" style="1" customWidth="1"/>
    <col min="15623" max="15623" width="14.09765625" style="1" customWidth="1"/>
    <col min="15624" max="15624" width="11.69921875" style="1" customWidth="1"/>
    <col min="15625" max="15625" width="8.69921875" style="1" customWidth="1"/>
    <col min="15626" max="15626" width="9" style="1"/>
    <col min="15627" max="15627" width="33.19921875" style="1" customWidth="1"/>
    <col min="15628" max="15872" width="9" style="1"/>
    <col min="15873" max="15873" width="2" style="1" customWidth="1"/>
    <col min="15874" max="15874" width="4.8984375" style="1" customWidth="1"/>
    <col min="15875" max="15875" width="8.5" style="1" customWidth="1"/>
    <col min="15876" max="15876" width="14.69921875" style="1" customWidth="1"/>
    <col min="15877" max="15878" width="11.09765625" style="1" customWidth="1"/>
    <col min="15879" max="15879" width="14.09765625" style="1" customWidth="1"/>
    <col min="15880" max="15880" width="11.69921875" style="1" customWidth="1"/>
    <col min="15881" max="15881" width="8.69921875" style="1" customWidth="1"/>
    <col min="15882" max="15882" width="9" style="1"/>
    <col min="15883" max="15883" width="33.19921875" style="1" customWidth="1"/>
    <col min="15884" max="16128" width="9" style="1"/>
    <col min="16129" max="16129" width="2" style="1" customWidth="1"/>
    <col min="16130" max="16130" width="4.8984375" style="1" customWidth="1"/>
    <col min="16131" max="16131" width="8.5" style="1" customWidth="1"/>
    <col min="16132" max="16132" width="14.69921875" style="1" customWidth="1"/>
    <col min="16133" max="16134" width="11.09765625" style="1" customWidth="1"/>
    <col min="16135" max="16135" width="14.09765625" style="1" customWidth="1"/>
    <col min="16136" max="16136" width="11.69921875" style="1" customWidth="1"/>
    <col min="16137" max="16137" width="8.69921875" style="1" customWidth="1"/>
    <col min="16138" max="16138" width="9" style="1"/>
    <col min="16139" max="16139" width="33.19921875" style="1" customWidth="1"/>
    <col min="16140" max="16384" width="9" style="1"/>
  </cols>
  <sheetData>
    <row r="1" spans="2:9">
      <c r="B1" s="1" t="s">
        <v>0</v>
      </c>
    </row>
    <row r="2" spans="2:9" ht="38.4">
      <c r="B2" s="414" t="s">
        <v>1</v>
      </c>
      <c r="C2" s="414"/>
      <c r="D2" s="414"/>
      <c r="E2" s="414"/>
      <c r="F2" s="414"/>
      <c r="G2" s="414"/>
      <c r="H2" s="414"/>
      <c r="I2" s="414"/>
    </row>
    <row r="4" spans="2:9" s="2" customFormat="1" ht="24" customHeight="1">
      <c r="B4" s="415" t="s">
        <v>2</v>
      </c>
      <c r="C4" s="415"/>
      <c r="D4" s="415"/>
      <c r="G4" s="3" t="s">
        <v>3</v>
      </c>
      <c r="H4" s="4"/>
      <c r="I4" s="5"/>
    </row>
    <row r="5" spans="2:9" s="2" customFormat="1" ht="21.75" customHeight="1">
      <c r="B5" s="403" t="s">
        <v>4</v>
      </c>
      <c r="C5" s="404"/>
      <c r="D5" s="6">
        <v>45950</v>
      </c>
      <c r="E5" s="7"/>
      <c r="G5" s="8" t="s">
        <v>5</v>
      </c>
      <c r="H5" s="9"/>
      <c r="I5" s="10"/>
    </row>
    <row r="6" spans="2:9" s="2" customFormat="1" ht="21.75" customHeight="1">
      <c r="B6" s="403" t="s">
        <v>6</v>
      </c>
      <c r="C6" s="404"/>
      <c r="D6" s="11" t="s">
        <v>7</v>
      </c>
      <c r="E6" s="7"/>
      <c r="G6" s="8" t="s">
        <v>8</v>
      </c>
      <c r="H6" s="12"/>
      <c r="I6" s="13"/>
    </row>
    <row r="7" spans="2:9" s="2" customFormat="1" ht="21.75" customHeight="1">
      <c r="B7" s="416" t="s">
        <v>9</v>
      </c>
      <c r="C7" s="14" t="s">
        <v>10</v>
      </c>
      <c r="D7" s="11" t="s">
        <v>11</v>
      </c>
      <c r="E7" s="7"/>
      <c r="G7" s="15"/>
      <c r="H7" s="12"/>
      <c r="I7" s="13"/>
    </row>
    <row r="8" spans="2:9" s="2" customFormat="1" ht="21.75" customHeight="1">
      <c r="B8" s="416"/>
      <c r="C8" s="14" t="s">
        <v>12</v>
      </c>
      <c r="D8" s="11" t="s">
        <v>11</v>
      </c>
      <c r="E8" s="7"/>
      <c r="G8" s="15" t="s">
        <v>13</v>
      </c>
      <c r="H8" s="12"/>
      <c r="I8" s="13"/>
    </row>
    <row r="9" spans="2:9" s="2" customFormat="1" ht="21.75" customHeight="1">
      <c r="B9" s="403" t="s">
        <v>14</v>
      </c>
      <c r="C9" s="404"/>
      <c r="D9" s="11" t="s">
        <v>15</v>
      </c>
      <c r="E9" s="7"/>
      <c r="G9" s="8" t="s">
        <v>16</v>
      </c>
      <c r="H9" s="12"/>
      <c r="I9" s="13"/>
    </row>
    <row r="10" spans="2:9" s="2" customFormat="1" ht="21.75" customHeight="1">
      <c r="B10" s="403" t="s">
        <v>17</v>
      </c>
      <c r="C10" s="404"/>
      <c r="D10" s="11" t="s">
        <v>18</v>
      </c>
      <c r="E10" s="7"/>
      <c r="G10" s="16" t="s">
        <v>19</v>
      </c>
      <c r="H10" s="17" t="s">
        <v>20</v>
      </c>
      <c r="I10" s="18"/>
    </row>
    <row r="11" spans="2:9" s="2" customFormat="1" ht="21.75" customHeight="1">
      <c r="B11" s="403" t="s">
        <v>21</v>
      </c>
      <c r="C11" s="404"/>
      <c r="D11" s="11" t="s">
        <v>11</v>
      </c>
      <c r="E11" s="7"/>
      <c r="G11" s="19" t="s">
        <v>22</v>
      </c>
      <c r="H11" s="20" t="s">
        <v>23</v>
      </c>
      <c r="I11" s="21"/>
    </row>
    <row r="12" spans="2:9" s="23" customFormat="1" ht="10.5" customHeight="1">
      <c r="B12" s="22"/>
      <c r="I12" s="24"/>
    </row>
    <row r="13" spans="2:9" s="23" customFormat="1" ht="24.9" customHeight="1">
      <c r="B13" s="405" t="s">
        <v>24</v>
      </c>
      <c r="C13" s="405"/>
      <c r="D13" s="406" t="str">
        <f>"一金"&amp;NUMBERSTRING(H27,1)&amp;"원整"</f>
        <v>一金이백칠십오만원整</v>
      </c>
      <c r="E13" s="407"/>
      <c r="F13" s="407"/>
      <c r="G13" s="408">
        <f>H27</f>
        <v>2750000</v>
      </c>
      <c r="H13" s="409"/>
      <c r="I13" s="25" t="s">
        <v>25</v>
      </c>
    </row>
    <row r="14" spans="2:9" s="2" customFormat="1" ht="8.25" customHeight="1"/>
    <row r="15" spans="2:9" s="26" customFormat="1" ht="24.9" customHeight="1">
      <c r="B15" s="396" t="s">
        <v>26</v>
      </c>
      <c r="C15" s="410" t="s">
        <v>27</v>
      </c>
      <c r="D15" s="411"/>
      <c r="E15" s="397" t="s">
        <v>28</v>
      </c>
      <c r="F15" s="397"/>
      <c r="G15" s="397"/>
      <c r="H15" s="397"/>
      <c r="I15" s="396" t="s">
        <v>29</v>
      </c>
    </row>
    <row r="16" spans="2:9" s="26" customFormat="1" ht="29.25" customHeight="1">
      <c r="B16" s="397"/>
      <c r="C16" s="412"/>
      <c r="D16" s="413"/>
      <c r="E16" s="27" t="s">
        <v>30</v>
      </c>
      <c r="F16" s="28" t="s">
        <v>31</v>
      </c>
      <c r="G16" s="29" t="s">
        <v>32</v>
      </c>
      <c r="H16" s="30" t="s">
        <v>33</v>
      </c>
      <c r="I16" s="397"/>
    </row>
    <row r="17" spans="2:9" ht="24.9" customHeight="1">
      <c r="B17" s="31">
        <v>1</v>
      </c>
      <c r="C17" s="398" t="str">
        <f>단위장비1!C1</f>
        <v>친수 코팅 라인</v>
      </c>
      <c r="D17" s="399"/>
      <c r="E17" s="32">
        <f>IF('단위공사별(집계)'!N7&gt;1,('단위공사별(집계)'!D7+'단위공사별(집계)'!E7+'단위공사별(집계)'!F7+'단위공사별(집계)'!G7+'단위공사별(집계)'!H7+'단위공사별(집계)'!I7)/1000," ")</f>
        <v>1445590</v>
      </c>
      <c r="F17" s="400">
        <f>IF('단위공사별(집계)'!N7&gt;0,'단위공사별(집계)'!K17/1000,"")</f>
        <v>394624.99999999994</v>
      </c>
      <c r="G17" s="33">
        <f>IF('단위공사별(집계)'!N7&gt;0,('단위공사별(집계)'!L7+'단위공사별(집계)'!M7)/1000,"")</f>
        <v>43179.985977393851</v>
      </c>
      <c r="H17" s="34">
        <f>IF('단위공사별(집계)'!N7&gt;0,'단위공사별(집계)'!N7/1000,"")</f>
        <v>1738201.9684499635</v>
      </c>
      <c r="I17" s="31"/>
    </row>
    <row r="18" spans="2:9" ht="24.9" customHeight="1">
      <c r="B18" s="35">
        <v>2</v>
      </c>
      <c r="C18" s="371" t="str">
        <f>단위장비2!C1</f>
        <v>바이오 코팅 라인</v>
      </c>
      <c r="D18" s="372"/>
      <c r="E18" s="36">
        <f>IF('단위공사별(집계)'!N8&gt;1,('단위공사별(집계)'!D8+'단위공사별(집계)'!E8+'단위공사별(집계)'!F8+'단위공사별(집계)'!G8+'단위공사별(집계)'!H8+'단위공사별(집계)'!I8)/1000," ")</f>
        <v>595410</v>
      </c>
      <c r="F18" s="401"/>
      <c r="G18" s="37">
        <f>IF('단위공사별(집계)'!N8&gt;0,('단위공사별(집계)'!L8+'단위공사별(집계)'!M8)/1000,"")</f>
        <v>18505.078097273232</v>
      </c>
      <c r="H18" s="38">
        <f>IF('단위공사별(집계)'!N8&gt;0,'단위공사별(집계)'!N8/1000,"")</f>
        <v>716771.8366576453</v>
      </c>
      <c r="I18" s="39"/>
    </row>
    <row r="19" spans="2:9" ht="24.9" customHeight="1">
      <c r="B19" s="35">
        <v>3</v>
      </c>
      <c r="C19" s="371" t="str">
        <f>단위장비3!C1</f>
        <v>현지설치 및 시운전</v>
      </c>
      <c r="D19" s="372"/>
      <c r="E19" s="36">
        <f>IF('단위공사별(집계)'!N9&gt;1,('단위공사별(집계)'!D9+'단위공사별(집계)'!E9+'단위공사별(집계)'!F9+'단위공사별(집계)'!G9+'단위공사별(집계)'!H9+'단위공사별(집계)'!I9)/1000," ")</f>
        <v>112000</v>
      </c>
      <c r="F19" s="401"/>
      <c r="G19" s="37">
        <f>IF('단위공사별(집계)'!N9&gt;0,('단위공사별(집계)'!L9+'단위공사별(집계)'!M9)/1000,"")</f>
        <v>664.30264186818033</v>
      </c>
      <c r="H19" s="38">
        <f>IF('단위공사별(집계)'!N9&gt;0,'단위공사별(집계)'!N9/1000,"")</f>
        <v>131540.34167176668</v>
      </c>
      <c r="I19" s="39"/>
    </row>
    <row r="20" spans="2:9" ht="24.9" customHeight="1">
      <c r="B20" s="35">
        <v>4</v>
      </c>
      <c r="C20" s="371" t="str">
        <f>단위장비4!C1</f>
        <v>P1 대응비</v>
      </c>
      <c r="D20" s="372"/>
      <c r="E20" s="36">
        <f>IF('단위공사별(집계)'!N10&gt;1,('단위공사별(집계)'!D10+'단위공사별(집계)'!E10+'단위공사별(집계)'!F10+'단위공사별(집계)'!G10+'단위공사별(집계)'!H10+'단위공사별(집계)'!I10)/1000," ")</f>
        <v>19200</v>
      </c>
      <c r="F20" s="401"/>
      <c r="G20" s="37">
        <f>IF('단위공사별(집계)'!N10&gt;0,('단위공사별(집계)'!L10+'단위공사별(집계)'!M10)/1000,"")</f>
        <v>113.88045289168807</v>
      </c>
      <c r="H20" s="38">
        <f>IF('단위공사별(집계)'!N10&gt;0,'단위공사별(집계)'!N10/1000,"")</f>
        <v>22549.77285801715</v>
      </c>
      <c r="I20" s="39"/>
    </row>
    <row r="21" spans="2:9" ht="24.9" customHeight="1">
      <c r="B21" s="35">
        <v>5</v>
      </c>
      <c r="C21" s="371" t="str">
        <f>단위장비5!C1</f>
        <v>P2 대응비</v>
      </c>
      <c r="D21" s="372"/>
      <c r="E21" s="36">
        <f>IF('단위공사별(집계)'!N11&gt;1,('단위공사별(집계)'!D11+'단위공사별(집계)'!E11+'단위공사별(집계)'!F11+'단위공사별(집계)'!G11+'단위공사별(집계)'!H11+'단위공사별(집계)'!I11)/1000," ")</f>
        <v>19200</v>
      </c>
      <c r="F21" s="401"/>
      <c r="G21" s="37">
        <f>IF('단위공사별(집계)'!N11&gt;0,('단위공사별(집계)'!L11+'단위공사별(집계)'!M11)/1000,"")</f>
        <v>113.88045289168807</v>
      </c>
      <c r="H21" s="38">
        <f>IF('단위공사별(집계)'!N11&gt;0,'단위공사별(집계)'!N11/1000,"")</f>
        <v>22549.77285801715</v>
      </c>
      <c r="I21" s="39"/>
    </row>
    <row r="22" spans="2:9" ht="24.9" customHeight="1">
      <c r="B22" s="35">
        <v>6</v>
      </c>
      <c r="C22" s="371" t="str">
        <f>단위장비6!C1</f>
        <v>양산 대응비</v>
      </c>
      <c r="D22" s="372"/>
      <c r="E22" s="36">
        <f>IF('단위공사별(집계)'!N12&gt;1,('단위공사별(집계)'!D12+'단위공사별(집계)'!E12+'단위공사별(집계)'!F12+'단위공사별(집계)'!G12+'단위공사별(집계)'!H12+'단위공사별(집계)'!I12)/1000," ")</f>
        <v>30400</v>
      </c>
      <c r="F22" s="401"/>
      <c r="G22" s="37">
        <f>IF('단위공사별(집계)'!N12&gt;0,('단위공사별(집계)'!L12+'단위공사별(집계)'!M12)/1000,"")</f>
        <v>180.31071707850612</v>
      </c>
      <c r="H22" s="38">
        <f>IF('단위공사별(집계)'!N12&gt;0,'단위공사별(집계)'!N12/1000,"")</f>
        <v>35703.807025193819</v>
      </c>
      <c r="I22" s="39"/>
    </row>
    <row r="23" spans="2:9" ht="24.9" customHeight="1">
      <c r="B23" s="35">
        <v>7</v>
      </c>
      <c r="C23" s="371" t="str">
        <f>단위장비7!C1</f>
        <v>출장경비</v>
      </c>
      <c r="D23" s="372"/>
      <c r="E23" s="36">
        <f>IF('단위공사별(집계)'!N13&gt;1,('단위공사별(집계)'!D13+'단위공사별(집계)'!E13+'단위공사별(집계)'!F13+'단위공사별(집계)'!G13+'단위공사별(집계)'!H13+'단위공사별(집계)'!I13)/1000," ")</f>
        <v>70400</v>
      </c>
      <c r="F23" s="401"/>
      <c r="G23" s="37">
        <f>IF('단위공사별(집계)'!N13&gt;0,('단위공사별(집계)'!L13+'단위공사별(집계)'!M13)/1000,"")</f>
        <v>417.56166060285619</v>
      </c>
      <c r="H23" s="38">
        <f>IF('단위공사별(집계)'!N13&gt;0,'단위공사별(집계)'!N13/1000,"")</f>
        <v>82682.500479396214</v>
      </c>
      <c r="I23" s="39"/>
    </row>
    <row r="24" spans="2:9" ht="24.9" customHeight="1">
      <c r="B24" s="40">
        <v>8</v>
      </c>
      <c r="C24" s="371">
        <f>[1]단위장비8!C1</f>
        <v>0</v>
      </c>
      <c r="D24" s="372"/>
      <c r="E24" s="36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4" s="401"/>
      <c r="G24" s="37" t="str">
        <f>IF('단위공사별(집계)'!N14&gt;0,('단위공사별(집계)'!L14+'단위공사별(집계)'!M14)/1000,"")</f>
        <v/>
      </c>
      <c r="H24" s="38" t="str">
        <f>IF('단위공사별(집계)'!N14&gt;0,'단위공사별(집계)'!N14/1000,"")</f>
        <v/>
      </c>
      <c r="I24" s="39"/>
    </row>
    <row r="25" spans="2:9" ht="24.9" customHeight="1">
      <c r="B25" s="40">
        <v>9</v>
      </c>
      <c r="C25" s="371">
        <f>[1]단위장비9!C1</f>
        <v>0</v>
      </c>
      <c r="D25" s="372"/>
      <c r="E25" s="36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5" s="401"/>
      <c r="G25" s="37" t="str">
        <f>IF('단위공사별(집계)'!N15&gt;0,('단위공사별(집계)'!L15+'단위공사별(집계)'!M15)/1000,"")</f>
        <v/>
      </c>
      <c r="H25" s="38" t="str">
        <f>IF('단위공사별(집계)'!N15&gt;0,'단위공사별(집계)'!N15/1000,"")</f>
        <v/>
      </c>
      <c r="I25" s="39"/>
    </row>
    <row r="26" spans="2:9" ht="24.9" customHeight="1">
      <c r="B26" s="41">
        <v>10</v>
      </c>
      <c r="C26" s="371">
        <f>[1]단위장비10!C1</f>
        <v>0</v>
      </c>
      <c r="D26" s="372"/>
      <c r="E26" s="36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6" s="402"/>
      <c r="G26" s="37" t="str">
        <f>IF('단위공사별(집계)'!N16&gt;0,('단위공사별(집계)'!L16+'단위공사별(집계)'!M16)/1000,"")</f>
        <v/>
      </c>
      <c r="H26" s="38" t="str">
        <f>IF('단위공사별(집계)'!N16&gt;0,'단위공사별(집계)'!N16/1000,"")</f>
        <v/>
      </c>
      <c r="I26" s="42"/>
    </row>
    <row r="27" spans="2:9" ht="24.9" customHeight="1">
      <c r="B27" s="373" t="s">
        <v>34</v>
      </c>
      <c r="C27" s="374"/>
      <c r="D27" s="375"/>
      <c r="E27" s="43">
        <f>SUM(E17:E26)</f>
        <v>2292200</v>
      </c>
      <c r="F27" s="44">
        <f>SUM(F17)</f>
        <v>394624.99999999994</v>
      </c>
      <c r="G27" s="44">
        <f>SUM(G17:G26)</f>
        <v>63175.000000000007</v>
      </c>
      <c r="H27" s="45">
        <f>SUM(H17:H26)</f>
        <v>2750000</v>
      </c>
      <c r="I27" s="46"/>
    </row>
    <row r="28" spans="2:9" ht="4.5" customHeight="1">
      <c r="B28" s="47"/>
      <c r="C28" s="48"/>
      <c r="D28" s="48"/>
      <c r="E28" s="49"/>
      <c r="F28" s="49"/>
      <c r="G28" s="49"/>
      <c r="H28" s="49"/>
    </row>
    <row r="29" spans="2:9" ht="24" customHeight="1">
      <c r="B29" s="48"/>
      <c r="C29" s="48"/>
      <c r="D29" s="48"/>
      <c r="E29" s="49"/>
      <c r="F29" s="376" t="s">
        <v>35</v>
      </c>
      <c r="G29" s="377"/>
      <c r="H29" s="50"/>
    </row>
    <row r="30" spans="2:9" ht="15" customHeight="1">
      <c r="B30" s="48"/>
      <c r="C30" s="48"/>
      <c r="D30" s="48"/>
      <c r="E30" s="49"/>
      <c r="F30" s="49"/>
      <c r="G30" s="49"/>
      <c r="H30" s="49"/>
    </row>
    <row r="31" spans="2:9" ht="22.5" customHeight="1">
      <c r="B31" s="378" t="s">
        <v>36</v>
      </c>
      <c r="C31" s="381" t="s">
        <v>37</v>
      </c>
      <c r="D31" s="382"/>
      <c r="E31" s="383"/>
      <c r="F31" s="384" t="s">
        <v>38</v>
      </c>
      <c r="G31" s="385"/>
      <c r="H31" s="385"/>
      <c r="I31" s="386"/>
    </row>
    <row r="32" spans="2:9" ht="22.5" customHeight="1">
      <c r="B32" s="379"/>
      <c r="C32" s="387" t="s">
        <v>39</v>
      </c>
      <c r="D32" s="388"/>
      <c r="E32" s="389"/>
      <c r="F32" s="51" t="s">
        <v>40</v>
      </c>
      <c r="G32" s="390"/>
      <c r="H32" s="391"/>
      <c r="I32" s="392"/>
    </row>
    <row r="33" spans="2:11" ht="22.5" customHeight="1">
      <c r="B33" s="379"/>
      <c r="C33" s="393"/>
      <c r="D33" s="394"/>
      <c r="E33" s="395"/>
      <c r="F33" s="40" t="s">
        <v>41</v>
      </c>
      <c r="G33" s="359"/>
      <c r="H33" s="360"/>
      <c r="I33" s="361"/>
    </row>
    <row r="34" spans="2:11" ht="22.5" customHeight="1">
      <c r="B34" s="379"/>
      <c r="C34" s="362"/>
      <c r="D34" s="363"/>
      <c r="E34" s="364"/>
      <c r="F34" s="40" t="s">
        <v>42</v>
      </c>
      <c r="G34" s="359"/>
      <c r="H34" s="360"/>
      <c r="I34" s="361"/>
    </row>
    <row r="35" spans="2:11" ht="22.5" customHeight="1">
      <c r="B35" s="380"/>
      <c r="C35" s="365"/>
      <c r="D35" s="366"/>
      <c r="E35" s="367"/>
      <c r="F35" s="41" t="s">
        <v>43</v>
      </c>
      <c r="G35" s="368"/>
      <c r="H35" s="369"/>
      <c r="I35" s="370"/>
    </row>
    <row r="44" spans="2:11">
      <c r="K44" s="1">
        <f>전기!H67+단위장비1!H295+단위장비2!H172+단위장비3!H69+단위장비5!H68+단위장비4!H69+단위장비6!H69+단위장비7!H69+[1]단위장비8!H69+[1]단위장비9!H69+[1]단위장비10!H69</f>
        <v>2736112000</v>
      </c>
    </row>
  </sheetData>
  <mergeCells count="39">
    <mergeCell ref="B15:B16"/>
    <mergeCell ref="C15:D16"/>
    <mergeCell ref="E15:H15"/>
    <mergeCell ref="B2:I2"/>
    <mergeCell ref="B4:D4"/>
    <mergeCell ref="B5:C5"/>
    <mergeCell ref="B6:C6"/>
    <mergeCell ref="B7:B8"/>
    <mergeCell ref="B9:C9"/>
    <mergeCell ref="B10:C10"/>
    <mergeCell ref="B11:C11"/>
    <mergeCell ref="B13:C13"/>
    <mergeCell ref="D13:F13"/>
    <mergeCell ref="G13:H13"/>
    <mergeCell ref="I15:I16"/>
    <mergeCell ref="C17:D17"/>
    <mergeCell ref="F17:F2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F29:G29"/>
    <mergeCell ref="B31:B35"/>
    <mergeCell ref="C31:E31"/>
    <mergeCell ref="F31:I31"/>
    <mergeCell ref="C32:E32"/>
    <mergeCell ref="G32:I32"/>
    <mergeCell ref="C33:E33"/>
    <mergeCell ref="G33:I33"/>
    <mergeCell ref="C34:E34"/>
    <mergeCell ref="G34:I34"/>
    <mergeCell ref="C35:E35"/>
    <mergeCell ref="G35:I35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EB4E-890B-4935-BF53-60B053587C99}">
  <sheetPr>
    <pageSetUpPr fitToPage="1"/>
  </sheetPr>
  <dimension ref="B2:M50"/>
  <sheetViews>
    <sheetView showGridLines="0" zoomScaleNormal="100" workbookViewId="0">
      <pane ySplit="6" topLeftCell="A16" activePane="bottomLeft" state="frozen"/>
      <selection activeCell="H66" sqref="H66"/>
      <selection pane="bottomLeft" activeCell="H66" sqref="H66"/>
    </sheetView>
  </sheetViews>
  <sheetFormatPr defaultColWidth="9" defaultRowHeight="19.5" customHeight="1"/>
  <cols>
    <col min="1" max="1" width="0.5" style="52" customWidth="1"/>
    <col min="2" max="2" width="5.19921875" style="52" bestFit="1" customWidth="1"/>
    <col min="3" max="3" width="7.3984375" style="52" customWidth="1"/>
    <col min="4" max="4" width="8.8984375" style="52" customWidth="1"/>
    <col min="5" max="5" width="17.69921875" style="52" customWidth="1"/>
    <col min="6" max="6" width="6.3984375" style="53" customWidth="1"/>
    <col min="7" max="7" width="8.8984375" style="54" customWidth="1"/>
    <col min="8" max="8" width="9.69921875" style="55" customWidth="1"/>
    <col min="9" max="9" width="17.5" style="55" bestFit="1" customWidth="1"/>
    <col min="10" max="10" width="15.59765625" style="52" customWidth="1"/>
    <col min="11" max="11" width="13.69921875" style="56" bestFit="1" customWidth="1"/>
    <col min="12" max="12" width="10.8984375" style="52" bestFit="1" customWidth="1"/>
    <col min="13" max="256" width="9" style="52"/>
    <col min="257" max="257" width="0.5" style="52" customWidth="1"/>
    <col min="258" max="258" width="5.19921875" style="52" bestFit="1" customWidth="1"/>
    <col min="259" max="259" width="7.3984375" style="52" customWidth="1"/>
    <col min="260" max="260" width="8.8984375" style="52" customWidth="1"/>
    <col min="261" max="261" width="17.69921875" style="52" customWidth="1"/>
    <col min="262" max="262" width="6.3984375" style="52" customWidth="1"/>
    <col min="263" max="263" width="8.8984375" style="52" customWidth="1"/>
    <col min="264" max="264" width="9.69921875" style="52" customWidth="1"/>
    <col min="265" max="265" width="17.5" style="52" bestFit="1" customWidth="1"/>
    <col min="266" max="266" width="15.59765625" style="52" customWidth="1"/>
    <col min="267" max="267" width="13.69921875" style="52" bestFit="1" customWidth="1"/>
    <col min="268" max="268" width="10.8984375" style="52" bestFit="1" customWidth="1"/>
    <col min="269" max="512" width="9" style="52"/>
    <col min="513" max="513" width="0.5" style="52" customWidth="1"/>
    <col min="514" max="514" width="5.19921875" style="52" bestFit="1" customWidth="1"/>
    <col min="515" max="515" width="7.3984375" style="52" customWidth="1"/>
    <col min="516" max="516" width="8.8984375" style="52" customWidth="1"/>
    <col min="517" max="517" width="17.69921875" style="52" customWidth="1"/>
    <col min="518" max="518" width="6.3984375" style="52" customWidth="1"/>
    <col min="519" max="519" width="8.8984375" style="52" customWidth="1"/>
    <col min="520" max="520" width="9.69921875" style="52" customWidth="1"/>
    <col min="521" max="521" width="17.5" style="52" bestFit="1" customWidth="1"/>
    <col min="522" max="522" width="15.59765625" style="52" customWidth="1"/>
    <col min="523" max="523" width="13.69921875" style="52" bestFit="1" customWidth="1"/>
    <col min="524" max="524" width="10.8984375" style="52" bestFit="1" customWidth="1"/>
    <col min="525" max="768" width="9" style="52"/>
    <col min="769" max="769" width="0.5" style="52" customWidth="1"/>
    <col min="770" max="770" width="5.19921875" style="52" bestFit="1" customWidth="1"/>
    <col min="771" max="771" width="7.3984375" style="52" customWidth="1"/>
    <col min="772" max="772" width="8.8984375" style="52" customWidth="1"/>
    <col min="773" max="773" width="17.69921875" style="52" customWidth="1"/>
    <col min="774" max="774" width="6.3984375" style="52" customWidth="1"/>
    <col min="775" max="775" width="8.8984375" style="52" customWidth="1"/>
    <col min="776" max="776" width="9.69921875" style="52" customWidth="1"/>
    <col min="777" max="777" width="17.5" style="52" bestFit="1" customWidth="1"/>
    <col min="778" max="778" width="15.59765625" style="52" customWidth="1"/>
    <col min="779" max="779" width="13.69921875" style="52" bestFit="1" customWidth="1"/>
    <col min="780" max="780" width="10.8984375" style="52" bestFit="1" customWidth="1"/>
    <col min="781" max="1024" width="9" style="52"/>
    <col min="1025" max="1025" width="0.5" style="52" customWidth="1"/>
    <col min="1026" max="1026" width="5.19921875" style="52" bestFit="1" customWidth="1"/>
    <col min="1027" max="1027" width="7.3984375" style="52" customWidth="1"/>
    <col min="1028" max="1028" width="8.8984375" style="52" customWidth="1"/>
    <col min="1029" max="1029" width="17.69921875" style="52" customWidth="1"/>
    <col min="1030" max="1030" width="6.3984375" style="52" customWidth="1"/>
    <col min="1031" max="1031" width="8.8984375" style="52" customWidth="1"/>
    <col min="1032" max="1032" width="9.69921875" style="52" customWidth="1"/>
    <col min="1033" max="1033" width="17.5" style="52" bestFit="1" customWidth="1"/>
    <col min="1034" max="1034" width="15.59765625" style="52" customWidth="1"/>
    <col min="1035" max="1035" width="13.69921875" style="52" bestFit="1" customWidth="1"/>
    <col min="1036" max="1036" width="10.8984375" style="52" bestFit="1" customWidth="1"/>
    <col min="1037" max="1280" width="9" style="52"/>
    <col min="1281" max="1281" width="0.5" style="52" customWidth="1"/>
    <col min="1282" max="1282" width="5.19921875" style="52" bestFit="1" customWidth="1"/>
    <col min="1283" max="1283" width="7.3984375" style="52" customWidth="1"/>
    <col min="1284" max="1284" width="8.8984375" style="52" customWidth="1"/>
    <col min="1285" max="1285" width="17.69921875" style="52" customWidth="1"/>
    <col min="1286" max="1286" width="6.3984375" style="52" customWidth="1"/>
    <col min="1287" max="1287" width="8.8984375" style="52" customWidth="1"/>
    <col min="1288" max="1288" width="9.69921875" style="52" customWidth="1"/>
    <col min="1289" max="1289" width="17.5" style="52" bestFit="1" customWidth="1"/>
    <col min="1290" max="1290" width="15.59765625" style="52" customWidth="1"/>
    <col min="1291" max="1291" width="13.69921875" style="52" bestFit="1" customWidth="1"/>
    <col min="1292" max="1292" width="10.8984375" style="52" bestFit="1" customWidth="1"/>
    <col min="1293" max="1536" width="9" style="52"/>
    <col min="1537" max="1537" width="0.5" style="52" customWidth="1"/>
    <col min="1538" max="1538" width="5.19921875" style="52" bestFit="1" customWidth="1"/>
    <col min="1539" max="1539" width="7.3984375" style="52" customWidth="1"/>
    <col min="1540" max="1540" width="8.8984375" style="52" customWidth="1"/>
    <col min="1541" max="1541" width="17.69921875" style="52" customWidth="1"/>
    <col min="1542" max="1542" width="6.3984375" style="52" customWidth="1"/>
    <col min="1543" max="1543" width="8.8984375" style="52" customWidth="1"/>
    <col min="1544" max="1544" width="9.69921875" style="52" customWidth="1"/>
    <col min="1545" max="1545" width="17.5" style="52" bestFit="1" customWidth="1"/>
    <col min="1546" max="1546" width="15.59765625" style="52" customWidth="1"/>
    <col min="1547" max="1547" width="13.69921875" style="52" bestFit="1" customWidth="1"/>
    <col min="1548" max="1548" width="10.8984375" style="52" bestFit="1" customWidth="1"/>
    <col min="1549" max="1792" width="9" style="52"/>
    <col min="1793" max="1793" width="0.5" style="52" customWidth="1"/>
    <col min="1794" max="1794" width="5.19921875" style="52" bestFit="1" customWidth="1"/>
    <col min="1795" max="1795" width="7.3984375" style="52" customWidth="1"/>
    <col min="1796" max="1796" width="8.8984375" style="52" customWidth="1"/>
    <col min="1797" max="1797" width="17.69921875" style="52" customWidth="1"/>
    <col min="1798" max="1798" width="6.3984375" style="52" customWidth="1"/>
    <col min="1799" max="1799" width="8.8984375" style="52" customWidth="1"/>
    <col min="1800" max="1800" width="9.69921875" style="52" customWidth="1"/>
    <col min="1801" max="1801" width="17.5" style="52" bestFit="1" customWidth="1"/>
    <col min="1802" max="1802" width="15.59765625" style="52" customWidth="1"/>
    <col min="1803" max="1803" width="13.69921875" style="52" bestFit="1" customWidth="1"/>
    <col min="1804" max="1804" width="10.8984375" style="52" bestFit="1" customWidth="1"/>
    <col min="1805" max="2048" width="9" style="52"/>
    <col min="2049" max="2049" width="0.5" style="52" customWidth="1"/>
    <col min="2050" max="2050" width="5.19921875" style="52" bestFit="1" customWidth="1"/>
    <col min="2051" max="2051" width="7.3984375" style="52" customWidth="1"/>
    <col min="2052" max="2052" width="8.8984375" style="52" customWidth="1"/>
    <col min="2053" max="2053" width="17.69921875" style="52" customWidth="1"/>
    <col min="2054" max="2054" width="6.3984375" style="52" customWidth="1"/>
    <col min="2055" max="2055" width="8.8984375" style="52" customWidth="1"/>
    <col min="2056" max="2056" width="9.69921875" style="52" customWidth="1"/>
    <col min="2057" max="2057" width="17.5" style="52" bestFit="1" customWidth="1"/>
    <col min="2058" max="2058" width="15.59765625" style="52" customWidth="1"/>
    <col min="2059" max="2059" width="13.69921875" style="52" bestFit="1" customWidth="1"/>
    <col min="2060" max="2060" width="10.8984375" style="52" bestFit="1" customWidth="1"/>
    <col min="2061" max="2304" width="9" style="52"/>
    <col min="2305" max="2305" width="0.5" style="52" customWidth="1"/>
    <col min="2306" max="2306" width="5.19921875" style="52" bestFit="1" customWidth="1"/>
    <col min="2307" max="2307" width="7.3984375" style="52" customWidth="1"/>
    <col min="2308" max="2308" width="8.8984375" style="52" customWidth="1"/>
    <col min="2309" max="2309" width="17.69921875" style="52" customWidth="1"/>
    <col min="2310" max="2310" width="6.3984375" style="52" customWidth="1"/>
    <col min="2311" max="2311" width="8.8984375" style="52" customWidth="1"/>
    <col min="2312" max="2312" width="9.69921875" style="52" customWidth="1"/>
    <col min="2313" max="2313" width="17.5" style="52" bestFit="1" customWidth="1"/>
    <col min="2314" max="2314" width="15.59765625" style="52" customWidth="1"/>
    <col min="2315" max="2315" width="13.69921875" style="52" bestFit="1" customWidth="1"/>
    <col min="2316" max="2316" width="10.8984375" style="52" bestFit="1" customWidth="1"/>
    <col min="2317" max="2560" width="9" style="52"/>
    <col min="2561" max="2561" width="0.5" style="52" customWidth="1"/>
    <col min="2562" max="2562" width="5.19921875" style="52" bestFit="1" customWidth="1"/>
    <col min="2563" max="2563" width="7.3984375" style="52" customWidth="1"/>
    <col min="2564" max="2564" width="8.8984375" style="52" customWidth="1"/>
    <col min="2565" max="2565" width="17.69921875" style="52" customWidth="1"/>
    <col min="2566" max="2566" width="6.3984375" style="52" customWidth="1"/>
    <col min="2567" max="2567" width="8.8984375" style="52" customWidth="1"/>
    <col min="2568" max="2568" width="9.69921875" style="52" customWidth="1"/>
    <col min="2569" max="2569" width="17.5" style="52" bestFit="1" customWidth="1"/>
    <col min="2570" max="2570" width="15.59765625" style="52" customWidth="1"/>
    <col min="2571" max="2571" width="13.69921875" style="52" bestFit="1" customWidth="1"/>
    <col min="2572" max="2572" width="10.8984375" style="52" bestFit="1" customWidth="1"/>
    <col min="2573" max="2816" width="9" style="52"/>
    <col min="2817" max="2817" width="0.5" style="52" customWidth="1"/>
    <col min="2818" max="2818" width="5.19921875" style="52" bestFit="1" customWidth="1"/>
    <col min="2819" max="2819" width="7.3984375" style="52" customWidth="1"/>
    <col min="2820" max="2820" width="8.8984375" style="52" customWidth="1"/>
    <col min="2821" max="2821" width="17.69921875" style="52" customWidth="1"/>
    <col min="2822" max="2822" width="6.3984375" style="52" customWidth="1"/>
    <col min="2823" max="2823" width="8.8984375" style="52" customWidth="1"/>
    <col min="2824" max="2824" width="9.69921875" style="52" customWidth="1"/>
    <col min="2825" max="2825" width="17.5" style="52" bestFit="1" customWidth="1"/>
    <col min="2826" max="2826" width="15.59765625" style="52" customWidth="1"/>
    <col min="2827" max="2827" width="13.69921875" style="52" bestFit="1" customWidth="1"/>
    <col min="2828" max="2828" width="10.8984375" style="52" bestFit="1" customWidth="1"/>
    <col min="2829" max="3072" width="9" style="52"/>
    <col min="3073" max="3073" width="0.5" style="52" customWidth="1"/>
    <col min="3074" max="3074" width="5.19921875" style="52" bestFit="1" customWidth="1"/>
    <col min="3075" max="3075" width="7.3984375" style="52" customWidth="1"/>
    <col min="3076" max="3076" width="8.8984375" style="52" customWidth="1"/>
    <col min="3077" max="3077" width="17.69921875" style="52" customWidth="1"/>
    <col min="3078" max="3078" width="6.3984375" style="52" customWidth="1"/>
    <col min="3079" max="3079" width="8.8984375" style="52" customWidth="1"/>
    <col min="3080" max="3080" width="9.69921875" style="52" customWidth="1"/>
    <col min="3081" max="3081" width="17.5" style="52" bestFit="1" customWidth="1"/>
    <col min="3082" max="3082" width="15.59765625" style="52" customWidth="1"/>
    <col min="3083" max="3083" width="13.69921875" style="52" bestFit="1" customWidth="1"/>
    <col min="3084" max="3084" width="10.8984375" style="52" bestFit="1" customWidth="1"/>
    <col min="3085" max="3328" width="9" style="52"/>
    <col min="3329" max="3329" width="0.5" style="52" customWidth="1"/>
    <col min="3330" max="3330" width="5.19921875" style="52" bestFit="1" customWidth="1"/>
    <col min="3331" max="3331" width="7.3984375" style="52" customWidth="1"/>
    <col min="3332" max="3332" width="8.8984375" style="52" customWidth="1"/>
    <col min="3333" max="3333" width="17.69921875" style="52" customWidth="1"/>
    <col min="3334" max="3334" width="6.3984375" style="52" customWidth="1"/>
    <col min="3335" max="3335" width="8.8984375" style="52" customWidth="1"/>
    <col min="3336" max="3336" width="9.69921875" style="52" customWidth="1"/>
    <col min="3337" max="3337" width="17.5" style="52" bestFit="1" customWidth="1"/>
    <col min="3338" max="3338" width="15.59765625" style="52" customWidth="1"/>
    <col min="3339" max="3339" width="13.69921875" style="52" bestFit="1" customWidth="1"/>
    <col min="3340" max="3340" width="10.8984375" style="52" bestFit="1" customWidth="1"/>
    <col min="3341" max="3584" width="9" style="52"/>
    <col min="3585" max="3585" width="0.5" style="52" customWidth="1"/>
    <col min="3586" max="3586" width="5.19921875" style="52" bestFit="1" customWidth="1"/>
    <col min="3587" max="3587" width="7.3984375" style="52" customWidth="1"/>
    <col min="3588" max="3588" width="8.8984375" style="52" customWidth="1"/>
    <col min="3589" max="3589" width="17.69921875" style="52" customWidth="1"/>
    <col min="3590" max="3590" width="6.3984375" style="52" customWidth="1"/>
    <col min="3591" max="3591" width="8.8984375" style="52" customWidth="1"/>
    <col min="3592" max="3592" width="9.69921875" style="52" customWidth="1"/>
    <col min="3593" max="3593" width="17.5" style="52" bestFit="1" customWidth="1"/>
    <col min="3594" max="3594" width="15.59765625" style="52" customWidth="1"/>
    <col min="3595" max="3595" width="13.69921875" style="52" bestFit="1" customWidth="1"/>
    <col min="3596" max="3596" width="10.8984375" style="52" bestFit="1" customWidth="1"/>
    <col min="3597" max="3840" width="9" style="52"/>
    <col min="3841" max="3841" width="0.5" style="52" customWidth="1"/>
    <col min="3842" max="3842" width="5.19921875" style="52" bestFit="1" customWidth="1"/>
    <col min="3843" max="3843" width="7.3984375" style="52" customWidth="1"/>
    <col min="3844" max="3844" width="8.8984375" style="52" customWidth="1"/>
    <col min="3845" max="3845" width="17.69921875" style="52" customWidth="1"/>
    <col min="3846" max="3846" width="6.3984375" style="52" customWidth="1"/>
    <col min="3847" max="3847" width="8.8984375" style="52" customWidth="1"/>
    <col min="3848" max="3848" width="9.69921875" style="52" customWidth="1"/>
    <col min="3849" max="3849" width="17.5" style="52" bestFit="1" customWidth="1"/>
    <col min="3850" max="3850" width="15.59765625" style="52" customWidth="1"/>
    <col min="3851" max="3851" width="13.69921875" style="52" bestFit="1" customWidth="1"/>
    <col min="3852" max="3852" width="10.8984375" style="52" bestFit="1" customWidth="1"/>
    <col min="3853" max="4096" width="9" style="52"/>
    <col min="4097" max="4097" width="0.5" style="52" customWidth="1"/>
    <col min="4098" max="4098" width="5.19921875" style="52" bestFit="1" customWidth="1"/>
    <col min="4099" max="4099" width="7.3984375" style="52" customWidth="1"/>
    <col min="4100" max="4100" width="8.8984375" style="52" customWidth="1"/>
    <col min="4101" max="4101" width="17.69921875" style="52" customWidth="1"/>
    <col min="4102" max="4102" width="6.3984375" style="52" customWidth="1"/>
    <col min="4103" max="4103" width="8.8984375" style="52" customWidth="1"/>
    <col min="4104" max="4104" width="9.69921875" style="52" customWidth="1"/>
    <col min="4105" max="4105" width="17.5" style="52" bestFit="1" customWidth="1"/>
    <col min="4106" max="4106" width="15.59765625" style="52" customWidth="1"/>
    <col min="4107" max="4107" width="13.69921875" style="52" bestFit="1" customWidth="1"/>
    <col min="4108" max="4108" width="10.8984375" style="52" bestFit="1" customWidth="1"/>
    <col min="4109" max="4352" width="9" style="52"/>
    <col min="4353" max="4353" width="0.5" style="52" customWidth="1"/>
    <col min="4354" max="4354" width="5.19921875" style="52" bestFit="1" customWidth="1"/>
    <col min="4355" max="4355" width="7.3984375" style="52" customWidth="1"/>
    <col min="4356" max="4356" width="8.8984375" style="52" customWidth="1"/>
    <col min="4357" max="4357" width="17.69921875" style="52" customWidth="1"/>
    <col min="4358" max="4358" width="6.3984375" style="52" customWidth="1"/>
    <col min="4359" max="4359" width="8.8984375" style="52" customWidth="1"/>
    <col min="4360" max="4360" width="9.69921875" style="52" customWidth="1"/>
    <col min="4361" max="4361" width="17.5" style="52" bestFit="1" customWidth="1"/>
    <col min="4362" max="4362" width="15.59765625" style="52" customWidth="1"/>
    <col min="4363" max="4363" width="13.69921875" style="52" bestFit="1" customWidth="1"/>
    <col min="4364" max="4364" width="10.8984375" style="52" bestFit="1" customWidth="1"/>
    <col min="4365" max="4608" width="9" style="52"/>
    <col min="4609" max="4609" width="0.5" style="52" customWidth="1"/>
    <col min="4610" max="4610" width="5.19921875" style="52" bestFit="1" customWidth="1"/>
    <col min="4611" max="4611" width="7.3984375" style="52" customWidth="1"/>
    <col min="4612" max="4612" width="8.8984375" style="52" customWidth="1"/>
    <col min="4613" max="4613" width="17.69921875" style="52" customWidth="1"/>
    <col min="4614" max="4614" width="6.3984375" style="52" customWidth="1"/>
    <col min="4615" max="4615" width="8.8984375" style="52" customWidth="1"/>
    <col min="4616" max="4616" width="9.69921875" style="52" customWidth="1"/>
    <col min="4617" max="4617" width="17.5" style="52" bestFit="1" customWidth="1"/>
    <col min="4618" max="4618" width="15.59765625" style="52" customWidth="1"/>
    <col min="4619" max="4619" width="13.69921875" style="52" bestFit="1" customWidth="1"/>
    <col min="4620" max="4620" width="10.8984375" style="52" bestFit="1" customWidth="1"/>
    <col min="4621" max="4864" width="9" style="52"/>
    <col min="4865" max="4865" width="0.5" style="52" customWidth="1"/>
    <col min="4866" max="4866" width="5.19921875" style="52" bestFit="1" customWidth="1"/>
    <col min="4867" max="4867" width="7.3984375" style="52" customWidth="1"/>
    <col min="4868" max="4868" width="8.8984375" style="52" customWidth="1"/>
    <col min="4869" max="4869" width="17.69921875" style="52" customWidth="1"/>
    <col min="4870" max="4870" width="6.3984375" style="52" customWidth="1"/>
    <col min="4871" max="4871" width="8.8984375" style="52" customWidth="1"/>
    <col min="4872" max="4872" width="9.69921875" style="52" customWidth="1"/>
    <col min="4873" max="4873" width="17.5" style="52" bestFit="1" customWidth="1"/>
    <col min="4874" max="4874" width="15.59765625" style="52" customWidth="1"/>
    <col min="4875" max="4875" width="13.69921875" style="52" bestFit="1" customWidth="1"/>
    <col min="4876" max="4876" width="10.8984375" style="52" bestFit="1" customWidth="1"/>
    <col min="4877" max="5120" width="9" style="52"/>
    <col min="5121" max="5121" width="0.5" style="52" customWidth="1"/>
    <col min="5122" max="5122" width="5.19921875" style="52" bestFit="1" customWidth="1"/>
    <col min="5123" max="5123" width="7.3984375" style="52" customWidth="1"/>
    <col min="5124" max="5124" width="8.8984375" style="52" customWidth="1"/>
    <col min="5125" max="5125" width="17.69921875" style="52" customWidth="1"/>
    <col min="5126" max="5126" width="6.3984375" style="52" customWidth="1"/>
    <col min="5127" max="5127" width="8.8984375" style="52" customWidth="1"/>
    <col min="5128" max="5128" width="9.69921875" style="52" customWidth="1"/>
    <col min="5129" max="5129" width="17.5" style="52" bestFit="1" customWidth="1"/>
    <col min="5130" max="5130" width="15.59765625" style="52" customWidth="1"/>
    <col min="5131" max="5131" width="13.69921875" style="52" bestFit="1" customWidth="1"/>
    <col min="5132" max="5132" width="10.8984375" style="52" bestFit="1" customWidth="1"/>
    <col min="5133" max="5376" width="9" style="52"/>
    <col min="5377" max="5377" width="0.5" style="52" customWidth="1"/>
    <col min="5378" max="5378" width="5.19921875" style="52" bestFit="1" customWidth="1"/>
    <col min="5379" max="5379" width="7.3984375" style="52" customWidth="1"/>
    <col min="5380" max="5380" width="8.8984375" style="52" customWidth="1"/>
    <col min="5381" max="5381" width="17.69921875" style="52" customWidth="1"/>
    <col min="5382" max="5382" width="6.3984375" style="52" customWidth="1"/>
    <col min="5383" max="5383" width="8.8984375" style="52" customWidth="1"/>
    <col min="5384" max="5384" width="9.69921875" style="52" customWidth="1"/>
    <col min="5385" max="5385" width="17.5" style="52" bestFit="1" customWidth="1"/>
    <col min="5386" max="5386" width="15.59765625" style="52" customWidth="1"/>
    <col min="5387" max="5387" width="13.69921875" style="52" bestFit="1" customWidth="1"/>
    <col min="5388" max="5388" width="10.8984375" style="52" bestFit="1" customWidth="1"/>
    <col min="5389" max="5632" width="9" style="52"/>
    <col min="5633" max="5633" width="0.5" style="52" customWidth="1"/>
    <col min="5634" max="5634" width="5.19921875" style="52" bestFit="1" customWidth="1"/>
    <col min="5635" max="5635" width="7.3984375" style="52" customWidth="1"/>
    <col min="5636" max="5636" width="8.8984375" style="52" customWidth="1"/>
    <col min="5637" max="5637" width="17.69921875" style="52" customWidth="1"/>
    <col min="5638" max="5638" width="6.3984375" style="52" customWidth="1"/>
    <col min="5639" max="5639" width="8.8984375" style="52" customWidth="1"/>
    <col min="5640" max="5640" width="9.69921875" style="52" customWidth="1"/>
    <col min="5641" max="5641" width="17.5" style="52" bestFit="1" customWidth="1"/>
    <col min="5642" max="5642" width="15.59765625" style="52" customWidth="1"/>
    <col min="5643" max="5643" width="13.69921875" style="52" bestFit="1" customWidth="1"/>
    <col min="5644" max="5644" width="10.8984375" style="52" bestFit="1" customWidth="1"/>
    <col min="5645" max="5888" width="9" style="52"/>
    <col min="5889" max="5889" width="0.5" style="52" customWidth="1"/>
    <col min="5890" max="5890" width="5.19921875" style="52" bestFit="1" customWidth="1"/>
    <col min="5891" max="5891" width="7.3984375" style="52" customWidth="1"/>
    <col min="5892" max="5892" width="8.8984375" style="52" customWidth="1"/>
    <col min="5893" max="5893" width="17.69921875" style="52" customWidth="1"/>
    <col min="5894" max="5894" width="6.3984375" style="52" customWidth="1"/>
    <col min="5895" max="5895" width="8.8984375" style="52" customWidth="1"/>
    <col min="5896" max="5896" width="9.69921875" style="52" customWidth="1"/>
    <col min="5897" max="5897" width="17.5" style="52" bestFit="1" customWidth="1"/>
    <col min="5898" max="5898" width="15.59765625" style="52" customWidth="1"/>
    <col min="5899" max="5899" width="13.69921875" style="52" bestFit="1" customWidth="1"/>
    <col min="5900" max="5900" width="10.8984375" style="52" bestFit="1" customWidth="1"/>
    <col min="5901" max="6144" width="9" style="52"/>
    <col min="6145" max="6145" width="0.5" style="52" customWidth="1"/>
    <col min="6146" max="6146" width="5.19921875" style="52" bestFit="1" customWidth="1"/>
    <col min="6147" max="6147" width="7.3984375" style="52" customWidth="1"/>
    <col min="6148" max="6148" width="8.8984375" style="52" customWidth="1"/>
    <col min="6149" max="6149" width="17.69921875" style="52" customWidth="1"/>
    <col min="6150" max="6150" width="6.3984375" style="52" customWidth="1"/>
    <col min="6151" max="6151" width="8.8984375" style="52" customWidth="1"/>
    <col min="6152" max="6152" width="9.69921875" style="52" customWidth="1"/>
    <col min="6153" max="6153" width="17.5" style="52" bestFit="1" customWidth="1"/>
    <col min="6154" max="6154" width="15.59765625" style="52" customWidth="1"/>
    <col min="6155" max="6155" width="13.69921875" style="52" bestFit="1" customWidth="1"/>
    <col min="6156" max="6156" width="10.8984375" style="52" bestFit="1" customWidth="1"/>
    <col min="6157" max="6400" width="9" style="52"/>
    <col min="6401" max="6401" width="0.5" style="52" customWidth="1"/>
    <col min="6402" max="6402" width="5.19921875" style="52" bestFit="1" customWidth="1"/>
    <col min="6403" max="6403" width="7.3984375" style="52" customWidth="1"/>
    <col min="6404" max="6404" width="8.8984375" style="52" customWidth="1"/>
    <col min="6405" max="6405" width="17.69921875" style="52" customWidth="1"/>
    <col min="6406" max="6406" width="6.3984375" style="52" customWidth="1"/>
    <col min="6407" max="6407" width="8.8984375" style="52" customWidth="1"/>
    <col min="6408" max="6408" width="9.69921875" style="52" customWidth="1"/>
    <col min="6409" max="6409" width="17.5" style="52" bestFit="1" customWidth="1"/>
    <col min="6410" max="6410" width="15.59765625" style="52" customWidth="1"/>
    <col min="6411" max="6411" width="13.69921875" style="52" bestFit="1" customWidth="1"/>
    <col min="6412" max="6412" width="10.8984375" style="52" bestFit="1" customWidth="1"/>
    <col min="6413" max="6656" width="9" style="52"/>
    <col min="6657" max="6657" width="0.5" style="52" customWidth="1"/>
    <col min="6658" max="6658" width="5.19921875" style="52" bestFit="1" customWidth="1"/>
    <col min="6659" max="6659" width="7.3984375" style="52" customWidth="1"/>
    <col min="6660" max="6660" width="8.8984375" style="52" customWidth="1"/>
    <col min="6661" max="6661" width="17.69921875" style="52" customWidth="1"/>
    <col min="6662" max="6662" width="6.3984375" style="52" customWidth="1"/>
    <col min="6663" max="6663" width="8.8984375" style="52" customWidth="1"/>
    <col min="6664" max="6664" width="9.69921875" style="52" customWidth="1"/>
    <col min="6665" max="6665" width="17.5" style="52" bestFit="1" customWidth="1"/>
    <col min="6666" max="6666" width="15.59765625" style="52" customWidth="1"/>
    <col min="6667" max="6667" width="13.69921875" style="52" bestFit="1" customWidth="1"/>
    <col min="6668" max="6668" width="10.8984375" style="52" bestFit="1" customWidth="1"/>
    <col min="6669" max="6912" width="9" style="52"/>
    <col min="6913" max="6913" width="0.5" style="52" customWidth="1"/>
    <col min="6914" max="6914" width="5.19921875" style="52" bestFit="1" customWidth="1"/>
    <col min="6915" max="6915" width="7.3984375" style="52" customWidth="1"/>
    <col min="6916" max="6916" width="8.8984375" style="52" customWidth="1"/>
    <col min="6917" max="6917" width="17.69921875" style="52" customWidth="1"/>
    <col min="6918" max="6918" width="6.3984375" style="52" customWidth="1"/>
    <col min="6919" max="6919" width="8.8984375" style="52" customWidth="1"/>
    <col min="6920" max="6920" width="9.69921875" style="52" customWidth="1"/>
    <col min="6921" max="6921" width="17.5" style="52" bestFit="1" customWidth="1"/>
    <col min="6922" max="6922" width="15.59765625" style="52" customWidth="1"/>
    <col min="6923" max="6923" width="13.69921875" style="52" bestFit="1" customWidth="1"/>
    <col min="6924" max="6924" width="10.8984375" style="52" bestFit="1" customWidth="1"/>
    <col min="6925" max="7168" width="9" style="52"/>
    <col min="7169" max="7169" width="0.5" style="52" customWidth="1"/>
    <col min="7170" max="7170" width="5.19921875" style="52" bestFit="1" customWidth="1"/>
    <col min="7171" max="7171" width="7.3984375" style="52" customWidth="1"/>
    <col min="7172" max="7172" width="8.8984375" style="52" customWidth="1"/>
    <col min="7173" max="7173" width="17.69921875" style="52" customWidth="1"/>
    <col min="7174" max="7174" width="6.3984375" style="52" customWidth="1"/>
    <col min="7175" max="7175" width="8.8984375" style="52" customWidth="1"/>
    <col min="7176" max="7176" width="9.69921875" style="52" customWidth="1"/>
    <col min="7177" max="7177" width="17.5" style="52" bestFit="1" customWidth="1"/>
    <col min="7178" max="7178" width="15.59765625" style="52" customWidth="1"/>
    <col min="7179" max="7179" width="13.69921875" style="52" bestFit="1" customWidth="1"/>
    <col min="7180" max="7180" width="10.8984375" style="52" bestFit="1" customWidth="1"/>
    <col min="7181" max="7424" width="9" style="52"/>
    <col min="7425" max="7425" width="0.5" style="52" customWidth="1"/>
    <col min="7426" max="7426" width="5.19921875" style="52" bestFit="1" customWidth="1"/>
    <col min="7427" max="7427" width="7.3984375" style="52" customWidth="1"/>
    <col min="7428" max="7428" width="8.8984375" style="52" customWidth="1"/>
    <col min="7429" max="7429" width="17.69921875" style="52" customWidth="1"/>
    <col min="7430" max="7430" width="6.3984375" style="52" customWidth="1"/>
    <col min="7431" max="7431" width="8.8984375" style="52" customWidth="1"/>
    <col min="7432" max="7432" width="9.69921875" style="52" customWidth="1"/>
    <col min="7433" max="7433" width="17.5" style="52" bestFit="1" customWidth="1"/>
    <col min="7434" max="7434" width="15.59765625" style="52" customWidth="1"/>
    <col min="7435" max="7435" width="13.69921875" style="52" bestFit="1" customWidth="1"/>
    <col min="7436" max="7436" width="10.8984375" style="52" bestFit="1" customWidth="1"/>
    <col min="7437" max="7680" width="9" style="52"/>
    <col min="7681" max="7681" width="0.5" style="52" customWidth="1"/>
    <col min="7682" max="7682" width="5.19921875" style="52" bestFit="1" customWidth="1"/>
    <col min="7683" max="7683" width="7.3984375" style="52" customWidth="1"/>
    <col min="7684" max="7684" width="8.8984375" style="52" customWidth="1"/>
    <col min="7685" max="7685" width="17.69921875" style="52" customWidth="1"/>
    <col min="7686" max="7686" width="6.3984375" style="52" customWidth="1"/>
    <col min="7687" max="7687" width="8.8984375" style="52" customWidth="1"/>
    <col min="7688" max="7688" width="9.69921875" style="52" customWidth="1"/>
    <col min="7689" max="7689" width="17.5" style="52" bestFit="1" customWidth="1"/>
    <col min="7690" max="7690" width="15.59765625" style="52" customWidth="1"/>
    <col min="7691" max="7691" width="13.69921875" style="52" bestFit="1" customWidth="1"/>
    <col min="7692" max="7692" width="10.8984375" style="52" bestFit="1" customWidth="1"/>
    <col min="7693" max="7936" width="9" style="52"/>
    <col min="7937" max="7937" width="0.5" style="52" customWidth="1"/>
    <col min="7938" max="7938" width="5.19921875" style="52" bestFit="1" customWidth="1"/>
    <col min="7939" max="7939" width="7.3984375" style="52" customWidth="1"/>
    <col min="7940" max="7940" width="8.8984375" style="52" customWidth="1"/>
    <col min="7941" max="7941" width="17.69921875" style="52" customWidth="1"/>
    <col min="7942" max="7942" width="6.3984375" style="52" customWidth="1"/>
    <col min="7943" max="7943" width="8.8984375" style="52" customWidth="1"/>
    <col min="7944" max="7944" width="9.69921875" style="52" customWidth="1"/>
    <col min="7945" max="7945" width="17.5" style="52" bestFit="1" customWidth="1"/>
    <col min="7946" max="7946" width="15.59765625" style="52" customWidth="1"/>
    <col min="7947" max="7947" width="13.69921875" style="52" bestFit="1" customWidth="1"/>
    <col min="7948" max="7948" width="10.8984375" style="52" bestFit="1" customWidth="1"/>
    <col min="7949" max="8192" width="9" style="52"/>
    <col min="8193" max="8193" width="0.5" style="52" customWidth="1"/>
    <col min="8194" max="8194" width="5.19921875" style="52" bestFit="1" customWidth="1"/>
    <col min="8195" max="8195" width="7.3984375" style="52" customWidth="1"/>
    <col min="8196" max="8196" width="8.8984375" style="52" customWidth="1"/>
    <col min="8197" max="8197" width="17.69921875" style="52" customWidth="1"/>
    <col min="8198" max="8198" width="6.3984375" style="52" customWidth="1"/>
    <col min="8199" max="8199" width="8.8984375" style="52" customWidth="1"/>
    <col min="8200" max="8200" width="9.69921875" style="52" customWidth="1"/>
    <col min="8201" max="8201" width="17.5" style="52" bestFit="1" customWidth="1"/>
    <col min="8202" max="8202" width="15.59765625" style="52" customWidth="1"/>
    <col min="8203" max="8203" width="13.69921875" style="52" bestFit="1" customWidth="1"/>
    <col min="8204" max="8204" width="10.8984375" style="52" bestFit="1" customWidth="1"/>
    <col min="8205" max="8448" width="9" style="52"/>
    <col min="8449" max="8449" width="0.5" style="52" customWidth="1"/>
    <col min="8450" max="8450" width="5.19921875" style="52" bestFit="1" customWidth="1"/>
    <col min="8451" max="8451" width="7.3984375" style="52" customWidth="1"/>
    <col min="8452" max="8452" width="8.8984375" style="52" customWidth="1"/>
    <col min="8453" max="8453" width="17.69921875" style="52" customWidth="1"/>
    <col min="8454" max="8454" width="6.3984375" style="52" customWidth="1"/>
    <col min="8455" max="8455" width="8.8984375" style="52" customWidth="1"/>
    <col min="8456" max="8456" width="9.69921875" style="52" customWidth="1"/>
    <col min="8457" max="8457" width="17.5" style="52" bestFit="1" customWidth="1"/>
    <col min="8458" max="8458" width="15.59765625" style="52" customWidth="1"/>
    <col min="8459" max="8459" width="13.69921875" style="52" bestFit="1" customWidth="1"/>
    <col min="8460" max="8460" width="10.8984375" style="52" bestFit="1" customWidth="1"/>
    <col min="8461" max="8704" width="9" style="52"/>
    <col min="8705" max="8705" width="0.5" style="52" customWidth="1"/>
    <col min="8706" max="8706" width="5.19921875" style="52" bestFit="1" customWidth="1"/>
    <col min="8707" max="8707" width="7.3984375" style="52" customWidth="1"/>
    <col min="8708" max="8708" width="8.8984375" style="52" customWidth="1"/>
    <col min="8709" max="8709" width="17.69921875" style="52" customWidth="1"/>
    <col min="8710" max="8710" width="6.3984375" style="52" customWidth="1"/>
    <col min="8711" max="8711" width="8.8984375" style="52" customWidth="1"/>
    <col min="8712" max="8712" width="9.69921875" style="52" customWidth="1"/>
    <col min="8713" max="8713" width="17.5" style="52" bestFit="1" customWidth="1"/>
    <col min="8714" max="8714" width="15.59765625" style="52" customWidth="1"/>
    <col min="8715" max="8715" width="13.69921875" style="52" bestFit="1" customWidth="1"/>
    <col min="8716" max="8716" width="10.8984375" style="52" bestFit="1" customWidth="1"/>
    <col min="8717" max="8960" width="9" style="52"/>
    <col min="8961" max="8961" width="0.5" style="52" customWidth="1"/>
    <col min="8962" max="8962" width="5.19921875" style="52" bestFit="1" customWidth="1"/>
    <col min="8963" max="8963" width="7.3984375" style="52" customWidth="1"/>
    <col min="8964" max="8964" width="8.8984375" style="52" customWidth="1"/>
    <col min="8965" max="8965" width="17.69921875" style="52" customWidth="1"/>
    <col min="8966" max="8966" width="6.3984375" style="52" customWidth="1"/>
    <col min="8967" max="8967" width="8.8984375" style="52" customWidth="1"/>
    <col min="8968" max="8968" width="9.69921875" style="52" customWidth="1"/>
    <col min="8969" max="8969" width="17.5" style="52" bestFit="1" customWidth="1"/>
    <col min="8970" max="8970" width="15.59765625" style="52" customWidth="1"/>
    <col min="8971" max="8971" width="13.69921875" style="52" bestFit="1" customWidth="1"/>
    <col min="8972" max="8972" width="10.8984375" style="52" bestFit="1" customWidth="1"/>
    <col min="8973" max="9216" width="9" style="52"/>
    <col min="9217" max="9217" width="0.5" style="52" customWidth="1"/>
    <col min="9218" max="9218" width="5.19921875" style="52" bestFit="1" customWidth="1"/>
    <col min="9219" max="9219" width="7.3984375" style="52" customWidth="1"/>
    <col min="9220" max="9220" width="8.8984375" style="52" customWidth="1"/>
    <col min="9221" max="9221" width="17.69921875" style="52" customWidth="1"/>
    <col min="9222" max="9222" width="6.3984375" style="52" customWidth="1"/>
    <col min="9223" max="9223" width="8.8984375" style="52" customWidth="1"/>
    <col min="9224" max="9224" width="9.69921875" style="52" customWidth="1"/>
    <col min="9225" max="9225" width="17.5" style="52" bestFit="1" customWidth="1"/>
    <col min="9226" max="9226" width="15.59765625" style="52" customWidth="1"/>
    <col min="9227" max="9227" width="13.69921875" style="52" bestFit="1" customWidth="1"/>
    <col min="9228" max="9228" width="10.8984375" style="52" bestFit="1" customWidth="1"/>
    <col min="9229" max="9472" width="9" style="52"/>
    <col min="9473" max="9473" width="0.5" style="52" customWidth="1"/>
    <col min="9474" max="9474" width="5.19921875" style="52" bestFit="1" customWidth="1"/>
    <col min="9475" max="9475" width="7.3984375" style="52" customWidth="1"/>
    <col min="9476" max="9476" width="8.8984375" style="52" customWidth="1"/>
    <col min="9477" max="9477" width="17.69921875" style="52" customWidth="1"/>
    <col min="9478" max="9478" width="6.3984375" style="52" customWidth="1"/>
    <col min="9479" max="9479" width="8.8984375" style="52" customWidth="1"/>
    <col min="9480" max="9480" width="9.69921875" style="52" customWidth="1"/>
    <col min="9481" max="9481" width="17.5" style="52" bestFit="1" customWidth="1"/>
    <col min="9482" max="9482" width="15.59765625" style="52" customWidth="1"/>
    <col min="9483" max="9483" width="13.69921875" style="52" bestFit="1" customWidth="1"/>
    <col min="9484" max="9484" width="10.8984375" style="52" bestFit="1" customWidth="1"/>
    <col min="9485" max="9728" width="9" style="52"/>
    <col min="9729" max="9729" width="0.5" style="52" customWidth="1"/>
    <col min="9730" max="9730" width="5.19921875" style="52" bestFit="1" customWidth="1"/>
    <col min="9731" max="9731" width="7.3984375" style="52" customWidth="1"/>
    <col min="9732" max="9732" width="8.8984375" style="52" customWidth="1"/>
    <col min="9733" max="9733" width="17.69921875" style="52" customWidth="1"/>
    <col min="9734" max="9734" width="6.3984375" style="52" customWidth="1"/>
    <col min="9735" max="9735" width="8.8984375" style="52" customWidth="1"/>
    <col min="9736" max="9736" width="9.69921875" style="52" customWidth="1"/>
    <col min="9737" max="9737" width="17.5" style="52" bestFit="1" customWidth="1"/>
    <col min="9738" max="9738" width="15.59765625" style="52" customWidth="1"/>
    <col min="9739" max="9739" width="13.69921875" style="52" bestFit="1" customWidth="1"/>
    <col min="9740" max="9740" width="10.8984375" style="52" bestFit="1" customWidth="1"/>
    <col min="9741" max="9984" width="9" style="52"/>
    <col min="9985" max="9985" width="0.5" style="52" customWidth="1"/>
    <col min="9986" max="9986" width="5.19921875" style="52" bestFit="1" customWidth="1"/>
    <col min="9987" max="9987" width="7.3984375" style="52" customWidth="1"/>
    <col min="9988" max="9988" width="8.8984375" style="52" customWidth="1"/>
    <col min="9989" max="9989" width="17.69921875" style="52" customWidth="1"/>
    <col min="9990" max="9990" width="6.3984375" style="52" customWidth="1"/>
    <col min="9991" max="9991" width="8.8984375" style="52" customWidth="1"/>
    <col min="9992" max="9992" width="9.69921875" style="52" customWidth="1"/>
    <col min="9993" max="9993" width="17.5" style="52" bestFit="1" customWidth="1"/>
    <col min="9994" max="9994" width="15.59765625" style="52" customWidth="1"/>
    <col min="9995" max="9995" width="13.69921875" style="52" bestFit="1" customWidth="1"/>
    <col min="9996" max="9996" width="10.8984375" style="52" bestFit="1" customWidth="1"/>
    <col min="9997" max="10240" width="9" style="52"/>
    <col min="10241" max="10241" width="0.5" style="52" customWidth="1"/>
    <col min="10242" max="10242" width="5.19921875" style="52" bestFit="1" customWidth="1"/>
    <col min="10243" max="10243" width="7.3984375" style="52" customWidth="1"/>
    <col min="10244" max="10244" width="8.8984375" style="52" customWidth="1"/>
    <col min="10245" max="10245" width="17.69921875" style="52" customWidth="1"/>
    <col min="10246" max="10246" width="6.3984375" style="52" customWidth="1"/>
    <col min="10247" max="10247" width="8.8984375" style="52" customWidth="1"/>
    <col min="10248" max="10248" width="9.69921875" style="52" customWidth="1"/>
    <col min="10249" max="10249" width="17.5" style="52" bestFit="1" customWidth="1"/>
    <col min="10250" max="10250" width="15.59765625" style="52" customWidth="1"/>
    <col min="10251" max="10251" width="13.69921875" style="52" bestFit="1" customWidth="1"/>
    <col min="10252" max="10252" width="10.8984375" style="52" bestFit="1" customWidth="1"/>
    <col min="10253" max="10496" width="9" style="52"/>
    <col min="10497" max="10497" width="0.5" style="52" customWidth="1"/>
    <col min="10498" max="10498" width="5.19921875" style="52" bestFit="1" customWidth="1"/>
    <col min="10499" max="10499" width="7.3984375" style="52" customWidth="1"/>
    <col min="10500" max="10500" width="8.8984375" style="52" customWidth="1"/>
    <col min="10501" max="10501" width="17.69921875" style="52" customWidth="1"/>
    <col min="10502" max="10502" width="6.3984375" style="52" customWidth="1"/>
    <col min="10503" max="10503" width="8.8984375" style="52" customWidth="1"/>
    <col min="10504" max="10504" width="9.69921875" style="52" customWidth="1"/>
    <col min="10505" max="10505" width="17.5" style="52" bestFit="1" customWidth="1"/>
    <col min="10506" max="10506" width="15.59765625" style="52" customWidth="1"/>
    <col min="10507" max="10507" width="13.69921875" style="52" bestFit="1" customWidth="1"/>
    <col min="10508" max="10508" width="10.8984375" style="52" bestFit="1" customWidth="1"/>
    <col min="10509" max="10752" width="9" style="52"/>
    <col min="10753" max="10753" width="0.5" style="52" customWidth="1"/>
    <col min="10754" max="10754" width="5.19921875" style="52" bestFit="1" customWidth="1"/>
    <col min="10755" max="10755" width="7.3984375" style="52" customWidth="1"/>
    <col min="10756" max="10756" width="8.8984375" style="52" customWidth="1"/>
    <col min="10757" max="10757" width="17.69921875" style="52" customWidth="1"/>
    <col min="10758" max="10758" width="6.3984375" style="52" customWidth="1"/>
    <col min="10759" max="10759" width="8.8984375" style="52" customWidth="1"/>
    <col min="10760" max="10760" width="9.69921875" style="52" customWidth="1"/>
    <col min="10761" max="10761" width="17.5" style="52" bestFit="1" customWidth="1"/>
    <col min="10762" max="10762" width="15.59765625" style="52" customWidth="1"/>
    <col min="10763" max="10763" width="13.69921875" style="52" bestFit="1" customWidth="1"/>
    <col min="10764" max="10764" width="10.8984375" style="52" bestFit="1" customWidth="1"/>
    <col min="10765" max="11008" width="9" style="52"/>
    <col min="11009" max="11009" width="0.5" style="52" customWidth="1"/>
    <col min="11010" max="11010" width="5.19921875" style="52" bestFit="1" customWidth="1"/>
    <col min="11011" max="11011" width="7.3984375" style="52" customWidth="1"/>
    <col min="11012" max="11012" width="8.8984375" style="52" customWidth="1"/>
    <col min="11013" max="11013" width="17.69921875" style="52" customWidth="1"/>
    <col min="11014" max="11014" width="6.3984375" style="52" customWidth="1"/>
    <col min="11015" max="11015" width="8.8984375" style="52" customWidth="1"/>
    <col min="11016" max="11016" width="9.69921875" style="52" customWidth="1"/>
    <col min="11017" max="11017" width="17.5" style="52" bestFit="1" customWidth="1"/>
    <col min="11018" max="11018" width="15.59765625" style="52" customWidth="1"/>
    <col min="11019" max="11019" width="13.69921875" style="52" bestFit="1" customWidth="1"/>
    <col min="11020" max="11020" width="10.8984375" style="52" bestFit="1" customWidth="1"/>
    <col min="11021" max="11264" width="9" style="52"/>
    <col min="11265" max="11265" width="0.5" style="52" customWidth="1"/>
    <col min="11266" max="11266" width="5.19921875" style="52" bestFit="1" customWidth="1"/>
    <col min="11267" max="11267" width="7.3984375" style="52" customWidth="1"/>
    <col min="11268" max="11268" width="8.8984375" style="52" customWidth="1"/>
    <col min="11269" max="11269" width="17.69921875" style="52" customWidth="1"/>
    <col min="11270" max="11270" width="6.3984375" style="52" customWidth="1"/>
    <col min="11271" max="11271" width="8.8984375" style="52" customWidth="1"/>
    <col min="11272" max="11272" width="9.69921875" style="52" customWidth="1"/>
    <col min="11273" max="11273" width="17.5" style="52" bestFit="1" customWidth="1"/>
    <col min="11274" max="11274" width="15.59765625" style="52" customWidth="1"/>
    <col min="11275" max="11275" width="13.69921875" style="52" bestFit="1" customWidth="1"/>
    <col min="11276" max="11276" width="10.8984375" style="52" bestFit="1" customWidth="1"/>
    <col min="11277" max="11520" width="9" style="52"/>
    <col min="11521" max="11521" width="0.5" style="52" customWidth="1"/>
    <col min="11522" max="11522" width="5.19921875" style="52" bestFit="1" customWidth="1"/>
    <col min="11523" max="11523" width="7.3984375" style="52" customWidth="1"/>
    <col min="11524" max="11524" width="8.8984375" style="52" customWidth="1"/>
    <col min="11525" max="11525" width="17.69921875" style="52" customWidth="1"/>
    <col min="11526" max="11526" width="6.3984375" style="52" customWidth="1"/>
    <col min="11527" max="11527" width="8.8984375" style="52" customWidth="1"/>
    <col min="11528" max="11528" width="9.69921875" style="52" customWidth="1"/>
    <col min="11529" max="11529" width="17.5" style="52" bestFit="1" customWidth="1"/>
    <col min="11530" max="11530" width="15.59765625" style="52" customWidth="1"/>
    <col min="11531" max="11531" width="13.69921875" style="52" bestFit="1" customWidth="1"/>
    <col min="11532" max="11532" width="10.8984375" style="52" bestFit="1" customWidth="1"/>
    <col min="11533" max="11776" width="9" style="52"/>
    <col min="11777" max="11777" width="0.5" style="52" customWidth="1"/>
    <col min="11778" max="11778" width="5.19921875" style="52" bestFit="1" customWidth="1"/>
    <col min="11779" max="11779" width="7.3984375" style="52" customWidth="1"/>
    <col min="11780" max="11780" width="8.8984375" style="52" customWidth="1"/>
    <col min="11781" max="11781" width="17.69921875" style="52" customWidth="1"/>
    <col min="11782" max="11782" width="6.3984375" style="52" customWidth="1"/>
    <col min="11783" max="11783" width="8.8984375" style="52" customWidth="1"/>
    <col min="11784" max="11784" width="9.69921875" style="52" customWidth="1"/>
    <col min="11785" max="11785" width="17.5" style="52" bestFit="1" customWidth="1"/>
    <col min="11786" max="11786" width="15.59765625" style="52" customWidth="1"/>
    <col min="11787" max="11787" width="13.69921875" style="52" bestFit="1" customWidth="1"/>
    <col min="11788" max="11788" width="10.8984375" style="52" bestFit="1" customWidth="1"/>
    <col min="11789" max="12032" width="9" style="52"/>
    <col min="12033" max="12033" width="0.5" style="52" customWidth="1"/>
    <col min="12034" max="12034" width="5.19921875" style="52" bestFit="1" customWidth="1"/>
    <col min="12035" max="12035" width="7.3984375" style="52" customWidth="1"/>
    <col min="12036" max="12036" width="8.8984375" style="52" customWidth="1"/>
    <col min="12037" max="12037" width="17.69921875" style="52" customWidth="1"/>
    <col min="12038" max="12038" width="6.3984375" style="52" customWidth="1"/>
    <col min="12039" max="12039" width="8.8984375" style="52" customWidth="1"/>
    <col min="12040" max="12040" width="9.69921875" style="52" customWidth="1"/>
    <col min="12041" max="12041" width="17.5" style="52" bestFit="1" customWidth="1"/>
    <col min="12042" max="12042" width="15.59765625" style="52" customWidth="1"/>
    <col min="12043" max="12043" width="13.69921875" style="52" bestFit="1" customWidth="1"/>
    <col min="12044" max="12044" width="10.8984375" style="52" bestFit="1" customWidth="1"/>
    <col min="12045" max="12288" width="9" style="52"/>
    <col min="12289" max="12289" width="0.5" style="52" customWidth="1"/>
    <col min="12290" max="12290" width="5.19921875" style="52" bestFit="1" customWidth="1"/>
    <col min="12291" max="12291" width="7.3984375" style="52" customWidth="1"/>
    <col min="12292" max="12292" width="8.8984375" style="52" customWidth="1"/>
    <col min="12293" max="12293" width="17.69921875" style="52" customWidth="1"/>
    <col min="12294" max="12294" width="6.3984375" style="52" customWidth="1"/>
    <col min="12295" max="12295" width="8.8984375" style="52" customWidth="1"/>
    <col min="12296" max="12296" width="9.69921875" style="52" customWidth="1"/>
    <col min="12297" max="12297" width="17.5" style="52" bestFit="1" customWidth="1"/>
    <col min="12298" max="12298" width="15.59765625" style="52" customWidth="1"/>
    <col min="12299" max="12299" width="13.69921875" style="52" bestFit="1" customWidth="1"/>
    <col min="12300" max="12300" width="10.8984375" style="52" bestFit="1" customWidth="1"/>
    <col min="12301" max="12544" width="9" style="52"/>
    <col min="12545" max="12545" width="0.5" style="52" customWidth="1"/>
    <col min="12546" max="12546" width="5.19921875" style="52" bestFit="1" customWidth="1"/>
    <col min="12547" max="12547" width="7.3984375" style="52" customWidth="1"/>
    <col min="12548" max="12548" width="8.8984375" style="52" customWidth="1"/>
    <col min="12549" max="12549" width="17.69921875" style="52" customWidth="1"/>
    <col min="12550" max="12550" width="6.3984375" style="52" customWidth="1"/>
    <col min="12551" max="12551" width="8.8984375" style="52" customWidth="1"/>
    <col min="12552" max="12552" width="9.69921875" style="52" customWidth="1"/>
    <col min="12553" max="12553" width="17.5" style="52" bestFit="1" customWidth="1"/>
    <col min="12554" max="12554" width="15.59765625" style="52" customWidth="1"/>
    <col min="12555" max="12555" width="13.69921875" style="52" bestFit="1" customWidth="1"/>
    <col min="12556" max="12556" width="10.8984375" style="52" bestFit="1" customWidth="1"/>
    <col min="12557" max="12800" width="9" style="52"/>
    <col min="12801" max="12801" width="0.5" style="52" customWidth="1"/>
    <col min="12802" max="12802" width="5.19921875" style="52" bestFit="1" customWidth="1"/>
    <col min="12803" max="12803" width="7.3984375" style="52" customWidth="1"/>
    <col min="12804" max="12804" width="8.8984375" style="52" customWidth="1"/>
    <col min="12805" max="12805" width="17.69921875" style="52" customWidth="1"/>
    <col min="12806" max="12806" width="6.3984375" style="52" customWidth="1"/>
    <col min="12807" max="12807" width="8.8984375" style="52" customWidth="1"/>
    <col min="12808" max="12808" width="9.69921875" style="52" customWidth="1"/>
    <col min="12809" max="12809" width="17.5" style="52" bestFit="1" customWidth="1"/>
    <col min="12810" max="12810" width="15.59765625" style="52" customWidth="1"/>
    <col min="12811" max="12811" width="13.69921875" style="52" bestFit="1" customWidth="1"/>
    <col min="12812" max="12812" width="10.8984375" style="52" bestFit="1" customWidth="1"/>
    <col min="12813" max="13056" width="9" style="52"/>
    <col min="13057" max="13057" width="0.5" style="52" customWidth="1"/>
    <col min="13058" max="13058" width="5.19921875" style="52" bestFit="1" customWidth="1"/>
    <col min="13059" max="13059" width="7.3984375" style="52" customWidth="1"/>
    <col min="13060" max="13060" width="8.8984375" style="52" customWidth="1"/>
    <col min="13061" max="13061" width="17.69921875" style="52" customWidth="1"/>
    <col min="13062" max="13062" width="6.3984375" style="52" customWidth="1"/>
    <col min="13063" max="13063" width="8.8984375" style="52" customWidth="1"/>
    <col min="13064" max="13064" width="9.69921875" style="52" customWidth="1"/>
    <col min="13065" max="13065" width="17.5" style="52" bestFit="1" customWidth="1"/>
    <col min="13066" max="13066" width="15.59765625" style="52" customWidth="1"/>
    <col min="13067" max="13067" width="13.69921875" style="52" bestFit="1" customWidth="1"/>
    <col min="13068" max="13068" width="10.8984375" style="52" bestFit="1" customWidth="1"/>
    <col min="13069" max="13312" width="9" style="52"/>
    <col min="13313" max="13313" width="0.5" style="52" customWidth="1"/>
    <col min="13314" max="13314" width="5.19921875" style="52" bestFit="1" customWidth="1"/>
    <col min="13315" max="13315" width="7.3984375" style="52" customWidth="1"/>
    <col min="13316" max="13316" width="8.8984375" style="52" customWidth="1"/>
    <col min="13317" max="13317" width="17.69921875" style="52" customWidth="1"/>
    <col min="13318" max="13318" width="6.3984375" style="52" customWidth="1"/>
    <col min="13319" max="13319" width="8.8984375" style="52" customWidth="1"/>
    <col min="13320" max="13320" width="9.69921875" style="52" customWidth="1"/>
    <col min="13321" max="13321" width="17.5" style="52" bestFit="1" customWidth="1"/>
    <col min="13322" max="13322" width="15.59765625" style="52" customWidth="1"/>
    <col min="13323" max="13323" width="13.69921875" style="52" bestFit="1" customWidth="1"/>
    <col min="13324" max="13324" width="10.8984375" style="52" bestFit="1" customWidth="1"/>
    <col min="13325" max="13568" width="9" style="52"/>
    <col min="13569" max="13569" width="0.5" style="52" customWidth="1"/>
    <col min="13570" max="13570" width="5.19921875" style="52" bestFit="1" customWidth="1"/>
    <col min="13571" max="13571" width="7.3984375" style="52" customWidth="1"/>
    <col min="13572" max="13572" width="8.8984375" style="52" customWidth="1"/>
    <col min="13573" max="13573" width="17.69921875" style="52" customWidth="1"/>
    <col min="13574" max="13574" width="6.3984375" style="52" customWidth="1"/>
    <col min="13575" max="13575" width="8.8984375" style="52" customWidth="1"/>
    <col min="13576" max="13576" width="9.69921875" style="52" customWidth="1"/>
    <col min="13577" max="13577" width="17.5" style="52" bestFit="1" customWidth="1"/>
    <col min="13578" max="13578" width="15.59765625" style="52" customWidth="1"/>
    <col min="13579" max="13579" width="13.69921875" style="52" bestFit="1" customWidth="1"/>
    <col min="13580" max="13580" width="10.8984375" style="52" bestFit="1" customWidth="1"/>
    <col min="13581" max="13824" width="9" style="52"/>
    <col min="13825" max="13825" width="0.5" style="52" customWidth="1"/>
    <col min="13826" max="13826" width="5.19921875" style="52" bestFit="1" customWidth="1"/>
    <col min="13827" max="13827" width="7.3984375" style="52" customWidth="1"/>
    <col min="13828" max="13828" width="8.8984375" style="52" customWidth="1"/>
    <col min="13829" max="13829" width="17.69921875" style="52" customWidth="1"/>
    <col min="13830" max="13830" width="6.3984375" style="52" customWidth="1"/>
    <col min="13831" max="13831" width="8.8984375" style="52" customWidth="1"/>
    <col min="13832" max="13832" width="9.69921875" style="52" customWidth="1"/>
    <col min="13833" max="13833" width="17.5" style="52" bestFit="1" customWidth="1"/>
    <col min="13834" max="13834" width="15.59765625" style="52" customWidth="1"/>
    <col min="13835" max="13835" width="13.69921875" style="52" bestFit="1" customWidth="1"/>
    <col min="13836" max="13836" width="10.8984375" style="52" bestFit="1" customWidth="1"/>
    <col min="13837" max="14080" width="9" style="52"/>
    <col min="14081" max="14081" width="0.5" style="52" customWidth="1"/>
    <col min="14082" max="14082" width="5.19921875" style="52" bestFit="1" customWidth="1"/>
    <col min="14083" max="14083" width="7.3984375" style="52" customWidth="1"/>
    <col min="14084" max="14084" width="8.8984375" style="52" customWidth="1"/>
    <col min="14085" max="14085" width="17.69921875" style="52" customWidth="1"/>
    <col min="14086" max="14086" width="6.3984375" style="52" customWidth="1"/>
    <col min="14087" max="14087" width="8.8984375" style="52" customWidth="1"/>
    <col min="14088" max="14088" width="9.69921875" style="52" customWidth="1"/>
    <col min="14089" max="14089" width="17.5" style="52" bestFit="1" customWidth="1"/>
    <col min="14090" max="14090" width="15.59765625" style="52" customWidth="1"/>
    <col min="14091" max="14091" width="13.69921875" style="52" bestFit="1" customWidth="1"/>
    <col min="14092" max="14092" width="10.8984375" style="52" bestFit="1" customWidth="1"/>
    <col min="14093" max="14336" width="9" style="52"/>
    <col min="14337" max="14337" width="0.5" style="52" customWidth="1"/>
    <col min="14338" max="14338" width="5.19921875" style="52" bestFit="1" customWidth="1"/>
    <col min="14339" max="14339" width="7.3984375" style="52" customWidth="1"/>
    <col min="14340" max="14340" width="8.8984375" style="52" customWidth="1"/>
    <col min="14341" max="14341" width="17.69921875" style="52" customWidth="1"/>
    <col min="14342" max="14342" width="6.3984375" style="52" customWidth="1"/>
    <col min="14343" max="14343" width="8.8984375" style="52" customWidth="1"/>
    <col min="14344" max="14344" width="9.69921875" style="52" customWidth="1"/>
    <col min="14345" max="14345" width="17.5" style="52" bestFit="1" customWidth="1"/>
    <col min="14346" max="14346" width="15.59765625" style="52" customWidth="1"/>
    <col min="14347" max="14347" width="13.69921875" style="52" bestFit="1" customWidth="1"/>
    <col min="14348" max="14348" width="10.8984375" style="52" bestFit="1" customWidth="1"/>
    <col min="14349" max="14592" width="9" style="52"/>
    <col min="14593" max="14593" width="0.5" style="52" customWidth="1"/>
    <col min="14594" max="14594" width="5.19921875" style="52" bestFit="1" customWidth="1"/>
    <col min="14595" max="14595" width="7.3984375" style="52" customWidth="1"/>
    <col min="14596" max="14596" width="8.8984375" style="52" customWidth="1"/>
    <col min="14597" max="14597" width="17.69921875" style="52" customWidth="1"/>
    <col min="14598" max="14598" width="6.3984375" style="52" customWidth="1"/>
    <col min="14599" max="14599" width="8.8984375" style="52" customWidth="1"/>
    <col min="14600" max="14600" width="9.69921875" style="52" customWidth="1"/>
    <col min="14601" max="14601" width="17.5" style="52" bestFit="1" customWidth="1"/>
    <col min="14602" max="14602" width="15.59765625" style="52" customWidth="1"/>
    <col min="14603" max="14603" width="13.69921875" style="52" bestFit="1" customWidth="1"/>
    <col min="14604" max="14604" width="10.8984375" style="52" bestFit="1" customWidth="1"/>
    <col min="14605" max="14848" width="9" style="52"/>
    <col min="14849" max="14849" width="0.5" style="52" customWidth="1"/>
    <col min="14850" max="14850" width="5.19921875" style="52" bestFit="1" customWidth="1"/>
    <col min="14851" max="14851" width="7.3984375" style="52" customWidth="1"/>
    <col min="14852" max="14852" width="8.8984375" style="52" customWidth="1"/>
    <col min="14853" max="14853" width="17.69921875" style="52" customWidth="1"/>
    <col min="14854" max="14854" width="6.3984375" style="52" customWidth="1"/>
    <col min="14855" max="14855" width="8.8984375" style="52" customWidth="1"/>
    <col min="14856" max="14856" width="9.69921875" style="52" customWidth="1"/>
    <col min="14857" max="14857" width="17.5" style="52" bestFit="1" customWidth="1"/>
    <col min="14858" max="14858" width="15.59765625" style="52" customWidth="1"/>
    <col min="14859" max="14859" width="13.69921875" style="52" bestFit="1" customWidth="1"/>
    <col min="14860" max="14860" width="10.8984375" style="52" bestFit="1" customWidth="1"/>
    <col min="14861" max="15104" width="9" style="52"/>
    <col min="15105" max="15105" width="0.5" style="52" customWidth="1"/>
    <col min="15106" max="15106" width="5.19921875" style="52" bestFit="1" customWidth="1"/>
    <col min="15107" max="15107" width="7.3984375" style="52" customWidth="1"/>
    <col min="15108" max="15108" width="8.8984375" style="52" customWidth="1"/>
    <col min="15109" max="15109" width="17.69921875" style="52" customWidth="1"/>
    <col min="15110" max="15110" width="6.3984375" style="52" customWidth="1"/>
    <col min="15111" max="15111" width="8.8984375" style="52" customWidth="1"/>
    <col min="15112" max="15112" width="9.69921875" style="52" customWidth="1"/>
    <col min="15113" max="15113" width="17.5" style="52" bestFit="1" customWidth="1"/>
    <col min="15114" max="15114" width="15.59765625" style="52" customWidth="1"/>
    <col min="15115" max="15115" width="13.69921875" style="52" bestFit="1" customWidth="1"/>
    <col min="15116" max="15116" width="10.8984375" style="52" bestFit="1" customWidth="1"/>
    <col min="15117" max="15360" width="9" style="52"/>
    <col min="15361" max="15361" width="0.5" style="52" customWidth="1"/>
    <col min="15362" max="15362" width="5.19921875" style="52" bestFit="1" customWidth="1"/>
    <col min="15363" max="15363" width="7.3984375" style="52" customWidth="1"/>
    <col min="15364" max="15364" width="8.8984375" style="52" customWidth="1"/>
    <col min="15365" max="15365" width="17.69921875" style="52" customWidth="1"/>
    <col min="15366" max="15366" width="6.3984375" style="52" customWidth="1"/>
    <col min="15367" max="15367" width="8.8984375" style="52" customWidth="1"/>
    <col min="15368" max="15368" width="9.69921875" style="52" customWidth="1"/>
    <col min="15369" max="15369" width="17.5" style="52" bestFit="1" customWidth="1"/>
    <col min="15370" max="15370" width="15.59765625" style="52" customWidth="1"/>
    <col min="15371" max="15371" width="13.69921875" style="52" bestFit="1" customWidth="1"/>
    <col min="15372" max="15372" width="10.8984375" style="52" bestFit="1" customWidth="1"/>
    <col min="15373" max="15616" width="9" style="52"/>
    <col min="15617" max="15617" width="0.5" style="52" customWidth="1"/>
    <col min="15618" max="15618" width="5.19921875" style="52" bestFit="1" customWidth="1"/>
    <col min="15619" max="15619" width="7.3984375" style="52" customWidth="1"/>
    <col min="15620" max="15620" width="8.8984375" style="52" customWidth="1"/>
    <col min="15621" max="15621" width="17.69921875" style="52" customWidth="1"/>
    <col min="15622" max="15622" width="6.3984375" style="52" customWidth="1"/>
    <col min="15623" max="15623" width="8.8984375" style="52" customWidth="1"/>
    <col min="15624" max="15624" width="9.69921875" style="52" customWidth="1"/>
    <col min="15625" max="15625" width="17.5" style="52" bestFit="1" customWidth="1"/>
    <col min="15626" max="15626" width="15.59765625" style="52" customWidth="1"/>
    <col min="15627" max="15627" width="13.69921875" style="52" bestFit="1" customWidth="1"/>
    <col min="15628" max="15628" width="10.8984375" style="52" bestFit="1" customWidth="1"/>
    <col min="15629" max="15872" width="9" style="52"/>
    <col min="15873" max="15873" width="0.5" style="52" customWidth="1"/>
    <col min="15874" max="15874" width="5.19921875" style="52" bestFit="1" customWidth="1"/>
    <col min="15875" max="15875" width="7.3984375" style="52" customWidth="1"/>
    <col min="15876" max="15876" width="8.8984375" style="52" customWidth="1"/>
    <col min="15877" max="15877" width="17.69921875" style="52" customWidth="1"/>
    <col min="15878" max="15878" width="6.3984375" style="52" customWidth="1"/>
    <col min="15879" max="15879" width="8.8984375" style="52" customWidth="1"/>
    <col min="15880" max="15880" width="9.69921875" style="52" customWidth="1"/>
    <col min="15881" max="15881" width="17.5" style="52" bestFit="1" customWidth="1"/>
    <col min="15882" max="15882" width="15.59765625" style="52" customWidth="1"/>
    <col min="15883" max="15883" width="13.69921875" style="52" bestFit="1" customWidth="1"/>
    <col min="15884" max="15884" width="10.8984375" style="52" bestFit="1" customWidth="1"/>
    <col min="15885" max="16128" width="9" style="52"/>
    <col min="16129" max="16129" width="0.5" style="52" customWidth="1"/>
    <col min="16130" max="16130" width="5.19921875" style="52" bestFit="1" customWidth="1"/>
    <col min="16131" max="16131" width="7.3984375" style="52" customWidth="1"/>
    <col min="16132" max="16132" width="8.8984375" style="52" customWidth="1"/>
    <col min="16133" max="16133" width="17.69921875" style="52" customWidth="1"/>
    <col min="16134" max="16134" width="6.3984375" style="52" customWidth="1"/>
    <col min="16135" max="16135" width="8.8984375" style="52" customWidth="1"/>
    <col min="16136" max="16136" width="9.69921875" style="52" customWidth="1"/>
    <col min="16137" max="16137" width="17.5" style="52" bestFit="1" customWidth="1"/>
    <col min="16138" max="16138" width="15.59765625" style="52" customWidth="1"/>
    <col min="16139" max="16139" width="13.69921875" style="52" bestFit="1" customWidth="1"/>
    <col min="16140" max="16140" width="10.8984375" style="52" bestFit="1" customWidth="1"/>
    <col min="16141" max="16384" width="9" style="52"/>
  </cols>
  <sheetData>
    <row r="2" spans="2:11" s="64" customFormat="1" ht="26.25" customHeight="1">
      <c r="B2" s="57"/>
      <c r="C2" s="58" t="s">
        <v>44</v>
      </c>
      <c r="D2" s="59"/>
      <c r="E2" s="59"/>
      <c r="F2" s="60"/>
      <c r="G2" s="61"/>
      <c r="H2" s="62"/>
      <c r="I2" s="62"/>
      <c r="J2" s="59"/>
      <c r="K2" s="63"/>
    </row>
    <row r="3" spans="2:11" s="64" customFormat="1" ht="19.5" customHeight="1">
      <c r="B3" s="57"/>
      <c r="C3" s="58"/>
      <c r="D3" s="59"/>
      <c r="E3" s="59"/>
      <c r="F3" s="60"/>
      <c r="G3" s="61"/>
      <c r="H3" s="62"/>
      <c r="I3" s="62"/>
      <c r="J3" s="59"/>
      <c r="K3" s="63"/>
    </row>
    <row r="4" spans="2:11" ht="30" customHeight="1">
      <c r="B4" s="65" t="s">
        <v>45</v>
      </c>
      <c r="D4" s="66"/>
      <c r="J4" s="53"/>
    </row>
    <row r="5" spans="2:11" s="53" customFormat="1" ht="8.25" customHeight="1">
      <c r="B5" s="67"/>
      <c r="C5" s="467"/>
      <c r="D5" s="468"/>
      <c r="E5" s="469"/>
      <c r="F5" s="68"/>
      <c r="G5" s="69"/>
      <c r="H5" s="69"/>
      <c r="I5" s="69"/>
      <c r="J5" s="70"/>
      <c r="K5" s="71"/>
    </row>
    <row r="6" spans="2:11" s="53" customFormat="1" ht="22.5" customHeight="1" thickBot="1">
      <c r="B6" s="72" t="s">
        <v>46</v>
      </c>
      <c r="C6" s="470" t="s">
        <v>47</v>
      </c>
      <c r="D6" s="471"/>
      <c r="E6" s="472"/>
      <c r="F6" s="73" t="s">
        <v>48</v>
      </c>
      <c r="G6" s="74" t="s">
        <v>49</v>
      </c>
      <c r="H6" s="74" t="s">
        <v>50</v>
      </c>
      <c r="I6" s="74" t="s">
        <v>51</v>
      </c>
      <c r="J6" s="75" t="s">
        <v>52</v>
      </c>
      <c r="K6" s="71"/>
    </row>
    <row r="7" spans="2:11" ht="19.5" customHeight="1" thickTop="1">
      <c r="B7" s="459">
        <v>1</v>
      </c>
      <c r="C7" s="473" t="s">
        <v>53</v>
      </c>
      <c r="D7" s="463" t="s">
        <v>54</v>
      </c>
      <c r="E7" s="76" t="s">
        <v>55</v>
      </c>
      <c r="F7" s="77" t="s">
        <v>56</v>
      </c>
      <c r="G7" s="78">
        <f>단위장비1!F145+단위장비2!F62+단위장비3!F30+단위장비5!F29+단위장비4!F30+단위장비6!F30+단위장비7!F30+[1]단위장비8!F30+[1]단위장비9!F30+[1]단위장비10!F30</f>
        <v>0</v>
      </c>
      <c r="H7" s="79"/>
      <c r="I7" s="79">
        <f>단위장비1!H139+단위장비2!H56+단위장비3!H24+단위장비5!H23+단위장비4!H24+단위장비6!H24+단위장비7!H24+[1]단위장비8!H24+[1]단위장비9!H24+[1]단위장비10!H24</f>
        <v>658540000</v>
      </c>
      <c r="J7" s="80" t="s">
        <v>57</v>
      </c>
    </row>
    <row r="8" spans="2:11" ht="19.5" customHeight="1">
      <c r="B8" s="459"/>
      <c r="C8" s="463"/>
      <c r="D8" s="463"/>
      <c r="E8" s="81" t="s">
        <v>58</v>
      </c>
      <c r="F8" s="82" t="s">
        <v>59</v>
      </c>
      <c r="G8" s="83">
        <v>1</v>
      </c>
      <c r="H8" s="84"/>
      <c r="I8" s="84">
        <f>단위장비1!H273+단위장비2!H150+단위장비3!H47+단위장비5!H46+단위장비4!H47+단위장비6!H47+단위장비7!H47+[1]단위장비8!H47+[1]단위장비9!H47+[1]단위장비10!H47</f>
        <v>668860000</v>
      </c>
      <c r="J8" s="85" t="s">
        <v>60</v>
      </c>
    </row>
    <row r="9" spans="2:11" ht="19.5" customHeight="1">
      <c r="B9" s="459"/>
      <c r="C9" s="463"/>
      <c r="D9" s="463"/>
      <c r="E9" s="81" t="s">
        <v>61</v>
      </c>
      <c r="F9" s="82" t="s">
        <v>59</v>
      </c>
      <c r="G9" s="86">
        <v>1</v>
      </c>
      <c r="H9" s="84"/>
      <c r="I9" s="84">
        <f>단위장비1!H281+단위장비2!H158+단위장비3!H55+단위장비5!H54+단위장비4!H55+단위장비6!H55+단위장비7!H55+[1]단위장비8!H55+[1]단위장비9!H55+[1]단위장비10!H55</f>
        <v>329000000</v>
      </c>
      <c r="J9" s="85" t="s">
        <v>62</v>
      </c>
    </row>
    <row r="10" spans="2:11" ht="19.5" customHeight="1">
      <c r="B10" s="459"/>
      <c r="C10" s="463"/>
      <c r="D10" s="463"/>
      <c r="E10" s="87" t="s">
        <v>63</v>
      </c>
      <c r="F10" s="88" t="s">
        <v>59</v>
      </c>
      <c r="G10" s="89">
        <v>1</v>
      </c>
      <c r="H10" s="90"/>
      <c r="I10" s="90">
        <f>단위장비1!H145+단위장비2!H62+단위장비3!H30+단위장비5!H29+단위장비4!H30+단위장비6!H30+단위장비7!H30+[1]단위장비8!H30+[1]단위장비9!H30+[1]단위장비10!H30</f>
        <v>0</v>
      </c>
      <c r="J10" s="85" t="s">
        <v>64</v>
      </c>
    </row>
    <row r="11" spans="2:11" ht="19.5" customHeight="1">
      <c r="B11" s="459"/>
      <c r="C11" s="463"/>
      <c r="D11" s="434"/>
      <c r="E11" s="91" t="s">
        <v>65</v>
      </c>
      <c r="F11" s="440"/>
      <c r="G11" s="441"/>
      <c r="H11" s="442"/>
      <c r="I11" s="92">
        <f>SUM(I7:I10)</f>
        <v>1656400000</v>
      </c>
      <c r="J11" s="85"/>
    </row>
    <row r="12" spans="2:11" ht="19.5" customHeight="1">
      <c r="B12" s="459"/>
      <c r="C12" s="463"/>
      <c r="D12" s="466" t="s">
        <v>66</v>
      </c>
      <c r="E12" s="87" t="s">
        <v>67</v>
      </c>
      <c r="F12" s="88" t="s">
        <v>68</v>
      </c>
      <c r="G12" s="90">
        <f>단위장비1!F283+단위장비2!F160+단위장비3!F57+단위장비5!F56+단위장비4!F57+단위장비6!F57+단위장비7!F57+[1]단위장비8!F57+[1]단위장비9!F57+[1]단위장비10!F57</f>
        <v>0</v>
      </c>
      <c r="H12" s="90" t="str">
        <f>IF(단위장비1!G283&gt;0,단위장비1!G283,"")</f>
        <v/>
      </c>
      <c r="I12" s="90">
        <f>단위장비1!H283+단위장비2!H160+단위장비3!H57+단위장비5!H56+단위장비4!H57+단위장비6!H57+단위장비7!H57+[1]단위장비8!H57+[1]단위장비9!H57+[1]단위장비10!H57</f>
        <v>0</v>
      </c>
      <c r="J12" s="85" t="s">
        <v>69</v>
      </c>
    </row>
    <row r="13" spans="2:11" ht="19.5" customHeight="1">
      <c r="B13" s="459"/>
      <c r="C13" s="463"/>
      <c r="D13" s="463"/>
      <c r="E13" s="81" t="s">
        <v>70</v>
      </c>
      <c r="F13" s="82" t="s">
        <v>68</v>
      </c>
      <c r="G13" s="84">
        <f>단위장비1!F284+단위장비2!F161+단위장비3!F58+단위장비5!F57+단위장비4!F58+단위장비6!F58+단위장비7!F58+[1]단위장비8!F58+[1]단위장비9!F58+[1]단위장비10!F58</f>
        <v>0</v>
      </c>
      <c r="H13" s="84" t="str">
        <f>IF(단위장비1!G284&gt;0,단위장비1!G284,"")</f>
        <v/>
      </c>
      <c r="I13" s="84">
        <f>단위장비1!H284+단위장비2!H161+단위장비3!H58+단위장비5!H57+단위장비4!H58+단위장비6!H58+단위장비7!H58+[1]단위장비8!H58+[1]단위장비9!H58+[1]단위장비10!H58</f>
        <v>0</v>
      </c>
      <c r="J13" s="85"/>
    </row>
    <row r="14" spans="2:11" ht="19.5" customHeight="1">
      <c r="B14" s="459"/>
      <c r="C14" s="463"/>
      <c r="D14" s="463"/>
      <c r="E14" s="81" t="s">
        <v>71</v>
      </c>
      <c r="F14" s="82" t="s">
        <v>68</v>
      </c>
      <c r="G14" s="84">
        <f>단위장비1!F285+단위장비2!F162+단위장비3!F59+단위장비5!F58+단위장비4!F59+단위장비6!F59+단위장비7!F59+[1]단위장비8!F59+[1]단위장비9!F59+[1]단위장비10!F59</f>
        <v>1170</v>
      </c>
      <c r="H14" s="84">
        <f>IF(단위장비1!G285&gt;0,단위장비1!G285,"")</f>
        <v>300000</v>
      </c>
      <c r="I14" s="84">
        <f>단위장비1!H285+단위장비2!H162+단위장비3!H59+단위장비5!H58+단위장비4!H59+단위장비6!H59+단위장비7!H59+[1]단위장비8!H59+[1]단위장비9!H59+[1]단위장비10!H59</f>
        <v>351000000</v>
      </c>
      <c r="J14" s="85"/>
    </row>
    <row r="15" spans="2:11" ht="19.5" customHeight="1">
      <c r="B15" s="459"/>
      <c r="C15" s="463"/>
      <c r="D15" s="463"/>
      <c r="E15" s="81" t="s">
        <v>72</v>
      </c>
      <c r="F15" s="82" t="s">
        <v>68</v>
      </c>
      <c r="G15" s="84">
        <f>단위장비1!F286+단위장비2!F163+단위장비3!F60+단위장비5!F59+단위장비4!F60+단위장비6!F60+단위장비7!F60+[1]단위장비8!F60+[1]단위장비9!F60+[1]단위장비10!F60</f>
        <v>0</v>
      </c>
      <c r="H15" s="84" t="str">
        <f>IF(단위장비1!G286&gt;0,단위장비1!G286,"")</f>
        <v/>
      </c>
      <c r="I15" s="84">
        <f>단위장비1!H286+단위장비2!H163+단위장비3!H60+단위장비5!H59+단위장비4!H60+단위장비6!H60+단위장비7!H60+[1]단위장비8!H60+[1]단위장비9!H60+[1]단위장비10!H60</f>
        <v>0</v>
      </c>
      <c r="J15" s="85" t="s">
        <v>73</v>
      </c>
    </row>
    <row r="16" spans="2:11" ht="19.5" customHeight="1">
      <c r="B16" s="459"/>
      <c r="C16" s="463"/>
      <c r="D16" s="463"/>
      <c r="E16" s="87" t="s">
        <v>74</v>
      </c>
      <c r="F16" s="88" t="s">
        <v>68</v>
      </c>
      <c r="G16" s="90">
        <f>단위장비1!F287+단위장비2!F164+단위장비3!F61+단위장비5!F60+단위장비4!F61+단위장비6!F61+단위장비7!F61+[1]단위장비8!F61+[1]단위장비9!F61+[1]단위장비10!F61</f>
        <v>520</v>
      </c>
      <c r="H16" s="90">
        <f>IF(단위장비1!G287&gt;0,단위장비1!G287,"")</f>
        <v>300000</v>
      </c>
      <c r="I16" s="90">
        <f>단위장비1!H287+단위장비2!H164+단위장비3!H61+단위장비5!H60+단위장비4!H61+단위장비6!H61+단위장비7!H61+[1]단위장비8!H61+[1]단위장비9!H61+[1]단위장비10!H61</f>
        <v>172000000</v>
      </c>
      <c r="J16" s="85"/>
    </row>
    <row r="17" spans="2:10" ht="19.5" customHeight="1">
      <c r="B17" s="459"/>
      <c r="C17" s="463"/>
      <c r="D17" s="463"/>
      <c r="E17" s="87" t="s">
        <v>75</v>
      </c>
      <c r="F17" s="88" t="s">
        <v>68</v>
      </c>
      <c r="G17" s="90">
        <f>단위장비1!F288+단위장비2!F165+단위장비3!F62+단위장비5!F61+단위장비4!F62+단위장비6!F62+단위장비7!F62+[1]단위장비8!F62+[1]단위장비9!F62+[1]단위장비10!F62</f>
        <v>256</v>
      </c>
      <c r="H17" s="90">
        <f>IF(단위장비1!G288&gt;0,단위장비1!G288,"")</f>
        <v>300000</v>
      </c>
      <c r="I17" s="90">
        <f>단위장비1!H288+단위장비2!H165+단위장비3!H62+단위장비5!H61+단위장비4!H62+단위장비6!H62+단위장비7!H62+[1]단위장비8!H62+[1]단위장비9!H62+[1]단위장비10!H62</f>
        <v>90400000</v>
      </c>
      <c r="J17" s="85"/>
    </row>
    <row r="18" spans="2:10" ht="19.5" customHeight="1">
      <c r="B18" s="459"/>
      <c r="C18" s="463"/>
      <c r="D18" s="463"/>
      <c r="E18" s="81" t="s">
        <v>76</v>
      </c>
      <c r="F18" s="82" t="s">
        <v>68</v>
      </c>
      <c r="G18" s="84">
        <f>단위장비1!F289+단위장비2!F166+단위장비3!F63+단위장비5!F62+단위장비4!F63+단위장비6!F63+단위장비7!F63+[1]단위장비8!F63+[1]단위장비9!F63+[1]단위장비10!F63</f>
        <v>56</v>
      </c>
      <c r="H18" s="84" t="str">
        <f>IF(단위장비1!G289&gt;0,단위장비1!G289,"")</f>
        <v/>
      </c>
      <c r="I18" s="84">
        <f>단위장비1!H289+단위장비2!H166+단위장비3!H63+단위장비5!H62+단위장비4!H63+단위장비6!H63+단위장비7!H63+[1]단위장비8!H63+[1]단위장비9!H63+[1]단위장비10!H63</f>
        <v>22400000</v>
      </c>
      <c r="J18" s="85"/>
    </row>
    <row r="19" spans="2:10" ht="19.5" customHeight="1">
      <c r="B19" s="459"/>
      <c r="C19" s="463"/>
      <c r="D19" s="463"/>
      <c r="E19" s="81" t="s">
        <v>77</v>
      </c>
      <c r="F19" s="82" t="s">
        <v>68</v>
      </c>
      <c r="G19" s="84">
        <f>단위장비1!F290+단위장비2!F167+단위장비3!F64+단위장비5!F63+단위장비4!F64+단위장비6!F64+단위장비7!F64+[1]단위장비8!F64+[1]단위장비9!F64+[1]단위장비10!F64</f>
        <v>0</v>
      </c>
      <c r="H19" s="84" t="str">
        <f>IF(단위장비1!G290&gt;0,단위장비1!G290,"")</f>
        <v/>
      </c>
      <c r="I19" s="84">
        <f>단위장비1!H290+단위장비2!H167+단위장비3!H64+단위장비5!H63+단위장비4!H64+단위장비6!H64+단위장비7!H64+[1]단위장비8!H64+[1]단위장비9!H64+[1]단위장비10!H64</f>
        <v>0</v>
      </c>
      <c r="J19" s="85"/>
    </row>
    <row r="20" spans="2:10" ht="19.5" customHeight="1">
      <c r="B20" s="459"/>
      <c r="C20" s="463"/>
      <c r="D20" s="434"/>
      <c r="E20" s="91" t="s">
        <v>65</v>
      </c>
      <c r="F20" s="440"/>
      <c r="G20" s="441"/>
      <c r="H20" s="442"/>
      <c r="I20" s="92">
        <f>SUM(I12:I19)</f>
        <v>635800000</v>
      </c>
      <c r="J20" s="85"/>
    </row>
    <row r="21" spans="2:10" ht="19.5" customHeight="1">
      <c r="B21" s="459"/>
      <c r="C21" s="463"/>
      <c r="D21" s="93" t="s">
        <v>78</v>
      </c>
      <c r="E21" s="94"/>
      <c r="F21" s="440"/>
      <c r="G21" s="441"/>
      <c r="H21" s="442"/>
      <c r="I21" s="95">
        <f>단위장비1!H293+단위장비1!H294+단위장비2!H170+단위장비2!H171+단위장비3!H67+단위장비3!H68+단위장비5!H66+단위장비5!H67+단위장비4!H67+단위장비4!H68+단위장비6!H67+단위장비6!H68+단위장비7!H67+단위장비7!H68+[1]단위장비8!H67+[1]단위장비8!H68+[1]단위장비9!H67+[1]단위장비9!H68+[1]단위장비10!H67+[1]단위장비10!H68</f>
        <v>49287000</v>
      </c>
      <c r="J21" s="96"/>
    </row>
    <row r="22" spans="2:10" ht="19.5" customHeight="1">
      <c r="B22" s="460"/>
      <c r="C22" s="464"/>
      <c r="D22" s="97"/>
      <c r="E22" s="98" t="s">
        <v>79</v>
      </c>
      <c r="F22" s="417"/>
      <c r="G22" s="418"/>
      <c r="H22" s="419"/>
      <c r="I22" s="99">
        <f>I20+I11+I21</f>
        <v>2341487000</v>
      </c>
      <c r="J22" s="100"/>
    </row>
    <row r="23" spans="2:10" ht="19.5" customHeight="1">
      <c r="B23" s="458">
        <v>2</v>
      </c>
      <c r="C23" s="461" t="s">
        <v>80</v>
      </c>
      <c r="D23" s="465" t="s">
        <v>54</v>
      </c>
      <c r="E23" s="101" t="s">
        <v>81</v>
      </c>
      <c r="F23" s="102" t="s">
        <v>59</v>
      </c>
      <c r="G23" s="103">
        <v>1</v>
      </c>
      <c r="H23" s="103"/>
      <c r="I23" s="103">
        <f>전기!H55-I24</f>
        <v>260000000</v>
      </c>
      <c r="J23" s="104"/>
    </row>
    <row r="24" spans="2:10" ht="19.5" customHeight="1">
      <c r="B24" s="459"/>
      <c r="C24" s="462"/>
      <c r="D24" s="429"/>
      <c r="E24" s="87" t="s">
        <v>63</v>
      </c>
      <c r="F24" s="105" t="s">
        <v>59</v>
      </c>
      <c r="G24" s="106">
        <v>1</v>
      </c>
      <c r="H24" s="106"/>
      <c r="I24" s="106">
        <f>전기!H16</f>
        <v>0</v>
      </c>
      <c r="J24" s="85" t="s">
        <v>64</v>
      </c>
    </row>
    <row r="25" spans="2:10" ht="19.5" customHeight="1">
      <c r="B25" s="459"/>
      <c r="C25" s="428"/>
      <c r="D25" s="466" t="s">
        <v>66</v>
      </c>
      <c r="E25" s="87" t="s">
        <v>82</v>
      </c>
      <c r="F25" s="88" t="s">
        <v>68</v>
      </c>
      <c r="G25" s="90">
        <f>전기!F56</f>
        <v>0</v>
      </c>
      <c r="H25" s="90" t="str">
        <f>IF(전기!G56&gt;0,전기!G56,"")</f>
        <v/>
      </c>
      <c r="I25" s="90">
        <f>전기!H56</f>
        <v>0</v>
      </c>
      <c r="J25" s="85"/>
    </row>
    <row r="26" spans="2:10" ht="19.5" customHeight="1">
      <c r="B26" s="459"/>
      <c r="C26" s="428"/>
      <c r="D26" s="463"/>
      <c r="E26" s="81" t="s">
        <v>83</v>
      </c>
      <c r="F26" s="82" t="s">
        <v>68</v>
      </c>
      <c r="G26" s="84">
        <f>전기!F57</f>
        <v>40</v>
      </c>
      <c r="H26" s="84">
        <f>IF(전기!G57&gt;0,전기!G57,"")</f>
        <v>500000</v>
      </c>
      <c r="I26" s="84">
        <f>전기!H57</f>
        <v>20000000</v>
      </c>
      <c r="J26" s="85"/>
    </row>
    <row r="27" spans="2:10" ht="19.5" customHeight="1">
      <c r="B27" s="459"/>
      <c r="C27" s="428"/>
      <c r="D27" s="463"/>
      <c r="E27" s="81" t="s">
        <v>84</v>
      </c>
      <c r="F27" s="82" t="s">
        <v>68</v>
      </c>
      <c r="G27" s="84">
        <f>전기!F58</f>
        <v>0</v>
      </c>
      <c r="H27" s="84" t="str">
        <f>IF(전기!G58&gt;0,전기!G58,"")</f>
        <v/>
      </c>
      <c r="I27" s="84">
        <f>전기!H58</f>
        <v>0</v>
      </c>
      <c r="J27" s="85"/>
    </row>
    <row r="28" spans="2:10" ht="19.5" customHeight="1">
      <c r="B28" s="459"/>
      <c r="C28" s="428"/>
      <c r="D28" s="463"/>
      <c r="E28" s="81" t="s">
        <v>72</v>
      </c>
      <c r="F28" s="82" t="s">
        <v>68</v>
      </c>
      <c r="G28" s="84">
        <f>전기!F59</f>
        <v>0</v>
      </c>
      <c r="H28" s="84" t="str">
        <f>IF(전기!G59&gt;0,전기!G59,"")</f>
        <v/>
      </c>
      <c r="I28" s="84">
        <f>전기!H59</f>
        <v>0</v>
      </c>
      <c r="J28" s="85"/>
    </row>
    <row r="29" spans="2:10" ht="19.5" customHeight="1">
      <c r="B29" s="459"/>
      <c r="C29" s="428"/>
      <c r="D29" s="463"/>
      <c r="E29" s="87" t="s">
        <v>74</v>
      </c>
      <c r="F29" s="88" t="s">
        <v>68</v>
      </c>
      <c r="G29" s="90">
        <f>전기!F60</f>
        <v>350</v>
      </c>
      <c r="H29" s="90">
        <f>IF(전기!G60&gt;0,전기!G60,"")</f>
        <v>300000</v>
      </c>
      <c r="I29" s="90">
        <f>전기!H60</f>
        <v>105000000</v>
      </c>
      <c r="J29" s="85"/>
    </row>
    <row r="30" spans="2:10" ht="19.5" customHeight="1">
      <c r="B30" s="459"/>
      <c r="C30" s="428"/>
      <c r="D30" s="463"/>
      <c r="E30" s="87" t="s">
        <v>75</v>
      </c>
      <c r="F30" s="88" t="s">
        <v>68</v>
      </c>
      <c r="G30" s="90">
        <f>전기!F61</f>
        <v>0</v>
      </c>
      <c r="H30" s="90" t="str">
        <f>IF(전기!G61&gt;0,전기!G61,"")</f>
        <v/>
      </c>
      <c r="I30" s="90">
        <f>전기!H61</f>
        <v>0</v>
      </c>
      <c r="J30" s="85"/>
    </row>
    <row r="31" spans="2:10" ht="19.5" customHeight="1">
      <c r="B31" s="459"/>
      <c r="C31" s="428"/>
      <c r="D31" s="463"/>
      <c r="E31" s="81" t="s">
        <v>76</v>
      </c>
      <c r="F31" s="82" t="s">
        <v>68</v>
      </c>
      <c r="G31" s="84">
        <f>전기!F62</f>
        <v>0</v>
      </c>
      <c r="H31" s="84" t="str">
        <f>IF(전기!G62&gt;0,전기!G62,"")</f>
        <v/>
      </c>
      <c r="I31" s="84">
        <f>전기!H62</f>
        <v>0</v>
      </c>
      <c r="J31" s="85"/>
    </row>
    <row r="32" spans="2:10" ht="19.5" customHeight="1">
      <c r="B32" s="459"/>
      <c r="C32" s="428"/>
      <c r="D32" s="434"/>
      <c r="E32" s="91" t="s">
        <v>85</v>
      </c>
      <c r="F32" s="440"/>
      <c r="G32" s="441"/>
      <c r="H32" s="442"/>
      <c r="I32" s="92">
        <f>SUM(I25:I31)</f>
        <v>125000000</v>
      </c>
      <c r="J32" s="85"/>
    </row>
    <row r="33" spans="2:13" ht="19.5" customHeight="1">
      <c r="B33" s="459"/>
      <c r="C33" s="463"/>
      <c r="D33" s="93" t="s">
        <v>78</v>
      </c>
      <c r="E33" s="94"/>
      <c r="F33" s="440"/>
      <c r="G33" s="441"/>
      <c r="H33" s="442"/>
      <c r="I33" s="95">
        <f>전기!H65+전기!H66</f>
        <v>9625000</v>
      </c>
      <c r="J33" s="96"/>
    </row>
    <row r="34" spans="2:13" ht="19.5" customHeight="1">
      <c r="B34" s="460"/>
      <c r="C34" s="464"/>
      <c r="D34" s="97"/>
      <c r="E34" s="98" t="s">
        <v>86</v>
      </c>
      <c r="F34" s="417"/>
      <c r="G34" s="418"/>
      <c r="H34" s="419"/>
      <c r="I34" s="99">
        <f>I32+I23+I33+I24</f>
        <v>394625000</v>
      </c>
      <c r="J34" s="100"/>
    </row>
    <row r="35" spans="2:13" ht="19.5" customHeight="1">
      <c r="B35" s="449">
        <v>3</v>
      </c>
      <c r="C35" s="452" t="s">
        <v>87</v>
      </c>
      <c r="D35" s="453"/>
      <c r="E35" s="454"/>
      <c r="F35" s="452"/>
      <c r="G35" s="453"/>
      <c r="H35" s="454"/>
      <c r="I35" s="107">
        <f>I23+I11+I24</f>
        <v>1916400000</v>
      </c>
      <c r="J35" s="104"/>
    </row>
    <row r="36" spans="2:13" ht="19.5" customHeight="1">
      <c r="B36" s="450"/>
      <c r="C36" s="440" t="s">
        <v>88</v>
      </c>
      <c r="D36" s="441"/>
      <c r="E36" s="442"/>
      <c r="F36" s="440"/>
      <c r="G36" s="441"/>
      <c r="H36" s="442"/>
      <c r="I36" s="92">
        <f>I32+I20</f>
        <v>760800000</v>
      </c>
      <c r="J36" s="85"/>
    </row>
    <row r="37" spans="2:13" ht="19.5" customHeight="1" thickBot="1">
      <c r="B37" s="451"/>
      <c r="C37" s="455" t="s">
        <v>89</v>
      </c>
      <c r="D37" s="455"/>
      <c r="E37" s="456"/>
      <c r="F37" s="457"/>
      <c r="G37" s="455"/>
      <c r="H37" s="456"/>
      <c r="I37" s="108">
        <f>I36+I35</f>
        <v>2677200000</v>
      </c>
      <c r="J37" s="109"/>
    </row>
    <row r="38" spans="2:13" ht="20.25" customHeight="1">
      <c r="B38" s="110">
        <v>4</v>
      </c>
      <c r="C38" s="434" t="s">
        <v>90</v>
      </c>
      <c r="D38" s="435"/>
      <c r="E38" s="436"/>
      <c r="F38" s="437"/>
      <c r="G38" s="438"/>
      <c r="H38" s="439"/>
      <c r="I38" s="111"/>
      <c r="J38" s="112"/>
    </row>
    <row r="39" spans="2:13" ht="22.5" customHeight="1">
      <c r="B39" s="113">
        <v>5</v>
      </c>
      <c r="C39" s="440" t="s">
        <v>91</v>
      </c>
      <c r="D39" s="441"/>
      <c r="E39" s="442"/>
      <c r="F39" s="443" t="s">
        <v>92</v>
      </c>
      <c r="G39" s="444"/>
      <c r="H39" s="445"/>
      <c r="I39" s="114">
        <f>CEILING(MIN(I48:I49),1000)</f>
        <v>13888000</v>
      </c>
      <c r="J39" s="115">
        <f>I30+I29+I25+I24+I17+I16+I12+I10</f>
        <v>367400000</v>
      </c>
      <c r="K39" s="116"/>
      <c r="M39" s="116"/>
    </row>
    <row r="40" spans="2:13" ht="20.25" customHeight="1">
      <c r="B40" s="113">
        <v>6</v>
      </c>
      <c r="C40" s="440" t="s">
        <v>93</v>
      </c>
      <c r="D40" s="441"/>
      <c r="E40" s="442"/>
      <c r="F40" s="446"/>
      <c r="G40" s="447"/>
      <c r="H40" s="448"/>
      <c r="I40" s="92">
        <f>전기!H65+단위장비1!H293+단위장비2!H170+단위장비3!H67+단위장비5!H66+단위장비4!H67+단위장비6!H67+단위장비7!H67+[1]단위장비8!H67+[1]단위장비9!H67+[1]단위장비10!H67</f>
        <v>0</v>
      </c>
      <c r="J40" s="85"/>
    </row>
    <row r="41" spans="2:13" ht="20.25" customHeight="1">
      <c r="B41" s="117">
        <v>7</v>
      </c>
      <c r="C41" s="417" t="s">
        <v>94</v>
      </c>
      <c r="D41" s="418"/>
      <c r="E41" s="419"/>
      <c r="F41" s="420"/>
      <c r="G41" s="421"/>
      <c r="H41" s="422"/>
      <c r="I41" s="95">
        <f>전기!H66+단위장비1!H294+단위장비2!H171+단위장비3!H68+단위장비5!H67+단위장비4!H68+단위장비6!H68+단위장비7!H68+[1]단위장비8!H68+[1]단위장비9!H68+[1]단위장비10!H68</f>
        <v>58912000</v>
      </c>
      <c r="J41" s="96"/>
      <c r="K41" s="52"/>
    </row>
    <row r="42" spans="2:13" ht="28.5" customHeight="1" thickBot="1">
      <c r="B42" s="118"/>
      <c r="C42" s="423" t="s">
        <v>95</v>
      </c>
      <c r="D42" s="423"/>
      <c r="E42" s="423"/>
      <c r="F42" s="424" t="s">
        <v>96</v>
      </c>
      <c r="G42" s="425"/>
      <c r="H42" s="426"/>
      <c r="I42" s="119">
        <f>I22+I34+I38+I39</f>
        <v>2750000000</v>
      </c>
      <c r="J42" s="120"/>
      <c r="K42" s="52"/>
    </row>
    <row r="43" spans="2:13" ht="19.5" customHeight="1">
      <c r="B43" s="52" t="s">
        <v>97</v>
      </c>
      <c r="C43" s="53"/>
      <c r="D43" s="53"/>
      <c r="E43" s="53"/>
    </row>
    <row r="44" spans="2:13" ht="19.5" customHeight="1">
      <c r="B44" s="52" t="s">
        <v>98</v>
      </c>
      <c r="C44" s="53"/>
      <c r="D44" s="53"/>
      <c r="E44" s="53"/>
    </row>
    <row r="45" spans="2:13" ht="19.5" customHeight="1">
      <c r="B45" s="52" t="s">
        <v>99</v>
      </c>
      <c r="C45" s="53"/>
      <c r="D45" s="53"/>
      <c r="E45" s="53"/>
    </row>
    <row r="46" spans="2:13" ht="19.5" customHeight="1">
      <c r="C46" s="53"/>
      <c r="D46" s="53"/>
      <c r="E46" s="53"/>
    </row>
    <row r="47" spans="2:13" ht="19.5" customHeight="1">
      <c r="C47" s="53"/>
      <c r="D47" s="53"/>
      <c r="E47" s="427" t="s">
        <v>100</v>
      </c>
      <c r="F47" s="430" t="s">
        <v>101</v>
      </c>
      <c r="G47" s="431"/>
      <c r="H47" s="432"/>
      <c r="I47" s="121" t="s">
        <v>102</v>
      </c>
      <c r="J47" s="81" t="s">
        <v>103</v>
      </c>
      <c r="K47" s="122" t="s">
        <v>104</v>
      </c>
    </row>
    <row r="48" spans="2:13" ht="19.5" customHeight="1">
      <c r="C48" s="53"/>
      <c r="D48" s="53"/>
      <c r="E48" s="428"/>
      <c r="F48" s="433" t="s">
        <v>105</v>
      </c>
      <c r="G48" s="433"/>
      <c r="H48" s="433"/>
      <c r="I48" s="92">
        <f>IF(J48&lt;500000000,J48*0.0315,1)+IF(J48&gt;500000000,J48*0.0253+3300000)*IF(J48&gt;5000000000,0,1)+IF(J48&gt;5000000000,J48*0.026,0)</f>
        <v>71033161</v>
      </c>
      <c r="J48" s="123">
        <f>SUM(I7:I10,I12:I19,I23:I31,I38)</f>
        <v>2677200000</v>
      </c>
      <c r="K48" s="123" t="s">
        <v>106</v>
      </c>
    </row>
    <row r="49" spans="5:11" ht="19.5" customHeight="1">
      <c r="E49" s="429"/>
      <c r="F49" s="433" t="s">
        <v>107</v>
      </c>
      <c r="G49" s="433"/>
      <c r="H49" s="433"/>
      <c r="I49" s="92">
        <f>(IF(J49&lt;500000000,J49*0.0315,1)+IF(J49&gt;500000000,J49*0.0253+3300000)*IF(J49&gt;5000000000,0,1)+IF(J49&gt;5000000000,J49*0.026,0))*1.2</f>
        <v>13887720</v>
      </c>
      <c r="J49" s="124">
        <f>SUM(I10,I24,I12,I16:I17,I25,I29:I30)</f>
        <v>367400000</v>
      </c>
      <c r="K49" s="123" t="s">
        <v>108</v>
      </c>
    </row>
    <row r="50" spans="5:11" ht="19.5" customHeight="1">
      <c r="G50" s="125" t="s">
        <v>109</v>
      </c>
    </row>
  </sheetData>
  <mergeCells count="38">
    <mergeCell ref="F11:H11"/>
    <mergeCell ref="D12:D20"/>
    <mergeCell ref="F20:H20"/>
    <mergeCell ref="F21:H21"/>
    <mergeCell ref="F22:H22"/>
    <mergeCell ref="C5:E5"/>
    <mergeCell ref="C6:E6"/>
    <mergeCell ref="B7:B22"/>
    <mergeCell ref="C7:C22"/>
    <mergeCell ref="D7:D11"/>
    <mergeCell ref="B23:B34"/>
    <mergeCell ref="C23:C34"/>
    <mergeCell ref="D23:D24"/>
    <mergeCell ref="D25:D32"/>
    <mergeCell ref="F32:H32"/>
    <mergeCell ref="F33:H33"/>
    <mergeCell ref="F34:H34"/>
    <mergeCell ref="B35:B37"/>
    <mergeCell ref="C35:E35"/>
    <mergeCell ref="F35:H35"/>
    <mergeCell ref="C36:E36"/>
    <mergeCell ref="F36:H36"/>
    <mergeCell ref="C37:E37"/>
    <mergeCell ref="F37:H37"/>
    <mergeCell ref="C38:E38"/>
    <mergeCell ref="F38:H38"/>
    <mergeCell ref="C39:E39"/>
    <mergeCell ref="F39:H39"/>
    <mergeCell ref="C40:E40"/>
    <mergeCell ref="F40:H40"/>
    <mergeCell ref="C41:E41"/>
    <mergeCell ref="F41:H41"/>
    <mergeCell ref="C42:E42"/>
    <mergeCell ref="F42:H42"/>
    <mergeCell ref="E47:E49"/>
    <mergeCell ref="F47:H47"/>
    <mergeCell ref="F48:H48"/>
    <mergeCell ref="F49:H49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0EC6-0C47-4D4E-8BC1-E02E1E7B710E}">
  <sheetPr>
    <pageSetUpPr fitToPage="1"/>
  </sheetPr>
  <dimension ref="A2:P22"/>
  <sheetViews>
    <sheetView zoomScale="130" zoomScaleNormal="130" workbookViewId="0">
      <selection activeCell="H66" sqref="H66"/>
    </sheetView>
  </sheetViews>
  <sheetFormatPr defaultColWidth="9" defaultRowHeight="17.25" customHeight="1"/>
  <cols>
    <col min="1" max="1" width="5" style="1" customWidth="1"/>
    <col min="2" max="2" width="20.09765625" style="1" customWidth="1"/>
    <col min="3" max="3" width="6.19921875" style="1" customWidth="1"/>
    <col min="4" max="4" width="13.59765625" style="1" bestFit="1" customWidth="1"/>
    <col min="5" max="8" width="11.8984375" style="1" customWidth="1"/>
    <col min="9" max="9" width="13" style="1" customWidth="1"/>
    <col min="10" max="10" width="16.59765625" style="1" bestFit="1" customWidth="1"/>
    <col min="11" max="11" width="13.8984375" style="1" customWidth="1"/>
    <col min="12" max="12" width="12.5" style="1" bestFit="1" customWidth="1"/>
    <col min="13" max="13" width="15" style="1" bestFit="1" customWidth="1"/>
    <col min="14" max="14" width="16.59765625" style="1" bestFit="1" customWidth="1"/>
    <col min="15" max="15" width="9.59765625" style="1" customWidth="1"/>
    <col min="16" max="16" width="12.59765625" style="1" hidden="1" customWidth="1"/>
    <col min="17" max="17" width="10" style="1" customWidth="1"/>
    <col min="18" max="256" width="9" style="1"/>
    <col min="257" max="257" width="5" style="1" customWidth="1"/>
    <col min="258" max="258" width="20.09765625" style="1" customWidth="1"/>
    <col min="259" max="259" width="6.19921875" style="1" customWidth="1"/>
    <col min="260" max="260" width="13.59765625" style="1" bestFit="1" customWidth="1"/>
    <col min="261" max="264" width="11.8984375" style="1" customWidth="1"/>
    <col min="265" max="265" width="13" style="1" customWidth="1"/>
    <col min="266" max="266" width="16.59765625" style="1" bestFit="1" customWidth="1"/>
    <col min="267" max="267" width="13.8984375" style="1" customWidth="1"/>
    <col min="268" max="268" width="12.5" style="1" bestFit="1" customWidth="1"/>
    <col min="269" max="269" width="15" style="1" bestFit="1" customWidth="1"/>
    <col min="270" max="270" width="16.59765625" style="1" bestFit="1" customWidth="1"/>
    <col min="271" max="271" width="9.59765625" style="1" customWidth="1"/>
    <col min="272" max="272" width="0" style="1" hidden="1" customWidth="1"/>
    <col min="273" max="273" width="10" style="1" customWidth="1"/>
    <col min="274" max="512" width="9" style="1"/>
    <col min="513" max="513" width="5" style="1" customWidth="1"/>
    <col min="514" max="514" width="20.09765625" style="1" customWidth="1"/>
    <col min="515" max="515" width="6.19921875" style="1" customWidth="1"/>
    <col min="516" max="516" width="13.59765625" style="1" bestFit="1" customWidth="1"/>
    <col min="517" max="520" width="11.8984375" style="1" customWidth="1"/>
    <col min="521" max="521" width="13" style="1" customWidth="1"/>
    <col min="522" max="522" width="16.59765625" style="1" bestFit="1" customWidth="1"/>
    <col min="523" max="523" width="13.8984375" style="1" customWidth="1"/>
    <col min="524" max="524" width="12.5" style="1" bestFit="1" customWidth="1"/>
    <col min="525" max="525" width="15" style="1" bestFit="1" customWidth="1"/>
    <col min="526" max="526" width="16.59765625" style="1" bestFit="1" customWidth="1"/>
    <col min="527" max="527" width="9.59765625" style="1" customWidth="1"/>
    <col min="528" max="528" width="0" style="1" hidden="1" customWidth="1"/>
    <col min="529" max="529" width="10" style="1" customWidth="1"/>
    <col min="530" max="768" width="9" style="1"/>
    <col min="769" max="769" width="5" style="1" customWidth="1"/>
    <col min="770" max="770" width="20.09765625" style="1" customWidth="1"/>
    <col min="771" max="771" width="6.19921875" style="1" customWidth="1"/>
    <col min="772" max="772" width="13.59765625" style="1" bestFit="1" customWidth="1"/>
    <col min="773" max="776" width="11.8984375" style="1" customWidth="1"/>
    <col min="777" max="777" width="13" style="1" customWidth="1"/>
    <col min="778" max="778" width="16.59765625" style="1" bestFit="1" customWidth="1"/>
    <col min="779" max="779" width="13.8984375" style="1" customWidth="1"/>
    <col min="780" max="780" width="12.5" style="1" bestFit="1" customWidth="1"/>
    <col min="781" max="781" width="15" style="1" bestFit="1" customWidth="1"/>
    <col min="782" max="782" width="16.59765625" style="1" bestFit="1" customWidth="1"/>
    <col min="783" max="783" width="9.59765625" style="1" customWidth="1"/>
    <col min="784" max="784" width="0" style="1" hidden="1" customWidth="1"/>
    <col min="785" max="785" width="10" style="1" customWidth="1"/>
    <col min="786" max="1024" width="9" style="1"/>
    <col min="1025" max="1025" width="5" style="1" customWidth="1"/>
    <col min="1026" max="1026" width="20.09765625" style="1" customWidth="1"/>
    <col min="1027" max="1027" width="6.19921875" style="1" customWidth="1"/>
    <col min="1028" max="1028" width="13.59765625" style="1" bestFit="1" customWidth="1"/>
    <col min="1029" max="1032" width="11.8984375" style="1" customWidth="1"/>
    <col min="1033" max="1033" width="13" style="1" customWidth="1"/>
    <col min="1034" max="1034" width="16.59765625" style="1" bestFit="1" customWidth="1"/>
    <col min="1035" max="1035" width="13.8984375" style="1" customWidth="1"/>
    <col min="1036" max="1036" width="12.5" style="1" bestFit="1" customWidth="1"/>
    <col min="1037" max="1037" width="15" style="1" bestFit="1" customWidth="1"/>
    <col min="1038" max="1038" width="16.59765625" style="1" bestFit="1" customWidth="1"/>
    <col min="1039" max="1039" width="9.59765625" style="1" customWidth="1"/>
    <col min="1040" max="1040" width="0" style="1" hidden="1" customWidth="1"/>
    <col min="1041" max="1041" width="10" style="1" customWidth="1"/>
    <col min="1042" max="1280" width="9" style="1"/>
    <col min="1281" max="1281" width="5" style="1" customWidth="1"/>
    <col min="1282" max="1282" width="20.09765625" style="1" customWidth="1"/>
    <col min="1283" max="1283" width="6.19921875" style="1" customWidth="1"/>
    <col min="1284" max="1284" width="13.59765625" style="1" bestFit="1" customWidth="1"/>
    <col min="1285" max="1288" width="11.8984375" style="1" customWidth="1"/>
    <col min="1289" max="1289" width="13" style="1" customWidth="1"/>
    <col min="1290" max="1290" width="16.59765625" style="1" bestFit="1" customWidth="1"/>
    <col min="1291" max="1291" width="13.8984375" style="1" customWidth="1"/>
    <col min="1292" max="1292" width="12.5" style="1" bestFit="1" customWidth="1"/>
    <col min="1293" max="1293" width="15" style="1" bestFit="1" customWidth="1"/>
    <col min="1294" max="1294" width="16.59765625" style="1" bestFit="1" customWidth="1"/>
    <col min="1295" max="1295" width="9.59765625" style="1" customWidth="1"/>
    <col min="1296" max="1296" width="0" style="1" hidden="1" customWidth="1"/>
    <col min="1297" max="1297" width="10" style="1" customWidth="1"/>
    <col min="1298" max="1536" width="9" style="1"/>
    <col min="1537" max="1537" width="5" style="1" customWidth="1"/>
    <col min="1538" max="1538" width="20.09765625" style="1" customWidth="1"/>
    <col min="1539" max="1539" width="6.19921875" style="1" customWidth="1"/>
    <col min="1540" max="1540" width="13.59765625" style="1" bestFit="1" customWidth="1"/>
    <col min="1541" max="1544" width="11.8984375" style="1" customWidth="1"/>
    <col min="1545" max="1545" width="13" style="1" customWidth="1"/>
    <col min="1546" max="1546" width="16.59765625" style="1" bestFit="1" customWidth="1"/>
    <col min="1547" max="1547" width="13.8984375" style="1" customWidth="1"/>
    <col min="1548" max="1548" width="12.5" style="1" bestFit="1" customWidth="1"/>
    <col min="1549" max="1549" width="15" style="1" bestFit="1" customWidth="1"/>
    <col min="1550" max="1550" width="16.59765625" style="1" bestFit="1" customWidth="1"/>
    <col min="1551" max="1551" width="9.59765625" style="1" customWidth="1"/>
    <col min="1552" max="1552" width="0" style="1" hidden="1" customWidth="1"/>
    <col min="1553" max="1553" width="10" style="1" customWidth="1"/>
    <col min="1554" max="1792" width="9" style="1"/>
    <col min="1793" max="1793" width="5" style="1" customWidth="1"/>
    <col min="1794" max="1794" width="20.09765625" style="1" customWidth="1"/>
    <col min="1795" max="1795" width="6.19921875" style="1" customWidth="1"/>
    <col min="1796" max="1796" width="13.59765625" style="1" bestFit="1" customWidth="1"/>
    <col min="1797" max="1800" width="11.8984375" style="1" customWidth="1"/>
    <col min="1801" max="1801" width="13" style="1" customWidth="1"/>
    <col min="1802" max="1802" width="16.59765625" style="1" bestFit="1" customWidth="1"/>
    <col min="1803" max="1803" width="13.8984375" style="1" customWidth="1"/>
    <col min="1804" max="1804" width="12.5" style="1" bestFit="1" customWidth="1"/>
    <col min="1805" max="1805" width="15" style="1" bestFit="1" customWidth="1"/>
    <col min="1806" max="1806" width="16.59765625" style="1" bestFit="1" customWidth="1"/>
    <col min="1807" max="1807" width="9.59765625" style="1" customWidth="1"/>
    <col min="1808" max="1808" width="0" style="1" hidden="1" customWidth="1"/>
    <col min="1809" max="1809" width="10" style="1" customWidth="1"/>
    <col min="1810" max="2048" width="9" style="1"/>
    <col min="2049" max="2049" width="5" style="1" customWidth="1"/>
    <col min="2050" max="2050" width="20.09765625" style="1" customWidth="1"/>
    <col min="2051" max="2051" width="6.19921875" style="1" customWidth="1"/>
    <col min="2052" max="2052" width="13.59765625" style="1" bestFit="1" customWidth="1"/>
    <col min="2053" max="2056" width="11.8984375" style="1" customWidth="1"/>
    <col min="2057" max="2057" width="13" style="1" customWidth="1"/>
    <col min="2058" max="2058" width="16.59765625" style="1" bestFit="1" customWidth="1"/>
    <col min="2059" max="2059" width="13.8984375" style="1" customWidth="1"/>
    <col min="2060" max="2060" width="12.5" style="1" bestFit="1" customWidth="1"/>
    <col min="2061" max="2061" width="15" style="1" bestFit="1" customWidth="1"/>
    <col min="2062" max="2062" width="16.59765625" style="1" bestFit="1" customWidth="1"/>
    <col min="2063" max="2063" width="9.59765625" style="1" customWidth="1"/>
    <col min="2064" max="2064" width="0" style="1" hidden="1" customWidth="1"/>
    <col min="2065" max="2065" width="10" style="1" customWidth="1"/>
    <col min="2066" max="2304" width="9" style="1"/>
    <col min="2305" max="2305" width="5" style="1" customWidth="1"/>
    <col min="2306" max="2306" width="20.09765625" style="1" customWidth="1"/>
    <col min="2307" max="2307" width="6.19921875" style="1" customWidth="1"/>
    <col min="2308" max="2308" width="13.59765625" style="1" bestFit="1" customWidth="1"/>
    <col min="2309" max="2312" width="11.8984375" style="1" customWidth="1"/>
    <col min="2313" max="2313" width="13" style="1" customWidth="1"/>
    <col min="2314" max="2314" width="16.59765625" style="1" bestFit="1" customWidth="1"/>
    <col min="2315" max="2315" width="13.8984375" style="1" customWidth="1"/>
    <col min="2316" max="2316" width="12.5" style="1" bestFit="1" customWidth="1"/>
    <col min="2317" max="2317" width="15" style="1" bestFit="1" customWidth="1"/>
    <col min="2318" max="2318" width="16.59765625" style="1" bestFit="1" customWidth="1"/>
    <col min="2319" max="2319" width="9.59765625" style="1" customWidth="1"/>
    <col min="2320" max="2320" width="0" style="1" hidden="1" customWidth="1"/>
    <col min="2321" max="2321" width="10" style="1" customWidth="1"/>
    <col min="2322" max="2560" width="9" style="1"/>
    <col min="2561" max="2561" width="5" style="1" customWidth="1"/>
    <col min="2562" max="2562" width="20.09765625" style="1" customWidth="1"/>
    <col min="2563" max="2563" width="6.19921875" style="1" customWidth="1"/>
    <col min="2564" max="2564" width="13.59765625" style="1" bestFit="1" customWidth="1"/>
    <col min="2565" max="2568" width="11.8984375" style="1" customWidth="1"/>
    <col min="2569" max="2569" width="13" style="1" customWidth="1"/>
    <col min="2570" max="2570" width="16.59765625" style="1" bestFit="1" customWidth="1"/>
    <col min="2571" max="2571" width="13.8984375" style="1" customWidth="1"/>
    <col min="2572" max="2572" width="12.5" style="1" bestFit="1" customWidth="1"/>
    <col min="2573" max="2573" width="15" style="1" bestFit="1" customWidth="1"/>
    <col min="2574" max="2574" width="16.59765625" style="1" bestFit="1" customWidth="1"/>
    <col min="2575" max="2575" width="9.59765625" style="1" customWidth="1"/>
    <col min="2576" max="2576" width="0" style="1" hidden="1" customWidth="1"/>
    <col min="2577" max="2577" width="10" style="1" customWidth="1"/>
    <col min="2578" max="2816" width="9" style="1"/>
    <col min="2817" max="2817" width="5" style="1" customWidth="1"/>
    <col min="2818" max="2818" width="20.09765625" style="1" customWidth="1"/>
    <col min="2819" max="2819" width="6.19921875" style="1" customWidth="1"/>
    <col min="2820" max="2820" width="13.59765625" style="1" bestFit="1" customWidth="1"/>
    <col min="2821" max="2824" width="11.8984375" style="1" customWidth="1"/>
    <col min="2825" max="2825" width="13" style="1" customWidth="1"/>
    <col min="2826" max="2826" width="16.59765625" style="1" bestFit="1" customWidth="1"/>
    <col min="2827" max="2827" width="13.8984375" style="1" customWidth="1"/>
    <col min="2828" max="2828" width="12.5" style="1" bestFit="1" customWidth="1"/>
    <col min="2829" max="2829" width="15" style="1" bestFit="1" customWidth="1"/>
    <col min="2830" max="2830" width="16.59765625" style="1" bestFit="1" customWidth="1"/>
    <col min="2831" max="2831" width="9.59765625" style="1" customWidth="1"/>
    <col min="2832" max="2832" width="0" style="1" hidden="1" customWidth="1"/>
    <col min="2833" max="2833" width="10" style="1" customWidth="1"/>
    <col min="2834" max="3072" width="9" style="1"/>
    <col min="3073" max="3073" width="5" style="1" customWidth="1"/>
    <col min="3074" max="3074" width="20.09765625" style="1" customWidth="1"/>
    <col min="3075" max="3075" width="6.19921875" style="1" customWidth="1"/>
    <col min="3076" max="3076" width="13.59765625" style="1" bestFit="1" customWidth="1"/>
    <col min="3077" max="3080" width="11.8984375" style="1" customWidth="1"/>
    <col min="3081" max="3081" width="13" style="1" customWidth="1"/>
    <col min="3082" max="3082" width="16.59765625" style="1" bestFit="1" customWidth="1"/>
    <col min="3083" max="3083" width="13.8984375" style="1" customWidth="1"/>
    <col min="3084" max="3084" width="12.5" style="1" bestFit="1" customWidth="1"/>
    <col min="3085" max="3085" width="15" style="1" bestFit="1" customWidth="1"/>
    <col min="3086" max="3086" width="16.59765625" style="1" bestFit="1" customWidth="1"/>
    <col min="3087" max="3087" width="9.59765625" style="1" customWidth="1"/>
    <col min="3088" max="3088" width="0" style="1" hidden="1" customWidth="1"/>
    <col min="3089" max="3089" width="10" style="1" customWidth="1"/>
    <col min="3090" max="3328" width="9" style="1"/>
    <col min="3329" max="3329" width="5" style="1" customWidth="1"/>
    <col min="3330" max="3330" width="20.09765625" style="1" customWidth="1"/>
    <col min="3331" max="3331" width="6.19921875" style="1" customWidth="1"/>
    <col min="3332" max="3332" width="13.59765625" style="1" bestFit="1" customWidth="1"/>
    <col min="3333" max="3336" width="11.8984375" style="1" customWidth="1"/>
    <col min="3337" max="3337" width="13" style="1" customWidth="1"/>
    <col min="3338" max="3338" width="16.59765625" style="1" bestFit="1" customWidth="1"/>
    <col min="3339" max="3339" width="13.8984375" style="1" customWidth="1"/>
    <col min="3340" max="3340" width="12.5" style="1" bestFit="1" customWidth="1"/>
    <col min="3341" max="3341" width="15" style="1" bestFit="1" customWidth="1"/>
    <col min="3342" max="3342" width="16.59765625" style="1" bestFit="1" customWidth="1"/>
    <col min="3343" max="3343" width="9.59765625" style="1" customWidth="1"/>
    <col min="3344" max="3344" width="0" style="1" hidden="1" customWidth="1"/>
    <col min="3345" max="3345" width="10" style="1" customWidth="1"/>
    <col min="3346" max="3584" width="9" style="1"/>
    <col min="3585" max="3585" width="5" style="1" customWidth="1"/>
    <col min="3586" max="3586" width="20.09765625" style="1" customWidth="1"/>
    <col min="3587" max="3587" width="6.19921875" style="1" customWidth="1"/>
    <col min="3588" max="3588" width="13.59765625" style="1" bestFit="1" customWidth="1"/>
    <col min="3589" max="3592" width="11.8984375" style="1" customWidth="1"/>
    <col min="3593" max="3593" width="13" style="1" customWidth="1"/>
    <col min="3594" max="3594" width="16.59765625" style="1" bestFit="1" customWidth="1"/>
    <col min="3595" max="3595" width="13.8984375" style="1" customWidth="1"/>
    <col min="3596" max="3596" width="12.5" style="1" bestFit="1" customWidth="1"/>
    <col min="3597" max="3597" width="15" style="1" bestFit="1" customWidth="1"/>
    <col min="3598" max="3598" width="16.59765625" style="1" bestFit="1" customWidth="1"/>
    <col min="3599" max="3599" width="9.59765625" style="1" customWidth="1"/>
    <col min="3600" max="3600" width="0" style="1" hidden="1" customWidth="1"/>
    <col min="3601" max="3601" width="10" style="1" customWidth="1"/>
    <col min="3602" max="3840" width="9" style="1"/>
    <col min="3841" max="3841" width="5" style="1" customWidth="1"/>
    <col min="3842" max="3842" width="20.09765625" style="1" customWidth="1"/>
    <col min="3843" max="3843" width="6.19921875" style="1" customWidth="1"/>
    <col min="3844" max="3844" width="13.59765625" style="1" bestFit="1" customWidth="1"/>
    <col min="3845" max="3848" width="11.8984375" style="1" customWidth="1"/>
    <col min="3849" max="3849" width="13" style="1" customWidth="1"/>
    <col min="3850" max="3850" width="16.59765625" style="1" bestFit="1" customWidth="1"/>
    <col min="3851" max="3851" width="13.8984375" style="1" customWidth="1"/>
    <col min="3852" max="3852" width="12.5" style="1" bestFit="1" customWidth="1"/>
    <col min="3853" max="3853" width="15" style="1" bestFit="1" customWidth="1"/>
    <col min="3854" max="3854" width="16.59765625" style="1" bestFit="1" customWidth="1"/>
    <col min="3855" max="3855" width="9.59765625" style="1" customWidth="1"/>
    <col min="3856" max="3856" width="0" style="1" hidden="1" customWidth="1"/>
    <col min="3857" max="3857" width="10" style="1" customWidth="1"/>
    <col min="3858" max="4096" width="9" style="1"/>
    <col min="4097" max="4097" width="5" style="1" customWidth="1"/>
    <col min="4098" max="4098" width="20.09765625" style="1" customWidth="1"/>
    <col min="4099" max="4099" width="6.19921875" style="1" customWidth="1"/>
    <col min="4100" max="4100" width="13.59765625" style="1" bestFit="1" customWidth="1"/>
    <col min="4101" max="4104" width="11.8984375" style="1" customWidth="1"/>
    <col min="4105" max="4105" width="13" style="1" customWidth="1"/>
    <col min="4106" max="4106" width="16.59765625" style="1" bestFit="1" customWidth="1"/>
    <col min="4107" max="4107" width="13.8984375" style="1" customWidth="1"/>
    <col min="4108" max="4108" width="12.5" style="1" bestFit="1" customWidth="1"/>
    <col min="4109" max="4109" width="15" style="1" bestFit="1" customWidth="1"/>
    <col min="4110" max="4110" width="16.59765625" style="1" bestFit="1" customWidth="1"/>
    <col min="4111" max="4111" width="9.59765625" style="1" customWidth="1"/>
    <col min="4112" max="4112" width="0" style="1" hidden="1" customWidth="1"/>
    <col min="4113" max="4113" width="10" style="1" customWidth="1"/>
    <col min="4114" max="4352" width="9" style="1"/>
    <col min="4353" max="4353" width="5" style="1" customWidth="1"/>
    <col min="4354" max="4354" width="20.09765625" style="1" customWidth="1"/>
    <col min="4355" max="4355" width="6.19921875" style="1" customWidth="1"/>
    <col min="4356" max="4356" width="13.59765625" style="1" bestFit="1" customWidth="1"/>
    <col min="4357" max="4360" width="11.8984375" style="1" customWidth="1"/>
    <col min="4361" max="4361" width="13" style="1" customWidth="1"/>
    <col min="4362" max="4362" width="16.59765625" style="1" bestFit="1" customWidth="1"/>
    <col min="4363" max="4363" width="13.8984375" style="1" customWidth="1"/>
    <col min="4364" max="4364" width="12.5" style="1" bestFit="1" customWidth="1"/>
    <col min="4365" max="4365" width="15" style="1" bestFit="1" customWidth="1"/>
    <col min="4366" max="4366" width="16.59765625" style="1" bestFit="1" customWidth="1"/>
    <col min="4367" max="4367" width="9.59765625" style="1" customWidth="1"/>
    <col min="4368" max="4368" width="0" style="1" hidden="1" customWidth="1"/>
    <col min="4369" max="4369" width="10" style="1" customWidth="1"/>
    <col min="4370" max="4608" width="9" style="1"/>
    <col min="4609" max="4609" width="5" style="1" customWidth="1"/>
    <col min="4610" max="4610" width="20.09765625" style="1" customWidth="1"/>
    <col min="4611" max="4611" width="6.19921875" style="1" customWidth="1"/>
    <col min="4612" max="4612" width="13.59765625" style="1" bestFit="1" customWidth="1"/>
    <col min="4613" max="4616" width="11.8984375" style="1" customWidth="1"/>
    <col min="4617" max="4617" width="13" style="1" customWidth="1"/>
    <col min="4618" max="4618" width="16.59765625" style="1" bestFit="1" customWidth="1"/>
    <col min="4619" max="4619" width="13.8984375" style="1" customWidth="1"/>
    <col min="4620" max="4620" width="12.5" style="1" bestFit="1" customWidth="1"/>
    <col min="4621" max="4621" width="15" style="1" bestFit="1" customWidth="1"/>
    <col min="4622" max="4622" width="16.59765625" style="1" bestFit="1" customWidth="1"/>
    <col min="4623" max="4623" width="9.59765625" style="1" customWidth="1"/>
    <col min="4624" max="4624" width="0" style="1" hidden="1" customWidth="1"/>
    <col min="4625" max="4625" width="10" style="1" customWidth="1"/>
    <col min="4626" max="4864" width="9" style="1"/>
    <col min="4865" max="4865" width="5" style="1" customWidth="1"/>
    <col min="4866" max="4866" width="20.09765625" style="1" customWidth="1"/>
    <col min="4867" max="4867" width="6.19921875" style="1" customWidth="1"/>
    <col min="4868" max="4868" width="13.59765625" style="1" bestFit="1" customWidth="1"/>
    <col min="4869" max="4872" width="11.8984375" style="1" customWidth="1"/>
    <col min="4873" max="4873" width="13" style="1" customWidth="1"/>
    <col min="4874" max="4874" width="16.59765625" style="1" bestFit="1" customWidth="1"/>
    <col min="4875" max="4875" width="13.8984375" style="1" customWidth="1"/>
    <col min="4876" max="4876" width="12.5" style="1" bestFit="1" customWidth="1"/>
    <col min="4877" max="4877" width="15" style="1" bestFit="1" customWidth="1"/>
    <col min="4878" max="4878" width="16.59765625" style="1" bestFit="1" customWidth="1"/>
    <col min="4879" max="4879" width="9.59765625" style="1" customWidth="1"/>
    <col min="4880" max="4880" width="0" style="1" hidden="1" customWidth="1"/>
    <col min="4881" max="4881" width="10" style="1" customWidth="1"/>
    <col min="4882" max="5120" width="9" style="1"/>
    <col min="5121" max="5121" width="5" style="1" customWidth="1"/>
    <col min="5122" max="5122" width="20.09765625" style="1" customWidth="1"/>
    <col min="5123" max="5123" width="6.19921875" style="1" customWidth="1"/>
    <col min="5124" max="5124" width="13.59765625" style="1" bestFit="1" customWidth="1"/>
    <col min="5125" max="5128" width="11.8984375" style="1" customWidth="1"/>
    <col min="5129" max="5129" width="13" style="1" customWidth="1"/>
    <col min="5130" max="5130" width="16.59765625" style="1" bestFit="1" customWidth="1"/>
    <col min="5131" max="5131" width="13.8984375" style="1" customWidth="1"/>
    <col min="5132" max="5132" width="12.5" style="1" bestFit="1" customWidth="1"/>
    <col min="5133" max="5133" width="15" style="1" bestFit="1" customWidth="1"/>
    <col min="5134" max="5134" width="16.59765625" style="1" bestFit="1" customWidth="1"/>
    <col min="5135" max="5135" width="9.59765625" style="1" customWidth="1"/>
    <col min="5136" max="5136" width="0" style="1" hidden="1" customWidth="1"/>
    <col min="5137" max="5137" width="10" style="1" customWidth="1"/>
    <col min="5138" max="5376" width="9" style="1"/>
    <col min="5377" max="5377" width="5" style="1" customWidth="1"/>
    <col min="5378" max="5378" width="20.09765625" style="1" customWidth="1"/>
    <col min="5379" max="5379" width="6.19921875" style="1" customWidth="1"/>
    <col min="5380" max="5380" width="13.59765625" style="1" bestFit="1" customWidth="1"/>
    <col min="5381" max="5384" width="11.8984375" style="1" customWidth="1"/>
    <col min="5385" max="5385" width="13" style="1" customWidth="1"/>
    <col min="5386" max="5386" width="16.59765625" style="1" bestFit="1" customWidth="1"/>
    <col min="5387" max="5387" width="13.8984375" style="1" customWidth="1"/>
    <col min="5388" max="5388" width="12.5" style="1" bestFit="1" customWidth="1"/>
    <col min="5389" max="5389" width="15" style="1" bestFit="1" customWidth="1"/>
    <col min="5390" max="5390" width="16.59765625" style="1" bestFit="1" customWidth="1"/>
    <col min="5391" max="5391" width="9.59765625" style="1" customWidth="1"/>
    <col min="5392" max="5392" width="0" style="1" hidden="1" customWidth="1"/>
    <col min="5393" max="5393" width="10" style="1" customWidth="1"/>
    <col min="5394" max="5632" width="9" style="1"/>
    <col min="5633" max="5633" width="5" style="1" customWidth="1"/>
    <col min="5634" max="5634" width="20.09765625" style="1" customWidth="1"/>
    <col min="5635" max="5635" width="6.19921875" style="1" customWidth="1"/>
    <col min="5636" max="5636" width="13.59765625" style="1" bestFit="1" customWidth="1"/>
    <col min="5637" max="5640" width="11.8984375" style="1" customWidth="1"/>
    <col min="5641" max="5641" width="13" style="1" customWidth="1"/>
    <col min="5642" max="5642" width="16.59765625" style="1" bestFit="1" customWidth="1"/>
    <col min="5643" max="5643" width="13.8984375" style="1" customWidth="1"/>
    <col min="5644" max="5644" width="12.5" style="1" bestFit="1" customWidth="1"/>
    <col min="5645" max="5645" width="15" style="1" bestFit="1" customWidth="1"/>
    <col min="5646" max="5646" width="16.59765625" style="1" bestFit="1" customWidth="1"/>
    <col min="5647" max="5647" width="9.59765625" style="1" customWidth="1"/>
    <col min="5648" max="5648" width="0" style="1" hidden="1" customWidth="1"/>
    <col min="5649" max="5649" width="10" style="1" customWidth="1"/>
    <col min="5650" max="5888" width="9" style="1"/>
    <col min="5889" max="5889" width="5" style="1" customWidth="1"/>
    <col min="5890" max="5890" width="20.09765625" style="1" customWidth="1"/>
    <col min="5891" max="5891" width="6.19921875" style="1" customWidth="1"/>
    <col min="5892" max="5892" width="13.59765625" style="1" bestFit="1" customWidth="1"/>
    <col min="5893" max="5896" width="11.8984375" style="1" customWidth="1"/>
    <col min="5897" max="5897" width="13" style="1" customWidth="1"/>
    <col min="5898" max="5898" width="16.59765625" style="1" bestFit="1" customWidth="1"/>
    <col min="5899" max="5899" width="13.8984375" style="1" customWidth="1"/>
    <col min="5900" max="5900" width="12.5" style="1" bestFit="1" customWidth="1"/>
    <col min="5901" max="5901" width="15" style="1" bestFit="1" customWidth="1"/>
    <col min="5902" max="5902" width="16.59765625" style="1" bestFit="1" customWidth="1"/>
    <col min="5903" max="5903" width="9.59765625" style="1" customWidth="1"/>
    <col min="5904" max="5904" width="0" style="1" hidden="1" customWidth="1"/>
    <col min="5905" max="5905" width="10" style="1" customWidth="1"/>
    <col min="5906" max="6144" width="9" style="1"/>
    <col min="6145" max="6145" width="5" style="1" customWidth="1"/>
    <col min="6146" max="6146" width="20.09765625" style="1" customWidth="1"/>
    <col min="6147" max="6147" width="6.19921875" style="1" customWidth="1"/>
    <col min="6148" max="6148" width="13.59765625" style="1" bestFit="1" customWidth="1"/>
    <col min="6149" max="6152" width="11.8984375" style="1" customWidth="1"/>
    <col min="6153" max="6153" width="13" style="1" customWidth="1"/>
    <col min="6154" max="6154" width="16.59765625" style="1" bestFit="1" customWidth="1"/>
    <col min="6155" max="6155" width="13.8984375" style="1" customWidth="1"/>
    <col min="6156" max="6156" width="12.5" style="1" bestFit="1" customWidth="1"/>
    <col min="6157" max="6157" width="15" style="1" bestFit="1" customWidth="1"/>
    <col min="6158" max="6158" width="16.59765625" style="1" bestFit="1" customWidth="1"/>
    <col min="6159" max="6159" width="9.59765625" style="1" customWidth="1"/>
    <col min="6160" max="6160" width="0" style="1" hidden="1" customWidth="1"/>
    <col min="6161" max="6161" width="10" style="1" customWidth="1"/>
    <col min="6162" max="6400" width="9" style="1"/>
    <col min="6401" max="6401" width="5" style="1" customWidth="1"/>
    <col min="6402" max="6402" width="20.09765625" style="1" customWidth="1"/>
    <col min="6403" max="6403" width="6.19921875" style="1" customWidth="1"/>
    <col min="6404" max="6404" width="13.59765625" style="1" bestFit="1" customWidth="1"/>
    <col min="6405" max="6408" width="11.8984375" style="1" customWidth="1"/>
    <col min="6409" max="6409" width="13" style="1" customWidth="1"/>
    <col min="6410" max="6410" width="16.59765625" style="1" bestFit="1" customWidth="1"/>
    <col min="6411" max="6411" width="13.8984375" style="1" customWidth="1"/>
    <col min="6412" max="6412" width="12.5" style="1" bestFit="1" customWidth="1"/>
    <col min="6413" max="6413" width="15" style="1" bestFit="1" customWidth="1"/>
    <col min="6414" max="6414" width="16.59765625" style="1" bestFit="1" customWidth="1"/>
    <col min="6415" max="6415" width="9.59765625" style="1" customWidth="1"/>
    <col min="6416" max="6416" width="0" style="1" hidden="1" customWidth="1"/>
    <col min="6417" max="6417" width="10" style="1" customWidth="1"/>
    <col min="6418" max="6656" width="9" style="1"/>
    <col min="6657" max="6657" width="5" style="1" customWidth="1"/>
    <col min="6658" max="6658" width="20.09765625" style="1" customWidth="1"/>
    <col min="6659" max="6659" width="6.19921875" style="1" customWidth="1"/>
    <col min="6660" max="6660" width="13.59765625" style="1" bestFit="1" customWidth="1"/>
    <col min="6661" max="6664" width="11.8984375" style="1" customWidth="1"/>
    <col min="6665" max="6665" width="13" style="1" customWidth="1"/>
    <col min="6666" max="6666" width="16.59765625" style="1" bestFit="1" customWidth="1"/>
    <col min="6667" max="6667" width="13.8984375" style="1" customWidth="1"/>
    <col min="6668" max="6668" width="12.5" style="1" bestFit="1" customWidth="1"/>
    <col min="6669" max="6669" width="15" style="1" bestFit="1" customWidth="1"/>
    <col min="6670" max="6670" width="16.59765625" style="1" bestFit="1" customWidth="1"/>
    <col min="6671" max="6671" width="9.59765625" style="1" customWidth="1"/>
    <col min="6672" max="6672" width="0" style="1" hidden="1" customWidth="1"/>
    <col min="6673" max="6673" width="10" style="1" customWidth="1"/>
    <col min="6674" max="6912" width="9" style="1"/>
    <col min="6913" max="6913" width="5" style="1" customWidth="1"/>
    <col min="6914" max="6914" width="20.09765625" style="1" customWidth="1"/>
    <col min="6915" max="6915" width="6.19921875" style="1" customWidth="1"/>
    <col min="6916" max="6916" width="13.59765625" style="1" bestFit="1" customWidth="1"/>
    <col min="6917" max="6920" width="11.8984375" style="1" customWidth="1"/>
    <col min="6921" max="6921" width="13" style="1" customWidth="1"/>
    <col min="6922" max="6922" width="16.59765625" style="1" bestFit="1" customWidth="1"/>
    <col min="6923" max="6923" width="13.8984375" style="1" customWidth="1"/>
    <col min="6924" max="6924" width="12.5" style="1" bestFit="1" customWidth="1"/>
    <col min="6925" max="6925" width="15" style="1" bestFit="1" customWidth="1"/>
    <col min="6926" max="6926" width="16.59765625" style="1" bestFit="1" customWidth="1"/>
    <col min="6927" max="6927" width="9.59765625" style="1" customWidth="1"/>
    <col min="6928" max="6928" width="0" style="1" hidden="1" customWidth="1"/>
    <col min="6929" max="6929" width="10" style="1" customWidth="1"/>
    <col min="6930" max="7168" width="9" style="1"/>
    <col min="7169" max="7169" width="5" style="1" customWidth="1"/>
    <col min="7170" max="7170" width="20.09765625" style="1" customWidth="1"/>
    <col min="7171" max="7171" width="6.19921875" style="1" customWidth="1"/>
    <col min="7172" max="7172" width="13.59765625" style="1" bestFit="1" customWidth="1"/>
    <col min="7173" max="7176" width="11.8984375" style="1" customWidth="1"/>
    <col min="7177" max="7177" width="13" style="1" customWidth="1"/>
    <col min="7178" max="7178" width="16.59765625" style="1" bestFit="1" customWidth="1"/>
    <col min="7179" max="7179" width="13.8984375" style="1" customWidth="1"/>
    <col min="7180" max="7180" width="12.5" style="1" bestFit="1" customWidth="1"/>
    <col min="7181" max="7181" width="15" style="1" bestFit="1" customWidth="1"/>
    <col min="7182" max="7182" width="16.59765625" style="1" bestFit="1" customWidth="1"/>
    <col min="7183" max="7183" width="9.59765625" style="1" customWidth="1"/>
    <col min="7184" max="7184" width="0" style="1" hidden="1" customWidth="1"/>
    <col min="7185" max="7185" width="10" style="1" customWidth="1"/>
    <col min="7186" max="7424" width="9" style="1"/>
    <col min="7425" max="7425" width="5" style="1" customWidth="1"/>
    <col min="7426" max="7426" width="20.09765625" style="1" customWidth="1"/>
    <col min="7427" max="7427" width="6.19921875" style="1" customWidth="1"/>
    <col min="7428" max="7428" width="13.59765625" style="1" bestFit="1" customWidth="1"/>
    <col min="7429" max="7432" width="11.8984375" style="1" customWidth="1"/>
    <col min="7433" max="7433" width="13" style="1" customWidth="1"/>
    <col min="7434" max="7434" width="16.59765625" style="1" bestFit="1" customWidth="1"/>
    <col min="7435" max="7435" width="13.8984375" style="1" customWidth="1"/>
    <col min="7436" max="7436" width="12.5" style="1" bestFit="1" customWidth="1"/>
    <col min="7437" max="7437" width="15" style="1" bestFit="1" customWidth="1"/>
    <col min="7438" max="7438" width="16.59765625" style="1" bestFit="1" customWidth="1"/>
    <col min="7439" max="7439" width="9.59765625" style="1" customWidth="1"/>
    <col min="7440" max="7440" width="0" style="1" hidden="1" customWidth="1"/>
    <col min="7441" max="7441" width="10" style="1" customWidth="1"/>
    <col min="7442" max="7680" width="9" style="1"/>
    <col min="7681" max="7681" width="5" style="1" customWidth="1"/>
    <col min="7682" max="7682" width="20.09765625" style="1" customWidth="1"/>
    <col min="7683" max="7683" width="6.19921875" style="1" customWidth="1"/>
    <col min="7684" max="7684" width="13.59765625" style="1" bestFit="1" customWidth="1"/>
    <col min="7685" max="7688" width="11.8984375" style="1" customWidth="1"/>
    <col min="7689" max="7689" width="13" style="1" customWidth="1"/>
    <col min="7690" max="7690" width="16.59765625" style="1" bestFit="1" customWidth="1"/>
    <col min="7691" max="7691" width="13.8984375" style="1" customWidth="1"/>
    <col min="7692" max="7692" width="12.5" style="1" bestFit="1" customWidth="1"/>
    <col min="7693" max="7693" width="15" style="1" bestFit="1" customWidth="1"/>
    <col min="7694" max="7694" width="16.59765625" style="1" bestFit="1" customWidth="1"/>
    <col min="7695" max="7695" width="9.59765625" style="1" customWidth="1"/>
    <col min="7696" max="7696" width="0" style="1" hidden="1" customWidth="1"/>
    <col min="7697" max="7697" width="10" style="1" customWidth="1"/>
    <col min="7698" max="7936" width="9" style="1"/>
    <col min="7937" max="7937" width="5" style="1" customWidth="1"/>
    <col min="7938" max="7938" width="20.09765625" style="1" customWidth="1"/>
    <col min="7939" max="7939" width="6.19921875" style="1" customWidth="1"/>
    <col min="7940" max="7940" width="13.59765625" style="1" bestFit="1" customWidth="1"/>
    <col min="7941" max="7944" width="11.8984375" style="1" customWidth="1"/>
    <col min="7945" max="7945" width="13" style="1" customWidth="1"/>
    <col min="7946" max="7946" width="16.59765625" style="1" bestFit="1" customWidth="1"/>
    <col min="7947" max="7947" width="13.8984375" style="1" customWidth="1"/>
    <col min="7948" max="7948" width="12.5" style="1" bestFit="1" customWidth="1"/>
    <col min="7949" max="7949" width="15" style="1" bestFit="1" customWidth="1"/>
    <col min="7950" max="7950" width="16.59765625" style="1" bestFit="1" customWidth="1"/>
    <col min="7951" max="7951" width="9.59765625" style="1" customWidth="1"/>
    <col min="7952" max="7952" width="0" style="1" hidden="1" customWidth="1"/>
    <col min="7953" max="7953" width="10" style="1" customWidth="1"/>
    <col min="7954" max="8192" width="9" style="1"/>
    <col min="8193" max="8193" width="5" style="1" customWidth="1"/>
    <col min="8194" max="8194" width="20.09765625" style="1" customWidth="1"/>
    <col min="8195" max="8195" width="6.19921875" style="1" customWidth="1"/>
    <col min="8196" max="8196" width="13.59765625" style="1" bestFit="1" customWidth="1"/>
    <col min="8197" max="8200" width="11.8984375" style="1" customWidth="1"/>
    <col min="8201" max="8201" width="13" style="1" customWidth="1"/>
    <col min="8202" max="8202" width="16.59765625" style="1" bestFit="1" customWidth="1"/>
    <col min="8203" max="8203" width="13.8984375" style="1" customWidth="1"/>
    <col min="8204" max="8204" width="12.5" style="1" bestFit="1" customWidth="1"/>
    <col min="8205" max="8205" width="15" style="1" bestFit="1" customWidth="1"/>
    <col min="8206" max="8206" width="16.59765625" style="1" bestFit="1" customWidth="1"/>
    <col min="8207" max="8207" width="9.59765625" style="1" customWidth="1"/>
    <col min="8208" max="8208" width="0" style="1" hidden="1" customWidth="1"/>
    <col min="8209" max="8209" width="10" style="1" customWidth="1"/>
    <col min="8210" max="8448" width="9" style="1"/>
    <col min="8449" max="8449" width="5" style="1" customWidth="1"/>
    <col min="8450" max="8450" width="20.09765625" style="1" customWidth="1"/>
    <col min="8451" max="8451" width="6.19921875" style="1" customWidth="1"/>
    <col min="8452" max="8452" width="13.59765625" style="1" bestFit="1" customWidth="1"/>
    <col min="8453" max="8456" width="11.8984375" style="1" customWidth="1"/>
    <col min="8457" max="8457" width="13" style="1" customWidth="1"/>
    <col min="8458" max="8458" width="16.59765625" style="1" bestFit="1" customWidth="1"/>
    <col min="8459" max="8459" width="13.8984375" style="1" customWidth="1"/>
    <col min="8460" max="8460" width="12.5" style="1" bestFit="1" customWidth="1"/>
    <col min="8461" max="8461" width="15" style="1" bestFit="1" customWidth="1"/>
    <col min="8462" max="8462" width="16.59765625" style="1" bestFit="1" customWidth="1"/>
    <col min="8463" max="8463" width="9.59765625" style="1" customWidth="1"/>
    <col min="8464" max="8464" width="0" style="1" hidden="1" customWidth="1"/>
    <col min="8465" max="8465" width="10" style="1" customWidth="1"/>
    <col min="8466" max="8704" width="9" style="1"/>
    <col min="8705" max="8705" width="5" style="1" customWidth="1"/>
    <col min="8706" max="8706" width="20.09765625" style="1" customWidth="1"/>
    <col min="8707" max="8707" width="6.19921875" style="1" customWidth="1"/>
    <col min="8708" max="8708" width="13.59765625" style="1" bestFit="1" customWidth="1"/>
    <col min="8709" max="8712" width="11.8984375" style="1" customWidth="1"/>
    <col min="8713" max="8713" width="13" style="1" customWidth="1"/>
    <col min="8714" max="8714" width="16.59765625" style="1" bestFit="1" customWidth="1"/>
    <col min="8715" max="8715" width="13.8984375" style="1" customWidth="1"/>
    <col min="8716" max="8716" width="12.5" style="1" bestFit="1" customWidth="1"/>
    <col min="8717" max="8717" width="15" style="1" bestFit="1" customWidth="1"/>
    <col min="8718" max="8718" width="16.59765625" style="1" bestFit="1" customWidth="1"/>
    <col min="8719" max="8719" width="9.59765625" style="1" customWidth="1"/>
    <col min="8720" max="8720" width="0" style="1" hidden="1" customWidth="1"/>
    <col min="8721" max="8721" width="10" style="1" customWidth="1"/>
    <col min="8722" max="8960" width="9" style="1"/>
    <col min="8961" max="8961" width="5" style="1" customWidth="1"/>
    <col min="8962" max="8962" width="20.09765625" style="1" customWidth="1"/>
    <col min="8963" max="8963" width="6.19921875" style="1" customWidth="1"/>
    <col min="8964" max="8964" width="13.59765625" style="1" bestFit="1" customWidth="1"/>
    <col min="8965" max="8968" width="11.8984375" style="1" customWidth="1"/>
    <col min="8969" max="8969" width="13" style="1" customWidth="1"/>
    <col min="8970" max="8970" width="16.59765625" style="1" bestFit="1" customWidth="1"/>
    <col min="8971" max="8971" width="13.8984375" style="1" customWidth="1"/>
    <col min="8972" max="8972" width="12.5" style="1" bestFit="1" customWidth="1"/>
    <col min="8973" max="8973" width="15" style="1" bestFit="1" customWidth="1"/>
    <col min="8974" max="8974" width="16.59765625" style="1" bestFit="1" customWidth="1"/>
    <col min="8975" max="8975" width="9.59765625" style="1" customWidth="1"/>
    <col min="8976" max="8976" width="0" style="1" hidden="1" customWidth="1"/>
    <col min="8977" max="8977" width="10" style="1" customWidth="1"/>
    <col min="8978" max="9216" width="9" style="1"/>
    <col min="9217" max="9217" width="5" style="1" customWidth="1"/>
    <col min="9218" max="9218" width="20.09765625" style="1" customWidth="1"/>
    <col min="9219" max="9219" width="6.19921875" style="1" customWidth="1"/>
    <col min="9220" max="9220" width="13.59765625" style="1" bestFit="1" customWidth="1"/>
    <col min="9221" max="9224" width="11.8984375" style="1" customWidth="1"/>
    <col min="9225" max="9225" width="13" style="1" customWidth="1"/>
    <col min="9226" max="9226" width="16.59765625" style="1" bestFit="1" customWidth="1"/>
    <col min="9227" max="9227" width="13.8984375" style="1" customWidth="1"/>
    <col min="9228" max="9228" width="12.5" style="1" bestFit="1" customWidth="1"/>
    <col min="9229" max="9229" width="15" style="1" bestFit="1" customWidth="1"/>
    <col min="9230" max="9230" width="16.59765625" style="1" bestFit="1" customWidth="1"/>
    <col min="9231" max="9231" width="9.59765625" style="1" customWidth="1"/>
    <col min="9232" max="9232" width="0" style="1" hidden="1" customWidth="1"/>
    <col min="9233" max="9233" width="10" style="1" customWidth="1"/>
    <col min="9234" max="9472" width="9" style="1"/>
    <col min="9473" max="9473" width="5" style="1" customWidth="1"/>
    <col min="9474" max="9474" width="20.09765625" style="1" customWidth="1"/>
    <col min="9475" max="9475" width="6.19921875" style="1" customWidth="1"/>
    <col min="9476" max="9476" width="13.59765625" style="1" bestFit="1" customWidth="1"/>
    <col min="9477" max="9480" width="11.8984375" style="1" customWidth="1"/>
    <col min="9481" max="9481" width="13" style="1" customWidth="1"/>
    <col min="9482" max="9482" width="16.59765625" style="1" bestFit="1" customWidth="1"/>
    <col min="9483" max="9483" width="13.8984375" style="1" customWidth="1"/>
    <col min="9484" max="9484" width="12.5" style="1" bestFit="1" customWidth="1"/>
    <col min="9485" max="9485" width="15" style="1" bestFit="1" customWidth="1"/>
    <col min="9486" max="9486" width="16.59765625" style="1" bestFit="1" customWidth="1"/>
    <col min="9487" max="9487" width="9.59765625" style="1" customWidth="1"/>
    <col min="9488" max="9488" width="0" style="1" hidden="1" customWidth="1"/>
    <col min="9489" max="9489" width="10" style="1" customWidth="1"/>
    <col min="9490" max="9728" width="9" style="1"/>
    <col min="9729" max="9729" width="5" style="1" customWidth="1"/>
    <col min="9730" max="9730" width="20.09765625" style="1" customWidth="1"/>
    <col min="9731" max="9731" width="6.19921875" style="1" customWidth="1"/>
    <col min="9732" max="9732" width="13.59765625" style="1" bestFit="1" customWidth="1"/>
    <col min="9733" max="9736" width="11.8984375" style="1" customWidth="1"/>
    <col min="9737" max="9737" width="13" style="1" customWidth="1"/>
    <col min="9738" max="9738" width="16.59765625" style="1" bestFit="1" customWidth="1"/>
    <col min="9739" max="9739" width="13.8984375" style="1" customWidth="1"/>
    <col min="9740" max="9740" width="12.5" style="1" bestFit="1" customWidth="1"/>
    <col min="9741" max="9741" width="15" style="1" bestFit="1" customWidth="1"/>
    <col min="9742" max="9742" width="16.59765625" style="1" bestFit="1" customWidth="1"/>
    <col min="9743" max="9743" width="9.59765625" style="1" customWidth="1"/>
    <col min="9744" max="9744" width="0" style="1" hidden="1" customWidth="1"/>
    <col min="9745" max="9745" width="10" style="1" customWidth="1"/>
    <col min="9746" max="9984" width="9" style="1"/>
    <col min="9985" max="9985" width="5" style="1" customWidth="1"/>
    <col min="9986" max="9986" width="20.09765625" style="1" customWidth="1"/>
    <col min="9987" max="9987" width="6.19921875" style="1" customWidth="1"/>
    <col min="9988" max="9988" width="13.59765625" style="1" bestFit="1" customWidth="1"/>
    <col min="9989" max="9992" width="11.8984375" style="1" customWidth="1"/>
    <col min="9993" max="9993" width="13" style="1" customWidth="1"/>
    <col min="9994" max="9994" width="16.59765625" style="1" bestFit="1" customWidth="1"/>
    <col min="9995" max="9995" width="13.8984375" style="1" customWidth="1"/>
    <col min="9996" max="9996" width="12.5" style="1" bestFit="1" customWidth="1"/>
    <col min="9997" max="9997" width="15" style="1" bestFit="1" customWidth="1"/>
    <col min="9998" max="9998" width="16.59765625" style="1" bestFit="1" customWidth="1"/>
    <col min="9999" max="9999" width="9.59765625" style="1" customWidth="1"/>
    <col min="10000" max="10000" width="0" style="1" hidden="1" customWidth="1"/>
    <col min="10001" max="10001" width="10" style="1" customWidth="1"/>
    <col min="10002" max="10240" width="9" style="1"/>
    <col min="10241" max="10241" width="5" style="1" customWidth="1"/>
    <col min="10242" max="10242" width="20.09765625" style="1" customWidth="1"/>
    <col min="10243" max="10243" width="6.19921875" style="1" customWidth="1"/>
    <col min="10244" max="10244" width="13.59765625" style="1" bestFit="1" customWidth="1"/>
    <col min="10245" max="10248" width="11.8984375" style="1" customWidth="1"/>
    <col min="10249" max="10249" width="13" style="1" customWidth="1"/>
    <col min="10250" max="10250" width="16.59765625" style="1" bestFit="1" customWidth="1"/>
    <col min="10251" max="10251" width="13.8984375" style="1" customWidth="1"/>
    <col min="10252" max="10252" width="12.5" style="1" bestFit="1" customWidth="1"/>
    <col min="10253" max="10253" width="15" style="1" bestFit="1" customWidth="1"/>
    <col min="10254" max="10254" width="16.59765625" style="1" bestFit="1" customWidth="1"/>
    <col min="10255" max="10255" width="9.59765625" style="1" customWidth="1"/>
    <col min="10256" max="10256" width="0" style="1" hidden="1" customWidth="1"/>
    <col min="10257" max="10257" width="10" style="1" customWidth="1"/>
    <col min="10258" max="10496" width="9" style="1"/>
    <col min="10497" max="10497" width="5" style="1" customWidth="1"/>
    <col min="10498" max="10498" width="20.09765625" style="1" customWidth="1"/>
    <col min="10499" max="10499" width="6.19921875" style="1" customWidth="1"/>
    <col min="10500" max="10500" width="13.59765625" style="1" bestFit="1" customWidth="1"/>
    <col min="10501" max="10504" width="11.8984375" style="1" customWidth="1"/>
    <col min="10505" max="10505" width="13" style="1" customWidth="1"/>
    <col min="10506" max="10506" width="16.59765625" style="1" bestFit="1" customWidth="1"/>
    <col min="10507" max="10507" width="13.8984375" style="1" customWidth="1"/>
    <col min="10508" max="10508" width="12.5" style="1" bestFit="1" customWidth="1"/>
    <col min="10509" max="10509" width="15" style="1" bestFit="1" customWidth="1"/>
    <col min="10510" max="10510" width="16.59765625" style="1" bestFit="1" customWidth="1"/>
    <col min="10511" max="10511" width="9.59765625" style="1" customWidth="1"/>
    <col min="10512" max="10512" width="0" style="1" hidden="1" customWidth="1"/>
    <col min="10513" max="10513" width="10" style="1" customWidth="1"/>
    <col min="10514" max="10752" width="9" style="1"/>
    <col min="10753" max="10753" width="5" style="1" customWidth="1"/>
    <col min="10754" max="10754" width="20.09765625" style="1" customWidth="1"/>
    <col min="10755" max="10755" width="6.19921875" style="1" customWidth="1"/>
    <col min="10756" max="10756" width="13.59765625" style="1" bestFit="1" customWidth="1"/>
    <col min="10757" max="10760" width="11.8984375" style="1" customWidth="1"/>
    <col min="10761" max="10761" width="13" style="1" customWidth="1"/>
    <col min="10762" max="10762" width="16.59765625" style="1" bestFit="1" customWidth="1"/>
    <col min="10763" max="10763" width="13.8984375" style="1" customWidth="1"/>
    <col min="10764" max="10764" width="12.5" style="1" bestFit="1" customWidth="1"/>
    <col min="10765" max="10765" width="15" style="1" bestFit="1" customWidth="1"/>
    <col min="10766" max="10766" width="16.59765625" style="1" bestFit="1" customWidth="1"/>
    <col min="10767" max="10767" width="9.59765625" style="1" customWidth="1"/>
    <col min="10768" max="10768" width="0" style="1" hidden="1" customWidth="1"/>
    <col min="10769" max="10769" width="10" style="1" customWidth="1"/>
    <col min="10770" max="11008" width="9" style="1"/>
    <col min="11009" max="11009" width="5" style="1" customWidth="1"/>
    <col min="11010" max="11010" width="20.09765625" style="1" customWidth="1"/>
    <col min="11011" max="11011" width="6.19921875" style="1" customWidth="1"/>
    <col min="11012" max="11012" width="13.59765625" style="1" bestFit="1" customWidth="1"/>
    <col min="11013" max="11016" width="11.8984375" style="1" customWidth="1"/>
    <col min="11017" max="11017" width="13" style="1" customWidth="1"/>
    <col min="11018" max="11018" width="16.59765625" style="1" bestFit="1" customWidth="1"/>
    <col min="11019" max="11019" width="13.8984375" style="1" customWidth="1"/>
    <col min="11020" max="11020" width="12.5" style="1" bestFit="1" customWidth="1"/>
    <col min="11021" max="11021" width="15" style="1" bestFit="1" customWidth="1"/>
    <col min="11022" max="11022" width="16.59765625" style="1" bestFit="1" customWidth="1"/>
    <col min="11023" max="11023" width="9.59765625" style="1" customWidth="1"/>
    <col min="11024" max="11024" width="0" style="1" hidden="1" customWidth="1"/>
    <col min="11025" max="11025" width="10" style="1" customWidth="1"/>
    <col min="11026" max="11264" width="9" style="1"/>
    <col min="11265" max="11265" width="5" style="1" customWidth="1"/>
    <col min="11266" max="11266" width="20.09765625" style="1" customWidth="1"/>
    <col min="11267" max="11267" width="6.19921875" style="1" customWidth="1"/>
    <col min="11268" max="11268" width="13.59765625" style="1" bestFit="1" customWidth="1"/>
    <col min="11269" max="11272" width="11.8984375" style="1" customWidth="1"/>
    <col min="11273" max="11273" width="13" style="1" customWidth="1"/>
    <col min="11274" max="11274" width="16.59765625" style="1" bestFit="1" customWidth="1"/>
    <col min="11275" max="11275" width="13.8984375" style="1" customWidth="1"/>
    <col min="11276" max="11276" width="12.5" style="1" bestFit="1" customWidth="1"/>
    <col min="11277" max="11277" width="15" style="1" bestFit="1" customWidth="1"/>
    <col min="11278" max="11278" width="16.59765625" style="1" bestFit="1" customWidth="1"/>
    <col min="11279" max="11279" width="9.59765625" style="1" customWidth="1"/>
    <col min="11280" max="11280" width="0" style="1" hidden="1" customWidth="1"/>
    <col min="11281" max="11281" width="10" style="1" customWidth="1"/>
    <col min="11282" max="11520" width="9" style="1"/>
    <col min="11521" max="11521" width="5" style="1" customWidth="1"/>
    <col min="11522" max="11522" width="20.09765625" style="1" customWidth="1"/>
    <col min="11523" max="11523" width="6.19921875" style="1" customWidth="1"/>
    <col min="11524" max="11524" width="13.59765625" style="1" bestFit="1" customWidth="1"/>
    <col min="11525" max="11528" width="11.8984375" style="1" customWidth="1"/>
    <col min="11529" max="11529" width="13" style="1" customWidth="1"/>
    <col min="11530" max="11530" width="16.59765625" style="1" bestFit="1" customWidth="1"/>
    <col min="11531" max="11531" width="13.8984375" style="1" customWidth="1"/>
    <col min="11532" max="11532" width="12.5" style="1" bestFit="1" customWidth="1"/>
    <col min="11533" max="11533" width="15" style="1" bestFit="1" customWidth="1"/>
    <col min="11534" max="11534" width="16.59765625" style="1" bestFit="1" customWidth="1"/>
    <col min="11535" max="11535" width="9.59765625" style="1" customWidth="1"/>
    <col min="11536" max="11536" width="0" style="1" hidden="1" customWidth="1"/>
    <col min="11537" max="11537" width="10" style="1" customWidth="1"/>
    <col min="11538" max="11776" width="9" style="1"/>
    <col min="11777" max="11777" width="5" style="1" customWidth="1"/>
    <col min="11778" max="11778" width="20.09765625" style="1" customWidth="1"/>
    <col min="11779" max="11779" width="6.19921875" style="1" customWidth="1"/>
    <col min="11780" max="11780" width="13.59765625" style="1" bestFit="1" customWidth="1"/>
    <col min="11781" max="11784" width="11.8984375" style="1" customWidth="1"/>
    <col min="11785" max="11785" width="13" style="1" customWidth="1"/>
    <col min="11786" max="11786" width="16.59765625" style="1" bestFit="1" customWidth="1"/>
    <col min="11787" max="11787" width="13.8984375" style="1" customWidth="1"/>
    <col min="11788" max="11788" width="12.5" style="1" bestFit="1" customWidth="1"/>
    <col min="11789" max="11789" width="15" style="1" bestFit="1" customWidth="1"/>
    <col min="11790" max="11790" width="16.59765625" style="1" bestFit="1" customWidth="1"/>
    <col min="11791" max="11791" width="9.59765625" style="1" customWidth="1"/>
    <col min="11792" max="11792" width="0" style="1" hidden="1" customWidth="1"/>
    <col min="11793" max="11793" width="10" style="1" customWidth="1"/>
    <col min="11794" max="12032" width="9" style="1"/>
    <col min="12033" max="12033" width="5" style="1" customWidth="1"/>
    <col min="12034" max="12034" width="20.09765625" style="1" customWidth="1"/>
    <col min="12035" max="12035" width="6.19921875" style="1" customWidth="1"/>
    <col min="12036" max="12036" width="13.59765625" style="1" bestFit="1" customWidth="1"/>
    <col min="12037" max="12040" width="11.8984375" style="1" customWidth="1"/>
    <col min="12041" max="12041" width="13" style="1" customWidth="1"/>
    <col min="12042" max="12042" width="16.59765625" style="1" bestFit="1" customWidth="1"/>
    <col min="12043" max="12043" width="13.8984375" style="1" customWidth="1"/>
    <col min="12044" max="12044" width="12.5" style="1" bestFit="1" customWidth="1"/>
    <col min="12045" max="12045" width="15" style="1" bestFit="1" customWidth="1"/>
    <col min="12046" max="12046" width="16.59765625" style="1" bestFit="1" customWidth="1"/>
    <col min="12047" max="12047" width="9.59765625" style="1" customWidth="1"/>
    <col min="12048" max="12048" width="0" style="1" hidden="1" customWidth="1"/>
    <col min="12049" max="12049" width="10" style="1" customWidth="1"/>
    <col min="12050" max="12288" width="9" style="1"/>
    <col min="12289" max="12289" width="5" style="1" customWidth="1"/>
    <col min="12290" max="12290" width="20.09765625" style="1" customWidth="1"/>
    <col min="12291" max="12291" width="6.19921875" style="1" customWidth="1"/>
    <col min="12292" max="12292" width="13.59765625" style="1" bestFit="1" customWidth="1"/>
    <col min="12293" max="12296" width="11.8984375" style="1" customWidth="1"/>
    <col min="12297" max="12297" width="13" style="1" customWidth="1"/>
    <col min="12298" max="12298" width="16.59765625" style="1" bestFit="1" customWidth="1"/>
    <col min="12299" max="12299" width="13.8984375" style="1" customWidth="1"/>
    <col min="12300" max="12300" width="12.5" style="1" bestFit="1" customWidth="1"/>
    <col min="12301" max="12301" width="15" style="1" bestFit="1" customWidth="1"/>
    <col min="12302" max="12302" width="16.59765625" style="1" bestFit="1" customWidth="1"/>
    <col min="12303" max="12303" width="9.59765625" style="1" customWidth="1"/>
    <col min="12304" max="12304" width="0" style="1" hidden="1" customWidth="1"/>
    <col min="12305" max="12305" width="10" style="1" customWidth="1"/>
    <col min="12306" max="12544" width="9" style="1"/>
    <col min="12545" max="12545" width="5" style="1" customWidth="1"/>
    <col min="12546" max="12546" width="20.09765625" style="1" customWidth="1"/>
    <col min="12547" max="12547" width="6.19921875" style="1" customWidth="1"/>
    <col min="12548" max="12548" width="13.59765625" style="1" bestFit="1" customWidth="1"/>
    <col min="12549" max="12552" width="11.8984375" style="1" customWidth="1"/>
    <col min="12553" max="12553" width="13" style="1" customWidth="1"/>
    <col min="12554" max="12554" width="16.59765625" style="1" bestFit="1" customWidth="1"/>
    <col min="12555" max="12555" width="13.8984375" style="1" customWidth="1"/>
    <col min="12556" max="12556" width="12.5" style="1" bestFit="1" customWidth="1"/>
    <col min="12557" max="12557" width="15" style="1" bestFit="1" customWidth="1"/>
    <col min="12558" max="12558" width="16.59765625" style="1" bestFit="1" customWidth="1"/>
    <col min="12559" max="12559" width="9.59765625" style="1" customWidth="1"/>
    <col min="12560" max="12560" width="0" style="1" hidden="1" customWidth="1"/>
    <col min="12561" max="12561" width="10" style="1" customWidth="1"/>
    <col min="12562" max="12800" width="9" style="1"/>
    <col min="12801" max="12801" width="5" style="1" customWidth="1"/>
    <col min="12802" max="12802" width="20.09765625" style="1" customWidth="1"/>
    <col min="12803" max="12803" width="6.19921875" style="1" customWidth="1"/>
    <col min="12804" max="12804" width="13.59765625" style="1" bestFit="1" customWidth="1"/>
    <col min="12805" max="12808" width="11.8984375" style="1" customWidth="1"/>
    <col min="12809" max="12809" width="13" style="1" customWidth="1"/>
    <col min="12810" max="12810" width="16.59765625" style="1" bestFit="1" customWidth="1"/>
    <col min="12811" max="12811" width="13.8984375" style="1" customWidth="1"/>
    <col min="12812" max="12812" width="12.5" style="1" bestFit="1" customWidth="1"/>
    <col min="12813" max="12813" width="15" style="1" bestFit="1" customWidth="1"/>
    <col min="12814" max="12814" width="16.59765625" style="1" bestFit="1" customWidth="1"/>
    <col min="12815" max="12815" width="9.59765625" style="1" customWidth="1"/>
    <col min="12816" max="12816" width="0" style="1" hidden="1" customWidth="1"/>
    <col min="12817" max="12817" width="10" style="1" customWidth="1"/>
    <col min="12818" max="13056" width="9" style="1"/>
    <col min="13057" max="13057" width="5" style="1" customWidth="1"/>
    <col min="13058" max="13058" width="20.09765625" style="1" customWidth="1"/>
    <col min="13059" max="13059" width="6.19921875" style="1" customWidth="1"/>
    <col min="13060" max="13060" width="13.59765625" style="1" bestFit="1" customWidth="1"/>
    <col min="13061" max="13064" width="11.8984375" style="1" customWidth="1"/>
    <col min="13065" max="13065" width="13" style="1" customWidth="1"/>
    <col min="13066" max="13066" width="16.59765625" style="1" bestFit="1" customWidth="1"/>
    <col min="13067" max="13067" width="13.8984375" style="1" customWidth="1"/>
    <col min="13068" max="13068" width="12.5" style="1" bestFit="1" customWidth="1"/>
    <col min="13069" max="13069" width="15" style="1" bestFit="1" customWidth="1"/>
    <col min="13070" max="13070" width="16.59765625" style="1" bestFit="1" customWidth="1"/>
    <col min="13071" max="13071" width="9.59765625" style="1" customWidth="1"/>
    <col min="13072" max="13072" width="0" style="1" hidden="1" customWidth="1"/>
    <col min="13073" max="13073" width="10" style="1" customWidth="1"/>
    <col min="13074" max="13312" width="9" style="1"/>
    <col min="13313" max="13313" width="5" style="1" customWidth="1"/>
    <col min="13314" max="13314" width="20.09765625" style="1" customWidth="1"/>
    <col min="13315" max="13315" width="6.19921875" style="1" customWidth="1"/>
    <col min="13316" max="13316" width="13.59765625" style="1" bestFit="1" customWidth="1"/>
    <col min="13317" max="13320" width="11.8984375" style="1" customWidth="1"/>
    <col min="13321" max="13321" width="13" style="1" customWidth="1"/>
    <col min="13322" max="13322" width="16.59765625" style="1" bestFit="1" customWidth="1"/>
    <col min="13323" max="13323" width="13.8984375" style="1" customWidth="1"/>
    <col min="13324" max="13324" width="12.5" style="1" bestFit="1" customWidth="1"/>
    <col min="13325" max="13325" width="15" style="1" bestFit="1" customWidth="1"/>
    <col min="13326" max="13326" width="16.59765625" style="1" bestFit="1" customWidth="1"/>
    <col min="13327" max="13327" width="9.59765625" style="1" customWidth="1"/>
    <col min="13328" max="13328" width="0" style="1" hidden="1" customWidth="1"/>
    <col min="13329" max="13329" width="10" style="1" customWidth="1"/>
    <col min="13330" max="13568" width="9" style="1"/>
    <col min="13569" max="13569" width="5" style="1" customWidth="1"/>
    <col min="13570" max="13570" width="20.09765625" style="1" customWidth="1"/>
    <col min="13571" max="13571" width="6.19921875" style="1" customWidth="1"/>
    <col min="13572" max="13572" width="13.59765625" style="1" bestFit="1" customWidth="1"/>
    <col min="13573" max="13576" width="11.8984375" style="1" customWidth="1"/>
    <col min="13577" max="13577" width="13" style="1" customWidth="1"/>
    <col min="13578" max="13578" width="16.59765625" style="1" bestFit="1" customWidth="1"/>
    <col min="13579" max="13579" width="13.8984375" style="1" customWidth="1"/>
    <col min="13580" max="13580" width="12.5" style="1" bestFit="1" customWidth="1"/>
    <col min="13581" max="13581" width="15" style="1" bestFit="1" customWidth="1"/>
    <col min="13582" max="13582" width="16.59765625" style="1" bestFit="1" customWidth="1"/>
    <col min="13583" max="13583" width="9.59765625" style="1" customWidth="1"/>
    <col min="13584" max="13584" width="0" style="1" hidden="1" customWidth="1"/>
    <col min="13585" max="13585" width="10" style="1" customWidth="1"/>
    <col min="13586" max="13824" width="9" style="1"/>
    <col min="13825" max="13825" width="5" style="1" customWidth="1"/>
    <col min="13826" max="13826" width="20.09765625" style="1" customWidth="1"/>
    <col min="13827" max="13827" width="6.19921875" style="1" customWidth="1"/>
    <col min="13828" max="13828" width="13.59765625" style="1" bestFit="1" customWidth="1"/>
    <col min="13829" max="13832" width="11.8984375" style="1" customWidth="1"/>
    <col min="13833" max="13833" width="13" style="1" customWidth="1"/>
    <col min="13834" max="13834" width="16.59765625" style="1" bestFit="1" customWidth="1"/>
    <col min="13835" max="13835" width="13.8984375" style="1" customWidth="1"/>
    <col min="13836" max="13836" width="12.5" style="1" bestFit="1" customWidth="1"/>
    <col min="13837" max="13837" width="15" style="1" bestFit="1" customWidth="1"/>
    <col min="13838" max="13838" width="16.59765625" style="1" bestFit="1" customWidth="1"/>
    <col min="13839" max="13839" width="9.59765625" style="1" customWidth="1"/>
    <col min="13840" max="13840" width="0" style="1" hidden="1" customWidth="1"/>
    <col min="13841" max="13841" width="10" style="1" customWidth="1"/>
    <col min="13842" max="14080" width="9" style="1"/>
    <col min="14081" max="14081" width="5" style="1" customWidth="1"/>
    <col min="14082" max="14082" width="20.09765625" style="1" customWidth="1"/>
    <col min="14083" max="14083" width="6.19921875" style="1" customWidth="1"/>
    <col min="14084" max="14084" width="13.59765625" style="1" bestFit="1" customWidth="1"/>
    <col min="14085" max="14088" width="11.8984375" style="1" customWidth="1"/>
    <col min="14089" max="14089" width="13" style="1" customWidth="1"/>
    <col min="14090" max="14090" width="16.59765625" style="1" bestFit="1" customWidth="1"/>
    <col min="14091" max="14091" width="13.8984375" style="1" customWidth="1"/>
    <col min="14092" max="14092" width="12.5" style="1" bestFit="1" customWidth="1"/>
    <col min="14093" max="14093" width="15" style="1" bestFit="1" customWidth="1"/>
    <col min="14094" max="14094" width="16.59765625" style="1" bestFit="1" customWidth="1"/>
    <col min="14095" max="14095" width="9.59765625" style="1" customWidth="1"/>
    <col min="14096" max="14096" width="0" style="1" hidden="1" customWidth="1"/>
    <col min="14097" max="14097" width="10" style="1" customWidth="1"/>
    <col min="14098" max="14336" width="9" style="1"/>
    <col min="14337" max="14337" width="5" style="1" customWidth="1"/>
    <col min="14338" max="14338" width="20.09765625" style="1" customWidth="1"/>
    <col min="14339" max="14339" width="6.19921875" style="1" customWidth="1"/>
    <col min="14340" max="14340" width="13.59765625" style="1" bestFit="1" customWidth="1"/>
    <col min="14341" max="14344" width="11.8984375" style="1" customWidth="1"/>
    <col min="14345" max="14345" width="13" style="1" customWidth="1"/>
    <col min="14346" max="14346" width="16.59765625" style="1" bestFit="1" customWidth="1"/>
    <col min="14347" max="14347" width="13.8984375" style="1" customWidth="1"/>
    <col min="14348" max="14348" width="12.5" style="1" bestFit="1" customWidth="1"/>
    <col min="14349" max="14349" width="15" style="1" bestFit="1" customWidth="1"/>
    <col min="14350" max="14350" width="16.59765625" style="1" bestFit="1" customWidth="1"/>
    <col min="14351" max="14351" width="9.59765625" style="1" customWidth="1"/>
    <col min="14352" max="14352" width="0" style="1" hidden="1" customWidth="1"/>
    <col min="14353" max="14353" width="10" style="1" customWidth="1"/>
    <col min="14354" max="14592" width="9" style="1"/>
    <col min="14593" max="14593" width="5" style="1" customWidth="1"/>
    <col min="14594" max="14594" width="20.09765625" style="1" customWidth="1"/>
    <col min="14595" max="14595" width="6.19921875" style="1" customWidth="1"/>
    <col min="14596" max="14596" width="13.59765625" style="1" bestFit="1" customWidth="1"/>
    <col min="14597" max="14600" width="11.8984375" style="1" customWidth="1"/>
    <col min="14601" max="14601" width="13" style="1" customWidth="1"/>
    <col min="14602" max="14602" width="16.59765625" style="1" bestFit="1" customWidth="1"/>
    <col min="14603" max="14603" width="13.8984375" style="1" customWidth="1"/>
    <col min="14604" max="14604" width="12.5" style="1" bestFit="1" customWidth="1"/>
    <col min="14605" max="14605" width="15" style="1" bestFit="1" customWidth="1"/>
    <col min="14606" max="14606" width="16.59765625" style="1" bestFit="1" customWidth="1"/>
    <col min="14607" max="14607" width="9.59765625" style="1" customWidth="1"/>
    <col min="14608" max="14608" width="0" style="1" hidden="1" customWidth="1"/>
    <col min="14609" max="14609" width="10" style="1" customWidth="1"/>
    <col min="14610" max="14848" width="9" style="1"/>
    <col min="14849" max="14849" width="5" style="1" customWidth="1"/>
    <col min="14850" max="14850" width="20.09765625" style="1" customWidth="1"/>
    <col min="14851" max="14851" width="6.19921875" style="1" customWidth="1"/>
    <col min="14852" max="14852" width="13.59765625" style="1" bestFit="1" customWidth="1"/>
    <col min="14853" max="14856" width="11.8984375" style="1" customWidth="1"/>
    <col min="14857" max="14857" width="13" style="1" customWidth="1"/>
    <col min="14858" max="14858" width="16.59765625" style="1" bestFit="1" customWidth="1"/>
    <col min="14859" max="14859" width="13.8984375" style="1" customWidth="1"/>
    <col min="14860" max="14860" width="12.5" style="1" bestFit="1" customWidth="1"/>
    <col min="14861" max="14861" width="15" style="1" bestFit="1" customWidth="1"/>
    <col min="14862" max="14862" width="16.59765625" style="1" bestFit="1" customWidth="1"/>
    <col min="14863" max="14863" width="9.59765625" style="1" customWidth="1"/>
    <col min="14864" max="14864" width="0" style="1" hidden="1" customWidth="1"/>
    <col min="14865" max="14865" width="10" style="1" customWidth="1"/>
    <col min="14866" max="15104" width="9" style="1"/>
    <col min="15105" max="15105" width="5" style="1" customWidth="1"/>
    <col min="15106" max="15106" width="20.09765625" style="1" customWidth="1"/>
    <col min="15107" max="15107" width="6.19921875" style="1" customWidth="1"/>
    <col min="15108" max="15108" width="13.59765625" style="1" bestFit="1" customWidth="1"/>
    <col min="15109" max="15112" width="11.8984375" style="1" customWidth="1"/>
    <col min="15113" max="15113" width="13" style="1" customWidth="1"/>
    <col min="15114" max="15114" width="16.59765625" style="1" bestFit="1" customWidth="1"/>
    <col min="15115" max="15115" width="13.8984375" style="1" customWidth="1"/>
    <col min="15116" max="15116" width="12.5" style="1" bestFit="1" customWidth="1"/>
    <col min="15117" max="15117" width="15" style="1" bestFit="1" customWidth="1"/>
    <col min="15118" max="15118" width="16.59765625" style="1" bestFit="1" customWidth="1"/>
    <col min="15119" max="15119" width="9.59765625" style="1" customWidth="1"/>
    <col min="15120" max="15120" width="0" style="1" hidden="1" customWidth="1"/>
    <col min="15121" max="15121" width="10" style="1" customWidth="1"/>
    <col min="15122" max="15360" width="9" style="1"/>
    <col min="15361" max="15361" width="5" style="1" customWidth="1"/>
    <col min="15362" max="15362" width="20.09765625" style="1" customWidth="1"/>
    <col min="15363" max="15363" width="6.19921875" style="1" customWidth="1"/>
    <col min="15364" max="15364" width="13.59765625" style="1" bestFit="1" customWidth="1"/>
    <col min="15365" max="15368" width="11.8984375" style="1" customWidth="1"/>
    <col min="15369" max="15369" width="13" style="1" customWidth="1"/>
    <col min="15370" max="15370" width="16.59765625" style="1" bestFit="1" customWidth="1"/>
    <col min="15371" max="15371" width="13.8984375" style="1" customWidth="1"/>
    <col min="15372" max="15372" width="12.5" style="1" bestFit="1" customWidth="1"/>
    <col min="15373" max="15373" width="15" style="1" bestFit="1" customWidth="1"/>
    <col min="15374" max="15374" width="16.59765625" style="1" bestFit="1" customWidth="1"/>
    <col min="15375" max="15375" width="9.59765625" style="1" customWidth="1"/>
    <col min="15376" max="15376" width="0" style="1" hidden="1" customWidth="1"/>
    <col min="15377" max="15377" width="10" style="1" customWidth="1"/>
    <col min="15378" max="15616" width="9" style="1"/>
    <col min="15617" max="15617" width="5" style="1" customWidth="1"/>
    <col min="15618" max="15618" width="20.09765625" style="1" customWidth="1"/>
    <col min="15619" max="15619" width="6.19921875" style="1" customWidth="1"/>
    <col min="15620" max="15620" width="13.59765625" style="1" bestFit="1" customWidth="1"/>
    <col min="15621" max="15624" width="11.8984375" style="1" customWidth="1"/>
    <col min="15625" max="15625" width="13" style="1" customWidth="1"/>
    <col min="15626" max="15626" width="16.59765625" style="1" bestFit="1" customWidth="1"/>
    <col min="15627" max="15627" width="13.8984375" style="1" customWidth="1"/>
    <col min="15628" max="15628" width="12.5" style="1" bestFit="1" customWidth="1"/>
    <col min="15629" max="15629" width="15" style="1" bestFit="1" customWidth="1"/>
    <col min="15630" max="15630" width="16.59765625" style="1" bestFit="1" customWidth="1"/>
    <col min="15631" max="15631" width="9.59765625" style="1" customWidth="1"/>
    <col min="15632" max="15632" width="0" style="1" hidden="1" customWidth="1"/>
    <col min="15633" max="15633" width="10" style="1" customWidth="1"/>
    <col min="15634" max="15872" width="9" style="1"/>
    <col min="15873" max="15873" width="5" style="1" customWidth="1"/>
    <col min="15874" max="15874" width="20.09765625" style="1" customWidth="1"/>
    <col min="15875" max="15875" width="6.19921875" style="1" customWidth="1"/>
    <col min="15876" max="15876" width="13.59765625" style="1" bestFit="1" customWidth="1"/>
    <col min="15877" max="15880" width="11.8984375" style="1" customWidth="1"/>
    <col min="15881" max="15881" width="13" style="1" customWidth="1"/>
    <col min="15882" max="15882" width="16.59765625" style="1" bestFit="1" customWidth="1"/>
    <col min="15883" max="15883" width="13.8984375" style="1" customWidth="1"/>
    <col min="15884" max="15884" width="12.5" style="1" bestFit="1" customWidth="1"/>
    <col min="15885" max="15885" width="15" style="1" bestFit="1" customWidth="1"/>
    <col min="15886" max="15886" width="16.59765625" style="1" bestFit="1" customWidth="1"/>
    <col min="15887" max="15887" width="9.59765625" style="1" customWidth="1"/>
    <col min="15888" max="15888" width="0" style="1" hidden="1" customWidth="1"/>
    <col min="15889" max="15889" width="10" style="1" customWidth="1"/>
    <col min="15890" max="16128" width="9" style="1"/>
    <col min="16129" max="16129" width="5" style="1" customWidth="1"/>
    <col min="16130" max="16130" width="20.09765625" style="1" customWidth="1"/>
    <col min="16131" max="16131" width="6.19921875" style="1" customWidth="1"/>
    <col min="16132" max="16132" width="13.59765625" style="1" bestFit="1" customWidth="1"/>
    <col min="16133" max="16136" width="11.8984375" style="1" customWidth="1"/>
    <col min="16137" max="16137" width="13" style="1" customWidth="1"/>
    <col min="16138" max="16138" width="16.59765625" style="1" bestFit="1" customWidth="1"/>
    <col min="16139" max="16139" width="13.8984375" style="1" customWidth="1"/>
    <col min="16140" max="16140" width="12.5" style="1" bestFit="1" customWidth="1"/>
    <col min="16141" max="16141" width="15" style="1" bestFit="1" customWidth="1"/>
    <col min="16142" max="16142" width="16.59765625" style="1" bestFit="1" customWidth="1"/>
    <col min="16143" max="16143" width="9.59765625" style="1" customWidth="1"/>
    <col min="16144" max="16144" width="0" style="1" hidden="1" customWidth="1"/>
    <col min="16145" max="16145" width="10" style="1" customWidth="1"/>
    <col min="16146" max="16384" width="9" style="1"/>
  </cols>
  <sheetData>
    <row r="2" spans="1:16" ht="31.5" customHeight="1">
      <c r="A2" s="58" t="s">
        <v>110</v>
      </c>
    </row>
    <row r="3" spans="1:16" ht="17.25" customHeight="1" thickBot="1">
      <c r="N3" s="1" t="s">
        <v>111</v>
      </c>
    </row>
    <row r="4" spans="1:16" s="26" customFormat="1" ht="8.25" customHeight="1">
      <c r="A4" s="126"/>
      <c r="B4" s="126"/>
      <c r="C4" s="126"/>
      <c r="D4" s="410"/>
      <c r="E4" s="474"/>
      <c r="F4" s="474"/>
      <c r="G4" s="474"/>
      <c r="H4" s="474"/>
      <c r="I4" s="474"/>
      <c r="J4" s="475"/>
      <c r="K4" s="127"/>
      <c r="L4" s="127"/>
      <c r="M4" s="128"/>
      <c r="N4" s="129"/>
      <c r="O4" s="130"/>
    </row>
    <row r="5" spans="1:16" s="26" customFormat="1" ht="25.5" customHeight="1">
      <c r="A5" s="131"/>
      <c r="B5" s="131"/>
      <c r="C5" s="131"/>
      <c r="D5" s="132"/>
      <c r="E5" s="133"/>
      <c r="F5" s="133"/>
      <c r="G5" s="133"/>
      <c r="H5" s="133"/>
      <c r="I5" s="134" t="s">
        <v>112</v>
      </c>
      <c r="J5" s="135"/>
      <c r="K5" s="136"/>
      <c r="L5" s="136" t="s">
        <v>113</v>
      </c>
      <c r="M5" s="137" t="s">
        <v>93</v>
      </c>
      <c r="N5" s="138"/>
      <c r="O5" s="30"/>
    </row>
    <row r="6" spans="1:16" s="26" customFormat="1" ht="25.5" customHeight="1" thickBot="1">
      <c r="A6" s="139" t="s">
        <v>46</v>
      </c>
      <c r="B6" s="139" t="s">
        <v>114</v>
      </c>
      <c r="C6" s="139" t="s">
        <v>49</v>
      </c>
      <c r="D6" s="140" t="s">
        <v>54</v>
      </c>
      <c r="E6" s="141" t="s">
        <v>115</v>
      </c>
      <c r="F6" s="141" t="s">
        <v>84</v>
      </c>
      <c r="G6" s="141" t="s">
        <v>116</v>
      </c>
      <c r="H6" s="141" t="s">
        <v>76</v>
      </c>
      <c r="I6" s="142" t="s">
        <v>117</v>
      </c>
      <c r="J6" s="143" t="s">
        <v>118</v>
      </c>
      <c r="K6" s="144" t="s">
        <v>119</v>
      </c>
      <c r="L6" s="144" t="s">
        <v>120</v>
      </c>
      <c r="M6" s="145" t="s">
        <v>121</v>
      </c>
      <c r="N6" s="146" t="s">
        <v>122</v>
      </c>
      <c r="O6" s="147" t="s">
        <v>29</v>
      </c>
    </row>
    <row r="7" spans="1:16" s="49" customFormat="1" ht="25.5" customHeight="1" thickTop="1">
      <c r="A7" s="148">
        <f>IF(B7&gt;0,1,"")</f>
        <v>1</v>
      </c>
      <c r="B7" s="149" t="str">
        <f>단위장비1!C$1</f>
        <v>친수 코팅 라인</v>
      </c>
      <c r="C7" s="148" t="s">
        <v>123</v>
      </c>
      <c r="D7" s="150">
        <f>단위장비1!H282</f>
        <v>1088590000</v>
      </c>
      <c r="E7" s="151">
        <f>단위장비1!H283</f>
        <v>0</v>
      </c>
      <c r="F7" s="151">
        <f>단위장비1!H284+단위장비1!H285+단위장비1!H286+단위장비1!H290</f>
        <v>246000000</v>
      </c>
      <c r="G7" s="151">
        <f>단위장비1!H287+단위장비1!H288</f>
        <v>111000000</v>
      </c>
      <c r="H7" s="151">
        <f>단위장비1!H289</f>
        <v>0</v>
      </c>
      <c r="I7" s="152">
        <f>IF($B7&gt;0,'원가항목별(집계)'!I$38*$P7/$P$17,0)</f>
        <v>0</v>
      </c>
      <c r="J7" s="153">
        <f>SUM(D7:I7)</f>
        <v>1445590000</v>
      </c>
      <c r="K7" s="154">
        <f>IF(B7&gt;0,'원가항목별(집계)'!I$34*P7/P$17,0)</f>
        <v>249431982.47256979</v>
      </c>
      <c r="L7" s="154">
        <f>IF($B7&gt;0,'원가항목별(집계)'!I$39*$P7/$P$17,0)</f>
        <v>8778235.9773938525</v>
      </c>
      <c r="M7" s="155">
        <f>단위장비1!H293+단위장비1!H294</f>
        <v>34401750</v>
      </c>
      <c r="N7" s="156">
        <f>SUM(J7:M7)</f>
        <v>1738201968.4499636</v>
      </c>
      <c r="O7" s="157"/>
      <c r="P7" s="49">
        <f>D7+E7+F7+G7+H7+M7</f>
        <v>1479991750</v>
      </c>
    </row>
    <row r="8" spans="1:16" s="49" customFormat="1" ht="25.5" customHeight="1">
      <c r="A8" s="158">
        <f t="shared" ref="A8:A16" si="0">IF(B8&gt;0,A7+1,"")</f>
        <v>2</v>
      </c>
      <c r="B8" s="159" t="str">
        <f>단위장비2!C$1</f>
        <v>바이오 코팅 라인</v>
      </c>
      <c r="C8" s="158" t="s">
        <v>123</v>
      </c>
      <c r="D8" s="160">
        <f>단위장비2!H159</f>
        <v>457410000</v>
      </c>
      <c r="E8" s="161">
        <f>단위장비2!H160</f>
        <v>0</v>
      </c>
      <c r="F8" s="161">
        <f>단위장비2!H161+단위장비2!H162+단위장비2!H163+단위장비2!H167</f>
        <v>105000000</v>
      </c>
      <c r="G8" s="161">
        <f>단위장비2!H164+단위장비2!H165</f>
        <v>33000000</v>
      </c>
      <c r="H8" s="161">
        <f>단위장비2!H166</f>
        <v>0</v>
      </c>
      <c r="I8" s="162">
        <f>IF($B8&gt;0,'원가항목별(집계)'!I$38*$P8/$P$17,0)</f>
        <v>0</v>
      </c>
      <c r="J8" s="163">
        <f>SUM(D8:I8)</f>
        <v>595410000</v>
      </c>
      <c r="K8" s="164">
        <f>IF(B8&gt;0,'원가항목별(집계)'!I$34*P8/P$17,0)</f>
        <v>102856758.5603721</v>
      </c>
      <c r="L8" s="164">
        <f>IF($B8&gt;0,'원가항목별(집계)'!I$39*$P8/$P$17,0)</f>
        <v>3619828.0972732287</v>
      </c>
      <c r="M8" s="165">
        <f>단위장비2!H170+단위장비2!H171</f>
        <v>14885250</v>
      </c>
      <c r="N8" s="166">
        <f t="shared" ref="N8:N16" si="1">SUM(J8:M8)</f>
        <v>716771836.65764534</v>
      </c>
      <c r="O8" s="167"/>
      <c r="P8" s="49">
        <f t="shared" ref="P8:P16" si="2">D8+E8+F8+G8+H8+M8</f>
        <v>610295250</v>
      </c>
    </row>
    <row r="9" spans="1:16" s="49" customFormat="1" ht="25.5" customHeight="1">
      <c r="A9" s="158">
        <f t="shared" si="0"/>
        <v>3</v>
      </c>
      <c r="B9" s="159" t="str">
        <f>단위장비3!C$1</f>
        <v>현지설치 및 시운전</v>
      </c>
      <c r="C9" s="158" t="s">
        <v>124</v>
      </c>
      <c r="D9" s="160">
        <f>단위장비3!H56</f>
        <v>16000000</v>
      </c>
      <c r="E9" s="161">
        <f>단위장비3!H57</f>
        <v>0</v>
      </c>
      <c r="F9" s="161">
        <f>단위장비3!H58+단위장비3!H59+단위장비3!H60+단위장비3!H64</f>
        <v>0</v>
      </c>
      <c r="G9" s="161">
        <f>단위장비3!H61+단위장비3!H62</f>
        <v>96000000</v>
      </c>
      <c r="H9" s="161">
        <f>단위장비3!H63</f>
        <v>0</v>
      </c>
      <c r="I9" s="162">
        <f>IF($B9&gt;0,'원가항목별(집계)'!I$38*$P9/$P$17,0)</f>
        <v>0</v>
      </c>
      <c r="J9" s="163">
        <f t="shared" ref="J9:J17" si="3">SUM(D9:I9)</f>
        <v>112000000</v>
      </c>
      <c r="K9" s="164">
        <f>IF(B9&gt;0,'원가항목별(집계)'!I$34*P9/P$17,0)</f>
        <v>18876039.029898521</v>
      </c>
      <c r="L9" s="164">
        <f>IF($B9&gt;0,'원가항목별(집계)'!I$39*$P9/$P$17,0)</f>
        <v>664302.64186818036</v>
      </c>
      <c r="M9" s="165">
        <f>단위장비3!H67+단위장비3!H68</f>
        <v>0</v>
      </c>
      <c r="N9" s="166">
        <f t="shared" si="1"/>
        <v>131540341.6717667</v>
      </c>
      <c r="O9" s="167"/>
      <c r="P9" s="49">
        <f t="shared" si="2"/>
        <v>112000000</v>
      </c>
    </row>
    <row r="10" spans="1:16" s="49" customFormat="1" ht="25.5" customHeight="1">
      <c r="A10" s="158">
        <f t="shared" si="0"/>
        <v>4</v>
      </c>
      <c r="B10" s="159" t="str">
        <f>단위장비4!C1</f>
        <v>P1 대응비</v>
      </c>
      <c r="C10" s="158" t="s">
        <v>124</v>
      </c>
      <c r="D10" s="160">
        <f>단위장비4!H56</f>
        <v>8000000</v>
      </c>
      <c r="E10" s="161">
        <f>단위장비4!H57</f>
        <v>0</v>
      </c>
      <c r="F10" s="161">
        <f>단위장비4!H58+단위장비4!H59+단위장비4!H60+단위장비4!H64</f>
        <v>0</v>
      </c>
      <c r="G10" s="161">
        <f>단위장비4!H61+단위장비4!H62</f>
        <v>11200000</v>
      </c>
      <c r="H10" s="161">
        <f>단위장비4!H63</f>
        <v>0</v>
      </c>
      <c r="I10" s="162">
        <f>IF($B10&gt;0,'원가항목별(집계)'!I$38*$P10/$P$17,0)</f>
        <v>0</v>
      </c>
      <c r="J10" s="163">
        <f t="shared" si="3"/>
        <v>19200000</v>
      </c>
      <c r="K10" s="164">
        <f>IF(B10&gt;0,'원가항목별(집계)'!I$34*P10/P$17,0)</f>
        <v>3235892.4051254611</v>
      </c>
      <c r="L10" s="164">
        <f>IF($B10&gt;0,'원가항목별(집계)'!I$39*$P10/$P$17,0)</f>
        <v>113880.45289168807</v>
      </c>
      <c r="M10" s="165">
        <f>단위장비4!H67+단위장비4!H68</f>
        <v>0</v>
      </c>
      <c r="N10" s="166">
        <f t="shared" si="1"/>
        <v>22549772.85801715</v>
      </c>
      <c r="O10" s="167"/>
      <c r="P10" s="49">
        <f t="shared" si="2"/>
        <v>19200000</v>
      </c>
    </row>
    <row r="11" spans="1:16" s="49" customFormat="1" ht="25.5" customHeight="1">
      <c r="A11" s="158">
        <f t="shared" si="0"/>
        <v>5</v>
      </c>
      <c r="B11" s="159" t="str">
        <f>단위장비5!C1</f>
        <v>P2 대응비</v>
      </c>
      <c r="C11" s="158" t="s">
        <v>124</v>
      </c>
      <c r="D11" s="160">
        <f>단위장비5!H55</f>
        <v>8000000</v>
      </c>
      <c r="E11" s="161">
        <f>단위장비5!H56</f>
        <v>0</v>
      </c>
      <c r="F11" s="161">
        <f>단위장비5!H57+단위장비5!H58+단위장비5!H59+단위장비5!H63</f>
        <v>0</v>
      </c>
      <c r="G11" s="161">
        <f>단위장비5!H60+단위장비5!H61</f>
        <v>11200000</v>
      </c>
      <c r="H11" s="161">
        <f>단위장비5!H62</f>
        <v>0</v>
      </c>
      <c r="I11" s="162">
        <f>IF($B11&gt;0,'원가항목별(집계)'!I$38*$P11/$P$17,0)</f>
        <v>0</v>
      </c>
      <c r="J11" s="163">
        <f t="shared" si="3"/>
        <v>19200000</v>
      </c>
      <c r="K11" s="164">
        <f>IF(B11&gt;0,'원가항목별(집계)'!I$34*P11/P$17,0)</f>
        <v>3235892.4051254611</v>
      </c>
      <c r="L11" s="164">
        <f>IF($B11&gt;0,'원가항목별(집계)'!I$39*$P11/$P$17,0)</f>
        <v>113880.45289168807</v>
      </c>
      <c r="M11" s="165">
        <f>단위장비5!H66+단위장비5!H67</f>
        <v>0</v>
      </c>
      <c r="N11" s="166">
        <f t="shared" si="1"/>
        <v>22549772.85801715</v>
      </c>
      <c r="O11" s="167"/>
      <c r="P11" s="49">
        <f t="shared" si="2"/>
        <v>19200000</v>
      </c>
    </row>
    <row r="12" spans="1:16" s="49" customFormat="1" ht="25.5" customHeight="1">
      <c r="A12" s="158">
        <f t="shared" si="0"/>
        <v>6</v>
      </c>
      <c r="B12" s="159" t="str">
        <f>단위장비6!C$1</f>
        <v>양산 대응비</v>
      </c>
      <c r="C12" s="158" t="s">
        <v>124</v>
      </c>
      <c r="D12" s="160">
        <f>단위장비6!H56</f>
        <v>8000000</v>
      </c>
      <c r="E12" s="161">
        <f>단위장비6!H57</f>
        <v>0</v>
      </c>
      <c r="F12" s="161">
        <f>단위장비6!H58+단위장비6!H59+단위장비6!H60+단위장비6!H64</f>
        <v>0</v>
      </c>
      <c r="G12" s="161">
        <f>단위장비6!H61+단위장비6!H62</f>
        <v>0</v>
      </c>
      <c r="H12" s="161">
        <f>단위장비6!H63</f>
        <v>22400000</v>
      </c>
      <c r="I12" s="162">
        <f>IF($B12&gt;0,'원가항목별(집계)'!I$38*$P12/$P$17,0)</f>
        <v>0</v>
      </c>
      <c r="J12" s="163">
        <f t="shared" si="3"/>
        <v>30400000</v>
      </c>
      <c r="K12" s="164">
        <f>IF(B12&gt;0,'원가항목별(집계)'!I$34*P12/P$17,0)</f>
        <v>5123496.3081153128</v>
      </c>
      <c r="L12" s="164">
        <f>IF($B12&gt;0,'원가항목별(집계)'!I$39*$P12/$P$17,0)</f>
        <v>180310.7170785061</v>
      </c>
      <c r="M12" s="165">
        <f>단위장비6!H67+단위장비6!H68</f>
        <v>0</v>
      </c>
      <c r="N12" s="166">
        <f t="shared" si="1"/>
        <v>35703807.025193818</v>
      </c>
      <c r="O12" s="167"/>
      <c r="P12" s="49">
        <f t="shared" si="2"/>
        <v>30400000</v>
      </c>
    </row>
    <row r="13" spans="1:16" s="49" customFormat="1" ht="25.5" customHeight="1">
      <c r="A13" s="158">
        <f t="shared" si="0"/>
        <v>7</v>
      </c>
      <c r="B13" s="159" t="str">
        <f>단위장비7!C$1</f>
        <v>출장경비</v>
      </c>
      <c r="C13" s="158" t="s">
        <v>124</v>
      </c>
      <c r="D13" s="160">
        <f>단위장비7!H56</f>
        <v>70400000</v>
      </c>
      <c r="E13" s="161">
        <f>단위장비7!H57</f>
        <v>0</v>
      </c>
      <c r="F13" s="161">
        <f>단위장비7!H58+단위장비7!H59+단위장비7!H60+단위장비7!H64</f>
        <v>0</v>
      </c>
      <c r="G13" s="161">
        <f>단위장비7!H61+단위장비7!H62</f>
        <v>0</v>
      </c>
      <c r="H13" s="161">
        <f>단위장비7!H63</f>
        <v>0</v>
      </c>
      <c r="I13" s="162">
        <f>IF($B13&gt;0,'원가항목별(집계)'!I$38*$P13/$P$17,0)</f>
        <v>0</v>
      </c>
      <c r="J13" s="163">
        <f t="shared" si="3"/>
        <v>70400000</v>
      </c>
      <c r="K13" s="164">
        <f>IF(B13&gt;0,'원가항목별(집계)'!I$34*P13/P$17,0)</f>
        <v>11864938.818793356</v>
      </c>
      <c r="L13" s="164">
        <f>IF($B13&gt;0,'원가항목별(집계)'!I$39*$P13/$P$17,0)</f>
        <v>417561.66060285619</v>
      </c>
      <c r="M13" s="165">
        <f>단위장비7!H67+단위장비7!H68</f>
        <v>0</v>
      </c>
      <c r="N13" s="166">
        <f t="shared" si="1"/>
        <v>82682500.479396209</v>
      </c>
      <c r="O13" s="167"/>
      <c r="P13" s="49">
        <f t="shared" si="2"/>
        <v>70400000</v>
      </c>
    </row>
    <row r="14" spans="1:16" s="49" customFormat="1" ht="25.5" customHeight="1">
      <c r="A14" s="158" t="str">
        <f t="shared" si="0"/>
        <v/>
      </c>
      <c r="B14" s="159">
        <f>[1]단위장비8!C$1</f>
        <v>0</v>
      </c>
      <c r="C14" s="158" t="s">
        <v>124</v>
      </c>
      <c r="D14" s="160">
        <f>[1]단위장비8!H56</f>
        <v>0</v>
      </c>
      <c r="E14" s="161">
        <f>[1]단위장비8!H57</f>
        <v>0</v>
      </c>
      <c r="F14" s="161">
        <f>[1]단위장비8!H58+[1]단위장비8!H59+[1]단위장비8!H60+[1]단위장비8!H64</f>
        <v>0</v>
      </c>
      <c r="G14" s="161">
        <f>[1]단위장비8!H61+[1]단위장비8!H62</f>
        <v>0</v>
      </c>
      <c r="H14" s="161">
        <f>[1]단위장비8!H63</f>
        <v>0</v>
      </c>
      <c r="I14" s="162">
        <f>IF($B14&gt;0,'원가항목별(집계)'!I$38*$P14/$P$17,0)</f>
        <v>0</v>
      </c>
      <c r="J14" s="163">
        <f t="shared" si="3"/>
        <v>0</v>
      </c>
      <c r="K14" s="164">
        <f>IF(B14&gt;0,'원가항목별(집계)'!I$34*P14/P$17,0)</f>
        <v>0</v>
      </c>
      <c r="L14" s="164">
        <f>IF($B14&gt;0,'원가항목별(집계)'!I$39*$P14/$P$17,0)</f>
        <v>0</v>
      </c>
      <c r="M14" s="165">
        <f>[1]단위장비8!H67+[1]단위장비8!H68</f>
        <v>0</v>
      </c>
      <c r="N14" s="166">
        <f t="shared" si="1"/>
        <v>0</v>
      </c>
      <c r="O14" s="167"/>
      <c r="P14" s="49">
        <f t="shared" si="2"/>
        <v>0</v>
      </c>
    </row>
    <row r="15" spans="1:16" s="49" customFormat="1" ht="25.5" customHeight="1">
      <c r="A15" s="158" t="str">
        <f t="shared" si="0"/>
        <v/>
      </c>
      <c r="B15" s="159">
        <f>[1]단위장비9!C$1</f>
        <v>0</v>
      </c>
      <c r="C15" s="158" t="s">
        <v>124</v>
      </c>
      <c r="D15" s="160">
        <f>[1]단위장비9!H57</f>
        <v>0</v>
      </c>
      <c r="E15" s="161">
        <f>[1]단위장비9!H58</f>
        <v>0</v>
      </c>
      <c r="F15" s="161">
        <f>[1]단위장비9!H59+[1]단위장비9!H60+[1]단위장비9!H61+[1]단위장비9!H65</f>
        <v>0</v>
      </c>
      <c r="G15" s="161">
        <f>[1]단위장비9!H62+[1]단위장비9!H63</f>
        <v>0</v>
      </c>
      <c r="H15" s="161">
        <f>[1]단위장비9!H64</f>
        <v>0</v>
      </c>
      <c r="I15" s="162">
        <f>IF($B15&gt;0,'원가항목별(집계)'!I$38*$P15/$P$17,0)</f>
        <v>0</v>
      </c>
      <c r="J15" s="163">
        <f t="shared" si="3"/>
        <v>0</v>
      </c>
      <c r="K15" s="164">
        <f>IF(B15&gt;0,'원가항목별(집계)'!I$34*P15/P$17,0)</f>
        <v>0</v>
      </c>
      <c r="L15" s="164">
        <f>IF($B15&gt;0,'원가항목별(집계)'!I$39*$P15/$P$17,0)</f>
        <v>0</v>
      </c>
      <c r="M15" s="165">
        <f>[1]단위장비9!H68+[1]단위장비9!H69</f>
        <v>0</v>
      </c>
      <c r="N15" s="166">
        <f t="shared" si="1"/>
        <v>0</v>
      </c>
      <c r="O15" s="167"/>
      <c r="P15" s="49">
        <f t="shared" si="2"/>
        <v>0</v>
      </c>
    </row>
    <row r="16" spans="1:16" s="49" customFormat="1" ht="25.5" customHeight="1">
      <c r="A16" s="168" t="str">
        <f t="shared" si="0"/>
        <v/>
      </c>
      <c r="B16" s="169">
        <f>[1]단위장비10!C$1</f>
        <v>0</v>
      </c>
      <c r="C16" s="168" t="s">
        <v>124</v>
      </c>
      <c r="D16" s="170">
        <f>[1]단위장비10!H58</f>
        <v>0</v>
      </c>
      <c r="E16" s="171">
        <f>[1]단위장비10!H59</f>
        <v>0</v>
      </c>
      <c r="F16" s="171">
        <f>[1]단위장비10!H60+[1]단위장비10!H61+[1]단위장비10!H62+[1]단위장비10!H66</f>
        <v>0</v>
      </c>
      <c r="G16" s="171">
        <f>[1]단위장비10!H63+[1]단위장비10!H64</f>
        <v>0</v>
      </c>
      <c r="H16" s="171">
        <f>[1]단위장비10!H65</f>
        <v>0</v>
      </c>
      <c r="I16" s="172">
        <f>IF($B16&gt;0,'원가항목별(집계)'!I$38*$P16/$P$17,0)</f>
        <v>0</v>
      </c>
      <c r="J16" s="173">
        <f t="shared" si="3"/>
        <v>0</v>
      </c>
      <c r="K16" s="174">
        <f>IF(B16&gt;0,'원가항목별(집계)'!I$34*P16/P$17,0)</f>
        <v>0</v>
      </c>
      <c r="L16" s="174">
        <f>IF($B16&gt;0,'원가항목별(집계)'!I$39*$P16/$P$17,0)</f>
        <v>0</v>
      </c>
      <c r="M16" s="175">
        <f>[1]단위장비10!H69+[1]단위장비10!H70</f>
        <v>0</v>
      </c>
      <c r="N16" s="176">
        <f t="shared" si="1"/>
        <v>0</v>
      </c>
      <c r="O16" s="177"/>
      <c r="P16" s="49">
        <f t="shared" si="2"/>
        <v>0</v>
      </c>
    </row>
    <row r="17" spans="1:16" s="49" customFormat="1" ht="33" customHeight="1">
      <c r="A17" s="476" t="s">
        <v>125</v>
      </c>
      <c r="B17" s="477"/>
      <c r="C17" s="478"/>
      <c r="D17" s="178">
        <f t="shared" ref="D17:M17" si="4">SUM(D7:D16)</f>
        <v>1656400000</v>
      </c>
      <c r="E17" s="179">
        <f t="shared" si="4"/>
        <v>0</v>
      </c>
      <c r="F17" s="179">
        <f t="shared" si="4"/>
        <v>351000000</v>
      </c>
      <c r="G17" s="179">
        <f t="shared" si="4"/>
        <v>262400000</v>
      </c>
      <c r="H17" s="179">
        <f t="shared" si="4"/>
        <v>22400000</v>
      </c>
      <c r="I17" s="180">
        <f t="shared" si="4"/>
        <v>0</v>
      </c>
      <c r="J17" s="181">
        <f t="shared" si="3"/>
        <v>2292200000</v>
      </c>
      <c r="K17" s="182">
        <f>SUM(K7:K16)</f>
        <v>394624999.99999994</v>
      </c>
      <c r="L17" s="182">
        <f t="shared" si="4"/>
        <v>13888000.000000002</v>
      </c>
      <c r="M17" s="183">
        <f t="shared" si="4"/>
        <v>49287000</v>
      </c>
      <c r="N17" s="184">
        <f>SUM(N7:N14)</f>
        <v>2749999999.9999995</v>
      </c>
      <c r="O17" s="185"/>
      <c r="P17" s="49">
        <f>SUM(P7:P16)</f>
        <v>2341487000</v>
      </c>
    </row>
    <row r="18" spans="1:16" s="198" customFormat="1" ht="18.75" customHeight="1">
      <c r="A18" s="186"/>
      <c r="B18" s="187"/>
      <c r="C18" s="188"/>
      <c r="D18" s="189">
        <f t="shared" ref="D18:N18" si="5">IF(D17=0,"",D17/$N17)</f>
        <v>0.60232727272727282</v>
      </c>
      <c r="E18" s="190" t="str">
        <f t="shared" si="5"/>
        <v/>
      </c>
      <c r="F18" s="190">
        <f t="shared" si="5"/>
        <v>0.12763636363636366</v>
      </c>
      <c r="G18" s="190">
        <f t="shared" si="5"/>
        <v>9.5418181818181833E-2</v>
      </c>
      <c r="H18" s="190">
        <f t="shared" si="5"/>
        <v>8.145454545454546E-3</v>
      </c>
      <c r="I18" s="191" t="str">
        <f t="shared" si="5"/>
        <v/>
      </c>
      <c r="J18" s="192">
        <f t="shared" si="5"/>
        <v>0.83352727272727289</v>
      </c>
      <c r="K18" s="193">
        <f t="shared" si="5"/>
        <v>0.14350000000000002</v>
      </c>
      <c r="L18" s="194">
        <f t="shared" si="5"/>
        <v>5.05018181818182E-3</v>
      </c>
      <c r="M18" s="195">
        <f t="shared" si="5"/>
        <v>1.7922545454545458E-2</v>
      </c>
      <c r="N18" s="196">
        <f t="shared" si="5"/>
        <v>1</v>
      </c>
      <c r="O18" s="197"/>
    </row>
    <row r="19" spans="1:16" ht="28.5" customHeight="1">
      <c r="A19" s="1" t="s">
        <v>126</v>
      </c>
      <c r="H19" s="54"/>
      <c r="I19" s="54"/>
      <c r="J19" s="54"/>
      <c r="K19" s="54"/>
      <c r="L19" s="54"/>
    </row>
    <row r="20" spans="1:16" ht="17.25" customHeight="1">
      <c r="H20" s="55"/>
      <c r="I20" s="55"/>
      <c r="J20" s="55"/>
      <c r="K20" s="55"/>
      <c r="L20" s="55"/>
      <c r="M20" s="199"/>
      <c r="N20" s="200" t="str">
        <f>IF('원가항목별(집계)'!I42='단위공사별(집계)'!N17,"","DATA오류입니다!")</f>
        <v/>
      </c>
    </row>
    <row r="21" spans="1:16" ht="17.25" customHeight="1">
      <c r="H21" s="201"/>
      <c r="I21" s="201"/>
      <c r="J21" s="201"/>
      <c r="K21" s="201"/>
      <c r="L21" s="201"/>
      <c r="N21" s="201"/>
    </row>
    <row r="22" spans="1:16" ht="17.25" customHeight="1">
      <c r="H22" s="49"/>
      <c r="I22" s="49"/>
      <c r="J22" s="49"/>
      <c r="L22" s="49"/>
    </row>
  </sheetData>
  <mergeCells count="2">
    <mergeCell ref="D4:J4"/>
    <mergeCell ref="A17:C17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29F2-CD31-4813-BCAC-8B2FE36AFB6A}">
  <sheetPr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3" style="1" customWidth="1"/>
    <col min="3" max="3" width="23.59765625" style="1" customWidth="1"/>
    <col min="4" max="4" width="18.19921875" style="1" customWidth="1"/>
    <col min="5" max="5" width="5.19921875" style="26" bestFit="1" customWidth="1"/>
    <col min="6" max="6" width="6.69921875" style="48" customWidth="1"/>
    <col min="7" max="7" width="11.8984375" style="49" customWidth="1"/>
    <col min="8" max="8" width="13.59765625" style="49" customWidth="1"/>
    <col min="9" max="9" width="12.69921875" style="1" customWidth="1"/>
    <col min="10" max="10" width="9.19921875" style="1" customWidth="1"/>
    <col min="11" max="11" width="11.5" style="1" bestFit="1" customWidth="1"/>
    <col min="12" max="256" width="9" style="1"/>
    <col min="257" max="257" width="5" style="1" customWidth="1"/>
    <col min="258" max="258" width="13" style="1" customWidth="1"/>
    <col min="259" max="259" width="23.59765625" style="1" customWidth="1"/>
    <col min="260" max="260" width="18.19921875" style="1" customWidth="1"/>
    <col min="261" max="261" width="5.19921875" style="1" bestFit="1" customWidth="1"/>
    <col min="262" max="262" width="6.69921875" style="1" customWidth="1"/>
    <col min="263" max="263" width="11.8984375" style="1" customWidth="1"/>
    <col min="264" max="264" width="13.59765625" style="1" customWidth="1"/>
    <col min="265" max="265" width="12.69921875" style="1" customWidth="1"/>
    <col min="266" max="266" width="9.19921875" style="1" customWidth="1"/>
    <col min="267" max="267" width="11.5" style="1" bestFit="1" customWidth="1"/>
    <col min="268" max="512" width="9" style="1"/>
    <col min="513" max="513" width="5" style="1" customWidth="1"/>
    <col min="514" max="514" width="13" style="1" customWidth="1"/>
    <col min="515" max="515" width="23.59765625" style="1" customWidth="1"/>
    <col min="516" max="516" width="18.19921875" style="1" customWidth="1"/>
    <col min="517" max="517" width="5.19921875" style="1" bestFit="1" customWidth="1"/>
    <col min="518" max="518" width="6.69921875" style="1" customWidth="1"/>
    <col min="519" max="519" width="11.8984375" style="1" customWidth="1"/>
    <col min="520" max="520" width="13.59765625" style="1" customWidth="1"/>
    <col min="521" max="521" width="12.69921875" style="1" customWidth="1"/>
    <col min="522" max="522" width="9.19921875" style="1" customWidth="1"/>
    <col min="523" max="523" width="11.5" style="1" bestFit="1" customWidth="1"/>
    <col min="524" max="768" width="9" style="1"/>
    <col min="769" max="769" width="5" style="1" customWidth="1"/>
    <col min="770" max="770" width="13" style="1" customWidth="1"/>
    <col min="771" max="771" width="23.59765625" style="1" customWidth="1"/>
    <col min="772" max="772" width="18.19921875" style="1" customWidth="1"/>
    <col min="773" max="773" width="5.19921875" style="1" bestFit="1" customWidth="1"/>
    <col min="774" max="774" width="6.69921875" style="1" customWidth="1"/>
    <col min="775" max="775" width="11.8984375" style="1" customWidth="1"/>
    <col min="776" max="776" width="13.59765625" style="1" customWidth="1"/>
    <col min="777" max="777" width="12.69921875" style="1" customWidth="1"/>
    <col min="778" max="778" width="9.19921875" style="1" customWidth="1"/>
    <col min="779" max="779" width="11.5" style="1" bestFit="1" customWidth="1"/>
    <col min="780" max="1024" width="9" style="1"/>
    <col min="1025" max="1025" width="5" style="1" customWidth="1"/>
    <col min="1026" max="1026" width="13" style="1" customWidth="1"/>
    <col min="1027" max="1027" width="23.59765625" style="1" customWidth="1"/>
    <col min="1028" max="1028" width="18.19921875" style="1" customWidth="1"/>
    <col min="1029" max="1029" width="5.19921875" style="1" bestFit="1" customWidth="1"/>
    <col min="1030" max="1030" width="6.69921875" style="1" customWidth="1"/>
    <col min="1031" max="1031" width="11.8984375" style="1" customWidth="1"/>
    <col min="1032" max="1032" width="13.59765625" style="1" customWidth="1"/>
    <col min="1033" max="1033" width="12.69921875" style="1" customWidth="1"/>
    <col min="1034" max="1034" width="9.19921875" style="1" customWidth="1"/>
    <col min="1035" max="1035" width="11.5" style="1" bestFit="1" customWidth="1"/>
    <col min="1036" max="1280" width="9" style="1"/>
    <col min="1281" max="1281" width="5" style="1" customWidth="1"/>
    <col min="1282" max="1282" width="13" style="1" customWidth="1"/>
    <col min="1283" max="1283" width="23.59765625" style="1" customWidth="1"/>
    <col min="1284" max="1284" width="18.19921875" style="1" customWidth="1"/>
    <col min="1285" max="1285" width="5.19921875" style="1" bestFit="1" customWidth="1"/>
    <col min="1286" max="1286" width="6.69921875" style="1" customWidth="1"/>
    <col min="1287" max="1287" width="11.8984375" style="1" customWidth="1"/>
    <col min="1288" max="1288" width="13.59765625" style="1" customWidth="1"/>
    <col min="1289" max="1289" width="12.69921875" style="1" customWidth="1"/>
    <col min="1290" max="1290" width="9.19921875" style="1" customWidth="1"/>
    <col min="1291" max="1291" width="11.5" style="1" bestFit="1" customWidth="1"/>
    <col min="1292" max="1536" width="9" style="1"/>
    <col min="1537" max="1537" width="5" style="1" customWidth="1"/>
    <col min="1538" max="1538" width="13" style="1" customWidth="1"/>
    <col min="1539" max="1539" width="23.59765625" style="1" customWidth="1"/>
    <col min="1540" max="1540" width="18.19921875" style="1" customWidth="1"/>
    <col min="1541" max="1541" width="5.19921875" style="1" bestFit="1" customWidth="1"/>
    <col min="1542" max="1542" width="6.69921875" style="1" customWidth="1"/>
    <col min="1543" max="1543" width="11.8984375" style="1" customWidth="1"/>
    <col min="1544" max="1544" width="13.59765625" style="1" customWidth="1"/>
    <col min="1545" max="1545" width="12.69921875" style="1" customWidth="1"/>
    <col min="1546" max="1546" width="9.19921875" style="1" customWidth="1"/>
    <col min="1547" max="1547" width="11.5" style="1" bestFit="1" customWidth="1"/>
    <col min="1548" max="1792" width="9" style="1"/>
    <col min="1793" max="1793" width="5" style="1" customWidth="1"/>
    <col min="1794" max="1794" width="13" style="1" customWidth="1"/>
    <col min="1795" max="1795" width="23.59765625" style="1" customWidth="1"/>
    <col min="1796" max="1796" width="18.19921875" style="1" customWidth="1"/>
    <col min="1797" max="1797" width="5.19921875" style="1" bestFit="1" customWidth="1"/>
    <col min="1798" max="1798" width="6.69921875" style="1" customWidth="1"/>
    <col min="1799" max="1799" width="11.8984375" style="1" customWidth="1"/>
    <col min="1800" max="1800" width="13.59765625" style="1" customWidth="1"/>
    <col min="1801" max="1801" width="12.69921875" style="1" customWidth="1"/>
    <col min="1802" max="1802" width="9.19921875" style="1" customWidth="1"/>
    <col min="1803" max="1803" width="11.5" style="1" bestFit="1" customWidth="1"/>
    <col min="1804" max="2048" width="9" style="1"/>
    <col min="2049" max="2049" width="5" style="1" customWidth="1"/>
    <col min="2050" max="2050" width="13" style="1" customWidth="1"/>
    <col min="2051" max="2051" width="23.59765625" style="1" customWidth="1"/>
    <col min="2052" max="2052" width="18.19921875" style="1" customWidth="1"/>
    <col min="2053" max="2053" width="5.19921875" style="1" bestFit="1" customWidth="1"/>
    <col min="2054" max="2054" width="6.69921875" style="1" customWidth="1"/>
    <col min="2055" max="2055" width="11.8984375" style="1" customWidth="1"/>
    <col min="2056" max="2056" width="13.59765625" style="1" customWidth="1"/>
    <col min="2057" max="2057" width="12.69921875" style="1" customWidth="1"/>
    <col min="2058" max="2058" width="9.19921875" style="1" customWidth="1"/>
    <col min="2059" max="2059" width="11.5" style="1" bestFit="1" customWidth="1"/>
    <col min="2060" max="2304" width="9" style="1"/>
    <col min="2305" max="2305" width="5" style="1" customWidth="1"/>
    <col min="2306" max="2306" width="13" style="1" customWidth="1"/>
    <col min="2307" max="2307" width="23.59765625" style="1" customWidth="1"/>
    <col min="2308" max="2308" width="18.19921875" style="1" customWidth="1"/>
    <col min="2309" max="2309" width="5.19921875" style="1" bestFit="1" customWidth="1"/>
    <col min="2310" max="2310" width="6.69921875" style="1" customWidth="1"/>
    <col min="2311" max="2311" width="11.8984375" style="1" customWidth="1"/>
    <col min="2312" max="2312" width="13.59765625" style="1" customWidth="1"/>
    <col min="2313" max="2313" width="12.69921875" style="1" customWidth="1"/>
    <col min="2314" max="2314" width="9.19921875" style="1" customWidth="1"/>
    <col min="2315" max="2315" width="11.5" style="1" bestFit="1" customWidth="1"/>
    <col min="2316" max="2560" width="9" style="1"/>
    <col min="2561" max="2561" width="5" style="1" customWidth="1"/>
    <col min="2562" max="2562" width="13" style="1" customWidth="1"/>
    <col min="2563" max="2563" width="23.59765625" style="1" customWidth="1"/>
    <col min="2564" max="2564" width="18.19921875" style="1" customWidth="1"/>
    <col min="2565" max="2565" width="5.19921875" style="1" bestFit="1" customWidth="1"/>
    <col min="2566" max="2566" width="6.69921875" style="1" customWidth="1"/>
    <col min="2567" max="2567" width="11.8984375" style="1" customWidth="1"/>
    <col min="2568" max="2568" width="13.59765625" style="1" customWidth="1"/>
    <col min="2569" max="2569" width="12.69921875" style="1" customWidth="1"/>
    <col min="2570" max="2570" width="9.19921875" style="1" customWidth="1"/>
    <col min="2571" max="2571" width="11.5" style="1" bestFit="1" customWidth="1"/>
    <col min="2572" max="2816" width="9" style="1"/>
    <col min="2817" max="2817" width="5" style="1" customWidth="1"/>
    <col min="2818" max="2818" width="13" style="1" customWidth="1"/>
    <col min="2819" max="2819" width="23.59765625" style="1" customWidth="1"/>
    <col min="2820" max="2820" width="18.19921875" style="1" customWidth="1"/>
    <col min="2821" max="2821" width="5.19921875" style="1" bestFit="1" customWidth="1"/>
    <col min="2822" max="2822" width="6.69921875" style="1" customWidth="1"/>
    <col min="2823" max="2823" width="11.8984375" style="1" customWidth="1"/>
    <col min="2824" max="2824" width="13.59765625" style="1" customWidth="1"/>
    <col min="2825" max="2825" width="12.69921875" style="1" customWidth="1"/>
    <col min="2826" max="2826" width="9.19921875" style="1" customWidth="1"/>
    <col min="2827" max="2827" width="11.5" style="1" bestFit="1" customWidth="1"/>
    <col min="2828" max="3072" width="9" style="1"/>
    <col min="3073" max="3073" width="5" style="1" customWidth="1"/>
    <col min="3074" max="3074" width="13" style="1" customWidth="1"/>
    <col min="3075" max="3075" width="23.59765625" style="1" customWidth="1"/>
    <col min="3076" max="3076" width="18.19921875" style="1" customWidth="1"/>
    <col min="3077" max="3077" width="5.19921875" style="1" bestFit="1" customWidth="1"/>
    <col min="3078" max="3078" width="6.69921875" style="1" customWidth="1"/>
    <col min="3079" max="3079" width="11.8984375" style="1" customWidth="1"/>
    <col min="3080" max="3080" width="13.59765625" style="1" customWidth="1"/>
    <col min="3081" max="3081" width="12.69921875" style="1" customWidth="1"/>
    <col min="3082" max="3082" width="9.19921875" style="1" customWidth="1"/>
    <col min="3083" max="3083" width="11.5" style="1" bestFit="1" customWidth="1"/>
    <col min="3084" max="3328" width="9" style="1"/>
    <col min="3329" max="3329" width="5" style="1" customWidth="1"/>
    <col min="3330" max="3330" width="13" style="1" customWidth="1"/>
    <col min="3331" max="3331" width="23.59765625" style="1" customWidth="1"/>
    <col min="3332" max="3332" width="18.19921875" style="1" customWidth="1"/>
    <col min="3333" max="3333" width="5.19921875" style="1" bestFit="1" customWidth="1"/>
    <col min="3334" max="3334" width="6.69921875" style="1" customWidth="1"/>
    <col min="3335" max="3335" width="11.8984375" style="1" customWidth="1"/>
    <col min="3336" max="3336" width="13.59765625" style="1" customWidth="1"/>
    <col min="3337" max="3337" width="12.69921875" style="1" customWidth="1"/>
    <col min="3338" max="3338" width="9.19921875" style="1" customWidth="1"/>
    <col min="3339" max="3339" width="11.5" style="1" bestFit="1" customWidth="1"/>
    <col min="3340" max="3584" width="9" style="1"/>
    <col min="3585" max="3585" width="5" style="1" customWidth="1"/>
    <col min="3586" max="3586" width="13" style="1" customWidth="1"/>
    <col min="3587" max="3587" width="23.59765625" style="1" customWidth="1"/>
    <col min="3588" max="3588" width="18.19921875" style="1" customWidth="1"/>
    <col min="3589" max="3589" width="5.19921875" style="1" bestFit="1" customWidth="1"/>
    <col min="3590" max="3590" width="6.69921875" style="1" customWidth="1"/>
    <col min="3591" max="3591" width="11.8984375" style="1" customWidth="1"/>
    <col min="3592" max="3592" width="13.59765625" style="1" customWidth="1"/>
    <col min="3593" max="3593" width="12.69921875" style="1" customWidth="1"/>
    <col min="3594" max="3594" width="9.19921875" style="1" customWidth="1"/>
    <col min="3595" max="3595" width="11.5" style="1" bestFit="1" customWidth="1"/>
    <col min="3596" max="3840" width="9" style="1"/>
    <col min="3841" max="3841" width="5" style="1" customWidth="1"/>
    <col min="3842" max="3842" width="13" style="1" customWidth="1"/>
    <col min="3843" max="3843" width="23.59765625" style="1" customWidth="1"/>
    <col min="3844" max="3844" width="18.19921875" style="1" customWidth="1"/>
    <col min="3845" max="3845" width="5.19921875" style="1" bestFit="1" customWidth="1"/>
    <col min="3846" max="3846" width="6.69921875" style="1" customWidth="1"/>
    <col min="3847" max="3847" width="11.8984375" style="1" customWidth="1"/>
    <col min="3848" max="3848" width="13.59765625" style="1" customWidth="1"/>
    <col min="3849" max="3849" width="12.69921875" style="1" customWidth="1"/>
    <col min="3850" max="3850" width="9.19921875" style="1" customWidth="1"/>
    <col min="3851" max="3851" width="11.5" style="1" bestFit="1" customWidth="1"/>
    <col min="3852" max="4096" width="9" style="1"/>
    <col min="4097" max="4097" width="5" style="1" customWidth="1"/>
    <col min="4098" max="4098" width="13" style="1" customWidth="1"/>
    <col min="4099" max="4099" width="23.59765625" style="1" customWidth="1"/>
    <col min="4100" max="4100" width="18.19921875" style="1" customWidth="1"/>
    <col min="4101" max="4101" width="5.19921875" style="1" bestFit="1" customWidth="1"/>
    <col min="4102" max="4102" width="6.69921875" style="1" customWidth="1"/>
    <col min="4103" max="4103" width="11.8984375" style="1" customWidth="1"/>
    <col min="4104" max="4104" width="13.59765625" style="1" customWidth="1"/>
    <col min="4105" max="4105" width="12.69921875" style="1" customWidth="1"/>
    <col min="4106" max="4106" width="9.19921875" style="1" customWidth="1"/>
    <col min="4107" max="4107" width="11.5" style="1" bestFit="1" customWidth="1"/>
    <col min="4108" max="4352" width="9" style="1"/>
    <col min="4353" max="4353" width="5" style="1" customWidth="1"/>
    <col min="4354" max="4354" width="13" style="1" customWidth="1"/>
    <col min="4355" max="4355" width="23.59765625" style="1" customWidth="1"/>
    <col min="4356" max="4356" width="18.19921875" style="1" customWidth="1"/>
    <col min="4357" max="4357" width="5.19921875" style="1" bestFit="1" customWidth="1"/>
    <col min="4358" max="4358" width="6.69921875" style="1" customWidth="1"/>
    <col min="4359" max="4359" width="11.8984375" style="1" customWidth="1"/>
    <col min="4360" max="4360" width="13.59765625" style="1" customWidth="1"/>
    <col min="4361" max="4361" width="12.69921875" style="1" customWidth="1"/>
    <col min="4362" max="4362" width="9.19921875" style="1" customWidth="1"/>
    <col min="4363" max="4363" width="11.5" style="1" bestFit="1" customWidth="1"/>
    <col min="4364" max="4608" width="9" style="1"/>
    <col min="4609" max="4609" width="5" style="1" customWidth="1"/>
    <col min="4610" max="4610" width="13" style="1" customWidth="1"/>
    <col min="4611" max="4611" width="23.59765625" style="1" customWidth="1"/>
    <col min="4612" max="4612" width="18.19921875" style="1" customWidth="1"/>
    <col min="4613" max="4613" width="5.19921875" style="1" bestFit="1" customWidth="1"/>
    <col min="4614" max="4614" width="6.69921875" style="1" customWidth="1"/>
    <col min="4615" max="4615" width="11.8984375" style="1" customWidth="1"/>
    <col min="4616" max="4616" width="13.59765625" style="1" customWidth="1"/>
    <col min="4617" max="4617" width="12.69921875" style="1" customWidth="1"/>
    <col min="4618" max="4618" width="9.19921875" style="1" customWidth="1"/>
    <col min="4619" max="4619" width="11.5" style="1" bestFit="1" customWidth="1"/>
    <col min="4620" max="4864" width="9" style="1"/>
    <col min="4865" max="4865" width="5" style="1" customWidth="1"/>
    <col min="4866" max="4866" width="13" style="1" customWidth="1"/>
    <col min="4867" max="4867" width="23.59765625" style="1" customWidth="1"/>
    <col min="4868" max="4868" width="18.19921875" style="1" customWidth="1"/>
    <col min="4869" max="4869" width="5.19921875" style="1" bestFit="1" customWidth="1"/>
    <col min="4870" max="4870" width="6.69921875" style="1" customWidth="1"/>
    <col min="4871" max="4871" width="11.8984375" style="1" customWidth="1"/>
    <col min="4872" max="4872" width="13.59765625" style="1" customWidth="1"/>
    <col min="4873" max="4873" width="12.69921875" style="1" customWidth="1"/>
    <col min="4874" max="4874" width="9.19921875" style="1" customWidth="1"/>
    <col min="4875" max="4875" width="11.5" style="1" bestFit="1" customWidth="1"/>
    <col min="4876" max="5120" width="9" style="1"/>
    <col min="5121" max="5121" width="5" style="1" customWidth="1"/>
    <col min="5122" max="5122" width="13" style="1" customWidth="1"/>
    <col min="5123" max="5123" width="23.59765625" style="1" customWidth="1"/>
    <col min="5124" max="5124" width="18.19921875" style="1" customWidth="1"/>
    <col min="5125" max="5125" width="5.19921875" style="1" bestFit="1" customWidth="1"/>
    <col min="5126" max="5126" width="6.69921875" style="1" customWidth="1"/>
    <col min="5127" max="5127" width="11.8984375" style="1" customWidth="1"/>
    <col min="5128" max="5128" width="13.59765625" style="1" customWidth="1"/>
    <col min="5129" max="5129" width="12.69921875" style="1" customWidth="1"/>
    <col min="5130" max="5130" width="9.19921875" style="1" customWidth="1"/>
    <col min="5131" max="5131" width="11.5" style="1" bestFit="1" customWidth="1"/>
    <col min="5132" max="5376" width="9" style="1"/>
    <col min="5377" max="5377" width="5" style="1" customWidth="1"/>
    <col min="5378" max="5378" width="13" style="1" customWidth="1"/>
    <col min="5379" max="5379" width="23.59765625" style="1" customWidth="1"/>
    <col min="5380" max="5380" width="18.19921875" style="1" customWidth="1"/>
    <col min="5381" max="5381" width="5.19921875" style="1" bestFit="1" customWidth="1"/>
    <col min="5382" max="5382" width="6.69921875" style="1" customWidth="1"/>
    <col min="5383" max="5383" width="11.8984375" style="1" customWidth="1"/>
    <col min="5384" max="5384" width="13.59765625" style="1" customWidth="1"/>
    <col min="5385" max="5385" width="12.69921875" style="1" customWidth="1"/>
    <col min="5386" max="5386" width="9.19921875" style="1" customWidth="1"/>
    <col min="5387" max="5387" width="11.5" style="1" bestFit="1" customWidth="1"/>
    <col min="5388" max="5632" width="9" style="1"/>
    <col min="5633" max="5633" width="5" style="1" customWidth="1"/>
    <col min="5634" max="5634" width="13" style="1" customWidth="1"/>
    <col min="5635" max="5635" width="23.59765625" style="1" customWidth="1"/>
    <col min="5636" max="5636" width="18.19921875" style="1" customWidth="1"/>
    <col min="5637" max="5637" width="5.19921875" style="1" bestFit="1" customWidth="1"/>
    <col min="5638" max="5638" width="6.69921875" style="1" customWidth="1"/>
    <col min="5639" max="5639" width="11.8984375" style="1" customWidth="1"/>
    <col min="5640" max="5640" width="13.59765625" style="1" customWidth="1"/>
    <col min="5641" max="5641" width="12.69921875" style="1" customWidth="1"/>
    <col min="5642" max="5642" width="9.19921875" style="1" customWidth="1"/>
    <col min="5643" max="5643" width="11.5" style="1" bestFit="1" customWidth="1"/>
    <col min="5644" max="5888" width="9" style="1"/>
    <col min="5889" max="5889" width="5" style="1" customWidth="1"/>
    <col min="5890" max="5890" width="13" style="1" customWidth="1"/>
    <col min="5891" max="5891" width="23.59765625" style="1" customWidth="1"/>
    <col min="5892" max="5892" width="18.19921875" style="1" customWidth="1"/>
    <col min="5893" max="5893" width="5.19921875" style="1" bestFit="1" customWidth="1"/>
    <col min="5894" max="5894" width="6.69921875" style="1" customWidth="1"/>
    <col min="5895" max="5895" width="11.8984375" style="1" customWidth="1"/>
    <col min="5896" max="5896" width="13.59765625" style="1" customWidth="1"/>
    <col min="5897" max="5897" width="12.69921875" style="1" customWidth="1"/>
    <col min="5898" max="5898" width="9.19921875" style="1" customWidth="1"/>
    <col min="5899" max="5899" width="11.5" style="1" bestFit="1" customWidth="1"/>
    <col min="5900" max="6144" width="9" style="1"/>
    <col min="6145" max="6145" width="5" style="1" customWidth="1"/>
    <col min="6146" max="6146" width="13" style="1" customWidth="1"/>
    <col min="6147" max="6147" width="23.59765625" style="1" customWidth="1"/>
    <col min="6148" max="6148" width="18.19921875" style="1" customWidth="1"/>
    <col min="6149" max="6149" width="5.19921875" style="1" bestFit="1" customWidth="1"/>
    <col min="6150" max="6150" width="6.69921875" style="1" customWidth="1"/>
    <col min="6151" max="6151" width="11.8984375" style="1" customWidth="1"/>
    <col min="6152" max="6152" width="13.59765625" style="1" customWidth="1"/>
    <col min="6153" max="6153" width="12.69921875" style="1" customWidth="1"/>
    <col min="6154" max="6154" width="9.19921875" style="1" customWidth="1"/>
    <col min="6155" max="6155" width="11.5" style="1" bestFit="1" customWidth="1"/>
    <col min="6156" max="6400" width="9" style="1"/>
    <col min="6401" max="6401" width="5" style="1" customWidth="1"/>
    <col min="6402" max="6402" width="13" style="1" customWidth="1"/>
    <col min="6403" max="6403" width="23.59765625" style="1" customWidth="1"/>
    <col min="6404" max="6404" width="18.19921875" style="1" customWidth="1"/>
    <col min="6405" max="6405" width="5.19921875" style="1" bestFit="1" customWidth="1"/>
    <col min="6406" max="6406" width="6.69921875" style="1" customWidth="1"/>
    <col min="6407" max="6407" width="11.8984375" style="1" customWidth="1"/>
    <col min="6408" max="6408" width="13.59765625" style="1" customWidth="1"/>
    <col min="6409" max="6409" width="12.69921875" style="1" customWidth="1"/>
    <col min="6410" max="6410" width="9.19921875" style="1" customWidth="1"/>
    <col min="6411" max="6411" width="11.5" style="1" bestFit="1" customWidth="1"/>
    <col min="6412" max="6656" width="9" style="1"/>
    <col min="6657" max="6657" width="5" style="1" customWidth="1"/>
    <col min="6658" max="6658" width="13" style="1" customWidth="1"/>
    <col min="6659" max="6659" width="23.59765625" style="1" customWidth="1"/>
    <col min="6660" max="6660" width="18.19921875" style="1" customWidth="1"/>
    <col min="6661" max="6661" width="5.19921875" style="1" bestFit="1" customWidth="1"/>
    <col min="6662" max="6662" width="6.69921875" style="1" customWidth="1"/>
    <col min="6663" max="6663" width="11.8984375" style="1" customWidth="1"/>
    <col min="6664" max="6664" width="13.59765625" style="1" customWidth="1"/>
    <col min="6665" max="6665" width="12.69921875" style="1" customWidth="1"/>
    <col min="6666" max="6666" width="9.19921875" style="1" customWidth="1"/>
    <col min="6667" max="6667" width="11.5" style="1" bestFit="1" customWidth="1"/>
    <col min="6668" max="6912" width="9" style="1"/>
    <col min="6913" max="6913" width="5" style="1" customWidth="1"/>
    <col min="6914" max="6914" width="13" style="1" customWidth="1"/>
    <col min="6915" max="6915" width="23.59765625" style="1" customWidth="1"/>
    <col min="6916" max="6916" width="18.19921875" style="1" customWidth="1"/>
    <col min="6917" max="6917" width="5.19921875" style="1" bestFit="1" customWidth="1"/>
    <col min="6918" max="6918" width="6.69921875" style="1" customWidth="1"/>
    <col min="6919" max="6919" width="11.8984375" style="1" customWidth="1"/>
    <col min="6920" max="6920" width="13.59765625" style="1" customWidth="1"/>
    <col min="6921" max="6921" width="12.69921875" style="1" customWidth="1"/>
    <col min="6922" max="6922" width="9.19921875" style="1" customWidth="1"/>
    <col min="6923" max="6923" width="11.5" style="1" bestFit="1" customWidth="1"/>
    <col min="6924" max="7168" width="9" style="1"/>
    <col min="7169" max="7169" width="5" style="1" customWidth="1"/>
    <col min="7170" max="7170" width="13" style="1" customWidth="1"/>
    <col min="7171" max="7171" width="23.59765625" style="1" customWidth="1"/>
    <col min="7172" max="7172" width="18.19921875" style="1" customWidth="1"/>
    <col min="7173" max="7173" width="5.19921875" style="1" bestFit="1" customWidth="1"/>
    <col min="7174" max="7174" width="6.69921875" style="1" customWidth="1"/>
    <col min="7175" max="7175" width="11.8984375" style="1" customWidth="1"/>
    <col min="7176" max="7176" width="13.59765625" style="1" customWidth="1"/>
    <col min="7177" max="7177" width="12.69921875" style="1" customWidth="1"/>
    <col min="7178" max="7178" width="9.19921875" style="1" customWidth="1"/>
    <col min="7179" max="7179" width="11.5" style="1" bestFit="1" customWidth="1"/>
    <col min="7180" max="7424" width="9" style="1"/>
    <col min="7425" max="7425" width="5" style="1" customWidth="1"/>
    <col min="7426" max="7426" width="13" style="1" customWidth="1"/>
    <col min="7427" max="7427" width="23.59765625" style="1" customWidth="1"/>
    <col min="7428" max="7428" width="18.19921875" style="1" customWidth="1"/>
    <col min="7429" max="7429" width="5.19921875" style="1" bestFit="1" customWidth="1"/>
    <col min="7430" max="7430" width="6.69921875" style="1" customWidth="1"/>
    <col min="7431" max="7431" width="11.8984375" style="1" customWidth="1"/>
    <col min="7432" max="7432" width="13.59765625" style="1" customWidth="1"/>
    <col min="7433" max="7433" width="12.69921875" style="1" customWidth="1"/>
    <col min="7434" max="7434" width="9.19921875" style="1" customWidth="1"/>
    <col min="7435" max="7435" width="11.5" style="1" bestFit="1" customWidth="1"/>
    <col min="7436" max="7680" width="9" style="1"/>
    <col min="7681" max="7681" width="5" style="1" customWidth="1"/>
    <col min="7682" max="7682" width="13" style="1" customWidth="1"/>
    <col min="7683" max="7683" width="23.59765625" style="1" customWidth="1"/>
    <col min="7684" max="7684" width="18.19921875" style="1" customWidth="1"/>
    <col min="7685" max="7685" width="5.19921875" style="1" bestFit="1" customWidth="1"/>
    <col min="7686" max="7686" width="6.69921875" style="1" customWidth="1"/>
    <col min="7687" max="7687" width="11.8984375" style="1" customWidth="1"/>
    <col min="7688" max="7688" width="13.59765625" style="1" customWidth="1"/>
    <col min="7689" max="7689" width="12.69921875" style="1" customWidth="1"/>
    <col min="7690" max="7690" width="9.19921875" style="1" customWidth="1"/>
    <col min="7691" max="7691" width="11.5" style="1" bestFit="1" customWidth="1"/>
    <col min="7692" max="7936" width="9" style="1"/>
    <col min="7937" max="7937" width="5" style="1" customWidth="1"/>
    <col min="7938" max="7938" width="13" style="1" customWidth="1"/>
    <col min="7939" max="7939" width="23.59765625" style="1" customWidth="1"/>
    <col min="7940" max="7940" width="18.19921875" style="1" customWidth="1"/>
    <col min="7941" max="7941" width="5.19921875" style="1" bestFit="1" customWidth="1"/>
    <col min="7942" max="7942" width="6.69921875" style="1" customWidth="1"/>
    <col min="7943" max="7943" width="11.8984375" style="1" customWidth="1"/>
    <col min="7944" max="7944" width="13.59765625" style="1" customWidth="1"/>
    <col min="7945" max="7945" width="12.69921875" style="1" customWidth="1"/>
    <col min="7946" max="7946" width="9.19921875" style="1" customWidth="1"/>
    <col min="7947" max="7947" width="11.5" style="1" bestFit="1" customWidth="1"/>
    <col min="7948" max="8192" width="9" style="1"/>
    <col min="8193" max="8193" width="5" style="1" customWidth="1"/>
    <col min="8194" max="8194" width="13" style="1" customWidth="1"/>
    <col min="8195" max="8195" width="23.59765625" style="1" customWidth="1"/>
    <col min="8196" max="8196" width="18.19921875" style="1" customWidth="1"/>
    <col min="8197" max="8197" width="5.19921875" style="1" bestFit="1" customWidth="1"/>
    <col min="8198" max="8198" width="6.69921875" style="1" customWidth="1"/>
    <col min="8199" max="8199" width="11.8984375" style="1" customWidth="1"/>
    <col min="8200" max="8200" width="13.59765625" style="1" customWidth="1"/>
    <col min="8201" max="8201" width="12.69921875" style="1" customWidth="1"/>
    <col min="8202" max="8202" width="9.19921875" style="1" customWidth="1"/>
    <col min="8203" max="8203" width="11.5" style="1" bestFit="1" customWidth="1"/>
    <col min="8204" max="8448" width="9" style="1"/>
    <col min="8449" max="8449" width="5" style="1" customWidth="1"/>
    <col min="8450" max="8450" width="13" style="1" customWidth="1"/>
    <col min="8451" max="8451" width="23.59765625" style="1" customWidth="1"/>
    <col min="8452" max="8452" width="18.19921875" style="1" customWidth="1"/>
    <col min="8453" max="8453" width="5.19921875" style="1" bestFit="1" customWidth="1"/>
    <col min="8454" max="8454" width="6.69921875" style="1" customWidth="1"/>
    <col min="8455" max="8455" width="11.8984375" style="1" customWidth="1"/>
    <col min="8456" max="8456" width="13.59765625" style="1" customWidth="1"/>
    <col min="8457" max="8457" width="12.69921875" style="1" customWidth="1"/>
    <col min="8458" max="8458" width="9.19921875" style="1" customWidth="1"/>
    <col min="8459" max="8459" width="11.5" style="1" bestFit="1" customWidth="1"/>
    <col min="8460" max="8704" width="9" style="1"/>
    <col min="8705" max="8705" width="5" style="1" customWidth="1"/>
    <col min="8706" max="8706" width="13" style="1" customWidth="1"/>
    <col min="8707" max="8707" width="23.59765625" style="1" customWidth="1"/>
    <col min="8708" max="8708" width="18.19921875" style="1" customWidth="1"/>
    <col min="8709" max="8709" width="5.19921875" style="1" bestFit="1" customWidth="1"/>
    <col min="8710" max="8710" width="6.69921875" style="1" customWidth="1"/>
    <col min="8711" max="8711" width="11.8984375" style="1" customWidth="1"/>
    <col min="8712" max="8712" width="13.59765625" style="1" customWidth="1"/>
    <col min="8713" max="8713" width="12.69921875" style="1" customWidth="1"/>
    <col min="8714" max="8714" width="9.19921875" style="1" customWidth="1"/>
    <col min="8715" max="8715" width="11.5" style="1" bestFit="1" customWidth="1"/>
    <col min="8716" max="8960" width="9" style="1"/>
    <col min="8961" max="8961" width="5" style="1" customWidth="1"/>
    <col min="8962" max="8962" width="13" style="1" customWidth="1"/>
    <col min="8963" max="8963" width="23.59765625" style="1" customWidth="1"/>
    <col min="8964" max="8964" width="18.19921875" style="1" customWidth="1"/>
    <col min="8965" max="8965" width="5.19921875" style="1" bestFit="1" customWidth="1"/>
    <col min="8966" max="8966" width="6.69921875" style="1" customWidth="1"/>
    <col min="8967" max="8967" width="11.8984375" style="1" customWidth="1"/>
    <col min="8968" max="8968" width="13.59765625" style="1" customWidth="1"/>
    <col min="8969" max="8969" width="12.69921875" style="1" customWidth="1"/>
    <col min="8970" max="8970" width="9.19921875" style="1" customWidth="1"/>
    <col min="8971" max="8971" width="11.5" style="1" bestFit="1" customWidth="1"/>
    <col min="8972" max="9216" width="9" style="1"/>
    <col min="9217" max="9217" width="5" style="1" customWidth="1"/>
    <col min="9218" max="9218" width="13" style="1" customWidth="1"/>
    <col min="9219" max="9219" width="23.59765625" style="1" customWidth="1"/>
    <col min="9220" max="9220" width="18.19921875" style="1" customWidth="1"/>
    <col min="9221" max="9221" width="5.19921875" style="1" bestFit="1" customWidth="1"/>
    <col min="9222" max="9222" width="6.69921875" style="1" customWidth="1"/>
    <col min="9223" max="9223" width="11.8984375" style="1" customWidth="1"/>
    <col min="9224" max="9224" width="13.59765625" style="1" customWidth="1"/>
    <col min="9225" max="9225" width="12.69921875" style="1" customWidth="1"/>
    <col min="9226" max="9226" width="9.19921875" style="1" customWidth="1"/>
    <col min="9227" max="9227" width="11.5" style="1" bestFit="1" customWidth="1"/>
    <col min="9228" max="9472" width="9" style="1"/>
    <col min="9473" max="9473" width="5" style="1" customWidth="1"/>
    <col min="9474" max="9474" width="13" style="1" customWidth="1"/>
    <col min="9475" max="9475" width="23.59765625" style="1" customWidth="1"/>
    <col min="9476" max="9476" width="18.19921875" style="1" customWidth="1"/>
    <col min="9477" max="9477" width="5.19921875" style="1" bestFit="1" customWidth="1"/>
    <col min="9478" max="9478" width="6.69921875" style="1" customWidth="1"/>
    <col min="9479" max="9479" width="11.8984375" style="1" customWidth="1"/>
    <col min="9480" max="9480" width="13.59765625" style="1" customWidth="1"/>
    <col min="9481" max="9481" width="12.69921875" style="1" customWidth="1"/>
    <col min="9482" max="9482" width="9.19921875" style="1" customWidth="1"/>
    <col min="9483" max="9483" width="11.5" style="1" bestFit="1" customWidth="1"/>
    <col min="9484" max="9728" width="9" style="1"/>
    <col min="9729" max="9729" width="5" style="1" customWidth="1"/>
    <col min="9730" max="9730" width="13" style="1" customWidth="1"/>
    <col min="9731" max="9731" width="23.59765625" style="1" customWidth="1"/>
    <col min="9732" max="9732" width="18.19921875" style="1" customWidth="1"/>
    <col min="9733" max="9733" width="5.19921875" style="1" bestFit="1" customWidth="1"/>
    <col min="9734" max="9734" width="6.69921875" style="1" customWidth="1"/>
    <col min="9735" max="9735" width="11.8984375" style="1" customWidth="1"/>
    <col min="9736" max="9736" width="13.59765625" style="1" customWidth="1"/>
    <col min="9737" max="9737" width="12.69921875" style="1" customWidth="1"/>
    <col min="9738" max="9738" width="9.19921875" style="1" customWidth="1"/>
    <col min="9739" max="9739" width="11.5" style="1" bestFit="1" customWidth="1"/>
    <col min="9740" max="9984" width="9" style="1"/>
    <col min="9985" max="9985" width="5" style="1" customWidth="1"/>
    <col min="9986" max="9986" width="13" style="1" customWidth="1"/>
    <col min="9987" max="9987" width="23.59765625" style="1" customWidth="1"/>
    <col min="9988" max="9988" width="18.19921875" style="1" customWidth="1"/>
    <col min="9989" max="9989" width="5.19921875" style="1" bestFit="1" customWidth="1"/>
    <col min="9990" max="9990" width="6.69921875" style="1" customWidth="1"/>
    <col min="9991" max="9991" width="11.8984375" style="1" customWidth="1"/>
    <col min="9992" max="9992" width="13.59765625" style="1" customWidth="1"/>
    <col min="9993" max="9993" width="12.69921875" style="1" customWidth="1"/>
    <col min="9994" max="9994" width="9.19921875" style="1" customWidth="1"/>
    <col min="9995" max="9995" width="11.5" style="1" bestFit="1" customWidth="1"/>
    <col min="9996" max="10240" width="9" style="1"/>
    <col min="10241" max="10241" width="5" style="1" customWidth="1"/>
    <col min="10242" max="10242" width="13" style="1" customWidth="1"/>
    <col min="10243" max="10243" width="23.59765625" style="1" customWidth="1"/>
    <col min="10244" max="10244" width="18.19921875" style="1" customWidth="1"/>
    <col min="10245" max="10245" width="5.19921875" style="1" bestFit="1" customWidth="1"/>
    <col min="10246" max="10246" width="6.69921875" style="1" customWidth="1"/>
    <col min="10247" max="10247" width="11.8984375" style="1" customWidth="1"/>
    <col min="10248" max="10248" width="13.59765625" style="1" customWidth="1"/>
    <col min="10249" max="10249" width="12.69921875" style="1" customWidth="1"/>
    <col min="10250" max="10250" width="9.19921875" style="1" customWidth="1"/>
    <col min="10251" max="10251" width="11.5" style="1" bestFit="1" customWidth="1"/>
    <col min="10252" max="10496" width="9" style="1"/>
    <col min="10497" max="10497" width="5" style="1" customWidth="1"/>
    <col min="10498" max="10498" width="13" style="1" customWidth="1"/>
    <col min="10499" max="10499" width="23.59765625" style="1" customWidth="1"/>
    <col min="10500" max="10500" width="18.19921875" style="1" customWidth="1"/>
    <col min="10501" max="10501" width="5.19921875" style="1" bestFit="1" customWidth="1"/>
    <col min="10502" max="10502" width="6.69921875" style="1" customWidth="1"/>
    <col min="10503" max="10503" width="11.8984375" style="1" customWidth="1"/>
    <col min="10504" max="10504" width="13.59765625" style="1" customWidth="1"/>
    <col min="10505" max="10505" width="12.69921875" style="1" customWidth="1"/>
    <col min="10506" max="10506" width="9.19921875" style="1" customWidth="1"/>
    <col min="10507" max="10507" width="11.5" style="1" bestFit="1" customWidth="1"/>
    <col min="10508" max="10752" width="9" style="1"/>
    <col min="10753" max="10753" width="5" style="1" customWidth="1"/>
    <col min="10754" max="10754" width="13" style="1" customWidth="1"/>
    <col min="10755" max="10755" width="23.59765625" style="1" customWidth="1"/>
    <col min="10756" max="10756" width="18.19921875" style="1" customWidth="1"/>
    <col min="10757" max="10757" width="5.19921875" style="1" bestFit="1" customWidth="1"/>
    <col min="10758" max="10758" width="6.69921875" style="1" customWidth="1"/>
    <col min="10759" max="10759" width="11.8984375" style="1" customWidth="1"/>
    <col min="10760" max="10760" width="13.59765625" style="1" customWidth="1"/>
    <col min="10761" max="10761" width="12.69921875" style="1" customWidth="1"/>
    <col min="10762" max="10762" width="9.19921875" style="1" customWidth="1"/>
    <col min="10763" max="10763" width="11.5" style="1" bestFit="1" customWidth="1"/>
    <col min="10764" max="11008" width="9" style="1"/>
    <col min="11009" max="11009" width="5" style="1" customWidth="1"/>
    <col min="11010" max="11010" width="13" style="1" customWidth="1"/>
    <col min="11011" max="11011" width="23.59765625" style="1" customWidth="1"/>
    <col min="11012" max="11012" width="18.19921875" style="1" customWidth="1"/>
    <col min="11013" max="11013" width="5.19921875" style="1" bestFit="1" customWidth="1"/>
    <col min="11014" max="11014" width="6.69921875" style="1" customWidth="1"/>
    <col min="11015" max="11015" width="11.8984375" style="1" customWidth="1"/>
    <col min="11016" max="11016" width="13.59765625" style="1" customWidth="1"/>
    <col min="11017" max="11017" width="12.69921875" style="1" customWidth="1"/>
    <col min="11018" max="11018" width="9.19921875" style="1" customWidth="1"/>
    <col min="11019" max="11019" width="11.5" style="1" bestFit="1" customWidth="1"/>
    <col min="11020" max="11264" width="9" style="1"/>
    <col min="11265" max="11265" width="5" style="1" customWidth="1"/>
    <col min="11266" max="11266" width="13" style="1" customWidth="1"/>
    <col min="11267" max="11267" width="23.59765625" style="1" customWidth="1"/>
    <col min="11268" max="11268" width="18.19921875" style="1" customWidth="1"/>
    <col min="11269" max="11269" width="5.19921875" style="1" bestFit="1" customWidth="1"/>
    <col min="11270" max="11270" width="6.69921875" style="1" customWidth="1"/>
    <col min="11271" max="11271" width="11.8984375" style="1" customWidth="1"/>
    <col min="11272" max="11272" width="13.59765625" style="1" customWidth="1"/>
    <col min="11273" max="11273" width="12.69921875" style="1" customWidth="1"/>
    <col min="11274" max="11274" width="9.19921875" style="1" customWidth="1"/>
    <col min="11275" max="11275" width="11.5" style="1" bestFit="1" customWidth="1"/>
    <col min="11276" max="11520" width="9" style="1"/>
    <col min="11521" max="11521" width="5" style="1" customWidth="1"/>
    <col min="11522" max="11522" width="13" style="1" customWidth="1"/>
    <col min="11523" max="11523" width="23.59765625" style="1" customWidth="1"/>
    <col min="11524" max="11524" width="18.19921875" style="1" customWidth="1"/>
    <col min="11525" max="11525" width="5.19921875" style="1" bestFit="1" customWidth="1"/>
    <col min="11526" max="11526" width="6.69921875" style="1" customWidth="1"/>
    <col min="11527" max="11527" width="11.8984375" style="1" customWidth="1"/>
    <col min="11528" max="11528" width="13.59765625" style="1" customWidth="1"/>
    <col min="11529" max="11529" width="12.69921875" style="1" customWidth="1"/>
    <col min="11530" max="11530" width="9.19921875" style="1" customWidth="1"/>
    <col min="11531" max="11531" width="11.5" style="1" bestFit="1" customWidth="1"/>
    <col min="11532" max="11776" width="9" style="1"/>
    <col min="11777" max="11777" width="5" style="1" customWidth="1"/>
    <col min="11778" max="11778" width="13" style="1" customWidth="1"/>
    <col min="11779" max="11779" width="23.59765625" style="1" customWidth="1"/>
    <col min="11780" max="11780" width="18.19921875" style="1" customWidth="1"/>
    <col min="11781" max="11781" width="5.19921875" style="1" bestFit="1" customWidth="1"/>
    <col min="11782" max="11782" width="6.69921875" style="1" customWidth="1"/>
    <col min="11783" max="11783" width="11.8984375" style="1" customWidth="1"/>
    <col min="11784" max="11784" width="13.59765625" style="1" customWidth="1"/>
    <col min="11785" max="11785" width="12.69921875" style="1" customWidth="1"/>
    <col min="11786" max="11786" width="9.19921875" style="1" customWidth="1"/>
    <col min="11787" max="11787" width="11.5" style="1" bestFit="1" customWidth="1"/>
    <col min="11788" max="12032" width="9" style="1"/>
    <col min="12033" max="12033" width="5" style="1" customWidth="1"/>
    <col min="12034" max="12034" width="13" style="1" customWidth="1"/>
    <col min="12035" max="12035" width="23.59765625" style="1" customWidth="1"/>
    <col min="12036" max="12036" width="18.19921875" style="1" customWidth="1"/>
    <col min="12037" max="12037" width="5.19921875" style="1" bestFit="1" customWidth="1"/>
    <col min="12038" max="12038" width="6.69921875" style="1" customWidth="1"/>
    <col min="12039" max="12039" width="11.8984375" style="1" customWidth="1"/>
    <col min="12040" max="12040" width="13.59765625" style="1" customWidth="1"/>
    <col min="12041" max="12041" width="12.69921875" style="1" customWidth="1"/>
    <col min="12042" max="12042" width="9.19921875" style="1" customWidth="1"/>
    <col min="12043" max="12043" width="11.5" style="1" bestFit="1" customWidth="1"/>
    <col min="12044" max="12288" width="9" style="1"/>
    <col min="12289" max="12289" width="5" style="1" customWidth="1"/>
    <col min="12290" max="12290" width="13" style="1" customWidth="1"/>
    <col min="12291" max="12291" width="23.59765625" style="1" customWidth="1"/>
    <col min="12292" max="12292" width="18.19921875" style="1" customWidth="1"/>
    <col min="12293" max="12293" width="5.19921875" style="1" bestFit="1" customWidth="1"/>
    <col min="12294" max="12294" width="6.69921875" style="1" customWidth="1"/>
    <col min="12295" max="12295" width="11.8984375" style="1" customWidth="1"/>
    <col min="12296" max="12296" width="13.59765625" style="1" customWidth="1"/>
    <col min="12297" max="12297" width="12.69921875" style="1" customWidth="1"/>
    <col min="12298" max="12298" width="9.19921875" style="1" customWidth="1"/>
    <col min="12299" max="12299" width="11.5" style="1" bestFit="1" customWidth="1"/>
    <col min="12300" max="12544" width="9" style="1"/>
    <col min="12545" max="12545" width="5" style="1" customWidth="1"/>
    <col min="12546" max="12546" width="13" style="1" customWidth="1"/>
    <col min="12547" max="12547" width="23.59765625" style="1" customWidth="1"/>
    <col min="12548" max="12548" width="18.19921875" style="1" customWidth="1"/>
    <col min="12549" max="12549" width="5.19921875" style="1" bestFit="1" customWidth="1"/>
    <col min="12550" max="12550" width="6.69921875" style="1" customWidth="1"/>
    <col min="12551" max="12551" width="11.8984375" style="1" customWidth="1"/>
    <col min="12552" max="12552" width="13.59765625" style="1" customWidth="1"/>
    <col min="12553" max="12553" width="12.69921875" style="1" customWidth="1"/>
    <col min="12554" max="12554" width="9.19921875" style="1" customWidth="1"/>
    <col min="12555" max="12555" width="11.5" style="1" bestFit="1" customWidth="1"/>
    <col min="12556" max="12800" width="9" style="1"/>
    <col min="12801" max="12801" width="5" style="1" customWidth="1"/>
    <col min="12802" max="12802" width="13" style="1" customWidth="1"/>
    <col min="12803" max="12803" width="23.59765625" style="1" customWidth="1"/>
    <col min="12804" max="12804" width="18.19921875" style="1" customWidth="1"/>
    <col min="12805" max="12805" width="5.19921875" style="1" bestFit="1" customWidth="1"/>
    <col min="12806" max="12806" width="6.69921875" style="1" customWidth="1"/>
    <col min="12807" max="12807" width="11.8984375" style="1" customWidth="1"/>
    <col min="12808" max="12808" width="13.59765625" style="1" customWidth="1"/>
    <col min="12809" max="12809" width="12.69921875" style="1" customWidth="1"/>
    <col min="12810" max="12810" width="9.19921875" style="1" customWidth="1"/>
    <col min="12811" max="12811" width="11.5" style="1" bestFit="1" customWidth="1"/>
    <col min="12812" max="13056" width="9" style="1"/>
    <col min="13057" max="13057" width="5" style="1" customWidth="1"/>
    <col min="13058" max="13058" width="13" style="1" customWidth="1"/>
    <col min="13059" max="13059" width="23.59765625" style="1" customWidth="1"/>
    <col min="13060" max="13060" width="18.19921875" style="1" customWidth="1"/>
    <col min="13061" max="13061" width="5.19921875" style="1" bestFit="1" customWidth="1"/>
    <col min="13062" max="13062" width="6.69921875" style="1" customWidth="1"/>
    <col min="13063" max="13063" width="11.8984375" style="1" customWidth="1"/>
    <col min="13064" max="13064" width="13.59765625" style="1" customWidth="1"/>
    <col min="13065" max="13065" width="12.69921875" style="1" customWidth="1"/>
    <col min="13066" max="13066" width="9.19921875" style="1" customWidth="1"/>
    <col min="13067" max="13067" width="11.5" style="1" bestFit="1" customWidth="1"/>
    <col min="13068" max="13312" width="9" style="1"/>
    <col min="13313" max="13313" width="5" style="1" customWidth="1"/>
    <col min="13314" max="13314" width="13" style="1" customWidth="1"/>
    <col min="13315" max="13315" width="23.59765625" style="1" customWidth="1"/>
    <col min="13316" max="13316" width="18.19921875" style="1" customWidth="1"/>
    <col min="13317" max="13317" width="5.19921875" style="1" bestFit="1" customWidth="1"/>
    <col min="13318" max="13318" width="6.69921875" style="1" customWidth="1"/>
    <col min="13319" max="13319" width="11.8984375" style="1" customWidth="1"/>
    <col min="13320" max="13320" width="13.59765625" style="1" customWidth="1"/>
    <col min="13321" max="13321" width="12.69921875" style="1" customWidth="1"/>
    <col min="13322" max="13322" width="9.19921875" style="1" customWidth="1"/>
    <col min="13323" max="13323" width="11.5" style="1" bestFit="1" customWidth="1"/>
    <col min="13324" max="13568" width="9" style="1"/>
    <col min="13569" max="13569" width="5" style="1" customWidth="1"/>
    <col min="13570" max="13570" width="13" style="1" customWidth="1"/>
    <col min="13571" max="13571" width="23.59765625" style="1" customWidth="1"/>
    <col min="13572" max="13572" width="18.19921875" style="1" customWidth="1"/>
    <col min="13573" max="13573" width="5.19921875" style="1" bestFit="1" customWidth="1"/>
    <col min="13574" max="13574" width="6.69921875" style="1" customWidth="1"/>
    <col min="13575" max="13575" width="11.8984375" style="1" customWidth="1"/>
    <col min="13576" max="13576" width="13.59765625" style="1" customWidth="1"/>
    <col min="13577" max="13577" width="12.69921875" style="1" customWidth="1"/>
    <col min="13578" max="13578" width="9.19921875" style="1" customWidth="1"/>
    <col min="13579" max="13579" width="11.5" style="1" bestFit="1" customWidth="1"/>
    <col min="13580" max="13824" width="9" style="1"/>
    <col min="13825" max="13825" width="5" style="1" customWidth="1"/>
    <col min="13826" max="13826" width="13" style="1" customWidth="1"/>
    <col min="13827" max="13827" width="23.59765625" style="1" customWidth="1"/>
    <col min="13828" max="13828" width="18.19921875" style="1" customWidth="1"/>
    <col min="13829" max="13829" width="5.19921875" style="1" bestFit="1" customWidth="1"/>
    <col min="13830" max="13830" width="6.69921875" style="1" customWidth="1"/>
    <col min="13831" max="13831" width="11.8984375" style="1" customWidth="1"/>
    <col min="13832" max="13832" width="13.59765625" style="1" customWidth="1"/>
    <col min="13833" max="13833" width="12.69921875" style="1" customWidth="1"/>
    <col min="13834" max="13834" width="9.19921875" style="1" customWidth="1"/>
    <col min="13835" max="13835" width="11.5" style="1" bestFit="1" customWidth="1"/>
    <col min="13836" max="14080" width="9" style="1"/>
    <col min="14081" max="14081" width="5" style="1" customWidth="1"/>
    <col min="14082" max="14082" width="13" style="1" customWidth="1"/>
    <col min="14083" max="14083" width="23.59765625" style="1" customWidth="1"/>
    <col min="14084" max="14084" width="18.19921875" style="1" customWidth="1"/>
    <col min="14085" max="14085" width="5.19921875" style="1" bestFit="1" customWidth="1"/>
    <col min="14086" max="14086" width="6.69921875" style="1" customWidth="1"/>
    <col min="14087" max="14087" width="11.8984375" style="1" customWidth="1"/>
    <col min="14088" max="14088" width="13.59765625" style="1" customWidth="1"/>
    <col min="14089" max="14089" width="12.69921875" style="1" customWidth="1"/>
    <col min="14090" max="14090" width="9.19921875" style="1" customWidth="1"/>
    <col min="14091" max="14091" width="11.5" style="1" bestFit="1" customWidth="1"/>
    <col min="14092" max="14336" width="9" style="1"/>
    <col min="14337" max="14337" width="5" style="1" customWidth="1"/>
    <col min="14338" max="14338" width="13" style="1" customWidth="1"/>
    <col min="14339" max="14339" width="23.59765625" style="1" customWidth="1"/>
    <col min="14340" max="14340" width="18.19921875" style="1" customWidth="1"/>
    <col min="14341" max="14341" width="5.19921875" style="1" bestFit="1" customWidth="1"/>
    <col min="14342" max="14342" width="6.69921875" style="1" customWidth="1"/>
    <col min="14343" max="14343" width="11.8984375" style="1" customWidth="1"/>
    <col min="14344" max="14344" width="13.59765625" style="1" customWidth="1"/>
    <col min="14345" max="14345" width="12.69921875" style="1" customWidth="1"/>
    <col min="14346" max="14346" width="9.19921875" style="1" customWidth="1"/>
    <col min="14347" max="14347" width="11.5" style="1" bestFit="1" customWidth="1"/>
    <col min="14348" max="14592" width="9" style="1"/>
    <col min="14593" max="14593" width="5" style="1" customWidth="1"/>
    <col min="14594" max="14594" width="13" style="1" customWidth="1"/>
    <col min="14595" max="14595" width="23.59765625" style="1" customWidth="1"/>
    <col min="14596" max="14596" width="18.19921875" style="1" customWidth="1"/>
    <col min="14597" max="14597" width="5.19921875" style="1" bestFit="1" customWidth="1"/>
    <col min="14598" max="14598" width="6.69921875" style="1" customWidth="1"/>
    <col min="14599" max="14599" width="11.8984375" style="1" customWidth="1"/>
    <col min="14600" max="14600" width="13.59765625" style="1" customWidth="1"/>
    <col min="14601" max="14601" width="12.69921875" style="1" customWidth="1"/>
    <col min="14602" max="14602" width="9.19921875" style="1" customWidth="1"/>
    <col min="14603" max="14603" width="11.5" style="1" bestFit="1" customWidth="1"/>
    <col min="14604" max="14848" width="9" style="1"/>
    <col min="14849" max="14849" width="5" style="1" customWidth="1"/>
    <col min="14850" max="14850" width="13" style="1" customWidth="1"/>
    <col min="14851" max="14851" width="23.59765625" style="1" customWidth="1"/>
    <col min="14852" max="14852" width="18.19921875" style="1" customWidth="1"/>
    <col min="14853" max="14853" width="5.19921875" style="1" bestFit="1" customWidth="1"/>
    <col min="14854" max="14854" width="6.69921875" style="1" customWidth="1"/>
    <col min="14855" max="14855" width="11.8984375" style="1" customWidth="1"/>
    <col min="14856" max="14856" width="13.59765625" style="1" customWidth="1"/>
    <col min="14857" max="14857" width="12.69921875" style="1" customWidth="1"/>
    <col min="14858" max="14858" width="9.19921875" style="1" customWidth="1"/>
    <col min="14859" max="14859" width="11.5" style="1" bestFit="1" customWidth="1"/>
    <col min="14860" max="15104" width="9" style="1"/>
    <col min="15105" max="15105" width="5" style="1" customWidth="1"/>
    <col min="15106" max="15106" width="13" style="1" customWidth="1"/>
    <col min="15107" max="15107" width="23.59765625" style="1" customWidth="1"/>
    <col min="15108" max="15108" width="18.19921875" style="1" customWidth="1"/>
    <col min="15109" max="15109" width="5.19921875" style="1" bestFit="1" customWidth="1"/>
    <col min="15110" max="15110" width="6.69921875" style="1" customWidth="1"/>
    <col min="15111" max="15111" width="11.8984375" style="1" customWidth="1"/>
    <col min="15112" max="15112" width="13.59765625" style="1" customWidth="1"/>
    <col min="15113" max="15113" width="12.69921875" style="1" customWidth="1"/>
    <col min="15114" max="15114" width="9.19921875" style="1" customWidth="1"/>
    <col min="15115" max="15115" width="11.5" style="1" bestFit="1" customWidth="1"/>
    <col min="15116" max="15360" width="9" style="1"/>
    <col min="15361" max="15361" width="5" style="1" customWidth="1"/>
    <col min="15362" max="15362" width="13" style="1" customWidth="1"/>
    <col min="15363" max="15363" width="23.59765625" style="1" customWidth="1"/>
    <col min="15364" max="15364" width="18.19921875" style="1" customWidth="1"/>
    <col min="15365" max="15365" width="5.19921875" style="1" bestFit="1" customWidth="1"/>
    <col min="15366" max="15366" width="6.69921875" style="1" customWidth="1"/>
    <col min="15367" max="15367" width="11.8984375" style="1" customWidth="1"/>
    <col min="15368" max="15368" width="13.59765625" style="1" customWidth="1"/>
    <col min="15369" max="15369" width="12.69921875" style="1" customWidth="1"/>
    <col min="15370" max="15370" width="9.19921875" style="1" customWidth="1"/>
    <col min="15371" max="15371" width="11.5" style="1" bestFit="1" customWidth="1"/>
    <col min="15372" max="15616" width="9" style="1"/>
    <col min="15617" max="15617" width="5" style="1" customWidth="1"/>
    <col min="15618" max="15618" width="13" style="1" customWidth="1"/>
    <col min="15619" max="15619" width="23.59765625" style="1" customWidth="1"/>
    <col min="15620" max="15620" width="18.19921875" style="1" customWidth="1"/>
    <col min="15621" max="15621" width="5.19921875" style="1" bestFit="1" customWidth="1"/>
    <col min="15622" max="15622" width="6.69921875" style="1" customWidth="1"/>
    <col min="15623" max="15623" width="11.8984375" style="1" customWidth="1"/>
    <col min="15624" max="15624" width="13.59765625" style="1" customWidth="1"/>
    <col min="15625" max="15625" width="12.69921875" style="1" customWidth="1"/>
    <col min="15626" max="15626" width="9.19921875" style="1" customWidth="1"/>
    <col min="15627" max="15627" width="11.5" style="1" bestFit="1" customWidth="1"/>
    <col min="15628" max="15872" width="9" style="1"/>
    <col min="15873" max="15873" width="5" style="1" customWidth="1"/>
    <col min="15874" max="15874" width="13" style="1" customWidth="1"/>
    <col min="15875" max="15875" width="23.59765625" style="1" customWidth="1"/>
    <col min="15876" max="15876" width="18.19921875" style="1" customWidth="1"/>
    <col min="15877" max="15877" width="5.19921875" style="1" bestFit="1" customWidth="1"/>
    <col min="15878" max="15878" width="6.69921875" style="1" customWidth="1"/>
    <col min="15879" max="15879" width="11.8984375" style="1" customWidth="1"/>
    <col min="15880" max="15880" width="13.59765625" style="1" customWidth="1"/>
    <col min="15881" max="15881" width="12.69921875" style="1" customWidth="1"/>
    <col min="15882" max="15882" width="9.19921875" style="1" customWidth="1"/>
    <col min="15883" max="15883" width="11.5" style="1" bestFit="1" customWidth="1"/>
    <col min="15884" max="16128" width="9" style="1"/>
    <col min="16129" max="16129" width="5" style="1" customWidth="1"/>
    <col min="16130" max="16130" width="13" style="1" customWidth="1"/>
    <col min="16131" max="16131" width="23.59765625" style="1" customWidth="1"/>
    <col min="16132" max="16132" width="18.19921875" style="1" customWidth="1"/>
    <col min="16133" max="16133" width="5.19921875" style="1" bestFit="1" customWidth="1"/>
    <col min="16134" max="16134" width="6.69921875" style="1" customWidth="1"/>
    <col min="16135" max="16135" width="11.8984375" style="1" customWidth="1"/>
    <col min="16136" max="16136" width="13.59765625" style="1" customWidth="1"/>
    <col min="16137" max="16137" width="12.69921875" style="1" customWidth="1"/>
    <col min="16138" max="16138" width="9.19921875" style="1" customWidth="1"/>
    <col min="16139" max="16139" width="11.5" style="1" bestFit="1" customWidth="1"/>
    <col min="16140" max="16384" width="9" style="1"/>
  </cols>
  <sheetData>
    <row r="1" spans="1:9" ht="22.5" customHeight="1">
      <c r="B1" s="202" t="s">
        <v>127</v>
      </c>
      <c r="C1" s="203"/>
      <c r="F1" s="204"/>
      <c r="I1" s="1" t="s">
        <v>128</v>
      </c>
    </row>
    <row r="2" spans="1:9" s="26" customFormat="1" ht="16.5" customHeight="1">
      <c r="A2" s="384" t="s">
        <v>129</v>
      </c>
      <c r="B2" s="386"/>
      <c r="C2" s="205" t="s">
        <v>130</v>
      </c>
      <c r="D2" s="206" t="s">
        <v>131</v>
      </c>
      <c r="E2" s="206" t="s">
        <v>48</v>
      </c>
      <c r="F2" s="207" t="s">
        <v>49</v>
      </c>
      <c r="G2" s="207" t="s">
        <v>132</v>
      </c>
      <c r="H2" s="207" t="s">
        <v>133</v>
      </c>
      <c r="I2" s="206" t="s">
        <v>134</v>
      </c>
    </row>
    <row r="3" spans="1:9" ht="15.9" customHeight="1">
      <c r="A3" s="479" t="s">
        <v>135</v>
      </c>
      <c r="B3" s="208" t="s">
        <v>136</v>
      </c>
      <c r="C3" s="209"/>
      <c r="D3" s="209"/>
      <c r="E3" s="210"/>
      <c r="F3" s="211"/>
      <c r="G3" s="212"/>
      <c r="H3" s="213">
        <f t="shared" ref="H3:H8" si="0">IF(F3=0,G3,G3*F3)</f>
        <v>0</v>
      </c>
      <c r="I3" s="214"/>
    </row>
    <row r="4" spans="1:9" ht="15.9" customHeight="1">
      <c r="A4" s="480"/>
      <c r="B4" s="208"/>
      <c r="C4" s="215"/>
      <c r="D4" s="209"/>
      <c r="E4" s="210"/>
      <c r="F4" s="211"/>
      <c r="G4" s="212"/>
      <c r="H4" s="167">
        <f t="shared" si="0"/>
        <v>0</v>
      </c>
      <c r="I4" s="39"/>
    </row>
    <row r="5" spans="1:9" ht="15.9" customHeight="1">
      <c r="A5" s="480"/>
      <c r="B5" s="208"/>
      <c r="C5" s="215"/>
      <c r="D5" s="209"/>
      <c r="E5" s="210"/>
      <c r="F5" s="211"/>
      <c r="G5" s="212"/>
      <c r="H5" s="167">
        <f t="shared" si="0"/>
        <v>0</v>
      </c>
      <c r="I5" s="39"/>
    </row>
    <row r="6" spans="1:9" ht="15.9" customHeight="1">
      <c r="A6" s="480"/>
      <c r="B6" s="208"/>
      <c r="C6" s="215"/>
      <c r="D6" s="209"/>
      <c r="E6" s="210"/>
      <c r="F6" s="211"/>
      <c r="G6" s="212"/>
      <c r="H6" s="167">
        <f t="shared" si="0"/>
        <v>0</v>
      </c>
      <c r="I6" s="39"/>
    </row>
    <row r="7" spans="1:9" ht="15.9" customHeight="1">
      <c r="A7" s="480"/>
      <c r="B7" s="208"/>
      <c r="C7" s="215"/>
      <c r="D7" s="215"/>
      <c r="E7" s="216"/>
      <c r="F7" s="217"/>
      <c r="G7" s="218"/>
      <c r="H7" s="167">
        <f t="shared" si="0"/>
        <v>0</v>
      </c>
      <c r="I7" s="39"/>
    </row>
    <row r="8" spans="1:9" ht="15.9" customHeight="1">
      <c r="A8" s="480"/>
      <c r="B8" s="208"/>
      <c r="C8" s="219"/>
      <c r="D8" s="219"/>
      <c r="E8" s="220"/>
      <c r="F8" s="221"/>
      <c r="G8" s="222"/>
      <c r="H8" s="167">
        <f t="shared" si="0"/>
        <v>0</v>
      </c>
      <c r="I8" s="42"/>
    </row>
    <row r="9" spans="1:9" ht="15.9" customHeight="1">
      <c r="A9" s="480"/>
      <c r="B9" s="223"/>
      <c r="C9" s="224"/>
      <c r="D9" s="225"/>
      <c r="E9" s="205"/>
      <c r="F9" s="226"/>
      <c r="G9" s="227"/>
      <c r="H9" s="50">
        <f>SUM(H3:H8)</f>
        <v>0</v>
      </c>
      <c r="I9" s="46"/>
    </row>
    <row r="10" spans="1:9" ht="15.9" customHeight="1">
      <c r="A10" s="480"/>
      <c r="B10" s="228" t="s">
        <v>137</v>
      </c>
      <c r="C10" s="229"/>
      <c r="D10" s="229"/>
      <c r="E10" s="230"/>
      <c r="F10" s="231"/>
      <c r="G10" s="232"/>
      <c r="H10" s="233">
        <f t="shared" ref="H10:H53" si="1">IF(F10=0,G10,G10*F10)</f>
        <v>0</v>
      </c>
      <c r="I10" s="234"/>
    </row>
    <row r="11" spans="1:9" ht="15.9" customHeight="1">
      <c r="A11" s="480"/>
      <c r="B11" s="235" t="s">
        <v>138</v>
      </c>
      <c r="C11" s="215"/>
      <c r="D11" s="215"/>
      <c r="E11" s="216"/>
      <c r="F11" s="217"/>
      <c r="G11" s="218"/>
      <c r="H11" s="167">
        <f t="shared" si="1"/>
        <v>0</v>
      </c>
      <c r="I11" s="39"/>
    </row>
    <row r="12" spans="1:9" ht="15.9" customHeight="1">
      <c r="A12" s="480"/>
      <c r="B12" s="235" t="s">
        <v>139</v>
      </c>
      <c r="C12" s="215"/>
      <c r="D12" s="215"/>
      <c r="E12" s="216"/>
      <c r="F12" s="217"/>
      <c r="G12" s="218"/>
      <c r="H12" s="167">
        <f t="shared" si="1"/>
        <v>0</v>
      </c>
      <c r="I12" s="39"/>
    </row>
    <row r="13" spans="1:9" ht="15.9" customHeight="1">
      <c r="A13" s="480"/>
      <c r="B13" s="208"/>
      <c r="C13" s="215"/>
      <c r="D13" s="215"/>
      <c r="E13" s="216"/>
      <c r="F13" s="217"/>
      <c r="G13" s="218"/>
      <c r="H13" s="167">
        <f t="shared" si="1"/>
        <v>0</v>
      </c>
      <c r="I13" s="39"/>
    </row>
    <row r="14" spans="1:9" ht="15.9" customHeight="1">
      <c r="A14" s="480"/>
      <c r="B14" s="208"/>
      <c r="C14" s="215"/>
      <c r="D14" s="215"/>
      <c r="E14" s="216"/>
      <c r="F14" s="217"/>
      <c r="G14" s="218"/>
      <c r="H14" s="167">
        <f t="shared" si="1"/>
        <v>0</v>
      </c>
      <c r="I14" s="39"/>
    </row>
    <row r="15" spans="1:9" ht="15.9" customHeight="1">
      <c r="A15" s="480"/>
      <c r="B15" s="208"/>
      <c r="C15" s="219" t="s">
        <v>140</v>
      </c>
      <c r="D15" s="236"/>
      <c r="E15" s="220" t="s">
        <v>141</v>
      </c>
      <c r="F15" s="237"/>
      <c r="G15" s="238"/>
      <c r="H15" s="239">
        <f t="shared" si="1"/>
        <v>0</v>
      </c>
      <c r="I15" s="240"/>
    </row>
    <row r="16" spans="1:9" ht="15.9" customHeight="1">
      <c r="A16" s="480"/>
      <c r="B16" s="208"/>
      <c r="C16" s="241"/>
      <c r="D16" s="242"/>
      <c r="E16" s="243"/>
      <c r="F16" s="244"/>
      <c r="G16" s="245"/>
      <c r="H16" s="246">
        <f>SUM(H10:H15)</f>
        <v>0</v>
      </c>
      <c r="I16" s="242"/>
    </row>
    <row r="17" spans="1:9" ht="15.9" customHeight="1">
      <c r="A17" s="480"/>
      <c r="B17" s="247" t="s">
        <v>142</v>
      </c>
      <c r="C17" s="248" t="s">
        <v>143</v>
      </c>
      <c r="D17" s="248" t="s">
        <v>144</v>
      </c>
      <c r="E17" s="249" t="s">
        <v>145</v>
      </c>
      <c r="F17" s="250">
        <v>1</v>
      </c>
      <c r="G17" s="251">
        <f>96500000+60000000</f>
        <v>156500000</v>
      </c>
      <c r="H17" s="233">
        <f>IF(F17=0,G17,G17*F17)</f>
        <v>156500000</v>
      </c>
      <c r="I17" s="234"/>
    </row>
    <row r="18" spans="1:9" ht="15.9" customHeight="1">
      <c r="A18" s="480"/>
      <c r="B18" s="208"/>
      <c r="C18" s="252" t="s">
        <v>146</v>
      </c>
      <c r="D18" s="252"/>
      <c r="E18" s="253" t="s">
        <v>145</v>
      </c>
      <c r="F18" s="254">
        <v>1</v>
      </c>
      <c r="G18" s="255">
        <f>83500000+20000000</f>
        <v>103500000</v>
      </c>
      <c r="H18" s="167">
        <f t="shared" si="1"/>
        <v>103500000</v>
      </c>
      <c r="I18" s="39"/>
    </row>
    <row r="19" spans="1:9" ht="15.9" customHeight="1">
      <c r="A19" s="480"/>
      <c r="B19" s="208"/>
      <c r="C19" s="252"/>
      <c r="D19" s="252"/>
      <c r="E19" s="253"/>
      <c r="F19" s="254"/>
      <c r="G19" s="255"/>
      <c r="H19" s="167">
        <f t="shared" si="1"/>
        <v>0</v>
      </c>
      <c r="I19" s="39"/>
    </row>
    <row r="20" spans="1:9" ht="15.9" customHeight="1">
      <c r="A20" s="480"/>
      <c r="B20" s="208"/>
      <c r="C20" s="252"/>
      <c r="D20" s="252"/>
      <c r="E20" s="253"/>
      <c r="F20" s="254"/>
      <c r="G20" s="255"/>
      <c r="H20" s="167">
        <f t="shared" si="1"/>
        <v>0</v>
      </c>
      <c r="I20" s="39"/>
    </row>
    <row r="21" spans="1:9" ht="15.9" customHeight="1">
      <c r="A21" s="480"/>
      <c r="B21" s="208"/>
      <c r="C21" s="252"/>
      <c r="D21" s="252"/>
      <c r="E21" s="253"/>
      <c r="F21" s="254"/>
      <c r="G21" s="255"/>
      <c r="H21" s="167">
        <f t="shared" si="1"/>
        <v>0</v>
      </c>
      <c r="I21" s="39"/>
    </row>
    <row r="22" spans="1:9" ht="15.9" customHeight="1">
      <c r="A22" s="480"/>
      <c r="B22" s="208"/>
      <c r="C22" s="252"/>
      <c r="D22" s="252"/>
      <c r="E22" s="253"/>
      <c r="F22" s="254"/>
      <c r="G22" s="255"/>
      <c r="H22" s="167">
        <f t="shared" si="1"/>
        <v>0</v>
      </c>
      <c r="I22" s="39"/>
    </row>
    <row r="23" spans="1:9" ht="15.9" customHeight="1">
      <c r="A23" s="480"/>
      <c r="B23" s="208"/>
      <c r="C23" s="252"/>
      <c r="D23" s="252"/>
      <c r="E23" s="253"/>
      <c r="F23" s="254"/>
      <c r="G23" s="255"/>
      <c r="H23" s="167">
        <f t="shared" si="1"/>
        <v>0</v>
      </c>
      <c r="I23" s="39"/>
    </row>
    <row r="24" spans="1:9" ht="15.9" customHeight="1">
      <c r="A24" s="480"/>
      <c r="B24" s="208"/>
      <c r="C24" s="256"/>
      <c r="D24" s="256"/>
      <c r="E24" s="257"/>
      <c r="F24" s="258"/>
      <c r="G24" s="259"/>
      <c r="H24" s="167">
        <f t="shared" si="1"/>
        <v>0</v>
      </c>
      <c r="I24" s="39"/>
    </row>
    <row r="25" spans="1:9" ht="15.9" customHeight="1">
      <c r="A25" s="480"/>
      <c r="B25" s="208"/>
      <c r="C25" s="260"/>
      <c r="D25" s="260"/>
      <c r="E25" s="253"/>
      <c r="F25" s="261"/>
      <c r="G25" s="262"/>
      <c r="H25" s="167">
        <f t="shared" si="1"/>
        <v>0</v>
      </c>
      <c r="I25" s="39"/>
    </row>
    <row r="26" spans="1:9" ht="15.9" customHeight="1">
      <c r="A26" s="480"/>
      <c r="B26" s="208"/>
      <c r="C26" s="260"/>
      <c r="D26" s="260"/>
      <c r="E26" s="253"/>
      <c r="F26" s="261"/>
      <c r="G26" s="262"/>
      <c r="H26" s="167">
        <f t="shared" si="1"/>
        <v>0</v>
      </c>
      <c r="I26" s="39"/>
    </row>
    <row r="27" spans="1:9" ht="15.9" customHeight="1">
      <c r="A27" s="480"/>
      <c r="B27" s="208"/>
      <c r="C27" s="252"/>
      <c r="D27" s="260"/>
      <c r="E27" s="253"/>
      <c r="F27" s="261"/>
      <c r="G27" s="262"/>
      <c r="H27" s="167">
        <f t="shared" si="1"/>
        <v>0</v>
      </c>
      <c r="I27" s="39"/>
    </row>
    <row r="28" spans="1:9" ht="15.9" customHeight="1">
      <c r="A28" s="480"/>
      <c r="B28" s="208"/>
      <c r="C28" s="256"/>
      <c r="D28" s="260"/>
      <c r="E28" s="257"/>
      <c r="F28" s="258"/>
      <c r="G28" s="263"/>
      <c r="H28" s="167">
        <f t="shared" si="1"/>
        <v>0</v>
      </c>
      <c r="I28" s="39"/>
    </row>
    <row r="29" spans="1:9" ht="15.9" customHeight="1">
      <c r="A29" s="480"/>
      <c r="B29" s="208"/>
      <c r="C29" s="256"/>
      <c r="D29" s="260"/>
      <c r="E29" s="257"/>
      <c r="F29" s="258"/>
      <c r="G29" s="263"/>
      <c r="H29" s="167">
        <f t="shared" si="1"/>
        <v>0</v>
      </c>
      <c r="I29" s="39"/>
    </row>
    <row r="30" spans="1:9" ht="15.9" customHeight="1">
      <c r="A30" s="480"/>
      <c r="B30" s="208"/>
      <c r="C30" s="256"/>
      <c r="D30" s="260"/>
      <c r="E30" s="257"/>
      <c r="F30" s="258"/>
      <c r="G30" s="263"/>
      <c r="H30" s="167">
        <f t="shared" si="1"/>
        <v>0</v>
      </c>
      <c r="I30" s="39"/>
    </row>
    <row r="31" spans="1:9" ht="15.9" customHeight="1">
      <c r="A31" s="480"/>
      <c r="B31" s="208"/>
      <c r="C31" s="256"/>
      <c r="D31" s="260"/>
      <c r="E31" s="257"/>
      <c r="F31" s="258"/>
      <c r="G31" s="263"/>
      <c r="H31" s="167">
        <f t="shared" si="1"/>
        <v>0</v>
      </c>
      <c r="I31" s="39"/>
    </row>
    <row r="32" spans="1:9" ht="15.9" customHeight="1">
      <c r="A32" s="480"/>
      <c r="B32" s="208"/>
      <c r="C32" s="260"/>
      <c r="D32" s="260"/>
      <c r="E32" s="253"/>
      <c r="F32" s="261"/>
      <c r="G32" s="262"/>
      <c r="H32" s="167">
        <f t="shared" si="1"/>
        <v>0</v>
      </c>
      <c r="I32" s="39"/>
    </row>
    <row r="33" spans="1:9" ht="15.9" customHeight="1">
      <c r="A33" s="480"/>
      <c r="B33" s="208"/>
      <c r="C33" s="260"/>
      <c r="D33" s="260"/>
      <c r="E33" s="253"/>
      <c r="F33" s="261"/>
      <c r="G33" s="262"/>
      <c r="H33" s="167">
        <f t="shared" si="1"/>
        <v>0</v>
      </c>
      <c r="I33" s="39"/>
    </row>
    <row r="34" spans="1:9" ht="15.9" customHeight="1">
      <c r="A34" s="480"/>
      <c r="B34" s="208"/>
      <c r="C34" s="260"/>
      <c r="D34" s="260"/>
      <c r="E34" s="253"/>
      <c r="F34" s="261"/>
      <c r="G34" s="262"/>
      <c r="H34" s="167">
        <f t="shared" si="1"/>
        <v>0</v>
      </c>
      <c r="I34" s="39"/>
    </row>
    <row r="35" spans="1:9" ht="15.9" customHeight="1">
      <c r="A35" s="480"/>
      <c r="B35" s="208"/>
      <c r="C35" s="252"/>
      <c r="D35" s="252"/>
      <c r="E35" s="253"/>
      <c r="F35" s="254"/>
      <c r="G35" s="255"/>
      <c r="H35" s="167">
        <f t="shared" si="1"/>
        <v>0</v>
      </c>
      <c r="I35" s="39"/>
    </row>
    <row r="36" spans="1:9" ht="15.9" customHeight="1">
      <c r="A36" s="480"/>
      <c r="B36" s="208"/>
      <c r="C36" s="252"/>
      <c r="D36" s="252"/>
      <c r="E36" s="253"/>
      <c r="F36" s="261"/>
      <c r="G36" s="264"/>
      <c r="H36" s="167">
        <f t="shared" si="1"/>
        <v>0</v>
      </c>
      <c r="I36" s="39"/>
    </row>
    <row r="37" spans="1:9" ht="15.9" customHeight="1">
      <c r="A37" s="480"/>
      <c r="B37" s="208"/>
      <c r="C37" s="215"/>
      <c r="D37" s="215"/>
      <c r="E37" s="216"/>
      <c r="F37" s="217"/>
      <c r="G37" s="218"/>
      <c r="H37" s="167">
        <f t="shared" si="1"/>
        <v>0</v>
      </c>
      <c r="I37" s="39"/>
    </row>
    <row r="38" spans="1:9" ht="15.9" customHeight="1">
      <c r="A38" s="480"/>
      <c r="B38" s="208"/>
      <c r="C38" s="215"/>
      <c r="D38" s="215"/>
      <c r="E38" s="216"/>
      <c r="F38" s="217"/>
      <c r="G38" s="218"/>
      <c r="H38" s="167">
        <f t="shared" si="1"/>
        <v>0</v>
      </c>
      <c r="I38" s="39"/>
    </row>
    <row r="39" spans="1:9" ht="15.9" customHeight="1">
      <c r="A39" s="480"/>
      <c r="B39" s="208"/>
      <c r="C39" s="215"/>
      <c r="D39" s="215"/>
      <c r="E39" s="216"/>
      <c r="F39" s="217"/>
      <c r="G39" s="218"/>
      <c r="H39" s="167">
        <f t="shared" si="1"/>
        <v>0</v>
      </c>
      <c r="I39" s="39"/>
    </row>
    <row r="40" spans="1:9" ht="15.9" customHeight="1">
      <c r="A40" s="480"/>
      <c r="B40" s="208"/>
      <c r="C40" s="215"/>
      <c r="D40" s="215"/>
      <c r="E40" s="216"/>
      <c r="F40" s="217"/>
      <c r="G40" s="218"/>
      <c r="H40" s="167">
        <f t="shared" si="1"/>
        <v>0</v>
      </c>
      <c r="I40" s="39"/>
    </row>
    <row r="41" spans="1:9" ht="15.9" customHeight="1">
      <c r="A41" s="480"/>
      <c r="B41" s="208"/>
      <c r="C41" s="215"/>
      <c r="D41" s="215"/>
      <c r="E41" s="216"/>
      <c r="F41" s="217"/>
      <c r="G41" s="218"/>
      <c r="H41" s="167">
        <f t="shared" si="1"/>
        <v>0</v>
      </c>
      <c r="I41" s="39"/>
    </row>
    <row r="42" spans="1:9" ht="15.9" customHeight="1">
      <c r="A42" s="480"/>
      <c r="B42" s="208"/>
      <c r="C42" s="215"/>
      <c r="D42" s="215"/>
      <c r="E42" s="216"/>
      <c r="F42" s="217"/>
      <c r="G42" s="218"/>
      <c r="H42" s="167">
        <f t="shared" si="1"/>
        <v>0</v>
      </c>
      <c r="I42" s="39"/>
    </row>
    <row r="43" spans="1:9" ht="15.9" customHeight="1">
      <c r="A43" s="480"/>
      <c r="B43" s="208"/>
      <c r="C43" s="215"/>
      <c r="D43" s="215"/>
      <c r="E43" s="216"/>
      <c r="F43" s="217"/>
      <c r="G43" s="218"/>
      <c r="H43" s="167">
        <f t="shared" si="1"/>
        <v>0</v>
      </c>
      <c r="I43" s="39"/>
    </row>
    <row r="44" spans="1:9" ht="15.9" customHeight="1">
      <c r="A44" s="480"/>
      <c r="B44" s="208"/>
      <c r="C44" s="215"/>
      <c r="D44" s="215"/>
      <c r="E44" s="216"/>
      <c r="F44" s="217"/>
      <c r="G44" s="218"/>
      <c r="H44" s="167">
        <f t="shared" si="1"/>
        <v>0</v>
      </c>
      <c r="I44" s="39"/>
    </row>
    <row r="45" spans="1:9" ht="15.9" customHeight="1">
      <c r="A45" s="480"/>
      <c r="B45" s="208"/>
      <c r="C45" s="215"/>
      <c r="D45" s="215"/>
      <c r="E45" s="216"/>
      <c r="F45" s="217"/>
      <c r="G45" s="218"/>
      <c r="H45" s="167">
        <f t="shared" si="1"/>
        <v>0</v>
      </c>
      <c r="I45" s="39"/>
    </row>
    <row r="46" spans="1:9" ht="15.9" customHeight="1">
      <c r="A46" s="480"/>
      <c r="B46" s="208"/>
      <c r="C46" s="215"/>
      <c r="D46" s="215"/>
      <c r="E46" s="216"/>
      <c r="F46" s="217"/>
      <c r="G46" s="218"/>
      <c r="H46" s="167">
        <f t="shared" si="1"/>
        <v>0</v>
      </c>
      <c r="I46" s="39"/>
    </row>
    <row r="47" spans="1:9" ht="15.9" customHeight="1">
      <c r="A47" s="480"/>
      <c r="B47" s="208"/>
      <c r="C47" s="215"/>
      <c r="D47" s="215"/>
      <c r="E47" s="216"/>
      <c r="F47" s="217"/>
      <c r="G47" s="218"/>
      <c r="H47" s="167">
        <f t="shared" si="1"/>
        <v>0</v>
      </c>
      <c r="I47" s="39"/>
    </row>
    <row r="48" spans="1:9" ht="15.9" customHeight="1">
      <c r="A48" s="480"/>
      <c r="B48" s="208"/>
      <c r="C48" s="215"/>
      <c r="D48" s="215"/>
      <c r="E48" s="216"/>
      <c r="F48" s="217"/>
      <c r="G48" s="218"/>
      <c r="H48" s="167">
        <f t="shared" si="1"/>
        <v>0</v>
      </c>
      <c r="I48" s="39"/>
    </row>
    <row r="49" spans="1:9" ht="15.9" customHeight="1">
      <c r="A49" s="480"/>
      <c r="B49" s="208"/>
      <c r="C49" s="215"/>
      <c r="D49" s="215"/>
      <c r="E49" s="216"/>
      <c r="F49" s="217"/>
      <c r="G49" s="218"/>
      <c r="H49" s="167">
        <f t="shared" si="1"/>
        <v>0</v>
      </c>
      <c r="I49" s="39"/>
    </row>
    <row r="50" spans="1:9" ht="15.9" customHeight="1">
      <c r="A50" s="480"/>
      <c r="B50" s="208"/>
      <c r="C50" s="215"/>
      <c r="D50" s="215"/>
      <c r="E50" s="216"/>
      <c r="F50" s="217"/>
      <c r="G50" s="218"/>
      <c r="H50" s="167">
        <f t="shared" si="1"/>
        <v>0</v>
      </c>
      <c r="I50" s="39"/>
    </row>
    <row r="51" spans="1:9" ht="15.9" customHeight="1">
      <c r="A51" s="480"/>
      <c r="B51" s="208"/>
      <c r="C51" s="215"/>
      <c r="D51" s="215"/>
      <c r="E51" s="216"/>
      <c r="F51" s="217"/>
      <c r="G51" s="218"/>
      <c r="H51" s="167">
        <f t="shared" si="1"/>
        <v>0</v>
      </c>
      <c r="I51" s="39"/>
    </row>
    <row r="52" spans="1:9" ht="15.9" customHeight="1">
      <c r="A52" s="480"/>
      <c r="B52" s="208"/>
      <c r="C52" s="215"/>
      <c r="D52" s="215"/>
      <c r="E52" s="216"/>
      <c r="F52" s="217"/>
      <c r="G52" s="218"/>
      <c r="H52" s="167">
        <f t="shared" si="1"/>
        <v>0</v>
      </c>
      <c r="I52" s="39"/>
    </row>
    <row r="53" spans="1:9" ht="15.9" customHeight="1">
      <c r="A53" s="480"/>
      <c r="B53" s="208"/>
      <c r="C53" s="219"/>
      <c r="D53" s="219"/>
      <c r="E53" s="220"/>
      <c r="F53" s="221"/>
      <c r="G53" s="222"/>
      <c r="H53" s="177">
        <f t="shared" si="1"/>
        <v>0</v>
      </c>
      <c r="I53" s="42"/>
    </row>
    <row r="54" spans="1:9" ht="15.9" customHeight="1">
      <c r="A54" s="480"/>
      <c r="B54" s="223"/>
      <c r="C54" s="224"/>
      <c r="D54" s="225"/>
      <c r="E54" s="205"/>
      <c r="F54" s="226"/>
      <c r="G54" s="227"/>
      <c r="H54" s="50">
        <f>SUM(H17:H53)</f>
        <v>260000000</v>
      </c>
      <c r="I54" s="46"/>
    </row>
    <row r="55" spans="1:9" ht="15.9" customHeight="1">
      <c r="A55" s="265"/>
      <c r="B55" s="266" t="s">
        <v>147</v>
      </c>
      <c r="C55" s="267"/>
      <c r="D55" s="46"/>
      <c r="E55" s="206"/>
      <c r="F55" s="268"/>
      <c r="G55" s="269"/>
      <c r="H55" s="50">
        <f>SUM(H54,H9,H16)</f>
        <v>260000000</v>
      </c>
      <c r="I55" s="46"/>
    </row>
    <row r="56" spans="1:9" ht="15.9" customHeight="1">
      <c r="A56" s="481" t="s">
        <v>148</v>
      </c>
      <c r="B56" s="270" t="s">
        <v>67</v>
      </c>
      <c r="C56" s="267"/>
      <c r="D56" s="46"/>
      <c r="E56" s="271" t="s">
        <v>68</v>
      </c>
      <c r="F56" s="272"/>
      <c r="G56" s="273"/>
      <c r="H56" s="274">
        <f t="shared" ref="H56:H62" si="2">F56*G56</f>
        <v>0</v>
      </c>
      <c r="I56" s="46"/>
    </row>
    <row r="57" spans="1:9" ht="15.9" customHeight="1">
      <c r="A57" s="482"/>
      <c r="B57" s="275" t="s">
        <v>149</v>
      </c>
      <c r="C57" s="276"/>
      <c r="D57" s="234"/>
      <c r="E57" s="51" t="s">
        <v>150</v>
      </c>
      <c r="F57" s="230">
        <f>20+20</f>
        <v>40</v>
      </c>
      <c r="G57" s="232">
        <v>500000</v>
      </c>
      <c r="H57" s="233">
        <f t="shared" si="2"/>
        <v>20000000</v>
      </c>
      <c r="I57" s="234"/>
    </row>
    <row r="58" spans="1:9" ht="15.9" customHeight="1">
      <c r="A58" s="482"/>
      <c r="B58" s="277" t="s">
        <v>151</v>
      </c>
      <c r="C58" s="278"/>
      <c r="D58" s="39"/>
      <c r="E58" s="40" t="s">
        <v>150</v>
      </c>
      <c r="F58" s="211"/>
      <c r="G58" s="218"/>
      <c r="H58" s="167">
        <f t="shared" si="2"/>
        <v>0</v>
      </c>
      <c r="I58" s="39"/>
    </row>
    <row r="59" spans="1:9" ht="15.9" customHeight="1">
      <c r="A59" s="482"/>
      <c r="B59" s="277" t="s">
        <v>152</v>
      </c>
      <c r="C59" s="278"/>
      <c r="D59" s="39"/>
      <c r="E59" s="40" t="s">
        <v>150</v>
      </c>
      <c r="F59" s="217"/>
      <c r="G59" s="218"/>
      <c r="H59" s="167">
        <f>F59*G59</f>
        <v>0</v>
      </c>
      <c r="I59" s="39"/>
    </row>
    <row r="60" spans="1:9" ht="15.9" customHeight="1">
      <c r="A60" s="482"/>
      <c r="B60" s="277" t="s">
        <v>153</v>
      </c>
      <c r="C60" s="278"/>
      <c r="D60" s="39"/>
      <c r="E60" s="40" t="s">
        <v>150</v>
      </c>
      <c r="F60" s="217">
        <v>350</v>
      </c>
      <c r="G60" s="218">
        <v>300000</v>
      </c>
      <c r="H60" s="167">
        <f t="shared" si="2"/>
        <v>105000000</v>
      </c>
      <c r="I60" s="39"/>
    </row>
    <row r="61" spans="1:9" ht="15.9" customHeight="1">
      <c r="A61" s="482"/>
      <c r="B61" s="277" t="s">
        <v>154</v>
      </c>
      <c r="C61" s="278"/>
      <c r="D61" s="39"/>
      <c r="E61" s="40" t="s">
        <v>150</v>
      </c>
      <c r="F61" s="237"/>
      <c r="G61" s="238"/>
      <c r="H61" s="167">
        <f t="shared" si="2"/>
        <v>0</v>
      </c>
      <c r="I61" s="39"/>
    </row>
    <row r="62" spans="1:9" ht="15.9" customHeight="1">
      <c r="A62" s="482"/>
      <c r="B62" s="279" t="s">
        <v>155</v>
      </c>
      <c r="C62" s="280"/>
      <c r="D62" s="42"/>
      <c r="E62" s="41" t="s">
        <v>150</v>
      </c>
      <c r="F62" s="221"/>
      <c r="G62" s="222"/>
      <c r="H62" s="177">
        <f t="shared" si="2"/>
        <v>0</v>
      </c>
      <c r="I62" s="42"/>
    </row>
    <row r="63" spans="1:9" ht="15.9" customHeight="1">
      <c r="A63" s="265"/>
      <c r="B63" s="281" t="s">
        <v>156</v>
      </c>
      <c r="C63" s="267"/>
      <c r="D63" s="46"/>
      <c r="E63" s="206"/>
      <c r="F63" s="226"/>
      <c r="G63" s="227"/>
      <c r="H63" s="50">
        <f>SUM(H56:H62)</f>
        <v>125000000</v>
      </c>
      <c r="I63" s="46"/>
    </row>
    <row r="64" spans="1:9" ht="15.9" customHeight="1">
      <c r="A64" s="271"/>
      <c r="B64" s="281" t="s">
        <v>157</v>
      </c>
      <c r="C64" s="267"/>
      <c r="D64" s="46"/>
      <c r="E64" s="206"/>
      <c r="F64" s="207"/>
      <c r="G64" s="282" t="s">
        <v>158</v>
      </c>
      <c r="H64" s="269">
        <v>0</v>
      </c>
      <c r="I64" s="46"/>
    </row>
    <row r="65" spans="1:11" ht="15.9" customHeight="1">
      <c r="A65" s="271"/>
      <c r="B65" s="281" t="s">
        <v>93</v>
      </c>
      <c r="C65" s="267"/>
      <c r="D65" s="46"/>
      <c r="E65" s="206"/>
      <c r="F65" s="207"/>
      <c r="G65" s="283"/>
      <c r="H65" s="284">
        <f>(H63+H55)*0</f>
        <v>0</v>
      </c>
      <c r="I65" s="267"/>
    </row>
    <row r="66" spans="1:11" ht="15.9" customHeight="1">
      <c r="A66" s="271"/>
      <c r="B66" s="281" t="s">
        <v>159</v>
      </c>
      <c r="C66" s="267"/>
      <c r="D66" s="46"/>
      <c r="E66" s="206"/>
      <c r="F66" s="207"/>
      <c r="G66" s="283"/>
      <c r="H66" s="284">
        <f>(H63+H55)*0.025</f>
        <v>9625000</v>
      </c>
      <c r="I66" s="267"/>
    </row>
    <row r="67" spans="1:11" ht="15.9" customHeight="1">
      <c r="A67" s="271"/>
      <c r="B67" s="281" t="s">
        <v>160</v>
      </c>
      <c r="C67" s="267"/>
      <c r="D67" s="46"/>
      <c r="E67" s="206"/>
      <c r="F67" s="207"/>
      <c r="G67" s="50"/>
      <c r="H67" s="227">
        <f>H55+H63+H64+H65+H66</f>
        <v>394625000</v>
      </c>
      <c r="I67" s="46"/>
      <c r="K67" s="49"/>
    </row>
    <row r="68" spans="1:11">
      <c r="A68" s="26"/>
    </row>
  </sheetData>
  <mergeCells count="3">
    <mergeCell ref="A2:B2"/>
    <mergeCell ref="A3:A54"/>
    <mergeCell ref="A56:A62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D86B-DA89-4886-B51C-CB28C83B048C}">
  <sheetPr>
    <tabColor rgb="FF00B050"/>
    <pageSetUpPr fitToPage="1"/>
  </sheetPr>
  <dimension ref="A1:K296"/>
  <sheetViews>
    <sheetView zoomScale="85" zoomScaleNormal="85" workbookViewId="0">
      <pane xSplit="2" ySplit="2" topLeftCell="C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26" customWidth="1"/>
    <col min="6" max="6" width="9" style="48"/>
    <col min="7" max="7" width="11.8984375" style="49" customWidth="1"/>
    <col min="8" max="8" width="13.59765625" style="49" customWidth="1"/>
    <col min="9" max="9" width="12.69921875" style="1" customWidth="1"/>
    <col min="10" max="10" width="9" style="1"/>
    <col min="11" max="11" width="10" style="1" bestFit="1" customWidth="1"/>
    <col min="12" max="256" width="9" style="1"/>
    <col min="257" max="257" width="5" style="1" customWidth="1"/>
    <col min="258" max="258" width="17.8984375" style="1" bestFit="1" customWidth="1"/>
    <col min="259" max="259" width="23.59765625" style="1" customWidth="1"/>
    <col min="260" max="260" width="18.19921875" style="1" customWidth="1"/>
    <col min="261" max="261" width="5.19921875" style="1" customWidth="1"/>
    <col min="262" max="262" width="9" style="1"/>
    <col min="263" max="263" width="11.8984375" style="1" customWidth="1"/>
    <col min="264" max="264" width="13.59765625" style="1" customWidth="1"/>
    <col min="265" max="265" width="12.69921875" style="1" customWidth="1"/>
    <col min="266" max="266" width="9" style="1"/>
    <col min="267" max="267" width="10" style="1" bestFit="1" customWidth="1"/>
    <col min="268" max="512" width="9" style="1"/>
    <col min="513" max="513" width="5" style="1" customWidth="1"/>
    <col min="514" max="514" width="17.8984375" style="1" bestFit="1" customWidth="1"/>
    <col min="515" max="515" width="23.59765625" style="1" customWidth="1"/>
    <col min="516" max="516" width="18.19921875" style="1" customWidth="1"/>
    <col min="517" max="517" width="5.19921875" style="1" customWidth="1"/>
    <col min="518" max="518" width="9" style="1"/>
    <col min="519" max="519" width="11.8984375" style="1" customWidth="1"/>
    <col min="520" max="520" width="13.59765625" style="1" customWidth="1"/>
    <col min="521" max="521" width="12.69921875" style="1" customWidth="1"/>
    <col min="522" max="522" width="9" style="1"/>
    <col min="523" max="523" width="10" style="1" bestFit="1" customWidth="1"/>
    <col min="524" max="768" width="9" style="1"/>
    <col min="769" max="769" width="5" style="1" customWidth="1"/>
    <col min="770" max="770" width="17.8984375" style="1" bestFit="1" customWidth="1"/>
    <col min="771" max="771" width="23.59765625" style="1" customWidth="1"/>
    <col min="772" max="772" width="18.19921875" style="1" customWidth="1"/>
    <col min="773" max="773" width="5.19921875" style="1" customWidth="1"/>
    <col min="774" max="774" width="9" style="1"/>
    <col min="775" max="775" width="11.8984375" style="1" customWidth="1"/>
    <col min="776" max="776" width="13.59765625" style="1" customWidth="1"/>
    <col min="777" max="777" width="12.69921875" style="1" customWidth="1"/>
    <col min="778" max="778" width="9" style="1"/>
    <col min="779" max="779" width="10" style="1" bestFit="1" customWidth="1"/>
    <col min="780" max="1024" width="9" style="1"/>
    <col min="1025" max="1025" width="5" style="1" customWidth="1"/>
    <col min="1026" max="1026" width="17.8984375" style="1" bestFit="1" customWidth="1"/>
    <col min="1027" max="1027" width="23.59765625" style="1" customWidth="1"/>
    <col min="1028" max="1028" width="18.19921875" style="1" customWidth="1"/>
    <col min="1029" max="1029" width="5.19921875" style="1" customWidth="1"/>
    <col min="1030" max="1030" width="9" style="1"/>
    <col min="1031" max="1031" width="11.8984375" style="1" customWidth="1"/>
    <col min="1032" max="1032" width="13.59765625" style="1" customWidth="1"/>
    <col min="1033" max="1033" width="12.69921875" style="1" customWidth="1"/>
    <col min="1034" max="1034" width="9" style="1"/>
    <col min="1035" max="1035" width="10" style="1" bestFit="1" customWidth="1"/>
    <col min="1036" max="1280" width="9" style="1"/>
    <col min="1281" max="1281" width="5" style="1" customWidth="1"/>
    <col min="1282" max="1282" width="17.8984375" style="1" bestFit="1" customWidth="1"/>
    <col min="1283" max="1283" width="23.59765625" style="1" customWidth="1"/>
    <col min="1284" max="1284" width="18.19921875" style="1" customWidth="1"/>
    <col min="1285" max="1285" width="5.19921875" style="1" customWidth="1"/>
    <col min="1286" max="1286" width="9" style="1"/>
    <col min="1287" max="1287" width="11.8984375" style="1" customWidth="1"/>
    <col min="1288" max="1288" width="13.59765625" style="1" customWidth="1"/>
    <col min="1289" max="1289" width="12.69921875" style="1" customWidth="1"/>
    <col min="1290" max="1290" width="9" style="1"/>
    <col min="1291" max="1291" width="10" style="1" bestFit="1" customWidth="1"/>
    <col min="1292" max="1536" width="9" style="1"/>
    <col min="1537" max="1537" width="5" style="1" customWidth="1"/>
    <col min="1538" max="1538" width="17.8984375" style="1" bestFit="1" customWidth="1"/>
    <col min="1539" max="1539" width="23.59765625" style="1" customWidth="1"/>
    <col min="1540" max="1540" width="18.19921875" style="1" customWidth="1"/>
    <col min="1541" max="1541" width="5.19921875" style="1" customWidth="1"/>
    <col min="1542" max="1542" width="9" style="1"/>
    <col min="1543" max="1543" width="11.8984375" style="1" customWidth="1"/>
    <col min="1544" max="1544" width="13.59765625" style="1" customWidth="1"/>
    <col min="1545" max="1545" width="12.69921875" style="1" customWidth="1"/>
    <col min="1546" max="1546" width="9" style="1"/>
    <col min="1547" max="1547" width="10" style="1" bestFit="1" customWidth="1"/>
    <col min="1548" max="1792" width="9" style="1"/>
    <col min="1793" max="1793" width="5" style="1" customWidth="1"/>
    <col min="1794" max="1794" width="17.8984375" style="1" bestFit="1" customWidth="1"/>
    <col min="1795" max="1795" width="23.59765625" style="1" customWidth="1"/>
    <col min="1796" max="1796" width="18.19921875" style="1" customWidth="1"/>
    <col min="1797" max="1797" width="5.19921875" style="1" customWidth="1"/>
    <col min="1798" max="1798" width="9" style="1"/>
    <col min="1799" max="1799" width="11.8984375" style="1" customWidth="1"/>
    <col min="1800" max="1800" width="13.59765625" style="1" customWidth="1"/>
    <col min="1801" max="1801" width="12.69921875" style="1" customWidth="1"/>
    <col min="1802" max="1802" width="9" style="1"/>
    <col min="1803" max="1803" width="10" style="1" bestFit="1" customWidth="1"/>
    <col min="1804" max="2048" width="9" style="1"/>
    <col min="2049" max="2049" width="5" style="1" customWidth="1"/>
    <col min="2050" max="2050" width="17.8984375" style="1" bestFit="1" customWidth="1"/>
    <col min="2051" max="2051" width="23.59765625" style="1" customWidth="1"/>
    <col min="2052" max="2052" width="18.19921875" style="1" customWidth="1"/>
    <col min="2053" max="2053" width="5.19921875" style="1" customWidth="1"/>
    <col min="2054" max="2054" width="9" style="1"/>
    <col min="2055" max="2055" width="11.8984375" style="1" customWidth="1"/>
    <col min="2056" max="2056" width="13.59765625" style="1" customWidth="1"/>
    <col min="2057" max="2057" width="12.69921875" style="1" customWidth="1"/>
    <col min="2058" max="2058" width="9" style="1"/>
    <col min="2059" max="2059" width="10" style="1" bestFit="1" customWidth="1"/>
    <col min="2060" max="2304" width="9" style="1"/>
    <col min="2305" max="2305" width="5" style="1" customWidth="1"/>
    <col min="2306" max="2306" width="17.8984375" style="1" bestFit="1" customWidth="1"/>
    <col min="2307" max="2307" width="23.59765625" style="1" customWidth="1"/>
    <col min="2308" max="2308" width="18.19921875" style="1" customWidth="1"/>
    <col min="2309" max="2309" width="5.19921875" style="1" customWidth="1"/>
    <col min="2310" max="2310" width="9" style="1"/>
    <col min="2311" max="2311" width="11.8984375" style="1" customWidth="1"/>
    <col min="2312" max="2312" width="13.59765625" style="1" customWidth="1"/>
    <col min="2313" max="2313" width="12.69921875" style="1" customWidth="1"/>
    <col min="2314" max="2314" width="9" style="1"/>
    <col min="2315" max="2315" width="10" style="1" bestFit="1" customWidth="1"/>
    <col min="2316" max="2560" width="9" style="1"/>
    <col min="2561" max="2561" width="5" style="1" customWidth="1"/>
    <col min="2562" max="2562" width="17.8984375" style="1" bestFit="1" customWidth="1"/>
    <col min="2563" max="2563" width="23.59765625" style="1" customWidth="1"/>
    <col min="2564" max="2564" width="18.19921875" style="1" customWidth="1"/>
    <col min="2565" max="2565" width="5.19921875" style="1" customWidth="1"/>
    <col min="2566" max="2566" width="9" style="1"/>
    <col min="2567" max="2567" width="11.8984375" style="1" customWidth="1"/>
    <col min="2568" max="2568" width="13.59765625" style="1" customWidth="1"/>
    <col min="2569" max="2569" width="12.69921875" style="1" customWidth="1"/>
    <col min="2570" max="2570" width="9" style="1"/>
    <col min="2571" max="2571" width="10" style="1" bestFit="1" customWidth="1"/>
    <col min="2572" max="2816" width="9" style="1"/>
    <col min="2817" max="2817" width="5" style="1" customWidth="1"/>
    <col min="2818" max="2818" width="17.8984375" style="1" bestFit="1" customWidth="1"/>
    <col min="2819" max="2819" width="23.59765625" style="1" customWidth="1"/>
    <col min="2820" max="2820" width="18.19921875" style="1" customWidth="1"/>
    <col min="2821" max="2821" width="5.19921875" style="1" customWidth="1"/>
    <col min="2822" max="2822" width="9" style="1"/>
    <col min="2823" max="2823" width="11.8984375" style="1" customWidth="1"/>
    <col min="2824" max="2824" width="13.59765625" style="1" customWidth="1"/>
    <col min="2825" max="2825" width="12.69921875" style="1" customWidth="1"/>
    <col min="2826" max="2826" width="9" style="1"/>
    <col min="2827" max="2827" width="10" style="1" bestFit="1" customWidth="1"/>
    <col min="2828" max="3072" width="9" style="1"/>
    <col min="3073" max="3073" width="5" style="1" customWidth="1"/>
    <col min="3074" max="3074" width="17.8984375" style="1" bestFit="1" customWidth="1"/>
    <col min="3075" max="3075" width="23.59765625" style="1" customWidth="1"/>
    <col min="3076" max="3076" width="18.19921875" style="1" customWidth="1"/>
    <col min="3077" max="3077" width="5.19921875" style="1" customWidth="1"/>
    <col min="3078" max="3078" width="9" style="1"/>
    <col min="3079" max="3079" width="11.8984375" style="1" customWidth="1"/>
    <col min="3080" max="3080" width="13.59765625" style="1" customWidth="1"/>
    <col min="3081" max="3081" width="12.69921875" style="1" customWidth="1"/>
    <col min="3082" max="3082" width="9" style="1"/>
    <col min="3083" max="3083" width="10" style="1" bestFit="1" customWidth="1"/>
    <col min="3084" max="3328" width="9" style="1"/>
    <col min="3329" max="3329" width="5" style="1" customWidth="1"/>
    <col min="3330" max="3330" width="17.8984375" style="1" bestFit="1" customWidth="1"/>
    <col min="3331" max="3331" width="23.59765625" style="1" customWidth="1"/>
    <col min="3332" max="3332" width="18.19921875" style="1" customWidth="1"/>
    <col min="3333" max="3333" width="5.19921875" style="1" customWidth="1"/>
    <col min="3334" max="3334" width="9" style="1"/>
    <col min="3335" max="3335" width="11.8984375" style="1" customWidth="1"/>
    <col min="3336" max="3336" width="13.59765625" style="1" customWidth="1"/>
    <col min="3337" max="3337" width="12.69921875" style="1" customWidth="1"/>
    <col min="3338" max="3338" width="9" style="1"/>
    <col min="3339" max="3339" width="10" style="1" bestFit="1" customWidth="1"/>
    <col min="3340" max="3584" width="9" style="1"/>
    <col min="3585" max="3585" width="5" style="1" customWidth="1"/>
    <col min="3586" max="3586" width="17.8984375" style="1" bestFit="1" customWidth="1"/>
    <col min="3587" max="3587" width="23.59765625" style="1" customWidth="1"/>
    <col min="3588" max="3588" width="18.19921875" style="1" customWidth="1"/>
    <col min="3589" max="3589" width="5.19921875" style="1" customWidth="1"/>
    <col min="3590" max="3590" width="9" style="1"/>
    <col min="3591" max="3591" width="11.8984375" style="1" customWidth="1"/>
    <col min="3592" max="3592" width="13.59765625" style="1" customWidth="1"/>
    <col min="3593" max="3593" width="12.69921875" style="1" customWidth="1"/>
    <col min="3594" max="3594" width="9" style="1"/>
    <col min="3595" max="3595" width="10" style="1" bestFit="1" customWidth="1"/>
    <col min="3596" max="3840" width="9" style="1"/>
    <col min="3841" max="3841" width="5" style="1" customWidth="1"/>
    <col min="3842" max="3842" width="17.8984375" style="1" bestFit="1" customWidth="1"/>
    <col min="3843" max="3843" width="23.59765625" style="1" customWidth="1"/>
    <col min="3844" max="3844" width="18.19921875" style="1" customWidth="1"/>
    <col min="3845" max="3845" width="5.19921875" style="1" customWidth="1"/>
    <col min="3846" max="3846" width="9" style="1"/>
    <col min="3847" max="3847" width="11.8984375" style="1" customWidth="1"/>
    <col min="3848" max="3848" width="13.59765625" style="1" customWidth="1"/>
    <col min="3849" max="3849" width="12.69921875" style="1" customWidth="1"/>
    <col min="3850" max="3850" width="9" style="1"/>
    <col min="3851" max="3851" width="10" style="1" bestFit="1" customWidth="1"/>
    <col min="3852" max="4096" width="9" style="1"/>
    <col min="4097" max="4097" width="5" style="1" customWidth="1"/>
    <col min="4098" max="4098" width="17.8984375" style="1" bestFit="1" customWidth="1"/>
    <col min="4099" max="4099" width="23.59765625" style="1" customWidth="1"/>
    <col min="4100" max="4100" width="18.19921875" style="1" customWidth="1"/>
    <col min="4101" max="4101" width="5.19921875" style="1" customWidth="1"/>
    <col min="4102" max="4102" width="9" style="1"/>
    <col min="4103" max="4103" width="11.8984375" style="1" customWidth="1"/>
    <col min="4104" max="4104" width="13.59765625" style="1" customWidth="1"/>
    <col min="4105" max="4105" width="12.69921875" style="1" customWidth="1"/>
    <col min="4106" max="4106" width="9" style="1"/>
    <col min="4107" max="4107" width="10" style="1" bestFit="1" customWidth="1"/>
    <col min="4108" max="4352" width="9" style="1"/>
    <col min="4353" max="4353" width="5" style="1" customWidth="1"/>
    <col min="4354" max="4354" width="17.8984375" style="1" bestFit="1" customWidth="1"/>
    <col min="4355" max="4355" width="23.59765625" style="1" customWidth="1"/>
    <col min="4356" max="4356" width="18.19921875" style="1" customWidth="1"/>
    <col min="4357" max="4357" width="5.19921875" style="1" customWidth="1"/>
    <col min="4358" max="4358" width="9" style="1"/>
    <col min="4359" max="4359" width="11.8984375" style="1" customWidth="1"/>
    <col min="4360" max="4360" width="13.59765625" style="1" customWidth="1"/>
    <col min="4361" max="4361" width="12.69921875" style="1" customWidth="1"/>
    <col min="4362" max="4362" width="9" style="1"/>
    <col min="4363" max="4363" width="10" style="1" bestFit="1" customWidth="1"/>
    <col min="4364" max="4608" width="9" style="1"/>
    <col min="4609" max="4609" width="5" style="1" customWidth="1"/>
    <col min="4610" max="4610" width="17.8984375" style="1" bestFit="1" customWidth="1"/>
    <col min="4611" max="4611" width="23.59765625" style="1" customWidth="1"/>
    <col min="4612" max="4612" width="18.19921875" style="1" customWidth="1"/>
    <col min="4613" max="4613" width="5.19921875" style="1" customWidth="1"/>
    <col min="4614" max="4614" width="9" style="1"/>
    <col min="4615" max="4615" width="11.8984375" style="1" customWidth="1"/>
    <col min="4616" max="4616" width="13.59765625" style="1" customWidth="1"/>
    <col min="4617" max="4617" width="12.69921875" style="1" customWidth="1"/>
    <col min="4618" max="4618" width="9" style="1"/>
    <col min="4619" max="4619" width="10" style="1" bestFit="1" customWidth="1"/>
    <col min="4620" max="4864" width="9" style="1"/>
    <col min="4865" max="4865" width="5" style="1" customWidth="1"/>
    <col min="4866" max="4866" width="17.8984375" style="1" bestFit="1" customWidth="1"/>
    <col min="4867" max="4867" width="23.59765625" style="1" customWidth="1"/>
    <col min="4868" max="4868" width="18.19921875" style="1" customWidth="1"/>
    <col min="4869" max="4869" width="5.19921875" style="1" customWidth="1"/>
    <col min="4870" max="4870" width="9" style="1"/>
    <col min="4871" max="4871" width="11.8984375" style="1" customWidth="1"/>
    <col min="4872" max="4872" width="13.59765625" style="1" customWidth="1"/>
    <col min="4873" max="4873" width="12.69921875" style="1" customWidth="1"/>
    <col min="4874" max="4874" width="9" style="1"/>
    <col min="4875" max="4875" width="10" style="1" bestFit="1" customWidth="1"/>
    <col min="4876" max="5120" width="9" style="1"/>
    <col min="5121" max="5121" width="5" style="1" customWidth="1"/>
    <col min="5122" max="5122" width="17.8984375" style="1" bestFit="1" customWidth="1"/>
    <col min="5123" max="5123" width="23.59765625" style="1" customWidth="1"/>
    <col min="5124" max="5124" width="18.19921875" style="1" customWidth="1"/>
    <col min="5125" max="5125" width="5.19921875" style="1" customWidth="1"/>
    <col min="5126" max="5126" width="9" style="1"/>
    <col min="5127" max="5127" width="11.8984375" style="1" customWidth="1"/>
    <col min="5128" max="5128" width="13.59765625" style="1" customWidth="1"/>
    <col min="5129" max="5129" width="12.69921875" style="1" customWidth="1"/>
    <col min="5130" max="5130" width="9" style="1"/>
    <col min="5131" max="5131" width="10" style="1" bestFit="1" customWidth="1"/>
    <col min="5132" max="5376" width="9" style="1"/>
    <col min="5377" max="5377" width="5" style="1" customWidth="1"/>
    <col min="5378" max="5378" width="17.8984375" style="1" bestFit="1" customWidth="1"/>
    <col min="5379" max="5379" width="23.59765625" style="1" customWidth="1"/>
    <col min="5380" max="5380" width="18.19921875" style="1" customWidth="1"/>
    <col min="5381" max="5381" width="5.19921875" style="1" customWidth="1"/>
    <col min="5382" max="5382" width="9" style="1"/>
    <col min="5383" max="5383" width="11.8984375" style="1" customWidth="1"/>
    <col min="5384" max="5384" width="13.59765625" style="1" customWidth="1"/>
    <col min="5385" max="5385" width="12.69921875" style="1" customWidth="1"/>
    <col min="5386" max="5386" width="9" style="1"/>
    <col min="5387" max="5387" width="10" style="1" bestFit="1" customWidth="1"/>
    <col min="5388" max="5632" width="9" style="1"/>
    <col min="5633" max="5633" width="5" style="1" customWidth="1"/>
    <col min="5634" max="5634" width="17.8984375" style="1" bestFit="1" customWidth="1"/>
    <col min="5635" max="5635" width="23.59765625" style="1" customWidth="1"/>
    <col min="5636" max="5636" width="18.19921875" style="1" customWidth="1"/>
    <col min="5637" max="5637" width="5.19921875" style="1" customWidth="1"/>
    <col min="5638" max="5638" width="9" style="1"/>
    <col min="5639" max="5639" width="11.8984375" style="1" customWidth="1"/>
    <col min="5640" max="5640" width="13.59765625" style="1" customWidth="1"/>
    <col min="5641" max="5641" width="12.69921875" style="1" customWidth="1"/>
    <col min="5642" max="5642" width="9" style="1"/>
    <col min="5643" max="5643" width="10" style="1" bestFit="1" customWidth="1"/>
    <col min="5644" max="5888" width="9" style="1"/>
    <col min="5889" max="5889" width="5" style="1" customWidth="1"/>
    <col min="5890" max="5890" width="17.8984375" style="1" bestFit="1" customWidth="1"/>
    <col min="5891" max="5891" width="23.59765625" style="1" customWidth="1"/>
    <col min="5892" max="5892" width="18.19921875" style="1" customWidth="1"/>
    <col min="5893" max="5893" width="5.19921875" style="1" customWidth="1"/>
    <col min="5894" max="5894" width="9" style="1"/>
    <col min="5895" max="5895" width="11.8984375" style="1" customWidth="1"/>
    <col min="5896" max="5896" width="13.59765625" style="1" customWidth="1"/>
    <col min="5897" max="5897" width="12.69921875" style="1" customWidth="1"/>
    <col min="5898" max="5898" width="9" style="1"/>
    <col min="5899" max="5899" width="10" style="1" bestFit="1" customWidth="1"/>
    <col min="5900" max="6144" width="9" style="1"/>
    <col min="6145" max="6145" width="5" style="1" customWidth="1"/>
    <col min="6146" max="6146" width="17.8984375" style="1" bestFit="1" customWidth="1"/>
    <col min="6147" max="6147" width="23.59765625" style="1" customWidth="1"/>
    <col min="6148" max="6148" width="18.19921875" style="1" customWidth="1"/>
    <col min="6149" max="6149" width="5.19921875" style="1" customWidth="1"/>
    <col min="6150" max="6150" width="9" style="1"/>
    <col min="6151" max="6151" width="11.8984375" style="1" customWidth="1"/>
    <col min="6152" max="6152" width="13.59765625" style="1" customWidth="1"/>
    <col min="6153" max="6153" width="12.69921875" style="1" customWidth="1"/>
    <col min="6154" max="6154" width="9" style="1"/>
    <col min="6155" max="6155" width="10" style="1" bestFit="1" customWidth="1"/>
    <col min="6156" max="6400" width="9" style="1"/>
    <col min="6401" max="6401" width="5" style="1" customWidth="1"/>
    <col min="6402" max="6402" width="17.8984375" style="1" bestFit="1" customWidth="1"/>
    <col min="6403" max="6403" width="23.59765625" style="1" customWidth="1"/>
    <col min="6404" max="6404" width="18.19921875" style="1" customWidth="1"/>
    <col min="6405" max="6405" width="5.19921875" style="1" customWidth="1"/>
    <col min="6406" max="6406" width="9" style="1"/>
    <col min="6407" max="6407" width="11.8984375" style="1" customWidth="1"/>
    <col min="6408" max="6408" width="13.59765625" style="1" customWidth="1"/>
    <col min="6409" max="6409" width="12.69921875" style="1" customWidth="1"/>
    <col min="6410" max="6410" width="9" style="1"/>
    <col min="6411" max="6411" width="10" style="1" bestFit="1" customWidth="1"/>
    <col min="6412" max="6656" width="9" style="1"/>
    <col min="6657" max="6657" width="5" style="1" customWidth="1"/>
    <col min="6658" max="6658" width="17.8984375" style="1" bestFit="1" customWidth="1"/>
    <col min="6659" max="6659" width="23.59765625" style="1" customWidth="1"/>
    <col min="6660" max="6660" width="18.19921875" style="1" customWidth="1"/>
    <col min="6661" max="6661" width="5.19921875" style="1" customWidth="1"/>
    <col min="6662" max="6662" width="9" style="1"/>
    <col min="6663" max="6663" width="11.8984375" style="1" customWidth="1"/>
    <col min="6664" max="6664" width="13.59765625" style="1" customWidth="1"/>
    <col min="6665" max="6665" width="12.69921875" style="1" customWidth="1"/>
    <col min="6666" max="6666" width="9" style="1"/>
    <col min="6667" max="6667" width="10" style="1" bestFit="1" customWidth="1"/>
    <col min="6668" max="6912" width="9" style="1"/>
    <col min="6913" max="6913" width="5" style="1" customWidth="1"/>
    <col min="6914" max="6914" width="17.8984375" style="1" bestFit="1" customWidth="1"/>
    <col min="6915" max="6915" width="23.59765625" style="1" customWidth="1"/>
    <col min="6916" max="6916" width="18.19921875" style="1" customWidth="1"/>
    <col min="6917" max="6917" width="5.19921875" style="1" customWidth="1"/>
    <col min="6918" max="6918" width="9" style="1"/>
    <col min="6919" max="6919" width="11.8984375" style="1" customWidth="1"/>
    <col min="6920" max="6920" width="13.59765625" style="1" customWidth="1"/>
    <col min="6921" max="6921" width="12.69921875" style="1" customWidth="1"/>
    <col min="6922" max="6922" width="9" style="1"/>
    <col min="6923" max="6923" width="10" style="1" bestFit="1" customWidth="1"/>
    <col min="6924" max="7168" width="9" style="1"/>
    <col min="7169" max="7169" width="5" style="1" customWidth="1"/>
    <col min="7170" max="7170" width="17.8984375" style="1" bestFit="1" customWidth="1"/>
    <col min="7171" max="7171" width="23.59765625" style="1" customWidth="1"/>
    <col min="7172" max="7172" width="18.19921875" style="1" customWidth="1"/>
    <col min="7173" max="7173" width="5.19921875" style="1" customWidth="1"/>
    <col min="7174" max="7174" width="9" style="1"/>
    <col min="7175" max="7175" width="11.8984375" style="1" customWidth="1"/>
    <col min="7176" max="7176" width="13.59765625" style="1" customWidth="1"/>
    <col min="7177" max="7177" width="12.69921875" style="1" customWidth="1"/>
    <col min="7178" max="7178" width="9" style="1"/>
    <col min="7179" max="7179" width="10" style="1" bestFit="1" customWidth="1"/>
    <col min="7180" max="7424" width="9" style="1"/>
    <col min="7425" max="7425" width="5" style="1" customWidth="1"/>
    <col min="7426" max="7426" width="17.8984375" style="1" bestFit="1" customWidth="1"/>
    <col min="7427" max="7427" width="23.59765625" style="1" customWidth="1"/>
    <col min="7428" max="7428" width="18.19921875" style="1" customWidth="1"/>
    <col min="7429" max="7429" width="5.19921875" style="1" customWidth="1"/>
    <col min="7430" max="7430" width="9" style="1"/>
    <col min="7431" max="7431" width="11.8984375" style="1" customWidth="1"/>
    <col min="7432" max="7432" width="13.59765625" style="1" customWidth="1"/>
    <col min="7433" max="7433" width="12.69921875" style="1" customWidth="1"/>
    <col min="7434" max="7434" width="9" style="1"/>
    <col min="7435" max="7435" width="10" style="1" bestFit="1" customWidth="1"/>
    <col min="7436" max="7680" width="9" style="1"/>
    <col min="7681" max="7681" width="5" style="1" customWidth="1"/>
    <col min="7682" max="7682" width="17.8984375" style="1" bestFit="1" customWidth="1"/>
    <col min="7683" max="7683" width="23.59765625" style="1" customWidth="1"/>
    <col min="7684" max="7684" width="18.19921875" style="1" customWidth="1"/>
    <col min="7685" max="7685" width="5.19921875" style="1" customWidth="1"/>
    <col min="7686" max="7686" width="9" style="1"/>
    <col min="7687" max="7687" width="11.8984375" style="1" customWidth="1"/>
    <col min="7688" max="7688" width="13.59765625" style="1" customWidth="1"/>
    <col min="7689" max="7689" width="12.69921875" style="1" customWidth="1"/>
    <col min="7690" max="7690" width="9" style="1"/>
    <col min="7691" max="7691" width="10" style="1" bestFit="1" customWidth="1"/>
    <col min="7692" max="7936" width="9" style="1"/>
    <col min="7937" max="7937" width="5" style="1" customWidth="1"/>
    <col min="7938" max="7938" width="17.8984375" style="1" bestFit="1" customWidth="1"/>
    <col min="7939" max="7939" width="23.59765625" style="1" customWidth="1"/>
    <col min="7940" max="7940" width="18.19921875" style="1" customWidth="1"/>
    <col min="7941" max="7941" width="5.19921875" style="1" customWidth="1"/>
    <col min="7942" max="7942" width="9" style="1"/>
    <col min="7943" max="7943" width="11.8984375" style="1" customWidth="1"/>
    <col min="7944" max="7944" width="13.59765625" style="1" customWidth="1"/>
    <col min="7945" max="7945" width="12.69921875" style="1" customWidth="1"/>
    <col min="7946" max="7946" width="9" style="1"/>
    <col min="7947" max="7947" width="10" style="1" bestFit="1" customWidth="1"/>
    <col min="7948" max="8192" width="9" style="1"/>
    <col min="8193" max="8193" width="5" style="1" customWidth="1"/>
    <col min="8194" max="8194" width="17.8984375" style="1" bestFit="1" customWidth="1"/>
    <col min="8195" max="8195" width="23.59765625" style="1" customWidth="1"/>
    <col min="8196" max="8196" width="18.19921875" style="1" customWidth="1"/>
    <col min="8197" max="8197" width="5.19921875" style="1" customWidth="1"/>
    <col min="8198" max="8198" width="9" style="1"/>
    <col min="8199" max="8199" width="11.8984375" style="1" customWidth="1"/>
    <col min="8200" max="8200" width="13.59765625" style="1" customWidth="1"/>
    <col min="8201" max="8201" width="12.69921875" style="1" customWidth="1"/>
    <col min="8202" max="8202" width="9" style="1"/>
    <col min="8203" max="8203" width="10" style="1" bestFit="1" customWidth="1"/>
    <col min="8204" max="8448" width="9" style="1"/>
    <col min="8449" max="8449" width="5" style="1" customWidth="1"/>
    <col min="8450" max="8450" width="17.8984375" style="1" bestFit="1" customWidth="1"/>
    <col min="8451" max="8451" width="23.59765625" style="1" customWidth="1"/>
    <col min="8452" max="8452" width="18.19921875" style="1" customWidth="1"/>
    <col min="8453" max="8453" width="5.19921875" style="1" customWidth="1"/>
    <col min="8454" max="8454" width="9" style="1"/>
    <col min="8455" max="8455" width="11.8984375" style="1" customWidth="1"/>
    <col min="8456" max="8456" width="13.59765625" style="1" customWidth="1"/>
    <col min="8457" max="8457" width="12.69921875" style="1" customWidth="1"/>
    <col min="8458" max="8458" width="9" style="1"/>
    <col min="8459" max="8459" width="10" style="1" bestFit="1" customWidth="1"/>
    <col min="8460" max="8704" width="9" style="1"/>
    <col min="8705" max="8705" width="5" style="1" customWidth="1"/>
    <col min="8706" max="8706" width="17.8984375" style="1" bestFit="1" customWidth="1"/>
    <col min="8707" max="8707" width="23.59765625" style="1" customWidth="1"/>
    <col min="8708" max="8708" width="18.19921875" style="1" customWidth="1"/>
    <col min="8709" max="8709" width="5.19921875" style="1" customWidth="1"/>
    <col min="8710" max="8710" width="9" style="1"/>
    <col min="8711" max="8711" width="11.8984375" style="1" customWidth="1"/>
    <col min="8712" max="8712" width="13.59765625" style="1" customWidth="1"/>
    <col min="8713" max="8713" width="12.69921875" style="1" customWidth="1"/>
    <col min="8714" max="8714" width="9" style="1"/>
    <col min="8715" max="8715" width="10" style="1" bestFit="1" customWidth="1"/>
    <col min="8716" max="8960" width="9" style="1"/>
    <col min="8961" max="8961" width="5" style="1" customWidth="1"/>
    <col min="8962" max="8962" width="17.8984375" style="1" bestFit="1" customWidth="1"/>
    <col min="8963" max="8963" width="23.59765625" style="1" customWidth="1"/>
    <col min="8964" max="8964" width="18.19921875" style="1" customWidth="1"/>
    <col min="8965" max="8965" width="5.19921875" style="1" customWidth="1"/>
    <col min="8966" max="8966" width="9" style="1"/>
    <col min="8967" max="8967" width="11.8984375" style="1" customWidth="1"/>
    <col min="8968" max="8968" width="13.59765625" style="1" customWidth="1"/>
    <col min="8969" max="8969" width="12.69921875" style="1" customWidth="1"/>
    <col min="8970" max="8970" width="9" style="1"/>
    <col min="8971" max="8971" width="10" style="1" bestFit="1" customWidth="1"/>
    <col min="8972" max="9216" width="9" style="1"/>
    <col min="9217" max="9217" width="5" style="1" customWidth="1"/>
    <col min="9218" max="9218" width="17.8984375" style="1" bestFit="1" customWidth="1"/>
    <col min="9219" max="9219" width="23.59765625" style="1" customWidth="1"/>
    <col min="9220" max="9220" width="18.19921875" style="1" customWidth="1"/>
    <col min="9221" max="9221" width="5.19921875" style="1" customWidth="1"/>
    <col min="9222" max="9222" width="9" style="1"/>
    <col min="9223" max="9223" width="11.8984375" style="1" customWidth="1"/>
    <col min="9224" max="9224" width="13.59765625" style="1" customWidth="1"/>
    <col min="9225" max="9225" width="12.69921875" style="1" customWidth="1"/>
    <col min="9226" max="9226" width="9" style="1"/>
    <col min="9227" max="9227" width="10" style="1" bestFit="1" customWidth="1"/>
    <col min="9228" max="9472" width="9" style="1"/>
    <col min="9473" max="9473" width="5" style="1" customWidth="1"/>
    <col min="9474" max="9474" width="17.8984375" style="1" bestFit="1" customWidth="1"/>
    <col min="9475" max="9475" width="23.59765625" style="1" customWidth="1"/>
    <col min="9476" max="9476" width="18.19921875" style="1" customWidth="1"/>
    <col min="9477" max="9477" width="5.19921875" style="1" customWidth="1"/>
    <col min="9478" max="9478" width="9" style="1"/>
    <col min="9479" max="9479" width="11.8984375" style="1" customWidth="1"/>
    <col min="9480" max="9480" width="13.59765625" style="1" customWidth="1"/>
    <col min="9481" max="9481" width="12.69921875" style="1" customWidth="1"/>
    <col min="9482" max="9482" width="9" style="1"/>
    <col min="9483" max="9483" width="10" style="1" bestFit="1" customWidth="1"/>
    <col min="9484" max="9728" width="9" style="1"/>
    <col min="9729" max="9729" width="5" style="1" customWidth="1"/>
    <col min="9730" max="9730" width="17.8984375" style="1" bestFit="1" customWidth="1"/>
    <col min="9731" max="9731" width="23.59765625" style="1" customWidth="1"/>
    <col min="9732" max="9732" width="18.19921875" style="1" customWidth="1"/>
    <col min="9733" max="9733" width="5.19921875" style="1" customWidth="1"/>
    <col min="9734" max="9734" width="9" style="1"/>
    <col min="9735" max="9735" width="11.8984375" style="1" customWidth="1"/>
    <col min="9736" max="9736" width="13.59765625" style="1" customWidth="1"/>
    <col min="9737" max="9737" width="12.69921875" style="1" customWidth="1"/>
    <col min="9738" max="9738" width="9" style="1"/>
    <col min="9739" max="9739" width="10" style="1" bestFit="1" customWidth="1"/>
    <col min="9740" max="9984" width="9" style="1"/>
    <col min="9985" max="9985" width="5" style="1" customWidth="1"/>
    <col min="9986" max="9986" width="17.8984375" style="1" bestFit="1" customWidth="1"/>
    <col min="9987" max="9987" width="23.59765625" style="1" customWidth="1"/>
    <col min="9988" max="9988" width="18.19921875" style="1" customWidth="1"/>
    <col min="9989" max="9989" width="5.19921875" style="1" customWidth="1"/>
    <col min="9990" max="9990" width="9" style="1"/>
    <col min="9991" max="9991" width="11.8984375" style="1" customWidth="1"/>
    <col min="9992" max="9992" width="13.59765625" style="1" customWidth="1"/>
    <col min="9993" max="9993" width="12.69921875" style="1" customWidth="1"/>
    <col min="9994" max="9994" width="9" style="1"/>
    <col min="9995" max="9995" width="10" style="1" bestFit="1" customWidth="1"/>
    <col min="9996" max="10240" width="9" style="1"/>
    <col min="10241" max="10241" width="5" style="1" customWidth="1"/>
    <col min="10242" max="10242" width="17.8984375" style="1" bestFit="1" customWidth="1"/>
    <col min="10243" max="10243" width="23.59765625" style="1" customWidth="1"/>
    <col min="10244" max="10244" width="18.19921875" style="1" customWidth="1"/>
    <col min="10245" max="10245" width="5.19921875" style="1" customWidth="1"/>
    <col min="10246" max="10246" width="9" style="1"/>
    <col min="10247" max="10247" width="11.8984375" style="1" customWidth="1"/>
    <col min="10248" max="10248" width="13.59765625" style="1" customWidth="1"/>
    <col min="10249" max="10249" width="12.69921875" style="1" customWidth="1"/>
    <col min="10250" max="10250" width="9" style="1"/>
    <col min="10251" max="10251" width="10" style="1" bestFit="1" customWidth="1"/>
    <col min="10252" max="10496" width="9" style="1"/>
    <col min="10497" max="10497" width="5" style="1" customWidth="1"/>
    <col min="10498" max="10498" width="17.8984375" style="1" bestFit="1" customWidth="1"/>
    <col min="10499" max="10499" width="23.59765625" style="1" customWidth="1"/>
    <col min="10500" max="10500" width="18.19921875" style="1" customWidth="1"/>
    <col min="10501" max="10501" width="5.19921875" style="1" customWidth="1"/>
    <col min="10502" max="10502" width="9" style="1"/>
    <col min="10503" max="10503" width="11.8984375" style="1" customWidth="1"/>
    <col min="10504" max="10504" width="13.59765625" style="1" customWidth="1"/>
    <col min="10505" max="10505" width="12.69921875" style="1" customWidth="1"/>
    <col min="10506" max="10506" width="9" style="1"/>
    <col min="10507" max="10507" width="10" style="1" bestFit="1" customWidth="1"/>
    <col min="10508" max="10752" width="9" style="1"/>
    <col min="10753" max="10753" width="5" style="1" customWidth="1"/>
    <col min="10754" max="10754" width="17.8984375" style="1" bestFit="1" customWidth="1"/>
    <col min="10755" max="10755" width="23.59765625" style="1" customWidth="1"/>
    <col min="10756" max="10756" width="18.19921875" style="1" customWidth="1"/>
    <col min="10757" max="10757" width="5.19921875" style="1" customWidth="1"/>
    <col min="10758" max="10758" width="9" style="1"/>
    <col min="10759" max="10759" width="11.8984375" style="1" customWidth="1"/>
    <col min="10760" max="10760" width="13.59765625" style="1" customWidth="1"/>
    <col min="10761" max="10761" width="12.69921875" style="1" customWidth="1"/>
    <col min="10762" max="10762" width="9" style="1"/>
    <col min="10763" max="10763" width="10" style="1" bestFit="1" customWidth="1"/>
    <col min="10764" max="11008" width="9" style="1"/>
    <col min="11009" max="11009" width="5" style="1" customWidth="1"/>
    <col min="11010" max="11010" width="17.8984375" style="1" bestFit="1" customWidth="1"/>
    <col min="11011" max="11011" width="23.59765625" style="1" customWidth="1"/>
    <col min="11012" max="11012" width="18.19921875" style="1" customWidth="1"/>
    <col min="11013" max="11013" width="5.19921875" style="1" customWidth="1"/>
    <col min="11014" max="11014" width="9" style="1"/>
    <col min="11015" max="11015" width="11.8984375" style="1" customWidth="1"/>
    <col min="11016" max="11016" width="13.59765625" style="1" customWidth="1"/>
    <col min="11017" max="11017" width="12.69921875" style="1" customWidth="1"/>
    <col min="11018" max="11018" width="9" style="1"/>
    <col min="11019" max="11019" width="10" style="1" bestFit="1" customWidth="1"/>
    <col min="11020" max="11264" width="9" style="1"/>
    <col min="11265" max="11265" width="5" style="1" customWidth="1"/>
    <col min="11266" max="11266" width="17.8984375" style="1" bestFit="1" customWidth="1"/>
    <col min="11267" max="11267" width="23.59765625" style="1" customWidth="1"/>
    <col min="11268" max="11268" width="18.19921875" style="1" customWidth="1"/>
    <col min="11269" max="11269" width="5.19921875" style="1" customWidth="1"/>
    <col min="11270" max="11270" width="9" style="1"/>
    <col min="11271" max="11271" width="11.8984375" style="1" customWidth="1"/>
    <col min="11272" max="11272" width="13.59765625" style="1" customWidth="1"/>
    <col min="11273" max="11273" width="12.69921875" style="1" customWidth="1"/>
    <col min="11274" max="11274" width="9" style="1"/>
    <col min="11275" max="11275" width="10" style="1" bestFit="1" customWidth="1"/>
    <col min="11276" max="11520" width="9" style="1"/>
    <col min="11521" max="11521" width="5" style="1" customWidth="1"/>
    <col min="11522" max="11522" width="17.8984375" style="1" bestFit="1" customWidth="1"/>
    <col min="11523" max="11523" width="23.59765625" style="1" customWidth="1"/>
    <col min="11524" max="11524" width="18.19921875" style="1" customWidth="1"/>
    <col min="11525" max="11525" width="5.19921875" style="1" customWidth="1"/>
    <col min="11526" max="11526" width="9" style="1"/>
    <col min="11527" max="11527" width="11.8984375" style="1" customWidth="1"/>
    <col min="11528" max="11528" width="13.59765625" style="1" customWidth="1"/>
    <col min="11529" max="11529" width="12.69921875" style="1" customWidth="1"/>
    <col min="11530" max="11530" width="9" style="1"/>
    <col min="11531" max="11531" width="10" style="1" bestFit="1" customWidth="1"/>
    <col min="11532" max="11776" width="9" style="1"/>
    <col min="11777" max="11777" width="5" style="1" customWidth="1"/>
    <col min="11778" max="11778" width="17.8984375" style="1" bestFit="1" customWidth="1"/>
    <col min="11779" max="11779" width="23.59765625" style="1" customWidth="1"/>
    <col min="11780" max="11780" width="18.19921875" style="1" customWidth="1"/>
    <col min="11781" max="11781" width="5.19921875" style="1" customWidth="1"/>
    <col min="11782" max="11782" width="9" style="1"/>
    <col min="11783" max="11783" width="11.8984375" style="1" customWidth="1"/>
    <col min="11784" max="11784" width="13.59765625" style="1" customWidth="1"/>
    <col min="11785" max="11785" width="12.69921875" style="1" customWidth="1"/>
    <col min="11786" max="11786" width="9" style="1"/>
    <col min="11787" max="11787" width="10" style="1" bestFit="1" customWidth="1"/>
    <col min="11788" max="12032" width="9" style="1"/>
    <col min="12033" max="12033" width="5" style="1" customWidth="1"/>
    <col min="12034" max="12034" width="17.8984375" style="1" bestFit="1" customWidth="1"/>
    <col min="12035" max="12035" width="23.59765625" style="1" customWidth="1"/>
    <col min="12036" max="12036" width="18.19921875" style="1" customWidth="1"/>
    <col min="12037" max="12037" width="5.19921875" style="1" customWidth="1"/>
    <col min="12038" max="12038" width="9" style="1"/>
    <col min="12039" max="12039" width="11.8984375" style="1" customWidth="1"/>
    <col min="12040" max="12040" width="13.59765625" style="1" customWidth="1"/>
    <col min="12041" max="12041" width="12.69921875" style="1" customWidth="1"/>
    <col min="12042" max="12042" width="9" style="1"/>
    <col min="12043" max="12043" width="10" style="1" bestFit="1" customWidth="1"/>
    <col min="12044" max="12288" width="9" style="1"/>
    <col min="12289" max="12289" width="5" style="1" customWidth="1"/>
    <col min="12290" max="12290" width="17.8984375" style="1" bestFit="1" customWidth="1"/>
    <col min="12291" max="12291" width="23.59765625" style="1" customWidth="1"/>
    <col min="12292" max="12292" width="18.19921875" style="1" customWidth="1"/>
    <col min="12293" max="12293" width="5.19921875" style="1" customWidth="1"/>
    <col min="12294" max="12294" width="9" style="1"/>
    <col min="12295" max="12295" width="11.8984375" style="1" customWidth="1"/>
    <col min="12296" max="12296" width="13.59765625" style="1" customWidth="1"/>
    <col min="12297" max="12297" width="12.69921875" style="1" customWidth="1"/>
    <col min="12298" max="12298" width="9" style="1"/>
    <col min="12299" max="12299" width="10" style="1" bestFit="1" customWidth="1"/>
    <col min="12300" max="12544" width="9" style="1"/>
    <col min="12545" max="12545" width="5" style="1" customWidth="1"/>
    <col min="12546" max="12546" width="17.8984375" style="1" bestFit="1" customWidth="1"/>
    <col min="12547" max="12547" width="23.59765625" style="1" customWidth="1"/>
    <col min="12548" max="12548" width="18.19921875" style="1" customWidth="1"/>
    <col min="12549" max="12549" width="5.19921875" style="1" customWidth="1"/>
    <col min="12550" max="12550" width="9" style="1"/>
    <col min="12551" max="12551" width="11.8984375" style="1" customWidth="1"/>
    <col min="12552" max="12552" width="13.59765625" style="1" customWidth="1"/>
    <col min="12553" max="12553" width="12.69921875" style="1" customWidth="1"/>
    <col min="12554" max="12554" width="9" style="1"/>
    <col min="12555" max="12555" width="10" style="1" bestFit="1" customWidth="1"/>
    <col min="12556" max="12800" width="9" style="1"/>
    <col min="12801" max="12801" width="5" style="1" customWidth="1"/>
    <col min="12802" max="12802" width="17.8984375" style="1" bestFit="1" customWidth="1"/>
    <col min="12803" max="12803" width="23.59765625" style="1" customWidth="1"/>
    <col min="12804" max="12804" width="18.19921875" style="1" customWidth="1"/>
    <col min="12805" max="12805" width="5.19921875" style="1" customWidth="1"/>
    <col min="12806" max="12806" width="9" style="1"/>
    <col min="12807" max="12807" width="11.8984375" style="1" customWidth="1"/>
    <col min="12808" max="12808" width="13.59765625" style="1" customWidth="1"/>
    <col min="12809" max="12809" width="12.69921875" style="1" customWidth="1"/>
    <col min="12810" max="12810" width="9" style="1"/>
    <col min="12811" max="12811" width="10" style="1" bestFit="1" customWidth="1"/>
    <col min="12812" max="13056" width="9" style="1"/>
    <col min="13057" max="13057" width="5" style="1" customWidth="1"/>
    <col min="13058" max="13058" width="17.8984375" style="1" bestFit="1" customWidth="1"/>
    <col min="13059" max="13059" width="23.59765625" style="1" customWidth="1"/>
    <col min="13060" max="13060" width="18.19921875" style="1" customWidth="1"/>
    <col min="13061" max="13061" width="5.19921875" style="1" customWidth="1"/>
    <col min="13062" max="13062" width="9" style="1"/>
    <col min="13063" max="13063" width="11.8984375" style="1" customWidth="1"/>
    <col min="13064" max="13064" width="13.59765625" style="1" customWidth="1"/>
    <col min="13065" max="13065" width="12.69921875" style="1" customWidth="1"/>
    <col min="13066" max="13066" width="9" style="1"/>
    <col min="13067" max="13067" width="10" style="1" bestFit="1" customWidth="1"/>
    <col min="13068" max="13312" width="9" style="1"/>
    <col min="13313" max="13313" width="5" style="1" customWidth="1"/>
    <col min="13314" max="13314" width="17.8984375" style="1" bestFit="1" customWidth="1"/>
    <col min="13315" max="13315" width="23.59765625" style="1" customWidth="1"/>
    <col min="13316" max="13316" width="18.19921875" style="1" customWidth="1"/>
    <col min="13317" max="13317" width="5.19921875" style="1" customWidth="1"/>
    <col min="13318" max="13318" width="9" style="1"/>
    <col min="13319" max="13319" width="11.8984375" style="1" customWidth="1"/>
    <col min="13320" max="13320" width="13.59765625" style="1" customWidth="1"/>
    <col min="13321" max="13321" width="12.69921875" style="1" customWidth="1"/>
    <col min="13322" max="13322" width="9" style="1"/>
    <col min="13323" max="13323" width="10" style="1" bestFit="1" customWidth="1"/>
    <col min="13324" max="13568" width="9" style="1"/>
    <col min="13569" max="13569" width="5" style="1" customWidth="1"/>
    <col min="13570" max="13570" width="17.8984375" style="1" bestFit="1" customWidth="1"/>
    <col min="13571" max="13571" width="23.59765625" style="1" customWidth="1"/>
    <col min="13572" max="13572" width="18.19921875" style="1" customWidth="1"/>
    <col min="13573" max="13573" width="5.19921875" style="1" customWidth="1"/>
    <col min="13574" max="13574" width="9" style="1"/>
    <col min="13575" max="13575" width="11.8984375" style="1" customWidth="1"/>
    <col min="13576" max="13576" width="13.59765625" style="1" customWidth="1"/>
    <col min="13577" max="13577" width="12.69921875" style="1" customWidth="1"/>
    <col min="13578" max="13578" width="9" style="1"/>
    <col min="13579" max="13579" width="10" style="1" bestFit="1" customWidth="1"/>
    <col min="13580" max="13824" width="9" style="1"/>
    <col min="13825" max="13825" width="5" style="1" customWidth="1"/>
    <col min="13826" max="13826" width="17.8984375" style="1" bestFit="1" customWidth="1"/>
    <col min="13827" max="13827" width="23.59765625" style="1" customWidth="1"/>
    <col min="13828" max="13828" width="18.19921875" style="1" customWidth="1"/>
    <col min="13829" max="13829" width="5.19921875" style="1" customWidth="1"/>
    <col min="13830" max="13830" width="9" style="1"/>
    <col min="13831" max="13831" width="11.8984375" style="1" customWidth="1"/>
    <col min="13832" max="13832" width="13.59765625" style="1" customWidth="1"/>
    <col min="13833" max="13833" width="12.69921875" style="1" customWidth="1"/>
    <col min="13834" max="13834" width="9" style="1"/>
    <col min="13835" max="13835" width="10" style="1" bestFit="1" customWidth="1"/>
    <col min="13836" max="14080" width="9" style="1"/>
    <col min="14081" max="14081" width="5" style="1" customWidth="1"/>
    <col min="14082" max="14082" width="17.8984375" style="1" bestFit="1" customWidth="1"/>
    <col min="14083" max="14083" width="23.59765625" style="1" customWidth="1"/>
    <col min="14084" max="14084" width="18.19921875" style="1" customWidth="1"/>
    <col min="14085" max="14085" width="5.19921875" style="1" customWidth="1"/>
    <col min="14086" max="14086" width="9" style="1"/>
    <col min="14087" max="14087" width="11.8984375" style="1" customWidth="1"/>
    <col min="14088" max="14088" width="13.59765625" style="1" customWidth="1"/>
    <col min="14089" max="14089" width="12.69921875" style="1" customWidth="1"/>
    <col min="14090" max="14090" width="9" style="1"/>
    <col min="14091" max="14091" width="10" style="1" bestFit="1" customWidth="1"/>
    <col min="14092" max="14336" width="9" style="1"/>
    <col min="14337" max="14337" width="5" style="1" customWidth="1"/>
    <col min="14338" max="14338" width="17.8984375" style="1" bestFit="1" customWidth="1"/>
    <col min="14339" max="14339" width="23.59765625" style="1" customWidth="1"/>
    <col min="14340" max="14340" width="18.19921875" style="1" customWidth="1"/>
    <col min="14341" max="14341" width="5.19921875" style="1" customWidth="1"/>
    <col min="14342" max="14342" width="9" style="1"/>
    <col min="14343" max="14343" width="11.8984375" style="1" customWidth="1"/>
    <col min="14344" max="14344" width="13.59765625" style="1" customWidth="1"/>
    <col min="14345" max="14345" width="12.69921875" style="1" customWidth="1"/>
    <col min="14346" max="14346" width="9" style="1"/>
    <col min="14347" max="14347" width="10" style="1" bestFit="1" customWidth="1"/>
    <col min="14348" max="14592" width="9" style="1"/>
    <col min="14593" max="14593" width="5" style="1" customWidth="1"/>
    <col min="14594" max="14594" width="17.8984375" style="1" bestFit="1" customWidth="1"/>
    <col min="14595" max="14595" width="23.59765625" style="1" customWidth="1"/>
    <col min="14596" max="14596" width="18.19921875" style="1" customWidth="1"/>
    <col min="14597" max="14597" width="5.19921875" style="1" customWidth="1"/>
    <col min="14598" max="14598" width="9" style="1"/>
    <col min="14599" max="14599" width="11.8984375" style="1" customWidth="1"/>
    <col min="14600" max="14600" width="13.59765625" style="1" customWidth="1"/>
    <col min="14601" max="14601" width="12.69921875" style="1" customWidth="1"/>
    <col min="14602" max="14602" width="9" style="1"/>
    <col min="14603" max="14603" width="10" style="1" bestFit="1" customWidth="1"/>
    <col min="14604" max="14848" width="9" style="1"/>
    <col min="14849" max="14849" width="5" style="1" customWidth="1"/>
    <col min="14850" max="14850" width="17.8984375" style="1" bestFit="1" customWidth="1"/>
    <col min="14851" max="14851" width="23.59765625" style="1" customWidth="1"/>
    <col min="14852" max="14852" width="18.19921875" style="1" customWidth="1"/>
    <col min="14853" max="14853" width="5.19921875" style="1" customWidth="1"/>
    <col min="14854" max="14854" width="9" style="1"/>
    <col min="14855" max="14855" width="11.8984375" style="1" customWidth="1"/>
    <col min="14856" max="14856" width="13.59765625" style="1" customWidth="1"/>
    <col min="14857" max="14857" width="12.69921875" style="1" customWidth="1"/>
    <col min="14858" max="14858" width="9" style="1"/>
    <col min="14859" max="14859" width="10" style="1" bestFit="1" customWidth="1"/>
    <col min="14860" max="15104" width="9" style="1"/>
    <col min="15105" max="15105" width="5" style="1" customWidth="1"/>
    <col min="15106" max="15106" width="17.8984375" style="1" bestFit="1" customWidth="1"/>
    <col min="15107" max="15107" width="23.59765625" style="1" customWidth="1"/>
    <col min="15108" max="15108" width="18.19921875" style="1" customWidth="1"/>
    <col min="15109" max="15109" width="5.19921875" style="1" customWidth="1"/>
    <col min="15110" max="15110" width="9" style="1"/>
    <col min="15111" max="15111" width="11.8984375" style="1" customWidth="1"/>
    <col min="15112" max="15112" width="13.59765625" style="1" customWidth="1"/>
    <col min="15113" max="15113" width="12.69921875" style="1" customWidth="1"/>
    <col min="15114" max="15114" width="9" style="1"/>
    <col min="15115" max="15115" width="10" style="1" bestFit="1" customWidth="1"/>
    <col min="15116" max="15360" width="9" style="1"/>
    <col min="15361" max="15361" width="5" style="1" customWidth="1"/>
    <col min="15362" max="15362" width="17.8984375" style="1" bestFit="1" customWidth="1"/>
    <col min="15363" max="15363" width="23.59765625" style="1" customWidth="1"/>
    <col min="15364" max="15364" width="18.19921875" style="1" customWidth="1"/>
    <col min="15365" max="15365" width="5.19921875" style="1" customWidth="1"/>
    <col min="15366" max="15366" width="9" style="1"/>
    <col min="15367" max="15367" width="11.8984375" style="1" customWidth="1"/>
    <col min="15368" max="15368" width="13.59765625" style="1" customWidth="1"/>
    <col min="15369" max="15369" width="12.69921875" style="1" customWidth="1"/>
    <col min="15370" max="15370" width="9" style="1"/>
    <col min="15371" max="15371" width="10" style="1" bestFit="1" customWidth="1"/>
    <col min="15372" max="15616" width="9" style="1"/>
    <col min="15617" max="15617" width="5" style="1" customWidth="1"/>
    <col min="15618" max="15618" width="17.8984375" style="1" bestFit="1" customWidth="1"/>
    <col min="15619" max="15619" width="23.59765625" style="1" customWidth="1"/>
    <col min="15620" max="15620" width="18.19921875" style="1" customWidth="1"/>
    <col min="15621" max="15621" width="5.19921875" style="1" customWidth="1"/>
    <col min="15622" max="15622" width="9" style="1"/>
    <col min="15623" max="15623" width="11.8984375" style="1" customWidth="1"/>
    <col min="15624" max="15624" width="13.59765625" style="1" customWidth="1"/>
    <col min="15625" max="15625" width="12.69921875" style="1" customWidth="1"/>
    <col min="15626" max="15626" width="9" style="1"/>
    <col min="15627" max="15627" width="10" style="1" bestFit="1" customWidth="1"/>
    <col min="15628" max="15872" width="9" style="1"/>
    <col min="15873" max="15873" width="5" style="1" customWidth="1"/>
    <col min="15874" max="15874" width="17.8984375" style="1" bestFit="1" customWidth="1"/>
    <col min="15875" max="15875" width="23.59765625" style="1" customWidth="1"/>
    <col min="15876" max="15876" width="18.19921875" style="1" customWidth="1"/>
    <col min="15877" max="15877" width="5.19921875" style="1" customWidth="1"/>
    <col min="15878" max="15878" width="9" style="1"/>
    <col min="15879" max="15879" width="11.8984375" style="1" customWidth="1"/>
    <col min="15880" max="15880" width="13.59765625" style="1" customWidth="1"/>
    <col min="15881" max="15881" width="12.69921875" style="1" customWidth="1"/>
    <col min="15882" max="15882" width="9" style="1"/>
    <col min="15883" max="15883" width="10" style="1" bestFit="1" customWidth="1"/>
    <col min="15884" max="16128" width="9" style="1"/>
    <col min="16129" max="16129" width="5" style="1" customWidth="1"/>
    <col min="16130" max="16130" width="17.8984375" style="1" bestFit="1" customWidth="1"/>
    <col min="16131" max="16131" width="23.59765625" style="1" customWidth="1"/>
    <col min="16132" max="16132" width="18.19921875" style="1" customWidth="1"/>
    <col min="16133" max="16133" width="5.19921875" style="1" customWidth="1"/>
    <col min="16134" max="16134" width="9" style="1"/>
    <col min="16135" max="16135" width="11.8984375" style="1" customWidth="1"/>
    <col min="16136" max="16136" width="13.59765625" style="1" customWidth="1"/>
    <col min="16137" max="16137" width="12.69921875" style="1" customWidth="1"/>
    <col min="16138" max="16138" width="9" style="1"/>
    <col min="16139" max="16139" width="10" style="1" bestFit="1" customWidth="1"/>
    <col min="16140" max="16384" width="9" style="1"/>
  </cols>
  <sheetData>
    <row r="1" spans="1:11" ht="22.5" customHeight="1">
      <c r="B1" s="202" t="s">
        <v>161</v>
      </c>
      <c r="C1" s="285" t="s">
        <v>162</v>
      </c>
      <c r="F1" s="204"/>
      <c r="I1" s="1" t="s">
        <v>128</v>
      </c>
      <c r="K1" s="286"/>
    </row>
    <row r="2" spans="1:11" s="26" customFormat="1" ht="16.5" customHeight="1">
      <c r="A2" s="384" t="s">
        <v>129</v>
      </c>
      <c r="B2" s="386"/>
      <c r="C2" s="131" t="s">
        <v>130</v>
      </c>
      <c r="D2" s="126" t="s">
        <v>131</v>
      </c>
      <c r="E2" s="126" t="s">
        <v>48</v>
      </c>
      <c r="F2" s="268" t="s">
        <v>49</v>
      </c>
      <c r="G2" s="268" t="s">
        <v>132</v>
      </c>
      <c r="H2" s="268" t="s">
        <v>133</v>
      </c>
      <c r="I2" s="126" t="s">
        <v>134</v>
      </c>
    </row>
    <row r="3" spans="1:11" ht="15.9" customHeight="1">
      <c r="A3" s="479" t="s">
        <v>135</v>
      </c>
      <c r="B3" s="208" t="s">
        <v>136</v>
      </c>
      <c r="C3" s="287" t="s">
        <v>163</v>
      </c>
      <c r="D3" s="288"/>
      <c r="E3" s="216"/>
      <c r="F3" s="217"/>
      <c r="G3" s="218"/>
      <c r="H3" s="167"/>
      <c r="I3" s="289"/>
    </row>
    <row r="4" spans="1:11" ht="15.9" customHeight="1">
      <c r="A4" s="480"/>
      <c r="B4" s="208"/>
      <c r="C4" s="215" t="s">
        <v>164</v>
      </c>
      <c r="D4" s="288" t="s">
        <v>165</v>
      </c>
      <c r="E4" s="216" t="s">
        <v>145</v>
      </c>
      <c r="F4" s="217">
        <v>1</v>
      </c>
      <c r="G4" s="218">
        <v>21000000</v>
      </c>
      <c r="H4" s="167">
        <f>IF(F4=0,G4,G4*F4)</f>
        <v>21000000</v>
      </c>
      <c r="I4" s="290"/>
    </row>
    <row r="5" spans="1:11" ht="15.9" customHeight="1">
      <c r="A5" s="480"/>
      <c r="B5" s="208"/>
      <c r="C5" s="291" t="s">
        <v>164</v>
      </c>
      <c r="D5" s="292" t="s">
        <v>166</v>
      </c>
      <c r="E5" s="293" t="s">
        <v>145</v>
      </c>
      <c r="F5" s="294">
        <v>1</v>
      </c>
      <c r="G5" s="295">
        <v>5290000</v>
      </c>
      <c r="H5" s="167">
        <f t="shared" ref="H5:H16" si="0">F5*G5</f>
        <v>5290000</v>
      </c>
      <c r="I5" s="290"/>
    </row>
    <row r="6" spans="1:11" ht="15.9" customHeight="1">
      <c r="A6" s="480"/>
      <c r="B6" s="208"/>
      <c r="C6" s="296" t="s">
        <v>167</v>
      </c>
      <c r="D6" s="288" t="s">
        <v>168</v>
      </c>
      <c r="E6" s="297" t="s">
        <v>145</v>
      </c>
      <c r="F6" s="298">
        <v>1</v>
      </c>
      <c r="G6" s="299">
        <v>5040000</v>
      </c>
      <c r="H6" s="167">
        <f t="shared" si="0"/>
        <v>5040000</v>
      </c>
      <c r="I6" s="290"/>
    </row>
    <row r="7" spans="1:11" ht="15.9" customHeight="1">
      <c r="A7" s="480"/>
      <c r="B7" s="208"/>
      <c r="C7" s="296" t="s">
        <v>169</v>
      </c>
      <c r="D7" s="288" t="s">
        <v>170</v>
      </c>
      <c r="E7" s="297" t="s">
        <v>145</v>
      </c>
      <c r="F7" s="298">
        <v>1</v>
      </c>
      <c r="G7" s="299">
        <v>3640000</v>
      </c>
      <c r="H7" s="167">
        <f t="shared" si="0"/>
        <v>3640000</v>
      </c>
      <c r="I7" s="290"/>
    </row>
    <row r="8" spans="1:11" ht="15.9" customHeight="1">
      <c r="A8" s="480"/>
      <c r="B8" s="208"/>
      <c r="C8" s="296" t="s">
        <v>169</v>
      </c>
      <c r="D8" s="288" t="s">
        <v>171</v>
      </c>
      <c r="E8" s="297" t="s">
        <v>145</v>
      </c>
      <c r="F8" s="298">
        <v>1</v>
      </c>
      <c r="G8" s="299">
        <v>4410000</v>
      </c>
      <c r="H8" s="167">
        <f t="shared" si="0"/>
        <v>4410000</v>
      </c>
      <c r="I8" s="290"/>
    </row>
    <row r="9" spans="1:11" ht="15.9" customHeight="1">
      <c r="A9" s="480"/>
      <c r="B9" s="208"/>
      <c r="C9" s="291" t="s">
        <v>169</v>
      </c>
      <c r="D9" s="292" t="s">
        <v>172</v>
      </c>
      <c r="E9" s="293" t="s">
        <v>145</v>
      </c>
      <c r="F9" s="294">
        <v>1</v>
      </c>
      <c r="G9" s="295">
        <v>2210000</v>
      </c>
      <c r="H9" s="167">
        <f t="shared" si="0"/>
        <v>2210000</v>
      </c>
      <c r="I9" s="290"/>
    </row>
    <row r="10" spans="1:11" ht="15.9" customHeight="1">
      <c r="A10" s="480"/>
      <c r="B10" s="208"/>
      <c r="C10" s="296" t="s">
        <v>173</v>
      </c>
      <c r="D10" s="288" t="s">
        <v>174</v>
      </c>
      <c r="E10" s="297" t="s">
        <v>145</v>
      </c>
      <c r="F10" s="298">
        <v>1</v>
      </c>
      <c r="G10" s="299">
        <v>4640000</v>
      </c>
      <c r="H10" s="167">
        <f t="shared" si="0"/>
        <v>4640000</v>
      </c>
      <c r="I10" s="290"/>
    </row>
    <row r="11" spans="1:11" ht="15.9" customHeight="1">
      <c r="A11" s="480"/>
      <c r="B11" s="208"/>
      <c r="C11" s="296" t="s">
        <v>175</v>
      </c>
      <c r="D11" s="288" t="s">
        <v>176</v>
      </c>
      <c r="E11" s="297" t="s">
        <v>145</v>
      </c>
      <c r="F11" s="298">
        <v>1</v>
      </c>
      <c r="G11" s="299">
        <v>2730000</v>
      </c>
      <c r="H11" s="167">
        <f t="shared" si="0"/>
        <v>2730000</v>
      </c>
      <c r="I11" s="290"/>
    </row>
    <row r="12" spans="1:11" ht="15.9" customHeight="1">
      <c r="A12" s="480"/>
      <c r="B12" s="208"/>
      <c r="C12" s="291" t="s">
        <v>175</v>
      </c>
      <c r="D12" s="292" t="s">
        <v>177</v>
      </c>
      <c r="E12" s="293" t="s">
        <v>145</v>
      </c>
      <c r="F12" s="294">
        <v>1</v>
      </c>
      <c r="G12" s="295">
        <v>1160000</v>
      </c>
      <c r="H12" s="167">
        <f t="shared" si="0"/>
        <v>1160000</v>
      </c>
      <c r="I12" s="290"/>
    </row>
    <row r="13" spans="1:11" ht="15.9" customHeight="1">
      <c r="A13" s="480"/>
      <c r="B13" s="208"/>
      <c r="C13" s="296" t="s">
        <v>178</v>
      </c>
      <c r="D13" s="288" t="s">
        <v>179</v>
      </c>
      <c r="E13" s="297" t="s">
        <v>145</v>
      </c>
      <c r="F13" s="298">
        <v>1</v>
      </c>
      <c r="G13" s="299">
        <v>5510000</v>
      </c>
      <c r="H13" s="167">
        <f t="shared" si="0"/>
        <v>5510000</v>
      </c>
      <c r="I13" s="290"/>
    </row>
    <row r="14" spans="1:11" ht="15.9" customHeight="1">
      <c r="A14" s="480"/>
      <c r="B14" s="208"/>
      <c r="C14" s="296" t="s">
        <v>180</v>
      </c>
      <c r="D14" s="288" t="s">
        <v>181</v>
      </c>
      <c r="E14" s="297" t="s">
        <v>145</v>
      </c>
      <c r="F14" s="298">
        <v>1</v>
      </c>
      <c r="G14" s="299">
        <v>2100000</v>
      </c>
      <c r="H14" s="167">
        <f t="shared" si="0"/>
        <v>2100000</v>
      </c>
      <c r="I14" s="39"/>
    </row>
    <row r="15" spans="1:11" ht="15.9" customHeight="1">
      <c r="A15" s="480"/>
      <c r="B15" s="208"/>
      <c r="C15" s="296" t="s">
        <v>182</v>
      </c>
      <c r="D15" s="288" t="s">
        <v>183</v>
      </c>
      <c r="E15" s="297" t="s">
        <v>145</v>
      </c>
      <c r="F15" s="298">
        <v>1</v>
      </c>
      <c r="G15" s="299">
        <v>840000</v>
      </c>
      <c r="H15" s="167">
        <f t="shared" si="0"/>
        <v>840000</v>
      </c>
      <c r="I15" s="214"/>
    </row>
    <row r="16" spans="1:11" ht="15.9" customHeight="1">
      <c r="A16" s="480"/>
      <c r="B16" s="208"/>
      <c r="C16" s="296" t="s">
        <v>184</v>
      </c>
      <c r="D16" s="288"/>
      <c r="E16" s="297" t="s">
        <v>145</v>
      </c>
      <c r="F16" s="298">
        <v>1</v>
      </c>
      <c r="G16" s="299">
        <v>1580000</v>
      </c>
      <c r="H16" s="167">
        <f t="shared" si="0"/>
        <v>1580000</v>
      </c>
      <c r="I16" s="39"/>
    </row>
    <row r="17" spans="1:9" ht="15.9" customHeight="1">
      <c r="A17" s="480"/>
      <c r="B17" s="208"/>
      <c r="C17" s="296"/>
      <c r="D17" s="288"/>
      <c r="E17" s="297"/>
      <c r="F17" s="298"/>
      <c r="G17" s="299"/>
      <c r="H17" s="167"/>
      <c r="I17" s="39"/>
    </row>
    <row r="18" spans="1:9" ht="15.9" customHeight="1">
      <c r="A18" s="480"/>
      <c r="B18" s="208"/>
      <c r="C18" s="300" t="s">
        <v>185</v>
      </c>
      <c r="D18" s="288"/>
      <c r="E18" s="297"/>
      <c r="F18" s="298"/>
      <c r="G18" s="299"/>
      <c r="H18" s="167"/>
      <c r="I18" s="39"/>
    </row>
    <row r="19" spans="1:9" ht="15.9" customHeight="1">
      <c r="A19" s="480"/>
      <c r="B19" s="208"/>
      <c r="C19" s="296" t="s">
        <v>186</v>
      </c>
      <c r="D19" s="288" t="s">
        <v>187</v>
      </c>
      <c r="E19" s="297" t="s">
        <v>145</v>
      </c>
      <c r="F19" s="298">
        <v>1</v>
      </c>
      <c r="G19" s="299">
        <v>16800000</v>
      </c>
      <c r="H19" s="167">
        <f>F19*G19</f>
        <v>16800000</v>
      </c>
      <c r="I19" s="290"/>
    </row>
    <row r="20" spans="1:9" ht="15.9" customHeight="1">
      <c r="A20" s="480"/>
      <c r="B20" s="208"/>
      <c r="C20" s="296" t="s">
        <v>188</v>
      </c>
      <c r="D20" s="288" t="s">
        <v>189</v>
      </c>
      <c r="E20" s="293" t="s">
        <v>145</v>
      </c>
      <c r="F20" s="298">
        <v>1</v>
      </c>
      <c r="G20" s="299">
        <v>33600000</v>
      </c>
      <c r="H20" s="167">
        <f>F20*G20</f>
        <v>33600000</v>
      </c>
      <c r="I20" s="290"/>
    </row>
    <row r="21" spans="1:9" ht="15.9" customHeight="1">
      <c r="A21" s="480"/>
      <c r="B21" s="208"/>
      <c r="C21" s="215" t="s">
        <v>190</v>
      </c>
      <c r="D21" s="288" t="s">
        <v>191</v>
      </c>
      <c r="E21" s="297" t="s">
        <v>145</v>
      </c>
      <c r="F21" s="217">
        <v>1</v>
      </c>
      <c r="G21" s="218">
        <v>28350000</v>
      </c>
      <c r="H21" s="167">
        <f>IF(F21=0,G21,G21*F21)</f>
        <v>28350000</v>
      </c>
      <c r="I21" s="290"/>
    </row>
    <row r="22" spans="1:9" ht="15.9" customHeight="1">
      <c r="A22" s="480"/>
      <c r="B22" s="208"/>
      <c r="C22" s="291" t="s">
        <v>192</v>
      </c>
      <c r="D22" s="292" t="s">
        <v>187</v>
      </c>
      <c r="E22" s="297" t="s">
        <v>145</v>
      </c>
      <c r="F22" s="294">
        <v>1</v>
      </c>
      <c r="G22" s="295">
        <v>16800000</v>
      </c>
      <c r="H22" s="167">
        <f t="shared" ref="H22:H32" si="1">F22*G22</f>
        <v>16800000</v>
      </c>
      <c r="I22" s="290"/>
    </row>
    <row r="23" spans="1:9" ht="15.9" customHeight="1">
      <c r="A23" s="480"/>
      <c r="B23" s="208"/>
      <c r="C23" s="296" t="s">
        <v>193</v>
      </c>
      <c r="D23" s="288" t="s">
        <v>194</v>
      </c>
      <c r="E23" s="297" t="s">
        <v>145</v>
      </c>
      <c r="F23" s="298">
        <v>1</v>
      </c>
      <c r="G23" s="299">
        <v>6300000</v>
      </c>
      <c r="H23" s="167">
        <f t="shared" si="1"/>
        <v>6300000</v>
      </c>
      <c r="I23" s="290"/>
    </row>
    <row r="24" spans="1:9" ht="15.9" customHeight="1">
      <c r="A24" s="480"/>
      <c r="B24" s="208"/>
      <c r="C24" s="296" t="s">
        <v>195</v>
      </c>
      <c r="D24" s="288" t="s">
        <v>194</v>
      </c>
      <c r="E24" s="297" t="s">
        <v>145</v>
      </c>
      <c r="F24" s="298">
        <v>1</v>
      </c>
      <c r="G24" s="299">
        <v>6300000</v>
      </c>
      <c r="H24" s="167">
        <f t="shared" si="1"/>
        <v>6300000</v>
      </c>
      <c r="I24" s="290"/>
    </row>
    <row r="25" spans="1:9" ht="15.9" customHeight="1">
      <c r="A25" s="480"/>
      <c r="B25" s="208"/>
      <c r="C25" s="296" t="s">
        <v>196</v>
      </c>
      <c r="D25" s="288" t="s">
        <v>197</v>
      </c>
      <c r="E25" s="297" t="s">
        <v>145</v>
      </c>
      <c r="F25" s="298">
        <v>2</v>
      </c>
      <c r="G25" s="299">
        <v>5250000</v>
      </c>
      <c r="H25" s="167">
        <f t="shared" si="1"/>
        <v>10500000</v>
      </c>
      <c r="I25" s="290"/>
    </row>
    <row r="26" spans="1:9" ht="15.9" customHeight="1">
      <c r="A26" s="480"/>
      <c r="B26" s="208"/>
      <c r="C26" s="291"/>
      <c r="D26" s="291"/>
      <c r="E26" s="293"/>
      <c r="F26" s="294"/>
      <c r="G26" s="295"/>
      <c r="H26" s="167"/>
      <c r="I26" s="290"/>
    </row>
    <row r="27" spans="1:9" ht="15.9" customHeight="1">
      <c r="A27" s="480"/>
      <c r="B27" s="208"/>
      <c r="C27" s="300" t="s">
        <v>198</v>
      </c>
      <c r="D27" s="296"/>
      <c r="E27" s="297"/>
      <c r="F27" s="298"/>
      <c r="G27" s="299"/>
      <c r="H27" s="167"/>
      <c r="I27" s="290"/>
    </row>
    <row r="28" spans="1:9" ht="15.9" customHeight="1">
      <c r="A28" s="480"/>
      <c r="B28" s="208"/>
      <c r="C28" s="296" t="s">
        <v>169</v>
      </c>
      <c r="D28" s="296" t="s">
        <v>199</v>
      </c>
      <c r="E28" s="297" t="s">
        <v>145</v>
      </c>
      <c r="F28" s="298">
        <v>2</v>
      </c>
      <c r="G28" s="299">
        <v>880000</v>
      </c>
      <c r="H28" s="167">
        <f t="shared" si="1"/>
        <v>1760000</v>
      </c>
      <c r="I28" s="290"/>
    </row>
    <row r="29" spans="1:9" ht="15.9" customHeight="1">
      <c r="A29" s="480"/>
      <c r="B29" s="208"/>
      <c r="C29" s="296" t="s">
        <v>200</v>
      </c>
      <c r="D29" s="296" t="s">
        <v>201</v>
      </c>
      <c r="E29" s="297" t="s">
        <v>145</v>
      </c>
      <c r="F29" s="298">
        <v>2</v>
      </c>
      <c r="G29" s="299">
        <v>330000</v>
      </c>
      <c r="H29" s="167">
        <f t="shared" si="1"/>
        <v>660000</v>
      </c>
      <c r="I29" s="39"/>
    </row>
    <row r="30" spans="1:9" ht="15.9" customHeight="1">
      <c r="A30" s="480"/>
      <c r="B30" s="208"/>
      <c r="C30" s="296" t="s">
        <v>173</v>
      </c>
      <c r="D30" s="296" t="s">
        <v>202</v>
      </c>
      <c r="E30" s="297" t="s">
        <v>145</v>
      </c>
      <c r="F30" s="298">
        <v>2</v>
      </c>
      <c r="G30" s="299">
        <v>1320000</v>
      </c>
      <c r="H30" s="167">
        <f t="shared" si="1"/>
        <v>2640000</v>
      </c>
      <c r="I30" s="214"/>
    </row>
    <row r="31" spans="1:9" ht="15.9" customHeight="1">
      <c r="A31" s="480"/>
      <c r="B31" s="208"/>
      <c r="C31" s="296" t="s">
        <v>173</v>
      </c>
      <c r="D31" s="296" t="s">
        <v>203</v>
      </c>
      <c r="E31" s="297" t="s">
        <v>145</v>
      </c>
      <c r="F31" s="298">
        <v>2</v>
      </c>
      <c r="G31" s="299">
        <v>840000</v>
      </c>
      <c r="H31" s="167">
        <f t="shared" si="1"/>
        <v>1680000</v>
      </c>
      <c r="I31" s="39"/>
    </row>
    <row r="32" spans="1:9" ht="15.9" customHeight="1">
      <c r="A32" s="480"/>
      <c r="B32" s="208"/>
      <c r="C32" s="296" t="s">
        <v>204</v>
      </c>
      <c r="D32" s="296"/>
      <c r="E32" s="297" t="s">
        <v>145</v>
      </c>
      <c r="F32" s="298">
        <v>2</v>
      </c>
      <c r="G32" s="299">
        <v>530000</v>
      </c>
      <c r="H32" s="167">
        <f t="shared" si="1"/>
        <v>1060000</v>
      </c>
      <c r="I32" s="39"/>
    </row>
    <row r="33" spans="1:9" ht="15.9" customHeight="1">
      <c r="A33" s="480"/>
      <c r="B33" s="208"/>
      <c r="C33" s="215"/>
      <c r="D33" s="215"/>
      <c r="E33" s="216"/>
      <c r="F33" s="217"/>
      <c r="G33" s="218"/>
      <c r="H33" s="167"/>
      <c r="I33" s="39"/>
    </row>
    <row r="34" spans="1:9" ht="15.9" customHeight="1">
      <c r="A34" s="480"/>
      <c r="B34" s="208"/>
      <c r="C34" s="300" t="s">
        <v>205</v>
      </c>
      <c r="D34" s="296"/>
      <c r="E34" s="297"/>
      <c r="F34" s="298"/>
      <c r="G34" s="299"/>
      <c r="H34" s="167"/>
      <c r="I34" s="290"/>
    </row>
    <row r="35" spans="1:9" ht="15.9" customHeight="1">
      <c r="A35" s="480"/>
      <c r="B35" s="208"/>
      <c r="C35" s="296" t="s">
        <v>206</v>
      </c>
      <c r="D35" s="296" t="s">
        <v>207</v>
      </c>
      <c r="E35" s="297" t="s">
        <v>145</v>
      </c>
      <c r="F35" s="298">
        <v>1</v>
      </c>
      <c r="G35" s="299">
        <v>1950000</v>
      </c>
      <c r="H35" s="167">
        <f t="shared" ref="H35:H98" si="2">F35*G35</f>
        <v>1950000</v>
      </c>
      <c r="I35" s="290"/>
    </row>
    <row r="36" spans="1:9" ht="15.9" customHeight="1">
      <c r="A36" s="480"/>
      <c r="B36" s="208"/>
      <c r="C36" s="296"/>
      <c r="D36" s="296"/>
      <c r="E36" s="297"/>
      <c r="F36" s="298"/>
      <c r="G36" s="299"/>
      <c r="H36" s="167"/>
      <c r="I36" s="290"/>
    </row>
    <row r="37" spans="1:9" ht="15.9" customHeight="1">
      <c r="A37" s="480"/>
      <c r="B37" s="208"/>
      <c r="C37" s="300" t="s">
        <v>208</v>
      </c>
      <c r="D37" s="296"/>
      <c r="E37" s="297"/>
      <c r="F37" s="298"/>
      <c r="G37" s="299"/>
      <c r="H37" s="167"/>
      <c r="I37" s="290"/>
    </row>
    <row r="38" spans="1:9" ht="15.9" customHeight="1">
      <c r="A38" s="480"/>
      <c r="B38" s="208"/>
      <c r="C38" s="291" t="s">
        <v>200</v>
      </c>
      <c r="D38" s="291" t="s">
        <v>209</v>
      </c>
      <c r="E38" s="293" t="s">
        <v>145</v>
      </c>
      <c r="F38" s="294">
        <v>2</v>
      </c>
      <c r="G38" s="295">
        <v>1760000</v>
      </c>
      <c r="H38" s="167">
        <f t="shared" si="2"/>
        <v>3520000</v>
      </c>
      <c r="I38" s="290"/>
    </row>
    <row r="39" spans="1:9" ht="15.9" customHeight="1">
      <c r="A39" s="480"/>
      <c r="B39" s="208"/>
      <c r="C39" s="296" t="s">
        <v>169</v>
      </c>
      <c r="D39" s="296" t="s">
        <v>210</v>
      </c>
      <c r="E39" s="297" t="s">
        <v>145</v>
      </c>
      <c r="F39" s="298">
        <v>2</v>
      </c>
      <c r="G39" s="299">
        <v>660000</v>
      </c>
      <c r="H39" s="167">
        <f t="shared" si="2"/>
        <v>1320000</v>
      </c>
      <c r="I39" s="290"/>
    </row>
    <row r="40" spans="1:9" ht="15.9" customHeight="1">
      <c r="A40" s="480"/>
      <c r="B40" s="208"/>
      <c r="C40" s="296" t="s">
        <v>211</v>
      </c>
      <c r="D40" s="296"/>
      <c r="E40" s="297" t="s">
        <v>145</v>
      </c>
      <c r="F40" s="298">
        <v>2</v>
      </c>
      <c r="G40" s="299">
        <v>420000</v>
      </c>
      <c r="H40" s="167">
        <f t="shared" si="2"/>
        <v>840000</v>
      </c>
      <c r="I40" s="290"/>
    </row>
    <row r="41" spans="1:9" ht="15.9" customHeight="1">
      <c r="A41" s="480"/>
      <c r="B41" s="208"/>
      <c r="C41" s="291" t="s">
        <v>173</v>
      </c>
      <c r="D41" s="291" t="s">
        <v>212</v>
      </c>
      <c r="E41" s="293" t="s">
        <v>145</v>
      </c>
      <c r="F41" s="294">
        <v>2</v>
      </c>
      <c r="G41" s="295">
        <v>1100000</v>
      </c>
      <c r="H41" s="167">
        <f t="shared" si="2"/>
        <v>2200000</v>
      </c>
      <c r="I41" s="290"/>
    </row>
    <row r="42" spans="1:9" ht="15.9" customHeight="1">
      <c r="A42" s="480"/>
      <c r="B42" s="208"/>
      <c r="C42" s="296" t="s">
        <v>213</v>
      </c>
      <c r="D42" s="296"/>
      <c r="E42" s="297" t="s">
        <v>145</v>
      </c>
      <c r="F42" s="298">
        <v>2</v>
      </c>
      <c r="G42" s="299">
        <v>630000</v>
      </c>
      <c r="H42" s="167">
        <f t="shared" si="2"/>
        <v>1260000</v>
      </c>
      <c r="I42" s="290"/>
    </row>
    <row r="43" spans="1:9" ht="15.9" customHeight="1">
      <c r="A43" s="480"/>
      <c r="B43" s="208"/>
      <c r="C43" s="296" t="s">
        <v>204</v>
      </c>
      <c r="D43" s="296"/>
      <c r="E43" s="297" t="s">
        <v>145</v>
      </c>
      <c r="F43" s="298">
        <v>2</v>
      </c>
      <c r="G43" s="299">
        <v>320000</v>
      </c>
      <c r="H43" s="167">
        <f t="shared" si="2"/>
        <v>640000</v>
      </c>
      <c r="I43" s="290"/>
    </row>
    <row r="44" spans="1:9" ht="15.9" customHeight="1">
      <c r="A44" s="480"/>
      <c r="B44" s="208"/>
      <c r="C44" s="296"/>
      <c r="D44" s="296"/>
      <c r="E44" s="297"/>
      <c r="F44" s="298"/>
      <c r="G44" s="299"/>
      <c r="H44" s="167"/>
      <c r="I44" s="39"/>
    </row>
    <row r="45" spans="1:9" ht="15.9" customHeight="1">
      <c r="A45" s="480"/>
      <c r="B45" s="208"/>
      <c r="C45" s="300" t="s">
        <v>214</v>
      </c>
      <c r="D45" s="296"/>
      <c r="E45" s="297"/>
      <c r="F45" s="298"/>
      <c r="G45" s="299"/>
      <c r="H45" s="167"/>
      <c r="I45" s="214"/>
    </row>
    <row r="46" spans="1:9" ht="15.9" customHeight="1">
      <c r="A46" s="480"/>
      <c r="B46" s="208"/>
      <c r="C46" s="296" t="s">
        <v>215</v>
      </c>
      <c r="D46" s="296" t="s">
        <v>216</v>
      </c>
      <c r="E46" s="297" t="s">
        <v>145</v>
      </c>
      <c r="F46" s="298">
        <v>1</v>
      </c>
      <c r="G46" s="299">
        <v>2770000</v>
      </c>
      <c r="H46" s="167">
        <f t="shared" si="2"/>
        <v>2770000</v>
      </c>
      <c r="I46" s="39"/>
    </row>
    <row r="47" spans="1:9" ht="15.9" customHeight="1">
      <c r="A47" s="480"/>
      <c r="B47" s="208"/>
      <c r="C47" s="296" t="s">
        <v>217</v>
      </c>
      <c r="D47" s="296" t="s">
        <v>218</v>
      </c>
      <c r="E47" s="297" t="s">
        <v>145</v>
      </c>
      <c r="F47" s="298">
        <v>1</v>
      </c>
      <c r="G47" s="299">
        <v>760000</v>
      </c>
      <c r="H47" s="167">
        <f t="shared" si="2"/>
        <v>760000</v>
      </c>
      <c r="I47" s="39"/>
    </row>
    <row r="48" spans="1:9" ht="15.9" customHeight="1">
      <c r="A48" s="480"/>
      <c r="B48" s="208"/>
      <c r="C48" s="296" t="s">
        <v>219</v>
      </c>
      <c r="D48" s="296" t="s">
        <v>220</v>
      </c>
      <c r="E48" s="297" t="s">
        <v>145</v>
      </c>
      <c r="F48" s="298">
        <v>1</v>
      </c>
      <c r="G48" s="299">
        <v>250000</v>
      </c>
      <c r="H48" s="167">
        <f t="shared" si="2"/>
        <v>250000</v>
      </c>
      <c r="I48" s="290"/>
    </row>
    <row r="49" spans="1:9" ht="15.9" customHeight="1">
      <c r="A49" s="480"/>
      <c r="B49" s="208"/>
      <c r="C49" s="296"/>
      <c r="D49" s="296"/>
      <c r="E49" s="297"/>
      <c r="F49" s="298"/>
      <c r="G49" s="299"/>
      <c r="H49" s="167"/>
      <c r="I49" s="290"/>
    </row>
    <row r="50" spans="1:9" ht="15.9" customHeight="1">
      <c r="A50" s="480"/>
      <c r="B50" s="208"/>
      <c r="C50" s="301" t="s">
        <v>221</v>
      </c>
      <c r="D50" s="291"/>
      <c r="E50" s="293"/>
      <c r="F50" s="294"/>
      <c r="G50" s="295"/>
      <c r="H50" s="167"/>
      <c r="I50" s="290"/>
    </row>
    <row r="51" spans="1:9" ht="15.9" customHeight="1">
      <c r="A51" s="480"/>
      <c r="B51" s="208"/>
      <c r="C51" s="296" t="s">
        <v>173</v>
      </c>
      <c r="D51" s="296" t="s">
        <v>212</v>
      </c>
      <c r="E51" s="297" t="s">
        <v>145</v>
      </c>
      <c r="F51" s="298">
        <v>2</v>
      </c>
      <c r="G51" s="299">
        <v>610000</v>
      </c>
      <c r="H51" s="167">
        <f t="shared" si="2"/>
        <v>1220000</v>
      </c>
      <c r="I51" s="290"/>
    </row>
    <row r="52" spans="1:9" ht="15.9" customHeight="1">
      <c r="A52" s="480"/>
      <c r="B52" s="208"/>
      <c r="C52" s="296" t="s">
        <v>204</v>
      </c>
      <c r="D52" s="296"/>
      <c r="E52" s="297" t="s">
        <v>145</v>
      </c>
      <c r="F52" s="298">
        <v>2</v>
      </c>
      <c r="G52" s="299">
        <v>110000</v>
      </c>
      <c r="H52" s="167">
        <f t="shared" si="2"/>
        <v>220000</v>
      </c>
      <c r="I52" s="290"/>
    </row>
    <row r="53" spans="1:9" ht="15.9" customHeight="1">
      <c r="A53" s="480"/>
      <c r="B53" s="208"/>
      <c r="C53" s="291"/>
      <c r="D53" s="291"/>
      <c r="E53" s="293"/>
      <c r="F53" s="294"/>
      <c r="G53" s="295"/>
      <c r="H53" s="167"/>
      <c r="I53" s="290"/>
    </row>
    <row r="54" spans="1:9" ht="15.9" customHeight="1">
      <c r="A54" s="480"/>
      <c r="B54" s="208"/>
      <c r="C54" s="300" t="s">
        <v>222</v>
      </c>
      <c r="D54" s="296"/>
      <c r="E54" s="297"/>
      <c r="F54" s="298"/>
      <c r="G54" s="299"/>
      <c r="H54" s="167"/>
      <c r="I54" s="290"/>
    </row>
    <row r="55" spans="1:9" ht="15.9" customHeight="1">
      <c r="A55" s="480"/>
      <c r="B55" s="208"/>
      <c r="C55" s="296" t="s">
        <v>200</v>
      </c>
      <c r="D55" s="296" t="s">
        <v>223</v>
      </c>
      <c r="E55" s="297" t="s">
        <v>145</v>
      </c>
      <c r="F55" s="298">
        <v>2</v>
      </c>
      <c r="G55" s="299">
        <v>660000</v>
      </c>
      <c r="H55" s="167">
        <f t="shared" si="2"/>
        <v>1320000</v>
      </c>
      <c r="I55" s="290"/>
    </row>
    <row r="56" spans="1:9" ht="15.9" customHeight="1">
      <c r="A56" s="480"/>
      <c r="B56" s="208"/>
      <c r="C56" s="296" t="s">
        <v>169</v>
      </c>
      <c r="D56" s="296" t="s">
        <v>210</v>
      </c>
      <c r="E56" s="297" t="s">
        <v>145</v>
      </c>
      <c r="F56" s="298">
        <v>2</v>
      </c>
      <c r="G56" s="299">
        <v>440000</v>
      </c>
      <c r="H56" s="167">
        <f t="shared" si="2"/>
        <v>880000</v>
      </c>
      <c r="I56" s="39"/>
    </row>
    <row r="57" spans="1:9" ht="15.9" customHeight="1">
      <c r="A57" s="480"/>
      <c r="B57" s="208"/>
      <c r="C57" s="296" t="s">
        <v>173</v>
      </c>
      <c r="D57" s="296" t="s">
        <v>212</v>
      </c>
      <c r="E57" s="297" t="s">
        <v>145</v>
      </c>
      <c r="F57" s="298">
        <v>2</v>
      </c>
      <c r="G57" s="299">
        <v>510000</v>
      </c>
      <c r="H57" s="167">
        <f t="shared" si="2"/>
        <v>1020000</v>
      </c>
      <c r="I57" s="214"/>
    </row>
    <row r="58" spans="1:9" ht="15.9" customHeight="1">
      <c r="A58" s="480"/>
      <c r="B58" s="208"/>
      <c r="C58" s="296" t="s">
        <v>204</v>
      </c>
      <c r="D58" s="296"/>
      <c r="E58" s="297" t="s">
        <v>145</v>
      </c>
      <c r="F58" s="298">
        <v>2</v>
      </c>
      <c r="G58" s="299">
        <v>210000</v>
      </c>
      <c r="H58" s="167">
        <f t="shared" si="2"/>
        <v>420000</v>
      </c>
      <c r="I58" s="39"/>
    </row>
    <row r="59" spans="1:9" ht="15.9" customHeight="1">
      <c r="A59" s="480"/>
      <c r="B59" s="208"/>
      <c r="C59" s="296"/>
      <c r="D59" s="296"/>
      <c r="E59" s="297"/>
      <c r="F59" s="298"/>
      <c r="G59" s="299"/>
      <c r="H59" s="167"/>
      <c r="I59" s="39"/>
    </row>
    <row r="60" spans="1:9" ht="15.9" customHeight="1">
      <c r="A60" s="480"/>
      <c r="B60" s="208"/>
      <c r="C60" s="300" t="s">
        <v>224</v>
      </c>
      <c r="D60" s="296"/>
      <c r="E60" s="297"/>
      <c r="F60" s="298"/>
      <c r="G60" s="299"/>
      <c r="H60" s="167"/>
      <c r="I60" s="290"/>
    </row>
    <row r="61" spans="1:9" ht="15.9" customHeight="1">
      <c r="A61" s="480"/>
      <c r="B61" s="208"/>
      <c r="C61" s="296" t="s">
        <v>200</v>
      </c>
      <c r="D61" s="296" t="s">
        <v>225</v>
      </c>
      <c r="E61" s="297" t="s">
        <v>145</v>
      </c>
      <c r="F61" s="298">
        <v>4</v>
      </c>
      <c r="G61" s="299">
        <v>670000</v>
      </c>
      <c r="H61" s="167">
        <f t="shared" si="2"/>
        <v>2680000</v>
      </c>
      <c r="I61" s="290"/>
    </row>
    <row r="62" spans="1:9" ht="15.9" customHeight="1">
      <c r="A62" s="480"/>
      <c r="B62" s="208"/>
      <c r="C62" s="291" t="s">
        <v>169</v>
      </c>
      <c r="D62" s="291" t="s">
        <v>210</v>
      </c>
      <c r="E62" s="293" t="s">
        <v>145</v>
      </c>
      <c r="F62" s="294">
        <v>4</v>
      </c>
      <c r="G62" s="295">
        <v>600000</v>
      </c>
      <c r="H62" s="167">
        <f t="shared" si="2"/>
        <v>2400000</v>
      </c>
      <c r="I62" s="290"/>
    </row>
    <row r="63" spans="1:9" ht="15.9" customHeight="1">
      <c r="A63" s="480"/>
      <c r="B63" s="208"/>
      <c r="C63" s="296" t="s">
        <v>173</v>
      </c>
      <c r="D63" s="296" t="s">
        <v>226</v>
      </c>
      <c r="E63" s="297" t="s">
        <v>145</v>
      </c>
      <c r="F63" s="298">
        <v>4</v>
      </c>
      <c r="G63" s="299">
        <v>330000</v>
      </c>
      <c r="H63" s="167">
        <f t="shared" si="2"/>
        <v>1320000</v>
      </c>
      <c r="I63" s="290"/>
    </row>
    <row r="64" spans="1:9" ht="15.9" customHeight="1">
      <c r="A64" s="480"/>
      <c r="B64" s="208"/>
      <c r="C64" s="296" t="s">
        <v>173</v>
      </c>
      <c r="D64" s="296" t="s">
        <v>227</v>
      </c>
      <c r="E64" s="297" t="s">
        <v>145</v>
      </c>
      <c r="F64" s="298">
        <v>4</v>
      </c>
      <c r="G64" s="299">
        <v>560000</v>
      </c>
      <c r="H64" s="167">
        <f t="shared" si="2"/>
        <v>2240000</v>
      </c>
      <c r="I64" s="290"/>
    </row>
    <row r="65" spans="1:9" ht="15.9" customHeight="1">
      <c r="A65" s="480"/>
      <c r="B65" s="208"/>
      <c r="C65" s="291" t="s">
        <v>228</v>
      </c>
      <c r="D65" s="291" t="s">
        <v>229</v>
      </c>
      <c r="E65" s="293" t="s">
        <v>145</v>
      </c>
      <c r="F65" s="294">
        <v>4</v>
      </c>
      <c r="G65" s="295">
        <v>630000</v>
      </c>
      <c r="H65" s="167">
        <f t="shared" si="2"/>
        <v>2520000</v>
      </c>
      <c r="I65" s="290"/>
    </row>
    <row r="66" spans="1:9" ht="15.9" customHeight="1">
      <c r="A66" s="480"/>
      <c r="B66" s="208"/>
      <c r="C66" s="296" t="s">
        <v>204</v>
      </c>
      <c r="D66" s="296"/>
      <c r="E66" s="297" t="s">
        <v>145</v>
      </c>
      <c r="F66" s="298">
        <v>4</v>
      </c>
      <c r="G66" s="299">
        <v>210000</v>
      </c>
      <c r="H66" s="167">
        <f t="shared" si="2"/>
        <v>840000</v>
      </c>
      <c r="I66" s="290"/>
    </row>
    <row r="67" spans="1:9" ht="15.9" customHeight="1">
      <c r="A67" s="480"/>
      <c r="B67" s="208"/>
      <c r="C67" s="296"/>
      <c r="D67" s="296"/>
      <c r="E67" s="297"/>
      <c r="F67" s="298"/>
      <c r="G67" s="299"/>
      <c r="H67" s="167"/>
      <c r="I67" s="290"/>
    </row>
    <row r="68" spans="1:9" ht="15.9" customHeight="1">
      <c r="A68" s="480"/>
      <c r="B68" s="208"/>
      <c r="C68" s="300" t="s">
        <v>230</v>
      </c>
      <c r="D68" s="296"/>
      <c r="E68" s="297"/>
      <c r="F68" s="298"/>
      <c r="G68" s="299"/>
      <c r="H68" s="167"/>
      <c r="I68" s="39"/>
    </row>
    <row r="69" spans="1:9" ht="15.9" customHeight="1">
      <c r="A69" s="480"/>
      <c r="B69" s="208"/>
      <c r="C69" s="296" t="s">
        <v>200</v>
      </c>
      <c r="D69" s="296" t="s">
        <v>231</v>
      </c>
      <c r="E69" s="297" t="s">
        <v>145</v>
      </c>
      <c r="F69" s="298">
        <v>2</v>
      </c>
      <c r="G69" s="299">
        <v>1210000</v>
      </c>
      <c r="H69" s="167">
        <f t="shared" si="2"/>
        <v>2420000</v>
      </c>
      <c r="I69" s="214"/>
    </row>
    <row r="70" spans="1:9" ht="15.9" customHeight="1">
      <c r="A70" s="480"/>
      <c r="B70" s="208"/>
      <c r="C70" s="296" t="s">
        <v>232</v>
      </c>
      <c r="D70" s="296" t="s">
        <v>233</v>
      </c>
      <c r="E70" s="297" t="s">
        <v>145</v>
      </c>
      <c r="F70" s="298">
        <v>2</v>
      </c>
      <c r="G70" s="299">
        <v>970000</v>
      </c>
      <c r="H70" s="167">
        <f t="shared" si="2"/>
        <v>1940000</v>
      </c>
      <c r="I70" s="39"/>
    </row>
    <row r="71" spans="1:9" ht="15.9" customHeight="1">
      <c r="A71" s="480"/>
      <c r="B71" s="208"/>
      <c r="C71" s="296" t="s">
        <v>204</v>
      </c>
      <c r="D71" s="296"/>
      <c r="E71" s="297" t="s">
        <v>145</v>
      </c>
      <c r="F71" s="298">
        <v>2</v>
      </c>
      <c r="G71" s="299">
        <v>420000</v>
      </c>
      <c r="H71" s="167">
        <f t="shared" si="2"/>
        <v>840000</v>
      </c>
      <c r="I71" s="39"/>
    </row>
    <row r="72" spans="1:9" ht="15.9" customHeight="1">
      <c r="A72" s="480"/>
      <c r="B72" s="208"/>
      <c r="C72" s="296"/>
      <c r="D72" s="296"/>
      <c r="E72" s="297"/>
      <c r="F72" s="298"/>
      <c r="G72" s="299"/>
      <c r="H72" s="167"/>
      <c r="I72" s="290"/>
    </row>
    <row r="73" spans="1:9" ht="15.9" customHeight="1">
      <c r="A73" s="480"/>
      <c r="B73" s="208"/>
      <c r="C73" s="300" t="s">
        <v>234</v>
      </c>
      <c r="D73" s="296"/>
      <c r="E73" s="297"/>
      <c r="F73" s="298"/>
      <c r="G73" s="299"/>
      <c r="H73" s="167"/>
      <c r="I73" s="290"/>
    </row>
    <row r="74" spans="1:9" ht="15.9" customHeight="1">
      <c r="A74" s="480"/>
      <c r="B74" s="208"/>
      <c r="C74" s="291" t="s">
        <v>235</v>
      </c>
      <c r="D74" s="291" t="s">
        <v>236</v>
      </c>
      <c r="E74" s="293" t="s">
        <v>145</v>
      </c>
      <c r="F74" s="294">
        <v>1</v>
      </c>
      <c r="G74" s="295">
        <v>5750000</v>
      </c>
      <c r="H74" s="167">
        <f t="shared" si="2"/>
        <v>5750000</v>
      </c>
      <c r="I74" s="290"/>
    </row>
    <row r="75" spans="1:9" ht="15.9" customHeight="1">
      <c r="A75" s="480"/>
      <c r="B75" s="208"/>
      <c r="C75" s="296" t="s">
        <v>237</v>
      </c>
      <c r="D75" s="296" t="s">
        <v>238</v>
      </c>
      <c r="E75" s="297" t="s">
        <v>145</v>
      </c>
      <c r="F75" s="298">
        <v>1</v>
      </c>
      <c r="G75" s="299">
        <v>9820000</v>
      </c>
      <c r="H75" s="167">
        <f t="shared" si="2"/>
        <v>9820000</v>
      </c>
      <c r="I75" s="290"/>
    </row>
    <row r="76" spans="1:9" ht="15.9" customHeight="1">
      <c r="A76" s="480"/>
      <c r="B76" s="208"/>
      <c r="C76" s="296" t="s">
        <v>239</v>
      </c>
      <c r="D76" s="296" t="s">
        <v>240</v>
      </c>
      <c r="E76" s="297" t="s">
        <v>145</v>
      </c>
      <c r="F76" s="298">
        <v>1</v>
      </c>
      <c r="G76" s="299">
        <v>1730000</v>
      </c>
      <c r="H76" s="167">
        <f t="shared" si="2"/>
        <v>1730000</v>
      </c>
      <c r="I76" s="290"/>
    </row>
    <row r="77" spans="1:9" ht="15.9" customHeight="1">
      <c r="A77" s="480"/>
      <c r="B77" s="208"/>
      <c r="C77" s="291" t="s">
        <v>241</v>
      </c>
      <c r="D77" s="291" t="s">
        <v>242</v>
      </c>
      <c r="E77" s="293" t="s">
        <v>145</v>
      </c>
      <c r="F77" s="294">
        <v>1</v>
      </c>
      <c r="G77" s="295">
        <v>6250000</v>
      </c>
      <c r="H77" s="167">
        <f t="shared" si="2"/>
        <v>6250000</v>
      </c>
      <c r="I77" s="290"/>
    </row>
    <row r="78" spans="1:9" ht="15.9" customHeight="1">
      <c r="A78" s="480"/>
      <c r="B78" s="208"/>
      <c r="C78" s="296" t="s">
        <v>243</v>
      </c>
      <c r="D78" s="296" t="s">
        <v>244</v>
      </c>
      <c r="E78" s="297" t="s">
        <v>145</v>
      </c>
      <c r="F78" s="298">
        <v>1</v>
      </c>
      <c r="G78" s="299">
        <v>2100000</v>
      </c>
      <c r="H78" s="167">
        <f t="shared" si="2"/>
        <v>2100000</v>
      </c>
      <c r="I78" s="290"/>
    </row>
    <row r="79" spans="1:9" ht="15.9" customHeight="1">
      <c r="A79" s="480"/>
      <c r="B79" s="208"/>
      <c r="C79" s="296" t="s">
        <v>245</v>
      </c>
      <c r="D79" s="296"/>
      <c r="E79" s="297" t="s">
        <v>145</v>
      </c>
      <c r="F79" s="298">
        <v>1</v>
      </c>
      <c r="G79" s="299">
        <v>840000</v>
      </c>
      <c r="H79" s="167">
        <f t="shared" si="2"/>
        <v>840000</v>
      </c>
      <c r="I79" s="290"/>
    </row>
    <row r="80" spans="1:9" ht="15.9" customHeight="1">
      <c r="A80" s="480"/>
      <c r="B80" s="208"/>
      <c r="C80" s="296" t="s">
        <v>246</v>
      </c>
      <c r="D80" s="296"/>
      <c r="E80" s="297"/>
      <c r="F80" s="298"/>
      <c r="G80" s="299"/>
      <c r="H80" s="167"/>
      <c r="I80" s="39"/>
    </row>
    <row r="81" spans="1:9" ht="15.9" customHeight="1">
      <c r="A81" s="480"/>
      <c r="B81" s="208"/>
      <c r="C81" s="300" t="s">
        <v>247</v>
      </c>
      <c r="D81" s="296"/>
      <c r="E81" s="297"/>
      <c r="F81" s="298"/>
      <c r="G81" s="299"/>
      <c r="H81" s="167"/>
      <c r="I81" s="214"/>
    </row>
    <row r="82" spans="1:9" ht="15.9" customHeight="1">
      <c r="A82" s="480"/>
      <c r="B82" s="208"/>
      <c r="C82" s="296" t="s">
        <v>248</v>
      </c>
      <c r="D82" s="296" t="s">
        <v>249</v>
      </c>
      <c r="E82" s="297" t="s">
        <v>145</v>
      </c>
      <c r="F82" s="298">
        <v>1</v>
      </c>
      <c r="G82" s="299">
        <v>5820000</v>
      </c>
      <c r="H82" s="167">
        <f t="shared" si="2"/>
        <v>5820000</v>
      </c>
      <c r="I82" s="39"/>
    </row>
    <row r="83" spans="1:9" ht="15.9" customHeight="1">
      <c r="A83" s="480"/>
      <c r="B83" s="208"/>
      <c r="C83" s="296" t="s">
        <v>248</v>
      </c>
      <c r="D83" s="296" t="s">
        <v>250</v>
      </c>
      <c r="E83" s="297" t="s">
        <v>145</v>
      </c>
      <c r="F83" s="298">
        <v>1</v>
      </c>
      <c r="G83" s="299">
        <v>790000</v>
      </c>
      <c r="H83" s="167">
        <f t="shared" si="2"/>
        <v>790000</v>
      </c>
      <c r="I83" s="39"/>
    </row>
    <row r="84" spans="1:9" ht="15.9" customHeight="1">
      <c r="A84" s="480"/>
      <c r="B84" s="208"/>
      <c r="C84" s="296" t="s">
        <v>251</v>
      </c>
      <c r="D84" s="296" t="s">
        <v>252</v>
      </c>
      <c r="E84" s="297" t="s">
        <v>253</v>
      </c>
      <c r="F84" s="298">
        <v>3</v>
      </c>
      <c r="G84" s="299">
        <v>260000</v>
      </c>
      <c r="H84" s="167">
        <f t="shared" si="2"/>
        <v>780000</v>
      </c>
      <c r="I84" s="290"/>
    </row>
    <row r="85" spans="1:9" ht="15.9" customHeight="1">
      <c r="A85" s="480"/>
      <c r="B85" s="208"/>
      <c r="C85" s="296" t="s">
        <v>254</v>
      </c>
      <c r="D85" s="296"/>
      <c r="E85" s="297" t="s">
        <v>145</v>
      </c>
      <c r="F85" s="298">
        <v>1</v>
      </c>
      <c r="G85" s="299">
        <v>1260000</v>
      </c>
      <c r="H85" s="167">
        <f t="shared" si="2"/>
        <v>1260000</v>
      </c>
      <c r="I85" s="39"/>
    </row>
    <row r="86" spans="1:9" ht="15.9" customHeight="1">
      <c r="A86" s="480"/>
      <c r="B86" s="208"/>
      <c r="C86" s="296" t="s">
        <v>204</v>
      </c>
      <c r="D86" s="296"/>
      <c r="E86" s="297" t="s">
        <v>145</v>
      </c>
      <c r="F86" s="298">
        <v>1</v>
      </c>
      <c r="G86" s="299">
        <v>530000</v>
      </c>
      <c r="H86" s="167">
        <f t="shared" si="2"/>
        <v>530000</v>
      </c>
      <c r="I86" s="214"/>
    </row>
    <row r="87" spans="1:9" ht="15.9" customHeight="1">
      <c r="A87" s="480"/>
      <c r="B87" s="208"/>
      <c r="C87" s="296"/>
      <c r="D87" s="296"/>
      <c r="E87" s="297"/>
      <c r="F87" s="298"/>
      <c r="G87" s="299"/>
      <c r="H87" s="167"/>
      <c r="I87" s="39"/>
    </row>
    <row r="88" spans="1:9" ht="15.9" customHeight="1">
      <c r="A88" s="480"/>
      <c r="B88" s="208"/>
      <c r="C88" s="300" t="s">
        <v>255</v>
      </c>
      <c r="D88" s="296"/>
      <c r="E88" s="297"/>
      <c r="F88" s="298"/>
      <c r="G88" s="299"/>
      <c r="H88" s="167"/>
      <c r="I88" s="39"/>
    </row>
    <row r="89" spans="1:9" ht="15.9" customHeight="1">
      <c r="A89" s="480"/>
      <c r="B89" s="208"/>
      <c r="C89" s="296" t="s">
        <v>173</v>
      </c>
      <c r="D89" s="296" t="s">
        <v>256</v>
      </c>
      <c r="E89" s="297" t="s">
        <v>145</v>
      </c>
      <c r="F89" s="298">
        <v>1</v>
      </c>
      <c r="G89" s="299">
        <v>13300000</v>
      </c>
      <c r="H89" s="167">
        <f t="shared" si="2"/>
        <v>13300000</v>
      </c>
      <c r="I89" s="290"/>
    </row>
    <row r="90" spans="1:9" ht="15.9" customHeight="1">
      <c r="A90" s="480"/>
      <c r="B90" s="208"/>
      <c r="C90" s="296" t="s">
        <v>173</v>
      </c>
      <c r="D90" s="296" t="s">
        <v>257</v>
      </c>
      <c r="E90" s="297" t="s">
        <v>145</v>
      </c>
      <c r="F90" s="298">
        <v>1</v>
      </c>
      <c r="G90" s="299">
        <v>4200000</v>
      </c>
      <c r="H90" s="167">
        <f t="shared" si="2"/>
        <v>4200000</v>
      </c>
      <c r="I90" s="290"/>
    </row>
    <row r="91" spans="1:9" ht="15.9" customHeight="1">
      <c r="A91" s="480"/>
      <c r="B91" s="208"/>
      <c r="C91" s="291" t="s">
        <v>173</v>
      </c>
      <c r="D91" s="291" t="s">
        <v>258</v>
      </c>
      <c r="E91" s="293" t="s">
        <v>145</v>
      </c>
      <c r="F91" s="294">
        <v>1</v>
      </c>
      <c r="G91" s="295">
        <v>11900000</v>
      </c>
      <c r="H91" s="167">
        <f t="shared" si="2"/>
        <v>11900000</v>
      </c>
      <c r="I91" s="290"/>
    </row>
    <row r="92" spans="1:9" ht="15.9" customHeight="1">
      <c r="A92" s="480"/>
      <c r="B92" s="208"/>
      <c r="C92" s="296" t="s">
        <v>169</v>
      </c>
      <c r="D92" s="296" t="s">
        <v>259</v>
      </c>
      <c r="E92" s="297" t="s">
        <v>145</v>
      </c>
      <c r="F92" s="298">
        <v>1</v>
      </c>
      <c r="G92" s="299">
        <v>11200000</v>
      </c>
      <c r="H92" s="167">
        <f t="shared" si="2"/>
        <v>11200000</v>
      </c>
      <c r="I92" s="290"/>
    </row>
    <row r="93" spans="1:9" ht="15.9" customHeight="1">
      <c r="A93" s="480"/>
      <c r="B93" s="208"/>
      <c r="C93" s="296" t="s">
        <v>260</v>
      </c>
      <c r="D93" s="296" t="s">
        <v>261</v>
      </c>
      <c r="E93" s="297" t="s">
        <v>145</v>
      </c>
      <c r="F93" s="298">
        <v>1</v>
      </c>
      <c r="G93" s="299">
        <v>4900000</v>
      </c>
      <c r="H93" s="167">
        <f t="shared" si="2"/>
        <v>4900000</v>
      </c>
      <c r="I93" s="290"/>
    </row>
    <row r="94" spans="1:9" ht="15.9" customHeight="1">
      <c r="A94" s="480"/>
      <c r="B94" s="208"/>
      <c r="C94" s="291" t="s">
        <v>262</v>
      </c>
      <c r="D94" s="291" t="s">
        <v>263</v>
      </c>
      <c r="E94" s="293" t="s">
        <v>145</v>
      </c>
      <c r="F94" s="294">
        <v>1</v>
      </c>
      <c r="G94" s="295">
        <v>2100000</v>
      </c>
      <c r="H94" s="167">
        <f t="shared" si="2"/>
        <v>2100000</v>
      </c>
      <c r="I94" s="290"/>
    </row>
    <row r="95" spans="1:9" ht="15.9" customHeight="1">
      <c r="A95" s="480"/>
      <c r="B95" s="208"/>
      <c r="C95" s="296" t="s">
        <v>175</v>
      </c>
      <c r="D95" s="296" t="s">
        <v>264</v>
      </c>
      <c r="E95" s="297" t="s">
        <v>145</v>
      </c>
      <c r="F95" s="298">
        <v>1</v>
      </c>
      <c r="G95" s="299">
        <v>4200000</v>
      </c>
      <c r="H95" s="167">
        <f t="shared" si="2"/>
        <v>4200000</v>
      </c>
      <c r="I95" s="290"/>
    </row>
    <row r="96" spans="1:9" ht="15.9" customHeight="1">
      <c r="A96" s="480"/>
      <c r="B96" s="208"/>
      <c r="C96" s="296" t="s">
        <v>265</v>
      </c>
      <c r="D96" s="296" t="s">
        <v>266</v>
      </c>
      <c r="E96" s="297" t="s">
        <v>145</v>
      </c>
      <c r="F96" s="298">
        <v>1</v>
      </c>
      <c r="G96" s="299">
        <v>1400000</v>
      </c>
      <c r="H96" s="167">
        <f t="shared" si="2"/>
        <v>1400000</v>
      </c>
      <c r="I96" s="290"/>
    </row>
    <row r="97" spans="1:9" ht="15.9" customHeight="1">
      <c r="A97" s="480"/>
      <c r="B97" s="208"/>
      <c r="C97" s="296" t="s">
        <v>267</v>
      </c>
      <c r="D97" s="296" t="s">
        <v>268</v>
      </c>
      <c r="E97" s="297" t="s">
        <v>145</v>
      </c>
      <c r="F97" s="298">
        <v>1</v>
      </c>
      <c r="G97" s="299">
        <v>1120000</v>
      </c>
      <c r="H97" s="167">
        <f t="shared" si="2"/>
        <v>1120000</v>
      </c>
      <c r="I97" s="39"/>
    </row>
    <row r="98" spans="1:9" ht="15.9" customHeight="1">
      <c r="A98" s="480"/>
      <c r="B98" s="208"/>
      <c r="C98" s="296" t="s">
        <v>269</v>
      </c>
      <c r="D98" s="296"/>
      <c r="E98" s="297" t="s">
        <v>145</v>
      </c>
      <c r="F98" s="298">
        <v>1</v>
      </c>
      <c r="G98" s="299">
        <v>840000</v>
      </c>
      <c r="H98" s="167">
        <f t="shared" si="2"/>
        <v>840000</v>
      </c>
      <c r="I98" s="214"/>
    </row>
    <row r="99" spans="1:9" ht="15.9" customHeight="1">
      <c r="A99" s="480"/>
      <c r="B99" s="208"/>
      <c r="C99" s="296" t="s">
        <v>204</v>
      </c>
      <c r="D99" s="296"/>
      <c r="E99" s="297" t="s">
        <v>145</v>
      </c>
      <c r="F99" s="298">
        <v>1</v>
      </c>
      <c r="G99" s="299">
        <v>3000000</v>
      </c>
      <c r="H99" s="167">
        <f t="shared" ref="H99:H117" si="3">F99*G99</f>
        <v>3000000</v>
      </c>
      <c r="I99" s="39"/>
    </row>
    <row r="100" spans="1:9" ht="15.9" customHeight="1">
      <c r="A100" s="480"/>
      <c r="B100" s="208"/>
      <c r="C100" s="296" t="s">
        <v>173</v>
      </c>
      <c r="D100" s="296" t="s">
        <v>270</v>
      </c>
      <c r="E100" s="297" t="s">
        <v>145</v>
      </c>
      <c r="F100" s="298">
        <v>1</v>
      </c>
      <c r="G100" s="299">
        <v>890000</v>
      </c>
      <c r="H100" s="167">
        <f t="shared" si="3"/>
        <v>890000</v>
      </c>
      <c r="I100" s="39"/>
    </row>
    <row r="101" spans="1:9" ht="15.9" customHeight="1">
      <c r="A101" s="480"/>
      <c r="B101" s="208"/>
      <c r="C101" s="296" t="s">
        <v>260</v>
      </c>
      <c r="D101" s="296" t="s">
        <v>271</v>
      </c>
      <c r="E101" s="297" t="s">
        <v>145</v>
      </c>
      <c r="F101" s="298">
        <v>1</v>
      </c>
      <c r="G101" s="299">
        <v>390000</v>
      </c>
      <c r="H101" s="167">
        <f t="shared" si="3"/>
        <v>390000</v>
      </c>
      <c r="I101" s="290"/>
    </row>
    <row r="102" spans="1:9" ht="15.9" customHeight="1">
      <c r="A102" s="480"/>
      <c r="B102" s="208"/>
      <c r="C102" s="296" t="s">
        <v>175</v>
      </c>
      <c r="D102" s="296" t="s">
        <v>264</v>
      </c>
      <c r="E102" s="297" t="s">
        <v>145</v>
      </c>
      <c r="F102" s="298">
        <v>1</v>
      </c>
      <c r="G102" s="299">
        <v>340000</v>
      </c>
      <c r="H102" s="167">
        <f t="shared" si="3"/>
        <v>340000</v>
      </c>
      <c r="I102" s="39"/>
    </row>
    <row r="103" spans="1:9" ht="15.9" customHeight="1">
      <c r="A103" s="480"/>
      <c r="B103" s="208"/>
      <c r="C103" s="296" t="s">
        <v>204</v>
      </c>
      <c r="D103" s="296"/>
      <c r="E103" s="297" t="s">
        <v>145</v>
      </c>
      <c r="F103" s="298">
        <v>1</v>
      </c>
      <c r="G103" s="299">
        <v>320000</v>
      </c>
      <c r="H103" s="167">
        <f t="shared" si="3"/>
        <v>320000</v>
      </c>
      <c r="I103" s="214"/>
    </row>
    <row r="104" spans="1:9" ht="15.9" customHeight="1">
      <c r="A104" s="480"/>
      <c r="B104" s="208"/>
      <c r="C104" s="296"/>
      <c r="D104" s="296"/>
      <c r="E104" s="297"/>
      <c r="F104" s="298"/>
      <c r="G104" s="299"/>
      <c r="H104" s="167"/>
      <c r="I104" s="39"/>
    </row>
    <row r="105" spans="1:9" ht="15.9" customHeight="1">
      <c r="A105" s="480"/>
      <c r="B105" s="208"/>
      <c r="C105" s="300" t="s">
        <v>272</v>
      </c>
      <c r="D105" s="296"/>
      <c r="E105" s="297"/>
      <c r="F105" s="298"/>
      <c r="G105" s="299"/>
      <c r="H105" s="167"/>
      <c r="I105" s="39"/>
    </row>
    <row r="106" spans="1:9" ht="15.9" customHeight="1">
      <c r="A106" s="480"/>
      <c r="B106" s="208"/>
      <c r="C106" s="296" t="s">
        <v>273</v>
      </c>
      <c r="D106" s="296"/>
      <c r="E106" s="297" t="s">
        <v>145</v>
      </c>
      <c r="F106" s="298">
        <v>1</v>
      </c>
      <c r="G106" s="299">
        <v>12000000</v>
      </c>
      <c r="H106" s="167">
        <f t="shared" si="3"/>
        <v>12000000</v>
      </c>
      <c r="I106" s="290"/>
    </row>
    <row r="107" spans="1:9" ht="15.9" customHeight="1">
      <c r="A107" s="480"/>
      <c r="B107" s="208"/>
      <c r="C107" s="296" t="s">
        <v>274</v>
      </c>
      <c r="D107" s="296"/>
      <c r="E107" s="297" t="s">
        <v>145</v>
      </c>
      <c r="F107" s="298">
        <v>1</v>
      </c>
      <c r="G107" s="299">
        <v>25000000</v>
      </c>
      <c r="H107" s="167">
        <f t="shared" si="3"/>
        <v>25000000</v>
      </c>
      <c r="I107" s="290"/>
    </row>
    <row r="108" spans="1:9" ht="15.9" customHeight="1">
      <c r="A108" s="480"/>
      <c r="B108" s="208"/>
      <c r="C108" s="291" t="s">
        <v>275</v>
      </c>
      <c r="D108" s="291"/>
      <c r="E108" s="297" t="s">
        <v>145</v>
      </c>
      <c r="F108" s="298">
        <v>1</v>
      </c>
      <c r="G108" s="295">
        <v>78000000</v>
      </c>
      <c r="H108" s="167">
        <f t="shared" si="3"/>
        <v>78000000</v>
      </c>
      <c r="I108" s="290"/>
    </row>
    <row r="109" spans="1:9" ht="15.9" customHeight="1">
      <c r="A109" s="480"/>
      <c r="B109" s="208"/>
      <c r="C109" s="296" t="s">
        <v>276</v>
      </c>
      <c r="D109" s="296"/>
      <c r="E109" s="297" t="s">
        <v>145</v>
      </c>
      <c r="F109" s="298">
        <v>1</v>
      </c>
      <c r="G109" s="299">
        <v>11000000</v>
      </c>
      <c r="H109" s="167">
        <f t="shared" si="3"/>
        <v>11000000</v>
      </c>
      <c r="I109" s="290"/>
    </row>
    <row r="110" spans="1:9" ht="15.9" customHeight="1">
      <c r="A110" s="480"/>
      <c r="B110" s="208"/>
      <c r="C110" s="296" t="s">
        <v>277</v>
      </c>
      <c r="D110" s="296" t="s">
        <v>278</v>
      </c>
      <c r="E110" s="297" t="s">
        <v>145</v>
      </c>
      <c r="F110" s="298">
        <v>1</v>
      </c>
      <c r="G110" s="299">
        <v>12000000</v>
      </c>
      <c r="H110" s="167">
        <f t="shared" si="3"/>
        <v>12000000</v>
      </c>
      <c r="I110" s="290"/>
    </row>
    <row r="111" spans="1:9" ht="15.9" customHeight="1">
      <c r="A111" s="480"/>
      <c r="B111" s="208"/>
      <c r="C111" s="291"/>
      <c r="D111" s="291"/>
      <c r="E111" s="293"/>
      <c r="F111" s="294"/>
      <c r="G111" s="295"/>
      <c r="H111" s="167">
        <f t="shared" si="3"/>
        <v>0</v>
      </c>
      <c r="I111" s="290"/>
    </row>
    <row r="112" spans="1:9" ht="15.9" customHeight="1">
      <c r="A112" s="480"/>
      <c r="B112" s="208"/>
      <c r="C112" s="296"/>
      <c r="D112" s="296"/>
      <c r="E112" s="297"/>
      <c r="F112" s="298"/>
      <c r="G112" s="299"/>
      <c r="H112" s="167">
        <f t="shared" si="3"/>
        <v>0</v>
      </c>
      <c r="I112" s="290"/>
    </row>
    <row r="113" spans="1:9" ht="15.9" customHeight="1">
      <c r="A113" s="480"/>
      <c r="B113" s="208"/>
      <c r="C113" s="296"/>
      <c r="D113" s="296"/>
      <c r="E113" s="297"/>
      <c r="F113" s="298"/>
      <c r="G113" s="299"/>
      <c r="H113" s="167">
        <f t="shared" si="3"/>
        <v>0</v>
      </c>
      <c r="I113" s="290"/>
    </row>
    <row r="114" spans="1:9" ht="15.9" customHeight="1">
      <c r="A114" s="480"/>
      <c r="B114" s="208"/>
      <c r="C114" s="296"/>
      <c r="D114" s="296"/>
      <c r="E114" s="297"/>
      <c r="F114" s="298"/>
      <c r="G114" s="299"/>
      <c r="H114" s="167">
        <f t="shared" si="3"/>
        <v>0</v>
      </c>
      <c r="I114" s="39"/>
    </row>
    <row r="115" spans="1:9" ht="15.9" customHeight="1">
      <c r="A115" s="480"/>
      <c r="B115" s="208"/>
      <c r="C115" s="296"/>
      <c r="D115" s="296"/>
      <c r="E115" s="297"/>
      <c r="F115" s="298"/>
      <c r="G115" s="299"/>
      <c r="H115" s="167">
        <f t="shared" si="3"/>
        <v>0</v>
      </c>
      <c r="I115" s="214"/>
    </row>
    <row r="116" spans="1:9" ht="15.9" customHeight="1">
      <c r="A116" s="480"/>
      <c r="B116" s="208"/>
      <c r="C116" s="296"/>
      <c r="D116" s="296"/>
      <c r="E116" s="297"/>
      <c r="F116" s="298"/>
      <c r="G116" s="299"/>
      <c r="H116" s="167">
        <f t="shared" si="3"/>
        <v>0</v>
      </c>
      <c r="I116" s="39"/>
    </row>
    <row r="117" spans="1:9" ht="15.9" customHeight="1">
      <c r="A117" s="480"/>
      <c r="B117" s="208"/>
      <c r="C117" s="296"/>
      <c r="D117" s="296"/>
      <c r="E117" s="297"/>
      <c r="F117" s="298"/>
      <c r="G117" s="299"/>
      <c r="H117" s="167">
        <f t="shared" si="3"/>
        <v>0</v>
      </c>
      <c r="I117" s="39"/>
    </row>
    <row r="118" spans="1:9" ht="15.9" customHeight="1">
      <c r="A118" s="480"/>
      <c r="B118" s="208"/>
      <c r="C118" s="215"/>
      <c r="D118" s="215"/>
      <c r="E118" s="216"/>
      <c r="F118" s="217"/>
      <c r="G118" s="218"/>
      <c r="H118" s="167">
        <f>IF(F118=0,G118,G118*F118)</f>
        <v>0</v>
      </c>
      <c r="I118" s="39"/>
    </row>
    <row r="119" spans="1:9" ht="15.9" customHeight="1">
      <c r="A119" s="480"/>
      <c r="B119" s="208"/>
      <c r="C119" s="296"/>
      <c r="D119" s="296"/>
      <c r="E119" s="297"/>
      <c r="F119" s="298"/>
      <c r="G119" s="299"/>
      <c r="H119" s="167">
        <f t="shared" ref="H119:H136" si="4">F119*G119</f>
        <v>0</v>
      </c>
      <c r="I119" s="39"/>
    </row>
    <row r="120" spans="1:9" ht="15.9" customHeight="1">
      <c r="A120" s="480"/>
      <c r="B120" s="208"/>
      <c r="C120" s="296"/>
      <c r="D120" s="296"/>
      <c r="E120" s="297"/>
      <c r="F120" s="298"/>
      <c r="G120" s="299"/>
      <c r="H120" s="167">
        <f t="shared" si="4"/>
        <v>0</v>
      </c>
      <c r="I120" s="290"/>
    </row>
    <row r="121" spans="1:9" ht="15.9" customHeight="1">
      <c r="A121" s="480"/>
      <c r="B121" s="208"/>
      <c r="C121" s="296"/>
      <c r="D121" s="296"/>
      <c r="E121" s="297"/>
      <c r="F121" s="298"/>
      <c r="G121" s="299"/>
      <c r="H121" s="167">
        <f t="shared" si="4"/>
        <v>0</v>
      </c>
      <c r="I121" s="39"/>
    </row>
    <row r="122" spans="1:9" ht="15.9" customHeight="1">
      <c r="A122" s="480"/>
      <c r="B122" s="208"/>
      <c r="C122" s="296"/>
      <c r="D122" s="296"/>
      <c r="E122" s="297"/>
      <c r="F122" s="298"/>
      <c r="G122" s="299"/>
      <c r="H122" s="167">
        <f t="shared" si="4"/>
        <v>0</v>
      </c>
      <c r="I122" s="214"/>
    </row>
    <row r="123" spans="1:9" ht="15.9" customHeight="1">
      <c r="A123" s="480"/>
      <c r="B123" s="208"/>
      <c r="C123" s="296"/>
      <c r="D123" s="296"/>
      <c r="E123" s="297"/>
      <c r="F123" s="298"/>
      <c r="G123" s="299"/>
      <c r="H123" s="167">
        <f t="shared" si="4"/>
        <v>0</v>
      </c>
      <c r="I123" s="39"/>
    </row>
    <row r="124" spans="1:9" ht="15.9" customHeight="1">
      <c r="A124" s="480"/>
      <c r="B124" s="208"/>
      <c r="C124" s="296"/>
      <c r="D124" s="296"/>
      <c r="E124" s="297"/>
      <c r="F124" s="298"/>
      <c r="G124" s="299"/>
      <c r="H124" s="167">
        <f t="shared" si="4"/>
        <v>0</v>
      </c>
      <c r="I124" s="39"/>
    </row>
    <row r="125" spans="1:9" ht="15.9" customHeight="1">
      <c r="A125" s="480"/>
      <c r="B125" s="208"/>
      <c r="C125" s="296"/>
      <c r="D125" s="296"/>
      <c r="E125" s="297"/>
      <c r="F125" s="298"/>
      <c r="G125" s="299"/>
      <c r="H125" s="167">
        <f t="shared" si="4"/>
        <v>0</v>
      </c>
      <c r="I125" s="290"/>
    </row>
    <row r="126" spans="1:9" ht="15.9" customHeight="1">
      <c r="A126" s="480"/>
      <c r="B126" s="208"/>
      <c r="C126" s="296"/>
      <c r="D126" s="296"/>
      <c r="E126" s="297"/>
      <c r="F126" s="298"/>
      <c r="G126" s="299"/>
      <c r="H126" s="167">
        <f t="shared" si="4"/>
        <v>0</v>
      </c>
      <c r="I126" s="290"/>
    </row>
    <row r="127" spans="1:9" ht="15.9" customHeight="1">
      <c r="A127" s="480"/>
      <c r="B127" s="208"/>
      <c r="C127" s="291"/>
      <c r="D127" s="291"/>
      <c r="E127" s="293"/>
      <c r="F127" s="294"/>
      <c r="G127" s="295"/>
      <c r="H127" s="167">
        <f t="shared" si="4"/>
        <v>0</v>
      </c>
      <c r="I127" s="290"/>
    </row>
    <row r="128" spans="1:9" ht="15.9" customHeight="1">
      <c r="A128" s="480"/>
      <c r="B128" s="208"/>
      <c r="C128" s="296"/>
      <c r="D128" s="296"/>
      <c r="E128" s="297"/>
      <c r="F128" s="298"/>
      <c r="G128" s="299"/>
      <c r="H128" s="167">
        <f t="shared" si="4"/>
        <v>0</v>
      </c>
      <c r="I128" s="290"/>
    </row>
    <row r="129" spans="1:9" ht="15.9" customHeight="1">
      <c r="A129" s="480"/>
      <c r="B129" s="208"/>
      <c r="C129" s="296"/>
      <c r="D129" s="296"/>
      <c r="E129" s="297"/>
      <c r="F129" s="298"/>
      <c r="G129" s="299"/>
      <c r="H129" s="167">
        <f t="shared" si="4"/>
        <v>0</v>
      </c>
      <c r="I129" s="290"/>
    </row>
    <row r="130" spans="1:9" ht="15.9" customHeight="1">
      <c r="A130" s="480"/>
      <c r="B130" s="208"/>
      <c r="C130" s="291"/>
      <c r="D130" s="291"/>
      <c r="E130" s="293"/>
      <c r="F130" s="294"/>
      <c r="G130" s="295"/>
      <c r="H130" s="167">
        <f t="shared" si="4"/>
        <v>0</v>
      </c>
      <c r="I130" s="290"/>
    </row>
    <row r="131" spans="1:9" ht="15.9" customHeight="1">
      <c r="A131" s="480"/>
      <c r="B131" s="208"/>
      <c r="C131" s="296"/>
      <c r="D131" s="296"/>
      <c r="E131" s="297"/>
      <c r="F131" s="298"/>
      <c r="G131" s="299"/>
      <c r="H131" s="167">
        <f t="shared" si="4"/>
        <v>0</v>
      </c>
      <c r="I131" s="290"/>
    </row>
    <row r="132" spans="1:9" ht="15.9" customHeight="1">
      <c r="A132" s="480"/>
      <c r="B132" s="208"/>
      <c r="C132" s="296"/>
      <c r="D132" s="296"/>
      <c r="E132" s="297"/>
      <c r="F132" s="298"/>
      <c r="G132" s="299"/>
      <c r="H132" s="167">
        <f t="shared" si="4"/>
        <v>0</v>
      </c>
      <c r="I132" s="290"/>
    </row>
    <row r="133" spans="1:9" ht="15.9" customHeight="1">
      <c r="A133" s="483"/>
      <c r="B133" s="208"/>
      <c r="C133" s="296"/>
      <c r="D133" s="296"/>
      <c r="E133" s="297"/>
      <c r="F133" s="298"/>
      <c r="G133" s="299"/>
      <c r="H133" s="167">
        <f t="shared" si="4"/>
        <v>0</v>
      </c>
      <c r="I133" s="39"/>
    </row>
    <row r="134" spans="1:9" ht="15.9" customHeight="1">
      <c r="A134" s="483"/>
      <c r="B134" s="208"/>
      <c r="C134" s="296"/>
      <c r="D134" s="296"/>
      <c r="E134" s="297"/>
      <c r="F134" s="298"/>
      <c r="G134" s="299"/>
      <c r="H134" s="167">
        <f t="shared" si="4"/>
        <v>0</v>
      </c>
      <c r="I134" s="214"/>
    </row>
    <row r="135" spans="1:9" ht="15.9" customHeight="1">
      <c r="A135" s="483"/>
      <c r="B135" s="208"/>
      <c r="C135" s="296"/>
      <c r="D135" s="296"/>
      <c r="E135" s="297"/>
      <c r="F135" s="298"/>
      <c r="G135" s="299"/>
      <c r="H135" s="167">
        <f t="shared" si="4"/>
        <v>0</v>
      </c>
      <c r="I135" s="39"/>
    </row>
    <row r="136" spans="1:9" ht="15.9" customHeight="1">
      <c r="A136" s="483"/>
      <c r="B136" s="208"/>
      <c r="C136" s="296"/>
      <c r="D136" s="296"/>
      <c r="E136" s="297"/>
      <c r="F136" s="298"/>
      <c r="G136" s="299"/>
      <c r="H136" s="167">
        <f t="shared" si="4"/>
        <v>0</v>
      </c>
      <c r="I136" s="39"/>
    </row>
    <row r="137" spans="1:9" ht="15.9" customHeight="1">
      <c r="A137" s="483"/>
      <c r="B137" s="208"/>
      <c r="C137" s="215"/>
      <c r="D137" s="215"/>
      <c r="E137" s="216"/>
      <c r="F137" s="217"/>
      <c r="G137" s="218"/>
      <c r="H137" s="167">
        <f>IF(F137=0,G137,G137*F137)</f>
        <v>0</v>
      </c>
      <c r="I137" s="39"/>
    </row>
    <row r="138" spans="1:9" ht="15.9" customHeight="1">
      <c r="A138" s="483"/>
      <c r="B138" s="208"/>
      <c r="C138" s="219"/>
      <c r="D138" s="220"/>
      <c r="E138" s="220"/>
      <c r="F138" s="221"/>
      <c r="G138" s="222"/>
      <c r="H138" s="239">
        <f>IF(F138=0,G138,G138*F138)</f>
        <v>0</v>
      </c>
      <c r="I138" s="240"/>
    </row>
    <row r="139" spans="1:9" ht="15.9" customHeight="1">
      <c r="A139" s="483"/>
      <c r="B139" s="223"/>
      <c r="C139" s="242"/>
      <c r="D139" s="242"/>
      <c r="E139" s="243"/>
      <c r="F139" s="244"/>
      <c r="G139" s="245"/>
      <c r="H139" s="246">
        <f>SUM(H3:H138)</f>
        <v>458160000</v>
      </c>
      <c r="I139" s="242"/>
    </row>
    <row r="140" spans="1:9" ht="15.9" customHeight="1">
      <c r="A140" s="483"/>
      <c r="B140" s="208" t="s">
        <v>279</v>
      </c>
      <c r="C140" s="209"/>
      <c r="D140" s="209"/>
      <c r="E140" s="210"/>
      <c r="F140" s="211"/>
      <c r="G140" s="212"/>
      <c r="H140" s="213">
        <f>IF(F140=0,G140,G140*F140)</f>
        <v>0</v>
      </c>
      <c r="I140" s="214"/>
    </row>
    <row r="141" spans="1:9" ht="15.9" customHeight="1">
      <c r="A141" s="483"/>
      <c r="B141" s="208" t="s">
        <v>280</v>
      </c>
      <c r="C141" s="215"/>
      <c r="D141" s="215"/>
      <c r="E141" s="216"/>
      <c r="F141" s="217"/>
      <c r="G141" s="218"/>
      <c r="H141" s="167">
        <f>IF(F141=0,G141,G141*F141)</f>
        <v>0</v>
      </c>
      <c r="I141" s="39"/>
    </row>
    <row r="142" spans="1:9" ht="15.9" customHeight="1">
      <c r="A142" s="483"/>
      <c r="B142" s="208"/>
      <c r="C142" s="215"/>
      <c r="D142" s="215"/>
      <c r="E142" s="216"/>
      <c r="F142" s="217"/>
      <c r="G142" s="218"/>
      <c r="H142" s="167">
        <f>IF(F142=0,G142,G142*F142)</f>
        <v>0</v>
      </c>
      <c r="I142" s="39"/>
    </row>
    <row r="143" spans="1:9" ht="15.9" customHeight="1">
      <c r="A143" s="483"/>
      <c r="B143" s="208"/>
      <c r="C143" s="215"/>
      <c r="D143" s="215"/>
      <c r="E143" s="216"/>
      <c r="F143" s="217"/>
      <c r="G143" s="218"/>
      <c r="H143" s="167">
        <f>IF(F143=0,G143,G143*F143)</f>
        <v>0</v>
      </c>
      <c r="I143" s="39"/>
    </row>
    <row r="144" spans="1:9" ht="15.9" customHeight="1">
      <c r="A144" s="483"/>
      <c r="B144" s="208"/>
      <c r="C144" s="219"/>
      <c r="D144" s="219"/>
      <c r="E144" s="220"/>
      <c r="F144" s="221"/>
      <c r="G144" s="222"/>
      <c r="H144" s="167">
        <f>IF(F144=0,G144,G144*F144)</f>
        <v>0</v>
      </c>
      <c r="I144" s="42"/>
    </row>
    <row r="145" spans="1:9" ht="15.9" customHeight="1">
      <c r="A145" s="483"/>
      <c r="B145" s="223"/>
      <c r="C145" s="224"/>
      <c r="D145" s="225"/>
      <c r="E145" s="205"/>
      <c r="F145" s="302"/>
      <c r="G145" s="227"/>
      <c r="H145" s="50">
        <f>SUM(H140:H144)</f>
        <v>0</v>
      </c>
      <c r="I145" s="46"/>
    </row>
    <row r="146" spans="1:9" ht="15.9" customHeight="1">
      <c r="A146" s="483"/>
      <c r="B146" s="247" t="s">
        <v>281</v>
      </c>
      <c r="C146" s="296" t="s">
        <v>282</v>
      </c>
      <c r="D146" s="296" t="s">
        <v>283</v>
      </c>
      <c r="E146" s="297" t="s">
        <v>253</v>
      </c>
      <c r="F146" s="303">
        <v>2</v>
      </c>
      <c r="G146" s="299">
        <v>2230000</v>
      </c>
      <c r="H146" s="185">
        <f>IF(F146=0,G146,G146*F146)</f>
        <v>4460000</v>
      </c>
      <c r="I146" s="234"/>
    </row>
    <row r="147" spans="1:9" ht="15.9" customHeight="1">
      <c r="A147" s="483"/>
      <c r="B147" s="208" t="s">
        <v>284</v>
      </c>
      <c r="C147" s="296" t="s">
        <v>282</v>
      </c>
      <c r="D147" s="296" t="s">
        <v>285</v>
      </c>
      <c r="E147" s="297" t="s">
        <v>253</v>
      </c>
      <c r="F147" s="303">
        <v>2</v>
      </c>
      <c r="G147" s="299">
        <v>2730000</v>
      </c>
      <c r="H147" s="167">
        <f>IF(F147=0,G147,G147*F147)</f>
        <v>5460000</v>
      </c>
      <c r="I147" s="35"/>
    </row>
    <row r="148" spans="1:9" ht="15.9" customHeight="1">
      <c r="A148" s="483"/>
      <c r="B148" s="208"/>
      <c r="C148" s="296" t="s">
        <v>282</v>
      </c>
      <c r="D148" s="296" t="s">
        <v>286</v>
      </c>
      <c r="E148" s="297" t="s">
        <v>253</v>
      </c>
      <c r="F148" s="303">
        <v>2</v>
      </c>
      <c r="G148" s="299">
        <v>3360000</v>
      </c>
      <c r="H148" s="167">
        <f t="shared" ref="H148:H183" si="5">IF(F148=0,G148,G148*F148)</f>
        <v>6720000</v>
      </c>
      <c r="I148" s="35"/>
    </row>
    <row r="149" spans="1:9" ht="15.9" customHeight="1">
      <c r="A149" s="483"/>
      <c r="B149" s="208"/>
      <c r="C149" s="296" t="s">
        <v>287</v>
      </c>
      <c r="D149" s="296" t="s">
        <v>288</v>
      </c>
      <c r="E149" s="297" t="s">
        <v>253</v>
      </c>
      <c r="F149" s="303">
        <v>2</v>
      </c>
      <c r="G149" s="299">
        <v>3680000</v>
      </c>
      <c r="H149" s="167">
        <f t="shared" si="5"/>
        <v>7360000</v>
      </c>
      <c r="I149" s="35"/>
    </row>
    <row r="150" spans="1:9" ht="15.9" customHeight="1">
      <c r="A150" s="483"/>
      <c r="B150" s="208"/>
      <c r="C150" s="296" t="s">
        <v>289</v>
      </c>
      <c r="D150" s="296" t="s">
        <v>290</v>
      </c>
      <c r="E150" s="297" t="s">
        <v>253</v>
      </c>
      <c r="F150" s="303">
        <v>2</v>
      </c>
      <c r="G150" s="299">
        <v>530000</v>
      </c>
      <c r="H150" s="167">
        <f t="shared" si="5"/>
        <v>1060000</v>
      </c>
      <c r="I150" s="35"/>
    </row>
    <row r="151" spans="1:9" ht="15.9" customHeight="1">
      <c r="A151" s="483"/>
      <c r="B151" s="208"/>
      <c r="C151" s="296" t="s">
        <v>291</v>
      </c>
      <c r="D151" s="296" t="s">
        <v>292</v>
      </c>
      <c r="E151" s="297" t="s">
        <v>145</v>
      </c>
      <c r="F151" s="303">
        <v>2</v>
      </c>
      <c r="G151" s="299">
        <v>2940000</v>
      </c>
      <c r="H151" s="167">
        <f t="shared" si="5"/>
        <v>5880000</v>
      </c>
      <c r="I151" s="35"/>
    </row>
    <row r="152" spans="1:9" ht="15.9" customHeight="1">
      <c r="A152" s="483"/>
      <c r="B152" s="208"/>
      <c r="C152" s="215" t="s">
        <v>293</v>
      </c>
      <c r="D152" s="296" t="s">
        <v>294</v>
      </c>
      <c r="E152" s="297" t="s">
        <v>253</v>
      </c>
      <c r="F152" s="298">
        <v>4</v>
      </c>
      <c r="G152" s="218">
        <v>260000</v>
      </c>
      <c r="H152" s="167">
        <f t="shared" si="5"/>
        <v>1040000</v>
      </c>
      <c r="I152" s="39"/>
    </row>
    <row r="153" spans="1:9" ht="15.9" customHeight="1">
      <c r="A153" s="483"/>
      <c r="B153" s="208"/>
      <c r="C153" s="215" t="s">
        <v>295</v>
      </c>
      <c r="D153" s="296"/>
      <c r="E153" s="297" t="s">
        <v>296</v>
      </c>
      <c r="F153" s="298">
        <v>4</v>
      </c>
      <c r="G153" s="218">
        <v>80000</v>
      </c>
      <c r="H153" s="167">
        <f t="shared" si="5"/>
        <v>320000</v>
      </c>
      <c r="I153" s="39"/>
    </row>
    <row r="154" spans="1:9" ht="15.9" customHeight="1">
      <c r="A154" s="483"/>
      <c r="B154" s="208"/>
      <c r="C154" s="215" t="s">
        <v>297</v>
      </c>
      <c r="D154" s="296" t="s">
        <v>298</v>
      </c>
      <c r="E154" s="297" t="s">
        <v>145</v>
      </c>
      <c r="F154" s="298">
        <v>2</v>
      </c>
      <c r="G154" s="218">
        <v>320000</v>
      </c>
      <c r="H154" s="167">
        <f t="shared" si="5"/>
        <v>640000</v>
      </c>
      <c r="I154" s="39"/>
    </row>
    <row r="155" spans="1:9" ht="15.9" customHeight="1">
      <c r="A155" s="483"/>
      <c r="B155" s="208"/>
      <c r="C155" s="215" t="s">
        <v>299</v>
      </c>
      <c r="D155" s="296" t="s">
        <v>300</v>
      </c>
      <c r="E155" s="297" t="s">
        <v>253</v>
      </c>
      <c r="F155" s="298">
        <v>2</v>
      </c>
      <c r="G155" s="218">
        <v>630000</v>
      </c>
      <c r="H155" s="167">
        <f t="shared" si="5"/>
        <v>1260000</v>
      </c>
      <c r="I155" s="39"/>
    </row>
    <row r="156" spans="1:9" ht="15.9" customHeight="1">
      <c r="A156" s="483"/>
      <c r="B156" s="208"/>
      <c r="C156" s="215" t="s">
        <v>301</v>
      </c>
      <c r="D156" s="296" t="s">
        <v>302</v>
      </c>
      <c r="E156" s="297" t="s">
        <v>253</v>
      </c>
      <c r="F156" s="298">
        <v>8</v>
      </c>
      <c r="G156" s="218">
        <v>400000</v>
      </c>
      <c r="H156" s="167">
        <f t="shared" si="5"/>
        <v>3200000</v>
      </c>
      <c r="I156" s="39"/>
    </row>
    <row r="157" spans="1:9" ht="15.9" customHeight="1">
      <c r="A157" s="483"/>
      <c r="B157" s="208"/>
      <c r="C157" s="215" t="s">
        <v>303</v>
      </c>
      <c r="D157" s="296" t="s">
        <v>304</v>
      </c>
      <c r="E157" s="297" t="s">
        <v>253</v>
      </c>
      <c r="F157" s="298">
        <v>8</v>
      </c>
      <c r="G157" s="218">
        <v>240000</v>
      </c>
      <c r="H157" s="167">
        <f t="shared" si="5"/>
        <v>1920000</v>
      </c>
      <c r="I157" s="39"/>
    </row>
    <row r="158" spans="1:9" ht="15.9" customHeight="1">
      <c r="A158" s="483"/>
      <c r="B158" s="208"/>
      <c r="C158" s="215" t="s">
        <v>305</v>
      </c>
      <c r="D158" s="296"/>
      <c r="E158" s="297" t="s">
        <v>253</v>
      </c>
      <c r="F158" s="298">
        <v>2</v>
      </c>
      <c r="G158" s="218">
        <v>320000</v>
      </c>
      <c r="H158" s="167">
        <f t="shared" si="5"/>
        <v>640000</v>
      </c>
      <c r="I158" s="39"/>
    </row>
    <row r="159" spans="1:9" ht="15.9" customHeight="1">
      <c r="A159" s="483"/>
      <c r="B159" s="208"/>
      <c r="C159" s="215" t="s">
        <v>306</v>
      </c>
      <c r="D159" s="296" t="s">
        <v>307</v>
      </c>
      <c r="E159" s="297" t="s">
        <v>145</v>
      </c>
      <c r="F159" s="298">
        <v>2</v>
      </c>
      <c r="G159" s="218">
        <v>530000</v>
      </c>
      <c r="H159" s="167">
        <f t="shared" si="5"/>
        <v>1060000</v>
      </c>
      <c r="I159" s="39"/>
    </row>
    <row r="160" spans="1:9" ht="15.9" customHeight="1">
      <c r="A160" s="483"/>
      <c r="B160" s="208"/>
      <c r="C160" s="296" t="s">
        <v>308</v>
      </c>
      <c r="D160" s="296" t="s">
        <v>309</v>
      </c>
      <c r="E160" s="297" t="s">
        <v>253</v>
      </c>
      <c r="F160" s="303">
        <v>1</v>
      </c>
      <c r="G160" s="299">
        <v>2480000</v>
      </c>
      <c r="H160" s="167">
        <f t="shared" si="5"/>
        <v>2480000</v>
      </c>
      <c r="I160" s="35"/>
    </row>
    <row r="161" spans="1:9" ht="15.9" customHeight="1">
      <c r="A161" s="483"/>
      <c r="B161" s="208"/>
      <c r="C161" s="296" t="s">
        <v>308</v>
      </c>
      <c r="D161" s="296" t="s">
        <v>310</v>
      </c>
      <c r="E161" s="297" t="s">
        <v>253</v>
      </c>
      <c r="F161" s="303">
        <v>1</v>
      </c>
      <c r="G161" s="299">
        <v>1550000</v>
      </c>
      <c r="H161" s="167">
        <f t="shared" si="5"/>
        <v>1550000</v>
      </c>
      <c r="I161" s="35"/>
    </row>
    <row r="162" spans="1:9" ht="15.9" customHeight="1">
      <c r="A162" s="483"/>
      <c r="B162" s="208"/>
      <c r="C162" s="296" t="s">
        <v>311</v>
      </c>
      <c r="D162" s="296" t="s">
        <v>312</v>
      </c>
      <c r="E162" s="297" t="s">
        <v>253</v>
      </c>
      <c r="F162" s="303">
        <v>2</v>
      </c>
      <c r="G162" s="299">
        <v>3020000</v>
      </c>
      <c r="H162" s="167">
        <f t="shared" si="5"/>
        <v>6040000</v>
      </c>
      <c r="I162" s="35"/>
    </row>
    <row r="163" spans="1:9" ht="15.9" customHeight="1">
      <c r="A163" s="483"/>
      <c r="B163" s="208"/>
      <c r="C163" s="296" t="s">
        <v>313</v>
      </c>
      <c r="D163" s="296" t="s">
        <v>314</v>
      </c>
      <c r="E163" s="297" t="s">
        <v>253</v>
      </c>
      <c r="F163" s="303">
        <v>2</v>
      </c>
      <c r="G163" s="299">
        <v>4570000</v>
      </c>
      <c r="H163" s="167">
        <f t="shared" si="5"/>
        <v>9140000</v>
      </c>
      <c r="I163" s="35"/>
    </row>
    <row r="164" spans="1:9" ht="15.9" customHeight="1">
      <c r="A164" s="483"/>
      <c r="B164" s="208"/>
      <c r="C164" s="215" t="s">
        <v>315</v>
      </c>
      <c r="D164" s="296" t="s">
        <v>316</v>
      </c>
      <c r="E164" s="297" t="s">
        <v>253</v>
      </c>
      <c r="F164" s="298">
        <v>1</v>
      </c>
      <c r="G164" s="218">
        <v>3620000</v>
      </c>
      <c r="H164" s="167">
        <f t="shared" si="5"/>
        <v>3620000</v>
      </c>
      <c r="I164" s="39"/>
    </row>
    <row r="165" spans="1:9" ht="15.9" customHeight="1">
      <c r="A165" s="483"/>
      <c r="B165" s="208"/>
      <c r="C165" s="215" t="s">
        <v>315</v>
      </c>
      <c r="D165" s="296" t="s">
        <v>317</v>
      </c>
      <c r="E165" s="297" t="s">
        <v>253</v>
      </c>
      <c r="F165" s="298">
        <v>1</v>
      </c>
      <c r="G165" s="218">
        <v>4230000</v>
      </c>
      <c r="H165" s="167">
        <f t="shared" si="5"/>
        <v>4230000</v>
      </c>
      <c r="I165" s="39"/>
    </row>
    <row r="166" spans="1:9" ht="15.9" customHeight="1">
      <c r="A166" s="483"/>
      <c r="B166" s="208"/>
      <c r="C166" s="215" t="s">
        <v>318</v>
      </c>
      <c r="D166" s="296" t="s">
        <v>319</v>
      </c>
      <c r="E166" s="297" t="s">
        <v>296</v>
      </c>
      <c r="F166" s="298">
        <v>2</v>
      </c>
      <c r="G166" s="218">
        <v>1730000</v>
      </c>
      <c r="H166" s="167">
        <f t="shared" si="5"/>
        <v>3460000</v>
      </c>
      <c r="I166" s="39"/>
    </row>
    <row r="167" spans="1:9" ht="15.9" customHeight="1">
      <c r="A167" s="483"/>
      <c r="B167" s="208"/>
      <c r="C167" s="215" t="s">
        <v>320</v>
      </c>
      <c r="D167" s="296" t="s">
        <v>321</v>
      </c>
      <c r="E167" s="297" t="s">
        <v>296</v>
      </c>
      <c r="F167" s="298">
        <v>4</v>
      </c>
      <c r="G167" s="218">
        <v>1460000</v>
      </c>
      <c r="H167" s="167">
        <f t="shared" si="5"/>
        <v>5840000</v>
      </c>
      <c r="I167" s="39"/>
    </row>
    <row r="168" spans="1:9" ht="15.9" customHeight="1">
      <c r="A168" s="483"/>
      <c r="B168" s="208"/>
      <c r="C168" s="215" t="s">
        <v>322</v>
      </c>
      <c r="D168" s="296" t="s">
        <v>323</v>
      </c>
      <c r="E168" s="297" t="s">
        <v>296</v>
      </c>
      <c r="F168" s="298">
        <v>3</v>
      </c>
      <c r="G168" s="218">
        <v>1310000</v>
      </c>
      <c r="H168" s="167">
        <f t="shared" si="5"/>
        <v>3930000</v>
      </c>
      <c r="I168" s="39"/>
    </row>
    <row r="169" spans="1:9" ht="15.9" customHeight="1">
      <c r="A169" s="483"/>
      <c r="B169" s="208"/>
      <c r="C169" s="215" t="s">
        <v>282</v>
      </c>
      <c r="D169" s="296" t="s">
        <v>324</v>
      </c>
      <c r="E169" s="297" t="s">
        <v>253</v>
      </c>
      <c r="F169" s="298">
        <v>2</v>
      </c>
      <c r="G169" s="218">
        <v>790000</v>
      </c>
      <c r="H169" s="167">
        <f t="shared" si="5"/>
        <v>1580000</v>
      </c>
      <c r="I169" s="39"/>
    </row>
    <row r="170" spans="1:9" ht="15.9" customHeight="1">
      <c r="A170" s="483"/>
      <c r="B170" s="208"/>
      <c r="C170" s="215" t="s">
        <v>282</v>
      </c>
      <c r="D170" s="296" t="s">
        <v>325</v>
      </c>
      <c r="E170" s="297" t="s">
        <v>253</v>
      </c>
      <c r="F170" s="298">
        <v>2</v>
      </c>
      <c r="G170" s="218">
        <v>440000</v>
      </c>
      <c r="H170" s="167">
        <f t="shared" si="5"/>
        <v>880000</v>
      </c>
      <c r="I170" s="39"/>
    </row>
    <row r="171" spans="1:9" ht="15.9" customHeight="1">
      <c r="A171" s="483"/>
      <c r="B171" s="208"/>
      <c r="C171" s="215" t="s">
        <v>326</v>
      </c>
      <c r="D171" s="296" t="s">
        <v>327</v>
      </c>
      <c r="E171" s="297" t="s">
        <v>253</v>
      </c>
      <c r="F171" s="298">
        <v>20</v>
      </c>
      <c r="G171" s="218">
        <v>140000</v>
      </c>
      <c r="H171" s="167">
        <f t="shared" si="5"/>
        <v>2800000</v>
      </c>
      <c r="I171" s="39"/>
    </row>
    <row r="172" spans="1:9" ht="15.9" customHeight="1">
      <c r="A172" s="483"/>
      <c r="B172" s="208"/>
      <c r="C172" s="296" t="s">
        <v>328</v>
      </c>
      <c r="D172" s="296" t="s">
        <v>329</v>
      </c>
      <c r="E172" s="297" t="s">
        <v>330</v>
      </c>
      <c r="F172" s="303">
        <v>8</v>
      </c>
      <c r="G172" s="299">
        <v>40000</v>
      </c>
      <c r="H172" s="167">
        <f t="shared" si="5"/>
        <v>320000</v>
      </c>
      <c r="I172" s="35"/>
    </row>
    <row r="173" spans="1:9" ht="15.9" customHeight="1">
      <c r="A173" s="483"/>
      <c r="B173" s="208"/>
      <c r="C173" s="296" t="s">
        <v>291</v>
      </c>
      <c r="D173" s="296" t="s">
        <v>331</v>
      </c>
      <c r="E173" s="297" t="s">
        <v>145</v>
      </c>
      <c r="F173" s="303">
        <v>2</v>
      </c>
      <c r="G173" s="299">
        <v>2460000</v>
      </c>
      <c r="H173" s="167">
        <f t="shared" si="5"/>
        <v>4920000</v>
      </c>
      <c r="I173" s="35"/>
    </row>
    <row r="174" spans="1:9" ht="15.9" customHeight="1">
      <c r="A174" s="483"/>
      <c r="B174" s="208"/>
      <c r="C174" s="296" t="s">
        <v>299</v>
      </c>
      <c r="D174" s="296" t="s">
        <v>300</v>
      </c>
      <c r="E174" s="297" t="s">
        <v>145</v>
      </c>
      <c r="F174" s="303">
        <v>2</v>
      </c>
      <c r="G174" s="299">
        <v>530000</v>
      </c>
      <c r="H174" s="167">
        <f t="shared" si="5"/>
        <v>1060000</v>
      </c>
      <c r="I174" s="35"/>
    </row>
    <row r="175" spans="1:9" ht="15.9" customHeight="1">
      <c r="A175" s="483"/>
      <c r="B175" s="208"/>
      <c r="C175" s="296" t="s">
        <v>332</v>
      </c>
      <c r="D175" s="296" t="s">
        <v>333</v>
      </c>
      <c r="E175" s="297" t="s">
        <v>253</v>
      </c>
      <c r="F175" s="303">
        <v>16</v>
      </c>
      <c r="G175" s="299">
        <v>50000</v>
      </c>
      <c r="H175" s="167">
        <f t="shared" si="5"/>
        <v>800000</v>
      </c>
      <c r="I175" s="35"/>
    </row>
    <row r="176" spans="1:9" ht="15.9" customHeight="1">
      <c r="A176" s="483"/>
      <c r="B176" s="208"/>
      <c r="C176" s="215" t="s">
        <v>334</v>
      </c>
      <c r="D176" s="296" t="s">
        <v>335</v>
      </c>
      <c r="E176" s="297" t="s">
        <v>296</v>
      </c>
      <c r="F176" s="298">
        <v>8</v>
      </c>
      <c r="G176" s="218">
        <v>90000</v>
      </c>
      <c r="H176" s="167">
        <f t="shared" si="5"/>
        <v>720000</v>
      </c>
      <c r="I176" s="39"/>
    </row>
    <row r="177" spans="1:9" ht="15.9" customHeight="1">
      <c r="A177" s="483"/>
      <c r="B177" s="208"/>
      <c r="C177" s="215" t="s">
        <v>336</v>
      </c>
      <c r="D177" s="296" t="s">
        <v>337</v>
      </c>
      <c r="E177" s="297" t="s">
        <v>145</v>
      </c>
      <c r="F177" s="298">
        <v>2</v>
      </c>
      <c r="G177" s="218">
        <v>320000</v>
      </c>
      <c r="H177" s="167">
        <f t="shared" si="5"/>
        <v>640000</v>
      </c>
      <c r="I177" s="39"/>
    </row>
    <row r="178" spans="1:9" ht="15.9" customHeight="1">
      <c r="A178" s="483"/>
      <c r="B178" s="208"/>
      <c r="C178" s="215" t="s">
        <v>305</v>
      </c>
      <c r="D178" s="296"/>
      <c r="E178" s="297" t="s">
        <v>145</v>
      </c>
      <c r="F178" s="298">
        <v>2</v>
      </c>
      <c r="G178" s="218">
        <v>320000</v>
      </c>
      <c r="H178" s="167">
        <f t="shared" si="5"/>
        <v>640000</v>
      </c>
      <c r="I178" s="39"/>
    </row>
    <row r="179" spans="1:9" ht="15.9" customHeight="1">
      <c r="A179" s="483"/>
      <c r="B179" s="208"/>
      <c r="C179" s="215" t="s">
        <v>282</v>
      </c>
      <c r="D179" s="296" t="s">
        <v>338</v>
      </c>
      <c r="E179" s="297" t="s">
        <v>296</v>
      </c>
      <c r="F179" s="298">
        <v>1</v>
      </c>
      <c r="G179" s="218">
        <v>290000</v>
      </c>
      <c r="H179" s="167">
        <f t="shared" si="5"/>
        <v>290000</v>
      </c>
      <c r="I179" s="39"/>
    </row>
    <row r="180" spans="1:9" ht="15.9" customHeight="1">
      <c r="A180" s="483"/>
      <c r="B180" s="208"/>
      <c r="C180" s="215" t="s">
        <v>339</v>
      </c>
      <c r="D180" s="296" t="s">
        <v>340</v>
      </c>
      <c r="E180" s="297" t="s">
        <v>145</v>
      </c>
      <c r="F180" s="298">
        <v>1</v>
      </c>
      <c r="G180" s="218">
        <v>920000</v>
      </c>
      <c r="H180" s="167">
        <f t="shared" si="5"/>
        <v>920000</v>
      </c>
      <c r="I180" s="39"/>
    </row>
    <row r="181" spans="1:9" ht="15.9" customHeight="1">
      <c r="A181" s="483"/>
      <c r="B181" s="208"/>
      <c r="C181" s="215" t="s">
        <v>341</v>
      </c>
      <c r="D181" s="296" t="s">
        <v>329</v>
      </c>
      <c r="E181" s="297" t="s">
        <v>296</v>
      </c>
      <c r="F181" s="298">
        <v>1</v>
      </c>
      <c r="G181" s="218">
        <v>20000</v>
      </c>
      <c r="H181" s="167">
        <f t="shared" si="5"/>
        <v>20000</v>
      </c>
      <c r="I181" s="39"/>
    </row>
    <row r="182" spans="1:9" ht="15.9" customHeight="1">
      <c r="A182" s="483"/>
      <c r="B182" s="208"/>
      <c r="C182" s="215" t="s">
        <v>342</v>
      </c>
      <c r="D182" s="296" t="s">
        <v>343</v>
      </c>
      <c r="E182" s="297" t="s">
        <v>296</v>
      </c>
      <c r="F182" s="298">
        <v>3</v>
      </c>
      <c r="G182" s="218">
        <v>210000</v>
      </c>
      <c r="H182" s="167">
        <f t="shared" si="5"/>
        <v>630000</v>
      </c>
      <c r="I182" s="39"/>
    </row>
    <row r="183" spans="1:9" ht="15.9" customHeight="1">
      <c r="A183" s="483"/>
      <c r="B183" s="208"/>
      <c r="C183" s="215" t="s">
        <v>344</v>
      </c>
      <c r="D183" s="296" t="s">
        <v>345</v>
      </c>
      <c r="E183" s="297" t="s">
        <v>296</v>
      </c>
      <c r="F183" s="298">
        <v>3</v>
      </c>
      <c r="G183" s="218">
        <v>60000</v>
      </c>
      <c r="H183" s="167">
        <f t="shared" si="5"/>
        <v>180000</v>
      </c>
      <c r="I183" s="39"/>
    </row>
    <row r="184" spans="1:9" ht="15.9" customHeight="1">
      <c r="A184" s="483"/>
      <c r="B184" s="208"/>
      <c r="C184" s="296" t="s">
        <v>346</v>
      </c>
      <c r="D184" s="296" t="s">
        <v>347</v>
      </c>
      <c r="E184" s="297" t="s">
        <v>296</v>
      </c>
      <c r="F184" s="303">
        <v>3</v>
      </c>
      <c r="G184" s="299">
        <v>40000</v>
      </c>
      <c r="H184" s="167">
        <f>IF(F184=0,G184,G184*F184)</f>
        <v>120000</v>
      </c>
      <c r="I184" s="35"/>
    </row>
    <row r="185" spans="1:9" ht="15.9" customHeight="1">
      <c r="A185" s="483"/>
      <c r="B185" s="208"/>
      <c r="C185" s="296" t="s">
        <v>348</v>
      </c>
      <c r="D185" s="296" t="s">
        <v>349</v>
      </c>
      <c r="E185" s="297" t="s">
        <v>296</v>
      </c>
      <c r="F185" s="303">
        <v>2</v>
      </c>
      <c r="G185" s="299">
        <v>10000</v>
      </c>
      <c r="H185" s="167">
        <f>IF(F185=0,G185,G185*F185)</f>
        <v>20000</v>
      </c>
      <c r="I185" s="35"/>
    </row>
    <row r="186" spans="1:9" ht="15.9" customHeight="1">
      <c r="A186" s="483"/>
      <c r="B186" s="208"/>
      <c r="C186" s="296" t="s">
        <v>350</v>
      </c>
      <c r="D186" s="296" t="s">
        <v>351</v>
      </c>
      <c r="E186" s="297" t="s">
        <v>253</v>
      </c>
      <c r="F186" s="303">
        <v>2</v>
      </c>
      <c r="G186" s="299">
        <v>2170000</v>
      </c>
      <c r="H186" s="167">
        <f t="shared" ref="H186:H249" si="6">IF(F186=0,G186,G186*F186)</f>
        <v>4340000</v>
      </c>
      <c r="I186" s="35"/>
    </row>
    <row r="187" spans="1:9" ht="15.9" customHeight="1">
      <c r="A187" s="483"/>
      <c r="B187" s="208"/>
      <c r="C187" s="296" t="s">
        <v>352</v>
      </c>
      <c r="D187" s="296" t="s">
        <v>353</v>
      </c>
      <c r="E187" s="297" t="s">
        <v>296</v>
      </c>
      <c r="F187" s="303">
        <v>4</v>
      </c>
      <c r="G187" s="299">
        <v>110000</v>
      </c>
      <c r="H187" s="167">
        <f t="shared" si="6"/>
        <v>440000</v>
      </c>
      <c r="I187" s="35"/>
    </row>
    <row r="188" spans="1:9" ht="15.9" customHeight="1">
      <c r="A188" s="483"/>
      <c r="B188" s="208"/>
      <c r="C188" s="215" t="s">
        <v>354</v>
      </c>
      <c r="D188" s="296" t="s">
        <v>355</v>
      </c>
      <c r="E188" s="297" t="s">
        <v>296</v>
      </c>
      <c r="F188" s="298">
        <v>2</v>
      </c>
      <c r="G188" s="218">
        <v>50000</v>
      </c>
      <c r="H188" s="167">
        <f t="shared" si="6"/>
        <v>100000</v>
      </c>
      <c r="I188" s="39"/>
    </row>
    <row r="189" spans="1:9" ht="15.9" customHeight="1">
      <c r="A189" s="483"/>
      <c r="B189" s="208"/>
      <c r="C189" s="215" t="s">
        <v>356</v>
      </c>
      <c r="D189" s="296" t="s">
        <v>357</v>
      </c>
      <c r="E189" s="297" t="s">
        <v>145</v>
      </c>
      <c r="F189" s="298">
        <v>2</v>
      </c>
      <c r="G189" s="218">
        <v>680000</v>
      </c>
      <c r="H189" s="167">
        <f t="shared" si="6"/>
        <v>1360000</v>
      </c>
      <c r="I189" s="39"/>
    </row>
    <row r="190" spans="1:9" ht="15.9" customHeight="1">
      <c r="A190" s="483"/>
      <c r="B190" s="208"/>
      <c r="C190" s="215" t="s">
        <v>358</v>
      </c>
      <c r="D190" s="296" t="s">
        <v>359</v>
      </c>
      <c r="E190" s="297" t="s">
        <v>296</v>
      </c>
      <c r="F190" s="298">
        <v>2</v>
      </c>
      <c r="G190" s="218">
        <v>1840000</v>
      </c>
      <c r="H190" s="167">
        <f t="shared" si="6"/>
        <v>3680000</v>
      </c>
      <c r="I190" s="39"/>
    </row>
    <row r="191" spans="1:9" ht="15.9" customHeight="1">
      <c r="A191" s="483"/>
      <c r="B191" s="208"/>
      <c r="C191" s="215" t="s">
        <v>360</v>
      </c>
      <c r="D191" s="296" t="s">
        <v>361</v>
      </c>
      <c r="E191" s="297" t="s">
        <v>296</v>
      </c>
      <c r="F191" s="298">
        <v>2</v>
      </c>
      <c r="G191" s="218">
        <v>260000</v>
      </c>
      <c r="H191" s="167">
        <f t="shared" si="6"/>
        <v>520000</v>
      </c>
      <c r="I191" s="39"/>
    </row>
    <row r="192" spans="1:9" ht="15.9" customHeight="1">
      <c r="A192" s="483"/>
      <c r="B192" s="208"/>
      <c r="C192" s="215" t="s">
        <v>336</v>
      </c>
      <c r="D192" s="296" t="s">
        <v>337</v>
      </c>
      <c r="E192" s="297" t="s">
        <v>145</v>
      </c>
      <c r="F192" s="298">
        <v>2</v>
      </c>
      <c r="G192" s="218">
        <v>110000</v>
      </c>
      <c r="H192" s="167">
        <f t="shared" si="6"/>
        <v>220000</v>
      </c>
      <c r="I192" s="39"/>
    </row>
    <row r="193" spans="1:9" ht="15.9" customHeight="1">
      <c r="A193" s="483"/>
      <c r="B193" s="208"/>
      <c r="C193" s="215" t="s">
        <v>362</v>
      </c>
      <c r="D193" s="296"/>
      <c r="E193" s="297" t="s">
        <v>145</v>
      </c>
      <c r="F193" s="298">
        <v>2</v>
      </c>
      <c r="G193" s="218">
        <v>320000</v>
      </c>
      <c r="H193" s="167">
        <f t="shared" si="6"/>
        <v>640000</v>
      </c>
      <c r="I193" s="39"/>
    </row>
    <row r="194" spans="1:9" ht="15.9" customHeight="1">
      <c r="A194" s="483"/>
      <c r="B194" s="208"/>
      <c r="C194" s="215" t="s">
        <v>282</v>
      </c>
      <c r="D194" s="296" t="s">
        <v>325</v>
      </c>
      <c r="E194" s="297" t="s">
        <v>253</v>
      </c>
      <c r="F194" s="298">
        <v>2</v>
      </c>
      <c r="G194" s="218">
        <v>440000</v>
      </c>
      <c r="H194" s="167">
        <f t="shared" si="6"/>
        <v>880000</v>
      </c>
      <c r="I194" s="39"/>
    </row>
    <row r="195" spans="1:9" ht="15.9" customHeight="1">
      <c r="A195" s="483"/>
      <c r="B195" s="208"/>
      <c r="C195" s="215" t="s">
        <v>326</v>
      </c>
      <c r="D195" s="296" t="s">
        <v>327</v>
      </c>
      <c r="E195" s="297" t="s">
        <v>296</v>
      </c>
      <c r="F195" s="298">
        <v>8</v>
      </c>
      <c r="G195" s="218">
        <v>130000</v>
      </c>
      <c r="H195" s="167">
        <f t="shared" si="6"/>
        <v>1040000</v>
      </c>
      <c r="I195" s="39"/>
    </row>
    <row r="196" spans="1:9" ht="15.9" customHeight="1">
      <c r="A196" s="483"/>
      <c r="B196" s="208"/>
      <c r="C196" s="296" t="s">
        <v>326</v>
      </c>
      <c r="D196" s="296" t="s">
        <v>363</v>
      </c>
      <c r="E196" s="297" t="s">
        <v>296</v>
      </c>
      <c r="F196" s="303">
        <v>16</v>
      </c>
      <c r="G196" s="299">
        <v>70000</v>
      </c>
      <c r="H196" s="167">
        <f t="shared" si="6"/>
        <v>1120000</v>
      </c>
      <c r="I196" s="35"/>
    </row>
    <row r="197" spans="1:9" ht="15.9" customHeight="1">
      <c r="A197" s="483"/>
      <c r="B197" s="208"/>
      <c r="C197" s="296" t="s">
        <v>328</v>
      </c>
      <c r="D197" s="296" t="s">
        <v>329</v>
      </c>
      <c r="E197" s="297" t="s">
        <v>330</v>
      </c>
      <c r="F197" s="303">
        <v>4</v>
      </c>
      <c r="G197" s="299">
        <v>40000</v>
      </c>
      <c r="H197" s="167">
        <f t="shared" si="6"/>
        <v>160000</v>
      </c>
      <c r="I197" s="35"/>
    </row>
    <row r="198" spans="1:9" ht="15.9" customHeight="1">
      <c r="A198" s="483"/>
      <c r="B198" s="208"/>
      <c r="C198" s="215" t="s">
        <v>332</v>
      </c>
      <c r="D198" s="296" t="s">
        <v>364</v>
      </c>
      <c r="E198" s="297" t="s">
        <v>253</v>
      </c>
      <c r="F198" s="298">
        <v>4</v>
      </c>
      <c r="G198" s="218">
        <v>40000</v>
      </c>
      <c r="H198" s="167">
        <f t="shared" si="6"/>
        <v>160000</v>
      </c>
      <c r="I198" s="39"/>
    </row>
    <row r="199" spans="1:9" ht="15.9" customHeight="1">
      <c r="A199" s="483"/>
      <c r="B199" s="208"/>
      <c r="C199" s="215" t="s">
        <v>365</v>
      </c>
      <c r="D199" s="296" t="s">
        <v>366</v>
      </c>
      <c r="E199" s="297" t="s">
        <v>253</v>
      </c>
      <c r="F199" s="298">
        <v>2</v>
      </c>
      <c r="G199" s="218">
        <v>470000</v>
      </c>
      <c r="H199" s="167">
        <f t="shared" si="6"/>
        <v>940000</v>
      </c>
      <c r="I199" s="39"/>
    </row>
    <row r="200" spans="1:9" ht="15.9" customHeight="1">
      <c r="A200" s="483"/>
      <c r="B200" s="208"/>
      <c r="C200" s="215" t="s">
        <v>367</v>
      </c>
      <c r="D200" s="296" t="s">
        <v>364</v>
      </c>
      <c r="E200" s="297" t="s">
        <v>253</v>
      </c>
      <c r="F200" s="298">
        <v>2</v>
      </c>
      <c r="G200" s="218">
        <v>160000</v>
      </c>
      <c r="H200" s="167">
        <f t="shared" si="6"/>
        <v>320000</v>
      </c>
      <c r="I200" s="39"/>
    </row>
    <row r="201" spans="1:9" ht="15.9" customHeight="1">
      <c r="A201" s="483"/>
      <c r="B201" s="208"/>
      <c r="C201" s="215" t="s">
        <v>336</v>
      </c>
      <c r="D201" s="296" t="s">
        <v>337</v>
      </c>
      <c r="E201" s="297" t="s">
        <v>145</v>
      </c>
      <c r="F201" s="298">
        <v>2</v>
      </c>
      <c r="G201" s="218">
        <v>210000</v>
      </c>
      <c r="H201" s="167">
        <f t="shared" si="6"/>
        <v>420000</v>
      </c>
      <c r="I201" s="39"/>
    </row>
    <row r="202" spans="1:9" ht="15.9" customHeight="1">
      <c r="A202" s="483"/>
      <c r="B202" s="208"/>
      <c r="C202" s="215" t="s">
        <v>362</v>
      </c>
      <c r="D202" s="296"/>
      <c r="E202" s="297" t="s">
        <v>145</v>
      </c>
      <c r="F202" s="298">
        <v>2</v>
      </c>
      <c r="G202" s="218">
        <v>320000</v>
      </c>
      <c r="H202" s="167">
        <f t="shared" si="6"/>
        <v>640000</v>
      </c>
      <c r="I202" s="39"/>
    </row>
    <row r="203" spans="1:9" ht="15.9" customHeight="1">
      <c r="A203" s="483"/>
      <c r="B203" s="208"/>
      <c r="C203" s="215" t="s">
        <v>282</v>
      </c>
      <c r="D203" s="296" t="s">
        <v>368</v>
      </c>
      <c r="E203" s="297" t="s">
        <v>253</v>
      </c>
      <c r="F203" s="298">
        <v>4</v>
      </c>
      <c r="G203" s="218">
        <v>600000</v>
      </c>
      <c r="H203" s="167">
        <f t="shared" si="6"/>
        <v>2400000</v>
      </c>
      <c r="I203" s="39"/>
    </row>
    <row r="204" spans="1:9" ht="15.9" customHeight="1">
      <c r="A204" s="483"/>
      <c r="B204" s="208"/>
      <c r="C204" s="215" t="s">
        <v>328</v>
      </c>
      <c r="D204" s="296" t="s">
        <v>329</v>
      </c>
      <c r="E204" s="297" t="s">
        <v>330</v>
      </c>
      <c r="F204" s="298">
        <v>20</v>
      </c>
      <c r="G204" s="218">
        <v>40000</v>
      </c>
      <c r="H204" s="167">
        <f t="shared" si="6"/>
        <v>800000</v>
      </c>
      <c r="I204" s="39"/>
    </row>
    <row r="205" spans="1:9" ht="15.9" customHeight="1">
      <c r="A205" s="483"/>
      <c r="B205" s="208"/>
      <c r="C205" s="215" t="s">
        <v>369</v>
      </c>
      <c r="D205" s="296" t="s">
        <v>366</v>
      </c>
      <c r="E205" s="297" t="s">
        <v>253</v>
      </c>
      <c r="F205" s="298">
        <v>8</v>
      </c>
      <c r="G205" s="218">
        <v>470000</v>
      </c>
      <c r="H205" s="167">
        <f t="shared" si="6"/>
        <v>3760000</v>
      </c>
      <c r="I205" s="39"/>
    </row>
    <row r="206" spans="1:9" ht="15.9" customHeight="1">
      <c r="A206" s="483"/>
      <c r="B206" s="208"/>
      <c r="C206" s="296" t="s">
        <v>370</v>
      </c>
      <c r="D206" s="296" t="s">
        <v>371</v>
      </c>
      <c r="E206" s="297" t="s">
        <v>253</v>
      </c>
      <c r="F206" s="303">
        <v>80</v>
      </c>
      <c r="G206" s="299">
        <v>90000</v>
      </c>
      <c r="H206" s="167">
        <f t="shared" si="6"/>
        <v>7200000</v>
      </c>
      <c r="I206" s="35"/>
    </row>
    <row r="207" spans="1:9" ht="15.9" customHeight="1">
      <c r="A207" s="483"/>
      <c r="B207" s="208"/>
      <c r="C207" s="296" t="s">
        <v>332</v>
      </c>
      <c r="D207" s="296" t="s">
        <v>372</v>
      </c>
      <c r="E207" s="297" t="s">
        <v>253</v>
      </c>
      <c r="F207" s="303">
        <v>4</v>
      </c>
      <c r="G207" s="299">
        <v>40000</v>
      </c>
      <c r="H207" s="167">
        <f t="shared" si="6"/>
        <v>160000</v>
      </c>
      <c r="I207" s="35"/>
    </row>
    <row r="208" spans="1:9" ht="15.9" customHeight="1">
      <c r="A208" s="483"/>
      <c r="B208" s="208"/>
      <c r="C208" s="215" t="s">
        <v>332</v>
      </c>
      <c r="D208" s="296" t="s">
        <v>373</v>
      </c>
      <c r="E208" s="297" t="s">
        <v>253</v>
      </c>
      <c r="F208" s="298">
        <v>4</v>
      </c>
      <c r="G208" s="218">
        <v>40000</v>
      </c>
      <c r="H208" s="167">
        <f t="shared" si="6"/>
        <v>160000</v>
      </c>
      <c r="I208" s="39"/>
    </row>
    <row r="209" spans="1:9" ht="15.9" customHeight="1">
      <c r="A209" s="483"/>
      <c r="B209" s="208"/>
      <c r="C209" s="215" t="s">
        <v>374</v>
      </c>
      <c r="D209" s="296" t="s">
        <v>375</v>
      </c>
      <c r="E209" s="297" t="s">
        <v>253</v>
      </c>
      <c r="F209" s="298">
        <v>16</v>
      </c>
      <c r="G209" s="218">
        <v>40000</v>
      </c>
      <c r="H209" s="167">
        <f t="shared" si="6"/>
        <v>640000</v>
      </c>
      <c r="I209" s="39"/>
    </row>
    <row r="210" spans="1:9" ht="15.9" customHeight="1">
      <c r="A210" s="483"/>
      <c r="B210" s="208"/>
      <c r="C210" s="215" t="s">
        <v>367</v>
      </c>
      <c r="D210" s="296" t="s">
        <v>364</v>
      </c>
      <c r="E210" s="297" t="s">
        <v>253</v>
      </c>
      <c r="F210" s="298">
        <v>4</v>
      </c>
      <c r="G210" s="218">
        <v>160000</v>
      </c>
      <c r="H210" s="167">
        <f t="shared" si="6"/>
        <v>640000</v>
      </c>
      <c r="I210" s="39"/>
    </row>
    <row r="211" spans="1:9" ht="15.9" customHeight="1">
      <c r="A211" s="483"/>
      <c r="B211" s="208"/>
      <c r="C211" s="215" t="s">
        <v>336</v>
      </c>
      <c r="D211" s="296" t="s">
        <v>376</v>
      </c>
      <c r="E211" s="297" t="s">
        <v>145</v>
      </c>
      <c r="F211" s="298">
        <v>4</v>
      </c>
      <c r="G211" s="218">
        <v>470000</v>
      </c>
      <c r="H211" s="167">
        <f t="shared" si="6"/>
        <v>1880000</v>
      </c>
      <c r="I211" s="39"/>
    </row>
    <row r="212" spans="1:9" ht="15.9" customHeight="1">
      <c r="A212" s="483"/>
      <c r="B212" s="208"/>
      <c r="C212" s="215" t="s">
        <v>362</v>
      </c>
      <c r="D212" s="296"/>
      <c r="E212" s="297" t="s">
        <v>145</v>
      </c>
      <c r="F212" s="298">
        <v>4</v>
      </c>
      <c r="G212" s="218">
        <v>630000</v>
      </c>
      <c r="H212" s="167">
        <f t="shared" si="6"/>
        <v>2520000</v>
      </c>
      <c r="I212" s="39"/>
    </row>
    <row r="213" spans="1:9" ht="15.9" customHeight="1">
      <c r="A213" s="483"/>
      <c r="B213" s="208"/>
      <c r="C213" s="215" t="s">
        <v>377</v>
      </c>
      <c r="D213" s="296" t="s">
        <v>378</v>
      </c>
      <c r="E213" s="297" t="s">
        <v>296</v>
      </c>
      <c r="F213" s="298">
        <v>2</v>
      </c>
      <c r="G213" s="218">
        <v>4910000</v>
      </c>
      <c r="H213" s="167">
        <f t="shared" si="6"/>
        <v>9820000</v>
      </c>
      <c r="I213" s="39"/>
    </row>
    <row r="214" spans="1:9" ht="15.9" customHeight="1">
      <c r="A214" s="483"/>
      <c r="B214" s="208"/>
      <c r="C214" s="215" t="s">
        <v>350</v>
      </c>
      <c r="D214" s="296" t="s">
        <v>351</v>
      </c>
      <c r="E214" s="297" t="s">
        <v>253</v>
      </c>
      <c r="F214" s="298">
        <v>4</v>
      </c>
      <c r="G214" s="218">
        <v>2170000</v>
      </c>
      <c r="H214" s="167">
        <f t="shared" si="6"/>
        <v>8680000</v>
      </c>
      <c r="I214" s="39"/>
    </row>
    <row r="215" spans="1:9" ht="15.9" customHeight="1">
      <c r="A215" s="483"/>
      <c r="B215" s="208"/>
      <c r="C215" s="215" t="s">
        <v>379</v>
      </c>
      <c r="D215" s="296" t="s">
        <v>380</v>
      </c>
      <c r="E215" s="297" t="s">
        <v>253</v>
      </c>
      <c r="F215" s="298">
        <v>2</v>
      </c>
      <c r="G215" s="218">
        <v>1740000</v>
      </c>
      <c r="H215" s="167">
        <f t="shared" si="6"/>
        <v>3480000</v>
      </c>
      <c r="I215" s="39"/>
    </row>
    <row r="216" spans="1:9" ht="15.9" customHeight="1">
      <c r="A216" s="483"/>
      <c r="B216" s="208"/>
      <c r="C216" s="296" t="s">
        <v>381</v>
      </c>
      <c r="D216" s="296"/>
      <c r="E216" s="297" t="s">
        <v>253</v>
      </c>
      <c r="F216" s="303">
        <v>4</v>
      </c>
      <c r="G216" s="299">
        <v>60000</v>
      </c>
      <c r="H216" s="167">
        <f t="shared" si="6"/>
        <v>240000</v>
      </c>
      <c r="I216" s="35"/>
    </row>
    <row r="217" spans="1:9" ht="15.9" customHeight="1">
      <c r="A217" s="483"/>
      <c r="B217" s="208"/>
      <c r="C217" s="296" t="s">
        <v>382</v>
      </c>
      <c r="D217" s="296" t="s">
        <v>383</v>
      </c>
      <c r="E217" s="297" t="s">
        <v>253</v>
      </c>
      <c r="F217" s="303">
        <v>4</v>
      </c>
      <c r="G217" s="299">
        <v>40000</v>
      </c>
      <c r="H217" s="167">
        <f t="shared" si="6"/>
        <v>160000</v>
      </c>
      <c r="I217" s="35"/>
    </row>
    <row r="218" spans="1:9" ht="15.9" customHeight="1">
      <c r="A218" s="483"/>
      <c r="B218" s="208"/>
      <c r="C218" s="215" t="s">
        <v>305</v>
      </c>
      <c r="D218" s="296" t="s">
        <v>384</v>
      </c>
      <c r="E218" s="297" t="s">
        <v>145</v>
      </c>
      <c r="F218" s="298">
        <v>2</v>
      </c>
      <c r="G218" s="218">
        <v>530000</v>
      </c>
      <c r="H218" s="167">
        <f t="shared" si="6"/>
        <v>1060000</v>
      </c>
      <c r="I218" s="39"/>
    </row>
    <row r="219" spans="1:9" ht="15.9" customHeight="1">
      <c r="A219" s="483"/>
      <c r="B219" s="208"/>
      <c r="C219" s="215" t="s">
        <v>362</v>
      </c>
      <c r="D219" s="296"/>
      <c r="E219" s="297" t="s">
        <v>145</v>
      </c>
      <c r="F219" s="298">
        <v>2</v>
      </c>
      <c r="G219" s="218">
        <v>320000</v>
      </c>
      <c r="H219" s="167">
        <f t="shared" si="6"/>
        <v>640000</v>
      </c>
      <c r="I219" s="39"/>
    </row>
    <row r="220" spans="1:9" ht="15.9" customHeight="1">
      <c r="A220" s="483"/>
      <c r="B220" s="208"/>
      <c r="C220" s="215" t="s">
        <v>204</v>
      </c>
      <c r="D220" s="296"/>
      <c r="E220" s="297" t="s">
        <v>145</v>
      </c>
      <c r="F220" s="298">
        <v>2</v>
      </c>
      <c r="G220" s="218">
        <v>530000</v>
      </c>
      <c r="H220" s="167">
        <f t="shared" si="6"/>
        <v>1060000</v>
      </c>
      <c r="I220" s="39"/>
    </row>
    <row r="221" spans="1:9" ht="15.9" customHeight="1">
      <c r="A221" s="483"/>
      <c r="B221" s="208"/>
      <c r="C221" s="215" t="s">
        <v>385</v>
      </c>
      <c r="D221" s="296"/>
      <c r="E221" s="297" t="s">
        <v>253</v>
      </c>
      <c r="F221" s="298">
        <v>1</v>
      </c>
      <c r="G221" s="218">
        <v>8400000</v>
      </c>
      <c r="H221" s="167">
        <f t="shared" si="6"/>
        <v>8400000</v>
      </c>
      <c r="I221" s="39"/>
    </row>
    <row r="222" spans="1:9" ht="15.9" customHeight="1">
      <c r="A222" s="483"/>
      <c r="B222" s="208"/>
      <c r="C222" s="215" t="s">
        <v>386</v>
      </c>
      <c r="D222" s="296" t="s">
        <v>387</v>
      </c>
      <c r="E222" s="297" t="s">
        <v>253</v>
      </c>
      <c r="F222" s="298">
        <v>1</v>
      </c>
      <c r="G222" s="218">
        <v>4570000</v>
      </c>
      <c r="H222" s="167">
        <f t="shared" si="6"/>
        <v>4570000</v>
      </c>
      <c r="I222" s="39"/>
    </row>
    <row r="223" spans="1:9" ht="15.9" customHeight="1">
      <c r="A223" s="483"/>
      <c r="B223" s="208"/>
      <c r="C223" s="215" t="s">
        <v>388</v>
      </c>
      <c r="D223" s="296" t="s">
        <v>389</v>
      </c>
      <c r="E223" s="297" t="s">
        <v>253</v>
      </c>
      <c r="F223" s="298">
        <v>1</v>
      </c>
      <c r="G223" s="218">
        <v>730000</v>
      </c>
      <c r="H223" s="167">
        <f t="shared" si="6"/>
        <v>730000</v>
      </c>
      <c r="I223" s="39"/>
    </row>
    <row r="224" spans="1:9" ht="15.9" customHeight="1">
      <c r="A224" s="483"/>
      <c r="B224" s="208"/>
      <c r="C224" s="215" t="s">
        <v>390</v>
      </c>
      <c r="D224" s="296" t="s">
        <v>391</v>
      </c>
      <c r="E224" s="297" t="s">
        <v>253</v>
      </c>
      <c r="F224" s="298">
        <v>1</v>
      </c>
      <c r="G224" s="218">
        <v>390000</v>
      </c>
      <c r="H224" s="167">
        <f t="shared" si="6"/>
        <v>390000</v>
      </c>
      <c r="I224" s="39"/>
    </row>
    <row r="225" spans="1:9" ht="15.9" customHeight="1">
      <c r="A225" s="483"/>
      <c r="B225" s="208"/>
      <c r="C225" s="215" t="s">
        <v>392</v>
      </c>
      <c r="D225" s="296" t="s">
        <v>393</v>
      </c>
      <c r="E225" s="297" t="s">
        <v>253</v>
      </c>
      <c r="F225" s="298">
        <v>2</v>
      </c>
      <c r="G225" s="218">
        <v>470000</v>
      </c>
      <c r="H225" s="167">
        <f t="shared" si="6"/>
        <v>940000</v>
      </c>
      <c r="I225" s="39"/>
    </row>
    <row r="226" spans="1:9" ht="15.9" customHeight="1">
      <c r="A226" s="483"/>
      <c r="B226" s="208"/>
      <c r="C226" s="215" t="s">
        <v>394</v>
      </c>
      <c r="D226" s="296" t="s">
        <v>395</v>
      </c>
      <c r="E226" s="297" t="s">
        <v>253</v>
      </c>
      <c r="F226" s="298">
        <v>1</v>
      </c>
      <c r="G226" s="218">
        <v>2630000</v>
      </c>
      <c r="H226" s="167">
        <f t="shared" si="6"/>
        <v>2630000</v>
      </c>
      <c r="I226" s="39"/>
    </row>
    <row r="227" spans="1:9" ht="15.9" customHeight="1">
      <c r="A227" s="483"/>
      <c r="B227" s="208"/>
      <c r="C227" s="215" t="s">
        <v>396</v>
      </c>
      <c r="D227" s="296" t="s">
        <v>397</v>
      </c>
      <c r="E227" s="297" t="s">
        <v>398</v>
      </c>
      <c r="F227" s="298">
        <v>130</v>
      </c>
      <c r="G227" s="218">
        <v>50000</v>
      </c>
      <c r="H227" s="167">
        <f t="shared" si="6"/>
        <v>6500000</v>
      </c>
      <c r="I227" s="39"/>
    </row>
    <row r="228" spans="1:9" ht="15.9" customHeight="1">
      <c r="A228" s="483"/>
      <c r="B228" s="208"/>
      <c r="C228" s="296" t="s">
        <v>399</v>
      </c>
      <c r="D228" s="296" t="s">
        <v>400</v>
      </c>
      <c r="E228" s="297" t="s">
        <v>253</v>
      </c>
      <c r="F228" s="303">
        <v>1</v>
      </c>
      <c r="G228" s="299">
        <v>320000</v>
      </c>
      <c r="H228" s="167">
        <f t="shared" si="6"/>
        <v>320000</v>
      </c>
      <c r="I228" s="35"/>
    </row>
    <row r="229" spans="1:9" ht="15.9" customHeight="1">
      <c r="A229" s="483"/>
      <c r="B229" s="208"/>
      <c r="C229" s="296" t="s">
        <v>401</v>
      </c>
      <c r="D229" s="296" t="s">
        <v>402</v>
      </c>
      <c r="E229" s="297" t="s">
        <v>253</v>
      </c>
      <c r="F229" s="303">
        <v>2</v>
      </c>
      <c r="G229" s="299">
        <v>630000</v>
      </c>
      <c r="H229" s="167">
        <f t="shared" si="6"/>
        <v>1260000</v>
      </c>
      <c r="I229" s="35"/>
    </row>
    <row r="230" spans="1:9" ht="15.9" customHeight="1">
      <c r="A230" s="483"/>
      <c r="B230" s="208"/>
      <c r="C230" s="215" t="s">
        <v>332</v>
      </c>
      <c r="D230" s="296" t="s">
        <v>403</v>
      </c>
      <c r="E230" s="297" t="s">
        <v>253</v>
      </c>
      <c r="F230" s="298">
        <v>8</v>
      </c>
      <c r="G230" s="218">
        <v>60000</v>
      </c>
      <c r="H230" s="167">
        <f t="shared" si="6"/>
        <v>480000</v>
      </c>
      <c r="I230" s="39"/>
    </row>
    <row r="231" spans="1:9" ht="15.9" customHeight="1">
      <c r="A231" s="483"/>
      <c r="B231" s="208"/>
      <c r="C231" s="215" t="s">
        <v>332</v>
      </c>
      <c r="D231" s="296" t="s">
        <v>404</v>
      </c>
      <c r="E231" s="297" t="s">
        <v>253</v>
      </c>
      <c r="F231" s="298">
        <v>1</v>
      </c>
      <c r="G231" s="218">
        <v>70000</v>
      </c>
      <c r="H231" s="167">
        <f t="shared" si="6"/>
        <v>70000</v>
      </c>
      <c r="I231" s="39"/>
    </row>
    <row r="232" spans="1:9" ht="15.9" customHeight="1">
      <c r="A232" s="483"/>
      <c r="B232" s="208"/>
      <c r="C232" s="215" t="s">
        <v>332</v>
      </c>
      <c r="D232" s="296" t="s">
        <v>405</v>
      </c>
      <c r="E232" s="297" t="s">
        <v>253</v>
      </c>
      <c r="F232" s="298">
        <v>1</v>
      </c>
      <c r="G232" s="218">
        <v>70000</v>
      </c>
      <c r="H232" s="167">
        <f t="shared" si="6"/>
        <v>70000</v>
      </c>
      <c r="I232" s="39"/>
    </row>
    <row r="233" spans="1:9" ht="15.9" customHeight="1">
      <c r="A233" s="483"/>
      <c r="B233" s="208"/>
      <c r="C233" s="215" t="s">
        <v>406</v>
      </c>
      <c r="D233" s="296" t="s">
        <v>407</v>
      </c>
      <c r="E233" s="297" t="s">
        <v>253</v>
      </c>
      <c r="F233" s="298">
        <v>2</v>
      </c>
      <c r="G233" s="218">
        <v>890000</v>
      </c>
      <c r="H233" s="167">
        <f t="shared" si="6"/>
        <v>1780000</v>
      </c>
      <c r="I233" s="39"/>
    </row>
    <row r="234" spans="1:9" ht="15.9" customHeight="1">
      <c r="A234" s="483"/>
      <c r="B234" s="208"/>
      <c r="C234" s="215" t="s">
        <v>408</v>
      </c>
      <c r="D234" s="296" t="s">
        <v>409</v>
      </c>
      <c r="E234" s="297" t="s">
        <v>253</v>
      </c>
      <c r="F234" s="298">
        <v>6</v>
      </c>
      <c r="G234" s="218">
        <v>530000</v>
      </c>
      <c r="H234" s="167">
        <f t="shared" si="6"/>
        <v>3180000</v>
      </c>
      <c r="I234" s="39"/>
    </row>
    <row r="235" spans="1:9" ht="15.9" customHeight="1">
      <c r="A235" s="483"/>
      <c r="B235" s="208"/>
      <c r="C235" s="215" t="s">
        <v>297</v>
      </c>
      <c r="D235" s="296" t="s">
        <v>410</v>
      </c>
      <c r="E235" s="297" t="s">
        <v>145</v>
      </c>
      <c r="F235" s="298">
        <v>1</v>
      </c>
      <c r="G235" s="218">
        <v>2100000</v>
      </c>
      <c r="H235" s="167">
        <f t="shared" si="6"/>
        <v>2100000</v>
      </c>
      <c r="I235" s="39"/>
    </row>
    <row r="236" spans="1:9" ht="15.9" customHeight="1">
      <c r="A236" s="483"/>
      <c r="B236" s="208"/>
      <c r="C236" s="215" t="s">
        <v>411</v>
      </c>
      <c r="D236" s="296" t="s">
        <v>412</v>
      </c>
      <c r="E236" s="297" t="s">
        <v>145</v>
      </c>
      <c r="F236" s="298">
        <v>1</v>
      </c>
      <c r="G236" s="218">
        <v>3150000</v>
      </c>
      <c r="H236" s="167">
        <f t="shared" si="6"/>
        <v>3150000</v>
      </c>
      <c r="I236" s="39"/>
    </row>
    <row r="237" spans="1:9" ht="15.9" customHeight="1">
      <c r="A237" s="483"/>
      <c r="B237" s="208"/>
      <c r="C237" s="215" t="s">
        <v>328</v>
      </c>
      <c r="D237" s="296" t="s">
        <v>413</v>
      </c>
      <c r="E237" s="297" t="s">
        <v>330</v>
      </c>
      <c r="F237" s="298">
        <v>1</v>
      </c>
      <c r="G237" s="218">
        <v>80000</v>
      </c>
      <c r="H237" s="167">
        <f t="shared" si="6"/>
        <v>80000</v>
      </c>
      <c r="I237" s="39"/>
    </row>
    <row r="238" spans="1:9" ht="15.9" customHeight="1">
      <c r="A238" s="483"/>
      <c r="B238" s="208"/>
      <c r="C238" s="215" t="s">
        <v>414</v>
      </c>
      <c r="D238" s="296" t="s">
        <v>415</v>
      </c>
      <c r="E238" s="297" t="s">
        <v>253</v>
      </c>
      <c r="F238" s="298">
        <v>1</v>
      </c>
      <c r="G238" s="218">
        <v>23100000</v>
      </c>
      <c r="H238" s="167">
        <f t="shared" si="6"/>
        <v>23100000</v>
      </c>
      <c r="I238" s="39"/>
    </row>
    <row r="239" spans="1:9" ht="15.9" customHeight="1">
      <c r="A239" s="483"/>
      <c r="B239" s="208"/>
      <c r="C239" s="215" t="s">
        <v>416</v>
      </c>
      <c r="D239" s="296" t="s">
        <v>417</v>
      </c>
      <c r="E239" s="297" t="s">
        <v>253</v>
      </c>
      <c r="F239" s="298">
        <v>4</v>
      </c>
      <c r="G239" s="218">
        <v>6090000</v>
      </c>
      <c r="H239" s="167">
        <f t="shared" si="6"/>
        <v>24360000</v>
      </c>
      <c r="I239" s="39"/>
    </row>
    <row r="240" spans="1:9" ht="15.9" customHeight="1">
      <c r="A240" s="483"/>
      <c r="B240" s="208"/>
      <c r="C240" s="296" t="s">
        <v>418</v>
      </c>
      <c r="D240" s="296" t="s">
        <v>419</v>
      </c>
      <c r="E240" s="297" t="s">
        <v>145</v>
      </c>
      <c r="F240" s="303">
        <v>1</v>
      </c>
      <c r="G240" s="299">
        <v>4410000</v>
      </c>
      <c r="H240" s="167">
        <f t="shared" si="6"/>
        <v>4410000</v>
      </c>
      <c r="I240" s="35"/>
    </row>
    <row r="241" spans="1:9" ht="15.9" customHeight="1">
      <c r="A241" s="483"/>
      <c r="B241" s="208"/>
      <c r="C241" s="296" t="s">
        <v>420</v>
      </c>
      <c r="D241" s="296" t="s">
        <v>421</v>
      </c>
      <c r="E241" s="297" t="s">
        <v>296</v>
      </c>
      <c r="F241" s="303">
        <v>4</v>
      </c>
      <c r="G241" s="299">
        <v>130000</v>
      </c>
      <c r="H241" s="167">
        <f t="shared" si="6"/>
        <v>520000</v>
      </c>
      <c r="I241" s="35"/>
    </row>
    <row r="242" spans="1:9" ht="15.9" customHeight="1">
      <c r="A242" s="483"/>
      <c r="B242" s="208"/>
      <c r="C242" s="215" t="s">
        <v>422</v>
      </c>
      <c r="D242" s="296"/>
      <c r="E242" s="297" t="s">
        <v>296</v>
      </c>
      <c r="F242" s="298">
        <v>12</v>
      </c>
      <c r="G242" s="218">
        <v>160000</v>
      </c>
      <c r="H242" s="167">
        <f t="shared" si="6"/>
        <v>1920000</v>
      </c>
      <c r="I242" s="39"/>
    </row>
    <row r="243" spans="1:9" ht="15.9" customHeight="1">
      <c r="A243" s="483"/>
      <c r="B243" s="208"/>
      <c r="C243" s="215" t="s">
        <v>423</v>
      </c>
      <c r="D243" s="296" t="s">
        <v>424</v>
      </c>
      <c r="E243" s="297" t="s">
        <v>425</v>
      </c>
      <c r="F243" s="298">
        <v>1</v>
      </c>
      <c r="G243" s="218">
        <v>25000000</v>
      </c>
      <c r="H243" s="167">
        <f t="shared" si="6"/>
        <v>25000000</v>
      </c>
      <c r="I243" s="39"/>
    </row>
    <row r="244" spans="1:9" ht="15.9" customHeight="1">
      <c r="A244" s="483"/>
      <c r="B244" s="208"/>
      <c r="C244" s="215" t="s">
        <v>426</v>
      </c>
      <c r="D244" s="296"/>
      <c r="E244" s="297" t="s">
        <v>253</v>
      </c>
      <c r="F244" s="298">
        <v>2</v>
      </c>
      <c r="G244" s="218">
        <v>15000000</v>
      </c>
      <c r="H244" s="167">
        <f t="shared" si="6"/>
        <v>30000000</v>
      </c>
      <c r="I244" s="39"/>
    </row>
    <row r="245" spans="1:9" ht="15.9" customHeight="1">
      <c r="A245" s="483"/>
      <c r="B245" s="208"/>
      <c r="C245" s="215" t="s">
        <v>427</v>
      </c>
      <c r="D245" s="296"/>
      <c r="E245" s="297" t="s">
        <v>253</v>
      </c>
      <c r="F245" s="298">
        <v>1</v>
      </c>
      <c r="G245" s="218">
        <v>10000000</v>
      </c>
      <c r="H245" s="167">
        <f t="shared" si="6"/>
        <v>10000000</v>
      </c>
      <c r="I245" s="39"/>
    </row>
    <row r="246" spans="1:9" ht="15.9" customHeight="1">
      <c r="A246" s="483"/>
      <c r="B246" s="208"/>
      <c r="C246" s="215" t="s">
        <v>428</v>
      </c>
      <c r="D246" s="296"/>
      <c r="E246" s="297" t="s">
        <v>253</v>
      </c>
      <c r="F246" s="298">
        <v>2</v>
      </c>
      <c r="G246" s="218">
        <v>5000000</v>
      </c>
      <c r="H246" s="167">
        <f t="shared" si="6"/>
        <v>10000000</v>
      </c>
      <c r="I246" s="39"/>
    </row>
    <row r="247" spans="1:9" ht="15.9" customHeight="1">
      <c r="A247" s="483"/>
      <c r="B247" s="208"/>
      <c r="C247" s="215" t="s">
        <v>429</v>
      </c>
      <c r="D247" s="296" t="s">
        <v>430</v>
      </c>
      <c r="E247" s="297" t="s">
        <v>253</v>
      </c>
      <c r="F247" s="298">
        <v>1</v>
      </c>
      <c r="G247" s="218">
        <v>55000000</v>
      </c>
      <c r="H247" s="167">
        <f t="shared" si="6"/>
        <v>55000000</v>
      </c>
      <c r="I247" s="39"/>
    </row>
    <row r="248" spans="1:9" ht="15.9" customHeight="1">
      <c r="A248" s="483"/>
      <c r="B248" s="208"/>
      <c r="C248" s="215" t="s">
        <v>431</v>
      </c>
      <c r="D248" s="296" t="s">
        <v>432</v>
      </c>
      <c r="E248" s="297" t="s">
        <v>253</v>
      </c>
      <c r="F248" s="298">
        <v>1</v>
      </c>
      <c r="G248" s="218">
        <v>500000</v>
      </c>
      <c r="H248" s="167">
        <f t="shared" si="6"/>
        <v>500000</v>
      </c>
      <c r="I248" s="39"/>
    </row>
    <row r="249" spans="1:9" ht="15.9" customHeight="1">
      <c r="A249" s="483"/>
      <c r="B249" s="208"/>
      <c r="C249" s="215" t="s">
        <v>433</v>
      </c>
      <c r="D249" s="296" t="s">
        <v>434</v>
      </c>
      <c r="E249" s="297" t="s">
        <v>253</v>
      </c>
      <c r="F249" s="298">
        <v>2</v>
      </c>
      <c r="G249" s="218">
        <v>2710000</v>
      </c>
      <c r="H249" s="167">
        <f t="shared" si="6"/>
        <v>5420000</v>
      </c>
      <c r="I249" s="39"/>
    </row>
    <row r="250" spans="1:9" ht="15.9" customHeight="1">
      <c r="A250" s="483"/>
      <c r="B250" s="208"/>
      <c r="C250" s="296" t="s">
        <v>435</v>
      </c>
      <c r="D250" s="296" t="s">
        <v>434</v>
      </c>
      <c r="E250" s="297" t="s">
        <v>253</v>
      </c>
      <c r="F250" s="303">
        <v>2</v>
      </c>
      <c r="G250" s="299">
        <v>2710000</v>
      </c>
      <c r="H250" s="167">
        <f t="shared" ref="H250:H272" si="7">IF(F250=0,G250,G250*F250)</f>
        <v>5420000</v>
      </c>
      <c r="I250" s="35"/>
    </row>
    <row r="251" spans="1:9" ht="15.9" customHeight="1">
      <c r="A251" s="483"/>
      <c r="B251" s="208"/>
      <c r="C251" s="296" t="s">
        <v>436</v>
      </c>
      <c r="D251" s="296"/>
      <c r="E251" s="297" t="s">
        <v>253</v>
      </c>
      <c r="F251" s="303">
        <v>1</v>
      </c>
      <c r="G251" s="299">
        <v>3000000</v>
      </c>
      <c r="H251" s="167">
        <f t="shared" si="7"/>
        <v>3000000</v>
      </c>
      <c r="I251" s="35"/>
    </row>
    <row r="252" spans="1:9" ht="15.9" customHeight="1">
      <c r="A252" s="483"/>
      <c r="B252" s="208"/>
      <c r="C252" s="215" t="s">
        <v>437</v>
      </c>
      <c r="D252" s="296"/>
      <c r="E252" s="297" t="s">
        <v>145</v>
      </c>
      <c r="F252" s="298">
        <v>1</v>
      </c>
      <c r="G252" s="218">
        <v>12000000</v>
      </c>
      <c r="H252" s="167">
        <f t="shared" si="7"/>
        <v>12000000</v>
      </c>
      <c r="I252" s="39"/>
    </row>
    <row r="253" spans="1:9" ht="15.9" customHeight="1">
      <c r="A253" s="483"/>
      <c r="B253" s="208"/>
      <c r="C253" s="215"/>
      <c r="D253" s="296"/>
      <c r="E253" s="297"/>
      <c r="F253" s="298"/>
      <c r="G253" s="218"/>
      <c r="H253" s="167">
        <f t="shared" si="7"/>
        <v>0</v>
      </c>
      <c r="I253" s="39"/>
    </row>
    <row r="254" spans="1:9" ht="15.9" customHeight="1">
      <c r="A254" s="483"/>
      <c r="B254" s="208"/>
      <c r="C254" s="215"/>
      <c r="D254" s="296"/>
      <c r="E254" s="297"/>
      <c r="F254" s="298"/>
      <c r="G254" s="218"/>
      <c r="H254" s="167">
        <f t="shared" si="7"/>
        <v>0</v>
      </c>
      <c r="I254" s="39"/>
    </row>
    <row r="255" spans="1:9" ht="15.9" customHeight="1">
      <c r="A255" s="483"/>
      <c r="B255" s="208"/>
      <c r="C255" s="215"/>
      <c r="D255" s="296"/>
      <c r="E255" s="297"/>
      <c r="F255" s="298"/>
      <c r="G255" s="218"/>
      <c r="H255" s="167">
        <f t="shared" si="7"/>
        <v>0</v>
      </c>
      <c r="I255" s="39"/>
    </row>
    <row r="256" spans="1:9" ht="15.9" customHeight="1">
      <c r="A256" s="483"/>
      <c r="B256" s="208"/>
      <c r="C256" s="215"/>
      <c r="D256" s="296"/>
      <c r="E256" s="297"/>
      <c r="F256" s="298"/>
      <c r="G256" s="218"/>
      <c r="H256" s="167">
        <f t="shared" si="7"/>
        <v>0</v>
      </c>
      <c r="I256" s="39"/>
    </row>
    <row r="257" spans="1:9" ht="15.9" customHeight="1">
      <c r="A257" s="483"/>
      <c r="B257" s="208"/>
      <c r="C257" s="215"/>
      <c r="D257" s="296"/>
      <c r="E257" s="297"/>
      <c r="F257" s="298"/>
      <c r="G257" s="218"/>
      <c r="H257" s="167">
        <f t="shared" si="7"/>
        <v>0</v>
      </c>
      <c r="I257" s="39"/>
    </row>
    <row r="258" spans="1:9" ht="15.9" customHeight="1">
      <c r="A258" s="483"/>
      <c r="B258" s="208"/>
      <c r="C258" s="215"/>
      <c r="D258" s="296"/>
      <c r="E258" s="297"/>
      <c r="F258" s="298"/>
      <c r="G258" s="218"/>
      <c r="H258" s="167">
        <f t="shared" si="7"/>
        <v>0</v>
      </c>
      <c r="I258" s="39"/>
    </row>
    <row r="259" spans="1:9" ht="15.9" customHeight="1">
      <c r="A259" s="483"/>
      <c r="B259" s="208"/>
      <c r="C259" s="215"/>
      <c r="D259" s="296"/>
      <c r="E259" s="297"/>
      <c r="F259" s="298"/>
      <c r="G259" s="218"/>
      <c r="H259" s="167">
        <f t="shared" si="7"/>
        <v>0</v>
      </c>
      <c r="I259" s="39"/>
    </row>
    <row r="260" spans="1:9" ht="15.9" customHeight="1">
      <c r="A260" s="483"/>
      <c r="B260" s="208"/>
      <c r="C260" s="215"/>
      <c r="D260" s="296"/>
      <c r="E260" s="297"/>
      <c r="F260" s="298"/>
      <c r="G260" s="218"/>
      <c r="H260" s="167">
        <f t="shared" si="7"/>
        <v>0</v>
      </c>
      <c r="I260" s="39"/>
    </row>
    <row r="261" spans="1:9" ht="15.9" customHeight="1">
      <c r="A261" s="483"/>
      <c r="B261" s="208"/>
      <c r="C261" s="215"/>
      <c r="D261" s="296"/>
      <c r="E261" s="297"/>
      <c r="F261" s="298"/>
      <c r="G261" s="218"/>
      <c r="H261" s="167">
        <f t="shared" si="7"/>
        <v>0</v>
      </c>
      <c r="I261" s="39"/>
    </row>
    <row r="262" spans="1:9" ht="15.9" customHeight="1">
      <c r="A262" s="483"/>
      <c r="B262" s="208"/>
      <c r="C262" s="296"/>
      <c r="D262" s="296"/>
      <c r="E262" s="297"/>
      <c r="F262" s="303"/>
      <c r="G262" s="299"/>
      <c r="H262" s="167">
        <f t="shared" si="7"/>
        <v>0</v>
      </c>
      <c r="I262" s="35"/>
    </row>
    <row r="263" spans="1:9" ht="15.9" customHeight="1">
      <c r="A263" s="483"/>
      <c r="B263" s="208"/>
      <c r="C263" s="296"/>
      <c r="D263" s="296"/>
      <c r="E263" s="297"/>
      <c r="F263" s="303"/>
      <c r="G263" s="299"/>
      <c r="H263" s="167">
        <f t="shared" si="7"/>
        <v>0</v>
      </c>
      <c r="I263" s="35"/>
    </row>
    <row r="264" spans="1:9" ht="15.9" customHeight="1">
      <c r="A264" s="483"/>
      <c r="B264" s="208"/>
      <c r="C264" s="215"/>
      <c r="D264" s="296"/>
      <c r="E264" s="297"/>
      <c r="F264" s="298"/>
      <c r="G264" s="218"/>
      <c r="H264" s="167">
        <f t="shared" si="7"/>
        <v>0</v>
      </c>
      <c r="I264" s="39"/>
    </row>
    <row r="265" spans="1:9" ht="15.9" customHeight="1">
      <c r="A265" s="483"/>
      <c r="B265" s="208"/>
      <c r="C265" s="215"/>
      <c r="D265" s="296"/>
      <c r="E265" s="297"/>
      <c r="F265" s="298"/>
      <c r="G265" s="218"/>
      <c r="H265" s="167">
        <f t="shared" si="7"/>
        <v>0</v>
      </c>
      <c r="I265" s="39"/>
    </row>
    <row r="266" spans="1:9" ht="15.9" customHeight="1">
      <c r="A266" s="483"/>
      <c r="B266" s="208"/>
      <c r="C266" s="215"/>
      <c r="D266" s="296"/>
      <c r="E266" s="297"/>
      <c r="F266" s="298"/>
      <c r="G266" s="218"/>
      <c r="H266" s="167">
        <f t="shared" si="7"/>
        <v>0</v>
      </c>
      <c r="I266" s="39"/>
    </row>
    <row r="267" spans="1:9" ht="15.9" customHeight="1">
      <c r="A267" s="483"/>
      <c r="B267" s="208"/>
      <c r="C267" s="215"/>
      <c r="D267" s="296"/>
      <c r="E267" s="297"/>
      <c r="F267" s="298"/>
      <c r="G267" s="218"/>
      <c r="H267" s="167">
        <f t="shared" si="7"/>
        <v>0</v>
      </c>
      <c r="I267" s="39"/>
    </row>
    <row r="268" spans="1:9" ht="15.9" customHeight="1">
      <c r="A268" s="483"/>
      <c r="B268" s="208"/>
      <c r="C268" s="215"/>
      <c r="D268" s="296"/>
      <c r="E268" s="297"/>
      <c r="F268" s="298"/>
      <c r="G268" s="218"/>
      <c r="H268" s="167">
        <f t="shared" si="7"/>
        <v>0</v>
      </c>
      <c r="I268" s="39"/>
    </row>
    <row r="269" spans="1:9" ht="15.9" customHeight="1">
      <c r="A269" s="483"/>
      <c r="B269" s="208"/>
      <c r="C269" s="215"/>
      <c r="D269" s="296"/>
      <c r="E269" s="297"/>
      <c r="F269" s="298"/>
      <c r="G269" s="218"/>
      <c r="H269" s="167">
        <f t="shared" si="7"/>
        <v>0</v>
      </c>
      <c r="I269" s="39"/>
    </row>
    <row r="270" spans="1:9" ht="15.9" customHeight="1">
      <c r="A270" s="483"/>
      <c r="B270" s="208"/>
      <c r="C270" s="215"/>
      <c r="D270" s="296"/>
      <c r="E270" s="297"/>
      <c r="F270" s="298"/>
      <c r="G270" s="218"/>
      <c r="H270" s="167">
        <f t="shared" si="7"/>
        <v>0</v>
      </c>
      <c r="I270" s="39"/>
    </row>
    <row r="271" spans="1:9" ht="15.9" customHeight="1">
      <c r="A271" s="483"/>
      <c r="B271" s="208"/>
      <c r="C271" s="215"/>
      <c r="D271" s="296"/>
      <c r="E271" s="297"/>
      <c r="F271" s="298"/>
      <c r="G271" s="218"/>
      <c r="H271" s="167">
        <f t="shared" si="7"/>
        <v>0</v>
      </c>
      <c r="I271" s="39"/>
    </row>
    <row r="272" spans="1:9" ht="15.9" customHeight="1">
      <c r="A272" s="483"/>
      <c r="B272" s="208"/>
      <c r="C272" s="219"/>
      <c r="D272" s="219"/>
      <c r="E272" s="220"/>
      <c r="F272" s="221"/>
      <c r="G272" s="222"/>
      <c r="H272" s="239">
        <f t="shared" si="7"/>
        <v>0</v>
      </c>
      <c r="I272" s="240"/>
    </row>
    <row r="273" spans="1:9" ht="15.9" customHeight="1">
      <c r="A273" s="483"/>
      <c r="B273" s="223"/>
      <c r="C273" s="267"/>
      <c r="D273" s="46"/>
      <c r="E273" s="206"/>
      <c r="F273" s="207"/>
      <c r="G273" s="50"/>
      <c r="H273" s="50">
        <f>SUM(H146:H272)</f>
        <v>407430000</v>
      </c>
      <c r="I273" s="46"/>
    </row>
    <row r="274" spans="1:9" ht="15.9" customHeight="1">
      <c r="A274" s="483"/>
      <c r="B274" s="247" t="s">
        <v>61</v>
      </c>
      <c r="C274" s="215" t="s">
        <v>438</v>
      </c>
      <c r="D274" s="297"/>
      <c r="E274" s="297" t="s">
        <v>145</v>
      </c>
      <c r="F274" s="298">
        <v>1</v>
      </c>
      <c r="G274" s="218">
        <v>60000000</v>
      </c>
      <c r="H274" s="167">
        <f t="shared" ref="H274:H280" si="8">IF(F274=0,G274,G274*F274)</f>
        <v>60000000</v>
      </c>
      <c r="I274" s="234"/>
    </row>
    <row r="275" spans="1:9" ht="15.9" customHeight="1">
      <c r="A275" s="483"/>
      <c r="B275" s="208"/>
      <c r="C275" s="215" t="s">
        <v>439</v>
      </c>
      <c r="D275" s="297"/>
      <c r="E275" s="297" t="s">
        <v>145</v>
      </c>
      <c r="F275" s="298">
        <v>1</v>
      </c>
      <c r="G275" s="218">
        <v>84000000</v>
      </c>
      <c r="H275" s="167">
        <f t="shared" si="8"/>
        <v>84000000</v>
      </c>
      <c r="I275" s="39"/>
    </row>
    <row r="276" spans="1:9" ht="15.9" customHeight="1">
      <c r="A276" s="483"/>
      <c r="B276" s="208"/>
      <c r="C276" s="215" t="s">
        <v>440</v>
      </c>
      <c r="D276" s="215"/>
      <c r="E276" s="297" t="s">
        <v>145</v>
      </c>
      <c r="F276" s="298">
        <v>1</v>
      </c>
      <c r="G276" s="218">
        <v>4000000</v>
      </c>
      <c r="H276" s="167">
        <f t="shared" si="8"/>
        <v>4000000</v>
      </c>
      <c r="I276" s="39"/>
    </row>
    <row r="277" spans="1:9" ht="15.9" customHeight="1">
      <c r="A277" s="483"/>
      <c r="B277" s="208"/>
      <c r="C277" s="215" t="s">
        <v>441</v>
      </c>
      <c r="D277" s="215" t="s">
        <v>442</v>
      </c>
      <c r="E277" s="216" t="s">
        <v>145</v>
      </c>
      <c r="F277" s="217">
        <v>1</v>
      </c>
      <c r="G277" s="218">
        <v>70000000</v>
      </c>
      <c r="H277" s="167">
        <f t="shared" si="8"/>
        <v>70000000</v>
      </c>
      <c r="I277" s="39"/>
    </row>
    <row r="278" spans="1:9" ht="15.9" customHeight="1">
      <c r="A278" s="483"/>
      <c r="B278" s="208"/>
      <c r="C278" s="215" t="s">
        <v>443</v>
      </c>
      <c r="D278" s="297"/>
      <c r="E278" s="297" t="s">
        <v>145</v>
      </c>
      <c r="F278" s="298">
        <v>1</v>
      </c>
      <c r="G278" s="218">
        <v>5000000</v>
      </c>
      <c r="H278" s="167">
        <f t="shared" si="8"/>
        <v>5000000</v>
      </c>
      <c r="I278" s="39"/>
    </row>
    <row r="279" spans="1:9" ht="15.9" customHeight="1">
      <c r="A279" s="483"/>
      <c r="B279" s="208"/>
      <c r="C279" s="215"/>
      <c r="D279" s="297"/>
      <c r="E279" s="297"/>
      <c r="F279" s="217"/>
      <c r="G279" s="218"/>
      <c r="H279" s="167">
        <f t="shared" si="8"/>
        <v>0</v>
      </c>
      <c r="I279" s="39"/>
    </row>
    <row r="280" spans="1:9" ht="15.9" customHeight="1">
      <c r="A280" s="483"/>
      <c r="B280" s="208"/>
      <c r="C280" s="219"/>
      <c r="D280" s="219"/>
      <c r="E280" s="220"/>
      <c r="F280" s="221"/>
      <c r="G280" s="222"/>
      <c r="H280" s="177">
        <f t="shared" si="8"/>
        <v>0</v>
      </c>
      <c r="I280" s="42"/>
    </row>
    <row r="281" spans="1:9" ht="15.9" customHeight="1">
      <c r="A281" s="483"/>
      <c r="B281" s="223"/>
      <c r="C281" s="224"/>
      <c r="D281" s="225"/>
      <c r="E281" s="205"/>
      <c r="F281" s="226"/>
      <c r="G281" s="227"/>
      <c r="H281" s="50">
        <f>SUM(H274:H280)</f>
        <v>223000000</v>
      </c>
      <c r="I281" s="46"/>
    </row>
    <row r="282" spans="1:9" ht="15.9" customHeight="1">
      <c r="A282" s="265"/>
      <c r="B282" s="266" t="s">
        <v>147</v>
      </c>
      <c r="C282" s="267"/>
      <c r="D282" s="46"/>
      <c r="E282" s="206"/>
      <c r="F282" s="268"/>
      <c r="G282" s="269"/>
      <c r="H282" s="50">
        <f>SUM(H281,H273,H145,H139)</f>
        <v>1088590000</v>
      </c>
      <c r="I282" s="46"/>
    </row>
    <row r="283" spans="1:9" ht="15.9" customHeight="1">
      <c r="A283" s="479" t="s">
        <v>148</v>
      </c>
      <c r="B283" s="270" t="s">
        <v>67</v>
      </c>
      <c r="C283" s="267"/>
      <c r="D283" s="46"/>
      <c r="E283" s="271" t="s">
        <v>68</v>
      </c>
      <c r="F283" s="304"/>
      <c r="G283" s="304"/>
      <c r="H283" s="274">
        <f>F283*G283</f>
        <v>0</v>
      </c>
      <c r="I283" s="46"/>
    </row>
    <row r="284" spans="1:9" ht="15.9" customHeight="1">
      <c r="A284" s="483"/>
      <c r="B284" s="275" t="s">
        <v>444</v>
      </c>
      <c r="C284" s="276"/>
      <c r="D284" s="234"/>
      <c r="E284" s="51" t="s">
        <v>150</v>
      </c>
      <c r="F284" s="305"/>
      <c r="G284" s="218"/>
      <c r="H284" s="233">
        <f t="shared" ref="H284:H290" si="9">F284*G284</f>
        <v>0</v>
      </c>
      <c r="I284" s="234"/>
    </row>
    <row r="285" spans="1:9" ht="15.9" customHeight="1">
      <c r="A285" s="483"/>
      <c r="B285" s="277" t="s">
        <v>445</v>
      </c>
      <c r="C285" s="278"/>
      <c r="D285" s="39"/>
      <c r="E285" s="40" t="s">
        <v>150</v>
      </c>
      <c r="F285" s="306">
        <v>820</v>
      </c>
      <c r="G285" s="218">
        <v>300000</v>
      </c>
      <c r="H285" s="167">
        <f t="shared" si="9"/>
        <v>246000000</v>
      </c>
      <c r="I285" s="39"/>
    </row>
    <row r="286" spans="1:9" ht="15.9" customHeight="1">
      <c r="A286" s="483"/>
      <c r="B286" s="277" t="s">
        <v>446</v>
      </c>
      <c r="C286" s="278"/>
      <c r="D286" s="39"/>
      <c r="E286" s="40" t="s">
        <v>150</v>
      </c>
      <c r="F286" s="306"/>
      <c r="G286" s="218"/>
      <c r="H286" s="167">
        <f t="shared" si="9"/>
        <v>0</v>
      </c>
      <c r="I286" s="39"/>
    </row>
    <row r="287" spans="1:9" ht="15.9" customHeight="1">
      <c r="A287" s="483"/>
      <c r="B287" s="277" t="s">
        <v>447</v>
      </c>
      <c r="C287" s="278"/>
      <c r="D287" s="39"/>
      <c r="E287" s="40" t="s">
        <v>150</v>
      </c>
      <c r="F287" s="306">
        <v>300</v>
      </c>
      <c r="G287" s="218">
        <v>300000</v>
      </c>
      <c r="H287" s="167">
        <f t="shared" si="9"/>
        <v>90000000</v>
      </c>
      <c r="I287" s="39"/>
    </row>
    <row r="288" spans="1:9" ht="15.9" customHeight="1">
      <c r="A288" s="483"/>
      <c r="B288" s="277" t="s">
        <v>448</v>
      </c>
      <c r="C288" s="278"/>
      <c r="D288" s="39"/>
      <c r="E288" s="40" t="s">
        <v>150</v>
      </c>
      <c r="F288" s="306">
        <v>70</v>
      </c>
      <c r="G288" s="218">
        <v>300000</v>
      </c>
      <c r="H288" s="167">
        <f t="shared" si="9"/>
        <v>21000000</v>
      </c>
      <c r="I288" s="39"/>
    </row>
    <row r="289" spans="1:9" ht="15.9" customHeight="1">
      <c r="A289" s="483"/>
      <c r="B289" s="277" t="s">
        <v>449</v>
      </c>
      <c r="C289" s="278"/>
      <c r="D289" s="39"/>
      <c r="E289" s="40" t="s">
        <v>150</v>
      </c>
      <c r="F289" s="306"/>
      <c r="G289" s="218"/>
      <c r="H289" s="167">
        <f t="shared" si="9"/>
        <v>0</v>
      </c>
      <c r="I289" s="39"/>
    </row>
    <row r="290" spans="1:9" ht="15.9" customHeight="1">
      <c r="A290" s="483"/>
      <c r="B290" s="307" t="s">
        <v>450</v>
      </c>
      <c r="C290" s="280"/>
      <c r="D290" s="42"/>
      <c r="E290" s="41" t="s">
        <v>68</v>
      </c>
      <c r="F290" s="308"/>
      <c r="G290" s="222"/>
      <c r="H290" s="177">
        <f t="shared" si="9"/>
        <v>0</v>
      </c>
      <c r="I290" s="42"/>
    </row>
    <row r="291" spans="1:9" ht="15.9" customHeight="1">
      <c r="A291" s="265"/>
      <c r="B291" s="281" t="s">
        <v>156</v>
      </c>
      <c r="C291" s="267"/>
      <c r="D291" s="46"/>
      <c r="E291" s="206"/>
      <c r="F291" s="207"/>
      <c r="G291" s="50"/>
      <c r="H291" s="50">
        <f>SUM(H283:H290)</f>
        <v>357000000</v>
      </c>
      <c r="I291" s="225"/>
    </row>
    <row r="292" spans="1:9" ht="15.9" customHeight="1">
      <c r="A292" s="271"/>
      <c r="B292" s="281" t="s">
        <v>451</v>
      </c>
      <c r="C292" s="267"/>
      <c r="D292" s="46"/>
      <c r="E292" s="206" t="s">
        <v>59</v>
      </c>
      <c r="F292" s="207"/>
      <c r="G292" s="50"/>
      <c r="H292" s="269">
        <v>0</v>
      </c>
      <c r="I292" s="46"/>
    </row>
    <row r="293" spans="1:9" ht="15.9" customHeight="1">
      <c r="A293" s="271"/>
      <c r="B293" s="281" t="s">
        <v>93</v>
      </c>
      <c r="C293" s="267"/>
      <c r="D293" s="46"/>
      <c r="E293" s="206"/>
      <c r="F293" s="207"/>
      <c r="G293" s="283"/>
      <c r="H293" s="284">
        <f>(H291+H282)*0</f>
        <v>0</v>
      </c>
      <c r="I293" s="267"/>
    </row>
    <row r="294" spans="1:9" ht="15.9" customHeight="1">
      <c r="A294" s="271"/>
      <c r="B294" s="281" t="s">
        <v>159</v>
      </c>
      <c r="C294" s="267"/>
      <c r="D294" s="46"/>
      <c r="E294" s="206"/>
      <c r="F294" s="207"/>
      <c r="G294" s="283"/>
      <c r="H294" s="284">
        <f>(H291+H282)*0.025-1738000</f>
        <v>34401750</v>
      </c>
      <c r="I294" s="267"/>
    </row>
    <row r="295" spans="1:9" ht="15.9" customHeight="1">
      <c r="A295" s="271"/>
      <c r="B295" s="281" t="s">
        <v>160</v>
      </c>
      <c r="C295" s="267"/>
      <c r="D295" s="46"/>
      <c r="E295" s="206"/>
      <c r="F295" s="207"/>
      <c r="G295" s="50"/>
      <c r="H295" s="227">
        <f>H282+H291+H292+H293+H294</f>
        <v>1479991750</v>
      </c>
      <c r="I295" s="46"/>
    </row>
    <row r="296" spans="1:9">
      <c r="A296" s="26"/>
    </row>
  </sheetData>
  <mergeCells count="3">
    <mergeCell ref="A2:B2"/>
    <mergeCell ref="A3:A281"/>
    <mergeCell ref="A283:A29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FA40-D464-447F-AA8B-231D4363EC38}">
  <sheetPr>
    <tabColor rgb="FF00B050"/>
    <pageSetUpPr fitToPage="1"/>
  </sheetPr>
  <dimension ref="A1:I173"/>
  <sheetViews>
    <sheetView zoomScale="85" workbookViewId="0">
      <pane xSplit="2" ySplit="2" topLeftCell="C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26" bestFit="1" customWidth="1"/>
    <col min="6" max="6" width="9" style="332"/>
    <col min="7" max="7" width="11.8984375" style="49" customWidth="1"/>
    <col min="8" max="8" width="13.59765625" style="49" customWidth="1"/>
    <col min="9" max="9" width="12.69921875" style="1" customWidth="1"/>
    <col min="10" max="256" width="9" style="1"/>
    <col min="257" max="257" width="5" style="1" customWidth="1"/>
    <col min="258" max="258" width="17.8984375" style="1" bestFit="1" customWidth="1"/>
    <col min="259" max="259" width="23.59765625" style="1" customWidth="1"/>
    <col min="260" max="260" width="18.19921875" style="1" customWidth="1"/>
    <col min="261" max="261" width="5.19921875" style="1" bestFit="1" customWidth="1"/>
    <col min="262" max="262" width="9" style="1"/>
    <col min="263" max="263" width="11.8984375" style="1" customWidth="1"/>
    <col min="264" max="264" width="13.59765625" style="1" customWidth="1"/>
    <col min="265" max="265" width="12.69921875" style="1" customWidth="1"/>
    <col min="266" max="512" width="9" style="1"/>
    <col min="513" max="513" width="5" style="1" customWidth="1"/>
    <col min="514" max="514" width="17.8984375" style="1" bestFit="1" customWidth="1"/>
    <col min="515" max="515" width="23.59765625" style="1" customWidth="1"/>
    <col min="516" max="516" width="18.19921875" style="1" customWidth="1"/>
    <col min="517" max="517" width="5.19921875" style="1" bestFit="1" customWidth="1"/>
    <col min="518" max="518" width="9" style="1"/>
    <col min="519" max="519" width="11.8984375" style="1" customWidth="1"/>
    <col min="520" max="520" width="13.59765625" style="1" customWidth="1"/>
    <col min="521" max="521" width="12.69921875" style="1" customWidth="1"/>
    <col min="522" max="768" width="9" style="1"/>
    <col min="769" max="769" width="5" style="1" customWidth="1"/>
    <col min="770" max="770" width="17.8984375" style="1" bestFit="1" customWidth="1"/>
    <col min="771" max="771" width="23.59765625" style="1" customWidth="1"/>
    <col min="772" max="772" width="18.19921875" style="1" customWidth="1"/>
    <col min="773" max="773" width="5.19921875" style="1" bestFit="1" customWidth="1"/>
    <col min="774" max="774" width="9" style="1"/>
    <col min="775" max="775" width="11.8984375" style="1" customWidth="1"/>
    <col min="776" max="776" width="13.59765625" style="1" customWidth="1"/>
    <col min="777" max="777" width="12.69921875" style="1" customWidth="1"/>
    <col min="778" max="1024" width="9" style="1"/>
    <col min="1025" max="1025" width="5" style="1" customWidth="1"/>
    <col min="1026" max="1026" width="17.8984375" style="1" bestFit="1" customWidth="1"/>
    <col min="1027" max="1027" width="23.59765625" style="1" customWidth="1"/>
    <col min="1028" max="1028" width="18.19921875" style="1" customWidth="1"/>
    <col min="1029" max="1029" width="5.19921875" style="1" bestFit="1" customWidth="1"/>
    <col min="1030" max="1030" width="9" style="1"/>
    <col min="1031" max="1031" width="11.8984375" style="1" customWidth="1"/>
    <col min="1032" max="1032" width="13.59765625" style="1" customWidth="1"/>
    <col min="1033" max="1033" width="12.69921875" style="1" customWidth="1"/>
    <col min="1034" max="1280" width="9" style="1"/>
    <col min="1281" max="1281" width="5" style="1" customWidth="1"/>
    <col min="1282" max="1282" width="17.8984375" style="1" bestFit="1" customWidth="1"/>
    <col min="1283" max="1283" width="23.59765625" style="1" customWidth="1"/>
    <col min="1284" max="1284" width="18.19921875" style="1" customWidth="1"/>
    <col min="1285" max="1285" width="5.19921875" style="1" bestFit="1" customWidth="1"/>
    <col min="1286" max="1286" width="9" style="1"/>
    <col min="1287" max="1287" width="11.8984375" style="1" customWidth="1"/>
    <col min="1288" max="1288" width="13.59765625" style="1" customWidth="1"/>
    <col min="1289" max="1289" width="12.69921875" style="1" customWidth="1"/>
    <col min="1290" max="1536" width="9" style="1"/>
    <col min="1537" max="1537" width="5" style="1" customWidth="1"/>
    <col min="1538" max="1538" width="17.8984375" style="1" bestFit="1" customWidth="1"/>
    <col min="1539" max="1539" width="23.59765625" style="1" customWidth="1"/>
    <col min="1540" max="1540" width="18.19921875" style="1" customWidth="1"/>
    <col min="1541" max="1541" width="5.19921875" style="1" bestFit="1" customWidth="1"/>
    <col min="1542" max="1542" width="9" style="1"/>
    <col min="1543" max="1543" width="11.8984375" style="1" customWidth="1"/>
    <col min="1544" max="1544" width="13.59765625" style="1" customWidth="1"/>
    <col min="1545" max="1545" width="12.69921875" style="1" customWidth="1"/>
    <col min="1546" max="1792" width="9" style="1"/>
    <col min="1793" max="1793" width="5" style="1" customWidth="1"/>
    <col min="1794" max="1794" width="17.8984375" style="1" bestFit="1" customWidth="1"/>
    <col min="1795" max="1795" width="23.59765625" style="1" customWidth="1"/>
    <col min="1796" max="1796" width="18.19921875" style="1" customWidth="1"/>
    <col min="1797" max="1797" width="5.19921875" style="1" bestFit="1" customWidth="1"/>
    <col min="1798" max="1798" width="9" style="1"/>
    <col min="1799" max="1799" width="11.8984375" style="1" customWidth="1"/>
    <col min="1800" max="1800" width="13.59765625" style="1" customWidth="1"/>
    <col min="1801" max="1801" width="12.69921875" style="1" customWidth="1"/>
    <col min="1802" max="2048" width="9" style="1"/>
    <col min="2049" max="2049" width="5" style="1" customWidth="1"/>
    <col min="2050" max="2050" width="17.8984375" style="1" bestFit="1" customWidth="1"/>
    <col min="2051" max="2051" width="23.59765625" style="1" customWidth="1"/>
    <col min="2052" max="2052" width="18.19921875" style="1" customWidth="1"/>
    <col min="2053" max="2053" width="5.19921875" style="1" bestFit="1" customWidth="1"/>
    <col min="2054" max="2054" width="9" style="1"/>
    <col min="2055" max="2055" width="11.8984375" style="1" customWidth="1"/>
    <col min="2056" max="2056" width="13.59765625" style="1" customWidth="1"/>
    <col min="2057" max="2057" width="12.69921875" style="1" customWidth="1"/>
    <col min="2058" max="2304" width="9" style="1"/>
    <col min="2305" max="2305" width="5" style="1" customWidth="1"/>
    <col min="2306" max="2306" width="17.8984375" style="1" bestFit="1" customWidth="1"/>
    <col min="2307" max="2307" width="23.59765625" style="1" customWidth="1"/>
    <col min="2308" max="2308" width="18.19921875" style="1" customWidth="1"/>
    <col min="2309" max="2309" width="5.19921875" style="1" bestFit="1" customWidth="1"/>
    <col min="2310" max="2310" width="9" style="1"/>
    <col min="2311" max="2311" width="11.8984375" style="1" customWidth="1"/>
    <col min="2312" max="2312" width="13.59765625" style="1" customWidth="1"/>
    <col min="2313" max="2313" width="12.69921875" style="1" customWidth="1"/>
    <col min="2314" max="2560" width="9" style="1"/>
    <col min="2561" max="2561" width="5" style="1" customWidth="1"/>
    <col min="2562" max="2562" width="17.8984375" style="1" bestFit="1" customWidth="1"/>
    <col min="2563" max="2563" width="23.59765625" style="1" customWidth="1"/>
    <col min="2564" max="2564" width="18.19921875" style="1" customWidth="1"/>
    <col min="2565" max="2565" width="5.19921875" style="1" bestFit="1" customWidth="1"/>
    <col min="2566" max="2566" width="9" style="1"/>
    <col min="2567" max="2567" width="11.8984375" style="1" customWidth="1"/>
    <col min="2568" max="2568" width="13.59765625" style="1" customWidth="1"/>
    <col min="2569" max="2569" width="12.69921875" style="1" customWidth="1"/>
    <col min="2570" max="2816" width="9" style="1"/>
    <col min="2817" max="2817" width="5" style="1" customWidth="1"/>
    <col min="2818" max="2818" width="17.8984375" style="1" bestFit="1" customWidth="1"/>
    <col min="2819" max="2819" width="23.59765625" style="1" customWidth="1"/>
    <col min="2820" max="2820" width="18.19921875" style="1" customWidth="1"/>
    <col min="2821" max="2821" width="5.19921875" style="1" bestFit="1" customWidth="1"/>
    <col min="2822" max="2822" width="9" style="1"/>
    <col min="2823" max="2823" width="11.8984375" style="1" customWidth="1"/>
    <col min="2824" max="2824" width="13.59765625" style="1" customWidth="1"/>
    <col min="2825" max="2825" width="12.69921875" style="1" customWidth="1"/>
    <col min="2826" max="3072" width="9" style="1"/>
    <col min="3073" max="3073" width="5" style="1" customWidth="1"/>
    <col min="3074" max="3074" width="17.8984375" style="1" bestFit="1" customWidth="1"/>
    <col min="3075" max="3075" width="23.59765625" style="1" customWidth="1"/>
    <col min="3076" max="3076" width="18.19921875" style="1" customWidth="1"/>
    <col min="3077" max="3077" width="5.19921875" style="1" bestFit="1" customWidth="1"/>
    <col min="3078" max="3078" width="9" style="1"/>
    <col min="3079" max="3079" width="11.8984375" style="1" customWidth="1"/>
    <col min="3080" max="3080" width="13.59765625" style="1" customWidth="1"/>
    <col min="3081" max="3081" width="12.69921875" style="1" customWidth="1"/>
    <col min="3082" max="3328" width="9" style="1"/>
    <col min="3329" max="3329" width="5" style="1" customWidth="1"/>
    <col min="3330" max="3330" width="17.8984375" style="1" bestFit="1" customWidth="1"/>
    <col min="3331" max="3331" width="23.59765625" style="1" customWidth="1"/>
    <col min="3332" max="3332" width="18.19921875" style="1" customWidth="1"/>
    <col min="3333" max="3333" width="5.19921875" style="1" bestFit="1" customWidth="1"/>
    <col min="3334" max="3334" width="9" style="1"/>
    <col min="3335" max="3335" width="11.8984375" style="1" customWidth="1"/>
    <col min="3336" max="3336" width="13.59765625" style="1" customWidth="1"/>
    <col min="3337" max="3337" width="12.69921875" style="1" customWidth="1"/>
    <col min="3338" max="3584" width="9" style="1"/>
    <col min="3585" max="3585" width="5" style="1" customWidth="1"/>
    <col min="3586" max="3586" width="17.8984375" style="1" bestFit="1" customWidth="1"/>
    <col min="3587" max="3587" width="23.59765625" style="1" customWidth="1"/>
    <col min="3588" max="3588" width="18.19921875" style="1" customWidth="1"/>
    <col min="3589" max="3589" width="5.19921875" style="1" bestFit="1" customWidth="1"/>
    <col min="3590" max="3590" width="9" style="1"/>
    <col min="3591" max="3591" width="11.8984375" style="1" customWidth="1"/>
    <col min="3592" max="3592" width="13.59765625" style="1" customWidth="1"/>
    <col min="3593" max="3593" width="12.69921875" style="1" customWidth="1"/>
    <col min="3594" max="3840" width="9" style="1"/>
    <col min="3841" max="3841" width="5" style="1" customWidth="1"/>
    <col min="3842" max="3842" width="17.8984375" style="1" bestFit="1" customWidth="1"/>
    <col min="3843" max="3843" width="23.59765625" style="1" customWidth="1"/>
    <col min="3844" max="3844" width="18.19921875" style="1" customWidth="1"/>
    <col min="3845" max="3845" width="5.19921875" style="1" bestFit="1" customWidth="1"/>
    <col min="3846" max="3846" width="9" style="1"/>
    <col min="3847" max="3847" width="11.8984375" style="1" customWidth="1"/>
    <col min="3848" max="3848" width="13.59765625" style="1" customWidth="1"/>
    <col min="3849" max="3849" width="12.69921875" style="1" customWidth="1"/>
    <col min="3850" max="4096" width="9" style="1"/>
    <col min="4097" max="4097" width="5" style="1" customWidth="1"/>
    <col min="4098" max="4098" width="17.8984375" style="1" bestFit="1" customWidth="1"/>
    <col min="4099" max="4099" width="23.59765625" style="1" customWidth="1"/>
    <col min="4100" max="4100" width="18.19921875" style="1" customWidth="1"/>
    <col min="4101" max="4101" width="5.19921875" style="1" bestFit="1" customWidth="1"/>
    <col min="4102" max="4102" width="9" style="1"/>
    <col min="4103" max="4103" width="11.8984375" style="1" customWidth="1"/>
    <col min="4104" max="4104" width="13.59765625" style="1" customWidth="1"/>
    <col min="4105" max="4105" width="12.69921875" style="1" customWidth="1"/>
    <col min="4106" max="4352" width="9" style="1"/>
    <col min="4353" max="4353" width="5" style="1" customWidth="1"/>
    <col min="4354" max="4354" width="17.8984375" style="1" bestFit="1" customWidth="1"/>
    <col min="4355" max="4355" width="23.59765625" style="1" customWidth="1"/>
    <col min="4356" max="4356" width="18.19921875" style="1" customWidth="1"/>
    <col min="4357" max="4357" width="5.19921875" style="1" bestFit="1" customWidth="1"/>
    <col min="4358" max="4358" width="9" style="1"/>
    <col min="4359" max="4359" width="11.8984375" style="1" customWidth="1"/>
    <col min="4360" max="4360" width="13.59765625" style="1" customWidth="1"/>
    <col min="4361" max="4361" width="12.69921875" style="1" customWidth="1"/>
    <col min="4362" max="4608" width="9" style="1"/>
    <col min="4609" max="4609" width="5" style="1" customWidth="1"/>
    <col min="4610" max="4610" width="17.8984375" style="1" bestFit="1" customWidth="1"/>
    <col min="4611" max="4611" width="23.59765625" style="1" customWidth="1"/>
    <col min="4612" max="4612" width="18.19921875" style="1" customWidth="1"/>
    <col min="4613" max="4613" width="5.19921875" style="1" bestFit="1" customWidth="1"/>
    <col min="4614" max="4614" width="9" style="1"/>
    <col min="4615" max="4615" width="11.8984375" style="1" customWidth="1"/>
    <col min="4616" max="4616" width="13.59765625" style="1" customWidth="1"/>
    <col min="4617" max="4617" width="12.69921875" style="1" customWidth="1"/>
    <col min="4618" max="4864" width="9" style="1"/>
    <col min="4865" max="4865" width="5" style="1" customWidth="1"/>
    <col min="4866" max="4866" width="17.8984375" style="1" bestFit="1" customWidth="1"/>
    <col min="4867" max="4867" width="23.59765625" style="1" customWidth="1"/>
    <col min="4868" max="4868" width="18.19921875" style="1" customWidth="1"/>
    <col min="4869" max="4869" width="5.19921875" style="1" bestFit="1" customWidth="1"/>
    <col min="4870" max="4870" width="9" style="1"/>
    <col min="4871" max="4871" width="11.8984375" style="1" customWidth="1"/>
    <col min="4872" max="4872" width="13.59765625" style="1" customWidth="1"/>
    <col min="4873" max="4873" width="12.69921875" style="1" customWidth="1"/>
    <col min="4874" max="5120" width="9" style="1"/>
    <col min="5121" max="5121" width="5" style="1" customWidth="1"/>
    <col min="5122" max="5122" width="17.8984375" style="1" bestFit="1" customWidth="1"/>
    <col min="5123" max="5123" width="23.59765625" style="1" customWidth="1"/>
    <col min="5124" max="5124" width="18.19921875" style="1" customWidth="1"/>
    <col min="5125" max="5125" width="5.19921875" style="1" bestFit="1" customWidth="1"/>
    <col min="5126" max="5126" width="9" style="1"/>
    <col min="5127" max="5127" width="11.8984375" style="1" customWidth="1"/>
    <col min="5128" max="5128" width="13.59765625" style="1" customWidth="1"/>
    <col min="5129" max="5129" width="12.69921875" style="1" customWidth="1"/>
    <col min="5130" max="5376" width="9" style="1"/>
    <col min="5377" max="5377" width="5" style="1" customWidth="1"/>
    <col min="5378" max="5378" width="17.8984375" style="1" bestFit="1" customWidth="1"/>
    <col min="5379" max="5379" width="23.59765625" style="1" customWidth="1"/>
    <col min="5380" max="5380" width="18.19921875" style="1" customWidth="1"/>
    <col min="5381" max="5381" width="5.19921875" style="1" bestFit="1" customWidth="1"/>
    <col min="5382" max="5382" width="9" style="1"/>
    <col min="5383" max="5383" width="11.8984375" style="1" customWidth="1"/>
    <col min="5384" max="5384" width="13.59765625" style="1" customWidth="1"/>
    <col min="5385" max="5385" width="12.69921875" style="1" customWidth="1"/>
    <col min="5386" max="5632" width="9" style="1"/>
    <col min="5633" max="5633" width="5" style="1" customWidth="1"/>
    <col min="5634" max="5634" width="17.8984375" style="1" bestFit="1" customWidth="1"/>
    <col min="5635" max="5635" width="23.59765625" style="1" customWidth="1"/>
    <col min="5636" max="5636" width="18.19921875" style="1" customWidth="1"/>
    <col min="5637" max="5637" width="5.19921875" style="1" bestFit="1" customWidth="1"/>
    <col min="5638" max="5638" width="9" style="1"/>
    <col min="5639" max="5639" width="11.8984375" style="1" customWidth="1"/>
    <col min="5640" max="5640" width="13.59765625" style="1" customWidth="1"/>
    <col min="5641" max="5641" width="12.69921875" style="1" customWidth="1"/>
    <col min="5642" max="5888" width="9" style="1"/>
    <col min="5889" max="5889" width="5" style="1" customWidth="1"/>
    <col min="5890" max="5890" width="17.8984375" style="1" bestFit="1" customWidth="1"/>
    <col min="5891" max="5891" width="23.59765625" style="1" customWidth="1"/>
    <col min="5892" max="5892" width="18.19921875" style="1" customWidth="1"/>
    <col min="5893" max="5893" width="5.19921875" style="1" bestFit="1" customWidth="1"/>
    <col min="5894" max="5894" width="9" style="1"/>
    <col min="5895" max="5895" width="11.8984375" style="1" customWidth="1"/>
    <col min="5896" max="5896" width="13.59765625" style="1" customWidth="1"/>
    <col min="5897" max="5897" width="12.69921875" style="1" customWidth="1"/>
    <col min="5898" max="6144" width="9" style="1"/>
    <col min="6145" max="6145" width="5" style="1" customWidth="1"/>
    <col min="6146" max="6146" width="17.8984375" style="1" bestFit="1" customWidth="1"/>
    <col min="6147" max="6147" width="23.59765625" style="1" customWidth="1"/>
    <col min="6148" max="6148" width="18.19921875" style="1" customWidth="1"/>
    <col min="6149" max="6149" width="5.19921875" style="1" bestFit="1" customWidth="1"/>
    <col min="6150" max="6150" width="9" style="1"/>
    <col min="6151" max="6151" width="11.8984375" style="1" customWidth="1"/>
    <col min="6152" max="6152" width="13.59765625" style="1" customWidth="1"/>
    <col min="6153" max="6153" width="12.69921875" style="1" customWidth="1"/>
    <col min="6154" max="6400" width="9" style="1"/>
    <col min="6401" max="6401" width="5" style="1" customWidth="1"/>
    <col min="6402" max="6402" width="17.8984375" style="1" bestFit="1" customWidth="1"/>
    <col min="6403" max="6403" width="23.59765625" style="1" customWidth="1"/>
    <col min="6404" max="6404" width="18.19921875" style="1" customWidth="1"/>
    <col min="6405" max="6405" width="5.19921875" style="1" bestFit="1" customWidth="1"/>
    <col min="6406" max="6406" width="9" style="1"/>
    <col min="6407" max="6407" width="11.8984375" style="1" customWidth="1"/>
    <col min="6408" max="6408" width="13.59765625" style="1" customWidth="1"/>
    <col min="6409" max="6409" width="12.69921875" style="1" customWidth="1"/>
    <col min="6410" max="6656" width="9" style="1"/>
    <col min="6657" max="6657" width="5" style="1" customWidth="1"/>
    <col min="6658" max="6658" width="17.8984375" style="1" bestFit="1" customWidth="1"/>
    <col min="6659" max="6659" width="23.59765625" style="1" customWidth="1"/>
    <col min="6660" max="6660" width="18.19921875" style="1" customWidth="1"/>
    <col min="6661" max="6661" width="5.19921875" style="1" bestFit="1" customWidth="1"/>
    <col min="6662" max="6662" width="9" style="1"/>
    <col min="6663" max="6663" width="11.8984375" style="1" customWidth="1"/>
    <col min="6664" max="6664" width="13.59765625" style="1" customWidth="1"/>
    <col min="6665" max="6665" width="12.69921875" style="1" customWidth="1"/>
    <col min="6666" max="6912" width="9" style="1"/>
    <col min="6913" max="6913" width="5" style="1" customWidth="1"/>
    <col min="6914" max="6914" width="17.8984375" style="1" bestFit="1" customWidth="1"/>
    <col min="6915" max="6915" width="23.59765625" style="1" customWidth="1"/>
    <col min="6916" max="6916" width="18.19921875" style="1" customWidth="1"/>
    <col min="6917" max="6917" width="5.19921875" style="1" bestFit="1" customWidth="1"/>
    <col min="6918" max="6918" width="9" style="1"/>
    <col min="6919" max="6919" width="11.8984375" style="1" customWidth="1"/>
    <col min="6920" max="6920" width="13.59765625" style="1" customWidth="1"/>
    <col min="6921" max="6921" width="12.69921875" style="1" customWidth="1"/>
    <col min="6922" max="7168" width="9" style="1"/>
    <col min="7169" max="7169" width="5" style="1" customWidth="1"/>
    <col min="7170" max="7170" width="17.8984375" style="1" bestFit="1" customWidth="1"/>
    <col min="7171" max="7171" width="23.59765625" style="1" customWidth="1"/>
    <col min="7172" max="7172" width="18.19921875" style="1" customWidth="1"/>
    <col min="7173" max="7173" width="5.19921875" style="1" bestFit="1" customWidth="1"/>
    <col min="7174" max="7174" width="9" style="1"/>
    <col min="7175" max="7175" width="11.8984375" style="1" customWidth="1"/>
    <col min="7176" max="7176" width="13.59765625" style="1" customWidth="1"/>
    <col min="7177" max="7177" width="12.69921875" style="1" customWidth="1"/>
    <col min="7178" max="7424" width="9" style="1"/>
    <col min="7425" max="7425" width="5" style="1" customWidth="1"/>
    <col min="7426" max="7426" width="17.8984375" style="1" bestFit="1" customWidth="1"/>
    <col min="7427" max="7427" width="23.59765625" style="1" customWidth="1"/>
    <col min="7428" max="7428" width="18.19921875" style="1" customWidth="1"/>
    <col min="7429" max="7429" width="5.19921875" style="1" bestFit="1" customWidth="1"/>
    <col min="7430" max="7430" width="9" style="1"/>
    <col min="7431" max="7431" width="11.8984375" style="1" customWidth="1"/>
    <col min="7432" max="7432" width="13.59765625" style="1" customWidth="1"/>
    <col min="7433" max="7433" width="12.69921875" style="1" customWidth="1"/>
    <col min="7434" max="7680" width="9" style="1"/>
    <col min="7681" max="7681" width="5" style="1" customWidth="1"/>
    <col min="7682" max="7682" width="17.8984375" style="1" bestFit="1" customWidth="1"/>
    <col min="7683" max="7683" width="23.59765625" style="1" customWidth="1"/>
    <col min="7684" max="7684" width="18.19921875" style="1" customWidth="1"/>
    <col min="7685" max="7685" width="5.19921875" style="1" bestFit="1" customWidth="1"/>
    <col min="7686" max="7686" width="9" style="1"/>
    <col min="7687" max="7687" width="11.8984375" style="1" customWidth="1"/>
    <col min="7688" max="7688" width="13.59765625" style="1" customWidth="1"/>
    <col min="7689" max="7689" width="12.69921875" style="1" customWidth="1"/>
    <col min="7690" max="7936" width="9" style="1"/>
    <col min="7937" max="7937" width="5" style="1" customWidth="1"/>
    <col min="7938" max="7938" width="17.8984375" style="1" bestFit="1" customWidth="1"/>
    <col min="7939" max="7939" width="23.59765625" style="1" customWidth="1"/>
    <col min="7940" max="7940" width="18.19921875" style="1" customWidth="1"/>
    <col min="7941" max="7941" width="5.19921875" style="1" bestFit="1" customWidth="1"/>
    <col min="7942" max="7942" width="9" style="1"/>
    <col min="7943" max="7943" width="11.8984375" style="1" customWidth="1"/>
    <col min="7944" max="7944" width="13.59765625" style="1" customWidth="1"/>
    <col min="7945" max="7945" width="12.69921875" style="1" customWidth="1"/>
    <col min="7946" max="8192" width="9" style="1"/>
    <col min="8193" max="8193" width="5" style="1" customWidth="1"/>
    <col min="8194" max="8194" width="17.8984375" style="1" bestFit="1" customWidth="1"/>
    <col min="8195" max="8195" width="23.59765625" style="1" customWidth="1"/>
    <col min="8196" max="8196" width="18.19921875" style="1" customWidth="1"/>
    <col min="8197" max="8197" width="5.19921875" style="1" bestFit="1" customWidth="1"/>
    <col min="8198" max="8198" width="9" style="1"/>
    <col min="8199" max="8199" width="11.8984375" style="1" customWidth="1"/>
    <col min="8200" max="8200" width="13.59765625" style="1" customWidth="1"/>
    <col min="8201" max="8201" width="12.69921875" style="1" customWidth="1"/>
    <col min="8202" max="8448" width="9" style="1"/>
    <col min="8449" max="8449" width="5" style="1" customWidth="1"/>
    <col min="8450" max="8450" width="17.8984375" style="1" bestFit="1" customWidth="1"/>
    <col min="8451" max="8451" width="23.59765625" style="1" customWidth="1"/>
    <col min="8452" max="8452" width="18.19921875" style="1" customWidth="1"/>
    <col min="8453" max="8453" width="5.19921875" style="1" bestFit="1" customWidth="1"/>
    <col min="8454" max="8454" width="9" style="1"/>
    <col min="8455" max="8455" width="11.8984375" style="1" customWidth="1"/>
    <col min="8456" max="8456" width="13.59765625" style="1" customWidth="1"/>
    <col min="8457" max="8457" width="12.69921875" style="1" customWidth="1"/>
    <col min="8458" max="8704" width="9" style="1"/>
    <col min="8705" max="8705" width="5" style="1" customWidth="1"/>
    <col min="8706" max="8706" width="17.8984375" style="1" bestFit="1" customWidth="1"/>
    <col min="8707" max="8707" width="23.59765625" style="1" customWidth="1"/>
    <col min="8708" max="8708" width="18.19921875" style="1" customWidth="1"/>
    <col min="8709" max="8709" width="5.19921875" style="1" bestFit="1" customWidth="1"/>
    <col min="8710" max="8710" width="9" style="1"/>
    <col min="8711" max="8711" width="11.8984375" style="1" customWidth="1"/>
    <col min="8712" max="8712" width="13.59765625" style="1" customWidth="1"/>
    <col min="8713" max="8713" width="12.69921875" style="1" customWidth="1"/>
    <col min="8714" max="8960" width="9" style="1"/>
    <col min="8961" max="8961" width="5" style="1" customWidth="1"/>
    <col min="8962" max="8962" width="17.8984375" style="1" bestFit="1" customWidth="1"/>
    <col min="8963" max="8963" width="23.59765625" style="1" customWidth="1"/>
    <col min="8964" max="8964" width="18.19921875" style="1" customWidth="1"/>
    <col min="8965" max="8965" width="5.19921875" style="1" bestFit="1" customWidth="1"/>
    <col min="8966" max="8966" width="9" style="1"/>
    <col min="8967" max="8967" width="11.8984375" style="1" customWidth="1"/>
    <col min="8968" max="8968" width="13.59765625" style="1" customWidth="1"/>
    <col min="8969" max="8969" width="12.69921875" style="1" customWidth="1"/>
    <col min="8970" max="9216" width="9" style="1"/>
    <col min="9217" max="9217" width="5" style="1" customWidth="1"/>
    <col min="9218" max="9218" width="17.8984375" style="1" bestFit="1" customWidth="1"/>
    <col min="9219" max="9219" width="23.59765625" style="1" customWidth="1"/>
    <col min="9220" max="9220" width="18.19921875" style="1" customWidth="1"/>
    <col min="9221" max="9221" width="5.19921875" style="1" bestFit="1" customWidth="1"/>
    <col min="9222" max="9222" width="9" style="1"/>
    <col min="9223" max="9223" width="11.8984375" style="1" customWidth="1"/>
    <col min="9224" max="9224" width="13.59765625" style="1" customWidth="1"/>
    <col min="9225" max="9225" width="12.69921875" style="1" customWidth="1"/>
    <col min="9226" max="9472" width="9" style="1"/>
    <col min="9473" max="9473" width="5" style="1" customWidth="1"/>
    <col min="9474" max="9474" width="17.8984375" style="1" bestFit="1" customWidth="1"/>
    <col min="9475" max="9475" width="23.59765625" style="1" customWidth="1"/>
    <col min="9476" max="9476" width="18.19921875" style="1" customWidth="1"/>
    <col min="9477" max="9477" width="5.19921875" style="1" bestFit="1" customWidth="1"/>
    <col min="9478" max="9478" width="9" style="1"/>
    <col min="9479" max="9479" width="11.8984375" style="1" customWidth="1"/>
    <col min="9480" max="9480" width="13.59765625" style="1" customWidth="1"/>
    <col min="9481" max="9481" width="12.69921875" style="1" customWidth="1"/>
    <col min="9482" max="9728" width="9" style="1"/>
    <col min="9729" max="9729" width="5" style="1" customWidth="1"/>
    <col min="9730" max="9730" width="17.8984375" style="1" bestFit="1" customWidth="1"/>
    <col min="9731" max="9731" width="23.59765625" style="1" customWidth="1"/>
    <col min="9732" max="9732" width="18.19921875" style="1" customWidth="1"/>
    <col min="9733" max="9733" width="5.19921875" style="1" bestFit="1" customWidth="1"/>
    <col min="9734" max="9734" width="9" style="1"/>
    <col min="9735" max="9735" width="11.8984375" style="1" customWidth="1"/>
    <col min="9736" max="9736" width="13.59765625" style="1" customWidth="1"/>
    <col min="9737" max="9737" width="12.69921875" style="1" customWidth="1"/>
    <col min="9738" max="9984" width="9" style="1"/>
    <col min="9985" max="9985" width="5" style="1" customWidth="1"/>
    <col min="9986" max="9986" width="17.8984375" style="1" bestFit="1" customWidth="1"/>
    <col min="9987" max="9987" width="23.59765625" style="1" customWidth="1"/>
    <col min="9988" max="9988" width="18.19921875" style="1" customWidth="1"/>
    <col min="9989" max="9989" width="5.19921875" style="1" bestFit="1" customWidth="1"/>
    <col min="9990" max="9990" width="9" style="1"/>
    <col min="9991" max="9991" width="11.8984375" style="1" customWidth="1"/>
    <col min="9992" max="9992" width="13.59765625" style="1" customWidth="1"/>
    <col min="9993" max="9993" width="12.69921875" style="1" customWidth="1"/>
    <col min="9994" max="10240" width="9" style="1"/>
    <col min="10241" max="10241" width="5" style="1" customWidth="1"/>
    <col min="10242" max="10242" width="17.8984375" style="1" bestFit="1" customWidth="1"/>
    <col min="10243" max="10243" width="23.59765625" style="1" customWidth="1"/>
    <col min="10244" max="10244" width="18.19921875" style="1" customWidth="1"/>
    <col min="10245" max="10245" width="5.19921875" style="1" bestFit="1" customWidth="1"/>
    <col min="10246" max="10246" width="9" style="1"/>
    <col min="10247" max="10247" width="11.8984375" style="1" customWidth="1"/>
    <col min="10248" max="10248" width="13.59765625" style="1" customWidth="1"/>
    <col min="10249" max="10249" width="12.69921875" style="1" customWidth="1"/>
    <col min="10250" max="10496" width="9" style="1"/>
    <col min="10497" max="10497" width="5" style="1" customWidth="1"/>
    <col min="10498" max="10498" width="17.8984375" style="1" bestFit="1" customWidth="1"/>
    <col min="10499" max="10499" width="23.59765625" style="1" customWidth="1"/>
    <col min="10500" max="10500" width="18.19921875" style="1" customWidth="1"/>
    <col min="10501" max="10501" width="5.19921875" style="1" bestFit="1" customWidth="1"/>
    <col min="10502" max="10502" width="9" style="1"/>
    <col min="10503" max="10503" width="11.8984375" style="1" customWidth="1"/>
    <col min="10504" max="10504" width="13.59765625" style="1" customWidth="1"/>
    <col min="10505" max="10505" width="12.69921875" style="1" customWidth="1"/>
    <col min="10506" max="10752" width="9" style="1"/>
    <col min="10753" max="10753" width="5" style="1" customWidth="1"/>
    <col min="10754" max="10754" width="17.8984375" style="1" bestFit="1" customWidth="1"/>
    <col min="10755" max="10755" width="23.59765625" style="1" customWidth="1"/>
    <col min="10756" max="10756" width="18.19921875" style="1" customWidth="1"/>
    <col min="10757" max="10757" width="5.19921875" style="1" bestFit="1" customWidth="1"/>
    <col min="10758" max="10758" width="9" style="1"/>
    <col min="10759" max="10759" width="11.8984375" style="1" customWidth="1"/>
    <col min="10760" max="10760" width="13.59765625" style="1" customWidth="1"/>
    <col min="10761" max="10761" width="12.69921875" style="1" customWidth="1"/>
    <col min="10762" max="11008" width="9" style="1"/>
    <col min="11009" max="11009" width="5" style="1" customWidth="1"/>
    <col min="11010" max="11010" width="17.8984375" style="1" bestFit="1" customWidth="1"/>
    <col min="11011" max="11011" width="23.59765625" style="1" customWidth="1"/>
    <col min="11012" max="11012" width="18.19921875" style="1" customWidth="1"/>
    <col min="11013" max="11013" width="5.19921875" style="1" bestFit="1" customWidth="1"/>
    <col min="11014" max="11014" width="9" style="1"/>
    <col min="11015" max="11015" width="11.8984375" style="1" customWidth="1"/>
    <col min="11016" max="11016" width="13.59765625" style="1" customWidth="1"/>
    <col min="11017" max="11017" width="12.69921875" style="1" customWidth="1"/>
    <col min="11018" max="11264" width="9" style="1"/>
    <col min="11265" max="11265" width="5" style="1" customWidth="1"/>
    <col min="11266" max="11266" width="17.8984375" style="1" bestFit="1" customWidth="1"/>
    <col min="11267" max="11267" width="23.59765625" style="1" customWidth="1"/>
    <col min="11268" max="11268" width="18.19921875" style="1" customWidth="1"/>
    <col min="11269" max="11269" width="5.19921875" style="1" bestFit="1" customWidth="1"/>
    <col min="11270" max="11270" width="9" style="1"/>
    <col min="11271" max="11271" width="11.8984375" style="1" customWidth="1"/>
    <col min="11272" max="11272" width="13.59765625" style="1" customWidth="1"/>
    <col min="11273" max="11273" width="12.69921875" style="1" customWidth="1"/>
    <col min="11274" max="11520" width="9" style="1"/>
    <col min="11521" max="11521" width="5" style="1" customWidth="1"/>
    <col min="11522" max="11522" width="17.8984375" style="1" bestFit="1" customWidth="1"/>
    <col min="11523" max="11523" width="23.59765625" style="1" customWidth="1"/>
    <col min="11524" max="11524" width="18.19921875" style="1" customWidth="1"/>
    <col min="11525" max="11525" width="5.19921875" style="1" bestFit="1" customWidth="1"/>
    <col min="11526" max="11526" width="9" style="1"/>
    <col min="11527" max="11527" width="11.8984375" style="1" customWidth="1"/>
    <col min="11528" max="11528" width="13.59765625" style="1" customWidth="1"/>
    <col min="11529" max="11529" width="12.69921875" style="1" customWidth="1"/>
    <col min="11530" max="11776" width="9" style="1"/>
    <col min="11777" max="11777" width="5" style="1" customWidth="1"/>
    <col min="11778" max="11778" width="17.8984375" style="1" bestFit="1" customWidth="1"/>
    <col min="11779" max="11779" width="23.59765625" style="1" customWidth="1"/>
    <col min="11780" max="11780" width="18.19921875" style="1" customWidth="1"/>
    <col min="11781" max="11781" width="5.19921875" style="1" bestFit="1" customWidth="1"/>
    <col min="11782" max="11782" width="9" style="1"/>
    <col min="11783" max="11783" width="11.8984375" style="1" customWidth="1"/>
    <col min="11784" max="11784" width="13.59765625" style="1" customWidth="1"/>
    <col min="11785" max="11785" width="12.69921875" style="1" customWidth="1"/>
    <col min="11786" max="12032" width="9" style="1"/>
    <col min="12033" max="12033" width="5" style="1" customWidth="1"/>
    <col min="12034" max="12034" width="17.8984375" style="1" bestFit="1" customWidth="1"/>
    <col min="12035" max="12035" width="23.59765625" style="1" customWidth="1"/>
    <col min="12036" max="12036" width="18.19921875" style="1" customWidth="1"/>
    <col min="12037" max="12037" width="5.19921875" style="1" bestFit="1" customWidth="1"/>
    <col min="12038" max="12038" width="9" style="1"/>
    <col min="12039" max="12039" width="11.8984375" style="1" customWidth="1"/>
    <col min="12040" max="12040" width="13.59765625" style="1" customWidth="1"/>
    <col min="12041" max="12041" width="12.69921875" style="1" customWidth="1"/>
    <col min="12042" max="12288" width="9" style="1"/>
    <col min="12289" max="12289" width="5" style="1" customWidth="1"/>
    <col min="12290" max="12290" width="17.8984375" style="1" bestFit="1" customWidth="1"/>
    <col min="12291" max="12291" width="23.59765625" style="1" customWidth="1"/>
    <col min="12292" max="12292" width="18.19921875" style="1" customWidth="1"/>
    <col min="12293" max="12293" width="5.19921875" style="1" bestFit="1" customWidth="1"/>
    <col min="12294" max="12294" width="9" style="1"/>
    <col min="12295" max="12295" width="11.8984375" style="1" customWidth="1"/>
    <col min="12296" max="12296" width="13.59765625" style="1" customWidth="1"/>
    <col min="12297" max="12297" width="12.69921875" style="1" customWidth="1"/>
    <col min="12298" max="12544" width="9" style="1"/>
    <col min="12545" max="12545" width="5" style="1" customWidth="1"/>
    <col min="12546" max="12546" width="17.8984375" style="1" bestFit="1" customWidth="1"/>
    <col min="12547" max="12547" width="23.59765625" style="1" customWidth="1"/>
    <col min="12548" max="12548" width="18.19921875" style="1" customWidth="1"/>
    <col min="12549" max="12549" width="5.19921875" style="1" bestFit="1" customWidth="1"/>
    <col min="12550" max="12550" width="9" style="1"/>
    <col min="12551" max="12551" width="11.8984375" style="1" customWidth="1"/>
    <col min="12552" max="12552" width="13.59765625" style="1" customWidth="1"/>
    <col min="12553" max="12553" width="12.69921875" style="1" customWidth="1"/>
    <col min="12554" max="12800" width="9" style="1"/>
    <col min="12801" max="12801" width="5" style="1" customWidth="1"/>
    <col min="12802" max="12802" width="17.8984375" style="1" bestFit="1" customWidth="1"/>
    <col min="12803" max="12803" width="23.59765625" style="1" customWidth="1"/>
    <col min="12804" max="12804" width="18.19921875" style="1" customWidth="1"/>
    <col min="12805" max="12805" width="5.19921875" style="1" bestFit="1" customWidth="1"/>
    <col min="12806" max="12806" width="9" style="1"/>
    <col min="12807" max="12807" width="11.8984375" style="1" customWidth="1"/>
    <col min="12808" max="12808" width="13.59765625" style="1" customWidth="1"/>
    <col min="12809" max="12809" width="12.69921875" style="1" customWidth="1"/>
    <col min="12810" max="13056" width="9" style="1"/>
    <col min="13057" max="13057" width="5" style="1" customWidth="1"/>
    <col min="13058" max="13058" width="17.8984375" style="1" bestFit="1" customWidth="1"/>
    <col min="13059" max="13059" width="23.59765625" style="1" customWidth="1"/>
    <col min="13060" max="13060" width="18.19921875" style="1" customWidth="1"/>
    <col min="13061" max="13061" width="5.19921875" style="1" bestFit="1" customWidth="1"/>
    <col min="13062" max="13062" width="9" style="1"/>
    <col min="13063" max="13063" width="11.8984375" style="1" customWidth="1"/>
    <col min="13064" max="13064" width="13.59765625" style="1" customWidth="1"/>
    <col min="13065" max="13065" width="12.69921875" style="1" customWidth="1"/>
    <col min="13066" max="13312" width="9" style="1"/>
    <col min="13313" max="13313" width="5" style="1" customWidth="1"/>
    <col min="13314" max="13314" width="17.8984375" style="1" bestFit="1" customWidth="1"/>
    <col min="13315" max="13315" width="23.59765625" style="1" customWidth="1"/>
    <col min="13316" max="13316" width="18.19921875" style="1" customWidth="1"/>
    <col min="13317" max="13317" width="5.19921875" style="1" bestFit="1" customWidth="1"/>
    <col min="13318" max="13318" width="9" style="1"/>
    <col min="13319" max="13319" width="11.8984375" style="1" customWidth="1"/>
    <col min="13320" max="13320" width="13.59765625" style="1" customWidth="1"/>
    <col min="13321" max="13321" width="12.69921875" style="1" customWidth="1"/>
    <col min="13322" max="13568" width="9" style="1"/>
    <col min="13569" max="13569" width="5" style="1" customWidth="1"/>
    <col min="13570" max="13570" width="17.8984375" style="1" bestFit="1" customWidth="1"/>
    <col min="13571" max="13571" width="23.59765625" style="1" customWidth="1"/>
    <col min="13572" max="13572" width="18.19921875" style="1" customWidth="1"/>
    <col min="13573" max="13573" width="5.19921875" style="1" bestFit="1" customWidth="1"/>
    <col min="13574" max="13574" width="9" style="1"/>
    <col min="13575" max="13575" width="11.8984375" style="1" customWidth="1"/>
    <col min="13576" max="13576" width="13.59765625" style="1" customWidth="1"/>
    <col min="13577" max="13577" width="12.69921875" style="1" customWidth="1"/>
    <col min="13578" max="13824" width="9" style="1"/>
    <col min="13825" max="13825" width="5" style="1" customWidth="1"/>
    <col min="13826" max="13826" width="17.8984375" style="1" bestFit="1" customWidth="1"/>
    <col min="13827" max="13827" width="23.59765625" style="1" customWidth="1"/>
    <col min="13828" max="13828" width="18.19921875" style="1" customWidth="1"/>
    <col min="13829" max="13829" width="5.19921875" style="1" bestFit="1" customWidth="1"/>
    <col min="13830" max="13830" width="9" style="1"/>
    <col min="13831" max="13831" width="11.8984375" style="1" customWidth="1"/>
    <col min="13832" max="13832" width="13.59765625" style="1" customWidth="1"/>
    <col min="13833" max="13833" width="12.69921875" style="1" customWidth="1"/>
    <col min="13834" max="14080" width="9" style="1"/>
    <col min="14081" max="14081" width="5" style="1" customWidth="1"/>
    <col min="14082" max="14082" width="17.8984375" style="1" bestFit="1" customWidth="1"/>
    <col min="14083" max="14083" width="23.59765625" style="1" customWidth="1"/>
    <col min="14084" max="14084" width="18.19921875" style="1" customWidth="1"/>
    <col min="14085" max="14085" width="5.19921875" style="1" bestFit="1" customWidth="1"/>
    <col min="14086" max="14086" width="9" style="1"/>
    <col min="14087" max="14087" width="11.8984375" style="1" customWidth="1"/>
    <col min="14088" max="14088" width="13.59765625" style="1" customWidth="1"/>
    <col min="14089" max="14089" width="12.69921875" style="1" customWidth="1"/>
    <col min="14090" max="14336" width="9" style="1"/>
    <col min="14337" max="14337" width="5" style="1" customWidth="1"/>
    <col min="14338" max="14338" width="17.8984375" style="1" bestFit="1" customWidth="1"/>
    <col min="14339" max="14339" width="23.59765625" style="1" customWidth="1"/>
    <col min="14340" max="14340" width="18.19921875" style="1" customWidth="1"/>
    <col min="14341" max="14341" width="5.19921875" style="1" bestFit="1" customWidth="1"/>
    <col min="14342" max="14342" width="9" style="1"/>
    <col min="14343" max="14343" width="11.8984375" style="1" customWidth="1"/>
    <col min="14344" max="14344" width="13.59765625" style="1" customWidth="1"/>
    <col min="14345" max="14345" width="12.69921875" style="1" customWidth="1"/>
    <col min="14346" max="14592" width="9" style="1"/>
    <col min="14593" max="14593" width="5" style="1" customWidth="1"/>
    <col min="14594" max="14594" width="17.8984375" style="1" bestFit="1" customWidth="1"/>
    <col min="14595" max="14595" width="23.59765625" style="1" customWidth="1"/>
    <col min="14596" max="14596" width="18.19921875" style="1" customWidth="1"/>
    <col min="14597" max="14597" width="5.19921875" style="1" bestFit="1" customWidth="1"/>
    <col min="14598" max="14598" width="9" style="1"/>
    <col min="14599" max="14599" width="11.8984375" style="1" customWidth="1"/>
    <col min="14600" max="14600" width="13.59765625" style="1" customWidth="1"/>
    <col min="14601" max="14601" width="12.69921875" style="1" customWidth="1"/>
    <col min="14602" max="14848" width="9" style="1"/>
    <col min="14849" max="14849" width="5" style="1" customWidth="1"/>
    <col min="14850" max="14850" width="17.8984375" style="1" bestFit="1" customWidth="1"/>
    <col min="14851" max="14851" width="23.59765625" style="1" customWidth="1"/>
    <col min="14852" max="14852" width="18.19921875" style="1" customWidth="1"/>
    <col min="14853" max="14853" width="5.19921875" style="1" bestFit="1" customWidth="1"/>
    <col min="14854" max="14854" width="9" style="1"/>
    <col min="14855" max="14855" width="11.8984375" style="1" customWidth="1"/>
    <col min="14856" max="14856" width="13.59765625" style="1" customWidth="1"/>
    <col min="14857" max="14857" width="12.69921875" style="1" customWidth="1"/>
    <col min="14858" max="15104" width="9" style="1"/>
    <col min="15105" max="15105" width="5" style="1" customWidth="1"/>
    <col min="15106" max="15106" width="17.8984375" style="1" bestFit="1" customWidth="1"/>
    <col min="15107" max="15107" width="23.59765625" style="1" customWidth="1"/>
    <col min="15108" max="15108" width="18.19921875" style="1" customWidth="1"/>
    <col min="15109" max="15109" width="5.19921875" style="1" bestFit="1" customWidth="1"/>
    <col min="15110" max="15110" width="9" style="1"/>
    <col min="15111" max="15111" width="11.8984375" style="1" customWidth="1"/>
    <col min="15112" max="15112" width="13.59765625" style="1" customWidth="1"/>
    <col min="15113" max="15113" width="12.69921875" style="1" customWidth="1"/>
    <col min="15114" max="15360" width="9" style="1"/>
    <col min="15361" max="15361" width="5" style="1" customWidth="1"/>
    <col min="15362" max="15362" width="17.8984375" style="1" bestFit="1" customWidth="1"/>
    <col min="15363" max="15363" width="23.59765625" style="1" customWidth="1"/>
    <col min="15364" max="15364" width="18.19921875" style="1" customWidth="1"/>
    <col min="15365" max="15365" width="5.19921875" style="1" bestFit="1" customWidth="1"/>
    <col min="15366" max="15366" width="9" style="1"/>
    <col min="15367" max="15367" width="11.8984375" style="1" customWidth="1"/>
    <col min="15368" max="15368" width="13.59765625" style="1" customWidth="1"/>
    <col min="15369" max="15369" width="12.69921875" style="1" customWidth="1"/>
    <col min="15370" max="15616" width="9" style="1"/>
    <col min="15617" max="15617" width="5" style="1" customWidth="1"/>
    <col min="15618" max="15618" width="17.8984375" style="1" bestFit="1" customWidth="1"/>
    <col min="15619" max="15619" width="23.59765625" style="1" customWidth="1"/>
    <col min="15620" max="15620" width="18.19921875" style="1" customWidth="1"/>
    <col min="15621" max="15621" width="5.19921875" style="1" bestFit="1" customWidth="1"/>
    <col min="15622" max="15622" width="9" style="1"/>
    <col min="15623" max="15623" width="11.8984375" style="1" customWidth="1"/>
    <col min="15624" max="15624" width="13.59765625" style="1" customWidth="1"/>
    <col min="15625" max="15625" width="12.69921875" style="1" customWidth="1"/>
    <col min="15626" max="15872" width="9" style="1"/>
    <col min="15873" max="15873" width="5" style="1" customWidth="1"/>
    <col min="15874" max="15874" width="17.8984375" style="1" bestFit="1" customWidth="1"/>
    <col min="15875" max="15875" width="23.59765625" style="1" customWidth="1"/>
    <col min="15876" max="15876" width="18.19921875" style="1" customWidth="1"/>
    <col min="15877" max="15877" width="5.19921875" style="1" bestFit="1" customWidth="1"/>
    <col min="15878" max="15878" width="9" style="1"/>
    <col min="15879" max="15879" width="11.8984375" style="1" customWidth="1"/>
    <col min="15880" max="15880" width="13.59765625" style="1" customWidth="1"/>
    <col min="15881" max="15881" width="12.69921875" style="1" customWidth="1"/>
    <col min="15882" max="16128" width="9" style="1"/>
    <col min="16129" max="16129" width="5" style="1" customWidth="1"/>
    <col min="16130" max="16130" width="17.8984375" style="1" bestFit="1" customWidth="1"/>
    <col min="16131" max="16131" width="23.59765625" style="1" customWidth="1"/>
    <col min="16132" max="16132" width="18.19921875" style="1" customWidth="1"/>
    <col min="16133" max="16133" width="5.19921875" style="1" bestFit="1" customWidth="1"/>
    <col min="16134" max="16134" width="9" style="1"/>
    <col min="16135" max="16135" width="11.8984375" style="1" customWidth="1"/>
    <col min="16136" max="16136" width="13.59765625" style="1" customWidth="1"/>
    <col min="16137" max="16137" width="12.69921875" style="1" customWidth="1"/>
    <col min="16138" max="16384" width="9" style="1"/>
  </cols>
  <sheetData>
    <row r="1" spans="1:9" ht="22.5" customHeight="1">
      <c r="B1" s="202" t="s">
        <v>161</v>
      </c>
      <c r="C1" s="285" t="s">
        <v>452</v>
      </c>
      <c r="F1" s="309"/>
      <c r="I1" s="1" t="s">
        <v>128</v>
      </c>
    </row>
    <row r="2" spans="1:9" s="26" customFormat="1" ht="16.5" customHeight="1">
      <c r="A2" s="384" t="s">
        <v>129</v>
      </c>
      <c r="B2" s="386"/>
      <c r="C2" s="131" t="s">
        <v>130</v>
      </c>
      <c r="D2" s="126" t="s">
        <v>131</v>
      </c>
      <c r="E2" s="126" t="s">
        <v>48</v>
      </c>
      <c r="F2" s="268" t="s">
        <v>49</v>
      </c>
      <c r="G2" s="268" t="s">
        <v>132</v>
      </c>
      <c r="H2" s="268" t="s">
        <v>133</v>
      </c>
      <c r="I2" s="126" t="s">
        <v>134</v>
      </c>
    </row>
    <row r="3" spans="1:9" ht="15.9" customHeight="1">
      <c r="A3" s="479" t="s">
        <v>135</v>
      </c>
      <c r="B3" s="208" t="s">
        <v>136</v>
      </c>
      <c r="C3" s="287" t="s">
        <v>453</v>
      </c>
      <c r="D3" s="297"/>
      <c r="E3" s="216"/>
      <c r="F3" s="310"/>
      <c r="G3" s="218"/>
      <c r="H3" s="167"/>
      <c r="I3" s="289"/>
    </row>
    <row r="4" spans="1:9" ht="15.9" customHeight="1">
      <c r="A4" s="480"/>
      <c r="B4" s="208"/>
      <c r="C4" s="296" t="s">
        <v>215</v>
      </c>
      <c r="D4" s="288" t="s">
        <v>216</v>
      </c>
      <c r="E4" s="297" t="s">
        <v>145</v>
      </c>
      <c r="F4" s="311">
        <v>7</v>
      </c>
      <c r="G4" s="299">
        <v>2770000</v>
      </c>
      <c r="H4" s="167">
        <f>F4*G4</f>
        <v>19390000</v>
      </c>
      <c r="I4" s="39"/>
    </row>
    <row r="5" spans="1:9" ht="15.9" customHeight="1">
      <c r="A5" s="480"/>
      <c r="B5" s="208"/>
      <c r="C5" s="296" t="s">
        <v>217</v>
      </c>
      <c r="D5" s="288" t="s">
        <v>218</v>
      </c>
      <c r="E5" s="297" t="s">
        <v>145</v>
      </c>
      <c r="F5" s="311">
        <v>7</v>
      </c>
      <c r="G5" s="299">
        <v>760000</v>
      </c>
      <c r="H5" s="167">
        <f>F5*G5</f>
        <v>5320000</v>
      </c>
      <c r="I5" s="39"/>
    </row>
    <row r="6" spans="1:9" ht="15.9" customHeight="1">
      <c r="A6" s="480"/>
      <c r="B6" s="208"/>
      <c r="C6" s="296" t="s">
        <v>219</v>
      </c>
      <c r="D6" s="296" t="s">
        <v>220</v>
      </c>
      <c r="E6" s="297" t="s">
        <v>145</v>
      </c>
      <c r="F6" s="311">
        <v>7</v>
      </c>
      <c r="G6" s="299">
        <v>250000</v>
      </c>
      <c r="H6" s="167">
        <f>F6*G6</f>
        <v>1750000</v>
      </c>
      <c r="I6" s="39"/>
    </row>
    <row r="7" spans="1:9" ht="15.9" customHeight="1">
      <c r="A7" s="480"/>
      <c r="B7" s="208"/>
      <c r="C7" s="296"/>
      <c r="D7" s="296"/>
      <c r="E7" s="297"/>
      <c r="F7" s="311"/>
      <c r="G7" s="299"/>
      <c r="H7" s="167"/>
      <c r="I7" s="39"/>
    </row>
    <row r="8" spans="1:9" ht="15.9" customHeight="1">
      <c r="A8" s="480"/>
      <c r="B8" s="208"/>
      <c r="C8" s="300" t="s">
        <v>454</v>
      </c>
      <c r="D8" s="296"/>
      <c r="E8" s="297"/>
      <c r="F8" s="310"/>
      <c r="G8" s="299"/>
      <c r="H8" s="167"/>
      <c r="I8" s="39"/>
    </row>
    <row r="9" spans="1:9" ht="15.9" customHeight="1">
      <c r="A9" s="480"/>
      <c r="B9" s="208"/>
      <c r="C9" s="296" t="s">
        <v>200</v>
      </c>
      <c r="D9" s="296" t="s">
        <v>231</v>
      </c>
      <c r="E9" s="297" t="s">
        <v>145</v>
      </c>
      <c r="F9" s="310">
        <v>2</v>
      </c>
      <c r="G9" s="299">
        <v>1210000</v>
      </c>
      <c r="H9" s="167">
        <f t="shared" ref="H9:H19" si="0">IF(F9=0,G9,G9*F9)</f>
        <v>2420000</v>
      </c>
      <c r="I9" s="39"/>
    </row>
    <row r="10" spans="1:9" ht="15.9" customHeight="1">
      <c r="A10" s="480"/>
      <c r="B10" s="208"/>
      <c r="C10" s="296" t="s">
        <v>232</v>
      </c>
      <c r="D10" s="296" t="s">
        <v>233</v>
      </c>
      <c r="E10" s="297" t="s">
        <v>145</v>
      </c>
      <c r="F10" s="310">
        <v>2</v>
      </c>
      <c r="G10" s="299">
        <v>970000</v>
      </c>
      <c r="H10" s="167">
        <f t="shared" si="0"/>
        <v>1940000</v>
      </c>
      <c r="I10" s="39"/>
    </row>
    <row r="11" spans="1:9" ht="15.9" customHeight="1">
      <c r="A11" s="480"/>
      <c r="B11" s="208"/>
      <c r="C11" s="215" t="s">
        <v>204</v>
      </c>
      <c r="D11" s="215"/>
      <c r="E11" s="216" t="s">
        <v>145</v>
      </c>
      <c r="F11" s="310">
        <v>2</v>
      </c>
      <c r="G11" s="218">
        <v>420000</v>
      </c>
      <c r="H11" s="167">
        <f t="shared" si="0"/>
        <v>840000</v>
      </c>
      <c r="I11" s="39"/>
    </row>
    <row r="12" spans="1:9" ht="15.9" customHeight="1">
      <c r="A12" s="480"/>
      <c r="B12" s="208"/>
      <c r="C12" s="215"/>
      <c r="D12" s="215"/>
      <c r="E12" s="216"/>
      <c r="F12" s="310"/>
      <c r="G12" s="218"/>
      <c r="H12" s="167"/>
      <c r="I12" s="39"/>
    </row>
    <row r="13" spans="1:9" ht="15.9" customHeight="1">
      <c r="A13" s="480"/>
      <c r="B13" s="208"/>
      <c r="C13" s="287" t="s">
        <v>455</v>
      </c>
      <c r="D13" s="215"/>
      <c r="E13" s="216"/>
      <c r="F13" s="310"/>
      <c r="G13" s="218"/>
      <c r="H13" s="167"/>
      <c r="I13" s="39"/>
    </row>
    <row r="14" spans="1:9" ht="15.9" customHeight="1">
      <c r="A14" s="480"/>
      <c r="B14" s="208"/>
      <c r="C14" s="215" t="s">
        <v>215</v>
      </c>
      <c r="D14" s="215" t="s">
        <v>456</v>
      </c>
      <c r="E14" s="216" t="s">
        <v>145</v>
      </c>
      <c r="F14" s="310">
        <v>1</v>
      </c>
      <c r="G14" s="218">
        <v>4160000</v>
      </c>
      <c r="H14" s="167"/>
      <c r="I14" s="39"/>
    </row>
    <row r="15" spans="1:9" ht="15.9" customHeight="1">
      <c r="A15" s="480"/>
      <c r="B15" s="208"/>
      <c r="C15" s="215" t="s">
        <v>217</v>
      </c>
      <c r="D15" s="215" t="s">
        <v>457</v>
      </c>
      <c r="E15" s="216" t="s">
        <v>145</v>
      </c>
      <c r="F15" s="310">
        <v>1</v>
      </c>
      <c r="G15" s="218">
        <v>8660000</v>
      </c>
      <c r="H15" s="167">
        <f t="shared" si="0"/>
        <v>8660000</v>
      </c>
      <c r="I15" s="39"/>
    </row>
    <row r="16" spans="1:9" ht="15.9" customHeight="1">
      <c r="A16" s="480"/>
      <c r="B16" s="208"/>
      <c r="C16" s="215" t="s">
        <v>219</v>
      </c>
      <c r="D16" s="215" t="s">
        <v>220</v>
      </c>
      <c r="E16" s="216" t="s">
        <v>145</v>
      </c>
      <c r="F16" s="310">
        <v>1</v>
      </c>
      <c r="G16" s="218">
        <v>1680000</v>
      </c>
      <c r="H16" s="167">
        <f t="shared" si="0"/>
        <v>1680000</v>
      </c>
      <c r="I16" s="39"/>
    </row>
    <row r="17" spans="1:9" ht="15.9" customHeight="1">
      <c r="A17" s="480"/>
      <c r="B17" s="208"/>
      <c r="C17" s="215"/>
      <c r="D17" s="215"/>
      <c r="E17" s="216"/>
      <c r="F17" s="310"/>
      <c r="G17" s="218"/>
      <c r="H17" s="167"/>
      <c r="I17" s="39"/>
    </row>
    <row r="18" spans="1:9" ht="15.9" customHeight="1">
      <c r="A18" s="480"/>
      <c r="B18" s="208"/>
      <c r="C18" s="287" t="s">
        <v>458</v>
      </c>
      <c r="D18" s="215"/>
      <c r="E18" s="216"/>
      <c r="F18" s="310"/>
      <c r="G18" s="218"/>
      <c r="H18" s="167"/>
      <c r="I18" s="39"/>
    </row>
    <row r="19" spans="1:9" ht="15.9" customHeight="1">
      <c r="A19" s="480"/>
      <c r="B19" s="208"/>
      <c r="C19" s="215" t="s">
        <v>215</v>
      </c>
      <c r="D19" s="215" t="s">
        <v>459</v>
      </c>
      <c r="E19" s="216" t="s">
        <v>145</v>
      </c>
      <c r="F19" s="310">
        <v>1</v>
      </c>
      <c r="G19" s="218">
        <v>1010000</v>
      </c>
      <c r="H19" s="167">
        <f t="shared" si="0"/>
        <v>1010000</v>
      </c>
      <c r="I19" s="39"/>
    </row>
    <row r="20" spans="1:9" ht="15.9" customHeight="1">
      <c r="A20" s="480"/>
      <c r="B20" s="208"/>
      <c r="C20" s="296" t="s">
        <v>217</v>
      </c>
      <c r="D20" s="288" t="s">
        <v>218</v>
      </c>
      <c r="E20" s="297" t="s">
        <v>145</v>
      </c>
      <c r="F20" s="311">
        <v>1</v>
      </c>
      <c r="G20" s="299">
        <v>760000</v>
      </c>
      <c r="H20" s="167">
        <f>F20*G20</f>
        <v>760000</v>
      </c>
      <c r="I20" s="39"/>
    </row>
    <row r="21" spans="1:9" ht="15.9" customHeight="1">
      <c r="A21" s="480"/>
      <c r="B21" s="208"/>
      <c r="C21" s="296" t="s">
        <v>219</v>
      </c>
      <c r="D21" s="288" t="s">
        <v>220</v>
      </c>
      <c r="E21" s="297" t="s">
        <v>145</v>
      </c>
      <c r="F21" s="311">
        <v>1</v>
      </c>
      <c r="G21" s="299">
        <v>380000</v>
      </c>
      <c r="H21" s="167">
        <f>F21*G21</f>
        <v>380000</v>
      </c>
      <c r="I21" s="39"/>
    </row>
    <row r="22" spans="1:9" ht="15.9" customHeight="1">
      <c r="A22" s="480"/>
      <c r="B22" s="208"/>
      <c r="C22" s="296"/>
      <c r="D22" s="296"/>
      <c r="E22" s="297"/>
      <c r="F22" s="311"/>
      <c r="G22" s="299"/>
      <c r="H22" s="167"/>
      <c r="I22" s="39"/>
    </row>
    <row r="23" spans="1:9" ht="15.9" customHeight="1">
      <c r="A23" s="480"/>
      <c r="B23" s="208"/>
      <c r="C23" s="300" t="s">
        <v>460</v>
      </c>
      <c r="D23" s="296"/>
      <c r="E23" s="297"/>
      <c r="F23" s="311"/>
      <c r="G23" s="299"/>
      <c r="H23" s="167"/>
      <c r="I23" s="39"/>
    </row>
    <row r="24" spans="1:9" ht="15.9" customHeight="1">
      <c r="A24" s="480"/>
      <c r="B24" s="208"/>
      <c r="C24" s="296" t="s">
        <v>215</v>
      </c>
      <c r="D24" s="296" t="s">
        <v>461</v>
      </c>
      <c r="E24" s="297" t="s">
        <v>145</v>
      </c>
      <c r="F24" s="310">
        <v>3</v>
      </c>
      <c r="G24" s="299">
        <v>3000000</v>
      </c>
      <c r="H24" s="167">
        <f t="shared" ref="H24:H35" si="1">IF(F24=0,G24,G24*F24)</f>
        <v>9000000</v>
      </c>
      <c r="I24" s="39"/>
    </row>
    <row r="25" spans="1:9" ht="15.9" customHeight="1">
      <c r="A25" s="480"/>
      <c r="B25" s="208"/>
      <c r="C25" s="296" t="s">
        <v>462</v>
      </c>
      <c r="D25" s="296" t="s">
        <v>463</v>
      </c>
      <c r="E25" s="297" t="s">
        <v>145</v>
      </c>
      <c r="F25" s="310">
        <v>3</v>
      </c>
      <c r="G25" s="299">
        <v>1030000</v>
      </c>
      <c r="H25" s="167">
        <f t="shared" si="1"/>
        <v>3090000</v>
      </c>
      <c r="I25" s="39"/>
    </row>
    <row r="26" spans="1:9" ht="15.9" customHeight="1">
      <c r="A26" s="480"/>
      <c r="B26" s="208"/>
      <c r="C26" s="296" t="s">
        <v>464</v>
      </c>
      <c r="D26" s="296" t="s">
        <v>465</v>
      </c>
      <c r="E26" s="297" t="s">
        <v>145</v>
      </c>
      <c r="F26" s="310">
        <v>6</v>
      </c>
      <c r="G26" s="299">
        <v>740000</v>
      </c>
      <c r="H26" s="167">
        <f t="shared" si="1"/>
        <v>4440000</v>
      </c>
      <c r="I26" s="39"/>
    </row>
    <row r="27" spans="1:9" ht="15.9" customHeight="1">
      <c r="A27" s="480"/>
      <c r="B27" s="208"/>
      <c r="C27" s="215" t="s">
        <v>219</v>
      </c>
      <c r="D27" s="215" t="s">
        <v>220</v>
      </c>
      <c r="E27" s="216" t="s">
        <v>145</v>
      </c>
      <c r="F27" s="310">
        <v>3</v>
      </c>
      <c r="G27" s="218">
        <v>400000</v>
      </c>
      <c r="H27" s="167">
        <f t="shared" si="1"/>
        <v>1200000</v>
      </c>
      <c r="I27" s="39"/>
    </row>
    <row r="28" spans="1:9" ht="15.9" customHeight="1">
      <c r="A28" s="480"/>
      <c r="B28" s="208"/>
      <c r="C28" s="215"/>
      <c r="D28" s="215"/>
      <c r="E28" s="216"/>
      <c r="F28" s="310"/>
      <c r="G28" s="218"/>
      <c r="H28" s="167"/>
      <c r="I28" s="39"/>
    </row>
    <row r="29" spans="1:9" ht="15.9" customHeight="1">
      <c r="A29" s="480"/>
      <c r="B29" s="208"/>
      <c r="C29" s="287" t="s">
        <v>466</v>
      </c>
      <c r="D29" s="215"/>
      <c r="E29" s="216"/>
      <c r="F29" s="310"/>
      <c r="G29" s="218"/>
      <c r="H29" s="167"/>
      <c r="I29" s="39"/>
    </row>
    <row r="30" spans="1:9" ht="15.9" customHeight="1">
      <c r="A30" s="480"/>
      <c r="B30" s="208"/>
      <c r="C30" s="215" t="s">
        <v>215</v>
      </c>
      <c r="D30" s="215" t="s">
        <v>459</v>
      </c>
      <c r="E30" s="216" t="s">
        <v>145</v>
      </c>
      <c r="F30" s="310">
        <v>1</v>
      </c>
      <c r="G30" s="218">
        <v>12500000</v>
      </c>
      <c r="H30" s="167">
        <f t="shared" si="1"/>
        <v>12500000</v>
      </c>
      <c r="I30" s="39"/>
    </row>
    <row r="31" spans="1:9" ht="15.9" customHeight="1">
      <c r="A31" s="480"/>
      <c r="B31" s="208"/>
      <c r="C31" s="215" t="s">
        <v>217</v>
      </c>
      <c r="D31" s="215" t="s">
        <v>467</v>
      </c>
      <c r="E31" s="216" t="s">
        <v>145</v>
      </c>
      <c r="F31" s="310">
        <v>1</v>
      </c>
      <c r="G31" s="218">
        <v>16700000</v>
      </c>
      <c r="H31" s="167">
        <f t="shared" si="1"/>
        <v>16700000</v>
      </c>
      <c r="I31" s="39"/>
    </row>
    <row r="32" spans="1:9" ht="15.9" customHeight="1">
      <c r="A32" s="480"/>
      <c r="B32" s="208"/>
      <c r="C32" s="215" t="s">
        <v>468</v>
      </c>
      <c r="D32" s="215" t="s">
        <v>469</v>
      </c>
      <c r="E32" s="216" t="s">
        <v>145</v>
      </c>
      <c r="F32" s="310">
        <v>1</v>
      </c>
      <c r="G32" s="218">
        <v>12700000</v>
      </c>
      <c r="H32" s="167">
        <f t="shared" si="1"/>
        <v>12700000</v>
      </c>
      <c r="I32" s="39"/>
    </row>
    <row r="33" spans="1:9" ht="15.9" customHeight="1">
      <c r="A33" s="480"/>
      <c r="B33" s="208"/>
      <c r="C33" s="215" t="s">
        <v>470</v>
      </c>
      <c r="D33" s="215" t="s">
        <v>471</v>
      </c>
      <c r="E33" s="216" t="s">
        <v>145</v>
      </c>
      <c r="F33" s="310">
        <v>1</v>
      </c>
      <c r="G33" s="218">
        <v>4000000</v>
      </c>
      <c r="H33" s="167">
        <f t="shared" si="1"/>
        <v>4000000</v>
      </c>
      <c r="I33" s="39"/>
    </row>
    <row r="34" spans="1:9" ht="15.9" customHeight="1">
      <c r="A34" s="480"/>
      <c r="B34" s="208"/>
      <c r="C34" s="215" t="s">
        <v>472</v>
      </c>
      <c r="D34" s="215" t="s">
        <v>471</v>
      </c>
      <c r="E34" s="216" t="s">
        <v>145</v>
      </c>
      <c r="F34" s="310">
        <v>1</v>
      </c>
      <c r="G34" s="218">
        <v>7500000</v>
      </c>
      <c r="H34" s="167">
        <f t="shared" si="1"/>
        <v>7500000</v>
      </c>
      <c r="I34" s="39"/>
    </row>
    <row r="35" spans="1:9" ht="15.9" customHeight="1">
      <c r="A35" s="480"/>
      <c r="B35" s="208"/>
      <c r="C35" s="215" t="s">
        <v>219</v>
      </c>
      <c r="D35" s="215" t="s">
        <v>220</v>
      </c>
      <c r="E35" s="216" t="s">
        <v>145</v>
      </c>
      <c r="F35" s="310">
        <v>1</v>
      </c>
      <c r="G35" s="218">
        <v>4200000</v>
      </c>
      <c r="H35" s="167">
        <f t="shared" si="1"/>
        <v>4200000</v>
      </c>
      <c r="I35" s="39"/>
    </row>
    <row r="36" spans="1:9" ht="15.9" customHeight="1">
      <c r="A36" s="483"/>
      <c r="B36" s="208"/>
      <c r="C36" s="296"/>
      <c r="D36" s="288"/>
      <c r="E36" s="297"/>
      <c r="F36" s="312"/>
      <c r="G36" s="299"/>
      <c r="H36" s="167"/>
      <c r="I36" s="39"/>
    </row>
    <row r="37" spans="1:9" ht="15.9" customHeight="1">
      <c r="A37" s="483"/>
      <c r="B37" s="208"/>
      <c r="C37" s="300" t="s">
        <v>473</v>
      </c>
      <c r="D37" s="288"/>
      <c r="E37" s="297"/>
      <c r="F37" s="311"/>
      <c r="G37" s="299"/>
      <c r="H37" s="167"/>
      <c r="I37" s="39"/>
    </row>
    <row r="38" spans="1:9" ht="15.9" customHeight="1">
      <c r="A38" s="483"/>
      <c r="B38" s="208"/>
      <c r="C38" s="296" t="s">
        <v>215</v>
      </c>
      <c r="D38" s="296" t="s">
        <v>459</v>
      </c>
      <c r="E38" s="297" t="s">
        <v>145</v>
      </c>
      <c r="F38" s="311">
        <v>2</v>
      </c>
      <c r="G38" s="299">
        <v>1010000</v>
      </c>
      <c r="H38" s="167">
        <f>F38*G38</f>
        <v>2020000</v>
      </c>
      <c r="I38" s="39"/>
    </row>
    <row r="39" spans="1:9" ht="15.9" customHeight="1">
      <c r="A39" s="483"/>
      <c r="B39" s="208"/>
      <c r="C39" s="296" t="s">
        <v>217</v>
      </c>
      <c r="D39" s="296" t="s">
        <v>218</v>
      </c>
      <c r="E39" s="297" t="s">
        <v>145</v>
      </c>
      <c r="F39" s="311">
        <v>2</v>
      </c>
      <c r="G39" s="299">
        <v>760000</v>
      </c>
      <c r="H39" s="167">
        <f>F39*G39</f>
        <v>1520000</v>
      </c>
      <c r="I39" s="39"/>
    </row>
    <row r="40" spans="1:9" ht="15.9" customHeight="1">
      <c r="A40" s="483"/>
      <c r="B40" s="208"/>
      <c r="C40" s="296" t="s">
        <v>219</v>
      </c>
      <c r="D40" s="296" t="s">
        <v>220</v>
      </c>
      <c r="E40" s="297" t="s">
        <v>145</v>
      </c>
      <c r="F40" s="310">
        <v>2</v>
      </c>
      <c r="G40" s="299">
        <v>380000</v>
      </c>
      <c r="H40" s="167">
        <f>IF(F40=0,G40,G40*F40)</f>
        <v>760000</v>
      </c>
      <c r="I40" s="39"/>
    </row>
    <row r="41" spans="1:9" ht="15.9" customHeight="1">
      <c r="A41" s="483"/>
      <c r="B41" s="208"/>
      <c r="C41" s="296"/>
      <c r="D41" s="296"/>
      <c r="E41" s="297"/>
      <c r="F41" s="310"/>
      <c r="G41" s="299"/>
      <c r="H41" s="167"/>
      <c r="I41" s="39"/>
    </row>
    <row r="42" spans="1:9" ht="15.9" customHeight="1">
      <c r="A42" s="483"/>
      <c r="B42" s="208"/>
      <c r="C42" s="300" t="s">
        <v>474</v>
      </c>
      <c r="D42" s="296"/>
      <c r="E42" s="297"/>
      <c r="F42" s="310"/>
      <c r="G42" s="299"/>
      <c r="H42" s="167"/>
      <c r="I42" s="39"/>
    </row>
    <row r="43" spans="1:9" ht="15.9" customHeight="1">
      <c r="A43" s="483"/>
      <c r="B43" s="208"/>
      <c r="C43" s="296" t="s">
        <v>475</v>
      </c>
      <c r="D43" s="296"/>
      <c r="E43" s="297" t="s">
        <v>145</v>
      </c>
      <c r="F43" s="310">
        <v>1</v>
      </c>
      <c r="G43" s="218">
        <v>30000000</v>
      </c>
      <c r="H43" s="167">
        <f t="shared" ref="H43:H55" si="2">IF(F43=0,G43,G43*F43)</f>
        <v>30000000</v>
      </c>
      <c r="I43" s="39"/>
    </row>
    <row r="44" spans="1:9" ht="15.9" customHeight="1">
      <c r="A44" s="483"/>
      <c r="B44" s="208"/>
      <c r="C44" s="296" t="s">
        <v>274</v>
      </c>
      <c r="D44" s="296"/>
      <c r="E44" s="297" t="s">
        <v>145</v>
      </c>
      <c r="F44" s="310">
        <v>1</v>
      </c>
      <c r="G44" s="218">
        <v>15000000</v>
      </c>
      <c r="H44" s="167">
        <f t="shared" si="2"/>
        <v>15000000</v>
      </c>
      <c r="I44" s="39"/>
    </row>
    <row r="45" spans="1:9" ht="15.9" customHeight="1">
      <c r="A45" s="483"/>
      <c r="B45" s="208"/>
      <c r="C45" s="291" t="s">
        <v>476</v>
      </c>
      <c r="D45" s="291" t="s">
        <v>477</v>
      </c>
      <c r="E45" s="297" t="s">
        <v>145</v>
      </c>
      <c r="F45" s="310">
        <v>1</v>
      </c>
      <c r="G45" s="218">
        <v>31600000</v>
      </c>
      <c r="H45" s="167">
        <f t="shared" si="2"/>
        <v>31600000</v>
      </c>
      <c r="I45" s="39"/>
    </row>
    <row r="46" spans="1:9" ht="15.9" customHeight="1">
      <c r="A46" s="483"/>
      <c r="B46" s="208"/>
      <c r="C46" s="296"/>
      <c r="D46" s="296"/>
      <c r="E46" s="297"/>
      <c r="F46" s="310"/>
      <c r="G46" s="218"/>
      <c r="H46" s="167">
        <f t="shared" si="2"/>
        <v>0</v>
      </c>
      <c r="I46" s="39"/>
    </row>
    <row r="47" spans="1:9" ht="15.9" customHeight="1">
      <c r="A47" s="483"/>
      <c r="B47" s="208"/>
      <c r="C47" s="296"/>
      <c r="D47" s="296"/>
      <c r="E47" s="297"/>
      <c r="F47" s="310"/>
      <c r="G47" s="218"/>
      <c r="H47" s="167">
        <f t="shared" si="2"/>
        <v>0</v>
      </c>
      <c r="I47" s="39"/>
    </row>
    <row r="48" spans="1:9" ht="15.9" customHeight="1">
      <c r="A48" s="483"/>
      <c r="B48" s="208"/>
      <c r="C48" s="215"/>
      <c r="D48" s="215"/>
      <c r="E48" s="216"/>
      <c r="F48" s="310"/>
      <c r="G48" s="218"/>
      <c r="H48" s="167">
        <f t="shared" si="2"/>
        <v>0</v>
      </c>
      <c r="I48" s="39"/>
    </row>
    <row r="49" spans="1:9" ht="15.9" customHeight="1">
      <c r="A49" s="483"/>
      <c r="B49" s="208"/>
      <c r="C49" s="215"/>
      <c r="D49" s="215"/>
      <c r="E49" s="216"/>
      <c r="F49" s="310"/>
      <c r="G49" s="218"/>
      <c r="H49" s="167">
        <f t="shared" si="2"/>
        <v>0</v>
      </c>
      <c r="I49" s="39"/>
    </row>
    <row r="50" spans="1:9" ht="15.9" customHeight="1">
      <c r="A50" s="483"/>
      <c r="B50" s="208"/>
      <c r="C50" s="215"/>
      <c r="D50" s="215"/>
      <c r="E50" s="216"/>
      <c r="F50" s="310"/>
      <c r="G50" s="218"/>
      <c r="H50" s="167">
        <f t="shared" si="2"/>
        <v>0</v>
      </c>
      <c r="I50" s="39"/>
    </row>
    <row r="51" spans="1:9" ht="15.9" customHeight="1">
      <c r="A51" s="483"/>
      <c r="B51" s="208"/>
      <c r="C51" s="215"/>
      <c r="D51" s="215"/>
      <c r="E51" s="216"/>
      <c r="F51" s="310"/>
      <c r="G51" s="218"/>
      <c r="H51" s="167">
        <f t="shared" si="2"/>
        <v>0</v>
      </c>
      <c r="I51" s="39"/>
    </row>
    <row r="52" spans="1:9" ht="15.9" customHeight="1">
      <c r="A52" s="483"/>
      <c r="B52" s="208"/>
      <c r="C52" s="215"/>
      <c r="D52" s="215"/>
      <c r="E52" s="216"/>
      <c r="F52" s="310"/>
      <c r="G52" s="218"/>
      <c r="H52" s="167">
        <f t="shared" si="2"/>
        <v>0</v>
      </c>
      <c r="I52" s="39"/>
    </row>
    <row r="53" spans="1:9" ht="15.9" customHeight="1">
      <c r="A53" s="483"/>
      <c r="B53" s="208"/>
      <c r="C53" s="215"/>
      <c r="D53" s="215"/>
      <c r="E53" s="216"/>
      <c r="F53" s="310"/>
      <c r="G53" s="218"/>
      <c r="H53" s="167">
        <f t="shared" si="2"/>
        <v>0</v>
      </c>
      <c r="I53" s="39"/>
    </row>
    <row r="54" spans="1:9" ht="15.9" customHeight="1">
      <c r="A54" s="483"/>
      <c r="B54" s="208"/>
      <c r="C54" s="215"/>
      <c r="D54" s="215"/>
      <c r="E54" s="216"/>
      <c r="F54" s="310"/>
      <c r="G54" s="218"/>
      <c r="H54" s="167">
        <f t="shared" si="2"/>
        <v>0</v>
      </c>
      <c r="I54" s="39"/>
    </row>
    <row r="55" spans="1:9" ht="15.9" customHeight="1">
      <c r="A55" s="483"/>
      <c r="B55" s="208"/>
      <c r="C55" s="219"/>
      <c r="D55" s="220"/>
      <c r="E55" s="220"/>
      <c r="F55" s="313"/>
      <c r="G55" s="222"/>
      <c r="H55" s="239">
        <f t="shared" si="2"/>
        <v>0</v>
      </c>
      <c r="I55" s="240"/>
    </row>
    <row r="56" spans="1:9" ht="15.9" customHeight="1">
      <c r="A56" s="483"/>
      <c r="B56" s="223"/>
      <c r="C56" s="242"/>
      <c r="D56" s="242"/>
      <c r="E56" s="243"/>
      <c r="F56" s="314"/>
      <c r="G56" s="245"/>
      <c r="H56" s="246">
        <f>SUM(H3:H55)</f>
        <v>200380000</v>
      </c>
      <c r="I56" s="242"/>
    </row>
    <row r="57" spans="1:9" ht="15.9" customHeight="1">
      <c r="A57" s="483"/>
      <c r="B57" s="208" t="s">
        <v>279</v>
      </c>
      <c r="C57" s="209"/>
      <c r="D57" s="209"/>
      <c r="E57" s="210"/>
      <c r="F57" s="315"/>
      <c r="G57" s="212"/>
      <c r="H57" s="213">
        <f>IF(F57=0,G57,G57*F57)</f>
        <v>0</v>
      </c>
      <c r="I57" s="214"/>
    </row>
    <row r="58" spans="1:9" ht="15.9" customHeight="1">
      <c r="A58" s="483"/>
      <c r="B58" s="208" t="s">
        <v>280</v>
      </c>
      <c r="C58" s="215"/>
      <c r="D58" s="215"/>
      <c r="E58" s="216"/>
      <c r="F58" s="310"/>
      <c r="G58" s="218"/>
      <c r="H58" s="167">
        <f>IF(F58=0,G58,G58*F58)</f>
        <v>0</v>
      </c>
      <c r="I58" s="39"/>
    </row>
    <row r="59" spans="1:9" ht="15.9" customHeight="1">
      <c r="A59" s="483"/>
      <c r="B59" s="208"/>
      <c r="C59" s="215"/>
      <c r="D59" s="215"/>
      <c r="E59" s="216"/>
      <c r="F59" s="310"/>
      <c r="G59" s="218"/>
      <c r="H59" s="167">
        <f>IF(F59=0,G59,G59*F59)</f>
        <v>0</v>
      </c>
      <c r="I59" s="39"/>
    </row>
    <row r="60" spans="1:9" ht="15.9" customHeight="1">
      <c r="A60" s="483"/>
      <c r="B60" s="208"/>
      <c r="C60" s="215"/>
      <c r="D60" s="215"/>
      <c r="E60" s="216"/>
      <c r="F60" s="310"/>
      <c r="G60" s="218"/>
      <c r="H60" s="167">
        <f>IF(F60=0,G60,G60*F60)</f>
        <v>0</v>
      </c>
      <c r="I60" s="39"/>
    </row>
    <row r="61" spans="1:9" ht="15.9" customHeight="1">
      <c r="A61" s="483"/>
      <c r="B61" s="208"/>
      <c r="C61" s="219"/>
      <c r="D61" s="219"/>
      <c r="E61" s="220"/>
      <c r="F61" s="313"/>
      <c r="G61" s="222"/>
      <c r="H61" s="167">
        <f>IF(F61=0,G61,G61*F61)</f>
        <v>0</v>
      </c>
      <c r="I61" s="42"/>
    </row>
    <row r="62" spans="1:9" ht="15.9" customHeight="1">
      <c r="A62" s="483"/>
      <c r="B62" s="223"/>
      <c r="C62" s="224"/>
      <c r="D62" s="225"/>
      <c r="E62" s="205"/>
      <c r="F62" s="316"/>
      <c r="G62" s="227"/>
      <c r="H62" s="50">
        <f>SUM(H57:H61)</f>
        <v>0</v>
      </c>
      <c r="I62" s="46"/>
    </row>
    <row r="63" spans="1:9" ht="15.9" customHeight="1">
      <c r="A63" s="483"/>
      <c r="B63" s="247" t="s">
        <v>281</v>
      </c>
      <c r="C63" s="296" t="s">
        <v>282</v>
      </c>
      <c r="D63" s="296" t="s">
        <v>338</v>
      </c>
      <c r="E63" s="297" t="s">
        <v>296</v>
      </c>
      <c r="F63" s="311">
        <v>7</v>
      </c>
      <c r="G63" s="299">
        <v>290000</v>
      </c>
      <c r="H63" s="185">
        <f t="shared" ref="H63:H126" si="3">IF(F63=0,G63,G63*F63)</f>
        <v>2030000</v>
      </c>
      <c r="I63" s="234"/>
    </row>
    <row r="64" spans="1:9" ht="15.9" customHeight="1">
      <c r="A64" s="483"/>
      <c r="B64" s="208" t="s">
        <v>284</v>
      </c>
      <c r="C64" s="296" t="s">
        <v>339</v>
      </c>
      <c r="D64" s="296" t="s">
        <v>340</v>
      </c>
      <c r="E64" s="297" t="s">
        <v>145</v>
      </c>
      <c r="F64" s="311">
        <v>7</v>
      </c>
      <c r="G64" s="299">
        <v>920000</v>
      </c>
      <c r="H64" s="167">
        <f t="shared" si="3"/>
        <v>6440000</v>
      </c>
      <c r="I64" s="39"/>
    </row>
    <row r="65" spans="1:9" ht="15.9" customHeight="1">
      <c r="A65" s="483"/>
      <c r="B65" s="208"/>
      <c r="C65" s="296" t="s">
        <v>341</v>
      </c>
      <c r="D65" s="296" t="s">
        <v>329</v>
      </c>
      <c r="E65" s="297" t="s">
        <v>296</v>
      </c>
      <c r="F65" s="311">
        <v>7</v>
      </c>
      <c r="G65" s="299">
        <v>20000</v>
      </c>
      <c r="H65" s="167">
        <f t="shared" si="3"/>
        <v>140000</v>
      </c>
      <c r="I65" s="39"/>
    </row>
    <row r="66" spans="1:9" ht="15.9" customHeight="1">
      <c r="A66" s="483"/>
      <c r="B66" s="208"/>
      <c r="C66" s="296" t="s">
        <v>342</v>
      </c>
      <c r="D66" s="296" t="s">
        <v>343</v>
      </c>
      <c r="E66" s="297" t="s">
        <v>296</v>
      </c>
      <c r="F66" s="311">
        <v>21</v>
      </c>
      <c r="G66" s="299">
        <v>210000</v>
      </c>
      <c r="H66" s="167">
        <f t="shared" si="3"/>
        <v>4410000</v>
      </c>
      <c r="I66" s="39"/>
    </row>
    <row r="67" spans="1:9" ht="15.9" customHeight="1">
      <c r="A67" s="483"/>
      <c r="B67" s="208"/>
      <c r="C67" s="296" t="s">
        <v>344</v>
      </c>
      <c r="D67" s="296" t="s">
        <v>345</v>
      </c>
      <c r="E67" s="297" t="s">
        <v>296</v>
      </c>
      <c r="F67" s="311">
        <v>21</v>
      </c>
      <c r="G67" s="299">
        <v>60000</v>
      </c>
      <c r="H67" s="167">
        <f t="shared" si="3"/>
        <v>1260000</v>
      </c>
      <c r="I67" s="39"/>
    </row>
    <row r="68" spans="1:9" ht="15.9" customHeight="1">
      <c r="A68" s="483"/>
      <c r="B68" s="208"/>
      <c r="C68" s="296" t="s">
        <v>346</v>
      </c>
      <c r="D68" s="296" t="s">
        <v>347</v>
      </c>
      <c r="E68" s="297" t="s">
        <v>296</v>
      </c>
      <c r="F68" s="311">
        <v>21</v>
      </c>
      <c r="G68" s="299">
        <v>40000</v>
      </c>
      <c r="H68" s="167">
        <f t="shared" si="3"/>
        <v>840000</v>
      </c>
      <c r="I68" s="39"/>
    </row>
    <row r="69" spans="1:9" ht="15.9" customHeight="1">
      <c r="A69" s="483"/>
      <c r="B69" s="208"/>
      <c r="C69" s="296" t="s">
        <v>348</v>
      </c>
      <c r="D69" s="296" t="s">
        <v>349</v>
      </c>
      <c r="E69" s="297" t="s">
        <v>296</v>
      </c>
      <c r="F69" s="311">
        <v>14</v>
      </c>
      <c r="G69" s="299">
        <v>10000</v>
      </c>
      <c r="H69" s="167">
        <f t="shared" si="3"/>
        <v>140000</v>
      </c>
      <c r="I69" s="39"/>
    </row>
    <row r="70" spans="1:9" ht="15.9" customHeight="1">
      <c r="A70" s="483"/>
      <c r="B70" s="208"/>
      <c r="C70" s="296" t="s">
        <v>377</v>
      </c>
      <c r="D70" s="296" t="s">
        <v>378</v>
      </c>
      <c r="E70" s="297" t="s">
        <v>296</v>
      </c>
      <c r="F70" s="311">
        <v>2</v>
      </c>
      <c r="G70" s="299">
        <v>4910000</v>
      </c>
      <c r="H70" s="167">
        <f t="shared" si="3"/>
        <v>9820000</v>
      </c>
      <c r="I70" s="39"/>
    </row>
    <row r="71" spans="1:9" ht="15.9" customHeight="1">
      <c r="A71" s="483"/>
      <c r="B71" s="208"/>
      <c r="C71" s="296" t="s">
        <v>350</v>
      </c>
      <c r="D71" s="296" t="s">
        <v>351</v>
      </c>
      <c r="E71" s="297" t="s">
        <v>253</v>
      </c>
      <c r="F71" s="310">
        <v>4</v>
      </c>
      <c r="G71" s="299">
        <v>2170000</v>
      </c>
      <c r="H71" s="167">
        <f t="shared" si="3"/>
        <v>8680000</v>
      </c>
      <c r="I71" s="39"/>
    </row>
    <row r="72" spans="1:9" ht="15.9" customHeight="1">
      <c r="A72" s="483"/>
      <c r="B72" s="208"/>
      <c r="C72" s="215" t="s">
        <v>379</v>
      </c>
      <c r="D72" s="215" t="s">
        <v>380</v>
      </c>
      <c r="E72" s="216" t="s">
        <v>253</v>
      </c>
      <c r="F72" s="310">
        <v>2</v>
      </c>
      <c r="G72" s="218">
        <v>1740000</v>
      </c>
      <c r="H72" s="167">
        <f t="shared" si="3"/>
        <v>3480000</v>
      </c>
      <c r="I72" s="39"/>
    </row>
    <row r="73" spans="1:9" ht="15.9" customHeight="1">
      <c r="A73" s="483"/>
      <c r="B73" s="208"/>
      <c r="C73" s="215" t="s">
        <v>381</v>
      </c>
      <c r="D73" s="215"/>
      <c r="E73" s="216" t="s">
        <v>253</v>
      </c>
      <c r="F73" s="310">
        <v>4</v>
      </c>
      <c r="G73" s="218">
        <v>60000</v>
      </c>
      <c r="H73" s="167">
        <f t="shared" si="3"/>
        <v>240000</v>
      </c>
      <c r="I73" s="39"/>
    </row>
    <row r="74" spans="1:9" ht="15.9" customHeight="1">
      <c r="A74" s="483"/>
      <c r="B74" s="208"/>
      <c r="C74" s="215" t="s">
        <v>382</v>
      </c>
      <c r="D74" s="215" t="s">
        <v>383</v>
      </c>
      <c r="E74" s="216" t="s">
        <v>253</v>
      </c>
      <c r="F74" s="310">
        <v>4</v>
      </c>
      <c r="G74" s="218">
        <v>40000</v>
      </c>
      <c r="H74" s="167">
        <f t="shared" si="3"/>
        <v>160000</v>
      </c>
      <c r="I74" s="39"/>
    </row>
    <row r="75" spans="1:9" ht="15.9" customHeight="1">
      <c r="A75" s="483"/>
      <c r="B75" s="208"/>
      <c r="C75" s="215" t="s">
        <v>305</v>
      </c>
      <c r="D75" s="215" t="s">
        <v>384</v>
      </c>
      <c r="E75" s="216" t="s">
        <v>145</v>
      </c>
      <c r="F75" s="310">
        <v>2</v>
      </c>
      <c r="G75" s="218">
        <v>530000</v>
      </c>
      <c r="H75" s="167">
        <f t="shared" si="3"/>
        <v>1060000</v>
      </c>
      <c r="I75" s="39"/>
    </row>
    <row r="76" spans="1:9" ht="15.9" customHeight="1">
      <c r="A76" s="483"/>
      <c r="B76" s="208"/>
      <c r="C76" s="215" t="s">
        <v>362</v>
      </c>
      <c r="D76" s="215"/>
      <c r="E76" s="216" t="s">
        <v>145</v>
      </c>
      <c r="F76" s="310">
        <v>2</v>
      </c>
      <c r="G76" s="218">
        <v>320000</v>
      </c>
      <c r="H76" s="167">
        <f t="shared" si="3"/>
        <v>640000</v>
      </c>
      <c r="I76" s="39"/>
    </row>
    <row r="77" spans="1:9" ht="15.9" customHeight="1">
      <c r="A77" s="483"/>
      <c r="B77" s="208"/>
      <c r="C77" s="317" t="s">
        <v>204</v>
      </c>
      <c r="D77" s="317"/>
      <c r="E77" s="297" t="s">
        <v>145</v>
      </c>
      <c r="F77" s="318">
        <v>2</v>
      </c>
      <c r="G77" s="319">
        <v>530000</v>
      </c>
      <c r="H77" s="167">
        <f t="shared" si="3"/>
        <v>1060000</v>
      </c>
      <c r="I77" s="39"/>
    </row>
    <row r="78" spans="1:9" ht="15.9" customHeight="1">
      <c r="A78" s="483"/>
      <c r="B78" s="208"/>
      <c r="C78" s="296" t="s">
        <v>478</v>
      </c>
      <c r="D78" s="296" t="s">
        <v>479</v>
      </c>
      <c r="E78" s="297" t="s">
        <v>296</v>
      </c>
      <c r="F78" s="311">
        <v>1</v>
      </c>
      <c r="G78" s="299">
        <v>2310000</v>
      </c>
      <c r="H78" s="167">
        <f t="shared" si="3"/>
        <v>2310000</v>
      </c>
      <c r="I78" s="39"/>
    </row>
    <row r="79" spans="1:9" ht="15.9" customHeight="1">
      <c r="A79" s="483"/>
      <c r="B79" s="208"/>
      <c r="C79" s="296" t="s">
        <v>480</v>
      </c>
      <c r="D79" s="296" t="s">
        <v>481</v>
      </c>
      <c r="E79" s="297" t="s">
        <v>296</v>
      </c>
      <c r="F79" s="310">
        <v>1</v>
      </c>
      <c r="G79" s="299">
        <v>24150000</v>
      </c>
      <c r="H79" s="167">
        <f t="shared" si="3"/>
        <v>24150000</v>
      </c>
      <c r="I79" s="39"/>
    </row>
    <row r="80" spans="1:9" ht="15.9" customHeight="1">
      <c r="A80" s="483"/>
      <c r="B80" s="208"/>
      <c r="C80" s="215" t="s">
        <v>482</v>
      </c>
      <c r="D80" s="215" t="s">
        <v>483</v>
      </c>
      <c r="E80" s="216" t="s">
        <v>296</v>
      </c>
      <c r="F80" s="310">
        <v>1</v>
      </c>
      <c r="G80" s="218">
        <v>8930000</v>
      </c>
      <c r="H80" s="167">
        <f t="shared" si="3"/>
        <v>8930000</v>
      </c>
      <c r="I80" s="39"/>
    </row>
    <row r="81" spans="1:9" ht="15.9" customHeight="1">
      <c r="A81" s="483"/>
      <c r="B81" s="208"/>
      <c r="C81" s="215" t="s">
        <v>484</v>
      </c>
      <c r="D81" s="215" t="s">
        <v>485</v>
      </c>
      <c r="E81" s="216" t="s">
        <v>296</v>
      </c>
      <c r="F81" s="310">
        <v>1</v>
      </c>
      <c r="G81" s="218">
        <v>2460000</v>
      </c>
      <c r="H81" s="167">
        <f t="shared" si="3"/>
        <v>2460000</v>
      </c>
      <c r="I81" s="39"/>
    </row>
    <row r="82" spans="1:9" ht="15.9" customHeight="1">
      <c r="A82" s="483"/>
      <c r="B82" s="208"/>
      <c r="C82" s="215" t="s">
        <v>486</v>
      </c>
      <c r="D82" s="215" t="s">
        <v>487</v>
      </c>
      <c r="E82" s="216" t="s">
        <v>296</v>
      </c>
      <c r="F82" s="310">
        <v>1</v>
      </c>
      <c r="G82" s="218">
        <v>60000</v>
      </c>
      <c r="H82" s="167">
        <f t="shared" si="3"/>
        <v>60000</v>
      </c>
      <c r="I82" s="39"/>
    </row>
    <row r="83" spans="1:9" ht="15.9" customHeight="1">
      <c r="A83" s="483"/>
      <c r="B83" s="208"/>
      <c r="C83" s="215" t="s">
        <v>488</v>
      </c>
      <c r="D83" s="215" t="s">
        <v>489</v>
      </c>
      <c r="E83" s="216" t="s">
        <v>296</v>
      </c>
      <c r="F83" s="310">
        <v>1</v>
      </c>
      <c r="G83" s="218">
        <v>870000</v>
      </c>
      <c r="H83" s="167">
        <f t="shared" si="3"/>
        <v>870000</v>
      </c>
      <c r="I83" s="39"/>
    </row>
    <row r="84" spans="1:9" ht="15.9" customHeight="1">
      <c r="A84" s="483"/>
      <c r="B84" s="208"/>
      <c r="C84" s="215" t="s">
        <v>490</v>
      </c>
      <c r="D84" s="215" t="s">
        <v>491</v>
      </c>
      <c r="E84" s="216" t="s">
        <v>296</v>
      </c>
      <c r="F84" s="310">
        <v>1</v>
      </c>
      <c r="G84" s="218">
        <v>120000</v>
      </c>
      <c r="H84" s="167">
        <f t="shared" si="3"/>
        <v>120000</v>
      </c>
      <c r="I84" s="39"/>
    </row>
    <row r="85" spans="1:9" ht="15.9" customHeight="1">
      <c r="A85" s="483"/>
      <c r="B85" s="208"/>
      <c r="C85" s="317" t="s">
        <v>492</v>
      </c>
      <c r="D85" s="317" t="s">
        <v>493</v>
      </c>
      <c r="E85" s="297" t="s">
        <v>253</v>
      </c>
      <c r="F85" s="318">
        <v>2</v>
      </c>
      <c r="G85" s="319">
        <v>890000</v>
      </c>
      <c r="H85" s="167">
        <f t="shared" si="3"/>
        <v>1780000</v>
      </c>
      <c r="I85" s="39"/>
    </row>
    <row r="86" spans="1:9" ht="15.9" customHeight="1">
      <c r="A86" s="483"/>
      <c r="B86" s="208"/>
      <c r="C86" s="296" t="s">
        <v>344</v>
      </c>
      <c r="D86" s="296" t="s">
        <v>494</v>
      </c>
      <c r="E86" s="297" t="s">
        <v>296</v>
      </c>
      <c r="F86" s="311">
        <v>2</v>
      </c>
      <c r="G86" s="299">
        <v>30000</v>
      </c>
      <c r="H86" s="167">
        <f t="shared" si="3"/>
        <v>60000</v>
      </c>
      <c r="I86" s="39"/>
    </row>
    <row r="87" spans="1:9" ht="15.9" customHeight="1">
      <c r="A87" s="483"/>
      <c r="B87" s="208"/>
      <c r="C87" s="296" t="s">
        <v>495</v>
      </c>
      <c r="D87" s="296" t="s">
        <v>345</v>
      </c>
      <c r="E87" s="297" t="s">
        <v>296</v>
      </c>
      <c r="F87" s="310">
        <v>1</v>
      </c>
      <c r="G87" s="299">
        <v>60000</v>
      </c>
      <c r="H87" s="167">
        <f t="shared" si="3"/>
        <v>60000</v>
      </c>
      <c r="I87" s="39"/>
    </row>
    <row r="88" spans="1:9" ht="15.9" customHeight="1">
      <c r="A88" s="483"/>
      <c r="B88" s="208"/>
      <c r="C88" s="215" t="s">
        <v>346</v>
      </c>
      <c r="D88" s="215" t="s">
        <v>347</v>
      </c>
      <c r="E88" s="216" t="s">
        <v>296</v>
      </c>
      <c r="F88" s="310">
        <v>1</v>
      </c>
      <c r="G88" s="218">
        <v>40000</v>
      </c>
      <c r="H88" s="167">
        <f t="shared" si="3"/>
        <v>40000</v>
      </c>
      <c r="I88" s="39"/>
    </row>
    <row r="89" spans="1:9" ht="15.9" customHeight="1">
      <c r="A89" s="483"/>
      <c r="B89" s="208"/>
      <c r="C89" s="215" t="s">
        <v>348</v>
      </c>
      <c r="D89" s="215" t="s">
        <v>349</v>
      </c>
      <c r="E89" s="216" t="s">
        <v>296</v>
      </c>
      <c r="F89" s="310">
        <v>3</v>
      </c>
      <c r="G89" s="218">
        <v>10000</v>
      </c>
      <c r="H89" s="167">
        <f t="shared" si="3"/>
        <v>30000</v>
      </c>
      <c r="I89" s="39"/>
    </row>
    <row r="90" spans="1:9" ht="15.9" customHeight="1">
      <c r="A90" s="483"/>
      <c r="B90" s="208"/>
      <c r="C90" s="215" t="s">
        <v>496</v>
      </c>
      <c r="D90" s="215" t="s">
        <v>497</v>
      </c>
      <c r="E90" s="216" t="s">
        <v>145</v>
      </c>
      <c r="F90" s="310">
        <v>1</v>
      </c>
      <c r="G90" s="218">
        <v>1260000</v>
      </c>
      <c r="H90" s="167">
        <f t="shared" si="3"/>
        <v>1260000</v>
      </c>
      <c r="I90" s="39"/>
    </row>
    <row r="91" spans="1:9" ht="15.9" customHeight="1">
      <c r="A91" s="483"/>
      <c r="B91" s="208"/>
      <c r="C91" s="215" t="s">
        <v>377</v>
      </c>
      <c r="D91" s="215" t="s">
        <v>498</v>
      </c>
      <c r="E91" s="216" t="s">
        <v>296</v>
      </c>
      <c r="F91" s="310">
        <v>1</v>
      </c>
      <c r="G91" s="218">
        <v>3300000</v>
      </c>
      <c r="H91" s="167">
        <f t="shared" si="3"/>
        <v>3300000</v>
      </c>
      <c r="I91" s="39"/>
    </row>
    <row r="92" spans="1:9" ht="15.9" customHeight="1">
      <c r="A92" s="483"/>
      <c r="B92" s="208"/>
      <c r="C92" s="215" t="s">
        <v>350</v>
      </c>
      <c r="D92" s="215" t="s">
        <v>351</v>
      </c>
      <c r="E92" s="216" t="s">
        <v>253</v>
      </c>
      <c r="F92" s="310">
        <v>1</v>
      </c>
      <c r="G92" s="218">
        <v>2170000</v>
      </c>
      <c r="H92" s="167">
        <f t="shared" si="3"/>
        <v>2170000</v>
      </c>
      <c r="I92" s="39"/>
    </row>
    <row r="93" spans="1:9" ht="15.9" customHeight="1">
      <c r="A93" s="483"/>
      <c r="B93" s="208"/>
      <c r="C93" s="317" t="s">
        <v>499</v>
      </c>
      <c r="D93" s="317" t="s">
        <v>500</v>
      </c>
      <c r="E93" s="297" t="s">
        <v>296</v>
      </c>
      <c r="F93" s="318">
        <v>1</v>
      </c>
      <c r="G93" s="319">
        <v>160000</v>
      </c>
      <c r="H93" s="167">
        <f t="shared" si="3"/>
        <v>160000</v>
      </c>
      <c r="I93" s="39"/>
    </row>
    <row r="94" spans="1:9" ht="15.9" customHeight="1">
      <c r="A94" s="483"/>
      <c r="B94" s="208"/>
      <c r="C94" s="296" t="s">
        <v>381</v>
      </c>
      <c r="D94" s="296" t="s">
        <v>501</v>
      </c>
      <c r="E94" s="297" t="s">
        <v>296</v>
      </c>
      <c r="F94" s="311">
        <v>1</v>
      </c>
      <c r="G94" s="299">
        <v>60000</v>
      </c>
      <c r="H94" s="167">
        <f t="shared" si="3"/>
        <v>60000</v>
      </c>
      <c r="I94" s="39"/>
    </row>
    <row r="95" spans="1:9" ht="15.9" customHeight="1">
      <c r="A95" s="483"/>
      <c r="B95" s="208"/>
      <c r="C95" s="296" t="s">
        <v>502</v>
      </c>
      <c r="D95" s="296" t="s">
        <v>503</v>
      </c>
      <c r="E95" s="297" t="s">
        <v>296</v>
      </c>
      <c r="F95" s="310">
        <v>1</v>
      </c>
      <c r="G95" s="299">
        <v>70000</v>
      </c>
      <c r="H95" s="167">
        <f t="shared" si="3"/>
        <v>70000</v>
      </c>
      <c r="I95" s="39"/>
    </row>
    <row r="96" spans="1:9" ht="15.9" customHeight="1">
      <c r="A96" s="483"/>
      <c r="B96" s="208"/>
      <c r="C96" s="215" t="s">
        <v>504</v>
      </c>
      <c r="D96" s="215" t="s">
        <v>505</v>
      </c>
      <c r="E96" s="216" t="s">
        <v>296</v>
      </c>
      <c r="F96" s="310">
        <v>2</v>
      </c>
      <c r="G96" s="218">
        <v>130000</v>
      </c>
      <c r="H96" s="167">
        <f t="shared" si="3"/>
        <v>260000</v>
      </c>
      <c r="I96" s="39"/>
    </row>
    <row r="97" spans="1:9" ht="15.9" customHeight="1">
      <c r="A97" s="483"/>
      <c r="B97" s="208"/>
      <c r="C97" s="215"/>
      <c r="D97" s="215" t="s">
        <v>506</v>
      </c>
      <c r="E97" s="216" t="s">
        <v>296</v>
      </c>
      <c r="F97" s="310">
        <v>1</v>
      </c>
      <c r="G97" s="218">
        <v>90000</v>
      </c>
      <c r="H97" s="167">
        <f t="shared" si="3"/>
        <v>90000</v>
      </c>
      <c r="I97" s="39"/>
    </row>
    <row r="98" spans="1:9" ht="15.9" customHeight="1">
      <c r="A98" s="483"/>
      <c r="B98" s="208"/>
      <c r="C98" s="215" t="s">
        <v>507</v>
      </c>
      <c r="D98" s="215" t="s">
        <v>508</v>
      </c>
      <c r="E98" s="216" t="s">
        <v>296</v>
      </c>
      <c r="F98" s="310">
        <v>2</v>
      </c>
      <c r="G98" s="218">
        <v>240000</v>
      </c>
      <c r="H98" s="167">
        <f t="shared" si="3"/>
        <v>480000</v>
      </c>
      <c r="I98" s="39"/>
    </row>
    <row r="99" spans="1:9" ht="15.9" customHeight="1">
      <c r="A99" s="483"/>
      <c r="B99" s="208"/>
      <c r="C99" s="215" t="s">
        <v>382</v>
      </c>
      <c r="D99" s="215" t="s">
        <v>509</v>
      </c>
      <c r="E99" s="216" t="s">
        <v>296</v>
      </c>
      <c r="F99" s="310">
        <v>1</v>
      </c>
      <c r="G99" s="218">
        <v>40000</v>
      </c>
      <c r="H99" s="167">
        <f t="shared" si="3"/>
        <v>40000</v>
      </c>
      <c r="I99" s="39"/>
    </row>
    <row r="100" spans="1:9" ht="15.9" customHeight="1">
      <c r="A100" s="483"/>
      <c r="B100" s="208"/>
      <c r="C100" s="215" t="s">
        <v>305</v>
      </c>
      <c r="D100" s="215" t="s">
        <v>510</v>
      </c>
      <c r="E100" s="216" t="s">
        <v>296</v>
      </c>
      <c r="F100" s="310">
        <v>1</v>
      </c>
      <c r="G100" s="218">
        <v>70000</v>
      </c>
      <c r="H100" s="167">
        <f t="shared" si="3"/>
        <v>70000</v>
      </c>
      <c r="I100" s="39"/>
    </row>
    <row r="101" spans="1:9" ht="15.9" customHeight="1">
      <c r="A101" s="483"/>
      <c r="B101" s="208"/>
      <c r="C101" s="296"/>
      <c r="D101" s="296" t="s">
        <v>511</v>
      </c>
      <c r="E101" s="297" t="s">
        <v>296</v>
      </c>
      <c r="F101" s="311">
        <v>1</v>
      </c>
      <c r="G101" s="299">
        <v>140000</v>
      </c>
      <c r="H101" s="167">
        <f t="shared" si="3"/>
        <v>140000</v>
      </c>
      <c r="I101" s="39"/>
    </row>
    <row r="102" spans="1:9" ht="15.9" customHeight="1">
      <c r="A102" s="483"/>
      <c r="B102" s="208"/>
      <c r="C102" s="296" t="s">
        <v>512</v>
      </c>
      <c r="D102" s="296" t="s">
        <v>513</v>
      </c>
      <c r="E102" s="297" t="s">
        <v>296</v>
      </c>
      <c r="F102" s="310">
        <v>1</v>
      </c>
      <c r="G102" s="299">
        <v>40000</v>
      </c>
      <c r="H102" s="167">
        <f t="shared" si="3"/>
        <v>40000</v>
      </c>
      <c r="I102" s="39"/>
    </row>
    <row r="103" spans="1:9" ht="15.9" customHeight="1">
      <c r="A103" s="483"/>
      <c r="B103" s="208"/>
      <c r="C103" s="215" t="s">
        <v>514</v>
      </c>
      <c r="D103" s="215" t="s">
        <v>515</v>
      </c>
      <c r="E103" s="216" t="s">
        <v>296</v>
      </c>
      <c r="F103" s="310">
        <v>1</v>
      </c>
      <c r="G103" s="218">
        <v>20000</v>
      </c>
      <c r="H103" s="167">
        <f t="shared" si="3"/>
        <v>20000</v>
      </c>
      <c r="I103" s="39"/>
    </row>
    <row r="104" spans="1:9" ht="15.9" customHeight="1">
      <c r="A104" s="483"/>
      <c r="B104" s="208"/>
      <c r="C104" s="215" t="s">
        <v>297</v>
      </c>
      <c r="D104" s="215" t="s">
        <v>516</v>
      </c>
      <c r="E104" s="216" t="s">
        <v>296</v>
      </c>
      <c r="F104" s="310">
        <v>2</v>
      </c>
      <c r="G104" s="218">
        <v>30000</v>
      </c>
      <c r="H104" s="167">
        <f t="shared" si="3"/>
        <v>60000</v>
      </c>
      <c r="I104" s="39"/>
    </row>
    <row r="105" spans="1:9" ht="15.9" customHeight="1">
      <c r="A105" s="483"/>
      <c r="B105" s="208"/>
      <c r="C105" s="215" t="s">
        <v>517</v>
      </c>
      <c r="D105" s="215" t="s">
        <v>518</v>
      </c>
      <c r="E105" s="216" t="s">
        <v>296</v>
      </c>
      <c r="F105" s="310">
        <v>1</v>
      </c>
      <c r="G105" s="218">
        <v>20000</v>
      </c>
      <c r="H105" s="167">
        <f t="shared" si="3"/>
        <v>20000</v>
      </c>
      <c r="I105" s="39"/>
    </row>
    <row r="106" spans="1:9" ht="15.9" customHeight="1">
      <c r="A106" s="483"/>
      <c r="B106" s="208"/>
      <c r="C106" s="215" t="s">
        <v>344</v>
      </c>
      <c r="D106" s="215" t="s">
        <v>345</v>
      </c>
      <c r="E106" s="216" t="s">
        <v>296</v>
      </c>
      <c r="F106" s="310">
        <v>3</v>
      </c>
      <c r="G106" s="218">
        <v>60000</v>
      </c>
      <c r="H106" s="167">
        <f t="shared" si="3"/>
        <v>180000</v>
      </c>
      <c r="I106" s="39"/>
    </row>
    <row r="107" spans="1:9" ht="15.9" customHeight="1">
      <c r="A107" s="483"/>
      <c r="B107" s="208"/>
      <c r="C107" s="215" t="s">
        <v>346</v>
      </c>
      <c r="D107" s="215" t="s">
        <v>347</v>
      </c>
      <c r="E107" s="216" t="s">
        <v>296</v>
      </c>
      <c r="F107" s="310">
        <v>1</v>
      </c>
      <c r="G107" s="218">
        <v>40000</v>
      </c>
      <c r="H107" s="167">
        <f t="shared" si="3"/>
        <v>40000</v>
      </c>
      <c r="I107" s="39"/>
    </row>
    <row r="108" spans="1:9" ht="15.9" customHeight="1">
      <c r="A108" s="483"/>
      <c r="B108" s="208"/>
      <c r="C108" s="317" t="s">
        <v>348</v>
      </c>
      <c r="D108" s="317" t="s">
        <v>349</v>
      </c>
      <c r="E108" s="297" t="s">
        <v>296</v>
      </c>
      <c r="F108" s="318">
        <v>2</v>
      </c>
      <c r="G108" s="319">
        <v>10000</v>
      </c>
      <c r="H108" s="167">
        <f t="shared" si="3"/>
        <v>20000</v>
      </c>
      <c r="I108" s="39"/>
    </row>
    <row r="109" spans="1:9" ht="15.9" customHeight="1">
      <c r="A109" s="483"/>
      <c r="B109" s="208"/>
      <c r="C109" s="296" t="s">
        <v>282</v>
      </c>
      <c r="D109" s="296" t="s">
        <v>519</v>
      </c>
      <c r="E109" s="297" t="s">
        <v>296</v>
      </c>
      <c r="F109" s="311">
        <v>3</v>
      </c>
      <c r="G109" s="299">
        <v>790000</v>
      </c>
      <c r="H109" s="167">
        <f t="shared" si="3"/>
        <v>2370000</v>
      </c>
      <c r="I109" s="39"/>
    </row>
    <row r="110" spans="1:9" ht="15.9" customHeight="1">
      <c r="A110" s="483"/>
      <c r="B110" s="208"/>
      <c r="C110" s="296" t="s">
        <v>520</v>
      </c>
      <c r="D110" s="296" t="s">
        <v>521</v>
      </c>
      <c r="E110" s="297" t="s">
        <v>296</v>
      </c>
      <c r="F110" s="310">
        <v>3</v>
      </c>
      <c r="G110" s="299">
        <v>1840000</v>
      </c>
      <c r="H110" s="167">
        <f t="shared" si="3"/>
        <v>5520000</v>
      </c>
      <c r="I110" s="39"/>
    </row>
    <row r="111" spans="1:9" ht="15.9" customHeight="1">
      <c r="A111" s="483"/>
      <c r="B111" s="208"/>
      <c r="C111" s="215" t="s">
        <v>522</v>
      </c>
      <c r="D111" s="215" t="s">
        <v>523</v>
      </c>
      <c r="E111" s="216" t="s">
        <v>296</v>
      </c>
      <c r="F111" s="310">
        <v>2</v>
      </c>
      <c r="G111" s="218">
        <v>4170000</v>
      </c>
      <c r="H111" s="167">
        <f t="shared" si="3"/>
        <v>8340000</v>
      </c>
      <c r="I111" s="39"/>
    </row>
    <row r="112" spans="1:9" ht="15.9" customHeight="1">
      <c r="A112" s="483"/>
      <c r="B112" s="208"/>
      <c r="C112" s="215" t="s">
        <v>524</v>
      </c>
      <c r="D112" s="215" t="s">
        <v>525</v>
      </c>
      <c r="E112" s="216" t="s">
        <v>296</v>
      </c>
      <c r="F112" s="310">
        <v>2</v>
      </c>
      <c r="G112" s="218">
        <v>5420000</v>
      </c>
      <c r="H112" s="167">
        <f t="shared" si="3"/>
        <v>10840000</v>
      </c>
      <c r="I112" s="39"/>
    </row>
    <row r="113" spans="1:9" ht="15.9" customHeight="1">
      <c r="A113" s="483"/>
      <c r="B113" s="208"/>
      <c r="C113" s="215" t="s">
        <v>526</v>
      </c>
      <c r="D113" s="215"/>
      <c r="E113" s="216" t="s">
        <v>296</v>
      </c>
      <c r="F113" s="310">
        <v>8</v>
      </c>
      <c r="G113" s="218">
        <v>700000</v>
      </c>
      <c r="H113" s="167">
        <f t="shared" si="3"/>
        <v>5600000</v>
      </c>
      <c r="I113" s="39"/>
    </row>
    <row r="114" spans="1:9" ht="15.9" customHeight="1">
      <c r="A114" s="483"/>
      <c r="B114" s="208"/>
      <c r="C114" s="215" t="s">
        <v>527</v>
      </c>
      <c r="D114" s="215" t="s">
        <v>528</v>
      </c>
      <c r="E114" s="216" t="s">
        <v>296</v>
      </c>
      <c r="F114" s="310">
        <v>2</v>
      </c>
      <c r="G114" s="218">
        <v>30000</v>
      </c>
      <c r="H114" s="167">
        <f t="shared" si="3"/>
        <v>60000</v>
      </c>
      <c r="I114" s="39"/>
    </row>
    <row r="115" spans="1:9" ht="15.9" customHeight="1">
      <c r="A115" s="483"/>
      <c r="B115" s="208"/>
      <c r="C115" s="215" t="s">
        <v>529</v>
      </c>
      <c r="D115" s="215" t="s">
        <v>530</v>
      </c>
      <c r="E115" s="216" t="s">
        <v>296</v>
      </c>
      <c r="F115" s="310">
        <v>4</v>
      </c>
      <c r="G115" s="218">
        <v>90000</v>
      </c>
      <c r="H115" s="167">
        <f t="shared" si="3"/>
        <v>360000</v>
      </c>
      <c r="I115" s="39"/>
    </row>
    <row r="116" spans="1:9" ht="15.9" customHeight="1">
      <c r="A116" s="483"/>
      <c r="B116" s="208"/>
      <c r="C116" s="317" t="s">
        <v>531</v>
      </c>
      <c r="D116" s="317"/>
      <c r="E116" s="297" t="s">
        <v>296</v>
      </c>
      <c r="F116" s="318">
        <v>2</v>
      </c>
      <c r="G116" s="319">
        <v>1390000</v>
      </c>
      <c r="H116" s="167">
        <f t="shared" si="3"/>
        <v>2780000</v>
      </c>
      <c r="I116" s="39"/>
    </row>
    <row r="117" spans="1:9" ht="15.9" customHeight="1">
      <c r="A117" s="483"/>
      <c r="B117" s="208"/>
      <c r="C117" s="296" t="s">
        <v>305</v>
      </c>
      <c r="D117" s="296" t="s">
        <v>511</v>
      </c>
      <c r="E117" s="297" t="s">
        <v>296</v>
      </c>
      <c r="F117" s="311">
        <v>2</v>
      </c>
      <c r="G117" s="299">
        <v>140000</v>
      </c>
      <c r="H117" s="167">
        <f t="shared" si="3"/>
        <v>280000</v>
      </c>
      <c r="I117" s="39"/>
    </row>
    <row r="118" spans="1:9" ht="15.9" customHeight="1">
      <c r="A118" s="483"/>
      <c r="B118" s="208"/>
      <c r="C118" s="296" t="s">
        <v>507</v>
      </c>
      <c r="D118" s="296" t="s">
        <v>508</v>
      </c>
      <c r="E118" s="297" t="s">
        <v>296</v>
      </c>
      <c r="F118" s="310">
        <v>4</v>
      </c>
      <c r="G118" s="299">
        <v>240000</v>
      </c>
      <c r="H118" s="167">
        <f t="shared" si="3"/>
        <v>960000</v>
      </c>
      <c r="I118" s="39"/>
    </row>
    <row r="119" spans="1:9" ht="15.9" customHeight="1">
      <c r="A119" s="483"/>
      <c r="B119" s="208"/>
      <c r="C119" s="215" t="s">
        <v>532</v>
      </c>
      <c r="D119" s="215" t="s">
        <v>533</v>
      </c>
      <c r="E119" s="216" t="s">
        <v>296</v>
      </c>
      <c r="F119" s="310">
        <v>2</v>
      </c>
      <c r="G119" s="218">
        <v>600000</v>
      </c>
      <c r="H119" s="167">
        <f t="shared" si="3"/>
        <v>1200000</v>
      </c>
      <c r="I119" s="39"/>
    </row>
    <row r="120" spans="1:9" ht="15.9" customHeight="1">
      <c r="A120" s="483"/>
      <c r="B120" s="208"/>
      <c r="C120" s="215" t="s">
        <v>344</v>
      </c>
      <c r="D120" s="215" t="s">
        <v>345</v>
      </c>
      <c r="E120" s="216" t="s">
        <v>296</v>
      </c>
      <c r="F120" s="310">
        <v>2</v>
      </c>
      <c r="G120" s="218">
        <v>60000</v>
      </c>
      <c r="H120" s="167">
        <f t="shared" si="3"/>
        <v>120000</v>
      </c>
      <c r="I120" s="39"/>
    </row>
    <row r="121" spans="1:9" ht="15.9" customHeight="1">
      <c r="A121" s="483"/>
      <c r="B121" s="208"/>
      <c r="C121" s="215" t="s">
        <v>346</v>
      </c>
      <c r="D121" s="215" t="s">
        <v>347</v>
      </c>
      <c r="E121" s="216" t="s">
        <v>296</v>
      </c>
      <c r="F121" s="310">
        <v>2</v>
      </c>
      <c r="G121" s="218">
        <v>40000</v>
      </c>
      <c r="H121" s="167">
        <f t="shared" si="3"/>
        <v>80000</v>
      </c>
      <c r="I121" s="39"/>
    </row>
    <row r="122" spans="1:9" ht="15.9" customHeight="1">
      <c r="A122" s="483"/>
      <c r="B122" s="208"/>
      <c r="C122" s="215" t="s">
        <v>348</v>
      </c>
      <c r="D122" s="215" t="s">
        <v>349</v>
      </c>
      <c r="E122" s="216" t="s">
        <v>296</v>
      </c>
      <c r="F122" s="310">
        <v>2</v>
      </c>
      <c r="G122" s="218">
        <v>10000</v>
      </c>
      <c r="H122" s="167">
        <f t="shared" si="3"/>
        <v>20000</v>
      </c>
      <c r="I122" s="39"/>
    </row>
    <row r="123" spans="1:9" ht="15.9" customHeight="1">
      <c r="A123" s="483"/>
      <c r="B123" s="208"/>
      <c r="C123" s="215" t="s">
        <v>534</v>
      </c>
      <c r="D123" s="215" t="s">
        <v>535</v>
      </c>
      <c r="E123" s="216" t="s">
        <v>145</v>
      </c>
      <c r="F123" s="310">
        <v>1</v>
      </c>
      <c r="G123" s="218">
        <v>2650000</v>
      </c>
      <c r="H123" s="167">
        <f t="shared" si="3"/>
        <v>2650000</v>
      </c>
      <c r="I123" s="39"/>
    </row>
    <row r="124" spans="1:9" ht="15.9" customHeight="1">
      <c r="A124" s="483"/>
      <c r="B124" s="208"/>
      <c r="C124" s="317" t="s">
        <v>536</v>
      </c>
      <c r="D124" s="317" t="s">
        <v>537</v>
      </c>
      <c r="E124" s="297" t="s">
        <v>145</v>
      </c>
      <c r="F124" s="318">
        <v>1</v>
      </c>
      <c r="G124" s="319">
        <v>1800000</v>
      </c>
      <c r="H124" s="167">
        <f t="shared" si="3"/>
        <v>1800000</v>
      </c>
      <c r="I124" s="39"/>
    </row>
    <row r="125" spans="1:9" ht="15.9" customHeight="1">
      <c r="A125" s="483"/>
      <c r="B125" s="208"/>
      <c r="C125" s="296" t="s">
        <v>538</v>
      </c>
      <c r="D125" s="296" t="s">
        <v>539</v>
      </c>
      <c r="E125" s="297" t="s">
        <v>145</v>
      </c>
      <c r="F125" s="311">
        <v>1</v>
      </c>
      <c r="G125" s="299">
        <v>2300000</v>
      </c>
      <c r="H125" s="167">
        <f t="shared" si="3"/>
        <v>2300000</v>
      </c>
      <c r="I125" s="39"/>
    </row>
    <row r="126" spans="1:9" ht="15.9" customHeight="1">
      <c r="A126" s="483"/>
      <c r="B126" s="208"/>
      <c r="C126" s="296" t="s">
        <v>428</v>
      </c>
      <c r="D126" s="296" t="s">
        <v>540</v>
      </c>
      <c r="E126" s="297" t="s">
        <v>145</v>
      </c>
      <c r="F126" s="310">
        <v>1</v>
      </c>
      <c r="G126" s="299">
        <v>5000000</v>
      </c>
      <c r="H126" s="167">
        <f t="shared" si="3"/>
        <v>5000000</v>
      </c>
      <c r="I126" s="39"/>
    </row>
    <row r="127" spans="1:9" ht="15.9" customHeight="1">
      <c r="A127" s="483"/>
      <c r="B127" s="208"/>
      <c r="C127" s="215" t="s">
        <v>541</v>
      </c>
      <c r="D127" s="215" t="s">
        <v>542</v>
      </c>
      <c r="E127" s="216" t="s">
        <v>145</v>
      </c>
      <c r="F127" s="310">
        <v>1</v>
      </c>
      <c r="G127" s="218">
        <v>5000000</v>
      </c>
      <c r="H127" s="167">
        <f t="shared" ref="H127:H149" si="4">IF(F127=0,G127,G127*F127)</f>
        <v>5000000</v>
      </c>
      <c r="I127" s="39"/>
    </row>
    <row r="128" spans="1:9" ht="15.9" customHeight="1">
      <c r="A128" s="483"/>
      <c r="B128" s="208"/>
      <c r="C128" s="215" t="s">
        <v>543</v>
      </c>
      <c r="D128" s="215"/>
      <c r="E128" s="216" t="s">
        <v>145</v>
      </c>
      <c r="F128" s="310">
        <v>1</v>
      </c>
      <c r="G128" s="218">
        <v>6000000</v>
      </c>
      <c r="H128" s="167">
        <f t="shared" si="4"/>
        <v>6000000</v>
      </c>
      <c r="I128" s="39"/>
    </row>
    <row r="129" spans="1:9" ht="15.9" customHeight="1">
      <c r="A129" s="483"/>
      <c r="B129" s="208"/>
      <c r="C129" s="215"/>
      <c r="D129" s="215"/>
      <c r="E129" s="216"/>
      <c r="F129" s="310"/>
      <c r="G129" s="218"/>
      <c r="H129" s="167">
        <f t="shared" si="4"/>
        <v>0</v>
      </c>
      <c r="I129" s="39"/>
    </row>
    <row r="130" spans="1:9" ht="15.9" customHeight="1">
      <c r="A130" s="483"/>
      <c r="B130" s="208"/>
      <c r="C130" s="215"/>
      <c r="D130" s="215"/>
      <c r="E130" s="216"/>
      <c r="F130" s="310"/>
      <c r="G130" s="218"/>
      <c r="H130" s="167">
        <f t="shared" si="4"/>
        <v>0</v>
      </c>
      <c r="I130" s="39"/>
    </row>
    <row r="131" spans="1:9" ht="15.9" customHeight="1">
      <c r="A131" s="483"/>
      <c r="B131" s="208"/>
      <c r="C131" s="215"/>
      <c r="D131" s="215"/>
      <c r="E131" s="216"/>
      <c r="F131" s="310"/>
      <c r="G131" s="218"/>
      <c r="H131" s="167">
        <f t="shared" si="4"/>
        <v>0</v>
      </c>
      <c r="I131" s="39"/>
    </row>
    <row r="132" spans="1:9" ht="15.9" customHeight="1">
      <c r="A132" s="483"/>
      <c r="B132" s="208"/>
      <c r="C132" s="317"/>
      <c r="D132" s="317"/>
      <c r="E132" s="297"/>
      <c r="F132" s="318"/>
      <c r="G132" s="319"/>
      <c r="H132" s="167">
        <f t="shared" si="4"/>
        <v>0</v>
      </c>
      <c r="I132" s="39"/>
    </row>
    <row r="133" spans="1:9" ht="15.9" customHeight="1">
      <c r="A133" s="483"/>
      <c r="B133" s="208"/>
      <c r="C133" s="296"/>
      <c r="D133" s="296"/>
      <c r="E133" s="297"/>
      <c r="F133" s="311"/>
      <c r="G133" s="299"/>
      <c r="H133" s="167">
        <f t="shared" si="4"/>
        <v>0</v>
      </c>
      <c r="I133" s="39"/>
    </row>
    <row r="134" spans="1:9" ht="15.9" customHeight="1">
      <c r="A134" s="483"/>
      <c r="B134" s="208"/>
      <c r="C134" s="296"/>
      <c r="D134" s="296"/>
      <c r="E134" s="297"/>
      <c r="F134" s="310"/>
      <c r="G134" s="299"/>
      <c r="H134" s="167">
        <f t="shared" si="4"/>
        <v>0</v>
      </c>
      <c r="I134" s="39"/>
    </row>
    <row r="135" spans="1:9" ht="15.9" customHeight="1">
      <c r="A135" s="483"/>
      <c r="B135" s="208"/>
      <c r="C135" s="215"/>
      <c r="D135" s="215"/>
      <c r="E135" s="216"/>
      <c r="F135" s="310"/>
      <c r="G135" s="218"/>
      <c r="H135" s="167">
        <f t="shared" si="4"/>
        <v>0</v>
      </c>
      <c r="I135" s="39"/>
    </row>
    <row r="136" spans="1:9" ht="15.9" customHeight="1">
      <c r="A136" s="483"/>
      <c r="B136" s="208"/>
      <c r="C136" s="215"/>
      <c r="D136" s="215"/>
      <c r="E136" s="216"/>
      <c r="F136" s="310"/>
      <c r="G136" s="218"/>
      <c r="H136" s="167">
        <f t="shared" si="4"/>
        <v>0</v>
      </c>
      <c r="I136" s="39"/>
    </row>
    <row r="137" spans="1:9" ht="15.9" customHeight="1">
      <c r="A137" s="483"/>
      <c r="B137" s="208"/>
      <c r="C137" s="215"/>
      <c r="D137" s="215"/>
      <c r="E137" s="216"/>
      <c r="F137" s="310"/>
      <c r="G137" s="218"/>
      <c r="H137" s="167">
        <f t="shared" si="4"/>
        <v>0</v>
      </c>
      <c r="I137" s="39"/>
    </row>
    <row r="138" spans="1:9" ht="15.9" customHeight="1">
      <c r="A138" s="483"/>
      <c r="B138" s="208"/>
      <c r="C138" s="215"/>
      <c r="D138" s="215"/>
      <c r="E138" s="216"/>
      <c r="F138" s="310"/>
      <c r="G138" s="218"/>
      <c r="H138" s="167">
        <f t="shared" si="4"/>
        <v>0</v>
      </c>
      <c r="I138" s="39"/>
    </row>
    <row r="139" spans="1:9" ht="15.9" customHeight="1">
      <c r="A139" s="483"/>
      <c r="B139" s="208"/>
      <c r="C139" s="215"/>
      <c r="D139" s="215"/>
      <c r="E139" s="216"/>
      <c r="F139" s="310"/>
      <c r="G139" s="218"/>
      <c r="H139" s="167">
        <f t="shared" si="4"/>
        <v>0</v>
      </c>
      <c r="I139" s="39"/>
    </row>
    <row r="140" spans="1:9" ht="15.9" customHeight="1">
      <c r="A140" s="483"/>
      <c r="B140" s="208"/>
      <c r="C140" s="317"/>
      <c r="D140" s="317"/>
      <c r="E140" s="297"/>
      <c r="F140" s="318"/>
      <c r="G140" s="319"/>
      <c r="H140" s="167">
        <f t="shared" si="4"/>
        <v>0</v>
      </c>
      <c r="I140" s="39"/>
    </row>
    <row r="141" spans="1:9" ht="15.9" customHeight="1">
      <c r="A141" s="483"/>
      <c r="B141" s="208"/>
      <c r="C141" s="296"/>
      <c r="D141" s="296"/>
      <c r="E141" s="297"/>
      <c r="F141" s="311"/>
      <c r="G141" s="299"/>
      <c r="H141" s="167">
        <f t="shared" si="4"/>
        <v>0</v>
      </c>
      <c r="I141" s="39"/>
    </row>
    <row r="142" spans="1:9" ht="15.9" customHeight="1">
      <c r="A142" s="483"/>
      <c r="B142" s="208"/>
      <c r="C142" s="296"/>
      <c r="D142" s="296"/>
      <c r="E142" s="297"/>
      <c r="F142" s="310"/>
      <c r="G142" s="299"/>
      <c r="H142" s="167">
        <f t="shared" si="4"/>
        <v>0</v>
      </c>
      <c r="I142" s="39"/>
    </row>
    <row r="143" spans="1:9" ht="15.9" customHeight="1">
      <c r="A143" s="483"/>
      <c r="B143" s="208"/>
      <c r="C143" s="215"/>
      <c r="D143" s="215"/>
      <c r="E143" s="216"/>
      <c r="F143" s="310"/>
      <c r="G143" s="218"/>
      <c r="H143" s="167">
        <f t="shared" si="4"/>
        <v>0</v>
      </c>
      <c r="I143" s="39"/>
    </row>
    <row r="144" spans="1:9" ht="15.9" customHeight="1">
      <c r="A144" s="483"/>
      <c r="B144" s="208"/>
      <c r="C144" s="215"/>
      <c r="D144" s="215"/>
      <c r="E144" s="216"/>
      <c r="F144" s="310"/>
      <c r="G144" s="218"/>
      <c r="H144" s="167">
        <f t="shared" si="4"/>
        <v>0</v>
      </c>
      <c r="I144" s="39"/>
    </row>
    <row r="145" spans="1:9" ht="15.9" customHeight="1">
      <c r="A145" s="483"/>
      <c r="B145" s="208"/>
      <c r="C145" s="215"/>
      <c r="D145" s="215"/>
      <c r="E145" s="216"/>
      <c r="F145" s="310"/>
      <c r="G145" s="218"/>
      <c r="H145" s="167">
        <f t="shared" si="4"/>
        <v>0</v>
      </c>
      <c r="I145" s="39"/>
    </row>
    <row r="146" spans="1:9" ht="15.9" customHeight="1">
      <c r="A146" s="483"/>
      <c r="B146" s="208"/>
      <c r="C146" s="215"/>
      <c r="D146" s="215"/>
      <c r="E146" s="216"/>
      <c r="F146" s="310"/>
      <c r="G146" s="218"/>
      <c r="H146" s="167">
        <f t="shared" si="4"/>
        <v>0</v>
      </c>
      <c r="I146" s="39"/>
    </row>
    <row r="147" spans="1:9" ht="15.9" customHeight="1">
      <c r="A147" s="483"/>
      <c r="B147" s="208"/>
      <c r="C147" s="215"/>
      <c r="D147" s="215"/>
      <c r="E147" s="216"/>
      <c r="F147" s="310"/>
      <c r="G147" s="218"/>
      <c r="H147" s="167">
        <f t="shared" si="4"/>
        <v>0</v>
      </c>
      <c r="I147" s="39"/>
    </row>
    <row r="148" spans="1:9" ht="15.9" customHeight="1">
      <c r="A148" s="483"/>
      <c r="B148" s="208"/>
      <c r="C148" s="317"/>
      <c r="D148" s="317"/>
      <c r="E148" s="297"/>
      <c r="F148" s="318"/>
      <c r="G148" s="319"/>
      <c r="H148" s="167">
        <f t="shared" si="4"/>
        <v>0</v>
      </c>
      <c r="I148" s="39"/>
    </row>
    <row r="149" spans="1:9" ht="15.9" customHeight="1">
      <c r="A149" s="483"/>
      <c r="B149" s="208"/>
      <c r="C149" s="219"/>
      <c r="D149" s="219"/>
      <c r="E149" s="220"/>
      <c r="F149" s="313"/>
      <c r="G149" s="222"/>
      <c r="H149" s="177">
        <f t="shared" si="4"/>
        <v>0</v>
      </c>
      <c r="I149" s="42"/>
    </row>
    <row r="150" spans="1:9" ht="15.9" customHeight="1">
      <c r="A150" s="483"/>
      <c r="B150" s="223"/>
      <c r="C150" s="224"/>
      <c r="D150" s="225"/>
      <c r="E150" s="205"/>
      <c r="F150" s="320"/>
      <c r="G150" s="227"/>
      <c r="H150" s="50">
        <f>SUM(H63:H149)</f>
        <v>151030000</v>
      </c>
      <c r="I150" s="46"/>
    </row>
    <row r="151" spans="1:9" ht="15.9" customHeight="1">
      <c r="A151" s="483"/>
      <c r="B151" s="247" t="s">
        <v>61</v>
      </c>
      <c r="C151" s="215" t="s">
        <v>438</v>
      </c>
      <c r="D151" s="297"/>
      <c r="E151" s="297" t="s">
        <v>145</v>
      </c>
      <c r="F151" s="310">
        <v>1</v>
      </c>
      <c r="G151" s="218">
        <v>22000000</v>
      </c>
      <c r="H151" s="185">
        <f t="shared" ref="H151:H157" si="5">IF(F151=0,G151,G151*F151)</f>
        <v>22000000</v>
      </c>
      <c r="I151" s="234"/>
    </row>
    <row r="152" spans="1:9" ht="15.9" customHeight="1">
      <c r="A152" s="483"/>
      <c r="B152" s="208"/>
      <c r="C152" s="215" t="s">
        <v>439</v>
      </c>
      <c r="D152" s="297"/>
      <c r="E152" s="297" t="s">
        <v>145</v>
      </c>
      <c r="F152" s="310">
        <v>1</v>
      </c>
      <c r="G152" s="218">
        <v>45000000</v>
      </c>
      <c r="H152" s="167">
        <f t="shared" si="5"/>
        <v>45000000</v>
      </c>
      <c r="I152" s="39"/>
    </row>
    <row r="153" spans="1:9" ht="15.9" customHeight="1">
      <c r="A153" s="483"/>
      <c r="B153" s="208"/>
      <c r="C153" s="215" t="s">
        <v>440</v>
      </c>
      <c r="D153" s="215"/>
      <c r="E153" s="297" t="s">
        <v>145</v>
      </c>
      <c r="F153" s="310">
        <v>1</v>
      </c>
      <c r="G153" s="218">
        <v>8000000</v>
      </c>
      <c r="H153" s="167">
        <f t="shared" si="5"/>
        <v>8000000</v>
      </c>
      <c r="I153" s="39"/>
    </row>
    <row r="154" spans="1:9" ht="15.9" customHeight="1">
      <c r="A154" s="483"/>
      <c r="B154" s="208"/>
      <c r="C154" s="215" t="s">
        <v>441</v>
      </c>
      <c r="D154" s="215" t="s">
        <v>442</v>
      </c>
      <c r="E154" s="216" t="s">
        <v>145</v>
      </c>
      <c r="F154" s="310">
        <v>1</v>
      </c>
      <c r="G154" s="218">
        <v>30000000</v>
      </c>
      <c r="H154" s="167">
        <f t="shared" si="5"/>
        <v>30000000</v>
      </c>
      <c r="I154" s="39"/>
    </row>
    <row r="155" spans="1:9" ht="15.9" customHeight="1">
      <c r="A155" s="483"/>
      <c r="B155" s="208"/>
      <c r="C155" s="215" t="s">
        <v>443</v>
      </c>
      <c r="D155" s="297"/>
      <c r="E155" s="297" t="s">
        <v>145</v>
      </c>
      <c r="F155" s="310">
        <v>1</v>
      </c>
      <c r="G155" s="218">
        <v>1000000</v>
      </c>
      <c r="H155" s="167">
        <f t="shared" si="5"/>
        <v>1000000</v>
      </c>
      <c r="I155" s="39"/>
    </row>
    <row r="156" spans="1:9" ht="15.9" customHeight="1">
      <c r="A156" s="483"/>
      <c r="B156" s="208"/>
      <c r="C156" s="215"/>
      <c r="D156" s="215"/>
      <c r="E156" s="216"/>
      <c r="F156" s="310"/>
      <c r="G156" s="218"/>
      <c r="H156" s="167">
        <f t="shared" si="5"/>
        <v>0</v>
      </c>
      <c r="I156" s="39"/>
    </row>
    <row r="157" spans="1:9" ht="15.9" customHeight="1">
      <c r="A157" s="483"/>
      <c r="B157" s="208"/>
      <c r="C157" s="219"/>
      <c r="D157" s="219"/>
      <c r="E157" s="220"/>
      <c r="F157" s="313"/>
      <c r="G157" s="222"/>
      <c r="H157" s="177">
        <f t="shared" si="5"/>
        <v>0</v>
      </c>
      <c r="I157" s="42"/>
    </row>
    <row r="158" spans="1:9" ht="15.9" customHeight="1">
      <c r="A158" s="483"/>
      <c r="B158" s="223"/>
      <c r="C158" s="224"/>
      <c r="D158" s="225"/>
      <c r="E158" s="205"/>
      <c r="F158" s="320"/>
      <c r="G158" s="227"/>
      <c r="H158" s="50">
        <f>SUM(H151:H157)</f>
        <v>106000000</v>
      </c>
      <c r="I158" s="46"/>
    </row>
    <row r="159" spans="1:9" ht="15.9" customHeight="1">
      <c r="A159" s="265"/>
      <c r="B159" s="321" t="s">
        <v>147</v>
      </c>
      <c r="C159" s="322"/>
      <c r="D159" s="289"/>
      <c r="E159" s="126"/>
      <c r="F159" s="323"/>
      <c r="G159" s="269"/>
      <c r="H159" s="269">
        <f>SUM(H158,H150,H62,H56)</f>
        <v>457410000</v>
      </c>
      <c r="I159" s="289"/>
    </row>
    <row r="160" spans="1:9" ht="15.9" customHeight="1">
      <c r="A160" s="479" t="s">
        <v>148</v>
      </c>
      <c r="B160" s="275" t="s">
        <v>67</v>
      </c>
      <c r="C160" s="276"/>
      <c r="D160" s="234"/>
      <c r="E160" s="51" t="s">
        <v>68</v>
      </c>
      <c r="F160" s="324"/>
      <c r="G160" s="232"/>
      <c r="H160" s="233">
        <f>F160*G160</f>
        <v>0</v>
      </c>
      <c r="I160" s="234"/>
    </row>
    <row r="161" spans="1:9" ht="15.9" customHeight="1">
      <c r="A161" s="483"/>
      <c r="B161" s="277" t="s">
        <v>444</v>
      </c>
      <c r="C161" s="278"/>
      <c r="D161" s="39"/>
      <c r="E161" s="40" t="s">
        <v>150</v>
      </c>
      <c r="F161" s="325"/>
      <c r="G161" s="218"/>
      <c r="H161" s="167">
        <f t="shared" ref="H161:H167" si="6">F161*G161</f>
        <v>0</v>
      </c>
      <c r="I161" s="39"/>
    </row>
    <row r="162" spans="1:9" ht="15.9" customHeight="1">
      <c r="A162" s="483"/>
      <c r="B162" s="277" t="s">
        <v>445</v>
      </c>
      <c r="C162" s="278"/>
      <c r="D162" s="39"/>
      <c r="E162" s="40" t="s">
        <v>150</v>
      </c>
      <c r="F162" s="325">
        <v>350</v>
      </c>
      <c r="G162" s="218">
        <v>300000</v>
      </c>
      <c r="H162" s="167">
        <f t="shared" si="6"/>
        <v>105000000</v>
      </c>
      <c r="I162" s="39"/>
    </row>
    <row r="163" spans="1:9" ht="15.9" customHeight="1">
      <c r="A163" s="483"/>
      <c r="B163" s="277" t="s">
        <v>446</v>
      </c>
      <c r="C163" s="278"/>
      <c r="D163" s="39"/>
      <c r="E163" s="40" t="s">
        <v>150</v>
      </c>
      <c r="F163" s="325"/>
      <c r="G163" s="218"/>
      <c r="H163" s="167">
        <f t="shared" si="6"/>
        <v>0</v>
      </c>
      <c r="I163" s="39"/>
    </row>
    <row r="164" spans="1:9" ht="15.9" customHeight="1">
      <c r="A164" s="483"/>
      <c r="B164" s="277" t="s">
        <v>447</v>
      </c>
      <c r="C164" s="278"/>
      <c r="D164" s="39"/>
      <c r="E164" s="40" t="s">
        <v>150</v>
      </c>
      <c r="F164" s="325">
        <v>60</v>
      </c>
      <c r="G164" s="218">
        <v>300000</v>
      </c>
      <c r="H164" s="167">
        <f t="shared" si="6"/>
        <v>18000000</v>
      </c>
      <c r="I164" s="39"/>
    </row>
    <row r="165" spans="1:9" ht="15.9" customHeight="1">
      <c r="A165" s="483"/>
      <c r="B165" s="277" t="s">
        <v>448</v>
      </c>
      <c r="C165" s="278"/>
      <c r="D165" s="39"/>
      <c r="E165" s="40" t="s">
        <v>150</v>
      </c>
      <c r="F165" s="325">
        <v>50</v>
      </c>
      <c r="G165" s="218">
        <v>300000</v>
      </c>
      <c r="H165" s="167">
        <f t="shared" si="6"/>
        <v>15000000</v>
      </c>
      <c r="I165" s="39"/>
    </row>
    <row r="166" spans="1:9" ht="15.9" customHeight="1">
      <c r="A166" s="483"/>
      <c r="B166" s="326" t="s">
        <v>544</v>
      </c>
      <c r="C166" s="278"/>
      <c r="D166" s="39"/>
      <c r="E166" s="40" t="s">
        <v>150</v>
      </c>
      <c r="F166" s="325"/>
      <c r="G166" s="218"/>
      <c r="H166" s="167">
        <f t="shared" si="6"/>
        <v>0</v>
      </c>
      <c r="I166" s="39"/>
    </row>
    <row r="167" spans="1:9" ht="15.9" customHeight="1">
      <c r="A167" s="483"/>
      <c r="B167" s="327" t="s">
        <v>450</v>
      </c>
      <c r="C167" s="328"/>
      <c r="D167" s="240"/>
      <c r="E167" s="329" t="s">
        <v>150</v>
      </c>
      <c r="F167" s="330"/>
      <c r="G167" s="238"/>
      <c r="H167" s="239">
        <f t="shared" si="6"/>
        <v>0</v>
      </c>
      <c r="I167" s="240"/>
    </row>
    <row r="168" spans="1:9" ht="15.9" customHeight="1">
      <c r="A168" s="265"/>
      <c r="B168" s="281" t="s">
        <v>156</v>
      </c>
      <c r="C168" s="267"/>
      <c r="D168" s="46"/>
      <c r="E168" s="206"/>
      <c r="F168" s="331"/>
      <c r="G168" s="50"/>
      <c r="H168" s="50">
        <f>SUM(H160:H167)</f>
        <v>138000000</v>
      </c>
      <c r="I168" s="46"/>
    </row>
    <row r="169" spans="1:9" ht="15.9" customHeight="1">
      <c r="A169" s="271"/>
      <c r="B169" s="281" t="s">
        <v>451</v>
      </c>
      <c r="C169" s="267"/>
      <c r="D169" s="46"/>
      <c r="E169" s="206"/>
      <c r="F169" s="331"/>
      <c r="G169" s="50"/>
      <c r="H169" s="269">
        <v>0</v>
      </c>
      <c r="I169" s="46"/>
    </row>
    <row r="170" spans="1:9" ht="15.9" customHeight="1">
      <c r="A170" s="271"/>
      <c r="B170" s="281" t="s">
        <v>93</v>
      </c>
      <c r="C170" s="267"/>
      <c r="D170" s="46"/>
      <c r="E170" s="206"/>
      <c r="F170" s="331"/>
      <c r="G170" s="283"/>
      <c r="H170" s="284">
        <f>(H168+H159)*0</f>
        <v>0</v>
      </c>
      <c r="I170" s="267"/>
    </row>
    <row r="171" spans="1:9" ht="15.9" customHeight="1">
      <c r="A171" s="271"/>
      <c r="B171" s="281" t="s">
        <v>159</v>
      </c>
      <c r="C171" s="267"/>
      <c r="D171" s="46"/>
      <c r="E171" s="206"/>
      <c r="F171" s="331"/>
      <c r="G171" s="283"/>
      <c r="H171" s="284">
        <f>(H168+H159)*0.025</f>
        <v>14885250</v>
      </c>
      <c r="I171" s="267"/>
    </row>
    <row r="172" spans="1:9" ht="15.9" customHeight="1">
      <c r="A172" s="271"/>
      <c r="B172" s="281" t="s">
        <v>160</v>
      </c>
      <c r="C172" s="267"/>
      <c r="D172" s="46"/>
      <c r="E172" s="206"/>
      <c r="F172" s="331"/>
      <c r="G172" s="50"/>
      <c r="H172" s="227">
        <f>H159+H168+H169+H170+H171</f>
        <v>610295250</v>
      </c>
      <c r="I172" s="46"/>
    </row>
    <row r="173" spans="1:9">
      <c r="A173" s="26"/>
    </row>
  </sheetData>
  <mergeCells count="3">
    <mergeCell ref="A2:B2"/>
    <mergeCell ref="A3:A158"/>
    <mergeCell ref="A160:A167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96A1-6812-46F6-AB3D-122AE09875D8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49"/>
    <col min="7" max="7" width="11.8984375" style="49" customWidth="1"/>
    <col min="8" max="8" width="13.59765625" style="49" customWidth="1"/>
    <col min="9" max="9" width="12.69921875" style="1" customWidth="1"/>
    <col min="10" max="256" width="9" style="1"/>
    <col min="257" max="257" width="5" style="1" customWidth="1"/>
    <col min="258" max="258" width="17.8984375" style="1" bestFit="1" customWidth="1"/>
    <col min="259" max="259" width="23.59765625" style="1" customWidth="1"/>
    <col min="260" max="260" width="18.19921875" style="1" customWidth="1"/>
    <col min="261" max="261" width="5.19921875" style="1" bestFit="1" customWidth="1"/>
    <col min="262" max="262" width="9" style="1"/>
    <col min="263" max="263" width="11.8984375" style="1" customWidth="1"/>
    <col min="264" max="264" width="13.59765625" style="1" customWidth="1"/>
    <col min="265" max="265" width="12.69921875" style="1" customWidth="1"/>
    <col min="266" max="512" width="9" style="1"/>
    <col min="513" max="513" width="5" style="1" customWidth="1"/>
    <col min="514" max="514" width="17.8984375" style="1" bestFit="1" customWidth="1"/>
    <col min="515" max="515" width="23.59765625" style="1" customWidth="1"/>
    <col min="516" max="516" width="18.19921875" style="1" customWidth="1"/>
    <col min="517" max="517" width="5.19921875" style="1" bestFit="1" customWidth="1"/>
    <col min="518" max="518" width="9" style="1"/>
    <col min="519" max="519" width="11.8984375" style="1" customWidth="1"/>
    <col min="520" max="520" width="13.59765625" style="1" customWidth="1"/>
    <col min="521" max="521" width="12.69921875" style="1" customWidth="1"/>
    <col min="522" max="768" width="9" style="1"/>
    <col min="769" max="769" width="5" style="1" customWidth="1"/>
    <col min="770" max="770" width="17.8984375" style="1" bestFit="1" customWidth="1"/>
    <col min="771" max="771" width="23.59765625" style="1" customWidth="1"/>
    <col min="772" max="772" width="18.19921875" style="1" customWidth="1"/>
    <col min="773" max="773" width="5.19921875" style="1" bestFit="1" customWidth="1"/>
    <col min="774" max="774" width="9" style="1"/>
    <col min="775" max="775" width="11.8984375" style="1" customWidth="1"/>
    <col min="776" max="776" width="13.59765625" style="1" customWidth="1"/>
    <col min="777" max="777" width="12.69921875" style="1" customWidth="1"/>
    <col min="778" max="1024" width="9" style="1"/>
    <col min="1025" max="1025" width="5" style="1" customWidth="1"/>
    <col min="1026" max="1026" width="17.8984375" style="1" bestFit="1" customWidth="1"/>
    <col min="1027" max="1027" width="23.59765625" style="1" customWidth="1"/>
    <col min="1028" max="1028" width="18.19921875" style="1" customWidth="1"/>
    <col min="1029" max="1029" width="5.19921875" style="1" bestFit="1" customWidth="1"/>
    <col min="1030" max="1030" width="9" style="1"/>
    <col min="1031" max="1031" width="11.8984375" style="1" customWidth="1"/>
    <col min="1032" max="1032" width="13.59765625" style="1" customWidth="1"/>
    <col min="1033" max="1033" width="12.69921875" style="1" customWidth="1"/>
    <col min="1034" max="1280" width="9" style="1"/>
    <col min="1281" max="1281" width="5" style="1" customWidth="1"/>
    <col min="1282" max="1282" width="17.8984375" style="1" bestFit="1" customWidth="1"/>
    <col min="1283" max="1283" width="23.59765625" style="1" customWidth="1"/>
    <col min="1284" max="1284" width="18.19921875" style="1" customWidth="1"/>
    <col min="1285" max="1285" width="5.19921875" style="1" bestFit="1" customWidth="1"/>
    <col min="1286" max="1286" width="9" style="1"/>
    <col min="1287" max="1287" width="11.8984375" style="1" customWidth="1"/>
    <col min="1288" max="1288" width="13.59765625" style="1" customWidth="1"/>
    <col min="1289" max="1289" width="12.69921875" style="1" customWidth="1"/>
    <col min="1290" max="1536" width="9" style="1"/>
    <col min="1537" max="1537" width="5" style="1" customWidth="1"/>
    <col min="1538" max="1538" width="17.8984375" style="1" bestFit="1" customWidth="1"/>
    <col min="1539" max="1539" width="23.59765625" style="1" customWidth="1"/>
    <col min="1540" max="1540" width="18.19921875" style="1" customWidth="1"/>
    <col min="1541" max="1541" width="5.19921875" style="1" bestFit="1" customWidth="1"/>
    <col min="1542" max="1542" width="9" style="1"/>
    <col min="1543" max="1543" width="11.8984375" style="1" customWidth="1"/>
    <col min="1544" max="1544" width="13.59765625" style="1" customWidth="1"/>
    <col min="1545" max="1545" width="12.69921875" style="1" customWidth="1"/>
    <col min="1546" max="1792" width="9" style="1"/>
    <col min="1793" max="1793" width="5" style="1" customWidth="1"/>
    <col min="1794" max="1794" width="17.8984375" style="1" bestFit="1" customWidth="1"/>
    <col min="1795" max="1795" width="23.59765625" style="1" customWidth="1"/>
    <col min="1796" max="1796" width="18.19921875" style="1" customWidth="1"/>
    <col min="1797" max="1797" width="5.19921875" style="1" bestFit="1" customWidth="1"/>
    <col min="1798" max="1798" width="9" style="1"/>
    <col min="1799" max="1799" width="11.8984375" style="1" customWidth="1"/>
    <col min="1800" max="1800" width="13.59765625" style="1" customWidth="1"/>
    <col min="1801" max="1801" width="12.69921875" style="1" customWidth="1"/>
    <col min="1802" max="2048" width="9" style="1"/>
    <col min="2049" max="2049" width="5" style="1" customWidth="1"/>
    <col min="2050" max="2050" width="17.8984375" style="1" bestFit="1" customWidth="1"/>
    <col min="2051" max="2051" width="23.59765625" style="1" customWidth="1"/>
    <col min="2052" max="2052" width="18.19921875" style="1" customWidth="1"/>
    <col min="2053" max="2053" width="5.19921875" style="1" bestFit="1" customWidth="1"/>
    <col min="2054" max="2054" width="9" style="1"/>
    <col min="2055" max="2055" width="11.8984375" style="1" customWidth="1"/>
    <col min="2056" max="2056" width="13.59765625" style="1" customWidth="1"/>
    <col min="2057" max="2057" width="12.69921875" style="1" customWidth="1"/>
    <col min="2058" max="2304" width="9" style="1"/>
    <col min="2305" max="2305" width="5" style="1" customWidth="1"/>
    <col min="2306" max="2306" width="17.8984375" style="1" bestFit="1" customWidth="1"/>
    <col min="2307" max="2307" width="23.59765625" style="1" customWidth="1"/>
    <col min="2308" max="2308" width="18.19921875" style="1" customWidth="1"/>
    <col min="2309" max="2309" width="5.19921875" style="1" bestFit="1" customWidth="1"/>
    <col min="2310" max="2310" width="9" style="1"/>
    <col min="2311" max="2311" width="11.8984375" style="1" customWidth="1"/>
    <col min="2312" max="2312" width="13.59765625" style="1" customWidth="1"/>
    <col min="2313" max="2313" width="12.69921875" style="1" customWidth="1"/>
    <col min="2314" max="2560" width="9" style="1"/>
    <col min="2561" max="2561" width="5" style="1" customWidth="1"/>
    <col min="2562" max="2562" width="17.8984375" style="1" bestFit="1" customWidth="1"/>
    <col min="2563" max="2563" width="23.59765625" style="1" customWidth="1"/>
    <col min="2564" max="2564" width="18.19921875" style="1" customWidth="1"/>
    <col min="2565" max="2565" width="5.19921875" style="1" bestFit="1" customWidth="1"/>
    <col min="2566" max="2566" width="9" style="1"/>
    <col min="2567" max="2567" width="11.8984375" style="1" customWidth="1"/>
    <col min="2568" max="2568" width="13.59765625" style="1" customWidth="1"/>
    <col min="2569" max="2569" width="12.69921875" style="1" customWidth="1"/>
    <col min="2570" max="2816" width="9" style="1"/>
    <col min="2817" max="2817" width="5" style="1" customWidth="1"/>
    <col min="2818" max="2818" width="17.8984375" style="1" bestFit="1" customWidth="1"/>
    <col min="2819" max="2819" width="23.59765625" style="1" customWidth="1"/>
    <col min="2820" max="2820" width="18.19921875" style="1" customWidth="1"/>
    <col min="2821" max="2821" width="5.19921875" style="1" bestFit="1" customWidth="1"/>
    <col min="2822" max="2822" width="9" style="1"/>
    <col min="2823" max="2823" width="11.8984375" style="1" customWidth="1"/>
    <col min="2824" max="2824" width="13.59765625" style="1" customWidth="1"/>
    <col min="2825" max="2825" width="12.69921875" style="1" customWidth="1"/>
    <col min="2826" max="3072" width="9" style="1"/>
    <col min="3073" max="3073" width="5" style="1" customWidth="1"/>
    <col min="3074" max="3074" width="17.8984375" style="1" bestFit="1" customWidth="1"/>
    <col min="3075" max="3075" width="23.59765625" style="1" customWidth="1"/>
    <col min="3076" max="3076" width="18.19921875" style="1" customWidth="1"/>
    <col min="3077" max="3077" width="5.19921875" style="1" bestFit="1" customWidth="1"/>
    <col min="3078" max="3078" width="9" style="1"/>
    <col min="3079" max="3079" width="11.8984375" style="1" customWidth="1"/>
    <col min="3080" max="3080" width="13.59765625" style="1" customWidth="1"/>
    <col min="3081" max="3081" width="12.69921875" style="1" customWidth="1"/>
    <col min="3082" max="3328" width="9" style="1"/>
    <col min="3329" max="3329" width="5" style="1" customWidth="1"/>
    <col min="3330" max="3330" width="17.8984375" style="1" bestFit="1" customWidth="1"/>
    <col min="3331" max="3331" width="23.59765625" style="1" customWidth="1"/>
    <col min="3332" max="3332" width="18.19921875" style="1" customWidth="1"/>
    <col min="3333" max="3333" width="5.19921875" style="1" bestFit="1" customWidth="1"/>
    <col min="3334" max="3334" width="9" style="1"/>
    <col min="3335" max="3335" width="11.8984375" style="1" customWidth="1"/>
    <col min="3336" max="3336" width="13.59765625" style="1" customWidth="1"/>
    <col min="3337" max="3337" width="12.69921875" style="1" customWidth="1"/>
    <col min="3338" max="3584" width="9" style="1"/>
    <col min="3585" max="3585" width="5" style="1" customWidth="1"/>
    <col min="3586" max="3586" width="17.8984375" style="1" bestFit="1" customWidth="1"/>
    <col min="3587" max="3587" width="23.59765625" style="1" customWidth="1"/>
    <col min="3588" max="3588" width="18.19921875" style="1" customWidth="1"/>
    <col min="3589" max="3589" width="5.19921875" style="1" bestFit="1" customWidth="1"/>
    <col min="3590" max="3590" width="9" style="1"/>
    <col min="3591" max="3591" width="11.8984375" style="1" customWidth="1"/>
    <col min="3592" max="3592" width="13.59765625" style="1" customWidth="1"/>
    <col min="3593" max="3593" width="12.69921875" style="1" customWidth="1"/>
    <col min="3594" max="3840" width="9" style="1"/>
    <col min="3841" max="3841" width="5" style="1" customWidth="1"/>
    <col min="3842" max="3842" width="17.8984375" style="1" bestFit="1" customWidth="1"/>
    <col min="3843" max="3843" width="23.59765625" style="1" customWidth="1"/>
    <col min="3844" max="3844" width="18.19921875" style="1" customWidth="1"/>
    <col min="3845" max="3845" width="5.19921875" style="1" bestFit="1" customWidth="1"/>
    <col min="3846" max="3846" width="9" style="1"/>
    <col min="3847" max="3847" width="11.8984375" style="1" customWidth="1"/>
    <col min="3848" max="3848" width="13.59765625" style="1" customWidth="1"/>
    <col min="3849" max="3849" width="12.69921875" style="1" customWidth="1"/>
    <col min="3850" max="4096" width="9" style="1"/>
    <col min="4097" max="4097" width="5" style="1" customWidth="1"/>
    <col min="4098" max="4098" width="17.8984375" style="1" bestFit="1" customWidth="1"/>
    <col min="4099" max="4099" width="23.59765625" style="1" customWidth="1"/>
    <col min="4100" max="4100" width="18.19921875" style="1" customWidth="1"/>
    <col min="4101" max="4101" width="5.19921875" style="1" bestFit="1" customWidth="1"/>
    <col min="4102" max="4102" width="9" style="1"/>
    <col min="4103" max="4103" width="11.8984375" style="1" customWidth="1"/>
    <col min="4104" max="4104" width="13.59765625" style="1" customWidth="1"/>
    <col min="4105" max="4105" width="12.69921875" style="1" customWidth="1"/>
    <col min="4106" max="4352" width="9" style="1"/>
    <col min="4353" max="4353" width="5" style="1" customWidth="1"/>
    <col min="4354" max="4354" width="17.8984375" style="1" bestFit="1" customWidth="1"/>
    <col min="4355" max="4355" width="23.59765625" style="1" customWidth="1"/>
    <col min="4356" max="4356" width="18.19921875" style="1" customWidth="1"/>
    <col min="4357" max="4357" width="5.19921875" style="1" bestFit="1" customWidth="1"/>
    <col min="4358" max="4358" width="9" style="1"/>
    <col min="4359" max="4359" width="11.8984375" style="1" customWidth="1"/>
    <col min="4360" max="4360" width="13.59765625" style="1" customWidth="1"/>
    <col min="4361" max="4361" width="12.69921875" style="1" customWidth="1"/>
    <col min="4362" max="4608" width="9" style="1"/>
    <col min="4609" max="4609" width="5" style="1" customWidth="1"/>
    <col min="4610" max="4610" width="17.8984375" style="1" bestFit="1" customWidth="1"/>
    <col min="4611" max="4611" width="23.59765625" style="1" customWidth="1"/>
    <col min="4612" max="4612" width="18.19921875" style="1" customWidth="1"/>
    <col min="4613" max="4613" width="5.19921875" style="1" bestFit="1" customWidth="1"/>
    <col min="4614" max="4614" width="9" style="1"/>
    <col min="4615" max="4615" width="11.8984375" style="1" customWidth="1"/>
    <col min="4616" max="4616" width="13.59765625" style="1" customWidth="1"/>
    <col min="4617" max="4617" width="12.69921875" style="1" customWidth="1"/>
    <col min="4618" max="4864" width="9" style="1"/>
    <col min="4865" max="4865" width="5" style="1" customWidth="1"/>
    <col min="4866" max="4866" width="17.8984375" style="1" bestFit="1" customWidth="1"/>
    <col min="4867" max="4867" width="23.59765625" style="1" customWidth="1"/>
    <col min="4868" max="4868" width="18.19921875" style="1" customWidth="1"/>
    <col min="4869" max="4869" width="5.19921875" style="1" bestFit="1" customWidth="1"/>
    <col min="4870" max="4870" width="9" style="1"/>
    <col min="4871" max="4871" width="11.8984375" style="1" customWidth="1"/>
    <col min="4872" max="4872" width="13.59765625" style="1" customWidth="1"/>
    <col min="4873" max="4873" width="12.69921875" style="1" customWidth="1"/>
    <col min="4874" max="5120" width="9" style="1"/>
    <col min="5121" max="5121" width="5" style="1" customWidth="1"/>
    <col min="5122" max="5122" width="17.8984375" style="1" bestFit="1" customWidth="1"/>
    <col min="5123" max="5123" width="23.59765625" style="1" customWidth="1"/>
    <col min="5124" max="5124" width="18.19921875" style="1" customWidth="1"/>
    <col min="5125" max="5125" width="5.19921875" style="1" bestFit="1" customWidth="1"/>
    <col min="5126" max="5126" width="9" style="1"/>
    <col min="5127" max="5127" width="11.8984375" style="1" customWidth="1"/>
    <col min="5128" max="5128" width="13.59765625" style="1" customWidth="1"/>
    <col min="5129" max="5129" width="12.69921875" style="1" customWidth="1"/>
    <col min="5130" max="5376" width="9" style="1"/>
    <col min="5377" max="5377" width="5" style="1" customWidth="1"/>
    <col min="5378" max="5378" width="17.8984375" style="1" bestFit="1" customWidth="1"/>
    <col min="5379" max="5379" width="23.59765625" style="1" customWidth="1"/>
    <col min="5380" max="5380" width="18.19921875" style="1" customWidth="1"/>
    <col min="5381" max="5381" width="5.19921875" style="1" bestFit="1" customWidth="1"/>
    <col min="5382" max="5382" width="9" style="1"/>
    <col min="5383" max="5383" width="11.8984375" style="1" customWidth="1"/>
    <col min="5384" max="5384" width="13.59765625" style="1" customWidth="1"/>
    <col min="5385" max="5385" width="12.69921875" style="1" customWidth="1"/>
    <col min="5386" max="5632" width="9" style="1"/>
    <col min="5633" max="5633" width="5" style="1" customWidth="1"/>
    <col min="5634" max="5634" width="17.8984375" style="1" bestFit="1" customWidth="1"/>
    <col min="5635" max="5635" width="23.59765625" style="1" customWidth="1"/>
    <col min="5636" max="5636" width="18.19921875" style="1" customWidth="1"/>
    <col min="5637" max="5637" width="5.19921875" style="1" bestFit="1" customWidth="1"/>
    <col min="5638" max="5638" width="9" style="1"/>
    <col min="5639" max="5639" width="11.8984375" style="1" customWidth="1"/>
    <col min="5640" max="5640" width="13.59765625" style="1" customWidth="1"/>
    <col min="5641" max="5641" width="12.69921875" style="1" customWidth="1"/>
    <col min="5642" max="5888" width="9" style="1"/>
    <col min="5889" max="5889" width="5" style="1" customWidth="1"/>
    <col min="5890" max="5890" width="17.8984375" style="1" bestFit="1" customWidth="1"/>
    <col min="5891" max="5891" width="23.59765625" style="1" customWidth="1"/>
    <col min="5892" max="5892" width="18.19921875" style="1" customWidth="1"/>
    <col min="5893" max="5893" width="5.19921875" style="1" bestFit="1" customWidth="1"/>
    <col min="5894" max="5894" width="9" style="1"/>
    <col min="5895" max="5895" width="11.8984375" style="1" customWidth="1"/>
    <col min="5896" max="5896" width="13.59765625" style="1" customWidth="1"/>
    <col min="5897" max="5897" width="12.69921875" style="1" customWidth="1"/>
    <col min="5898" max="6144" width="9" style="1"/>
    <col min="6145" max="6145" width="5" style="1" customWidth="1"/>
    <col min="6146" max="6146" width="17.8984375" style="1" bestFit="1" customWidth="1"/>
    <col min="6147" max="6147" width="23.59765625" style="1" customWidth="1"/>
    <col min="6148" max="6148" width="18.19921875" style="1" customWidth="1"/>
    <col min="6149" max="6149" width="5.19921875" style="1" bestFit="1" customWidth="1"/>
    <col min="6150" max="6150" width="9" style="1"/>
    <col min="6151" max="6151" width="11.8984375" style="1" customWidth="1"/>
    <col min="6152" max="6152" width="13.59765625" style="1" customWidth="1"/>
    <col min="6153" max="6153" width="12.69921875" style="1" customWidth="1"/>
    <col min="6154" max="6400" width="9" style="1"/>
    <col min="6401" max="6401" width="5" style="1" customWidth="1"/>
    <col min="6402" max="6402" width="17.8984375" style="1" bestFit="1" customWidth="1"/>
    <col min="6403" max="6403" width="23.59765625" style="1" customWidth="1"/>
    <col min="6404" max="6404" width="18.19921875" style="1" customWidth="1"/>
    <col min="6405" max="6405" width="5.19921875" style="1" bestFit="1" customWidth="1"/>
    <col min="6406" max="6406" width="9" style="1"/>
    <col min="6407" max="6407" width="11.8984375" style="1" customWidth="1"/>
    <col min="6408" max="6408" width="13.59765625" style="1" customWidth="1"/>
    <col min="6409" max="6409" width="12.69921875" style="1" customWidth="1"/>
    <col min="6410" max="6656" width="9" style="1"/>
    <col min="6657" max="6657" width="5" style="1" customWidth="1"/>
    <col min="6658" max="6658" width="17.8984375" style="1" bestFit="1" customWidth="1"/>
    <col min="6659" max="6659" width="23.59765625" style="1" customWidth="1"/>
    <col min="6660" max="6660" width="18.19921875" style="1" customWidth="1"/>
    <col min="6661" max="6661" width="5.19921875" style="1" bestFit="1" customWidth="1"/>
    <col min="6662" max="6662" width="9" style="1"/>
    <col min="6663" max="6663" width="11.8984375" style="1" customWidth="1"/>
    <col min="6664" max="6664" width="13.59765625" style="1" customWidth="1"/>
    <col min="6665" max="6665" width="12.69921875" style="1" customWidth="1"/>
    <col min="6666" max="6912" width="9" style="1"/>
    <col min="6913" max="6913" width="5" style="1" customWidth="1"/>
    <col min="6914" max="6914" width="17.8984375" style="1" bestFit="1" customWidth="1"/>
    <col min="6915" max="6915" width="23.59765625" style="1" customWidth="1"/>
    <col min="6916" max="6916" width="18.19921875" style="1" customWidth="1"/>
    <col min="6917" max="6917" width="5.19921875" style="1" bestFit="1" customWidth="1"/>
    <col min="6918" max="6918" width="9" style="1"/>
    <col min="6919" max="6919" width="11.8984375" style="1" customWidth="1"/>
    <col min="6920" max="6920" width="13.59765625" style="1" customWidth="1"/>
    <col min="6921" max="6921" width="12.69921875" style="1" customWidth="1"/>
    <col min="6922" max="7168" width="9" style="1"/>
    <col min="7169" max="7169" width="5" style="1" customWidth="1"/>
    <col min="7170" max="7170" width="17.8984375" style="1" bestFit="1" customWidth="1"/>
    <col min="7171" max="7171" width="23.59765625" style="1" customWidth="1"/>
    <col min="7172" max="7172" width="18.19921875" style="1" customWidth="1"/>
    <col min="7173" max="7173" width="5.19921875" style="1" bestFit="1" customWidth="1"/>
    <col min="7174" max="7174" width="9" style="1"/>
    <col min="7175" max="7175" width="11.8984375" style="1" customWidth="1"/>
    <col min="7176" max="7176" width="13.59765625" style="1" customWidth="1"/>
    <col min="7177" max="7177" width="12.69921875" style="1" customWidth="1"/>
    <col min="7178" max="7424" width="9" style="1"/>
    <col min="7425" max="7425" width="5" style="1" customWidth="1"/>
    <col min="7426" max="7426" width="17.8984375" style="1" bestFit="1" customWidth="1"/>
    <col min="7427" max="7427" width="23.59765625" style="1" customWidth="1"/>
    <col min="7428" max="7428" width="18.19921875" style="1" customWidth="1"/>
    <col min="7429" max="7429" width="5.19921875" style="1" bestFit="1" customWidth="1"/>
    <col min="7430" max="7430" width="9" style="1"/>
    <col min="7431" max="7431" width="11.8984375" style="1" customWidth="1"/>
    <col min="7432" max="7432" width="13.59765625" style="1" customWidth="1"/>
    <col min="7433" max="7433" width="12.69921875" style="1" customWidth="1"/>
    <col min="7434" max="7680" width="9" style="1"/>
    <col min="7681" max="7681" width="5" style="1" customWidth="1"/>
    <col min="7682" max="7682" width="17.8984375" style="1" bestFit="1" customWidth="1"/>
    <col min="7683" max="7683" width="23.59765625" style="1" customWidth="1"/>
    <col min="7684" max="7684" width="18.19921875" style="1" customWidth="1"/>
    <col min="7685" max="7685" width="5.19921875" style="1" bestFit="1" customWidth="1"/>
    <col min="7686" max="7686" width="9" style="1"/>
    <col min="7687" max="7687" width="11.8984375" style="1" customWidth="1"/>
    <col min="7688" max="7688" width="13.59765625" style="1" customWidth="1"/>
    <col min="7689" max="7689" width="12.69921875" style="1" customWidth="1"/>
    <col min="7690" max="7936" width="9" style="1"/>
    <col min="7937" max="7937" width="5" style="1" customWidth="1"/>
    <col min="7938" max="7938" width="17.8984375" style="1" bestFit="1" customWidth="1"/>
    <col min="7939" max="7939" width="23.59765625" style="1" customWidth="1"/>
    <col min="7940" max="7940" width="18.19921875" style="1" customWidth="1"/>
    <col min="7941" max="7941" width="5.19921875" style="1" bestFit="1" customWidth="1"/>
    <col min="7942" max="7942" width="9" style="1"/>
    <col min="7943" max="7943" width="11.8984375" style="1" customWidth="1"/>
    <col min="7944" max="7944" width="13.59765625" style="1" customWidth="1"/>
    <col min="7945" max="7945" width="12.69921875" style="1" customWidth="1"/>
    <col min="7946" max="8192" width="9" style="1"/>
    <col min="8193" max="8193" width="5" style="1" customWidth="1"/>
    <col min="8194" max="8194" width="17.8984375" style="1" bestFit="1" customWidth="1"/>
    <col min="8195" max="8195" width="23.59765625" style="1" customWidth="1"/>
    <col min="8196" max="8196" width="18.19921875" style="1" customWidth="1"/>
    <col min="8197" max="8197" width="5.19921875" style="1" bestFit="1" customWidth="1"/>
    <col min="8198" max="8198" width="9" style="1"/>
    <col min="8199" max="8199" width="11.8984375" style="1" customWidth="1"/>
    <col min="8200" max="8200" width="13.59765625" style="1" customWidth="1"/>
    <col min="8201" max="8201" width="12.69921875" style="1" customWidth="1"/>
    <col min="8202" max="8448" width="9" style="1"/>
    <col min="8449" max="8449" width="5" style="1" customWidth="1"/>
    <col min="8450" max="8450" width="17.8984375" style="1" bestFit="1" customWidth="1"/>
    <col min="8451" max="8451" width="23.59765625" style="1" customWidth="1"/>
    <col min="8452" max="8452" width="18.19921875" style="1" customWidth="1"/>
    <col min="8453" max="8453" width="5.19921875" style="1" bestFit="1" customWidth="1"/>
    <col min="8454" max="8454" width="9" style="1"/>
    <col min="8455" max="8455" width="11.8984375" style="1" customWidth="1"/>
    <col min="8456" max="8456" width="13.59765625" style="1" customWidth="1"/>
    <col min="8457" max="8457" width="12.69921875" style="1" customWidth="1"/>
    <col min="8458" max="8704" width="9" style="1"/>
    <col min="8705" max="8705" width="5" style="1" customWidth="1"/>
    <col min="8706" max="8706" width="17.8984375" style="1" bestFit="1" customWidth="1"/>
    <col min="8707" max="8707" width="23.59765625" style="1" customWidth="1"/>
    <col min="8708" max="8708" width="18.19921875" style="1" customWidth="1"/>
    <col min="8709" max="8709" width="5.19921875" style="1" bestFit="1" customWidth="1"/>
    <col min="8710" max="8710" width="9" style="1"/>
    <col min="8711" max="8711" width="11.8984375" style="1" customWidth="1"/>
    <col min="8712" max="8712" width="13.59765625" style="1" customWidth="1"/>
    <col min="8713" max="8713" width="12.69921875" style="1" customWidth="1"/>
    <col min="8714" max="8960" width="9" style="1"/>
    <col min="8961" max="8961" width="5" style="1" customWidth="1"/>
    <col min="8962" max="8962" width="17.8984375" style="1" bestFit="1" customWidth="1"/>
    <col min="8963" max="8963" width="23.59765625" style="1" customWidth="1"/>
    <col min="8964" max="8964" width="18.19921875" style="1" customWidth="1"/>
    <col min="8965" max="8965" width="5.19921875" style="1" bestFit="1" customWidth="1"/>
    <col min="8966" max="8966" width="9" style="1"/>
    <col min="8967" max="8967" width="11.8984375" style="1" customWidth="1"/>
    <col min="8968" max="8968" width="13.59765625" style="1" customWidth="1"/>
    <col min="8969" max="8969" width="12.69921875" style="1" customWidth="1"/>
    <col min="8970" max="9216" width="9" style="1"/>
    <col min="9217" max="9217" width="5" style="1" customWidth="1"/>
    <col min="9218" max="9218" width="17.8984375" style="1" bestFit="1" customWidth="1"/>
    <col min="9219" max="9219" width="23.59765625" style="1" customWidth="1"/>
    <col min="9220" max="9220" width="18.19921875" style="1" customWidth="1"/>
    <col min="9221" max="9221" width="5.19921875" style="1" bestFit="1" customWidth="1"/>
    <col min="9222" max="9222" width="9" style="1"/>
    <col min="9223" max="9223" width="11.8984375" style="1" customWidth="1"/>
    <col min="9224" max="9224" width="13.59765625" style="1" customWidth="1"/>
    <col min="9225" max="9225" width="12.69921875" style="1" customWidth="1"/>
    <col min="9226" max="9472" width="9" style="1"/>
    <col min="9473" max="9473" width="5" style="1" customWidth="1"/>
    <col min="9474" max="9474" width="17.8984375" style="1" bestFit="1" customWidth="1"/>
    <col min="9475" max="9475" width="23.59765625" style="1" customWidth="1"/>
    <col min="9476" max="9476" width="18.19921875" style="1" customWidth="1"/>
    <col min="9477" max="9477" width="5.19921875" style="1" bestFit="1" customWidth="1"/>
    <col min="9478" max="9478" width="9" style="1"/>
    <col min="9479" max="9479" width="11.8984375" style="1" customWidth="1"/>
    <col min="9480" max="9480" width="13.59765625" style="1" customWidth="1"/>
    <col min="9481" max="9481" width="12.69921875" style="1" customWidth="1"/>
    <col min="9482" max="9728" width="9" style="1"/>
    <col min="9729" max="9729" width="5" style="1" customWidth="1"/>
    <col min="9730" max="9730" width="17.8984375" style="1" bestFit="1" customWidth="1"/>
    <col min="9731" max="9731" width="23.59765625" style="1" customWidth="1"/>
    <col min="9732" max="9732" width="18.19921875" style="1" customWidth="1"/>
    <col min="9733" max="9733" width="5.19921875" style="1" bestFit="1" customWidth="1"/>
    <col min="9734" max="9734" width="9" style="1"/>
    <col min="9735" max="9735" width="11.8984375" style="1" customWidth="1"/>
    <col min="9736" max="9736" width="13.59765625" style="1" customWidth="1"/>
    <col min="9737" max="9737" width="12.69921875" style="1" customWidth="1"/>
    <col min="9738" max="9984" width="9" style="1"/>
    <col min="9985" max="9985" width="5" style="1" customWidth="1"/>
    <col min="9986" max="9986" width="17.8984375" style="1" bestFit="1" customWidth="1"/>
    <col min="9987" max="9987" width="23.59765625" style="1" customWidth="1"/>
    <col min="9988" max="9988" width="18.19921875" style="1" customWidth="1"/>
    <col min="9989" max="9989" width="5.19921875" style="1" bestFit="1" customWidth="1"/>
    <col min="9990" max="9990" width="9" style="1"/>
    <col min="9991" max="9991" width="11.8984375" style="1" customWidth="1"/>
    <col min="9992" max="9992" width="13.59765625" style="1" customWidth="1"/>
    <col min="9993" max="9993" width="12.69921875" style="1" customWidth="1"/>
    <col min="9994" max="10240" width="9" style="1"/>
    <col min="10241" max="10241" width="5" style="1" customWidth="1"/>
    <col min="10242" max="10242" width="17.8984375" style="1" bestFit="1" customWidth="1"/>
    <col min="10243" max="10243" width="23.59765625" style="1" customWidth="1"/>
    <col min="10244" max="10244" width="18.19921875" style="1" customWidth="1"/>
    <col min="10245" max="10245" width="5.19921875" style="1" bestFit="1" customWidth="1"/>
    <col min="10246" max="10246" width="9" style="1"/>
    <col min="10247" max="10247" width="11.8984375" style="1" customWidth="1"/>
    <col min="10248" max="10248" width="13.59765625" style="1" customWidth="1"/>
    <col min="10249" max="10249" width="12.69921875" style="1" customWidth="1"/>
    <col min="10250" max="10496" width="9" style="1"/>
    <col min="10497" max="10497" width="5" style="1" customWidth="1"/>
    <col min="10498" max="10498" width="17.8984375" style="1" bestFit="1" customWidth="1"/>
    <col min="10499" max="10499" width="23.59765625" style="1" customWidth="1"/>
    <col min="10500" max="10500" width="18.19921875" style="1" customWidth="1"/>
    <col min="10501" max="10501" width="5.19921875" style="1" bestFit="1" customWidth="1"/>
    <col min="10502" max="10502" width="9" style="1"/>
    <col min="10503" max="10503" width="11.8984375" style="1" customWidth="1"/>
    <col min="10504" max="10504" width="13.59765625" style="1" customWidth="1"/>
    <col min="10505" max="10505" width="12.69921875" style="1" customWidth="1"/>
    <col min="10506" max="10752" width="9" style="1"/>
    <col min="10753" max="10753" width="5" style="1" customWidth="1"/>
    <col min="10754" max="10754" width="17.8984375" style="1" bestFit="1" customWidth="1"/>
    <col min="10755" max="10755" width="23.59765625" style="1" customWidth="1"/>
    <col min="10756" max="10756" width="18.19921875" style="1" customWidth="1"/>
    <col min="10757" max="10757" width="5.19921875" style="1" bestFit="1" customWidth="1"/>
    <col min="10758" max="10758" width="9" style="1"/>
    <col min="10759" max="10759" width="11.8984375" style="1" customWidth="1"/>
    <col min="10760" max="10760" width="13.59765625" style="1" customWidth="1"/>
    <col min="10761" max="10761" width="12.69921875" style="1" customWidth="1"/>
    <col min="10762" max="11008" width="9" style="1"/>
    <col min="11009" max="11009" width="5" style="1" customWidth="1"/>
    <col min="11010" max="11010" width="17.8984375" style="1" bestFit="1" customWidth="1"/>
    <col min="11011" max="11011" width="23.59765625" style="1" customWidth="1"/>
    <col min="11012" max="11012" width="18.19921875" style="1" customWidth="1"/>
    <col min="11013" max="11013" width="5.19921875" style="1" bestFit="1" customWidth="1"/>
    <col min="11014" max="11014" width="9" style="1"/>
    <col min="11015" max="11015" width="11.8984375" style="1" customWidth="1"/>
    <col min="11016" max="11016" width="13.59765625" style="1" customWidth="1"/>
    <col min="11017" max="11017" width="12.69921875" style="1" customWidth="1"/>
    <col min="11018" max="11264" width="9" style="1"/>
    <col min="11265" max="11265" width="5" style="1" customWidth="1"/>
    <col min="11266" max="11266" width="17.8984375" style="1" bestFit="1" customWidth="1"/>
    <col min="11267" max="11267" width="23.59765625" style="1" customWidth="1"/>
    <col min="11268" max="11268" width="18.19921875" style="1" customWidth="1"/>
    <col min="11269" max="11269" width="5.19921875" style="1" bestFit="1" customWidth="1"/>
    <col min="11270" max="11270" width="9" style="1"/>
    <col min="11271" max="11271" width="11.8984375" style="1" customWidth="1"/>
    <col min="11272" max="11272" width="13.59765625" style="1" customWidth="1"/>
    <col min="11273" max="11273" width="12.69921875" style="1" customWidth="1"/>
    <col min="11274" max="11520" width="9" style="1"/>
    <col min="11521" max="11521" width="5" style="1" customWidth="1"/>
    <col min="11522" max="11522" width="17.8984375" style="1" bestFit="1" customWidth="1"/>
    <col min="11523" max="11523" width="23.59765625" style="1" customWidth="1"/>
    <col min="11524" max="11524" width="18.19921875" style="1" customWidth="1"/>
    <col min="11525" max="11525" width="5.19921875" style="1" bestFit="1" customWidth="1"/>
    <col min="11526" max="11526" width="9" style="1"/>
    <col min="11527" max="11527" width="11.8984375" style="1" customWidth="1"/>
    <col min="11528" max="11528" width="13.59765625" style="1" customWidth="1"/>
    <col min="11529" max="11529" width="12.69921875" style="1" customWidth="1"/>
    <col min="11530" max="11776" width="9" style="1"/>
    <col min="11777" max="11777" width="5" style="1" customWidth="1"/>
    <col min="11778" max="11778" width="17.8984375" style="1" bestFit="1" customWidth="1"/>
    <col min="11779" max="11779" width="23.59765625" style="1" customWidth="1"/>
    <col min="11780" max="11780" width="18.19921875" style="1" customWidth="1"/>
    <col min="11781" max="11781" width="5.19921875" style="1" bestFit="1" customWidth="1"/>
    <col min="11782" max="11782" width="9" style="1"/>
    <col min="11783" max="11783" width="11.8984375" style="1" customWidth="1"/>
    <col min="11784" max="11784" width="13.59765625" style="1" customWidth="1"/>
    <col min="11785" max="11785" width="12.69921875" style="1" customWidth="1"/>
    <col min="11786" max="12032" width="9" style="1"/>
    <col min="12033" max="12033" width="5" style="1" customWidth="1"/>
    <col min="12034" max="12034" width="17.8984375" style="1" bestFit="1" customWidth="1"/>
    <col min="12035" max="12035" width="23.59765625" style="1" customWidth="1"/>
    <col min="12036" max="12036" width="18.19921875" style="1" customWidth="1"/>
    <col min="12037" max="12037" width="5.19921875" style="1" bestFit="1" customWidth="1"/>
    <col min="12038" max="12038" width="9" style="1"/>
    <col min="12039" max="12039" width="11.8984375" style="1" customWidth="1"/>
    <col min="12040" max="12040" width="13.59765625" style="1" customWidth="1"/>
    <col min="12041" max="12041" width="12.69921875" style="1" customWidth="1"/>
    <col min="12042" max="12288" width="9" style="1"/>
    <col min="12289" max="12289" width="5" style="1" customWidth="1"/>
    <col min="12290" max="12290" width="17.8984375" style="1" bestFit="1" customWidth="1"/>
    <col min="12291" max="12291" width="23.59765625" style="1" customWidth="1"/>
    <col min="12292" max="12292" width="18.19921875" style="1" customWidth="1"/>
    <col min="12293" max="12293" width="5.19921875" style="1" bestFit="1" customWidth="1"/>
    <col min="12294" max="12294" width="9" style="1"/>
    <col min="12295" max="12295" width="11.8984375" style="1" customWidth="1"/>
    <col min="12296" max="12296" width="13.59765625" style="1" customWidth="1"/>
    <col min="12297" max="12297" width="12.69921875" style="1" customWidth="1"/>
    <col min="12298" max="12544" width="9" style="1"/>
    <col min="12545" max="12545" width="5" style="1" customWidth="1"/>
    <col min="12546" max="12546" width="17.8984375" style="1" bestFit="1" customWidth="1"/>
    <col min="12547" max="12547" width="23.59765625" style="1" customWidth="1"/>
    <col min="12548" max="12548" width="18.19921875" style="1" customWidth="1"/>
    <col min="12549" max="12549" width="5.19921875" style="1" bestFit="1" customWidth="1"/>
    <col min="12550" max="12550" width="9" style="1"/>
    <col min="12551" max="12551" width="11.8984375" style="1" customWidth="1"/>
    <col min="12552" max="12552" width="13.59765625" style="1" customWidth="1"/>
    <col min="12553" max="12553" width="12.69921875" style="1" customWidth="1"/>
    <col min="12554" max="12800" width="9" style="1"/>
    <col min="12801" max="12801" width="5" style="1" customWidth="1"/>
    <col min="12802" max="12802" width="17.8984375" style="1" bestFit="1" customWidth="1"/>
    <col min="12803" max="12803" width="23.59765625" style="1" customWidth="1"/>
    <col min="12804" max="12804" width="18.19921875" style="1" customWidth="1"/>
    <col min="12805" max="12805" width="5.19921875" style="1" bestFit="1" customWidth="1"/>
    <col min="12806" max="12806" width="9" style="1"/>
    <col min="12807" max="12807" width="11.8984375" style="1" customWidth="1"/>
    <col min="12808" max="12808" width="13.59765625" style="1" customWidth="1"/>
    <col min="12809" max="12809" width="12.69921875" style="1" customWidth="1"/>
    <col min="12810" max="13056" width="9" style="1"/>
    <col min="13057" max="13057" width="5" style="1" customWidth="1"/>
    <col min="13058" max="13058" width="17.8984375" style="1" bestFit="1" customWidth="1"/>
    <col min="13059" max="13059" width="23.59765625" style="1" customWidth="1"/>
    <col min="13060" max="13060" width="18.19921875" style="1" customWidth="1"/>
    <col min="13061" max="13061" width="5.19921875" style="1" bestFit="1" customWidth="1"/>
    <col min="13062" max="13062" width="9" style="1"/>
    <col min="13063" max="13063" width="11.8984375" style="1" customWidth="1"/>
    <col min="13064" max="13064" width="13.59765625" style="1" customWidth="1"/>
    <col min="13065" max="13065" width="12.69921875" style="1" customWidth="1"/>
    <col min="13066" max="13312" width="9" style="1"/>
    <col min="13313" max="13313" width="5" style="1" customWidth="1"/>
    <col min="13314" max="13314" width="17.8984375" style="1" bestFit="1" customWidth="1"/>
    <col min="13315" max="13315" width="23.59765625" style="1" customWidth="1"/>
    <col min="13316" max="13316" width="18.19921875" style="1" customWidth="1"/>
    <col min="13317" max="13317" width="5.19921875" style="1" bestFit="1" customWidth="1"/>
    <col min="13318" max="13318" width="9" style="1"/>
    <col min="13319" max="13319" width="11.8984375" style="1" customWidth="1"/>
    <col min="13320" max="13320" width="13.59765625" style="1" customWidth="1"/>
    <col min="13321" max="13321" width="12.69921875" style="1" customWidth="1"/>
    <col min="13322" max="13568" width="9" style="1"/>
    <col min="13569" max="13569" width="5" style="1" customWidth="1"/>
    <col min="13570" max="13570" width="17.8984375" style="1" bestFit="1" customWidth="1"/>
    <col min="13571" max="13571" width="23.59765625" style="1" customWidth="1"/>
    <col min="13572" max="13572" width="18.19921875" style="1" customWidth="1"/>
    <col min="13573" max="13573" width="5.19921875" style="1" bestFit="1" customWidth="1"/>
    <col min="13574" max="13574" width="9" style="1"/>
    <col min="13575" max="13575" width="11.8984375" style="1" customWidth="1"/>
    <col min="13576" max="13576" width="13.59765625" style="1" customWidth="1"/>
    <col min="13577" max="13577" width="12.69921875" style="1" customWidth="1"/>
    <col min="13578" max="13824" width="9" style="1"/>
    <col min="13825" max="13825" width="5" style="1" customWidth="1"/>
    <col min="13826" max="13826" width="17.8984375" style="1" bestFit="1" customWidth="1"/>
    <col min="13827" max="13827" width="23.59765625" style="1" customWidth="1"/>
    <col min="13828" max="13828" width="18.19921875" style="1" customWidth="1"/>
    <col min="13829" max="13829" width="5.19921875" style="1" bestFit="1" customWidth="1"/>
    <col min="13830" max="13830" width="9" style="1"/>
    <col min="13831" max="13831" width="11.8984375" style="1" customWidth="1"/>
    <col min="13832" max="13832" width="13.59765625" style="1" customWidth="1"/>
    <col min="13833" max="13833" width="12.69921875" style="1" customWidth="1"/>
    <col min="13834" max="14080" width="9" style="1"/>
    <col min="14081" max="14081" width="5" style="1" customWidth="1"/>
    <col min="14082" max="14082" width="17.8984375" style="1" bestFit="1" customWidth="1"/>
    <col min="14083" max="14083" width="23.59765625" style="1" customWidth="1"/>
    <col min="14084" max="14084" width="18.19921875" style="1" customWidth="1"/>
    <col min="14085" max="14085" width="5.19921875" style="1" bestFit="1" customWidth="1"/>
    <col min="14086" max="14086" width="9" style="1"/>
    <col min="14087" max="14087" width="11.8984375" style="1" customWidth="1"/>
    <col min="14088" max="14088" width="13.59765625" style="1" customWidth="1"/>
    <col min="14089" max="14089" width="12.69921875" style="1" customWidth="1"/>
    <col min="14090" max="14336" width="9" style="1"/>
    <col min="14337" max="14337" width="5" style="1" customWidth="1"/>
    <col min="14338" max="14338" width="17.8984375" style="1" bestFit="1" customWidth="1"/>
    <col min="14339" max="14339" width="23.59765625" style="1" customWidth="1"/>
    <col min="14340" max="14340" width="18.19921875" style="1" customWidth="1"/>
    <col min="14341" max="14341" width="5.19921875" style="1" bestFit="1" customWidth="1"/>
    <col min="14342" max="14342" width="9" style="1"/>
    <col min="14343" max="14343" width="11.8984375" style="1" customWidth="1"/>
    <col min="14344" max="14344" width="13.59765625" style="1" customWidth="1"/>
    <col min="14345" max="14345" width="12.69921875" style="1" customWidth="1"/>
    <col min="14346" max="14592" width="9" style="1"/>
    <col min="14593" max="14593" width="5" style="1" customWidth="1"/>
    <col min="14594" max="14594" width="17.8984375" style="1" bestFit="1" customWidth="1"/>
    <col min="14595" max="14595" width="23.59765625" style="1" customWidth="1"/>
    <col min="14596" max="14596" width="18.19921875" style="1" customWidth="1"/>
    <col min="14597" max="14597" width="5.19921875" style="1" bestFit="1" customWidth="1"/>
    <col min="14598" max="14598" width="9" style="1"/>
    <col min="14599" max="14599" width="11.8984375" style="1" customWidth="1"/>
    <col min="14600" max="14600" width="13.59765625" style="1" customWidth="1"/>
    <col min="14601" max="14601" width="12.69921875" style="1" customWidth="1"/>
    <col min="14602" max="14848" width="9" style="1"/>
    <col min="14849" max="14849" width="5" style="1" customWidth="1"/>
    <col min="14850" max="14850" width="17.8984375" style="1" bestFit="1" customWidth="1"/>
    <col min="14851" max="14851" width="23.59765625" style="1" customWidth="1"/>
    <col min="14852" max="14852" width="18.19921875" style="1" customWidth="1"/>
    <col min="14853" max="14853" width="5.19921875" style="1" bestFit="1" customWidth="1"/>
    <col min="14854" max="14854" width="9" style="1"/>
    <col min="14855" max="14855" width="11.8984375" style="1" customWidth="1"/>
    <col min="14856" max="14856" width="13.59765625" style="1" customWidth="1"/>
    <col min="14857" max="14857" width="12.69921875" style="1" customWidth="1"/>
    <col min="14858" max="15104" width="9" style="1"/>
    <col min="15105" max="15105" width="5" style="1" customWidth="1"/>
    <col min="15106" max="15106" width="17.8984375" style="1" bestFit="1" customWidth="1"/>
    <col min="15107" max="15107" width="23.59765625" style="1" customWidth="1"/>
    <col min="15108" max="15108" width="18.19921875" style="1" customWidth="1"/>
    <col min="15109" max="15109" width="5.19921875" style="1" bestFit="1" customWidth="1"/>
    <col min="15110" max="15110" width="9" style="1"/>
    <col min="15111" max="15111" width="11.8984375" style="1" customWidth="1"/>
    <col min="15112" max="15112" width="13.59765625" style="1" customWidth="1"/>
    <col min="15113" max="15113" width="12.69921875" style="1" customWidth="1"/>
    <col min="15114" max="15360" width="9" style="1"/>
    <col min="15361" max="15361" width="5" style="1" customWidth="1"/>
    <col min="15362" max="15362" width="17.8984375" style="1" bestFit="1" customWidth="1"/>
    <col min="15363" max="15363" width="23.59765625" style="1" customWidth="1"/>
    <col min="15364" max="15364" width="18.19921875" style="1" customWidth="1"/>
    <col min="15365" max="15365" width="5.19921875" style="1" bestFit="1" customWidth="1"/>
    <col min="15366" max="15366" width="9" style="1"/>
    <col min="15367" max="15367" width="11.8984375" style="1" customWidth="1"/>
    <col min="15368" max="15368" width="13.59765625" style="1" customWidth="1"/>
    <col min="15369" max="15369" width="12.69921875" style="1" customWidth="1"/>
    <col min="15370" max="15616" width="9" style="1"/>
    <col min="15617" max="15617" width="5" style="1" customWidth="1"/>
    <col min="15618" max="15618" width="17.8984375" style="1" bestFit="1" customWidth="1"/>
    <col min="15619" max="15619" width="23.59765625" style="1" customWidth="1"/>
    <col min="15620" max="15620" width="18.19921875" style="1" customWidth="1"/>
    <col min="15621" max="15621" width="5.19921875" style="1" bestFit="1" customWidth="1"/>
    <col min="15622" max="15622" width="9" style="1"/>
    <col min="15623" max="15623" width="11.8984375" style="1" customWidth="1"/>
    <col min="15624" max="15624" width="13.59765625" style="1" customWidth="1"/>
    <col min="15625" max="15625" width="12.69921875" style="1" customWidth="1"/>
    <col min="15626" max="15872" width="9" style="1"/>
    <col min="15873" max="15873" width="5" style="1" customWidth="1"/>
    <col min="15874" max="15874" width="17.8984375" style="1" bestFit="1" customWidth="1"/>
    <col min="15875" max="15875" width="23.59765625" style="1" customWidth="1"/>
    <col min="15876" max="15876" width="18.19921875" style="1" customWidth="1"/>
    <col min="15877" max="15877" width="5.19921875" style="1" bestFit="1" customWidth="1"/>
    <col min="15878" max="15878" width="9" style="1"/>
    <col min="15879" max="15879" width="11.8984375" style="1" customWidth="1"/>
    <col min="15880" max="15880" width="13.59765625" style="1" customWidth="1"/>
    <col min="15881" max="15881" width="12.69921875" style="1" customWidth="1"/>
    <col min="15882" max="16128" width="9" style="1"/>
    <col min="16129" max="16129" width="5" style="1" customWidth="1"/>
    <col min="16130" max="16130" width="17.8984375" style="1" bestFit="1" customWidth="1"/>
    <col min="16131" max="16131" width="23.59765625" style="1" customWidth="1"/>
    <col min="16132" max="16132" width="18.19921875" style="1" customWidth="1"/>
    <col min="16133" max="16133" width="5.19921875" style="1" bestFit="1" customWidth="1"/>
    <col min="16134" max="16134" width="9" style="1"/>
    <col min="16135" max="16135" width="11.8984375" style="1" customWidth="1"/>
    <col min="16136" max="16136" width="13.59765625" style="1" customWidth="1"/>
    <col min="16137" max="16137" width="12.69921875" style="1" customWidth="1"/>
    <col min="16138" max="16384" width="9" style="1"/>
  </cols>
  <sheetData>
    <row r="1" spans="1:9" ht="22.5" customHeight="1">
      <c r="B1" s="202" t="s">
        <v>161</v>
      </c>
      <c r="C1" s="285" t="s">
        <v>545</v>
      </c>
      <c r="F1" s="333"/>
      <c r="I1" s="1" t="s">
        <v>128</v>
      </c>
    </row>
    <row r="2" spans="1:9" s="26" customFormat="1" ht="16.5" customHeight="1">
      <c r="A2" s="384" t="s">
        <v>129</v>
      </c>
      <c r="B2" s="386"/>
      <c r="C2" s="131" t="s">
        <v>130</v>
      </c>
      <c r="D2" s="126" t="s">
        <v>131</v>
      </c>
      <c r="E2" s="126" t="s">
        <v>48</v>
      </c>
      <c r="F2" s="268" t="s">
        <v>49</v>
      </c>
      <c r="G2" s="268" t="s">
        <v>132</v>
      </c>
      <c r="H2" s="268" t="s">
        <v>133</v>
      </c>
      <c r="I2" s="126" t="s">
        <v>134</v>
      </c>
    </row>
    <row r="3" spans="1:9" ht="15.9" customHeight="1">
      <c r="A3" s="479" t="s">
        <v>135</v>
      </c>
      <c r="B3" s="208" t="s">
        <v>136</v>
      </c>
      <c r="C3" s="215"/>
      <c r="D3" s="297"/>
      <c r="E3" s="216"/>
      <c r="F3" s="217"/>
      <c r="G3" s="218"/>
      <c r="H3" s="167"/>
      <c r="I3" s="39" t="s">
        <v>546</v>
      </c>
    </row>
    <row r="4" spans="1:9" ht="15.9" customHeight="1">
      <c r="A4" s="483"/>
      <c r="B4" s="208"/>
      <c r="C4" s="215"/>
      <c r="D4" s="297"/>
      <c r="E4" s="216"/>
      <c r="F4" s="217"/>
      <c r="G4" s="218"/>
      <c r="H4" s="167">
        <f>IF(F4=0,G4,G4*F4)</f>
        <v>0</v>
      </c>
      <c r="I4" s="39"/>
    </row>
    <row r="5" spans="1:9" ht="15.9" customHeight="1">
      <c r="A5" s="483"/>
      <c r="B5" s="208"/>
      <c r="C5" s="215"/>
      <c r="D5" s="215"/>
      <c r="E5" s="215"/>
      <c r="F5" s="218"/>
      <c r="G5" s="218"/>
      <c r="H5" s="167">
        <f t="shared" ref="H5:H54" si="0">IF(F5=0,G5,G5*F5)</f>
        <v>0</v>
      </c>
      <c r="I5" s="39"/>
    </row>
    <row r="6" spans="1:9" ht="15.9" customHeight="1">
      <c r="A6" s="483"/>
      <c r="B6" s="208"/>
      <c r="C6" s="215"/>
      <c r="D6" s="215"/>
      <c r="E6" s="215"/>
      <c r="F6" s="218"/>
      <c r="G6" s="218"/>
      <c r="H6" s="167">
        <f t="shared" si="0"/>
        <v>0</v>
      </c>
      <c r="I6" s="39"/>
    </row>
    <row r="7" spans="1:9" ht="15.9" customHeight="1">
      <c r="A7" s="483"/>
      <c r="B7" s="208"/>
      <c r="C7" s="215"/>
      <c r="D7" s="215"/>
      <c r="E7" s="215"/>
      <c r="F7" s="218"/>
      <c r="G7" s="218"/>
      <c r="H7" s="167">
        <f t="shared" si="0"/>
        <v>0</v>
      </c>
      <c r="I7" s="39"/>
    </row>
    <row r="8" spans="1:9" ht="15.9" customHeight="1">
      <c r="A8" s="483"/>
      <c r="B8" s="208"/>
      <c r="C8" s="215"/>
      <c r="D8" s="215"/>
      <c r="E8" s="215"/>
      <c r="F8" s="218"/>
      <c r="G8" s="218"/>
      <c r="H8" s="167">
        <f t="shared" si="0"/>
        <v>0</v>
      </c>
      <c r="I8" s="39"/>
    </row>
    <row r="9" spans="1:9" ht="15.9" customHeight="1">
      <c r="A9" s="483"/>
      <c r="B9" s="208"/>
      <c r="C9" s="215"/>
      <c r="D9" s="215"/>
      <c r="E9" s="215"/>
      <c r="F9" s="218"/>
      <c r="G9" s="218"/>
      <c r="H9" s="167">
        <f t="shared" si="0"/>
        <v>0</v>
      </c>
      <c r="I9" s="39"/>
    </row>
    <row r="10" spans="1:9" ht="15.9" customHeight="1">
      <c r="A10" s="483"/>
      <c r="B10" s="208"/>
      <c r="C10" s="215"/>
      <c r="D10" s="215"/>
      <c r="E10" s="215"/>
      <c r="F10" s="218"/>
      <c r="G10" s="218"/>
      <c r="H10" s="167">
        <f t="shared" si="0"/>
        <v>0</v>
      </c>
      <c r="I10" s="39"/>
    </row>
    <row r="11" spans="1:9" ht="15.9" customHeight="1">
      <c r="A11" s="483"/>
      <c r="B11" s="208"/>
      <c r="C11" s="215"/>
      <c r="D11" s="215"/>
      <c r="E11" s="215"/>
      <c r="F11" s="218"/>
      <c r="G11" s="218"/>
      <c r="H11" s="167">
        <f t="shared" si="0"/>
        <v>0</v>
      </c>
      <c r="I11" s="39"/>
    </row>
    <row r="12" spans="1:9" ht="15.9" customHeight="1">
      <c r="A12" s="483"/>
      <c r="B12" s="208"/>
      <c r="C12" s="215"/>
      <c r="D12" s="215"/>
      <c r="E12" s="215"/>
      <c r="F12" s="218"/>
      <c r="G12" s="218"/>
      <c r="H12" s="167">
        <f t="shared" si="0"/>
        <v>0</v>
      </c>
      <c r="I12" s="39"/>
    </row>
    <row r="13" spans="1:9" ht="15.9" customHeight="1">
      <c r="A13" s="483"/>
      <c r="B13" s="208"/>
      <c r="C13" s="215"/>
      <c r="D13" s="215"/>
      <c r="E13" s="215"/>
      <c r="F13" s="218"/>
      <c r="G13" s="218"/>
      <c r="H13" s="167">
        <f t="shared" si="0"/>
        <v>0</v>
      </c>
      <c r="I13" s="39"/>
    </row>
    <row r="14" spans="1:9" ht="15.9" customHeight="1">
      <c r="A14" s="483"/>
      <c r="B14" s="208"/>
      <c r="C14" s="215"/>
      <c r="D14" s="215"/>
      <c r="E14" s="215"/>
      <c r="F14" s="218"/>
      <c r="G14" s="218"/>
      <c r="H14" s="167">
        <f t="shared" si="0"/>
        <v>0</v>
      </c>
      <c r="I14" s="39"/>
    </row>
    <row r="15" spans="1:9" ht="15.9" customHeight="1">
      <c r="A15" s="483"/>
      <c r="B15" s="208"/>
      <c r="C15" s="215"/>
      <c r="D15" s="215"/>
      <c r="E15" s="215"/>
      <c r="F15" s="218"/>
      <c r="G15" s="218"/>
      <c r="H15" s="167">
        <f t="shared" si="0"/>
        <v>0</v>
      </c>
      <c r="I15" s="39"/>
    </row>
    <row r="16" spans="1:9" ht="15.9" customHeight="1">
      <c r="A16" s="483"/>
      <c r="B16" s="208"/>
      <c r="C16" s="215"/>
      <c r="D16" s="215"/>
      <c r="E16" s="215"/>
      <c r="F16" s="218"/>
      <c r="G16" s="218"/>
      <c r="H16" s="167">
        <f t="shared" si="0"/>
        <v>0</v>
      </c>
      <c r="I16" s="39"/>
    </row>
    <row r="17" spans="1:9" ht="15.9" customHeight="1">
      <c r="A17" s="483"/>
      <c r="B17" s="208"/>
      <c r="C17" s="215"/>
      <c r="D17" s="215"/>
      <c r="E17" s="215"/>
      <c r="F17" s="218"/>
      <c r="G17" s="218"/>
      <c r="H17" s="167">
        <f t="shared" si="0"/>
        <v>0</v>
      </c>
      <c r="I17" s="39"/>
    </row>
    <row r="18" spans="1:9" ht="15.9" customHeight="1">
      <c r="A18" s="483"/>
      <c r="B18" s="208"/>
      <c r="C18" s="215"/>
      <c r="D18" s="215"/>
      <c r="E18" s="215"/>
      <c r="F18" s="218"/>
      <c r="G18" s="218"/>
      <c r="H18" s="167">
        <f t="shared" si="0"/>
        <v>0</v>
      </c>
      <c r="I18" s="39"/>
    </row>
    <row r="19" spans="1:9" ht="15.9" customHeight="1">
      <c r="A19" s="483"/>
      <c r="B19" s="208"/>
      <c r="C19" s="215"/>
      <c r="D19" s="215"/>
      <c r="E19" s="215"/>
      <c r="F19" s="218"/>
      <c r="G19" s="218"/>
      <c r="H19" s="167">
        <f t="shared" si="0"/>
        <v>0</v>
      </c>
      <c r="I19" s="39"/>
    </row>
    <row r="20" spans="1:9" ht="15.9" customHeight="1">
      <c r="A20" s="483"/>
      <c r="B20" s="208"/>
      <c r="C20" s="215"/>
      <c r="D20" s="215"/>
      <c r="E20" s="215"/>
      <c r="F20" s="218"/>
      <c r="G20" s="218"/>
      <c r="H20" s="167">
        <f t="shared" si="0"/>
        <v>0</v>
      </c>
      <c r="I20" s="39"/>
    </row>
    <row r="21" spans="1:9" ht="15.9" customHeight="1">
      <c r="A21" s="483"/>
      <c r="B21" s="208"/>
      <c r="C21" s="215"/>
      <c r="D21" s="215"/>
      <c r="E21" s="215"/>
      <c r="F21" s="218"/>
      <c r="G21" s="218"/>
      <c r="H21" s="167">
        <f t="shared" si="0"/>
        <v>0</v>
      </c>
      <c r="I21" s="39"/>
    </row>
    <row r="22" spans="1:9" ht="15.9" customHeight="1">
      <c r="A22" s="483"/>
      <c r="B22" s="208"/>
      <c r="C22" s="215"/>
      <c r="D22" s="215"/>
      <c r="E22" s="215"/>
      <c r="F22" s="218"/>
      <c r="G22" s="218"/>
      <c r="H22" s="167">
        <f t="shared" si="0"/>
        <v>0</v>
      </c>
      <c r="I22" s="39"/>
    </row>
    <row r="23" spans="1:9" ht="15.9" customHeight="1">
      <c r="A23" s="483"/>
      <c r="B23" s="208"/>
      <c r="C23" s="219"/>
      <c r="D23" s="220"/>
      <c r="E23" s="220"/>
      <c r="F23" s="221"/>
      <c r="G23" s="222"/>
      <c r="H23" s="239">
        <f t="shared" si="0"/>
        <v>0</v>
      </c>
      <c r="I23" s="240"/>
    </row>
    <row r="24" spans="1:9" ht="15.9" customHeight="1">
      <c r="A24" s="483"/>
      <c r="B24" s="223"/>
      <c r="C24" s="242"/>
      <c r="D24" s="242"/>
      <c r="E24" s="242"/>
      <c r="F24" s="245"/>
      <c r="G24" s="245"/>
      <c r="H24" s="246">
        <f>SUM(H3:H23)</f>
        <v>0</v>
      </c>
      <c r="I24" s="242"/>
    </row>
    <row r="25" spans="1:9" ht="15.9" customHeight="1">
      <c r="A25" s="483"/>
      <c r="B25" s="208" t="s">
        <v>279</v>
      </c>
      <c r="C25" s="209"/>
      <c r="D25" s="209"/>
      <c r="E25" s="210"/>
      <c r="F25" s="211"/>
      <c r="G25" s="212"/>
      <c r="H25" s="213">
        <f t="shared" si="0"/>
        <v>0</v>
      </c>
      <c r="I25" s="214"/>
    </row>
    <row r="26" spans="1:9" ht="15.9" customHeight="1">
      <c r="A26" s="483"/>
      <c r="B26" s="208" t="s">
        <v>280</v>
      </c>
      <c r="C26" s="215"/>
      <c r="D26" s="215"/>
      <c r="E26" s="215"/>
      <c r="F26" s="218"/>
      <c r="G26" s="218"/>
      <c r="H26" s="167">
        <f t="shared" si="0"/>
        <v>0</v>
      </c>
      <c r="I26" s="39"/>
    </row>
    <row r="27" spans="1:9" ht="15.9" customHeight="1">
      <c r="A27" s="483"/>
      <c r="B27" s="208"/>
      <c r="C27" s="215"/>
      <c r="D27" s="215"/>
      <c r="E27" s="215"/>
      <c r="F27" s="218"/>
      <c r="G27" s="218"/>
      <c r="H27" s="167">
        <f t="shared" si="0"/>
        <v>0</v>
      </c>
      <c r="I27" s="39"/>
    </row>
    <row r="28" spans="1:9" ht="15.9" customHeight="1">
      <c r="A28" s="483"/>
      <c r="B28" s="208"/>
      <c r="C28" s="215"/>
      <c r="D28" s="215"/>
      <c r="E28" s="215"/>
      <c r="F28" s="218"/>
      <c r="G28" s="218"/>
      <c r="H28" s="167">
        <f t="shared" si="0"/>
        <v>0</v>
      </c>
      <c r="I28" s="39"/>
    </row>
    <row r="29" spans="1:9" ht="15.9" customHeight="1">
      <c r="A29" s="483"/>
      <c r="B29" s="208"/>
      <c r="C29" s="219"/>
      <c r="D29" s="219"/>
      <c r="E29" s="219"/>
      <c r="F29" s="222"/>
      <c r="G29" s="222"/>
      <c r="H29" s="167">
        <f t="shared" si="0"/>
        <v>0</v>
      </c>
      <c r="I29" s="42"/>
    </row>
    <row r="30" spans="1:9" ht="15.9" customHeight="1">
      <c r="A30" s="483"/>
      <c r="B30" s="223"/>
      <c r="C30" s="224"/>
      <c r="D30" s="225"/>
      <c r="E30" s="225"/>
      <c r="F30" s="334"/>
      <c r="G30" s="227"/>
      <c r="H30" s="50">
        <f>SUM(H25:H29)</f>
        <v>0</v>
      </c>
      <c r="I30" s="46"/>
    </row>
    <row r="31" spans="1:9" ht="15.9" customHeight="1">
      <c r="A31" s="483"/>
      <c r="B31" s="247" t="s">
        <v>281</v>
      </c>
      <c r="C31" s="335" t="s">
        <v>547</v>
      </c>
      <c r="D31" s="335"/>
      <c r="E31" s="336" t="s">
        <v>145</v>
      </c>
      <c r="F31" s="272">
        <v>8</v>
      </c>
      <c r="G31" s="273">
        <v>2000000</v>
      </c>
      <c r="H31" s="233">
        <f t="shared" si="0"/>
        <v>16000000</v>
      </c>
      <c r="I31" s="234"/>
    </row>
    <row r="32" spans="1:9" ht="15.9" customHeight="1">
      <c r="A32" s="483"/>
      <c r="B32" s="208" t="s">
        <v>284</v>
      </c>
      <c r="C32" s="236"/>
      <c r="D32" s="215"/>
      <c r="E32" s="216"/>
      <c r="F32" s="217"/>
      <c r="G32" s="218"/>
      <c r="H32" s="167">
        <f t="shared" si="0"/>
        <v>0</v>
      </c>
      <c r="I32" s="35"/>
    </row>
    <row r="33" spans="1:9" ht="15.9" customHeight="1">
      <c r="A33" s="483"/>
      <c r="B33" s="208"/>
      <c r="C33" s="215"/>
      <c r="D33" s="215"/>
      <c r="E33" s="216"/>
      <c r="F33" s="217"/>
      <c r="G33" s="218"/>
      <c r="H33" s="167">
        <f t="shared" si="0"/>
        <v>0</v>
      </c>
      <c r="I33" s="35"/>
    </row>
    <row r="34" spans="1:9" ht="15.9" customHeight="1">
      <c r="A34" s="483"/>
      <c r="B34" s="208"/>
      <c r="C34" s="215"/>
      <c r="D34" s="296"/>
      <c r="E34" s="216"/>
      <c r="F34" s="298"/>
      <c r="G34" s="218"/>
      <c r="H34" s="167">
        <f t="shared" si="0"/>
        <v>0</v>
      </c>
      <c r="I34" s="35"/>
    </row>
    <row r="35" spans="1:9" ht="15.9" customHeight="1">
      <c r="A35" s="483"/>
      <c r="B35" s="208"/>
      <c r="C35" s="215"/>
      <c r="D35" s="296"/>
      <c r="E35" s="216"/>
      <c r="F35" s="298"/>
      <c r="G35" s="218"/>
      <c r="H35" s="167">
        <f t="shared" si="0"/>
        <v>0</v>
      </c>
      <c r="I35" s="35"/>
    </row>
    <row r="36" spans="1:9" ht="15.9" customHeight="1">
      <c r="A36" s="483"/>
      <c r="B36" s="208"/>
      <c r="C36" s="215"/>
      <c r="D36" s="296"/>
      <c r="E36" s="216"/>
      <c r="F36" s="298"/>
      <c r="G36" s="218"/>
      <c r="H36" s="167">
        <f t="shared" si="0"/>
        <v>0</v>
      </c>
      <c r="I36" s="35"/>
    </row>
    <row r="37" spans="1:9" ht="15.9" customHeight="1">
      <c r="A37" s="483"/>
      <c r="B37" s="208"/>
      <c r="C37" s="215"/>
      <c r="D37" s="296"/>
      <c r="E37" s="216"/>
      <c r="F37" s="298"/>
      <c r="G37" s="218"/>
      <c r="H37" s="167">
        <f t="shared" si="0"/>
        <v>0</v>
      </c>
      <c r="I37" s="35"/>
    </row>
    <row r="38" spans="1:9" ht="15.9" customHeight="1">
      <c r="A38" s="483"/>
      <c r="B38" s="208"/>
      <c r="C38" s="236"/>
      <c r="D38" s="236"/>
      <c r="E38" s="215"/>
      <c r="F38" s="238"/>
      <c r="G38" s="238"/>
      <c r="H38" s="167">
        <f t="shared" si="0"/>
        <v>0</v>
      </c>
      <c r="I38" s="35"/>
    </row>
    <row r="39" spans="1:9" ht="15.9" customHeight="1">
      <c r="A39" s="483"/>
      <c r="B39" s="208"/>
      <c r="C39" s="236"/>
      <c r="D39" s="236"/>
      <c r="E39" s="215"/>
      <c r="F39" s="238"/>
      <c r="G39" s="238"/>
      <c r="H39" s="167">
        <f t="shared" si="0"/>
        <v>0</v>
      </c>
      <c r="I39" s="39"/>
    </row>
    <row r="40" spans="1:9" ht="15.9" customHeight="1">
      <c r="A40" s="483"/>
      <c r="B40" s="208"/>
      <c r="C40" s="215"/>
      <c r="D40" s="215"/>
      <c r="E40" s="216"/>
      <c r="F40" s="217"/>
      <c r="G40" s="218"/>
      <c r="H40" s="167">
        <f t="shared" si="0"/>
        <v>0</v>
      </c>
      <c r="I40" s="39"/>
    </row>
    <row r="41" spans="1:9" ht="15.9" customHeight="1">
      <c r="A41" s="483"/>
      <c r="B41" s="208"/>
      <c r="C41" s="215"/>
      <c r="D41" s="296"/>
      <c r="E41" s="216"/>
      <c r="F41" s="298"/>
      <c r="G41" s="218"/>
      <c r="H41" s="167">
        <f t="shared" si="0"/>
        <v>0</v>
      </c>
      <c r="I41" s="39"/>
    </row>
    <row r="42" spans="1:9" ht="15.9" customHeight="1">
      <c r="A42" s="483"/>
      <c r="B42" s="208"/>
      <c r="C42" s="215"/>
      <c r="D42" s="296"/>
      <c r="E42" s="216"/>
      <c r="F42" s="298"/>
      <c r="G42" s="218"/>
      <c r="H42" s="167">
        <f t="shared" si="0"/>
        <v>0</v>
      </c>
      <c r="I42" s="39"/>
    </row>
    <row r="43" spans="1:9" ht="15.9" customHeight="1">
      <c r="A43" s="483"/>
      <c r="B43" s="208"/>
      <c r="C43" s="215"/>
      <c r="D43" s="296"/>
      <c r="E43" s="216"/>
      <c r="F43" s="298"/>
      <c r="G43" s="218"/>
      <c r="H43" s="167">
        <f t="shared" si="0"/>
        <v>0</v>
      </c>
      <c r="I43" s="39"/>
    </row>
    <row r="44" spans="1:9" ht="15.9" customHeight="1">
      <c r="A44" s="483"/>
      <c r="B44" s="208"/>
      <c r="C44" s="215"/>
      <c r="D44" s="215"/>
      <c r="E44" s="215"/>
      <c r="F44" s="218"/>
      <c r="G44" s="218"/>
      <c r="H44" s="167">
        <f t="shared" si="0"/>
        <v>0</v>
      </c>
      <c r="I44" s="39"/>
    </row>
    <row r="45" spans="1:9" ht="15.9" customHeight="1">
      <c r="A45" s="483"/>
      <c r="B45" s="208"/>
      <c r="C45" s="236"/>
      <c r="D45" s="236"/>
      <c r="E45" s="215"/>
      <c r="F45" s="238"/>
      <c r="G45" s="238"/>
      <c r="H45" s="167">
        <f t="shared" si="0"/>
        <v>0</v>
      </c>
      <c r="I45" s="39"/>
    </row>
    <row r="46" spans="1:9" ht="15.9" customHeight="1">
      <c r="A46" s="483"/>
      <c r="B46" s="208"/>
      <c r="C46" s="219"/>
      <c r="D46" s="219"/>
      <c r="E46" s="220"/>
      <c r="F46" s="221"/>
      <c r="G46" s="222"/>
      <c r="H46" s="177">
        <f t="shared" si="0"/>
        <v>0</v>
      </c>
      <c r="I46" s="42"/>
    </row>
    <row r="47" spans="1:9" ht="15.9" customHeight="1">
      <c r="A47" s="483"/>
      <c r="B47" s="223"/>
      <c r="C47" s="224"/>
      <c r="D47" s="225"/>
      <c r="E47" s="225"/>
      <c r="F47" s="227"/>
      <c r="G47" s="227"/>
      <c r="H47" s="50">
        <f>SUM(H31:H46)</f>
        <v>16000000</v>
      </c>
      <c r="I47" s="46"/>
    </row>
    <row r="48" spans="1:9" ht="15.9" customHeight="1">
      <c r="A48" s="483"/>
      <c r="B48" s="247" t="s">
        <v>61</v>
      </c>
      <c r="C48" s="215"/>
      <c r="D48" s="297"/>
      <c r="E48" s="297"/>
      <c r="F48" s="298"/>
      <c r="G48" s="218"/>
      <c r="H48" s="233">
        <f t="shared" si="0"/>
        <v>0</v>
      </c>
      <c r="I48" s="234"/>
    </row>
    <row r="49" spans="1:9" ht="15.9" customHeight="1">
      <c r="A49" s="483"/>
      <c r="B49" s="208"/>
      <c r="C49" s="215"/>
      <c r="D49" s="297"/>
      <c r="E49" s="297"/>
      <c r="F49" s="298"/>
      <c r="G49" s="218"/>
      <c r="H49" s="167">
        <f t="shared" si="0"/>
        <v>0</v>
      </c>
      <c r="I49" s="39"/>
    </row>
    <row r="50" spans="1:9" ht="15.9" customHeight="1">
      <c r="A50" s="483"/>
      <c r="B50" s="208"/>
      <c r="C50" s="215"/>
      <c r="D50" s="215"/>
      <c r="E50" s="216"/>
      <c r="F50" s="217"/>
      <c r="G50" s="218"/>
      <c r="H50" s="167">
        <f t="shared" si="0"/>
        <v>0</v>
      </c>
      <c r="I50" s="39"/>
    </row>
    <row r="51" spans="1:9" ht="15.9" customHeight="1">
      <c r="A51" s="483"/>
      <c r="B51" s="208"/>
      <c r="C51" s="215"/>
      <c r="D51" s="215"/>
      <c r="E51" s="216"/>
      <c r="F51" s="217"/>
      <c r="G51" s="218"/>
      <c r="H51" s="167">
        <f t="shared" si="0"/>
        <v>0</v>
      </c>
      <c r="I51" s="39"/>
    </row>
    <row r="52" spans="1:9" ht="15.9" customHeight="1">
      <c r="A52" s="483"/>
      <c r="B52" s="208"/>
      <c r="C52" s="215"/>
      <c r="D52" s="297"/>
      <c r="E52" s="297"/>
      <c r="F52" s="298"/>
      <c r="G52" s="218"/>
      <c r="H52" s="167">
        <f t="shared" si="0"/>
        <v>0</v>
      </c>
      <c r="I52" s="39"/>
    </row>
    <row r="53" spans="1:9" ht="15.9" customHeight="1">
      <c r="A53" s="483"/>
      <c r="B53" s="208"/>
      <c r="C53" s="215"/>
      <c r="D53" s="215"/>
      <c r="E53" s="216"/>
      <c r="F53" s="217"/>
      <c r="G53" s="218"/>
      <c r="H53" s="167">
        <f t="shared" si="0"/>
        <v>0</v>
      </c>
      <c r="I53" s="39"/>
    </row>
    <row r="54" spans="1:9" ht="15.9" customHeight="1">
      <c r="A54" s="483"/>
      <c r="B54" s="208"/>
      <c r="C54" s="219"/>
      <c r="D54" s="219"/>
      <c r="E54" s="219"/>
      <c r="F54" s="222"/>
      <c r="G54" s="222"/>
      <c r="H54" s="177">
        <f t="shared" si="0"/>
        <v>0</v>
      </c>
      <c r="I54" s="42"/>
    </row>
    <row r="55" spans="1:9" ht="15.9" customHeight="1">
      <c r="A55" s="483"/>
      <c r="B55" s="223"/>
      <c r="C55" s="224"/>
      <c r="D55" s="225"/>
      <c r="E55" s="225"/>
      <c r="F55" s="227"/>
      <c r="G55" s="227"/>
      <c r="H55" s="50">
        <f>SUM(H48:H54)</f>
        <v>0</v>
      </c>
      <c r="I55" s="46"/>
    </row>
    <row r="56" spans="1:9" ht="15.9" customHeight="1">
      <c r="A56" s="265"/>
      <c r="B56" s="266" t="s">
        <v>147</v>
      </c>
      <c r="C56" s="267"/>
      <c r="D56" s="46"/>
      <c r="E56" s="46"/>
      <c r="F56" s="269"/>
      <c r="G56" s="269"/>
      <c r="H56" s="50">
        <f>SUM(H55,H47,H30,H24)</f>
        <v>16000000</v>
      </c>
      <c r="I56" s="46"/>
    </row>
    <row r="57" spans="1:9" ht="15.9" customHeight="1">
      <c r="A57" s="479" t="s">
        <v>148</v>
      </c>
      <c r="B57" s="270" t="s">
        <v>67</v>
      </c>
      <c r="C57" s="267"/>
      <c r="D57" s="46"/>
      <c r="E57" s="270" t="s">
        <v>68</v>
      </c>
      <c r="F57" s="284"/>
      <c r="G57" s="273"/>
      <c r="H57" s="274">
        <f>F57*G57</f>
        <v>0</v>
      </c>
      <c r="I57" s="46"/>
    </row>
    <row r="58" spans="1:9" ht="15.9" customHeight="1">
      <c r="A58" s="483"/>
      <c r="B58" s="275" t="s">
        <v>444</v>
      </c>
      <c r="C58" s="337"/>
      <c r="D58" s="338"/>
      <c r="E58" s="339" t="s">
        <v>150</v>
      </c>
      <c r="F58" s="305"/>
      <c r="G58" s="232"/>
      <c r="H58" s="233">
        <f t="shared" ref="H58:H64" si="1">F58*G58</f>
        <v>0</v>
      </c>
      <c r="I58" s="234"/>
    </row>
    <row r="59" spans="1:9" ht="15.9" customHeight="1">
      <c r="A59" s="483"/>
      <c r="B59" s="277" t="s">
        <v>445</v>
      </c>
      <c r="C59" s="340"/>
      <c r="D59" s="296"/>
      <c r="E59" s="326" t="s">
        <v>150</v>
      </c>
      <c r="F59" s="306"/>
      <c r="G59" s="218"/>
      <c r="H59" s="167">
        <f t="shared" si="1"/>
        <v>0</v>
      </c>
      <c r="I59" s="39"/>
    </row>
    <row r="60" spans="1:9" ht="15.9" customHeight="1">
      <c r="A60" s="483"/>
      <c r="B60" s="277" t="s">
        <v>446</v>
      </c>
      <c r="C60" s="340"/>
      <c r="D60" s="296"/>
      <c r="E60" s="326" t="s">
        <v>150</v>
      </c>
      <c r="F60" s="306"/>
      <c r="G60" s="218"/>
      <c r="H60" s="167">
        <f t="shared" si="1"/>
        <v>0</v>
      </c>
      <c r="I60" s="39"/>
    </row>
    <row r="61" spans="1:9" ht="15.9" customHeight="1">
      <c r="A61" s="483"/>
      <c r="B61" s="277" t="s">
        <v>447</v>
      </c>
      <c r="C61" s="340"/>
      <c r="D61" s="296"/>
      <c r="E61" s="326" t="s">
        <v>150</v>
      </c>
      <c r="F61" s="306">
        <v>160</v>
      </c>
      <c r="G61" s="218">
        <v>400000</v>
      </c>
      <c r="H61" s="167">
        <f t="shared" si="1"/>
        <v>64000000</v>
      </c>
      <c r="I61" s="39"/>
    </row>
    <row r="62" spans="1:9" ht="15.9" customHeight="1">
      <c r="A62" s="483"/>
      <c r="B62" s="277" t="s">
        <v>448</v>
      </c>
      <c r="C62" s="340"/>
      <c r="D62" s="296"/>
      <c r="E62" s="326" t="s">
        <v>150</v>
      </c>
      <c r="F62" s="306">
        <v>80</v>
      </c>
      <c r="G62" s="218">
        <v>400000</v>
      </c>
      <c r="H62" s="167">
        <f t="shared" si="1"/>
        <v>32000000</v>
      </c>
      <c r="I62" s="39"/>
    </row>
    <row r="63" spans="1:9" ht="15.9" customHeight="1">
      <c r="A63" s="483"/>
      <c r="B63" s="277" t="s">
        <v>449</v>
      </c>
      <c r="C63" s="340"/>
      <c r="D63" s="296"/>
      <c r="E63" s="326" t="s">
        <v>150</v>
      </c>
      <c r="F63" s="341"/>
      <c r="G63" s="218"/>
      <c r="H63" s="167">
        <f t="shared" si="1"/>
        <v>0</v>
      </c>
      <c r="I63" s="39"/>
    </row>
    <row r="64" spans="1:9" ht="15.9" customHeight="1">
      <c r="A64" s="483"/>
      <c r="B64" s="279" t="s">
        <v>548</v>
      </c>
      <c r="C64" s="342"/>
      <c r="D64" s="343"/>
      <c r="E64" s="307" t="s">
        <v>150</v>
      </c>
      <c r="F64" s="344"/>
      <c r="G64" s="222"/>
      <c r="H64" s="177">
        <f t="shared" si="1"/>
        <v>0</v>
      </c>
      <c r="I64" s="42"/>
    </row>
    <row r="65" spans="1:9" ht="15.9" customHeight="1">
      <c r="A65" s="265"/>
      <c r="B65" s="281" t="s">
        <v>156</v>
      </c>
      <c r="C65" s="267"/>
      <c r="D65" s="46"/>
      <c r="E65" s="46"/>
      <c r="F65" s="227"/>
      <c r="G65" s="227"/>
      <c r="H65" s="227">
        <f>SUM(H57:H64)</f>
        <v>96000000</v>
      </c>
      <c r="I65" s="225"/>
    </row>
    <row r="66" spans="1:9" ht="15.9" customHeight="1">
      <c r="A66" s="271"/>
      <c r="B66" s="281" t="s">
        <v>451</v>
      </c>
      <c r="C66" s="267"/>
      <c r="D66" s="46"/>
      <c r="E66" s="46"/>
      <c r="F66" s="50"/>
      <c r="G66" s="50"/>
      <c r="H66" s="269">
        <v>0</v>
      </c>
      <c r="I66" s="46"/>
    </row>
    <row r="67" spans="1:9" ht="15.9" customHeight="1">
      <c r="A67" s="271"/>
      <c r="B67" s="281" t="s">
        <v>93</v>
      </c>
      <c r="C67" s="267"/>
      <c r="D67" s="46"/>
      <c r="E67" s="46"/>
      <c r="F67" s="50"/>
      <c r="G67" s="283"/>
      <c r="H67" s="284">
        <f>(H65+H56)*0</f>
        <v>0</v>
      </c>
      <c r="I67" s="267"/>
    </row>
    <row r="68" spans="1:9" ht="15.9" customHeight="1">
      <c r="A68" s="271"/>
      <c r="B68" s="281" t="s">
        <v>159</v>
      </c>
      <c r="C68" s="267"/>
      <c r="D68" s="46"/>
      <c r="E68" s="46"/>
      <c r="F68" s="50"/>
      <c r="G68" s="283"/>
      <c r="H68" s="284">
        <f>(H65+H56)*0</f>
        <v>0</v>
      </c>
      <c r="I68" s="267"/>
    </row>
    <row r="69" spans="1:9" ht="15.9" customHeight="1">
      <c r="A69" s="271"/>
      <c r="B69" s="281" t="s">
        <v>160</v>
      </c>
      <c r="C69" s="267"/>
      <c r="D69" s="46"/>
      <c r="E69" s="46"/>
      <c r="F69" s="50"/>
      <c r="G69" s="50"/>
      <c r="H69" s="227">
        <f>H56+H65+H66+H67+H68</f>
        <v>112000000</v>
      </c>
      <c r="I69" s="46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0A45-1945-4CB5-851B-849F45B4EFA1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49"/>
    <col min="7" max="7" width="11.8984375" style="49" customWidth="1"/>
    <col min="8" max="8" width="13.59765625" style="49" customWidth="1"/>
    <col min="9" max="9" width="12.69921875" style="1" customWidth="1"/>
    <col min="10" max="256" width="9" style="1"/>
    <col min="257" max="257" width="5" style="1" customWidth="1"/>
    <col min="258" max="258" width="17.8984375" style="1" bestFit="1" customWidth="1"/>
    <col min="259" max="259" width="23.59765625" style="1" customWidth="1"/>
    <col min="260" max="260" width="18.19921875" style="1" customWidth="1"/>
    <col min="261" max="261" width="5.19921875" style="1" bestFit="1" customWidth="1"/>
    <col min="262" max="262" width="9" style="1"/>
    <col min="263" max="263" width="11.8984375" style="1" customWidth="1"/>
    <col min="264" max="264" width="13.59765625" style="1" customWidth="1"/>
    <col min="265" max="265" width="12.69921875" style="1" customWidth="1"/>
    <col min="266" max="512" width="9" style="1"/>
    <col min="513" max="513" width="5" style="1" customWidth="1"/>
    <col min="514" max="514" width="17.8984375" style="1" bestFit="1" customWidth="1"/>
    <col min="515" max="515" width="23.59765625" style="1" customWidth="1"/>
    <col min="516" max="516" width="18.19921875" style="1" customWidth="1"/>
    <col min="517" max="517" width="5.19921875" style="1" bestFit="1" customWidth="1"/>
    <col min="518" max="518" width="9" style="1"/>
    <col min="519" max="519" width="11.8984375" style="1" customWidth="1"/>
    <col min="520" max="520" width="13.59765625" style="1" customWidth="1"/>
    <col min="521" max="521" width="12.69921875" style="1" customWidth="1"/>
    <col min="522" max="768" width="9" style="1"/>
    <col min="769" max="769" width="5" style="1" customWidth="1"/>
    <col min="770" max="770" width="17.8984375" style="1" bestFit="1" customWidth="1"/>
    <col min="771" max="771" width="23.59765625" style="1" customWidth="1"/>
    <col min="772" max="772" width="18.19921875" style="1" customWidth="1"/>
    <col min="773" max="773" width="5.19921875" style="1" bestFit="1" customWidth="1"/>
    <col min="774" max="774" width="9" style="1"/>
    <col min="775" max="775" width="11.8984375" style="1" customWidth="1"/>
    <col min="776" max="776" width="13.59765625" style="1" customWidth="1"/>
    <col min="777" max="777" width="12.69921875" style="1" customWidth="1"/>
    <col min="778" max="1024" width="9" style="1"/>
    <col min="1025" max="1025" width="5" style="1" customWidth="1"/>
    <col min="1026" max="1026" width="17.8984375" style="1" bestFit="1" customWidth="1"/>
    <col min="1027" max="1027" width="23.59765625" style="1" customWidth="1"/>
    <col min="1028" max="1028" width="18.19921875" style="1" customWidth="1"/>
    <col min="1029" max="1029" width="5.19921875" style="1" bestFit="1" customWidth="1"/>
    <col min="1030" max="1030" width="9" style="1"/>
    <col min="1031" max="1031" width="11.8984375" style="1" customWidth="1"/>
    <col min="1032" max="1032" width="13.59765625" style="1" customWidth="1"/>
    <col min="1033" max="1033" width="12.69921875" style="1" customWidth="1"/>
    <col min="1034" max="1280" width="9" style="1"/>
    <col min="1281" max="1281" width="5" style="1" customWidth="1"/>
    <col min="1282" max="1282" width="17.8984375" style="1" bestFit="1" customWidth="1"/>
    <col min="1283" max="1283" width="23.59765625" style="1" customWidth="1"/>
    <col min="1284" max="1284" width="18.19921875" style="1" customWidth="1"/>
    <col min="1285" max="1285" width="5.19921875" style="1" bestFit="1" customWidth="1"/>
    <col min="1286" max="1286" width="9" style="1"/>
    <col min="1287" max="1287" width="11.8984375" style="1" customWidth="1"/>
    <col min="1288" max="1288" width="13.59765625" style="1" customWidth="1"/>
    <col min="1289" max="1289" width="12.69921875" style="1" customWidth="1"/>
    <col min="1290" max="1536" width="9" style="1"/>
    <col min="1537" max="1537" width="5" style="1" customWidth="1"/>
    <col min="1538" max="1538" width="17.8984375" style="1" bestFit="1" customWidth="1"/>
    <col min="1539" max="1539" width="23.59765625" style="1" customWidth="1"/>
    <col min="1540" max="1540" width="18.19921875" style="1" customWidth="1"/>
    <col min="1541" max="1541" width="5.19921875" style="1" bestFit="1" customWidth="1"/>
    <col min="1542" max="1542" width="9" style="1"/>
    <col min="1543" max="1543" width="11.8984375" style="1" customWidth="1"/>
    <col min="1544" max="1544" width="13.59765625" style="1" customWidth="1"/>
    <col min="1545" max="1545" width="12.69921875" style="1" customWidth="1"/>
    <col min="1546" max="1792" width="9" style="1"/>
    <col min="1793" max="1793" width="5" style="1" customWidth="1"/>
    <col min="1794" max="1794" width="17.8984375" style="1" bestFit="1" customWidth="1"/>
    <col min="1795" max="1795" width="23.59765625" style="1" customWidth="1"/>
    <col min="1796" max="1796" width="18.19921875" style="1" customWidth="1"/>
    <col min="1797" max="1797" width="5.19921875" style="1" bestFit="1" customWidth="1"/>
    <col min="1798" max="1798" width="9" style="1"/>
    <col min="1799" max="1799" width="11.8984375" style="1" customWidth="1"/>
    <col min="1800" max="1800" width="13.59765625" style="1" customWidth="1"/>
    <col min="1801" max="1801" width="12.69921875" style="1" customWidth="1"/>
    <col min="1802" max="2048" width="9" style="1"/>
    <col min="2049" max="2049" width="5" style="1" customWidth="1"/>
    <col min="2050" max="2050" width="17.8984375" style="1" bestFit="1" customWidth="1"/>
    <col min="2051" max="2051" width="23.59765625" style="1" customWidth="1"/>
    <col min="2052" max="2052" width="18.19921875" style="1" customWidth="1"/>
    <col min="2053" max="2053" width="5.19921875" style="1" bestFit="1" customWidth="1"/>
    <col min="2054" max="2054" width="9" style="1"/>
    <col min="2055" max="2055" width="11.8984375" style="1" customWidth="1"/>
    <col min="2056" max="2056" width="13.59765625" style="1" customWidth="1"/>
    <col min="2057" max="2057" width="12.69921875" style="1" customWidth="1"/>
    <col min="2058" max="2304" width="9" style="1"/>
    <col min="2305" max="2305" width="5" style="1" customWidth="1"/>
    <col min="2306" max="2306" width="17.8984375" style="1" bestFit="1" customWidth="1"/>
    <col min="2307" max="2307" width="23.59765625" style="1" customWidth="1"/>
    <col min="2308" max="2308" width="18.19921875" style="1" customWidth="1"/>
    <col min="2309" max="2309" width="5.19921875" style="1" bestFit="1" customWidth="1"/>
    <col min="2310" max="2310" width="9" style="1"/>
    <col min="2311" max="2311" width="11.8984375" style="1" customWidth="1"/>
    <col min="2312" max="2312" width="13.59765625" style="1" customWidth="1"/>
    <col min="2313" max="2313" width="12.69921875" style="1" customWidth="1"/>
    <col min="2314" max="2560" width="9" style="1"/>
    <col min="2561" max="2561" width="5" style="1" customWidth="1"/>
    <col min="2562" max="2562" width="17.8984375" style="1" bestFit="1" customWidth="1"/>
    <col min="2563" max="2563" width="23.59765625" style="1" customWidth="1"/>
    <col min="2564" max="2564" width="18.19921875" style="1" customWidth="1"/>
    <col min="2565" max="2565" width="5.19921875" style="1" bestFit="1" customWidth="1"/>
    <col min="2566" max="2566" width="9" style="1"/>
    <col min="2567" max="2567" width="11.8984375" style="1" customWidth="1"/>
    <col min="2568" max="2568" width="13.59765625" style="1" customWidth="1"/>
    <col min="2569" max="2569" width="12.69921875" style="1" customWidth="1"/>
    <col min="2570" max="2816" width="9" style="1"/>
    <col min="2817" max="2817" width="5" style="1" customWidth="1"/>
    <col min="2818" max="2818" width="17.8984375" style="1" bestFit="1" customWidth="1"/>
    <col min="2819" max="2819" width="23.59765625" style="1" customWidth="1"/>
    <col min="2820" max="2820" width="18.19921875" style="1" customWidth="1"/>
    <col min="2821" max="2821" width="5.19921875" style="1" bestFit="1" customWidth="1"/>
    <col min="2822" max="2822" width="9" style="1"/>
    <col min="2823" max="2823" width="11.8984375" style="1" customWidth="1"/>
    <col min="2824" max="2824" width="13.59765625" style="1" customWidth="1"/>
    <col min="2825" max="2825" width="12.69921875" style="1" customWidth="1"/>
    <col min="2826" max="3072" width="9" style="1"/>
    <col min="3073" max="3073" width="5" style="1" customWidth="1"/>
    <col min="3074" max="3074" width="17.8984375" style="1" bestFit="1" customWidth="1"/>
    <col min="3075" max="3075" width="23.59765625" style="1" customWidth="1"/>
    <col min="3076" max="3076" width="18.19921875" style="1" customWidth="1"/>
    <col min="3077" max="3077" width="5.19921875" style="1" bestFit="1" customWidth="1"/>
    <col min="3078" max="3078" width="9" style="1"/>
    <col min="3079" max="3079" width="11.8984375" style="1" customWidth="1"/>
    <col min="3080" max="3080" width="13.59765625" style="1" customWidth="1"/>
    <col min="3081" max="3081" width="12.69921875" style="1" customWidth="1"/>
    <col min="3082" max="3328" width="9" style="1"/>
    <col min="3329" max="3329" width="5" style="1" customWidth="1"/>
    <col min="3330" max="3330" width="17.8984375" style="1" bestFit="1" customWidth="1"/>
    <col min="3331" max="3331" width="23.59765625" style="1" customWidth="1"/>
    <col min="3332" max="3332" width="18.19921875" style="1" customWidth="1"/>
    <col min="3333" max="3333" width="5.19921875" style="1" bestFit="1" customWidth="1"/>
    <col min="3334" max="3334" width="9" style="1"/>
    <col min="3335" max="3335" width="11.8984375" style="1" customWidth="1"/>
    <col min="3336" max="3336" width="13.59765625" style="1" customWidth="1"/>
    <col min="3337" max="3337" width="12.69921875" style="1" customWidth="1"/>
    <col min="3338" max="3584" width="9" style="1"/>
    <col min="3585" max="3585" width="5" style="1" customWidth="1"/>
    <col min="3586" max="3586" width="17.8984375" style="1" bestFit="1" customWidth="1"/>
    <col min="3587" max="3587" width="23.59765625" style="1" customWidth="1"/>
    <col min="3588" max="3588" width="18.19921875" style="1" customWidth="1"/>
    <col min="3589" max="3589" width="5.19921875" style="1" bestFit="1" customWidth="1"/>
    <col min="3590" max="3590" width="9" style="1"/>
    <col min="3591" max="3591" width="11.8984375" style="1" customWidth="1"/>
    <col min="3592" max="3592" width="13.59765625" style="1" customWidth="1"/>
    <col min="3593" max="3593" width="12.69921875" style="1" customWidth="1"/>
    <col min="3594" max="3840" width="9" style="1"/>
    <col min="3841" max="3841" width="5" style="1" customWidth="1"/>
    <col min="3842" max="3842" width="17.8984375" style="1" bestFit="1" customWidth="1"/>
    <col min="3843" max="3843" width="23.59765625" style="1" customWidth="1"/>
    <col min="3844" max="3844" width="18.19921875" style="1" customWidth="1"/>
    <col min="3845" max="3845" width="5.19921875" style="1" bestFit="1" customWidth="1"/>
    <col min="3846" max="3846" width="9" style="1"/>
    <col min="3847" max="3847" width="11.8984375" style="1" customWidth="1"/>
    <col min="3848" max="3848" width="13.59765625" style="1" customWidth="1"/>
    <col min="3849" max="3849" width="12.69921875" style="1" customWidth="1"/>
    <col min="3850" max="4096" width="9" style="1"/>
    <col min="4097" max="4097" width="5" style="1" customWidth="1"/>
    <col min="4098" max="4098" width="17.8984375" style="1" bestFit="1" customWidth="1"/>
    <col min="4099" max="4099" width="23.59765625" style="1" customWidth="1"/>
    <col min="4100" max="4100" width="18.19921875" style="1" customWidth="1"/>
    <col min="4101" max="4101" width="5.19921875" style="1" bestFit="1" customWidth="1"/>
    <col min="4102" max="4102" width="9" style="1"/>
    <col min="4103" max="4103" width="11.8984375" style="1" customWidth="1"/>
    <col min="4104" max="4104" width="13.59765625" style="1" customWidth="1"/>
    <col min="4105" max="4105" width="12.69921875" style="1" customWidth="1"/>
    <col min="4106" max="4352" width="9" style="1"/>
    <col min="4353" max="4353" width="5" style="1" customWidth="1"/>
    <col min="4354" max="4354" width="17.8984375" style="1" bestFit="1" customWidth="1"/>
    <col min="4355" max="4355" width="23.59765625" style="1" customWidth="1"/>
    <col min="4356" max="4356" width="18.19921875" style="1" customWidth="1"/>
    <col min="4357" max="4357" width="5.19921875" style="1" bestFit="1" customWidth="1"/>
    <col min="4358" max="4358" width="9" style="1"/>
    <col min="4359" max="4359" width="11.8984375" style="1" customWidth="1"/>
    <col min="4360" max="4360" width="13.59765625" style="1" customWidth="1"/>
    <col min="4361" max="4361" width="12.69921875" style="1" customWidth="1"/>
    <col min="4362" max="4608" width="9" style="1"/>
    <col min="4609" max="4609" width="5" style="1" customWidth="1"/>
    <col min="4610" max="4610" width="17.8984375" style="1" bestFit="1" customWidth="1"/>
    <col min="4611" max="4611" width="23.59765625" style="1" customWidth="1"/>
    <col min="4612" max="4612" width="18.19921875" style="1" customWidth="1"/>
    <col min="4613" max="4613" width="5.19921875" style="1" bestFit="1" customWidth="1"/>
    <col min="4614" max="4614" width="9" style="1"/>
    <col min="4615" max="4615" width="11.8984375" style="1" customWidth="1"/>
    <col min="4616" max="4616" width="13.59765625" style="1" customWidth="1"/>
    <col min="4617" max="4617" width="12.69921875" style="1" customWidth="1"/>
    <col min="4618" max="4864" width="9" style="1"/>
    <col min="4865" max="4865" width="5" style="1" customWidth="1"/>
    <col min="4866" max="4866" width="17.8984375" style="1" bestFit="1" customWidth="1"/>
    <col min="4867" max="4867" width="23.59765625" style="1" customWidth="1"/>
    <col min="4868" max="4868" width="18.19921875" style="1" customWidth="1"/>
    <col min="4869" max="4869" width="5.19921875" style="1" bestFit="1" customWidth="1"/>
    <col min="4870" max="4870" width="9" style="1"/>
    <col min="4871" max="4871" width="11.8984375" style="1" customWidth="1"/>
    <col min="4872" max="4872" width="13.59765625" style="1" customWidth="1"/>
    <col min="4873" max="4873" width="12.69921875" style="1" customWidth="1"/>
    <col min="4874" max="5120" width="9" style="1"/>
    <col min="5121" max="5121" width="5" style="1" customWidth="1"/>
    <col min="5122" max="5122" width="17.8984375" style="1" bestFit="1" customWidth="1"/>
    <col min="5123" max="5123" width="23.59765625" style="1" customWidth="1"/>
    <col min="5124" max="5124" width="18.19921875" style="1" customWidth="1"/>
    <col min="5125" max="5125" width="5.19921875" style="1" bestFit="1" customWidth="1"/>
    <col min="5126" max="5126" width="9" style="1"/>
    <col min="5127" max="5127" width="11.8984375" style="1" customWidth="1"/>
    <col min="5128" max="5128" width="13.59765625" style="1" customWidth="1"/>
    <col min="5129" max="5129" width="12.69921875" style="1" customWidth="1"/>
    <col min="5130" max="5376" width="9" style="1"/>
    <col min="5377" max="5377" width="5" style="1" customWidth="1"/>
    <col min="5378" max="5378" width="17.8984375" style="1" bestFit="1" customWidth="1"/>
    <col min="5379" max="5379" width="23.59765625" style="1" customWidth="1"/>
    <col min="5380" max="5380" width="18.19921875" style="1" customWidth="1"/>
    <col min="5381" max="5381" width="5.19921875" style="1" bestFit="1" customWidth="1"/>
    <col min="5382" max="5382" width="9" style="1"/>
    <col min="5383" max="5383" width="11.8984375" style="1" customWidth="1"/>
    <col min="5384" max="5384" width="13.59765625" style="1" customWidth="1"/>
    <col min="5385" max="5385" width="12.69921875" style="1" customWidth="1"/>
    <col min="5386" max="5632" width="9" style="1"/>
    <col min="5633" max="5633" width="5" style="1" customWidth="1"/>
    <col min="5634" max="5634" width="17.8984375" style="1" bestFit="1" customWidth="1"/>
    <col min="5635" max="5635" width="23.59765625" style="1" customWidth="1"/>
    <col min="5636" max="5636" width="18.19921875" style="1" customWidth="1"/>
    <col min="5637" max="5637" width="5.19921875" style="1" bestFit="1" customWidth="1"/>
    <col min="5638" max="5638" width="9" style="1"/>
    <col min="5639" max="5639" width="11.8984375" style="1" customWidth="1"/>
    <col min="5640" max="5640" width="13.59765625" style="1" customWidth="1"/>
    <col min="5641" max="5641" width="12.69921875" style="1" customWidth="1"/>
    <col min="5642" max="5888" width="9" style="1"/>
    <col min="5889" max="5889" width="5" style="1" customWidth="1"/>
    <col min="5890" max="5890" width="17.8984375" style="1" bestFit="1" customWidth="1"/>
    <col min="5891" max="5891" width="23.59765625" style="1" customWidth="1"/>
    <col min="5892" max="5892" width="18.19921875" style="1" customWidth="1"/>
    <col min="5893" max="5893" width="5.19921875" style="1" bestFit="1" customWidth="1"/>
    <col min="5894" max="5894" width="9" style="1"/>
    <col min="5895" max="5895" width="11.8984375" style="1" customWidth="1"/>
    <col min="5896" max="5896" width="13.59765625" style="1" customWidth="1"/>
    <col min="5897" max="5897" width="12.69921875" style="1" customWidth="1"/>
    <col min="5898" max="6144" width="9" style="1"/>
    <col min="6145" max="6145" width="5" style="1" customWidth="1"/>
    <col min="6146" max="6146" width="17.8984375" style="1" bestFit="1" customWidth="1"/>
    <col min="6147" max="6147" width="23.59765625" style="1" customWidth="1"/>
    <col min="6148" max="6148" width="18.19921875" style="1" customWidth="1"/>
    <col min="6149" max="6149" width="5.19921875" style="1" bestFit="1" customWidth="1"/>
    <col min="6150" max="6150" width="9" style="1"/>
    <col min="6151" max="6151" width="11.8984375" style="1" customWidth="1"/>
    <col min="6152" max="6152" width="13.59765625" style="1" customWidth="1"/>
    <col min="6153" max="6153" width="12.69921875" style="1" customWidth="1"/>
    <col min="6154" max="6400" width="9" style="1"/>
    <col min="6401" max="6401" width="5" style="1" customWidth="1"/>
    <col min="6402" max="6402" width="17.8984375" style="1" bestFit="1" customWidth="1"/>
    <col min="6403" max="6403" width="23.59765625" style="1" customWidth="1"/>
    <col min="6404" max="6404" width="18.19921875" style="1" customWidth="1"/>
    <col min="6405" max="6405" width="5.19921875" style="1" bestFit="1" customWidth="1"/>
    <col min="6406" max="6406" width="9" style="1"/>
    <col min="6407" max="6407" width="11.8984375" style="1" customWidth="1"/>
    <col min="6408" max="6408" width="13.59765625" style="1" customWidth="1"/>
    <col min="6409" max="6409" width="12.69921875" style="1" customWidth="1"/>
    <col min="6410" max="6656" width="9" style="1"/>
    <col min="6657" max="6657" width="5" style="1" customWidth="1"/>
    <col min="6658" max="6658" width="17.8984375" style="1" bestFit="1" customWidth="1"/>
    <col min="6659" max="6659" width="23.59765625" style="1" customWidth="1"/>
    <col min="6660" max="6660" width="18.19921875" style="1" customWidth="1"/>
    <col min="6661" max="6661" width="5.19921875" style="1" bestFit="1" customWidth="1"/>
    <col min="6662" max="6662" width="9" style="1"/>
    <col min="6663" max="6663" width="11.8984375" style="1" customWidth="1"/>
    <col min="6664" max="6664" width="13.59765625" style="1" customWidth="1"/>
    <col min="6665" max="6665" width="12.69921875" style="1" customWidth="1"/>
    <col min="6666" max="6912" width="9" style="1"/>
    <col min="6913" max="6913" width="5" style="1" customWidth="1"/>
    <col min="6914" max="6914" width="17.8984375" style="1" bestFit="1" customWidth="1"/>
    <col min="6915" max="6915" width="23.59765625" style="1" customWidth="1"/>
    <col min="6916" max="6916" width="18.19921875" style="1" customWidth="1"/>
    <col min="6917" max="6917" width="5.19921875" style="1" bestFit="1" customWidth="1"/>
    <col min="6918" max="6918" width="9" style="1"/>
    <col min="6919" max="6919" width="11.8984375" style="1" customWidth="1"/>
    <col min="6920" max="6920" width="13.59765625" style="1" customWidth="1"/>
    <col min="6921" max="6921" width="12.69921875" style="1" customWidth="1"/>
    <col min="6922" max="7168" width="9" style="1"/>
    <col min="7169" max="7169" width="5" style="1" customWidth="1"/>
    <col min="7170" max="7170" width="17.8984375" style="1" bestFit="1" customWidth="1"/>
    <col min="7171" max="7171" width="23.59765625" style="1" customWidth="1"/>
    <col min="7172" max="7172" width="18.19921875" style="1" customWidth="1"/>
    <col min="7173" max="7173" width="5.19921875" style="1" bestFit="1" customWidth="1"/>
    <col min="7174" max="7174" width="9" style="1"/>
    <col min="7175" max="7175" width="11.8984375" style="1" customWidth="1"/>
    <col min="7176" max="7176" width="13.59765625" style="1" customWidth="1"/>
    <col min="7177" max="7177" width="12.69921875" style="1" customWidth="1"/>
    <col min="7178" max="7424" width="9" style="1"/>
    <col min="7425" max="7425" width="5" style="1" customWidth="1"/>
    <col min="7426" max="7426" width="17.8984375" style="1" bestFit="1" customWidth="1"/>
    <col min="7427" max="7427" width="23.59765625" style="1" customWidth="1"/>
    <col min="7428" max="7428" width="18.19921875" style="1" customWidth="1"/>
    <col min="7429" max="7429" width="5.19921875" style="1" bestFit="1" customWidth="1"/>
    <col min="7430" max="7430" width="9" style="1"/>
    <col min="7431" max="7431" width="11.8984375" style="1" customWidth="1"/>
    <col min="7432" max="7432" width="13.59765625" style="1" customWidth="1"/>
    <col min="7433" max="7433" width="12.69921875" style="1" customWidth="1"/>
    <col min="7434" max="7680" width="9" style="1"/>
    <col min="7681" max="7681" width="5" style="1" customWidth="1"/>
    <col min="7682" max="7682" width="17.8984375" style="1" bestFit="1" customWidth="1"/>
    <col min="7683" max="7683" width="23.59765625" style="1" customWidth="1"/>
    <col min="7684" max="7684" width="18.19921875" style="1" customWidth="1"/>
    <col min="7685" max="7685" width="5.19921875" style="1" bestFit="1" customWidth="1"/>
    <col min="7686" max="7686" width="9" style="1"/>
    <col min="7687" max="7687" width="11.8984375" style="1" customWidth="1"/>
    <col min="7688" max="7688" width="13.59765625" style="1" customWidth="1"/>
    <col min="7689" max="7689" width="12.69921875" style="1" customWidth="1"/>
    <col min="7690" max="7936" width="9" style="1"/>
    <col min="7937" max="7937" width="5" style="1" customWidth="1"/>
    <col min="7938" max="7938" width="17.8984375" style="1" bestFit="1" customWidth="1"/>
    <col min="7939" max="7939" width="23.59765625" style="1" customWidth="1"/>
    <col min="7940" max="7940" width="18.19921875" style="1" customWidth="1"/>
    <col min="7941" max="7941" width="5.19921875" style="1" bestFit="1" customWidth="1"/>
    <col min="7942" max="7942" width="9" style="1"/>
    <col min="7943" max="7943" width="11.8984375" style="1" customWidth="1"/>
    <col min="7944" max="7944" width="13.59765625" style="1" customWidth="1"/>
    <col min="7945" max="7945" width="12.69921875" style="1" customWidth="1"/>
    <col min="7946" max="8192" width="9" style="1"/>
    <col min="8193" max="8193" width="5" style="1" customWidth="1"/>
    <col min="8194" max="8194" width="17.8984375" style="1" bestFit="1" customWidth="1"/>
    <col min="8195" max="8195" width="23.59765625" style="1" customWidth="1"/>
    <col min="8196" max="8196" width="18.19921875" style="1" customWidth="1"/>
    <col min="8197" max="8197" width="5.19921875" style="1" bestFit="1" customWidth="1"/>
    <col min="8198" max="8198" width="9" style="1"/>
    <col min="8199" max="8199" width="11.8984375" style="1" customWidth="1"/>
    <col min="8200" max="8200" width="13.59765625" style="1" customWidth="1"/>
    <col min="8201" max="8201" width="12.69921875" style="1" customWidth="1"/>
    <col min="8202" max="8448" width="9" style="1"/>
    <col min="8449" max="8449" width="5" style="1" customWidth="1"/>
    <col min="8450" max="8450" width="17.8984375" style="1" bestFit="1" customWidth="1"/>
    <col min="8451" max="8451" width="23.59765625" style="1" customWidth="1"/>
    <col min="8452" max="8452" width="18.19921875" style="1" customWidth="1"/>
    <col min="8453" max="8453" width="5.19921875" style="1" bestFit="1" customWidth="1"/>
    <col min="8454" max="8454" width="9" style="1"/>
    <col min="8455" max="8455" width="11.8984375" style="1" customWidth="1"/>
    <col min="8456" max="8456" width="13.59765625" style="1" customWidth="1"/>
    <col min="8457" max="8457" width="12.69921875" style="1" customWidth="1"/>
    <col min="8458" max="8704" width="9" style="1"/>
    <col min="8705" max="8705" width="5" style="1" customWidth="1"/>
    <col min="8706" max="8706" width="17.8984375" style="1" bestFit="1" customWidth="1"/>
    <col min="8707" max="8707" width="23.59765625" style="1" customWidth="1"/>
    <col min="8708" max="8708" width="18.19921875" style="1" customWidth="1"/>
    <col min="8709" max="8709" width="5.19921875" style="1" bestFit="1" customWidth="1"/>
    <col min="8710" max="8710" width="9" style="1"/>
    <col min="8711" max="8711" width="11.8984375" style="1" customWidth="1"/>
    <col min="8712" max="8712" width="13.59765625" style="1" customWidth="1"/>
    <col min="8713" max="8713" width="12.69921875" style="1" customWidth="1"/>
    <col min="8714" max="8960" width="9" style="1"/>
    <col min="8961" max="8961" width="5" style="1" customWidth="1"/>
    <col min="8962" max="8962" width="17.8984375" style="1" bestFit="1" customWidth="1"/>
    <col min="8963" max="8963" width="23.59765625" style="1" customWidth="1"/>
    <col min="8964" max="8964" width="18.19921875" style="1" customWidth="1"/>
    <col min="8965" max="8965" width="5.19921875" style="1" bestFit="1" customWidth="1"/>
    <col min="8966" max="8966" width="9" style="1"/>
    <col min="8967" max="8967" width="11.8984375" style="1" customWidth="1"/>
    <col min="8968" max="8968" width="13.59765625" style="1" customWidth="1"/>
    <col min="8969" max="8969" width="12.69921875" style="1" customWidth="1"/>
    <col min="8970" max="9216" width="9" style="1"/>
    <col min="9217" max="9217" width="5" style="1" customWidth="1"/>
    <col min="9218" max="9218" width="17.8984375" style="1" bestFit="1" customWidth="1"/>
    <col min="9219" max="9219" width="23.59765625" style="1" customWidth="1"/>
    <col min="9220" max="9220" width="18.19921875" style="1" customWidth="1"/>
    <col min="9221" max="9221" width="5.19921875" style="1" bestFit="1" customWidth="1"/>
    <col min="9222" max="9222" width="9" style="1"/>
    <col min="9223" max="9223" width="11.8984375" style="1" customWidth="1"/>
    <col min="9224" max="9224" width="13.59765625" style="1" customWidth="1"/>
    <col min="9225" max="9225" width="12.69921875" style="1" customWidth="1"/>
    <col min="9226" max="9472" width="9" style="1"/>
    <col min="9473" max="9473" width="5" style="1" customWidth="1"/>
    <col min="9474" max="9474" width="17.8984375" style="1" bestFit="1" customWidth="1"/>
    <col min="9475" max="9475" width="23.59765625" style="1" customWidth="1"/>
    <col min="9476" max="9476" width="18.19921875" style="1" customWidth="1"/>
    <col min="9477" max="9477" width="5.19921875" style="1" bestFit="1" customWidth="1"/>
    <col min="9478" max="9478" width="9" style="1"/>
    <col min="9479" max="9479" width="11.8984375" style="1" customWidth="1"/>
    <col min="9480" max="9480" width="13.59765625" style="1" customWidth="1"/>
    <col min="9481" max="9481" width="12.69921875" style="1" customWidth="1"/>
    <col min="9482" max="9728" width="9" style="1"/>
    <col min="9729" max="9729" width="5" style="1" customWidth="1"/>
    <col min="9730" max="9730" width="17.8984375" style="1" bestFit="1" customWidth="1"/>
    <col min="9731" max="9731" width="23.59765625" style="1" customWidth="1"/>
    <col min="9732" max="9732" width="18.19921875" style="1" customWidth="1"/>
    <col min="9733" max="9733" width="5.19921875" style="1" bestFit="1" customWidth="1"/>
    <col min="9734" max="9734" width="9" style="1"/>
    <col min="9735" max="9735" width="11.8984375" style="1" customWidth="1"/>
    <col min="9736" max="9736" width="13.59765625" style="1" customWidth="1"/>
    <col min="9737" max="9737" width="12.69921875" style="1" customWidth="1"/>
    <col min="9738" max="9984" width="9" style="1"/>
    <col min="9985" max="9985" width="5" style="1" customWidth="1"/>
    <col min="9986" max="9986" width="17.8984375" style="1" bestFit="1" customWidth="1"/>
    <col min="9987" max="9987" width="23.59765625" style="1" customWidth="1"/>
    <col min="9988" max="9988" width="18.19921875" style="1" customWidth="1"/>
    <col min="9989" max="9989" width="5.19921875" style="1" bestFit="1" customWidth="1"/>
    <col min="9990" max="9990" width="9" style="1"/>
    <col min="9991" max="9991" width="11.8984375" style="1" customWidth="1"/>
    <col min="9992" max="9992" width="13.59765625" style="1" customWidth="1"/>
    <col min="9993" max="9993" width="12.69921875" style="1" customWidth="1"/>
    <col min="9994" max="10240" width="9" style="1"/>
    <col min="10241" max="10241" width="5" style="1" customWidth="1"/>
    <col min="10242" max="10242" width="17.8984375" style="1" bestFit="1" customWidth="1"/>
    <col min="10243" max="10243" width="23.59765625" style="1" customWidth="1"/>
    <col min="10244" max="10244" width="18.19921875" style="1" customWidth="1"/>
    <col min="10245" max="10245" width="5.19921875" style="1" bestFit="1" customWidth="1"/>
    <col min="10246" max="10246" width="9" style="1"/>
    <col min="10247" max="10247" width="11.8984375" style="1" customWidth="1"/>
    <col min="10248" max="10248" width="13.59765625" style="1" customWidth="1"/>
    <col min="10249" max="10249" width="12.69921875" style="1" customWidth="1"/>
    <col min="10250" max="10496" width="9" style="1"/>
    <col min="10497" max="10497" width="5" style="1" customWidth="1"/>
    <col min="10498" max="10498" width="17.8984375" style="1" bestFit="1" customWidth="1"/>
    <col min="10499" max="10499" width="23.59765625" style="1" customWidth="1"/>
    <col min="10500" max="10500" width="18.19921875" style="1" customWidth="1"/>
    <col min="10501" max="10501" width="5.19921875" style="1" bestFit="1" customWidth="1"/>
    <col min="10502" max="10502" width="9" style="1"/>
    <col min="10503" max="10503" width="11.8984375" style="1" customWidth="1"/>
    <col min="10504" max="10504" width="13.59765625" style="1" customWidth="1"/>
    <col min="10505" max="10505" width="12.69921875" style="1" customWidth="1"/>
    <col min="10506" max="10752" width="9" style="1"/>
    <col min="10753" max="10753" width="5" style="1" customWidth="1"/>
    <col min="10754" max="10754" width="17.8984375" style="1" bestFit="1" customWidth="1"/>
    <col min="10755" max="10755" width="23.59765625" style="1" customWidth="1"/>
    <col min="10756" max="10756" width="18.19921875" style="1" customWidth="1"/>
    <col min="10757" max="10757" width="5.19921875" style="1" bestFit="1" customWidth="1"/>
    <col min="10758" max="10758" width="9" style="1"/>
    <col min="10759" max="10759" width="11.8984375" style="1" customWidth="1"/>
    <col min="10760" max="10760" width="13.59765625" style="1" customWidth="1"/>
    <col min="10761" max="10761" width="12.69921875" style="1" customWidth="1"/>
    <col min="10762" max="11008" width="9" style="1"/>
    <col min="11009" max="11009" width="5" style="1" customWidth="1"/>
    <col min="11010" max="11010" width="17.8984375" style="1" bestFit="1" customWidth="1"/>
    <col min="11011" max="11011" width="23.59765625" style="1" customWidth="1"/>
    <col min="11012" max="11012" width="18.19921875" style="1" customWidth="1"/>
    <col min="11013" max="11013" width="5.19921875" style="1" bestFit="1" customWidth="1"/>
    <col min="11014" max="11014" width="9" style="1"/>
    <col min="11015" max="11015" width="11.8984375" style="1" customWidth="1"/>
    <col min="11016" max="11016" width="13.59765625" style="1" customWidth="1"/>
    <col min="11017" max="11017" width="12.69921875" style="1" customWidth="1"/>
    <col min="11018" max="11264" width="9" style="1"/>
    <col min="11265" max="11265" width="5" style="1" customWidth="1"/>
    <col min="11266" max="11266" width="17.8984375" style="1" bestFit="1" customWidth="1"/>
    <col min="11267" max="11267" width="23.59765625" style="1" customWidth="1"/>
    <col min="11268" max="11268" width="18.19921875" style="1" customWidth="1"/>
    <col min="11269" max="11269" width="5.19921875" style="1" bestFit="1" customWidth="1"/>
    <col min="11270" max="11270" width="9" style="1"/>
    <col min="11271" max="11271" width="11.8984375" style="1" customWidth="1"/>
    <col min="11272" max="11272" width="13.59765625" style="1" customWidth="1"/>
    <col min="11273" max="11273" width="12.69921875" style="1" customWidth="1"/>
    <col min="11274" max="11520" width="9" style="1"/>
    <col min="11521" max="11521" width="5" style="1" customWidth="1"/>
    <col min="11522" max="11522" width="17.8984375" style="1" bestFit="1" customWidth="1"/>
    <col min="11523" max="11523" width="23.59765625" style="1" customWidth="1"/>
    <col min="11524" max="11524" width="18.19921875" style="1" customWidth="1"/>
    <col min="11525" max="11525" width="5.19921875" style="1" bestFit="1" customWidth="1"/>
    <col min="11526" max="11526" width="9" style="1"/>
    <col min="11527" max="11527" width="11.8984375" style="1" customWidth="1"/>
    <col min="11528" max="11528" width="13.59765625" style="1" customWidth="1"/>
    <col min="11529" max="11529" width="12.69921875" style="1" customWidth="1"/>
    <col min="11530" max="11776" width="9" style="1"/>
    <col min="11777" max="11777" width="5" style="1" customWidth="1"/>
    <col min="11778" max="11778" width="17.8984375" style="1" bestFit="1" customWidth="1"/>
    <col min="11779" max="11779" width="23.59765625" style="1" customWidth="1"/>
    <col min="11780" max="11780" width="18.19921875" style="1" customWidth="1"/>
    <col min="11781" max="11781" width="5.19921875" style="1" bestFit="1" customWidth="1"/>
    <col min="11782" max="11782" width="9" style="1"/>
    <col min="11783" max="11783" width="11.8984375" style="1" customWidth="1"/>
    <col min="11784" max="11784" width="13.59765625" style="1" customWidth="1"/>
    <col min="11785" max="11785" width="12.69921875" style="1" customWidth="1"/>
    <col min="11786" max="12032" width="9" style="1"/>
    <col min="12033" max="12033" width="5" style="1" customWidth="1"/>
    <col min="12034" max="12034" width="17.8984375" style="1" bestFit="1" customWidth="1"/>
    <col min="12035" max="12035" width="23.59765625" style="1" customWidth="1"/>
    <col min="12036" max="12036" width="18.19921875" style="1" customWidth="1"/>
    <col min="12037" max="12037" width="5.19921875" style="1" bestFit="1" customWidth="1"/>
    <col min="12038" max="12038" width="9" style="1"/>
    <col min="12039" max="12039" width="11.8984375" style="1" customWidth="1"/>
    <col min="12040" max="12040" width="13.59765625" style="1" customWidth="1"/>
    <col min="12041" max="12041" width="12.69921875" style="1" customWidth="1"/>
    <col min="12042" max="12288" width="9" style="1"/>
    <col min="12289" max="12289" width="5" style="1" customWidth="1"/>
    <col min="12290" max="12290" width="17.8984375" style="1" bestFit="1" customWidth="1"/>
    <col min="12291" max="12291" width="23.59765625" style="1" customWidth="1"/>
    <col min="12292" max="12292" width="18.19921875" style="1" customWidth="1"/>
    <col min="12293" max="12293" width="5.19921875" style="1" bestFit="1" customWidth="1"/>
    <col min="12294" max="12294" width="9" style="1"/>
    <col min="12295" max="12295" width="11.8984375" style="1" customWidth="1"/>
    <col min="12296" max="12296" width="13.59765625" style="1" customWidth="1"/>
    <col min="12297" max="12297" width="12.69921875" style="1" customWidth="1"/>
    <col min="12298" max="12544" width="9" style="1"/>
    <col min="12545" max="12545" width="5" style="1" customWidth="1"/>
    <col min="12546" max="12546" width="17.8984375" style="1" bestFit="1" customWidth="1"/>
    <col min="12547" max="12547" width="23.59765625" style="1" customWidth="1"/>
    <col min="12548" max="12548" width="18.19921875" style="1" customWidth="1"/>
    <col min="12549" max="12549" width="5.19921875" style="1" bestFit="1" customWidth="1"/>
    <col min="12550" max="12550" width="9" style="1"/>
    <col min="12551" max="12551" width="11.8984375" style="1" customWidth="1"/>
    <col min="12552" max="12552" width="13.59765625" style="1" customWidth="1"/>
    <col min="12553" max="12553" width="12.69921875" style="1" customWidth="1"/>
    <col min="12554" max="12800" width="9" style="1"/>
    <col min="12801" max="12801" width="5" style="1" customWidth="1"/>
    <col min="12802" max="12802" width="17.8984375" style="1" bestFit="1" customWidth="1"/>
    <col min="12803" max="12803" width="23.59765625" style="1" customWidth="1"/>
    <col min="12804" max="12804" width="18.19921875" style="1" customWidth="1"/>
    <col min="12805" max="12805" width="5.19921875" style="1" bestFit="1" customWidth="1"/>
    <col min="12806" max="12806" width="9" style="1"/>
    <col min="12807" max="12807" width="11.8984375" style="1" customWidth="1"/>
    <col min="12808" max="12808" width="13.59765625" style="1" customWidth="1"/>
    <col min="12809" max="12809" width="12.69921875" style="1" customWidth="1"/>
    <col min="12810" max="13056" width="9" style="1"/>
    <col min="13057" max="13057" width="5" style="1" customWidth="1"/>
    <col min="13058" max="13058" width="17.8984375" style="1" bestFit="1" customWidth="1"/>
    <col min="13059" max="13059" width="23.59765625" style="1" customWidth="1"/>
    <col min="13060" max="13060" width="18.19921875" style="1" customWidth="1"/>
    <col min="13061" max="13061" width="5.19921875" style="1" bestFit="1" customWidth="1"/>
    <col min="13062" max="13062" width="9" style="1"/>
    <col min="13063" max="13063" width="11.8984375" style="1" customWidth="1"/>
    <col min="13064" max="13064" width="13.59765625" style="1" customWidth="1"/>
    <col min="13065" max="13065" width="12.69921875" style="1" customWidth="1"/>
    <col min="13066" max="13312" width="9" style="1"/>
    <col min="13313" max="13313" width="5" style="1" customWidth="1"/>
    <col min="13314" max="13314" width="17.8984375" style="1" bestFit="1" customWidth="1"/>
    <col min="13315" max="13315" width="23.59765625" style="1" customWidth="1"/>
    <col min="13316" max="13316" width="18.19921875" style="1" customWidth="1"/>
    <col min="13317" max="13317" width="5.19921875" style="1" bestFit="1" customWidth="1"/>
    <col min="13318" max="13318" width="9" style="1"/>
    <col min="13319" max="13319" width="11.8984375" style="1" customWidth="1"/>
    <col min="13320" max="13320" width="13.59765625" style="1" customWidth="1"/>
    <col min="13321" max="13321" width="12.69921875" style="1" customWidth="1"/>
    <col min="13322" max="13568" width="9" style="1"/>
    <col min="13569" max="13569" width="5" style="1" customWidth="1"/>
    <col min="13570" max="13570" width="17.8984375" style="1" bestFit="1" customWidth="1"/>
    <col min="13571" max="13571" width="23.59765625" style="1" customWidth="1"/>
    <col min="13572" max="13572" width="18.19921875" style="1" customWidth="1"/>
    <col min="13573" max="13573" width="5.19921875" style="1" bestFit="1" customWidth="1"/>
    <col min="13574" max="13574" width="9" style="1"/>
    <col min="13575" max="13575" width="11.8984375" style="1" customWidth="1"/>
    <col min="13576" max="13576" width="13.59765625" style="1" customWidth="1"/>
    <col min="13577" max="13577" width="12.69921875" style="1" customWidth="1"/>
    <col min="13578" max="13824" width="9" style="1"/>
    <col min="13825" max="13825" width="5" style="1" customWidth="1"/>
    <col min="13826" max="13826" width="17.8984375" style="1" bestFit="1" customWidth="1"/>
    <col min="13827" max="13827" width="23.59765625" style="1" customWidth="1"/>
    <col min="13828" max="13828" width="18.19921875" style="1" customWidth="1"/>
    <col min="13829" max="13829" width="5.19921875" style="1" bestFit="1" customWidth="1"/>
    <col min="13830" max="13830" width="9" style="1"/>
    <col min="13831" max="13831" width="11.8984375" style="1" customWidth="1"/>
    <col min="13832" max="13832" width="13.59765625" style="1" customWidth="1"/>
    <col min="13833" max="13833" width="12.69921875" style="1" customWidth="1"/>
    <col min="13834" max="14080" width="9" style="1"/>
    <col min="14081" max="14081" width="5" style="1" customWidth="1"/>
    <col min="14082" max="14082" width="17.8984375" style="1" bestFit="1" customWidth="1"/>
    <col min="14083" max="14083" width="23.59765625" style="1" customWidth="1"/>
    <col min="14084" max="14084" width="18.19921875" style="1" customWidth="1"/>
    <col min="14085" max="14085" width="5.19921875" style="1" bestFit="1" customWidth="1"/>
    <col min="14086" max="14086" width="9" style="1"/>
    <col min="14087" max="14087" width="11.8984375" style="1" customWidth="1"/>
    <col min="14088" max="14088" width="13.59765625" style="1" customWidth="1"/>
    <col min="14089" max="14089" width="12.69921875" style="1" customWidth="1"/>
    <col min="14090" max="14336" width="9" style="1"/>
    <col min="14337" max="14337" width="5" style="1" customWidth="1"/>
    <col min="14338" max="14338" width="17.8984375" style="1" bestFit="1" customWidth="1"/>
    <col min="14339" max="14339" width="23.59765625" style="1" customWidth="1"/>
    <col min="14340" max="14340" width="18.19921875" style="1" customWidth="1"/>
    <col min="14341" max="14341" width="5.19921875" style="1" bestFit="1" customWidth="1"/>
    <col min="14342" max="14342" width="9" style="1"/>
    <col min="14343" max="14343" width="11.8984375" style="1" customWidth="1"/>
    <col min="14344" max="14344" width="13.59765625" style="1" customWidth="1"/>
    <col min="14345" max="14345" width="12.69921875" style="1" customWidth="1"/>
    <col min="14346" max="14592" width="9" style="1"/>
    <col min="14593" max="14593" width="5" style="1" customWidth="1"/>
    <col min="14594" max="14594" width="17.8984375" style="1" bestFit="1" customWidth="1"/>
    <col min="14595" max="14595" width="23.59765625" style="1" customWidth="1"/>
    <col min="14596" max="14596" width="18.19921875" style="1" customWidth="1"/>
    <col min="14597" max="14597" width="5.19921875" style="1" bestFit="1" customWidth="1"/>
    <col min="14598" max="14598" width="9" style="1"/>
    <col min="14599" max="14599" width="11.8984375" style="1" customWidth="1"/>
    <col min="14600" max="14600" width="13.59765625" style="1" customWidth="1"/>
    <col min="14601" max="14601" width="12.69921875" style="1" customWidth="1"/>
    <col min="14602" max="14848" width="9" style="1"/>
    <col min="14849" max="14849" width="5" style="1" customWidth="1"/>
    <col min="14850" max="14850" width="17.8984375" style="1" bestFit="1" customWidth="1"/>
    <col min="14851" max="14851" width="23.59765625" style="1" customWidth="1"/>
    <col min="14852" max="14852" width="18.19921875" style="1" customWidth="1"/>
    <col min="14853" max="14853" width="5.19921875" style="1" bestFit="1" customWidth="1"/>
    <col min="14854" max="14854" width="9" style="1"/>
    <col min="14855" max="14855" width="11.8984375" style="1" customWidth="1"/>
    <col min="14856" max="14856" width="13.59765625" style="1" customWidth="1"/>
    <col min="14857" max="14857" width="12.69921875" style="1" customWidth="1"/>
    <col min="14858" max="15104" width="9" style="1"/>
    <col min="15105" max="15105" width="5" style="1" customWidth="1"/>
    <col min="15106" max="15106" width="17.8984375" style="1" bestFit="1" customWidth="1"/>
    <col min="15107" max="15107" width="23.59765625" style="1" customWidth="1"/>
    <col min="15108" max="15108" width="18.19921875" style="1" customWidth="1"/>
    <col min="15109" max="15109" width="5.19921875" style="1" bestFit="1" customWidth="1"/>
    <col min="15110" max="15110" width="9" style="1"/>
    <col min="15111" max="15111" width="11.8984375" style="1" customWidth="1"/>
    <col min="15112" max="15112" width="13.59765625" style="1" customWidth="1"/>
    <col min="15113" max="15113" width="12.69921875" style="1" customWidth="1"/>
    <col min="15114" max="15360" width="9" style="1"/>
    <col min="15361" max="15361" width="5" style="1" customWidth="1"/>
    <col min="15362" max="15362" width="17.8984375" style="1" bestFit="1" customWidth="1"/>
    <col min="15363" max="15363" width="23.59765625" style="1" customWidth="1"/>
    <col min="15364" max="15364" width="18.19921875" style="1" customWidth="1"/>
    <col min="15365" max="15365" width="5.19921875" style="1" bestFit="1" customWidth="1"/>
    <col min="15366" max="15366" width="9" style="1"/>
    <col min="15367" max="15367" width="11.8984375" style="1" customWidth="1"/>
    <col min="15368" max="15368" width="13.59765625" style="1" customWidth="1"/>
    <col min="15369" max="15369" width="12.69921875" style="1" customWidth="1"/>
    <col min="15370" max="15616" width="9" style="1"/>
    <col min="15617" max="15617" width="5" style="1" customWidth="1"/>
    <col min="15618" max="15618" width="17.8984375" style="1" bestFit="1" customWidth="1"/>
    <col min="15619" max="15619" width="23.59765625" style="1" customWidth="1"/>
    <col min="15620" max="15620" width="18.19921875" style="1" customWidth="1"/>
    <col min="15621" max="15621" width="5.19921875" style="1" bestFit="1" customWidth="1"/>
    <col min="15622" max="15622" width="9" style="1"/>
    <col min="15623" max="15623" width="11.8984375" style="1" customWidth="1"/>
    <col min="15624" max="15624" width="13.59765625" style="1" customWidth="1"/>
    <col min="15625" max="15625" width="12.69921875" style="1" customWidth="1"/>
    <col min="15626" max="15872" width="9" style="1"/>
    <col min="15873" max="15873" width="5" style="1" customWidth="1"/>
    <col min="15874" max="15874" width="17.8984375" style="1" bestFit="1" customWidth="1"/>
    <col min="15875" max="15875" width="23.59765625" style="1" customWidth="1"/>
    <col min="15876" max="15876" width="18.19921875" style="1" customWidth="1"/>
    <col min="15877" max="15877" width="5.19921875" style="1" bestFit="1" customWidth="1"/>
    <col min="15878" max="15878" width="9" style="1"/>
    <col min="15879" max="15879" width="11.8984375" style="1" customWidth="1"/>
    <col min="15880" max="15880" width="13.59765625" style="1" customWidth="1"/>
    <col min="15881" max="15881" width="12.69921875" style="1" customWidth="1"/>
    <col min="15882" max="16128" width="9" style="1"/>
    <col min="16129" max="16129" width="5" style="1" customWidth="1"/>
    <col min="16130" max="16130" width="17.8984375" style="1" bestFit="1" customWidth="1"/>
    <col min="16131" max="16131" width="23.59765625" style="1" customWidth="1"/>
    <col min="16132" max="16132" width="18.19921875" style="1" customWidth="1"/>
    <col min="16133" max="16133" width="5.19921875" style="1" bestFit="1" customWidth="1"/>
    <col min="16134" max="16134" width="9" style="1"/>
    <col min="16135" max="16135" width="11.8984375" style="1" customWidth="1"/>
    <col min="16136" max="16136" width="13.59765625" style="1" customWidth="1"/>
    <col min="16137" max="16137" width="12.69921875" style="1" customWidth="1"/>
    <col min="16138" max="16384" width="9" style="1"/>
  </cols>
  <sheetData>
    <row r="1" spans="1:9" ht="22.5" customHeight="1">
      <c r="B1" s="202" t="s">
        <v>161</v>
      </c>
      <c r="C1" s="285" t="s">
        <v>549</v>
      </c>
      <c r="F1" s="333"/>
      <c r="I1" s="1" t="s">
        <v>128</v>
      </c>
    </row>
    <row r="2" spans="1:9" s="26" customFormat="1" ht="16.5" customHeight="1">
      <c r="A2" s="384" t="s">
        <v>129</v>
      </c>
      <c r="B2" s="386"/>
      <c r="C2" s="131" t="s">
        <v>130</v>
      </c>
      <c r="D2" s="126" t="s">
        <v>131</v>
      </c>
      <c r="E2" s="126" t="s">
        <v>48</v>
      </c>
      <c r="F2" s="268" t="s">
        <v>49</v>
      </c>
      <c r="G2" s="268" t="s">
        <v>132</v>
      </c>
      <c r="H2" s="268" t="s">
        <v>133</v>
      </c>
      <c r="I2" s="126" t="s">
        <v>134</v>
      </c>
    </row>
    <row r="3" spans="1:9" ht="15.9" customHeight="1">
      <c r="A3" s="479" t="s">
        <v>135</v>
      </c>
      <c r="B3" s="208" t="s">
        <v>136</v>
      </c>
      <c r="C3" s="215"/>
      <c r="D3" s="288"/>
      <c r="E3" s="216"/>
      <c r="F3" s="217"/>
      <c r="G3" s="218"/>
      <c r="H3" s="233">
        <f>IF(F3=0,G3,G3*F3)</f>
        <v>0</v>
      </c>
      <c r="I3" s="234"/>
    </row>
    <row r="4" spans="1:9" ht="15.9" customHeight="1">
      <c r="A4" s="483"/>
      <c r="B4" s="208"/>
      <c r="C4" s="215"/>
      <c r="D4" s="215"/>
      <c r="E4" s="215"/>
      <c r="F4" s="218"/>
      <c r="G4" s="218"/>
      <c r="H4" s="167">
        <f>IF(F4=0,G4,G4*F4)</f>
        <v>0</v>
      </c>
      <c r="I4" s="39"/>
    </row>
    <row r="5" spans="1:9" ht="15.9" customHeight="1">
      <c r="A5" s="483"/>
      <c r="B5" s="208"/>
      <c r="C5" s="215"/>
      <c r="D5" s="215"/>
      <c r="E5" s="215"/>
      <c r="F5" s="218"/>
      <c r="G5" s="218"/>
      <c r="H5" s="167">
        <f t="shared" ref="H5:H54" si="0">IF(F5=0,G5,G5*F5)</f>
        <v>0</v>
      </c>
      <c r="I5" s="39"/>
    </row>
    <row r="6" spans="1:9" ht="15.9" customHeight="1">
      <c r="A6" s="483"/>
      <c r="B6" s="208"/>
      <c r="C6" s="215"/>
      <c r="D6" s="215"/>
      <c r="E6" s="215"/>
      <c r="F6" s="218"/>
      <c r="G6" s="218"/>
      <c r="H6" s="167">
        <f t="shared" si="0"/>
        <v>0</v>
      </c>
      <c r="I6" s="39"/>
    </row>
    <row r="7" spans="1:9" ht="15.9" customHeight="1">
      <c r="A7" s="483"/>
      <c r="B7" s="208"/>
      <c r="C7" s="215"/>
      <c r="D7" s="215"/>
      <c r="E7" s="215"/>
      <c r="F7" s="218"/>
      <c r="G7" s="218"/>
      <c r="H7" s="167">
        <f t="shared" si="0"/>
        <v>0</v>
      </c>
      <c r="I7" s="39"/>
    </row>
    <row r="8" spans="1:9" ht="15.9" customHeight="1">
      <c r="A8" s="483"/>
      <c r="B8" s="208"/>
      <c r="C8" s="215"/>
      <c r="D8" s="215"/>
      <c r="E8" s="215"/>
      <c r="F8" s="218"/>
      <c r="G8" s="218"/>
      <c r="H8" s="167">
        <f t="shared" si="0"/>
        <v>0</v>
      </c>
      <c r="I8" s="39"/>
    </row>
    <row r="9" spans="1:9" ht="15.9" customHeight="1">
      <c r="A9" s="483"/>
      <c r="B9" s="208"/>
      <c r="C9" s="215"/>
      <c r="D9" s="215"/>
      <c r="E9" s="215"/>
      <c r="F9" s="218"/>
      <c r="G9" s="218"/>
      <c r="H9" s="167">
        <f t="shared" si="0"/>
        <v>0</v>
      </c>
      <c r="I9" s="39"/>
    </row>
    <row r="10" spans="1:9" ht="15.9" customHeight="1">
      <c r="A10" s="483"/>
      <c r="B10" s="208"/>
      <c r="C10" s="215"/>
      <c r="D10" s="215"/>
      <c r="E10" s="215"/>
      <c r="F10" s="218"/>
      <c r="G10" s="218"/>
      <c r="H10" s="167">
        <f t="shared" si="0"/>
        <v>0</v>
      </c>
      <c r="I10" s="39"/>
    </row>
    <row r="11" spans="1:9" ht="15.9" customHeight="1">
      <c r="A11" s="483"/>
      <c r="B11" s="208"/>
      <c r="C11" s="215"/>
      <c r="D11" s="215"/>
      <c r="E11" s="215"/>
      <c r="F11" s="218"/>
      <c r="G11" s="218"/>
      <c r="H11" s="167">
        <f t="shared" si="0"/>
        <v>0</v>
      </c>
      <c r="I11" s="39"/>
    </row>
    <row r="12" spans="1:9" ht="15.9" customHeight="1">
      <c r="A12" s="483"/>
      <c r="B12" s="208"/>
      <c r="C12" s="215"/>
      <c r="D12" s="215"/>
      <c r="E12" s="215"/>
      <c r="F12" s="218"/>
      <c r="G12" s="218"/>
      <c r="H12" s="167">
        <f t="shared" si="0"/>
        <v>0</v>
      </c>
      <c r="I12" s="39"/>
    </row>
    <row r="13" spans="1:9" ht="15.9" customHeight="1">
      <c r="A13" s="483"/>
      <c r="B13" s="208"/>
      <c r="C13" s="215"/>
      <c r="D13" s="215"/>
      <c r="E13" s="215"/>
      <c r="F13" s="218"/>
      <c r="G13" s="218"/>
      <c r="H13" s="167">
        <f t="shared" si="0"/>
        <v>0</v>
      </c>
      <c r="I13" s="39"/>
    </row>
    <row r="14" spans="1:9" ht="15.9" customHeight="1">
      <c r="A14" s="483"/>
      <c r="B14" s="208"/>
      <c r="C14" s="215"/>
      <c r="D14" s="215"/>
      <c r="E14" s="215"/>
      <c r="F14" s="218"/>
      <c r="G14" s="218"/>
      <c r="H14" s="167">
        <f t="shared" si="0"/>
        <v>0</v>
      </c>
      <c r="I14" s="39"/>
    </row>
    <row r="15" spans="1:9" ht="15.9" customHeight="1">
      <c r="A15" s="483"/>
      <c r="B15" s="208"/>
      <c r="C15" s="215"/>
      <c r="D15" s="215"/>
      <c r="E15" s="215"/>
      <c r="F15" s="218"/>
      <c r="G15" s="218"/>
      <c r="H15" s="167">
        <f t="shared" si="0"/>
        <v>0</v>
      </c>
      <c r="I15" s="39"/>
    </row>
    <row r="16" spans="1:9" ht="15.9" customHeight="1">
      <c r="A16" s="483"/>
      <c r="B16" s="208"/>
      <c r="C16" s="215"/>
      <c r="D16" s="215"/>
      <c r="E16" s="215"/>
      <c r="F16" s="218"/>
      <c r="G16" s="218"/>
      <c r="H16" s="167">
        <f t="shared" si="0"/>
        <v>0</v>
      </c>
      <c r="I16" s="39"/>
    </row>
    <row r="17" spans="1:9" ht="15.9" customHeight="1">
      <c r="A17" s="483"/>
      <c r="B17" s="208"/>
      <c r="C17" s="215"/>
      <c r="D17" s="215"/>
      <c r="E17" s="215"/>
      <c r="F17" s="218"/>
      <c r="G17" s="218"/>
      <c r="H17" s="167">
        <f t="shared" si="0"/>
        <v>0</v>
      </c>
      <c r="I17" s="39"/>
    </row>
    <row r="18" spans="1:9" ht="15.9" customHeight="1">
      <c r="A18" s="483"/>
      <c r="B18" s="208"/>
      <c r="C18" s="215"/>
      <c r="D18" s="215"/>
      <c r="E18" s="215"/>
      <c r="F18" s="218"/>
      <c r="G18" s="218"/>
      <c r="H18" s="167">
        <f t="shared" si="0"/>
        <v>0</v>
      </c>
      <c r="I18" s="39"/>
    </row>
    <row r="19" spans="1:9" ht="15.9" customHeight="1">
      <c r="A19" s="483"/>
      <c r="B19" s="208"/>
      <c r="C19" s="215"/>
      <c r="D19" s="215"/>
      <c r="E19" s="215"/>
      <c r="F19" s="218"/>
      <c r="G19" s="218"/>
      <c r="H19" s="167">
        <f t="shared" si="0"/>
        <v>0</v>
      </c>
      <c r="I19" s="39"/>
    </row>
    <row r="20" spans="1:9" ht="15.9" customHeight="1">
      <c r="A20" s="483"/>
      <c r="B20" s="208"/>
      <c r="C20" s="215"/>
      <c r="D20" s="215"/>
      <c r="E20" s="215"/>
      <c r="F20" s="218"/>
      <c r="G20" s="218"/>
      <c r="H20" s="167">
        <f t="shared" si="0"/>
        <v>0</v>
      </c>
      <c r="I20" s="39"/>
    </row>
    <row r="21" spans="1:9" ht="15.9" customHeight="1">
      <c r="A21" s="483"/>
      <c r="B21" s="208"/>
      <c r="C21" s="215"/>
      <c r="D21" s="215"/>
      <c r="E21" s="215"/>
      <c r="F21" s="218"/>
      <c r="G21" s="218"/>
      <c r="H21" s="167">
        <f t="shared" si="0"/>
        <v>0</v>
      </c>
      <c r="I21" s="39"/>
    </row>
    <row r="22" spans="1:9" ht="15.9" customHeight="1">
      <c r="A22" s="483"/>
      <c r="B22" s="208"/>
      <c r="C22" s="215"/>
      <c r="D22" s="215"/>
      <c r="E22" s="215"/>
      <c r="F22" s="218"/>
      <c r="G22" s="218"/>
      <c r="H22" s="167">
        <f t="shared" si="0"/>
        <v>0</v>
      </c>
      <c r="I22" s="39"/>
    </row>
    <row r="23" spans="1:9" ht="15.9" customHeight="1">
      <c r="A23" s="483"/>
      <c r="B23" s="208"/>
      <c r="C23" s="219"/>
      <c r="D23" s="220"/>
      <c r="E23" s="220"/>
      <c r="F23" s="221"/>
      <c r="G23" s="222"/>
      <c r="H23" s="239">
        <f t="shared" si="0"/>
        <v>0</v>
      </c>
      <c r="I23" s="240"/>
    </row>
    <row r="24" spans="1:9" ht="15.9" customHeight="1">
      <c r="A24" s="483"/>
      <c r="B24" s="223"/>
      <c r="C24" s="242"/>
      <c r="D24" s="242"/>
      <c r="E24" s="242"/>
      <c r="F24" s="245"/>
      <c r="G24" s="245"/>
      <c r="H24" s="246">
        <f>SUM(H3:H23)</f>
        <v>0</v>
      </c>
      <c r="I24" s="242"/>
    </row>
    <row r="25" spans="1:9" ht="15.9" customHeight="1">
      <c r="A25" s="483"/>
      <c r="B25" s="208" t="s">
        <v>279</v>
      </c>
      <c r="C25" s="209"/>
      <c r="D25" s="209"/>
      <c r="E25" s="209"/>
      <c r="F25" s="212"/>
      <c r="G25" s="212"/>
      <c r="H25" s="213">
        <f t="shared" si="0"/>
        <v>0</v>
      </c>
      <c r="I25" s="214"/>
    </row>
    <row r="26" spans="1:9" ht="15.9" customHeight="1">
      <c r="A26" s="483"/>
      <c r="B26" s="208" t="s">
        <v>280</v>
      </c>
      <c r="C26" s="215"/>
      <c r="D26" s="215"/>
      <c r="E26" s="215"/>
      <c r="F26" s="218"/>
      <c r="G26" s="218"/>
      <c r="H26" s="167">
        <f t="shared" si="0"/>
        <v>0</v>
      </c>
      <c r="I26" s="39"/>
    </row>
    <row r="27" spans="1:9" ht="15.9" customHeight="1">
      <c r="A27" s="483"/>
      <c r="B27" s="208"/>
      <c r="C27" s="215"/>
      <c r="D27" s="215"/>
      <c r="E27" s="215"/>
      <c r="F27" s="218"/>
      <c r="G27" s="218"/>
      <c r="H27" s="167">
        <f t="shared" si="0"/>
        <v>0</v>
      </c>
      <c r="I27" s="39"/>
    </row>
    <row r="28" spans="1:9" ht="15.9" customHeight="1">
      <c r="A28" s="483"/>
      <c r="B28" s="208"/>
      <c r="C28" s="215"/>
      <c r="D28" s="215"/>
      <c r="E28" s="215"/>
      <c r="F28" s="218"/>
      <c r="G28" s="218"/>
      <c r="H28" s="167">
        <f t="shared" si="0"/>
        <v>0</v>
      </c>
      <c r="I28" s="39"/>
    </row>
    <row r="29" spans="1:9" ht="15.9" customHeight="1">
      <c r="A29" s="483"/>
      <c r="B29" s="208"/>
      <c r="C29" s="219"/>
      <c r="D29" s="219"/>
      <c r="E29" s="219"/>
      <c r="F29" s="222"/>
      <c r="G29" s="222"/>
      <c r="H29" s="167">
        <f t="shared" si="0"/>
        <v>0</v>
      </c>
      <c r="I29" s="42"/>
    </row>
    <row r="30" spans="1:9" ht="15.9" customHeight="1">
      <c r="A30" s="483"/>
      <c r="B30" s="223"/>
      <c r="C30" s="224"/>
      <c r="D30" s="225"/>
      <c r="E30" s="225"/>
      <c r="F30" s="334"/>
      <c r="G30" s="227"/>
      <c r="H30" s="50">
        <f>SUM(H25:H29)</f>
        <v>0</v>
      </c>
      <c r="I30" s="46"/>
    </row>
    <row r="31" spans="1:9" ht="15.9" customHeight="1">
      <c r="A31" s="483"/>
      <c r="B31" s="247" t="s">
        <v>281</v>
      </c>
      <c r="C31" s="335" t="s">
        <v>547</v>
      </c>
      <c r="D31" s="335"/>
      <c r="E31" s="336" t="s">
        <v>145</v>
      </c>
      <c r="F31" s="272">
        <v>4</v>
      </c>
      <c r="G31" s="273">
        <v>2000000</v>
      </c>
      <c r="H31" s="233">
        <f t="shared" si="0"/>
        <v>8000000</v>
      </c>
      <c r="I31" s="234"/>
    </row>
    <row r="32" spans="1:9" ht="15.9" customHeight="1">
      <c r="A32" s="483"/>
      <c r="B32" s="208" t="s">
        <v>284</v>
      </c>
      <c r="C32" s="215"/>
      <c r="D32" s="215"/>
      <c r="E32" s="216"/>
      <c r="F32" s="218"/>
      <c r="G32" s="218"/>
      <c r="H32" s="167">
        <f t="shared" si="0"/>
        <v>0</v>
      </c>
      <c r="I32" s="39"/>
    </row>
    <row r="33" spans="1:9" ht="15.9" customHeight="1">
      <c r="A33" s="483"/>
      <c r="B33" s="208"/>
      <c r="C33" s="215"/>
      <c r="D33" s="215"/>
      <c r="E33" s="216"/>
      <c r="F33" s="218"/>
      <c r="G33" s="218"/>
      <c r="H33" s="167">
        <f t="shared" si="0"/>
        <v>0</v>
      </c>
      <c r="I33" s="39"/>
    </row>
    <row r="34" spans="1:9" ht="15.9" customHeight="1">
      <c r="A34" s="483"/>
      <c r="B34" s="208"/>
      <c r="C34" s="215"/>
      <c r="D34" s="215"/>
      <c r="E34" s="216"/>
      <c r="F34" s="218"/>
      <c r="G34" s="218"/>
      <c r="H34" s="167">
        <f t="shared" si="0"/>
        <v>0</v>
      </c>
      <c r="I34" s="39"/>
    </row>
    <row r="35" spans="1:9" ht="15.9" customHeight="1">
      <c r="A35" s="483"/>
      <c r="B35" s="208"/>
      <c r="C35" s="215"/>
      <c r="D35" s="215"/>
      <c r="E35" s="216"/>
      <c r="F35" s="218"/>
      <c r="G35" s="218"/>
      <c r="H35" s="167">
        <f t="shared" si="0"/>
        <v>0</v>
      </c>
      <c r="I35" s="39"/>
    </row>
    <row r="36" spans="1:9" ht="15.9" customHeight="1">
      <c r="A36" s="483"/>
      <c r="B36" s="208"/>
      <c r="C36" s="215"/>
      <c r="D36" s="215"/>
      <c r="E36" s="216"/>
      <c r="F36" s="218"/>
      <c r="G36" s="218"/>
      <c r="H36" s="167">
        <f t="shared" si="0"/>
        <v>0</v>
      </c>
      <c r="I36" s="39"/>
    </row>
    <row r="37" spans="1:9" ht="15.9" customHeight="1">
      <c r="A37" s="483"/>
      <c r="B37" s="208"/>
      <c r="C37" s="215"/>
      <c r="D37" s="345"/>
      <c r="E37" s="216"/>
      <c r="F37" s="218"/>
      <c r="G37" s="218"/>
      <c r="H37" s="167">
        <f t="shared" si="0"/>
        <v>0</v>
      </c>
      <c r="I37" s="39"/>
    </row>
    <row r="38" spans="1:9" ht="15.9" customHeight="1">
      <c r="A38" s="483"/>
      <c r="B38" s="208"/>
      <c r="C38" s="346"/>
      <c r="D38" s="296"/>
      <c r="E38" s="216"/>
      <c r="F38" s="218"/>
      <c r="G38" s="218"/>
      <c r="H38" s="167">
        <f t="shared" si="0"/>
        <v>0</v>
      </c>
      <c r="I38" s="39"/>
    </row>
    <row r="39" spans="1:9" ht="15.9" customHeight="1">
      <c r="A39" s="483"/>
      <c r="B39" s="208"/>
      <c r="C39" s="236"/>
      <c r="D39" s="236"/>
      <c r="E39" s="215"/>
      <c r="F39" s="238"/>
      <c r="G39" s="238"/>
      <c r="H39" s="167">
        <f t="shared" si="0"/>
        <v>0</v>
      </c>
      <c r="I39" s="39"/>
    </row>
    <row r="40" spans="1:9" ht="15.9" customHeight="1">
      <c r="A40" s="483"/>
      <c r="B40" s="208"/>
      <c r="C40" s="215"/>
      <c r="D40" s="215"/>
      <c r="E40" s="216"/>
      <c r="F40" s="218"/>
      <c r="G40" s="218"/>
      <c r="H40" s="167">
        <f t="shared" si="0"/>
        <v>0</v>
      </c>
      <c r="I40" s="39"/>
    </row>
    <row r="41" spans="1:9" ht="15.9" customHeight="1">
      <c r="A41" s="483"/>
      <c r="B41" s="208"/>
      <c r="C41" s="215"/>
      <c r="D41" s="215"/>
      <c r="E41" s="216"/>
      <c r="F41" s="218"/>
      <c r="G41" s="218"/>
      <c r="H41" s="167">
        <f t="shared" si="0"/>
        <v>0</v>
      </c>
      <c r="I41" s="39"/>
    </row>
    <row r="42" spans="1:9" ht="15.9" customHeight="1">
      <c r="A42" s="483"/>
      <c r="B42" s="208"/>
      <c r="C42" s="215"/>
      <c r="D42" s="215"/>
      <c r="E42" s="216"/>
      <c r="F42" s="218"/>
      <c r="G42" s="218"/>
      <c r="H42" s="167">
        <f t="shared" si="0"/>
        <v>0</v>
      </c>
      <c r="I42" s="39"/>
    </row>
    <row r="43" spans="1:9" ht="15.9" customHeight="1">
      <c r="A43" s="483"/>
      <c r="B43" s="208"/>
      <c r="C43" s="215"/>
      <c r="D43" s="215"/>
      <c r="E43" s="216"/>
      <c r="F43" s="218"/>
      <c r="G43" s="218"/>
      <c r="H43" s="167">
        <f t="shared" si="0"/>
        <v>0</v>
      </c>
      <c r="I43" s="39"/>
    </row>
    <row r="44" spans="1:9" ht="15.9" customHeight="1">
      <c r="A44" s="483"/>
      <c r="B44" s="208"/>
      <c r="C44" s="215"/>
      <c r="D44" s="215"/>
      <c r="E44" s="216"/>
      <c r="F44" s="218"/>
      <c r="G44" s="218"/>
      <c r="H44" s="167">
        <f t="shared" si="0"/>
        <v>0</v>
      </c>
      <c r="I44" s="39"/>
    </row>
    <row r="45" spans="1:9" ht="15.9" customHeight="1">
      <c r="A45" s="483"/>
      <c r="B45" s="208"/>
      <c r="C45" s="215"/>
      <c r="D45" s="215"/>
      <c r="E45" s="216"/>
      <c r="F45" s="218"/>
      <c r="G45" s="218"/>
      <c r="H45" s="167">
        <f t="shared" si="0"/>
        <v>0</v>
      </c>
      <c r="I45" s="39"/>
    </row>
    <row r="46" spans="1:9" ht="15.9" customHeight="1">
      <c r="A46" s="483"/>
      <c r="B46" s="208"/>
      <c r="C46" s="219"/>
      <c r="D46" s="219"/>
      <c r="E46" s="220"/>
      <c r="F46" s="221"/>
      <c r="G46" s="222"/>
      <c r="H46" s="177">
        <f t="shared" si="0"/>
        <v>0</v>
      </c>
      <c r="I46" s="42"/>
    </row>
    <row r="47" spans="1:9" ht="15.9" customHeight="1">
      <c r="A47" s="483"/>
      <c r="B47" s="223"/>
      <c r="C47" s="224"/>
      <c r="D47" s="225"/>
      <c r="E47" s="225"/>
      <c r="F47" s="227"/>
      <c r="G47" s="227"/>
      <c r="H47" s="50">
        <f>SUM(H31:H46)</f>
        <v>8000000</v>
      </c>
      <c r="I47" s="46"/>
    </row>
    <row r="48" spans="1:9" ht="15.9" customHeight="1">
      <c r="A48" s="483"/>
      <c r="B48" s="247" t="s">
        <v>61</v>
      </c>
      <c r="C48" s="215"/>
      <c r="D48" s="297"/>
      <c r="E48" s="297"/>
      <c r="F48" s="298"/>
      <c r="G48" s="218"/>
      <c r="H48" s="233">
        <f t="shared" si="0"/>
        <v>0</v>
      </c>
      <c r="I48" s="234"/>
    </row>
    <row r="49" spans="1:9" ht="15.9" customHeight="1">
      <c r="A49" s="483"/>
      <c r="B49" s="208"/>
      <c r="C49" s="215"/>
      <c r="D49" s="297"/>
      <c r="E49" s="297"/>
      <c r="F49" s="298"/>
      <c r="G49" s="218"/>
      <c r="H49" s="167">
        <f t="shared" si="0"/>
        <v>0</v>
      </c>
      <c r="I49" s="39"/>
    </row>
    <row r="50" spans="1:9" ht="15.9" customHeight="1">
      <c r="A50" s="483"/>
      <c r="B50" s="208"/>
      <c r="C50" s="215"/>
      <c r="D50" s="215"/>
      <c r="E50" s="215"/>
      <c r="F50" s="218"/>
      <c r="G50" s="218"/>
      <c r="H50" s="167">
        <f t="shared" si="0"/>
        <v>0</v>
      </c>
      <c r="I50" s="39"/>
    </row>
    <row r="51" spans="1:9" ht="15.9" customHeight="1">
      <c r="A51" s="483"/>
      <c r="B51" s="208"/>
      <c r="C51" s="215"/>
      <c r="D51" s="215"/>
      <c r="E51" s="215"/>
      <c r="F51" s="218"/>
      <c r="G51" s="218"/>
      <c r="H51" s="167">
        <f t="shared" si="0"/>
        <v>0</v>
      </c>
      <c r="I51" s="39"/>
    </row>
    <row r="52" spans="1:9" ht="15.9" customHeight="1">
      <c r="A52" s="483"/>
      <c r="B52" s="208"/>
      <c r="C52" s="215"/>
      <c r="D52" s="215"/>
      <c r="E52" s="215"/>
      <c r="F52" s="218"/>
      <c r="G52" s="218"/>
      <c r="H52" s="167">
        <f t="shared" si="0"/>
        <v>0</v>
      </c>
      <c r="I52" s="39"/>
    </row>
    <row r="53" spans="1:9" ht="15.9" customHeight="1">
      <c r="A53" s="483"/>
      <c r="B53" s="208"/>
      <c r="C53" s="215"/>
      <c r="D53" s="215"/>
      <c r="E53" s="215"/>
      <c r="F53" s="218"/>
      <c r="G53" s="218"/>
      <c r="H53" s="167">
        <f t="shared" si="0"/>
        <v>0</v>
      </c>
      <c r="I53" s="39"/>
    </row>
    <row r="54" spans="1:9" ht="15.9" customHeight="1">
      <c r="A54" s="483"/>
      <c r="B54" s="208"/>
      <c r="C54" s="219"/>
      <c r="D54" s="219"/>
      <c r="E54" s="219"/>
      <c r="F54" s="222"/>
      <c r="G54" s="222"/>
      <c r="H54" s="177">
        <f t="shared" si="0"/>
        <v>0</v>
      </c>
      <c r="I54" s="42"/>
    </row>
    <row r="55" spans="1:9" ht="15.9" customHeight="1">
      <c r="A55" s="483"/>
      <c r="B55" s="223"/>
      <c r="C55" s="224"/>
      <c r="D55" s="225"/>
      <c r="E55" s="225"/>
      <c r="F55" s="227"/>
      <c r="G55" s="227"/>
      <c r="H55" s="50">
        <f>SUM(H48:H54)</f>
        <v>0</v>
      </c>
      <c r="I55" s="46"/>
    </row>
    <row r="56" spans="1:9" ht="15.9" customHeight="1">
      <c r="A56" s="265"/>
      <c r="B56" s="266" t="s">
        <v>147</v>
      </c>
      <c r="C56" s="267"/>
      <c r="D56" s="46"/>
      <c r="E56" s="46"/>
      <c r="F56" s="269"/>
      <c r="G56" s="269"/>
      <c r="H56" s="50">
        <f>SUM(H55,H47,H30,H24)</f>
        <v>8000000</v>
      </c>
      <c r="I56" s="46"/>
    </row>
    <row r="57" spans="1:9" ht="15.9" customHeight="1">
      <c r="A57" s="479" t="s">
        <v>148</v>
      </c>
      <c r="B57" s="270" t="s">
        <v>67</v>
      </c>
      <c r="C57" s="267"/>
      <c r="D57" s="46"/>
      <c r="E57" s="270" t="s">
        <v>68</v>
      </c>
      <c r="F57" s="284"/>
      <c r="G57" s="273"/>
      <c r="H57" s="274">
        <f>F57*G57</f>
        <v>0</v>
      </c>
      <c r="I57" s="46"/>
    </row>
    <row r="58" spans="1:9" ht="15.9" customHeight="1">
      <c r="A58" s="483"/>
      <c r="B58" s="275" t="s">
        <v>444</v>
      </c>
      <c r="C58" s="276"/>
      <c r="D58" s="234"/>
      <c r="E58" s="275" t="s">
        <v>150</v>
      </c>
      <c r="F58" s="232"/>
      <c r="G58" s="232"/>
      <c r="H58" s="233">
        <f t="shared" ref="H58:H64" si="1">F58*G58</f>
        <v>0</v>
      </c>
      <c r="I58" s="234"/>
    </row>
    <row r="59" spans="1:9" ht="15.9" customHeight="1">
      <c r="A59" s="483"/>
      <c r="B59" s="277" t="s">
        <v>445</v>
      </c>
      <c r="C59" s="278"/>
      <c r="D59" s="39"/>
      <c r="E59" s="277" t="s">
        <v>150</v>
      </c>
      <c r="F59" s="347"/>
      <c r="G59" s="218"/>
      <c r="H59" s="167">
        <f t="shared" si="1"/>
        <v>0</v>
      </c>
      <c r="I59" s="39"/>
    </row>
    <row r="60" spans="1:9" ht="15.9" customHeight="1">
      <c r="A60" s="483"/>
      <c r="B60" s="277" t="s">
        <v>446</v>
      </c>
      <c r="C60" s="278"/>
      <c r="D60" s="39"/>
      <c r="E60" s="277" t="s">
        <v>150</v>
      </c>
      <c r="F60" s="347"/>
      <c r="G60" s="218"/>
      <c r="H60" s="167">
        <f t="shared" si="1"/>
        <v>0</v>
      </c>
      <c r="I60" s="39"/>
    </row>
    <row r="61" spans="1:9" ht="15.9" customHeight="1">
      <c r="A61" s="483"/>
      <c r="B61" s="277" t="s">
        <v>447</v>
      </c>
      <c r="C61" s="278"/>
      <c r="D61" s="39"/>
      <c r="E61" s="277" t="s">
        <v>150</v>
      </c>
      <c r="F61" s="218"/>
      <c r="G61" s="218"/>
      <c r="H61" s="167">
        <f t="shared" si="1"/>
        <v>0</v>
      </c>
      <c r="I61" s="39"/>
    </row>
    <row r="62" spans="1:9" ht="15.9" customHeight="1">
      <c r="A62" s="483"/>
      <c r="B62" s="277" t="s">
        <v>448</v>
      </c>
      <c r="C62" s="278"/>
      <c r="D62" s="39"/>
      <c r="E62" s="277" t="s">
        <v>150</v>
      </c>
      <c r="F62" s="218">
        <v>28</v>
      </c>
      <c r="G62" s="218">
        <v>400000</v>
      </c>
      <c r="H62" s="167">
        <f t="shared" si="1"/>
        <v>11200000</v>
      </c>
      <c r="I62" s="39"/>
    </row>
    <row r="63" spans="1:9" ht="15.9" customHeight="1">
      <c r="A63" s="483"/>
      <c r="B63" s="277" t="s">
        <v>449</v>
      </c>
      <c r="C63" s="278"/>
      <c r="D63" s="39"/>
      <c r="E63" s="277" t="s">
        <v>150</v>
      </c>
      <c r="F63" s="218"/>
      <c r="G63" s="218"/>
      <c r="H63" s="167">
        <f t="shared" si="1"/>
        <v>0</v>
      </c>
      <c r="I63" s="39"/>
    </row>
    <row r="64" spans="1:9" ht="15.9" customHeight="1">
      <c r="A64" s="483"/>
      <c r="B64" s="279" t="s">
        <v>548</v>
      </c>
      <c r="C64" s="280"/>
      <c r="D64" s="42"/>
      <c r="E64" s="279" t="s">
        <v>150</v>
      </c>
      <c r="F64" s="222"/>
      <c r="G64" s="222"/>
      <c r="H64" s="177">
        <f t="shared" si="1"/>
        <v>0</v>
      </c>
      <c r="I64" s="42"/>
    </row>
    <row r="65" spans="1:9" ht="15.9" customHeight="1">
      <c r="A65" s="265"/>
      <c r="B65" s="281" t="s">
        <v>156</v>
      </c>
      <c r="C65" s="267"/>
      <c r="D65" s="46"/>
      <c r="E65" s="46"/>
      <c r="F65" s="227"/>
      <c r="G65" s="227"/>
      <c r="H65" s="227">
        <f>SUM(H57:H64)</f>
        <v>11200000</v>
      </c>
      <c r="I65" s="225"/>
    </row>
    <row r="66" spans="1:9" ht="15.9" customHeight="1">
      <c r="A66" s="271"/>
      <c r="B66" s="281" t="s">
        <v>451</v>
      </c>
      <c r="C66" s="267"/>
      <c r="D66" s="46"/>
      <c r="E66" s="46"/>
      <c r="F66" s="50"/>
      <c r="G66" s="50"/>
      <c r="H66" s="269">
        <v>0</v>
      </c>
      <c r="I66" s="46"/>
    </row>
    <row r="67" spans="1:9" ht="15.9" customHeight="1">
      <c r="A67" s="271"/>
      <c r="B67" s="281" t="s">
        <v>93</v>
      </c>
      <c r="C67" s="267"/>
      <c r="D67" s="46"/>
      <c r="E67" s="46"/>
      <c r="F67" s="50"/>
      <c r="G67" s="283"/>
      <c r="H67" s="284">
        <f>(H65+H56)*0</f>
        <v>0</v>
      </c>
      <c r="I67" s="267"/>
    </row>
    <row r="68" spans="1:9" ht="15.9" customHeight="1">
      <c r="A68" s="271"/>
      <c r="B68" s="281" t="s">
        <v>159</v>
      </c>
      <c r="C68" s="267"/>
      <c r="D68" s="46"/>
      <c r="E68" s="46"/>
      <c r="F68" s="50"/>
      <c r="G68" s="283"/>
      <c r="H68" s="284">
        <f>(H65+H56)*0</f>
        <v>0</v>
      </c>
      <c r="I68" s="267"/>
    </row>
    <row r="69" spans="1:9" ht="15.9" customHeight="1">
      <c r="A69" s="271"/>
      <c r="B69" s="281" t="s">
        <v>160</v>
      </c>
      <c r="C69" s="267"/>
      <c r="D69" s="46"/>
      <c r="E69" s="46"/>
      <c r="F69" s="50"/>
      <c r="G69" s="50"/>
      <c r="H69" s="227">
        <f>H56+H65+H66+H67+H68</f>
        <v>19200000</v>
      </c>
      <c r="I69" s="46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AB09-E2E5-4686-A0A9-A9C351BE37D9}">
  <sheetPr>
    <tabColor rgb="FF00B050"/>
    <pageSetUpPr fitToPage="1"/>
  </sheetPr>
  <dimension ref="A1:K69"/>
  <sheetViews>
    <sheetView zoomScale="85" zoomScaleNormal="85" workbookViewId="0">
      <pane xSplit="2" ySplit="2" topLeftCell="C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7.8984375" style="1" bestFit="1" customWidth="1"/>
    <col min="3" max="3" width="30.19921875" style="1" customWidth="1"/>
    <col min="4" max="4" width="14" style="1" customWidth="1"/>
    <col min="5" max="5" width="5.19921875" style="1" bestFit="1" customWidth="1"/>
    <col min="6" max="6" width="9" style="49"/>
    <col min="7" max="7" width="11.8984375" style="49" customWidth="1"/>
    <col min="8" max="8" width="13.59765625" style="49" customWidth="1"/>
    <col min="9" max="9" width="12.69921875" style="1" customWidth="1"/>
    <col min="10" max="256" width="9" style="1"/>
    <col min="257" max="257" width="5" style="1" customWidth="1"/>
    <col min="258" max="258" width="17.8984375" style="1" bestFit="1" customWidth="1"/>
    <col min="259" max="259" width="30.19921875" style="1" customWidth="1"/>
    <col min="260" max="260" width="14" style="1" customWidth="1"/>
    <col min="261" max="261" width="5.19921875" style="1" bestFit="1" customWidth="1"/>
    <col min="262" max="262" width="9" style="1"/>
    <col min="263" max="263" width="11.8984375" style="1" customWidth="1"/>
    <col min="264" max="264" width="13.59765625" style="1" customWidth="1"/>
    <col min="265" max="265" width="12.69921875" style="1" customWidth="1"/>
    <col min="266" max="512" width="9" style="1"/>
    <col min="513" max="513" width="5" style="1" customWidth="1"/>
    <col min="514" max="514" width="17.8984375" style="1" bestFit="1" customWidth="1"/>
    <col min="515" max="515" width="30.19921875" style="1" customWidth="1"/>
    <col min="516" max="516" width="14" style="1" customWidth="1"/>
    <col min="517" max="517" width="5.19921875" style="1" bestFit="1" customWidth="1"/>
    <col min="518" max="518" width="9" style="1"/>
    <col min="519" max="519" width="11.8984375" style="1" customWidth="1"/>
    <col min="520" max="520" width="13.59765625" style="1" customWidth="1"/>
    <col min="521" max="521" width="12.69921875" style="1" customWidth="1"/>
    <col min="522" max="768" width="9" style="1"/>
    <col min="769" max="769" width="5" style="1" customWidth="1"/>
    <col min="770" max="770" width="17.8984375" style="1" bestFit="1" customWidth="1"/>
    <col min="771" max="771" width="30.19921875" style="1" customWidth="1"/>
    <col min="772" max="772" width="14" style="1" customWidth="1"/>
    <col min="773" max="773" width="5.19921875" style="1" bestFit="1" customWidth="1"/>
    <col min="774" max="774" width="9" style="1"/>
    <col min="775" max="775" width="11.8984375" style="1" customWidth="1"/>
    <col min="776" max="776" width="13.59765625" style="1" customWidth="1"/>
    <col min="777" max="777" width="12.69921875" style="1" customWidth="1"/>
    <col min="778" max="1024" width="9" style="1"/>
    <col min="1025" max="1025" width="5" style="1" customWidth="1"/>
    <col min="1026" max="1026" width="17.8984375" style="1" bestFit="1" customWidth="1"/>
    <col min="1027" max="1027" width="30.19921875" style="1" customWidth="1"/>
    <col min="1028" max="1028" width="14" style="1" customWidth="1"/>
    <col min="1029" max="1029" width="5.19921875" style="1" bestFit="1" customWidth="1"/>
    <col min="1030" max="1030" width="9" style="1"/>
    <col min="1031" max="1031" width="11.8984375" style="1" customWidth="1"/>
    <col min="1032" max="1032" width="13.59765625" style="1" customWidth="1"/>
    <col min="1033" max="1033" width="12.69921875" style="1" customWidth="1"/>
    <col min="1034" max="1280" width="9" style="1"/>
    <col min="1281" max="1281" width="5" style="1" customWidth="1"/>
    <col min="1282" max="1282" width="17.8984375" style="1" bestFit="1" customWidth="1"/>
    <col min="1283" max="1283" width="30.19921875" style="1" customWidth="1"/>
    <col min="1284" max="1284" width="14" style="1" customWidth="1"/>
    <col min="1285" max="1285" width="5.19921875" style="1" bestFit="1" customWidth="1"/>
    <col min="1286" max="1286" width="9" style="1"/>
    <col min="1287" max="1287" width="11.8984375" style="1" customWidth="1"/>
    <col min="1288" max="1288" width="13.59765625" style="1" customWidth="1"/>
    <col min="1289" max="1289" width="12.69921875" style="1" customWidth="1"/>
    <col min="1290" max="1536" width="9" style="1"/>
    <col min="1537" max="1537" width="5" style="1" customWidth="1"/>
    <col min="1538" max="1538" width="17.8984375" style="1" bestFit="1" customWidth="1"/>
    <col min="1539" max="1539" width="30.19921875" style="1" customWidth="1"/>
    <col min="1540" max="1540" width="14" style="1" customWidth="1"/>
    <col min="1541" max="1541" width="5.19921875" style="1" bestFit="1" customWidth="1"/>
    <col min="1542" max="1542" width="9" style="1"/>
    <col min="1543" max="1543" width="11.8984375" style="1" customWidth="1"/>
    <col min="1544" max="1544" width="13.59765625" style="1" customWidth="1"/>
    <col min="1545" max="1545" width="12.69921875" style="1" customWidth="1"/>
    <col min="1546" max="1792" width="9" style="1"/>
    <col min="1793" max="1793" width="5" style="1" customWidth="1"/>
    <col min="1794" max="1794" width="17.8984375" style="1" bestFit="1" customWidth="1"/>
    <col min="1795" max="1795" width="30.19921875" style="1" customWidth="1"/>
    <col min="1796" max="1796" width="14" style="1" customWidth="1"/>
    <col min="1797" max="1797" width="5.19921875" style="1" bestFit="1" customWidth="1"/>
    <col min="1798" max="1798" width="9" style="1"/>
    <col min="1799" max="1799" width="11.8984375" style="1" customWidth="1"/>
    <col min="1800" max="1800" width="13.59765625" style="1" customWidth="1"/>
    <col min="1801" max="1801" width="12.69921875" style="1" customWidth="1"/>
    <col min="1802" max="2048" width="9" style="1"/>
    <col min="2049" max="2049" width="5" style="1" customWidth="1"/>
    <col min="2050" max="2050" width="17.8984375" style="1" bestFit="1" customWidth="1"/>
    <col min="2051" max="2051" width="30.19921875" style="1" customWidth="1"/>
    <col min="2052" max="2052" width="14" style="1" customWidth="1"/>
    <col min="2053" max="2053" width="5.19921875" style="1" bestFit="1" customWidth="1"/>
    <col min="2054" max="2054" width="9" style="1"/>
    <col min="2055" max="2055" width="11.8984375" style="1" customWidth="1"/>
    <col min="2056" max="2056" width="13.59765625" style="1" customWidth="1"/>
    <col min="2057" max="2057" width="12.69921875" style="1" customWidth="1"/>
    <col min="2058" max="2304" width="9" style="1"/>
    <col min="2305" max="2305" width="5" style="1" customWidth="1"/>
    <col min="2306" max="2306" width="17.8984375" style="1" bestFit="1" customWidth="1"/>
    <col min="2307" max="2307" width="30.19921875" style="1" customWidth="1"/>
    <col min="2308" max="2308" width="14" style="1" customWidth="1"/>
    <col min="2309" max="2309" width="5.19921875" style="1" bestFit="1" customWidth="1"/>
    <col min="2310" max="2310" width="9" style="1"/>
    <col min="2311" max="2311" width="11.8984375" style="1" customWidth="1"/>
    <col min="2312" max="2312" width="13.59765625" style="1" customWidth="1"/>
    <col min="2313" max="2313" width="12.69921875" style="1" customWidth="1"/>
    <col min="2314" max="2560" width="9" style="1"/>
    <col min="2561" max="2561" width="5" style="1" customWidth="1"/>
    <col min="2562" max="2562" width="17.8984375" style="1" bestFit="1" customWidth="1"/>
    <col min="2563" max="2563" width="30.19921875" style="1" customWidth="1"/>
    <col min="2564" max="2564" width="14" style="1" customWidth="1"/>
    <col min="2565" max="2565" width="5.19921875" style="1" bestFit="1" customWidth="1"/>
    <col min="2566" max="2566" width="9" style="1"/>
    <col min="2567" max="2567" width="11.8984375" style="1" customWidth="1"/>
    <col min="2568" max="2568" width="13.59765625" style="1" customWidth="1"/>
    <col min="2569" max="2569" width="12.69921875" style="1" customWidth="1"/>
    <col min="2570" max="2816" width="9" style="1"/>
    <col min="2817" max="2817" width="5" style="1" customWidth="1"/>
    <col min="2818" max="2818" width="17.8984375" style="1" bestFit="1" customWidth="1"/>
    <col min="2819" max="2819" width="30.19921875" style="1" customWidth="1"/>
    <col min="2820" max="2820" width="14" style="1" customWidth="1"/>
    <col min="2821" max="2821" width="5.19921875" style="1" bestFit="1" customWidth="1"/>
    <col min="2822" max="2822" width="9" style="1"/>
    <col min="2823" max="2823" width="11.8984375" style="1" customWidth="1"/>
    <col min="2824" max="2824" width="13.59765625" style="1" customWidth="1"/>
    <col min="2825" max="2825" width="12.69921875" style="1" customWidth="1"/>
    <col min="2826" max="3072" width="9" style="1"/>
    <col min="3073" max="3073" width="5" style="1" customWidth="1"/>
    <col min="3074" max="3074" width="17.8984375" style="1" bestFit="1" customWidth="1"/>
    <col min="3075" max="3075" width="30.19921875" style="1" customWidth="1"/>
    <col min="3076" max="3076" width="14" style="1" customWidth="1"/>
    <col min="3077" max="3077" width="5.19921875" style="1" bestFit="1" customWidth="1"/>
    <col min="3078" max="3078" width="9" style="1"/>
    <col min="3079" max="3079" width="11.8984375" style="1" customWidth="1"/>
    <col min="3080" max="3080" width="13.59765625" style="1" customWidth="1"/>
    <col min="3081" max="3081" width="12.69921875" style="1" customWidth="1"/>
    <col min="3082" max="3328" width="9" style="1"/>
    <col min="3329" max="3329" width="5" style="1" customWidth="1"/>
    <col min="3330" max="3330" width="17.8984375" style="1" bestFit="1" customWidth="1"/>
    <col min="3331" max="3331" width="30.19921875" style="1" customWidth="1"/>
    <col min="3332" max="3332" width="14" style="1" customWidth="1"/>
    <col min="3333" max="3333" width="5.19921875" style="1" bestFit="1" customWidth="1"/>
    <col min="3334" max="3334" width="9" style="1"/>
    <col min="3335" max="3335" width="11.8984375" style="1" customWidth="1"/>
    <col min="3336" max="3336" width="13.59765625" style="1" customWidth="1"/>
    <col min="3337" max="3337" width="12.69921875" style="1" customWidth="1"/>
    <col min="3338" max="3584" width="9" style="1"/>
    <col min="3585" max="3585" width="5" style="1" customWidth="1"/>
    <col min="3586" max="3586" width="17.8984375" style="1" bestFit="1" customWidth="1"/>
    <col min="3587" max="3587" width="30.19921875" style="1" customWidth="1"/>
    <col min="3588" max="3588" width="14" style="1" customWidth="1"/>
    <col min="3589" max="3589" width="5.19921875" style="1" bestFit="1" customWidth="1"/>
    <col min="3590" max="3590" width="9" style="1"/>
    <col min="3591" max="3591" width="11.8984375" style="1" customWidth="1"/>
    <col min="3592" max="3592" width="13.59765625" style="1" customWidth="1"/>
    <col min="3593" max="3593" width="12.69921875" style="1" customWidth="1"/>
    <col min="3594" max="3840" width="9" style="1"/>
    <col min="3841" max="3841" width="5" style="1" customWidth="1"/>
    <col min="3842" max="3842" width="17.8984375" style="1" bestFit="1" customWidth="1"/>
    <col min="3843" max="3843" width="30.19921875" style="1" customWidth="1"/>
    <col min="3844" max="3844" width="14" style="1" customWidth="1"/>
    <col min="3845" max="3845" width="5.19921875" style="1" bestFit="1" customWidth="1"/>
    <col min="3846" max="3846" width="9" style="1"/>
    <col min="3847" max="3847" width="11.8984375" style="1" customWidth="1"/>
    <col min="3848" max="3848" width="13.59765625" style="1" customWidth="1"/>
    <col min="3849" max="3849" width="12.69921875" style="1" customWidth="1"/>
    <col min="3850" max="4096" width="9" style="1"/>
    <col min="4097" max="4097" width="5" style="1" customWidth="1"/>
    <col min="4098" max="4098" width="17.8984375" style="1" bestFit="1" customWidth="1"/>
    <col min="4099" max="4099" width="30.19921875" style="1" customWidth="1"/>
    <col min="4100" max="4100" width="14" style="1" customWidth="1"/>
    <col min="4101" max="4101" width="5.19921875" style="1" bestFit="1" customWidth="1"/>
    <col min="4102" max="4102" width="9" style="1"/>
    <col min="4103" max="4103" width="11.8984375" style="1" customWidth="1"/>
    <col min="4104" max="4104" width="13.59765625" style="1" customWidth="1"/>
    <col min="4105" max="4105" width="12.69921875" style="1" customWidth="1"/>
    <col min="4106" max="4352" width="9" style="1"/>
    <col min="4353" max="4353" width="5" style="1" customWidth="1"/>
    <col min="4354" max="4354" width="17.8984375" style="1" bestFit="1" customWidth="1"/>
    <col min="4355" max="4355" width="30.19921875" style="1" customWidth="1"/>
    <col min="4356" max="4356" width="14" style="1" customWidth="1"/>
    <col min="4357" max="4357" width="5.19921875" style="1" bestFit="1" customWidth="1"/>
    <col min="4358" max="4358" width="9" style="1"/>
    <col min="4359" max="4359" width="11.8984375" style="1" customWidth="1"/>
    <col min="4360" max="4360" width="13.59765625" style="1" customWidth="1"/>
    <col min="4361" max="4361" width="12.69921875" style="1" customWidth="1"/>
    <col min="4362" max="4608" width="9" style="1"/>
    <col min="4609" max="4609" width="5" style="1" customWidth="1"/>
    <col min="4610" max="4610" width="17.8984375" style="1" bestFit="1" customWidth="1"/>
    <col min="4611" max="4611" width="30.19921875" style="1" customWidth="1"/>
    <col min="4612" max="4612" width="14" style="1" customWidth="1"/>
    <col min="4613" max="4613" width="5.19921875" style="1" bestFit="1" customWidth="1"/>
    <col min="4614" max="4614" width="9" style="1"/>
    <col min="4615" max="4615" width="11.8984375" style="1" customWidth="1"/>
    <col min="4616" max="4616" width="13.59765625" style="1" customWidth="1"/>
    <col min="4617" max="4617" width="12.69921875" style="1" customWidth="1"/>
    <col min="4618" max="4864" width="9" style="1"/>
    <col min="4865" max="4865" width="5" style="1" customWidth="1"/>
    <col min="4866" max="4866" width="17.8984375" style="1" bestFit="1" customWidth="1"/>
    <col min="4867" max="4867" width="30.19921875" style="1" customWidth="1"/>
    <col min="4868" max="4868" width="14" style="1" customWidth="1"/>
    <col min="4869" max="4869" width="5.19921875" style="1" bestFit="1" customWidth="1"/>
    <col min="4870" max="4870" width="9" style="1"/>
    <col min="4871" max="4871" width="11.8984375" style="1" customWidth="1"/>
    <col min="4872" max="4872" width="13.59765625" style="1" customWidth="1"/>
    <col min="4873" max="4873" width="12.69921875" style="1" customWidth="1"/>
    <col min="4874" max="5120" width="9" style="1"/>
    <col min="5121" max="5121" width="5" style="1" customWidth="1"/>
    <col min="5122" max="5122" width="17.8984375" style="1" bestFit="1" customWidth="1"/>
    <col min="5123" max="5123" width="30.19921875" style="1" customWidth="1"/>
    <col min="5124" max="5124" width="14" style="1" customWidth="1"/>
    <col min="5125" max="5125" width="5.19921875" style="1" bestFit="1" customWidth="1"/>
    <col min="5126" max="5126" width="9" style="1"/>
    <col min="5127" max="5127" width="11.8984375" style="1" customWidth="1"/>
    <col min="5128" max="5128" width="13.59765625" style="1" customWidth="1"/>
    <col min="5129" max="5129" width="12.69921875" style="1" customWidth="1"/>
    <col min="5130" max="5376" width="9" style="1"/>
    <col min="5377" max="5377" width="5" style="1" customWidth="1"/>
    <col min="5378" max="5378" width="17.8984375" style="1" bestFit="1" customWidth="1"/>
    <col min="5379" max="5379" width="30.19921875" style="1" customWidth="1"/>
    <col min="5380" max="5380" width="14" style="1" customWidth="1"/>
    <col min="5381" max="5381" width="5.19921875" style="1" bestFit="1" customWidth="1"/>
    <col min="5382" max="5382" width="9" style="1"/>
    <col min="5383" max="5383" width="11.8984375" style="1" customWidth="1"/>
    <col min="5384" max="5384" width="13.59765625" style="1" customWidth="1"/>
    <col min="5385" max="5385" width="12.69921875" style="1" customWidth="1"/>
    <col min="5386" max="5632" width="9" style="1"/>
    <col min="5633" max="5633" width="5" style="1" customWidth="1"/>
    <col min="5634" max="5634" width="17.8984375" style="1" bestFit="1" customWidth="1"/>
    <col min="5635" max="5635" width="30.19921875" style="1" customWidth="1"/>
    <col min="5636" max="5636" width="14" style="1" customWidth="1"/>
    <col min="5637" max="5637" width="5.19921875" style="1" bestFit="1" customWidth="1"/>
    <col min="5638" max="5638" width="9" style="1"/>
    <col min="5639" max="5639" width="11.8984375" style="1" customWidth="1"/>
    <col min="5640" max="5640" width="13.59765625" style="1" customWidth="1"/>
    <col min="5641" max="5641" width="12.69921875" style="1" customWidth="1"/>
    <col min="5642" max="5888" width="9" style="1"/>
    <col min="5889" max="5889" width="5" style="1" customWidth="1"/>
    <col min="5890" max="5890" width="17.8984375" style="1" bestFit="1" customWidth="1"/>
    <col min="5891" max="5891" width="30.19921875" style="1" customWidth="1"/>
    <col min="5892" max="5892" width="14" style="1" customWidth="1"/>
    <col min="5893" max="5893" width="5.19921875" style="1" bestFit="1" customWidth="1"/>
    <col min="5894" max="5894" width="9" style="1"/>
    <col min="5895" max="5895" width="11.8984375" style="1" customWidth="1"/>
    <col min="5896" max="5896" width="13.59765625" style="1" customWidth="1"/>
    <col min="5897" max="5897" width="12.69921875" style="1" customWidth="1"/>
    <col min="5898" max="6144" width="9" style="1"/>
    <col min="6145" max="6145" width="5" style="1" customWidth="1"/>
    <col min="6146" max="6146" width="17.8984375" style="1" bestFit="1" customWidth="1"/>
    <col min="6147" max="6147" width="30.19921875" style="1" customWidth="1"/>
    <col min="6148" max="6148" width="14" style="1" customWidth="1"/>
    <col min="6149" max="6149" width="5.19921875" style="1" bestFit="1" customWidth="1"/>
    <col min="6150" max="6150" width="9" style="1"/>
    <col min="6151" max="6151" width="11.8984375" style="1" customWidth="1"/>
    <col min="6152" max="6152" width="13.59765625" style="1" customWidth="1"/>
    <col min="6153" max="6153" width="12.69921875" style="1" customWidth="1"/>
    <col min="6154" max="6400" width="9" style="1"/>
    <col min="6401" max="6401" width="5" style="1" customWidth="1"/>
    <col min="6402" max="6402" width="17.8984375" style="1" bestFit="1" customWidth="1"/>
    <col min="6403" max="6403" width="30.19921875" style="1" customWidth="1"/>
    <col min="6404" max="6404" width="14" style="1" customWidth="1"/>
    <col min="6405" max="6405" width="5.19921875" style="1" bestFit="1" customWidth="1"/>
    <col min="6406" max="6406" width="9" style="1"/>
    <col min="6407" max="6407" width="11.8984375" style="1" customWidth="1"/>
    <col min="6408" max="6408" width="13.59765625" style="1" customWidth="1"/>
    <col min="6409" max="6409" width="12.69921875" style="1" customWidth="1"/>
    <col min="6410" max="6656" width="9" style="1"/>
    <col min="6657" max="6657" width="5" style="1" customWidth="1"/>
    <col min="6658" max="6658" width="17.8984375" style="1" bestFit="1" customWidth="1"/>
    <col min="6659" max="6659" width="30.19921875" style="1" customWidth="1"/>
    <col min="6660" max="6660" width="14" style="1" customWidth="1"/>
    <col min="6661" max="6661" width="5.19921875" style="1" bestFit="1" customWidth="1"/>
    <col min="6662" max="6662" width="9" style="1"/>
    <col min="6663" max="6663" width="11.8984375" style="1" customWidth="1"/>
    <col min="6664" max="6664" width="13.59765625" style="1" customWidth="1"/>
    <col min="6665" max="6665" width="12.69921875" style="1" customWidth="1"/>
    <col min="6666" max="6912" width="9" style="1"/>
    <col min="6913" max="6913" width="5" style="1" customWidth="1"/>
    <col min="6914" max="6914" width="17.8984375" style="1" bestFit="1" customWidth="1"/>
    <col min="6915" max="6915" width="30.19921875" style="1" customWidth="1"/>
    <col min="6916" max="6916" width="14" style="1" customWidth="1"/>
    <col min="6917" max="6917" width="5.19921875" style="1" bestFit="1" customWidth="1"/>
    <col min="6918" max="6918" width="9" style="1"/>
    <col min="6919" max="6919" width="11.8984375" style="1" customWidth="1"/>
    <col min="6920" max="6920" width="13.59765625" style="1" customWidth="1"/>
    <col min="6921" max="6921" width="12.69921875" style="1" customWidth="1"/>
    <col min="6922" max="7168" width="9" style="1"/>
    <col min="7169" max="7169" width="5" style="1" customWidth="1"/>
    <col min="7170" max="7170" width="17.8984375" style="1" bestFit="1" customWidth="1"/>
    <col min="7171" max="7171" width="30.19921875" style="1" customWidth="1"/>
    <col min="7172" max="7172" width="14" style="1" customWidth="1"/>
    <col min="7173" max="7173" width="5.19921875" style="1" bestFit="1" customWidth="1"/>
    <col min="7174" max="7174" width="9" style="1"/>
    <col min="7175" max="7175" width="11.8984375" style="1" customWidth="1"/>
    <col min="7176" max="7176" width="13.59765625" style="1" customWidth="1"/>
    <col min="7177" max="7177" width="12.69921875" style="1" customWidth="1"/>
    <col min="7178" max="7424" width="9" style="1"/>
    <col min="7425" max="7425" width="5" style="1" customWidth="1"/>
    <col min="7426" max="7426" width="17.8984375" style="1" bestFit="1" customWidth="1"/>
    <col min="7427" max="7427" width="30.19921875" style="1" customWidth="1"/>
    <col min="7428" max="7428" width="14" style="1" customWidth="1"/>
    <col min="7429" max="7429" width="5.19921875" style="1" bestFit="1" customWidth="1"/>
    <col min="7430" max="7430" width="9" style="1"/>
    <col min="7431" max="7431" width="11.8984375" style="1" customWidth="1"/>
    <col min="7432" max="7432" width="13.59765625" style="1" customWidth="1"/>
    <col min="7433" max="7433" width="12.69921875" style="1" customWidth="1"/>
    <col min="7434" max="7680" width="9" style="1"/>
    <col min="7681" max="7681" width="5" style="1" customWidth="1"/>
    <col min="7682" max="7682" width="17.8984375" style="1" bestFit="1" customWidth="1"/>
    <col min="7683" max="7683" width="30.19921875" style="1" customWidth="1"/>
    <col min="7684" max="7684" width="14" style="1" customWidth="1"/>
    <col min="7685" max="7685" width="5.19921875" style="1" bestFit="1" customWidth="1"/>
    <col min="7686" max="7686" width="9" style="1"/>
    <col min="7687" max="7687" width="11.8984375" style="1" customWidth="1"/>
    <col min="7688" max="7688" width="13.59765625" style="1" customWidth="1"/>
    <col min="7689" max="7689" width="12.69921875" style="1" customWidth="1"/>
    <col min="7690" max="7936" width="9" style="1"/>
    <col min="7937" max="7937" width="5" style="1" customWidth="1"/>
    <col min="7938" max="7938" width="17.8984375" style="1" bestFit="1" customWidth="1"/>
    <col min="7939" max="7939" width="30.19921875" style="1" customWidth="1"/>
    <col min="7940" max="7940" width="14" style="1" customWidth="1"/>
    <col min="7941" max="7941" width="5.19921875" style="1" bestFit="1" customWidth="1"/>
    <col min="7942" max="7942" width="9" style="1"/>
    <col min="7943" max="7943" width="11.8984375" style="1" customWidth="1"/>
    <col min="7944" max="7944" width="13.59765625" style="1" customWidth="1"/>
    <col min="7945" max="7945" width="12.69921875" style="1" customWidth="1"/>
    <col min="7946" max="8192" width="9" style="1"/>
    <col min="8193" max="8193" width="5" style="1" customWidth="1"/>
    <col min="8194" max="8194" width="17.8984375" style="1" bestFit="1" customWidth="1"/>
    <col min="8195" max="8195" width="30.19921875" style="1" customWidth="1"/>
    <col min="8196" max="8196" width="14" style="1" customWidth="1"/>
    <col min="8197" max="8197" width="5.19921875" style="1" bestFit="1" customWidth="1"/>
    <col min="8198" max="8198" width="9" style="1"/>
    <col min="8199" max="8199" width="11.8984375" style="1" customWidth="1"/>
    <col min="8200" max="8200" width="13.59765625" style="1" customWidth="1"/>
    <col min="8201" max="8201" width="12.69921875" style="1" customWidth="1"/>
    <col min="8202" max="8448" width="9" style="1"/>
    <col min="8449" max="8449" width="5" style="1" customWidth="1"/>
    <col min="8450" max="8450" width="17.8984375" style="1" bestFit="1" customWidth="1"/>
    <col min="8451" max="8451" width="30.19921875" style="1" customWidth="1"/>
    <col min="8452" max="8452" width="14" style="1" customWidth="1"/>
    <col min="8453" max="8453" width="5.19921875" style="1" bestFit="1" customWidth="1"/>
    <col min="8454" max="8454" width="9" style="1"/>
    <col min="8455" max="8455" width="11.8984375" style="1" customWidth="1"/>
    <col min="8456" max="8456" width="13.59765625" style="1" customWidth="1"/>
    <col min="8457" max="8457" width="12.69921875" style="1" customWidth="1"/>
    <col min="8458" max="8704" width="9" style="1"/>
    <col min="8705" max="8705" width="5" style="1" customWidth="1"/>
    <col min="8706" max="8706" width="17.8984375" style="1" bestFit="1" customWidth="1"/>
    <col min="8707" max="8707" width="30.19921875" style="1" customWidth="1"/>
    <col min="8708" max="8708" width="14" style="1" customWidth="1"/>
    <col min="8709" max="8709" width="5.19921875" style="1" bestFit="1" customWidth="1"/>
    <col min="8710" max="8710" width="9" style="1"/>
    <col min="8711" max="8711" width="11.8984375" style="1" customWidth="1"/>
    <col min="8712" max="8712" width="13.59765625" style="1" customWidth="1"/>
    <col min="8713" max="8713" width="12.69921875" style="1" customWidth="1"/>
    <col min="8714" max="8960" width="9" style="1"/>
    <col min="8961" max="8961" width="5" style="1" customWidth="1"/>
    <col min="8962" max="8962" width="17.8984375" style="1" bestFit="1" customWidth="1"/>
    <col min="8963" max="8963" width="30.19921875" style="1" customWidth="1"/>
    <col min="8964" max="8964" width="14" style="1" customWidth="1"/>
    <col min="8965" max="8965" width="5.19921875" style="1" bestFit="1" customWidth="1"/>
    <col min="8966" max="8966" width="9" style="1"/>
    <col min="8967" max="8967" width="11.8984375" style="1" customWidth="1"/>
    <col min="8968" max="8968" width="13.59765625" style="1" customWidth="1"/>
    <col min="8969" max="8969" width="12.69921875" style="1" customWidth="1"/>
    <col min="8970" max="9216" width="9" style="1"/>
    <col min="9217" max="9217" width="5" style="1" customWidth="1"/>
    <col min="9218" max="9218" width="17.8984375" style="1" bestFit="1" customWidth="1"/>
    <col min="9219" max="9219" width="30.19921875" style="1" customWidth="1"/>
    <col min="9220" max="9220" width="14" style="1" customWidth="1"/>
    <col min="9221" max="9221" width="5.19921875" style="1" bestFit="1" customWidth="1"/>
    <col min="9222" max="9222" width="9" style="1"/>
    <col min="9223" max="9223" width="11.8984375" style="1" customWidth="1"/>
    <col min="9224" max="9224" width="13.59765625" style="1" customWidth="1"/>
    <col min="9225" max="9225" width="12.69921875" style="1" customWidth="1"/>
    <col min="9226" max="9472" width="9" style="1"/>
    <col min="9473" max="9473" width="5" style="1" customWidth="1"/>
    <col min="9474" max="9474" width="17.8984375" style="1" bestFit="1" customWidth="1"/>
    <col min="9475" max="9475" width="30.19921875" style="1" customWidth="1"/>
    <col min="9476" max="9476" width="14" style="1" customWidth="1"/>
    <col min="9477" max="9477" width="5.19921875" style="1" bestFit="1" customWidth="1"/>
    <col min="9478" max="9478" width="9" style="1"/>
    <col min="9479" max="9479" width="11.8984375" style="1" customWidth="1"/>
    <col min="9480" max="9480" width="13.59765625" style="1" customWidth="1"/>
    <col min="9481" max="9481" width="12.69921875" style="1" customWidth="1"/>
    <col min="9482" max="9728" width="9" style="1"/>
    <col min="9729" max="9729" width="5" style="1" customWidth="1"/>
    <col min="9730" max="9730" width="17.8984375" style="1" bestFit="1" customWidth="1"/>
    <col min="9731" max="9731" width="30.19921875" style="1" customWidth="1"/>
    <col min="9732" max="9732" width="14" style="1" customWidth="1"/>
    <col min="9733" max="9733" width="5.19921875" style="1" bestFit="1" customWidth="1"/>
    <col min="9734" max="9734" width="9" style="1"/>
    <col min="9735" max="9735" width="11.8984375" style="1" customWidth="1"/>
    <col min="9736" max="9736" width="13.59765625" style="1" customWidth="1"/>
    <col min="9737" max="9737" width="12.69921875" style="1" customWidth="1"/>
    <col min="9738" max="9984" width="9" style="1"/>
    <col min="9985" max="9985" width="5" style="1" customWidth="1"/>
    <col min="9986" max="9986" width="17.8984375" style="1" bestFit="1" customWidth="1"/>
    <col min="9987" max="9987" width="30.19921875" style="1" customWidth="1"/>
    <col min="9988" max="9988" width="14" style="1" customWidth="1"/>
    <col min="9989" max="9989" width="5.19921875" style="1" bestFit="1" customWidth="1"/>
    <col min="9990" max="9990" width="9" style="1"/>
    <col min="9991" max="9991" width="11.8984375" style="1" customWidth="1"/>
    <col min="9992" max="9992" width="13.59765625" style="1" customWidth="1"/>
    <col min="9993" max="9993" width="12.69921875" style="1" customWidth="1"/>
    <col min="9994" max="10240" width="9" style="1"/>
    <col min="10241" max="10241" width="5" style="1" customWidth="1"/>
    <col min="10242" max="10242" width="17.8984375" style="1" bestFit="1" customWidth="1"/>
    <col min="10243" max="10243" width="30.19921875" style="1" customWidth="1"/>
    <col min="10244" max="10244" width="14" style="1" customWidth="1"/>
    <col min="10245" max="10245" width="5.19921875" style="1" bestFit="1" customWidth="1"/>
    <col min="10246" max="10246" width="9" style="1"/>
    <col min="10247" max="10247" width="11.8984375" style="1" customWidth="1"/>
    <col min="10248" max="10248" width="13.59765625" style="1" customWidth="1"/>
    <col min="10249" max="10249" width="12.69921875" style="1" customWidth="1"/>
    <col min="10250" max="10496" width="9" style="1"/>
    <col min="10497" max="10497" width="5" style="1" customWidth="1"/>
    <col min="10498" max="10498" width="17.8984375" style="1" bestFit="1" customWidth="1"/>
    <col min="10499" max="10499" width="30.19921875" style="1" customWidth="1"/>
    <col min="10500" max="10500" width="14" style="1" customWidth="1"/>
    <col min="10501" max="10501" width="5.19921875" style="1" bestFit="1" customWidth="1"/>
    <col min="10502" max="10502" width="9" style="1"/>
    <col min="10503" max="10503" width="11.8984375" style="1" customWidth="1"/>
    <col min="10504" max="10504" width="13.59765625" style="1" customWidth="1"/>
    <col min="10505" max="10505" width="12.69921875" style="1" customWidth="1"/>
    <col min="10506" max="10752" width="9" style="1"/>
    <col min="10753" max="10753" width="5" style="1" customWidth="1"/>
    <col min="10754" max="10754" width="17.8984375" style="1" bestFit="1" customWidth="1"/>
    <col min="10755" max="10755" width="30.19921875" style="1" customWidth="1"/>
    <col min="10756" max="10756" width="14" style="1" customWidth="1"/>
    <col min="10757" max="10757" width="5.19921875" style="1" bestFit="1" customWidth="1"/>
    <col min="10758" max="10758" width="9" style="1"/>
    <col min="10759" max="10759" width="11.8984375" style="1" customWidth="1"/>
    <col min="10760" max="10760" width="13.59765625" style="1" customWidth="1"/>
    <col min="10761" max="10761" width="12.69921875" style="1" customWidth="1"/>
    <col min="10762" max="11008" width="9" style="1"/>
    <col min="11009" max="11009" width="5" style="1" customWidth="1"/>
    <col min="11010" max="11010" width="17.8984375" style="1" bestFit="1" customWidth="1"/>
    <col min="11011" max="11011" width="30.19921875" style="1" customWidth="1"/>
    <col min="11012" max="11012" width="14" style="1" customWidth="1"/>
    <col min="11013" max="11013" width="5.19921875" style="1" bestFit="1" customWidth="1"/>
    <col min="11014" max="11014" width="9" style="1"/>
    <col min="11015" max="11015" width="11.8984375" style="1" customWidth="1"/>
    <col min="11016" max="11016" width="13.59765625" style="1" customWidth="1"/>
    <col min="11017" max="11017" width="12.69921875" style="1" customWidth="1"/>
    <col min="11018" max="11264" width="9" style="1"/>
    <col min="11265" max="11265" width="5" style="1" customWidth="1"/>
    <col min="11266" max="11266" width="17.8984375" style="1" bestFit="1" customWidth="1"/>
    <col min="11267" max="11267" width="30.19921875" style="1" customWidth="1"/>
    <col min="11268" max="11268" width="14" style="1" customWidth="1"/>
    <col min="11269" max="11269" width="5.19921875" style="1" bestFit="1" customWidth="1"/>
    <col min="11270" max="11270" width="9" style="1"/>
    <col min="11271" max="11271" width="11.8984375" style="1" customWidth="1"/>
    <col min="11272" max="11272" width="13.59765625" style="1" customWidth="1"/>
    <col min="11273" max="11273" width="12.69921875" style="1" customWidth="1"/>
    <col min="11274" max="11520" width="9" style="1"/>
    <col min="11521" max="11521" width="5" style="1" customWidth="1"/>
    <col min="11522" max="11522" width="17.8984375" style="1" bestFit="1" customWidth="1"/>
    <col min="11523" max="11523" width="30.19921875" style="1" customWidth="1"/>
    <col min="11524" max="11524" width="14" style="1" customWidth="1"/>
    <col min="11525" max="11525" width="5.19921875" style="1" bestFit="1" customWidth="1"/>
    <col min="11526" max="11526" width="9" style="1"/>
    <col min="11527" max="11527" width="11.8984375" style="1" customWidth="1"/>
    <col min="11528" max="11528" width="13.59765625" style="1" customWidth="1"/>
    <col min="11529" max="11529" width="12.69921875" style="1" customWidth="1"/>
    <col min="11530" max="11776" width="9" style="1"/>
    <col min="11777" max="11777" width="5" style="1" customWidth="1"/>
    <col min="11778" max="11778" width="17.8984375" style="1" bestFit="1" customWidth="1"/>
    <col min="11779" max="11779" width="30.19921875" style="1" customWidth="1"/>
    <col min="11780" max="11780" width="14" style="1" customWidth="1"/>
    <col min="11781" max="11781" width="5.19921875" style="1" bestFit="1" customWidth="1"/>
    <col min="11782" max="11782" width="9" style="1"/>
    <col min="11783" max="11783" width="11.8984375" style="1" customWidth="1"/>
    <col min="11784" max="11784" width="13.59765625" style="1" customWidth="1"/>
    <col min="11785" max="11785" width="12.69921875" style="1" customWidth="1"/>
    <col min="11786" max="12032" width="9" style="1"/>
    <col min="12033" max="12033" width="5" style="1" customWidth="1"/>
    <col min="12034" max="12034" width="17.8984375" style="1" bestFit="1" customWidth="1"/>
    <col min="12035" max="12035" width="30.19921875" style="1" customWidth="1"/>
    <col min="12036" max="12036" width="14" style="1" customWidth="1"/>
    <col min="12037" max="12037" width="5.19921875" style="1" bestFit="1" customWidth="1"/>
    <col min="12038" max="12038" width="9" style="1"/>
    <col min="12039" max="12039" width="11.8984375" style="1" customWidth="1"/>
    <col min="12040" max="12040" width="13.59765625" style="1" customWidth="1"/>
    <col min="12041" max="12041" width="12.69921875" style="1" customWidth="1"/>
    <col min="12042" max="12288" width="9" style="1"/>
    <col min="12289" max="12289" width="5" style="1" customWidth="1"/>
    <col min="12290" max="12290" width="17.8984375" style="1" bestFit="1" customWidth="1"/>
    <col min="12291" max="12291" width="30.19921875" style="1" customWidth="1"/>
    <col min="12292" max="12292" width="14" style="1" customWidth="1"/>
    <col min="12293" max="12293" width="5.19921875" style="1" bestFit="1" customWidth="1"/>
    <col min="12294" max="12294" width="9" style="1"/>
    <col min="12295" max="12295" width="11.8984375" style="1" customWidth="1"/>
    <col min="12296" max="12296" width="13.59765625" style="1" customWidth="1"/>
    <col min="12297" max="12297" width="12.69921875" style="1" customWidth="1"/>
    <col min="12298" max="12544" width="9" style="1"/>
    <col min="12545" max="12545" width="5" style="1" customWidth="1"/>
    <col min="12546" max="12546" width="17.8984375" style="1" bestFit="1" customWidth="1"/>
    <col min="12547" max="12547" width="30.19921875" style="1" customWidth="1"/>
    <col min="12548" max="12548" width="14" style="1" customWidth="1"/>
    <col min="12549" max="12549" width="5.19921875" style="1" bestFit="1" customWidth="1"/>
    <col min="12550" max="12550" width="9" style="1"/>
    <col min="12551" max="12551" width="11.8984375" style="1" customWidth="1"/>
    <col min="12552" max="12552" width="13.59765625" style="1" customWidth="1"/>
    <col min="12553" max="12553" width="12.69921875" style="1" customWidth="1"/>
    <col min="12554" max="12800" width="9" style="1"/>
    <col min="12801" max="12801" width="5" style="1" customWidth="1"/>
    <col min="12802" max="12802" width="17.8984375" style="1" bestFit="1" customWidth="1"/>
    <col min="12803" max="12803" width="30.19921875" style="1" customWidth="1"/>
    <col min="12804" max="12804" width="14" style="1" customWidth="1"/>
    <col min="12805" max="12805" width="5.19921875" style="1" bestFit="1" customWidth="1"/>
    <col min="12806" max="12806" width="9" style="1"/>
    <col min="12807" max="12807" width="11.8984375" style="1" customWidth="1"/>
    <col min="12808" max="12808" width="13.59765625" style="1" customWidth="1"/>
    <col min="12809" max="12809" width="12.69921875" style="1" customWidth="1"/>
    <col min="12810" max="13056" width="9" style="1"/>
    <col min="13057" max="13057" width="5" style="1" customWidth="1"/>
    <col min="13058" max="13058" width="17.8984375" style="1" bestFit="1" customWidth="1"/>
    <col min="13059" max="13059" width="30.19921875" style="1" customWidth="1"/>
    <col min="13060" max="13060" width="14" style="1" customWidth="1"/>
    <col min="13061" max="13061" width="5.19921875" style="1" bestFit="1" customWidth="1"/>
    <col min="13062" max="13062" width="9" style="1"/>
    <col min="13063" max="13063" width="11.8984375" style="1" customWidth="1"/>
    <col min="13064" max="13064" width="13.59765625" style="1" customWidth="1"/>
    <col min="13065" max="13065" width="12.69921875" style="1" customWidth="1"/>
    <col min="13066" max="13312" width="9" style="1"/>
    <col min="13313" max="13313" width="5" style="1" customWidth="1"/>
    <col min="13314" max="13314" width="17.8984375" style="1" bestFit="1" customWidth="1"/>
    <col min="13315" max="13315" width="30.19921875" style="1" customWidth="1"/>
    <col min="13316" max="13316" width="14" style="1" customWidth="1"/>
    <col min="13317" max="13317" width="5.19921875" style="1" bestFit="1" customWidth="1"/>
    <col min="13318" max="13318" width="9" style="1"/>
    <col min="13319" max="13319" width="11.8984375" style="1" customWidth="1"/>
    <col min="13320" max="13320" width="13.59765625" style="1" customWidth="1"/>
    <col min="13321" max="13321" width="12.69921875" style="1" customWidth="1"/>
    <col min="13322" max="13568" width="9" style="1"/>
    <col min="13569" max="13569" width="5" style="1" customWidth="1"/>
    <col min="13570" max="13570" width="17.8984375" style="1" bestFit="1" customWidth="1"/>
    <col min="13571" max="13571" width="30.19921875" style="1" customWidth="1"/>
    <col min="13572" max="13572" width="14" style="1" customWidth="1"/>
    <col min="13573" max="13573" width="5.19921875" style="1" bestFit="1" customWidth="1"/>
    <col min="13574" max="13574" width="9" style="1"/>
    <col min="13575" max="13575" width="11.8984375" style="1" customWidth="1"/>
    <col min="13576" max="13576" width="13.59765625" style="1" customWidth="1"/>
    <col min="13577" max="13577" width="12.69921875" style="1" customWidth="1"/>
    <col min="13578" max="13824" width="9" style="1"/>
    <col min="13825" max="13825" width="5" style="1" customWidth="1"/>
    <col min="13826" max="13826" width="17.8984375" style="1" bestFit="1" customWidth="1"/>
    <col min="13827" max="13827" width="30.19921875" style="1" customWidth="1"/>
    <col min="13828" max="13828" width="14" style="1" customWidth="1"/>
    <col min="13829" max="13829" width="5.19921875" style="1" bestFit="1" customWidth="1"/>
    <col min="13830" max="13830" width="9" style="1"/>
    <col min="13831" max="13831" width="11.8984375" style="1" customWidth="1"/>
    <col min="13832" max="13832" width="13.59765625" style="1" customWidth="1"/>
    <col min="13833" max="13833" width="12.69921875" style="1" customWidth="1"/>
    <col min="13834" max="14080" width="9" style="1"/>
    <col min="14081" max="14081" width="5" style="1" customWidth="1"/>
    <col min="14082" max="14082" width="17.8984375" style="1" bestFit="1" customWidth="1"/>
    <col min="14083" max="14083" width="30.19921875" style="1" customWidth="1"/>
    <col min="14084" max="14084" width="14" style="1" customWidth="1"/>
    <col min="14085" max="14085" width="5.19921875" style="1" bestFit="1" customWidth="1"/>
    <col min="14086" max="14086" width="9" style="1"/>
    <col min="14087" max="14087" width="11.8984375" style="1" customWidth="1"/>
    <col min="14088" max="14088" width="13.59765625" style="1" customWidth="1"/>
    <col min="14089" max="14089" width="12.69921875" style="1" customWidth="1"/>
    <col min="14090" max="14336" width="9" style="1"/>
    <col min="14337" max="14337" width="5" style="1" customWidth="1"/>
    <col min="14338" max="14338" width="17.8984375" style="1" bestFit="1" customWidth="1"/>
    <col min="14339" max="14339" width="30.19921875" style="1" customWidth="1"/>
    <col min="14340" max="14340" width="14" style="1" customWidth="1"/>
    <col min="14341" max="14341" width="5.19921875" style="1" bestFit="1" customWidth="1"/>
    <col min="14342" max="14342" width="9" style="1"/>
    <col min="14343" max="14343" width="11.8984375" style="1" customWidth="1"/>
    <col min="14344" max="14344" width="13.59765625" style="1" customWidth="1"/>
    <col min="14345" max="14345" width="12.69921875" style="1" customWidth="1"/>
    <col min="14346" max="14592" width="9" style="1"/>
    <col min="14593" max="14593" width="5" style="1" customWidth="1"/>
    <col min="14594" max="14594" width="17.8984375" style="1" bestFit="1" customWidth="1"/>
    <col min="14595" max="14595" width="30.19921875" style="1" customWidth="1"/>
    <col min="14596" max="14596" width="14" style="1" customWidth="1"/>
    <col min="14597" max="14597" width="5.19921875" style="1" bestFit="1" customWidth="1"/>
    <col min="14598" max="14598" width="9" style="1"/>
    <col min="14599" max="14599" width="11.8984375" style="1" customWidth="1"/>
    <col min="14600" max="14600" width="13.59765625" style="1" customWidth="1"/>
    <col min="14601" max="14601" width="12.69921875" style="1" customWidth="1"/>
    <col min="14602" max="14848" width="9" style="1"/>
    <col min="14849" max="14849" width="5" style="1" customWidth="1"/>
    <col min="14850" max="14850" width="17.8984375" style="1" bestFit="1" customWidth="1"/>
    <col min="14851" max="14851" width="30.19921875" style="1" customWidth="1"/>
    <col min="14852" max="14852" width="14" style="1" customWidth="1"/>
    <col min="14853" max="14853" width="5.19921875" style="1" bestFit="1" customWidth="1"/>
    <col min="14854" max="14854" width="9" style="1"/>
    <col min="14855" max="14855" width="11.8984375" style="1" customWidth="1"/>
    <col min="14856" max="14856" width="13.59765625" style="1" customWidth="1"/>
    <col min="14857" max="14857" width="12.69921875" style="1" customWidth="1"/>
    <col min="14858" max="15104" width="9" style="1"/>
    <col min="15105" max="15105" width="5" style="1" customWidth="1"/>
    <col min="15106" max="15106" width="17.8984375" style="1" bestFit="1" customWidth="1"/>
    <col min="15107" max="15107" width="30.19921875" style="1" customWidth="1"/>
    <col min="15108" max="15108" width="14" style="1" customWidth="1"/>
    <col min="15109" max="15109" width="5.19921875" style="1" bestFit="1" customWidth="1"/>
    <col min="15110" max="15110" width="9" style="1"/>
    <col min="15111" max="15111" width="11.8984375" style="1" customWidth="1"/>
    <col min="15112" max="15112" width="13.59765625" style="1" customWidth="1"/>
    <col min="15113" max="15113" width="12.69921875" style="1" customWidth="1"/>
    <col min="15114" max="15360" width="9" style="1"/>
    <col min="15361" max="15361" width="5" style="1" customWidth="1"/>
    <col min="15362" max="15362" width="17.8984375" style="1" bestFit="1" customWidth="1"/>
    <col min="15363" max="15363" width="30.19921875" style="1" customWidth="1"/>
    <col min="15364" max="15364" width="14" style="1" customWidth="1"/>
    <col min="15365" max="15365" width="5.19921875" style="1" bestFit="1" customWidth="1"/>
    <col min="15366" max="15366" width="9" style="1"/>
    <col min="15367" max="15367" width="11.8984375" style="1" customWidth="1"/>
    <col min="15368" max="15368" width="13.59765625" style="1" customWidth="1"/>
    <col min="15369" max="15369" width="12.69921875" style="1" customWidth="1"/>
    <col min="15370" max="15616" width="9" style="1"/>
    <col min="15617" max="15617" width="5" style="1" customWidth="1"/>
    <col min="15618" max="15618" width="17.8984375" style="1" bestFit="1" customWidth="1"/>
    <col min="15619" max="15619" width="30.19921875" style="1" customWidth="1"/>
    <col min="15620" max="15620" width="14" style="1" customWidth="1"/>
    <col min="15621" max="15621" width="5.19921875" style="1" bestFit="1" customWidth="1"/>
    <col min="15622" max="15622" width="9" style="1"/>
    <col min="15623" max="15623" width="11.8984375" style="1" customWidth="1"/>
    <col min="15624" max="15624" width="13.59765625" style="1" customWidth="1"/>
    <col min="15625" max="15625" width="12.69921875" style="1" customWidth="1"/>
    <col min="15626" max="15872" width="9" style="1"/>
    <col min="15873" max="15873" width="5" style="1" customWidth="1"/>
    <col min="15874" max="15874" width="17.8984375" style="1" bestFit="1" customWidth="1"/>
    <col min="15875" max="15875" width="30.19921875" style="1" customWidth="1"/>
    <col min="15876" max="15876" width="14" style="1" customWidth="1"/>
    <col min="15877" max="15877" width="5.19921875" style="1" bestFit="1" customWidth="1"/>
    <col min="15878" max="15878" width="9" style="1"/>
    <col min="15879" max="15879" width="11.8984375" style="1" customWidth="1"/>
    <col min="15880" max="15880" width="13.59765625" style="1" customWidth="1"/>
    <col min="15881" max="15881" width="12.69921875" style="1" customWidth="1"/>
    <col min="15882" max="16128" width="9" style="1"/>
    <col min="16129" max="16129" width="5" style="1" customWidth="1"/>
    <col min="16130" max="16130" width="17.8984375" style="1" bestFit="1" customWidth="1"/>
    <col min="16131" max="16131" width="30.19921875" style="1" customWidth="1"/>
    <col min="16132" max="16132" width="14" style="1" customWidth="1"/>
    <col min="16133" max="16133" width="5.19921875" style="1" bestFit="1" customWidth="1"/>
    <col min="16134" max="16134" width="9" style="1"/>
    <col min="16135" max="16135" width="11.8984375" style="1" customWidth="1"/>
    <col min="16136" max="16136" width="13.59765625" style="1" customWidth="1"/>
    <col min="16137" max="16137" width="12.69921875" style="1" customWidth="1"/>
    <col min="16138" max="16384" width="9" style="1"/>
  </cols>
  <sheetData>
    <row r="1" spans="1:11" ht="22.5" customHeight="1">
      <c r="B1" s="202" t="s">
        <v>161</v>
      </c>
      <c r="C1" s="285" t="s">
        <v>550</v>
      </c>
      <c r="F1" s="333"/>
      <c r="I1" s="1" t="s">
        <v>128</v>
      </c>
    </row>
    <row r="2" spans="1:11" s="26" customFormat="1" ht="16.5" customHeight="1">
      <c r="A2" s="384" t="s">
        <v>129</v>
      </c>
      <c r="B2" s="386"/>
      <c r="C2" s="131" t="s">
        <v>130</v>
      </c>
      <c r="D2" s="126" t="s">
        <v>131</v>
      </c>
      <c r="E2" s="126" t="s">
        <v>48</v>
      </c>
      <c r="F2" s="268" t="s">
        <v>49</v>
      </c>
      <c r="G2" s="268" t="s">
        <v>132</v>
      </c>
      <c r="H2" s="268" t="s">
        <v>133</v>
      </c>
      <c r="I2" s="126" t="s">
        <v>134</v>
      </c>
    </row>
    <row r="3" spans="1:11" ht="15.9" customHeight="1">
      <c r="A3" s="479" t="s">
        <v>135</v>
      </c>
      <c r="B3" s="208" t="s">
        <v>136</v>
      </c>
      <c r="C3" s="326"/>
      <c r="D3" s="348"/>
      <c r="E3" s="349"/>
      <c r="F3" s="350"/>
      <c r="G3" s="350"/>
      <c r="H3" s="233">
        <f>IF(F3=0,G3,G3*F3)</f>
        <v>0</v>
      </c>
      <c r="I3" s="234"/>
    </row>
    <row r="4" spans="1:11" ht="15.9" customHeight="1">
      <c r="A4" s="483"/>
      <c r="B4" s="208"/>
      <c r="C4" s="326"/>
      <c r="D4" s="348"/>
      <c r="E4" s="349"/>
      <c r="F4" s="350"/>
      <c r="G4" s="350"/>
      <c r="H4" s="167">
        <f>IF(F4=0,G4,G4*F4)</f>
        <v>0</v>
      </c>
      <c r="I4" s="39"/>
    </row>
    <row r="5" spans="1:11" ht="15.9" customHeight="1">
      <c r="A5" s="483"/>
      <c r="B5" s="208"/>
      <c r="C5" s="326"/>
      <c r="D5" s="348"/>
      <c r="E5" s="349"/>
      <c r="F5" s="350"/>
      <c r="G5" s="350"/>
      <c r="H5" s="167">
        <f t="shared" ref="H5:H53" si="0">IF(F5=0,G5,G5*F5)</f>
        <v>0</v>
      </c>
      <c r="I5" s="39"/>
    </row>
    <row r="6" spans="1:11" ht="15.9" customHeight="1">
      <c r="A6" s="483"/>
      <c r="B6" s="208"/>
      <c r="C6" s="326"/>
      <c r="D6" s="348"/>
      <c r="E6" s="349"/>
      <c r="F6" s="350"/>
      <c r="G6" s="350"/>
      <c r="H6" s="167">
        <f t="shared" si="0"/>
        <v>0</v>
      </c>
      <c r="I6" s="39"/>
    </row>
    <row r="7" spans="1:11" ht="15.9" customHeight="1">
      <c r="A7" s="483"/>
      <c r="B7" s="208"/>
      <c r="C7" s="326"/>
      <c r="D7" s="348"/>
      <c r="E7" s="349"/>
      <c r="F7" s="350"/>
      <c r="G7" s="350"/>
      <c r="H7" s="167">
        <f t="shared" si="0"/>
        <v>0</v>
      </c>
      <c r="I7" s="39"/>
    </row>
    <row r="8" spans="1:11" ht="15.9" customHeight="1">
      <c r="A8" s="483"/>
      <c r="B8" s="208"/>
      <c r="C8" s="326"/>
      <c r="D8" s="348"/>
      <c r="E8" s="349"/>
      <c r="F8" s="350"/>
      <c r="G8" s="350"/>
      <c r="H8" s="167">
        <f t="shared" si="0"/>
        <v>0</v>
      </c>
      <c r="I8" s="39"/>
    </row>
    <row r="9" spans="1:11" ht="15.9" customHeight="1">
      <c r="A9" s="483"/>
      <c r="B9" s="208"/>
      <c r="C9" s="326"/>
      <c r="D9" s="348"/>
      <c r="E9" s="349"/>
      <c r="F9" s="350"/>
      <c r="G9" s="350"/>
      <c r="H9" s="167">
        <f t="shared" si="0"/>
        <v>0</v>
      </c>
      <c r="I9" s="39"/>
    </row>
    <row r="10" spans="1:11" ht="15.9" customHeight="1">
      <c r="A10" s="483"/>
      <c r="B10" s="208"/>
      <c r="C10" s="326"/>
      <c r="D10" s="296"/>
      <c r="E10" s="296"/>
      <c r="F10" s="218"/>
      <c r="G10" s="218"/>
      <c r="H10" s="167">
        <f t="shared" si="0"/>
        <v>0</v>
      </c>
      <c r="I10" s="39"/>
    </row>
    <row r="11" spans="1:11" ht="15.9" customHeight="1">
      <c r="A11" s="483"/>
      <c r="B11" s="208"/>
      <c r="C11" s="296"/>
      <c r="D11" s="296"/>
      <c r="E11" s="296"/>
      <c r="F11" s="218"/>
      <c r="G11" s="218"/>
      <c r="H11" s="167">
        <f t="shared" si="0"/>
        <v>0</v>
      </c>
      <c r="I11" s="39"/>
    </row>
    <row r="12" spans="1:11" ht="15.9" customHeight="1">
      <c r="A12" s="483"/>
      <c r="B12" s="208"/>
      <c r="C12" s="296"/>
      <c r="D12" s="296"/>
      <c r="E12" s="296"/>
      <c r="F12" s="218"/>
      <c r="G12" s="218"/>
      <c r="H12" s="167">
        <f t="shared" si="0"/>
        <v>0</v>
      </c>
      <c r="I12" s="39"/>
    </row>
    <row r="13" spans="1:11" ht="15.9" customHeight="1">
      <c r="A13" s="483"/>
      <c r="B13" s="208"/>
      <c r="C13" s="296"/>
      <c r="D13" s="296"/>
      <c r="E13" s="296"/>
      <c r="F13" s="218"/>
      <c r="G13" s="218"/>
      <c r="H13" s="167">
        <f t="shared" si="0"/>
        <v>0</v>
      </c>
      <c r="I13" s="39"/>
    </row>
    <row r="14" spans="1:11" ht="15.9" customHeight="1">
      <c r="A14" s="483"/>
      <c r="B14" s="208"/>
      <c r="C14" s="296"/>
      <c r="D14" s="296"/>
      <c r="E14" s="296"/>
      <c r="F14" s="218"/>
      <c r="G14" s="218"/>
      <c r="H14" s="167">
        <f t="shared" si="0"/>
        <v>0</v>
      </c>
      <c r="I14" s="39"/>
      <c r="K14" s="351"/>
    </row>
    <row r="15" spans="1:11" ht="15.9" customHeight="1">
      <c r="A15" s="483"/>
      <c r="B15" s="208"/>
      <c r="C15" s="296"/>
      <c r="D15" s="296"/>
      <c r="E15" s="296"/>
      <c r="F15" s="218"/>
      <c r="G15" s="218"/>
      <c r="H15" s="167">
        <f t="shared" si="0"/>
        <v>0</v>
      </c>
      <c r="I15" s="39"/>
    </row>
    <row r="16" spans="1:11" ht="15.9" customHeight="1">
      <c r="A16" s="483"/>
      <c r="B16" s="208"/>
      <c r="C16" s="296"/>
      <c r="D16" s="296"/>
      <c r="E16" s="296"/>
      <c r="F16" s="218"/>
      <c r="G16" s="218"/>
      <c r="H16" s="167">
        <f t="shared" si="0"/>
        <v>0</v>
      </c>
      <c r="I16" s="39"/>
    </row>
    <row r="17" spans="1:9" ht="15.9" customHeight="1">
      <c r="A17" s="483"/>
      <c r="B17" s="208"/>
      <c r="C17" s="296"/>
      <c r="D17" s="296"/>
      <c r="E17" s="296"/>
      <c r="F17" s="218"/>
      <c r="G17" s="218"/>
      <c r="H17" s="167">
        <f t="shared" si="0"/>
        <v>0</v>
      </c>
      <c r="I17" s="39"/>
    </row>
    <row r="18" spans="1:9" ht="15.9" customHeight="1">
      <c r="A18" s="483"/>
      <c r="B18" s="208"/>
      <c r="C18" s="296"/>
      <c r="D18" s="296"/>
      <c r="E18" s="296"/>
      <c r="F18" s="218"/>
      <c r="G18" s="218"/>
      <c r="H18" s="167">
        <f t="shared" si="0"/>
        <v>0</v>
      </c>
      <c r="I18" s="39"/>
    </row>
    <row r="19" spans="1:9" ht="15.9" customHeight="1">
      <c r="A19" s="483"/>
      <c r="B19" s="208"/>
      <c r="C19" s="296"/>
      <c r="D19" s="296"/>
      <c r="E19" s="296"/>
      <c r="F19" s="218"/>
      <c r="G19" s="218"/>
      <c r="H19" s="167">
        <f t="shared" si="0"/>
        <v>0</v>
      </c>
      <c r="I19" s="39"/>
    </row>
    <row r="20" spans="1:9" ht="15.9" customHeight="1">
      <c r="A20" s="483"/>
      <c r="B20" s="208"/>
      <c r="C20" s="215"/>
      <c r="D20" s="215"/>
      <c r="E20" s="215"/>
      <c r="F20" s="218"/>
      <c r="G20" s="218"/>
      <c r="H20" s="167">
        <f t="shared" si="0"/>
        <v>0</v>
      </c>
      <c r="I20" s="39"/>
    </row>
    <row r="21" spans="1:9" ht="15.9" customHeight="1">
      <c r="A21" s="483"/>
      <c r="B21" s="208"/>
      <c r="C21" s="215"/>
      <c r="D21" s="215"/>
      <c r="E21" s="215"/>
      <c r="F21" s="218"/>
      <c r="G21" s="218"/>
      <c r="H21" s="167">
        <f t="shared" si="0"/>
        <v>0</v>
      </c>
      <c r="I21" s="39"/>
    </row>
    <row r="22" spans="1:9" ht="15.9" customHeight="1">
      <c r="A22" s="483"/>
      <c r="B22" s="208"/>
      <c r="C22" s="219"/>
      <c r="D22" s="220"/>
      <c r="E22" s="220"/>
      <c r="F22" s="221"/>
      <c r="G22" s="222"/>
      <c r="H22" s="239">
        <f t="shared" si="0"/>
        <v>0</v>
      </c>
      <c r="I22" s="240"/>
    </row>
    <row r="23" spans="1:9" ht="15.9" customHeight="1">
      <c r="A23" s="483"/>
      <c r="B23" s="223"/>
      <c r="C23" s="242"/>
      <c r="D23" s="242"/>
      <c r="E23" s="242"/>
      <c r="F23" s="245"/>
      <c r="G23" s="245"/>
      <c r="H23" s="246">
        <f>SUM(H3:H22)</f>
        <v>0</v>
      </c>
      <c r="I23" s="242"/>
    </row>
    <row r="24" spans="1:9" ht="15.9" customHeight="1">
      <c r="A24" s="483"/>
      <c r="B24" s="208" t="s">
        <v>279</v>
      </c>
      <c r="C24" s="209"/>
      <c r="D24" s="209"/>
      <c r="E24" s="209"/>
      <c r="F24" s="212"/>
      <c r="G24" s="212"/>
      <c r="H24" s="213">
        <f t="shared" si="0"/>
        <v>0</v>
      </c>
      <c r="I24" s="214"/>
    </row>
    <row r="25" spans="1:9" ht="15.9" customHeight="1">
      <c r="A25" s="483"/>
      <c r="B25" s="208" t="s">
        <v>280</v>
      </c>
      <c r="C25" s="215"/>
      <c r="D25" s="215"/>
      <c r="E25" s="215"/>
      <c r="F25" s="218"/>
      <c r="G25" s="218"/>
      <c r="H25" s="167">
        <f t="shared" si="0"/>
        <v>0</v>
      </c>
      <c r="I25" s="39"/>
    </row>
    <row r="26" spans="1:9" ht="15.9" customHeight="1">
      <c r="A26" s="483"/>
      <c r="B26" s="208"/>
      <c r="C26" s="215"/>
      <c r="D26" s="215"/>
      <c r="E26" s="215"/>
      <c r="F26" s="218"/>
      <c r="G26" s="218"/>
      <c r="H26" s="167">
        <f t="shared" si="0"/>
        <v>0</v>
      </c>
      <c r="I26" s="39"/>
    </row>
    <row r="27" spans="1:9" ht="15.9" customHeight="1">
      <c r="A27" s="483"/>
      <c r="B27" s="208"/>
      <c r="C27" s="215"/>
      <c r="D27" s="215"/>
      <c r="E27" s="215"/>
      <c r="F27" s="218"/>
      <c r="G27" s="218"/>
      <c r="H27" s="167">
        <f t="shared" si="0"/>
        <v>0</v>
      </c>
      <c r="I27" s="39"/>
    </row>
    <row r="28" spans="1:9" ht="15.9" customHeight="1">
      <c r="A28" s="483"/>
      <c r="B28" s="208"/>
      <c r="C28" s="219"/>
      <c r="D28" s="219"/>
      <c r="E28" s="219"/>
      <c r="F28" s="222"/>
      <c r="G28" s="222"/>
      <c r="H28" s="167">
        <f t="shared" si="0"/>
        <v>0</v>
      </c>
      <c r="I28" s="42"/>
    </row>
    <row r="29" spans="1:9" ht="15.9" customHeight="1">
      <c r="A29" s="483"/>
      <c r="B29" s="223"/>
      <c r="C29" s="224"/>
      <c r="D29" s="225"/>
      <c r="E29" s="225"/>
      <c r="F29" s="334"/>
      <c r="G29" s="227"/>
      <c r="H29" s="50">
        <f>SUM(H24:H28)</f>
        <v>0</v>
      </c>
      <c r="I29" s="46"/>
    </row>
    <row r="30" spans="1:9" ht="15.9" customHeight="1">
      <c r="A30" s="483"/>
      <c r="B30" s="247" t="s">
        <v>281</v>
      </c>
      <c r="C30" s="335" t="s">
        <v>547</v>
      </c>
      <c r="D30" s="335"/>
      <c r="E30" s="336" t="s">
        <v>145</v>
      </c>
      <c r="F30" s="272">
        <v>4</v>
      </c>
      <c r="G30" s="273">
        <v>2000000</v>
      </c>
      <c r="H30" s="233">
        <f t="shared" si="0"/>
        <v>8000000</v>
      </c>
      <c r="I30" s="234"/>
    </row>
    <row r="31" spans="1:9" ht="15.9" customHeight="1">
      <c r="A31" s="483"/>
      <c r="B31" s="208" t="s">
        <v>284</v>
      </c>
      <c r="C31" s="215"/>
      <c r="D31" s="215"/>
      <c r="E31" s="216"/>
      <c r="F31" s="218"/>
      <c r="G31" s="218"/>
      <c r="H31" s="167">
        <f t="shared" si="0"/>
        <v>0</v>
      </c>
      <c r="I31" s="39"/>
    </row>
    <row r="32" spans="1:9" ht="15.9" customHeight="1">
      <c r="A32" s="483"/>
      <c r="B32" s="208"/>
      <c r="C32" s="215"/>
      <c r="D32" s="215"/>
      <c r="E32" s="216"/>
      <c r="F32" s="218"/>
      <c r="G32" s="218"/>
      <c r="H32" s="167">
        <f t="shared" si="0"/>
        <v>0</v>
      </c>
      <c r="I32" s="39"/>
    </row>
    <row r="33" spans="1:9" ht="15.9" customHeight="1">
      <c r="A33" s="483"/>
      <c r="B33" s="208"/>
      <c r="C33" s="215"/>
      <c r="D33" s="215"/>
      <c r="E33" s="216"/>
      <c r="F33" s="218"/>
      <c r="G33" s="218"/>
      <c r="H33" s="167">
        <f t="shared" si="0"/>
        <v>0</v>
      </c>
      <c r="I33" s="39"/>
    </row>
    <row r="34" spans="1:9" ht="15.9" customHeight="1">
      <c r="A34" s="483"/>
      <c r="B34" s="208"/>
      <c r="C34" s="215"/>
      <c r="D34" s="215"/>
      <c r="E34" s="216"/>
      <c r="F34" s="218"/>
      <c r="G34" s="218"/>
      <c r="H34" s="167">
        <f t="shared" si="0"/>
        <v>0</v>
      </c>
      <c r="I34" s="39"/>
    </row>
    <row r="35" spans="1:9" ht="15.9" customHeight="1">
      <c r="A35" s="483"/>
      <c r="B35" s="208"/>
      <c r="C35" s="215"/>
      <c r="D35" s="215"/>
      <c r="E35" s="216"/>
      <c r="F35" s="218"/>
      <c r="G35" s="218"/>
      <c r="H35" s="167">
        <f t="shared" si="0"/>
        <v>0</v>
      </c>
      <c r="I35" s="39"/>
    </row>
    <row r="36" spans="1:9" ht="15.9" customHeight="1">
      <c r="A36" s="483"/>
      <c r="B36" s="208"/>
      <c r="C36" s="215"/>
      <c r="D36" s="215"/>
      <c r="E36" s="216"/>
      <c r="F36" s="218"/>
      <c r="G36" s="218"/>
      <c r="H36" s="167">
        <f t="shared" si="0"/>
        <v>0</v>
      </c>
      <c r="I36" s="39"/>
    </row>
    <row r="37" spans="1:9" ht="15.9" customHeight="1">
      <c r="A37" s="483"/>
      <c r="B37" s="208"/>
      <c r="C37" s="215"/>
      <c r="D37" s="215"/>
      <c r="E37" s="216"/>
      <c r="F37" s="218"/>
      <c r="G37" s="218"/>
      <c r="H37" s="167">
        <f t="shared" si="0"/>
        <v>0</v>
      </c>
      <c r="I37" s="39"/>
    </row>
    <row r="38" spans="1:9" ht="15.9" customHeight="1">
      <c r="A38" s="483"/>
      <c r="B38" s="208"/>
      <c r="C38" s="215"/>
      <c r="D38" s="215"/>
      <c r="E38" s="216"/>
      <c r="F38" s="218"/>
      <c r="G38" s="218"/>
      <c r="H38" s="167">
        <f t="shared" si="0"/>
        <v>0</v>
      </c>
      <c r="I38" s="39"/>
    </row>
    <row r="39" spans="1:9" ht="15.9" customHeight="1">
      <c r="A39" s="483"/>
      <c r="B39" s="208"/>
      <c r="C39" s="215"/>
      <c r="D39" s="215"/>
      <c r="E39" s="216"/>
      <c r="F39" s="218"/>
      <c r="G39" s="218"/>
      <c r="H39" s="167">
        <f t="shared" si="0"/>
        <v>0</v>
      </c>
      <c r="I39" s="39"/>
    </row>
    <row r="40" spans="1:9" ht="15.9" customHeight="1">
      <c r="A40" s="483"/>
      <c r="B40" s="208"/>
      <c r="C40" s="215"/>
      <c r="D40" s="215"/>
      <c r="E40" s="216"/>
      <c r="F40" s="218"/>
      <c r="G40" s="218"/>
      <c r="H40" s="167">
        <f t="shared" si="0"/>
        <v>0</v>
      </c>
      <c r="I40" s="39"/>
    </row>
    <row r="41" spans="1:9" ht="15.9" customHeight="1">
      <c r="A41" s="483"/>
      <c r="B41" s="208"/>
      <c r="C41" s="215"/>
      <c r="D41" s="215"/>
      <c r="E41" s="216"/>
      <c r="F41" s="218"/>
      <c r="G41" s="218"/>
      <c r="H41" s="167">
        <f t="shared" si="0"/>
        <v>0</v>
      </c>
      <c r="I41" s="39"/>
    </row>
    <row r="42" spans="1:9" ht="15.9" customHeight="1">
      <c r="A42" s="483"/>
      <c r="B42" s="208"/>
      <c r="C42" s="215"/>
      <c r="D42" s="215"/>
      <c r="E42" s="216"/>
      <c r="F42" s="218"/>
      <c r="G42" s="218"/>
      <c r="H42" s="167">
        <f t="shared" si="0"/>
        <v>0</v>
      </c>
      <c r="I42" s="39"/>
    </row>
    <row r="43" spans="1:9" ht="15.9" customHeight="1">
      <c r="A43" s="483"/>
      <c r="B43" s="208"/>
      <c r="C43" s="215"/>
      <c r="D43" s="215"/>
      <c r="E43" s="216"/>
      <c r="F43" s="218"/>
      <c r="G43" s="218"/>
      <c r="H43" s="167">
        <f t="shared" si="0"/>
        <v>0</v>
      </c>
      <c r="I43" s="39"/>
    </row>
    <row r="44" spans="1:9" ht="15.9" customHeight="1">
      <c r="A44" s="483"/>
      <c r="B44" s="208"/>
      <c r="C44" s="215"/>
      <c r="D44" s="215"/>
      <c r="E44" s="216"/>
      <c r="F44" s="218"/>
      <c r="G44" s="218"/>
      <c r="H44" s="167">
        <f t="shared" si="0"/>
        <v>0</v>
      </c>
      <c r="I44" s="39"/>
    </row>
    <row r="45" spans="1:9" ht="15.9" customHeight="1">
      <c r="A45" s="483"/>
      <c r="B45" s="208"/>
      <c r="C45" s="219"/>
      <c r="D45" s="220"/>
      <c r="E45" s="220"/>
      <c r="F45" s="221"/>
      <c r="G45" s="222"/>
      <c r="H45" s="177">
        <f t="shared" si="0"/>
        <v>0</v>
      </c>
      <c r="I45" s="42"/>
    </row>
    <row r="46" spans="1:9" ht="15.9" customHeight="1">
      <c r="A46" s="483"/>
      <c r="B46" s="223"/>
      <c r="C46" s="224"/>
      <c r="D46" s="225"/>
      <c r="E46" s="225"/>
      <c r="F46" s="227"/>
      <c r="G46" s="227"/>
      <c r="H46" s="50">
        <f>SUM(H30:H45)</f>
        <v>8000000</v>
      </c>
      <c r="I46" s="46"/>
    </row>
    <row r="47" spans="1:9" ht="15.9" customHeight="1">
      <c r="A47" s="483"/>
      <c r="B47" s="247" t="s">
        <v>61</v>
      </c>
      <c r="C47" s="215"/>
      <c r="D47" s="297"/>
      <c r="E47" s="297"/>
      <c r="F47" s="298"/>
      <c r="G47" s="218"/>
      <c r="H47" s="233">
        <f t="shared" si="0"/>
        <v>0</v>
      </c>
      <c r="I47" s="234"/>
    </row>
    <row r="48" spans="1:9" ht="15.9" customHeight="1">
      <c r="A48" s="483"/>
      <c r="B48" s="208"/>
      <c r="C48" s="215"/>
      <c r="D48" s="352"/>
      <c r="E48" s="297"/>
      <c r="F48" s="298"/>
      <c r="G48" s="218"/>
      <c r="H48" s="167">
        <f t="shared" si="0"/>
        <v>0</v>
      </c>
      <c r="I48" s="39"/>
    </row>
    <row r="49" spans="1:9" ht="15.9" customHeight="1">
      <c r="A49" s="483"/>
      <c r="B49" s="208"/>
      <c r="C49" s="215"/>
      <c r="D49" s="297"/>
      <c r="E49" s="297"/>
      <c r="F49" s="298"/>
      <c r="G49" s="218"/>
      <c r="H49" s="167">
        <f t="shared" si="0"/>
        <v>0</v>
      </c>
      <c r="I49" s="39"/>
    </row>
    <row r="50" spans="1:9" ht="15.9" customHeight="1">
      <c r="A50" s="483"/>
      <c r="B50" s="208"/>
      <c r="C50" s="215"/>
      <c r="D50" s="215"/>
      <c r="E50" s="215"/>
      <c r="F50" s="218"/>
      <c r="G50" s="218"/>
      <c r="H50" s="167">
        <f t="shared" si="0"/>
        <v>0</v>
      </c>
      <c r="I50" s="39"/>
    </row>
    <row r="51" spans="1:9" ht="15.9" customHeight="1">
      <c r="A51" s="483"/>
      <c r="B51" s="208"/>
      <c r="C51" s="215"/>
      <c r="D51" s="215"/>
      <c r="E51" s="215"/>
      <c r="F51" s="218"/>
      <c r="G51" s="218"/>
      <c r="H51" s="167">
        <f t="shared" si="0"/>
        <v>0</v>
      </c>
      <c r="I51" s="39"/>
    </row>
    <row r="52" spans="1:9" ht="15.9" customHeight="1">
      <c r="A52" s="483"/>
      <c r="B52" s="208"/>
      <c r="C52" s="215"/>
      <c r="D52" s="215"/>
      <c r="E52" s="215"/>
      <c r="F52" s="218"/>
      <c r="G52" s="218"/>
      <c r="H52" s="167">
        <f t="shared" si="0"/>
        <v>0</v>
      </c>
      <c r="I52" s="39"/>
    </row>
    <row r="53" spans="1:9" ht="15.9" customHeight="1">
      <c r="A53" s="483"/>
      <c r="B53" s="208"/>
      <c r="C53" s="219"/>
      <c r="D53" s="219"/>
      <c r="E53" s="219"/>
      <c r="F53" s="222"/>
      <c r="G53" s="222"/>
      <c r="H53" s="177">
        <f t="shared" si="0"/>
        <v>0</v>
      </c>
      <c r="I53" s="42"/>
    </row>
    <row r="54" spans="1:9" ht="15.9" customHeight="1">
      <c r="A54" s="483"/>
      <c r="B54" s="223"/>
      <c r="C54" s="224"/>
      <c r="D54" s="225"/>
      <c r="E54" s="225"/>
      <c r="F54" s="227"/>
      <c r="G54" s="227"/>
      <c r="H54" s="50">
        <f>SUM(H47:H53)</f>
        <v>0</v>
      </c>
      <c r="I54" s="46"/>
    </row>
    <row r="55" spans="1:9" ht="15.9" customHeight="1">
      <c r="A55" s="265"/>
      <c r="B55" s="266" t="s">
        <v>147</v>
      </c>
      <c r="C55" s="267"/>
      <c r="D55" s="46"/>
      <c r="E55" s="46"/>
      <c r="F55" s="269"/>
      <c r="G55" s="269"/>
      <c r="H55" s="50">
        <f>SUM(H54,H46,H29,H23)</f>
        <v>8000000</v>
      </c>
      <c r="I55" s="46"/>
    </row>
    <row r="56" spans="1:9" ht="15.9" customHeight="1">
      <c r="A56" s="479" t="s">
        <v>148</v>
      </c>
      <c r="B56" s="270" t="s">
        <v>67</v>
      </c>
      <c r="C56" s="267"/>
      <c r="D56" s="46"/>
      <c r="E56" s="270" t="s">
        <v>68</v>
      </c>
      <c r="F56" s="284"/>
      <c r="G56" s="273"/>
      <c r="H56" s="274">
        <f>F56*G56</f>
        <v>0</v>
      </c>
      <c r="I56" s="46"/>
    </row>
    <row r="57" spans="1:9" ht="15.9" customHeight="1">
      <c r="A57" s="483"/>
      <c r="B57" s="275" t="s">
        <v>444</v>
      </c>
      <c r="C57" s="276"/>
      <c r="D57" s="234"/>
      <c r="E57" s="275" t="s">
        <v>150</v>
      </c>
      <c r="F57" s="232"/>
      <c r="G57" s="232"/>
      <c r="H57" s="233">
        <f t="shared" ref="H57:H63" si="1">F57*G57</f>
        <v>0</v>
      </c>
      <c r="I57" s="234"/>
    </row>
    <row r="58" spans="1:9" ht="15.9" customHeight="1">
      <c r="A58" s="483"/>
      <c r="B58" s="277" t="s">
        <v>445</v>
      </c>
      <c r="C58" s="278"/>
      <c r="D58" s="39"/>
      <c r="E58" s="277" t="s">
        <v>150</v>
      </c>
      <c r="F58" s="353"/>
      <c r="G58" s="218"/>
      <c r="H58" s="167">
        <f t="shared" si="1"/>
        <v>0</v>
      </c>
      <c r="I58" s="39"/>
    </row>
    <row r="59" spans="1:9" ht="15.9" customHeight="1">
      <c r="A59" s="483"/>
      <c r="B59" s="277" t="s">
        <v>446</v>
      </c>
      <c r="C59" s="278"/>
      <c r="D59" s="39"/>
      <c r="E59" s="277" t="s">
        <v>150</v>
      </c>
      <c r="F59" s="353"/>
      <c r="G59" s="218"/>
      <c r="H59" s="167">
        <f t="shared" si="1"/>
        <v>0</v>
      </c>
      <c r="I59" s="39"/>
    </row>
    <row r="60" spans="1:9" ht="15.9" customHeight="1">
      <c r="A60" s="483"/>
      <c r="B60" s="277" t="s">
        <v>447</v>
      </c>
      <c r="C60" s="278"/>
      <c r="D60" s="39"/>
      <c r="E60" s="277" t="s">
        <v>150</v>
      </c>
      <c r="F60" s="353"/>
      <c r="G60" s="218"/>
      <c r="H60" s="167">
        <f t="shared" si="1"/>
        <v>0</v>
      </c>
      <c r="I60" s="39"/>
    </row>
    <row r="61" spans="1:9" ht="15.9" customHeight="1">
      <c r="A61" s="483"/>
      <c r="B61" s="277" t="s">
        <v>448</v>
      </c>
      <c r="C61" s="278"/>
      <c r="D61" s="39"/>
      <c r="E61" s="277" t="s">
        <v>150</v>
      </c>
      <c r="F61" s="218">
        <v>28</v>
      </c>
      <c r="G61" s="218">
        <v>400000</v>
      </c>
      <c r="H61" s="167">
        <f t="shared" si="1"/>
        <v>11200000</v>
      </c>
      <c r="I61" s="39"/>
    </row>
    <row r="62" spans="1:9" ht="15.9" customHeight="1">
      <c r="A62" s="483"/>
      <c r="B62" s="277" t="s">
        <v>449</v>
      </c>
      <c r="C62" s="278"/>
      <c r="D62" s="39"/>
      <c r="E62" s="277" t="s">
        <v>150</v>
      </c>
      <c r="F62" s="353"/>
      <c r="G62" s="218"/>
      <c r="H62" s="167">
        <f t="shared" si="1"/>
        <v>0</v>
      </c>
      <c r="I62" s="39"/>
    </row>
    <row r="63" spans="1:9" ht="15.9" customHeight="1">
      <c r="A63" s="483"/>
      <c r="B63" s="279" t="s">
        <v>551</v>
      </c>
      <c r="C63" s="280" t="s">
        <v>552</v>
      </c>
      <c r="D63" s="42"/>
      <c r="E63" s="279" t="s">
        <v>150</v>
      </c>
      <c r="F63" s="354"/>
      <c r="G63" s="222"/>
      <c r="H63" s="177">
        <f t="shared" si="1"/>
        <v>0</v>
      </c>
      <c r="I63" s="42"/>
    </row>
    <row r="64" spans="1:9" ht="15.9" customHeight="1">
      <c r="A64" s="265"/>
      <c r="B64" s="281" t="s">
        <v>156</v>
      </c>
      <c r="C64" s="267"/>
      <c r="D64" s="46"/>
      <c r="E64" s="46"/>
      <c r="F64" s="227"/>
      <c r="G64" s="227"/>
      <c r="H64" s="227">
        <f>SUM(H56:H63)</f>
        <v>11200000</v>
      </c>
      <c r="I64" s="225"/>
    </row>
    <row r="65" spans="1:9" ht="15.9" customHeight="1">
      <c r="A65" s="271"/>
      <c r="B65" s="281" t="s">
        <v>451</v>
      </c>
      <c r="C65" s="267"/>
      <c r="D65" s="46"/>
      <c r="E65" s="46"/>
      <c r="F65" s="50"/>
      <c r="G65" s="50"/>
      <c r="H65" s="269">
        <v>0</v>
      </c>
      <c r="I65" s="46"/>
    </row>
    <row r="66" spans="1:9" ht="15.9" customHeight="1">
      <c r="A66" s="271"/>
      <c r="B66" s="281" t="s">
        <v>93</v>
      </c>
      <c r="C66" s="267"/>
      <c r="D66" s="46"/>
      <c r="E66" s="46"/>
      <c r="F66" s="50"/>
      <c r="G66" s="283"/>
      <c r="H66" s="284">
        <f>(H64+H55)*0</f>
        <v>0</v>
      </c>
      <c r="I66" s="267"/>
    </row>
    <row r="67" spans="1:9" ht="15.9" customHeight="1">
      <c r="A67" s="271"/>
      <c r="B67" s="281" t="s">
        <v>159</v>
      </c>
      <c r="C67" s="267"/>
      <c r="D67" s="46"/>
      <c r="E67" s="46"/>
      <c r="F67" s="50"/>
      <c r="G67" s="283"/>
      <c r="H67" s="284">
        <f>(H64+H55)*0</f>
        <v>0</v>
      </c>
      <c r="I67" s="267"/>
    </row>
    <row r="68" spans="1:9" ht="15.9" customHeight="1">
      <c r="A68" s="271"/>
      <c r="B68" s="281" t="s">
        <v>160</v>
      </c>
      <c r="C68" s="267"/>
      <c r="D68" s="46"/>
      <c r="E68" s="46"/>
      <c r="F68" s="50"/>
      <c r="G68" s="50"/>
      <c r="H68" s="227">
        <f>H55+H64+H65+H66+H67</f>
        <v>19200000</v>
      </c>
      <c r="I68" s="46"/>
    </row>
    <row r="69" spans="1:9">
      <c r="A69" s="26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3BFD-405D-4C32-88C4-DB6E95885043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49"/>
    <col min="7" max="7" width="11.8984375" style="49" customWidth="1"/>
    <col min="8" max="8" width="13.59765625" style="49" customWidth="1"/>
    <col min="9" max="9" width="12.69921875" style="1" customWidth="1"/>
    <col min="10" max="256" width="9" style="1"/>
    <col min="257" max="257" width="5" style="1" customWidth="1"/>
    <col min="258" max="258" width="17.8984375" style="1" bestFit="1" customWidth="1"/>
    <col min="259" max="259" width="23.59765625" style="1" customWidth="1"/>
    <col min="260" max="260" width="18.19921875" style="1" customWidth="1"/>
    <col min="261" max="261" width="5.19921875" style="1" bestFit="1" customWidth="1"/>
    <col min="262" max="262" width="9" style="1"/>
    <col min="263" max="263" width="11.8984375" style="1" customWidth="1"/>
    <col min="264" max="264" width="13.59765625" style="1" customWidth="1"/>
    <col min="265" max="265" width="12.69921875" style="1" customWidth="1"/>
    <col min="266" max="512" width="9" style="1"/>
    <col min="513" max="513" width="5" style="1" customWidth="1"/>
    <col min="514" max="514" width="17.8984375" style="1" bestFit="1" customWidth="1"/>
    <col min="515" max="515" width="23.59765625" style="1" customWidth="1"/>
    <col min="516" max="516" width="18.19921875" style="1" customWidth="1"/>
    <col min="517" max="517" width="5.19921875" style="1" bestFit="1" customWidth="1"/>
    <col min="518" max="518" width="9" style="1"/>
    <col min="519" max="519" width="11.8984375" style="1" customWidth="1"/>
    <col min="520" max="520" width="13.59765625" style="1" customWidth="1"/>
    <col min="521" max="521" width="12.69921875" style="1" customWidth="1"/>
    <col min="522" max="768" width="9" style="1"/>
    <col min="769" max="769" width="5" style="1" customWidth="1"/>
    <col min="770" max="770" width="17.8984375" style="1" bestFit="1" customWidth="1"/>
    <col min="771" max="771" width="23.59765625" style="1" customWidth="1"/>
    <col min="772" max="772" width="18.19921875" style="1" customWidth="1"/>
    <col min="773" max="773" width="5.19921875" style="1" bestFit="1" customWidth="1"/>
    <col min="774" max="774" width="9" style="1"/>
    <col min="775" max="775" width="11.8984375" style="1" customWidth="1"/>
    <col min="776" max="776" width="13.59765625" style="1" customWidth="1"/>
    <col min="777" max="777" width="12.69921875" style="1" customWidth="1"/>
    <col min="778" max="1024" width="9" style="1"/>
    <col min="1025" max="1025" width="5" style="1" customWidth="1"/>
    <col min="1026" max="1026" width="17.8984375" style="1" bestFit="1" customWidth="1"/>
    <col min="1027" max="1027" width="23.59765625" style="1" customWidth="1"/>
    <col min="1028" max="1028" width="18.19921875" style="1" customWidth="1"/>
    <col min="1029" max="1029" width="5.19921875" style="1" bestFit="1" customWidth="1"/>
    <col min="1030" max="1030" width="9" style="1"/>
    <col min="1031" max="1031" width="11.8984375" style="1" customWidth="1"/>
    <col min="1032" max="1032" width="13.59765625" style="1" customWidth="1"/>
    <col min="1033" max="1033" width="12.69921875" style="1" customWidth="1"/>
    <col min="1034" max="1280" width="9" style="1"/>
    <col min="1281" max="1281" width="5" style="1" customWidth="1"/>
    <col min="1282" max="1282" width="17.8984375" style="1" bestFit="1" customWidth="1"/>
    <col min="1283" max="1283" width="23.59765625" style="1" customWidth="1"/>
    <col min="1284" max="1284" width="18.19921875" style="1" customWidth="1"/>
    <col min="1285" max="1285" width="5.19921875" style="1" bestFit="1" customWidth="1"/>
    <col min="1286" max="1286" width="9" style="1"/>
    <col min="1287" max="1287" width="11.8984375" style="1" customWidth="1"/>
    <col min="1288" max="1288" width="13.59765625" style="1" customWidth="1"/>
    <col min="1289" max="1289" width="12.69921875" style="1" customWidth="1"/>
    <col min="1290" max="1536" width="9" style="1"/>
    <col min="1537" max="1537" width="5" style="1" customWidth="1"/>
    <col min="1538" max="1538" width="17.8984375" style="1" bestFit="1" customWidth="1"/>
    <col min="1539" max="1539" width="23.59765625" style="1" customWidth="1"/>
    <col min="1540" max="1540" width="18.19921875" style="1" customWidth="1"/>
    <col min="1541" max="1541" width="5.19921875" style="1" bestFit="1" customWidth="1"/>
    <col min="1542" max="1542" width="9" style="1"/>
    <col min="1543" max="1543" width="11.8984375" style="1" customWidth="1"/>
    <col min="1544" max="1544" width="13.59765625" style="1" customWidth="1"/>
    <col min="1545" max="1545" width="12.69921875" style="1" customWidth="1"/>
    <col min="1546" max="1792" width="9" style="1"/>
    <col min="1793" max="1793" width="5" style="1" customWidth="1"/>
    <col min="1794" max="1794" width="17.8984375" style="1" bestFit="1" customWidth="1"/>
    <col min="1795" max="1795" width="23.59765625" style="1" customWidth="1"/>
    <col min="1796" max="1796" width="18.19921875" style="1" customWidth="1"/>
    <col min="1797" max="1797" width="5.19921875" style="1" bestFit="1" customWidth="1"/>
    <col min="1798" max="1798" width="9" style="1"/>
    <col min="1799" max="1799" width="11.8984375" style="1" customWidth="1"/>
    <col min="1800" max="1800" width="13.59765625" style="1" customWidth="1"/>
    <col min="1801" max="1801" width="12.69921875" style="1" customWidth="1"/>
    <col min="1802" max="2048" width="9" style="1"/>
    <col min="2049" max="2049" width="5" style="1" customWidth="1"/>
    <col min="2050" max="2050" width="17.8984375" style="1" bestFit="1" customWidth="1"/>
    <col min="2051" max="2051" width="23.59765625" style="1" customWidth="1"/>
    <col min="2052" max="2052" width="18.19921875" style="1" customWidth="1"/>
    <col min="2053" max="2053" width="5.19921875" style="1" bestFit="1" customWidth="1"/>
    <col min="2054" max="2054" width="9" style="1"/>
    <col min="2055" max="2055" width="11.8984375" style="1" customWidth="1"/>
    <col min="2056" max="2056" width="13.59765625" style="1" customWidth="1"/>
    <col min="2057" max="2057" width="12.69921875" style="1" customWidth="1"/>
    <col min="2058" max="2304" width="9" style="1"/>
    <col min="2305" max="2305" width="5" style="1" customWidth="1"/>
    <col min="2306" max="2306" width="17.8984375" style="1" bestFit="1" customWidth="1"/>
    <col min="2307" max="2307" width="23.59765625" style="1" customWidth="1"/>
    <col min="2308" max="2308" width="18.19921875" style="1" customWidth="1"/>
    <col min="2309" max="2309" width="5.19921875" style="1" bestFit="1" customWidth="1"/>
    <col min="2310" max="2310" width="9" style="1"/>
    <col min="2311" max="2311" width="11.8984375" style="1" customWidth="1"/>
    <col min="2312" max="2312" width="13.59765625" style="1" customWidth="1"/>
    <col min="2313" max="2313" width="12.69921875" style="1" customWidth="1"/>
    <col min="2314" max="2560" width="9" style="1"/>
    <col min="2561" max="2561" width="5" style="1" customWidth="1"/>
    <col min="2562" max="2562" width="17.8984375" style="1" bestFit="1" customWidth="1"/>
    <col min="2563" max="2563" width="23.59765625" style="1" customWidth="1"/>
    <col min="2564" max="2564" width="18.19921875" style="1" customWidth="1"/>
    <col min="2565" max="2565" width="5.19921875" style="1" bestFit="1" customWidth="1"/>
    <col min="2566" max="2566" width="9" style="1"/>
    <col min="2567" max="2567" width="11.8984375" style="1" customWidth="1"/>
    <col min="2568" max="2568" width="13.59765625" style="1" customWidth="1"/>
    <col min="2569" max="2569" width="12.69921875" style="1" customWidth="1"/>
    <col min="2570" max="2816" width="9" style="1"/>
    <col min="2817" max="2817" width="5" style="1" customWidth="1"/>
    <col min="2818" max="2818" width="17.8984375" style="1" bestFit="1" customWidth="1"/>
    <col min="2819" max="2819" width="23.59765625" style="1" customWidth="1"/>
    <col min="2820" max="2820" width="18.19921875" style="1" customWidth="1"/>
    <col min="2821" max="2821" width="5.19921875" style="1" bestFit="1" customWidth="1"/>
    <col min="2822" max="2822" width="9" style="1"/>
    <col min="2823" max="2823" width="11.8984375" style="1" customWidth="1"/>
    <col min="2824" max="2824" width="13.59765625" style="1" customWidth="1"/>
    <col min="2825" max="2825" width="12.69921875" style="1" customWidth="1"/>
    <col min="2826" max="3072" width="9" style="1"/>
    <col min="3073" max="3073" width="5" style="1" customWidth="1"/>
    <col min="3074" max="3074" width="17.8984375" style="1" bestFit="1" customWidth="1"/>
    <col min="3075" max="3075" width="23.59765625" style="1" customWidth="1"/>
    <col min="3076" max="3076" width="18.19921875" style="1" customWidth="1"/>
    <col min="3077" max="3077" width="5.19921875" style="1" bestFit="1" customWidth="1"/>
    <col min="3078" max="3078" width="9" style="1"/>
    <col min="3079" max="3079" width="11.8984375" style="1" customWidth="1"/>
    <col min="3080" max="3080" width="13.59765625" style="1" customWidth="1"/>
    <col min="3081" max="3081" width="12.69921875" style="1" customWidth="1"/>
    <col min="3082" max="3328" width="9" style="1"/>
    <col min="3329" max="3329" width="5" style="1" customWidth="1"/>
    <col min="3330" max="3330" width="17.8984375" style="1" bestFit="1" customWidth="1"/>
    <col min="3331" max="3331" width="23.59765625" style="1" customWidth="1"/>
    <col min="3332" max="3332" width="18.19921875" style="1" customWidth="1"/>
    <col min="3333" max="3333" width="5.19921875" style="1" bestFit="1" customWidth="1"/>
    <col min="3334" max="3334" width="9" style="1"/>
    <col min="3335" max="3335" width="11.8984375" style="1" customWidth="1"/>
    <col min="3336" max="3336" width="13.59765625" style="1" customWidth="1"/>
    <col min="3337" max="3337" width="12.69921875" style="1" customWidth="1"/>
    <col min="3338" max="3584" width="9" style="1"/>
    <col min="3585" max="3585" width="5" style="1" customWidth="1"/>
    <col min="3586" max="3586" width="17.8984375" style="1" bestFit="1" customWidth="1"/>
    <col min="3587" max="3587" width="23.59765625" style="1" customWidth="1"/>
    <col min="3588" max="3588" width="18.19921875" style="1" customWidth="1"/>
    <col min="3589" max="3589" width="5.19921875" style="1" bestFit="1" customWidth="1"/>
    <col min="3590" max="3590" width="9" style="1"/>
    <col min="3591" max="3591" width="11.8984375" style="1" customWidth="1"/>
    <col min="3592" max="3592" width="13.59765625" style="1" customWidth="1"/>
    <col min="3593" max="3593" width="12.69921875" style="1" customWidth="1"/>
    <col min="3594" max="3840" width="9" style="1"/>
    <col min="3841" max="3841" width="5" style="1" customWidth="1"/>
    <col min="3842" max="3842" width="17.8984375" style="1" bestFit="1" customWidth="1"/>
    <col min="3843" max="3843" width="23.59765625" style="1" customWidth="1"/>
    <col min="3844" max="3844" width="18.19921875" style="1" customWidth="1"/>
    <col min="3845" max="3845" width="5.19921875" style="1" bestFit="1" customWidth="1"/>
    <col min="3846" max="3846" width="9" style="1"/>
    <col min="3847" max="3847" width="11.8984375" style="1" customWidth="1"/>
    <col min="3848" max="3848" width="13.59765625" style="1" customWidth="1"/>
    <col min="3849" max="3849" width="12.69921875" style="1" customWidth="1"/>
    <col min="3850" max="4096" width="9" style="1"/>
    <col min="4097" max="4097" width="5" style="1" customWidth="1"/>
    <col min="4098" max="4098" width="17.8984375" style="1" bestFit="1" customWidth="1"/>
    <col min="4099" max="4099" width="23.59765625" style="1" customWidth="1"/>
    <col min="4100" max="4100" width="18.19921875" style="1" customWidth="1"/>
    <col min="4101" max="4101" width="5.19921875" style="1" bestFit="1" customWidth="1"/>
    <col min="4102" max="4102" width="9" style="1"/>
    <col min="4103" max="4103" width="11.8984375" style="1" customWidth="1"/>
    <col min="4104" max="4104" width="13.59765625" style="1" customWidth="1"/>
    <col min="4105" max="4105" width="12.69921875" style="1" customWidth="1"/>
    <col min="4106" max="4352" width="9" style="1"/>
    <col min="4353" max="4353" width="5" style="1" customWidth="1"/>
    <col min="4354" max="4354" width="17.8984375" style="1" bestFit="1" customWidth="1"/>
    <col min="4355" max="4355" width="23.59765625" style="1" customWidth="1"/>
    <col min="4356" max="4356" width="18.19921875" style="1" customWidth="1"/>
    <col min="4357" max="4357" width="5.19921875" style="1" bestFit="1" customWidth="1"/>
    <col min="4358" max="4358" width="9" style="1"/>
    <col min="4359" max="4359" width="11.8984375" style="1" customWidth="1"/>
    <col min="4360" max="4360" width="13.59765625" style="1" customWidth="1"/>
    <col min="4361" max="4361" width="12.69921875" style="1" customWidth="1"/>
    <col min="4362" max="4608" width="9" style="1"/>
    <col min="4609" max="4609" width="5" style="1" customWidth="1"/>
    <col min="4610" max="4610" width="17.8984375" style="1" bestFit="1" customWidth="1"/>
    <col min="4611" max="4611" width="23.59765625" style="1" customWidth="1"/>
    <col min="4612" max="4612" width="18.19921875" style="1" customWidth="1"/>
    <col min="4613" max="4613" width="5.19921875" style="1" bestFit="1" customWidth="1"/>
    <col min="4614" max="4614" width="9" style="1"/>
    <col min="4615" max="4615" width="11.8984375" style="1" customWidth="1"/>
    <col min="4616" max="4616" width="13.59765625" style="1" customWidth="1"/>
    <col min="4617" max="4617" width="12.69921875" style="1" customWidth="1"/>
    <col min="4618" max="4864" width="9" style="1"/>
    <col min="4865" max="4865" width="5" style="1" customWidth="1"/>
    <col min="4866" max="4866" width="17.8984375" style="1" bestFit="1" customWidth="1"/>
    <col min="4867" max="4867" width="23.59765625" style="1" customWidth="1"/>
    <col min="4868" max="4868" width="18.19921875" style="1" customWidth="1"/>
    <col min="4869" max="4869" width="5.19921875" style="1" bestFit="1" customWidth="1"/>
    <col min="4870" max="4870" width="9" style="1"/>
    <col min="4871" max="4871" width="11.8984375" style="1" customWidth="1"/>
    <col min="4872" max="4872" width="13.59765625" style="1" customWidth="1"/>
    <col min="4873" max="4873" width="12.69921875" style="1" customWidth="1"/>
    <col min="4874" max="5120" width="9" style="1"/>
    <col min="5121" max="5121" width="5" style="1" customWidth="1"/>
    <col min="5122" max="5122" width="17.8984375" style="1" bestFit="1" customWidth="1"/>
    <col min="5123" max="5123" width="23.59765625" style="1" customWidth="1"/>
    <col min="5124" max="5124" width="18.19921875" style="1" customWidth="1"/>
    <col min="5125" max="5125" width="5.19921875" style="1" bestFit="1" customWidth="1"/>
    <col min="5126" max="5126" width="9" style="1"/>
    <col min="5127" max="5127" width="11.8984375" style="1" customWidth="1"/>
    <col min="5128" max="5128" width="13.59765625" style="1" customWidth="1"/>
    <col min="5129" max="5129" width="12.69921875" style="1" customWidth="1"/>
    <col min="5130" max="5376" width="9" style="1"/>
    <col min="5377" max="5377" width="5" style="1" customWidth="1"/>
    <col min="5378" max="5378" width="17.8984375" style="1" bestFit="1" customWidth="1"/>
    <col min="5379" max="5379" width="23.59765625" style="1" customWidth="1"/>
    <col min="5380" max="5380" width="18.19921875" style="1" customWidth="1"/>
    <col min="5381" max="5381" width="5.19921875" style="1" bestFit="1" customWidth="1"/>
    <col min="5382" max="5382" width="9" style="1"/>
    <col min="5383" max="5383" width="11.8984375" style="1" customWidth="1"/>
    <col min="5384" max="5384" width="13.59765625" style="1" customWidth="1"/>
    <col min="5385" max="5385" width="12.69921875" style="1" customWidth="1"/>
    <col min="5386" max="5632" width="9" style="1"/>
    <col min="5633" max="5633" width="5" style="1" customWidth="1"/>
    <col min="5634" max="5634" width="17.8984375" style="1" bestFit="1" customWidth="1"/>
    <col min="5635" max="5635" width="23.59765625" style="1" customWidth="1"/>
    <col min="5636" max="5636" width="18.19921875" style="1" customWidth="1"/>
    <col min="5637" max="5637" width="5.19921875" style="1" bestFit="1" customWidth="1"/>
    <col min="5638" max="5638" width="9" style="1"/>
    <col min="5639" max="5639" width="11.8984375" style="1" customWidth="1"/>
    <col min="5640" max="5640" width="13.59765625" style="1" customWidth="1"/>
    <col min="5641" max="5641" width="12.69921875" style="1" customWidth="1"/>
    <col min="5642" max="5888" width="9" style="1"/>
    <col min="5889" max="5889" width="5" style="1" customWidth="1"/>
    <col min="5890" max="5890" width="17.8984375" style="1" bestFit="1" customWidth="1"/>
    <col min="5891" max="5891" width="23.59765625" style="1" customWidth="1"/>
    <col min="5892" max="5892" width="18.19921875" style="1" customWidth="1"/>
    <col min="5893" max="5893" width="5.19921875" style="1" bestFit="1" customWidth="1"/>
    <col min="5894" max="5894" width="9" style="1"/>
    <col min="5895" max="5895" width="11.8984375" style="1" customWidth="1"/>
    <col min="5896" max="5896" width="13.59765625" style="1" customWidth="1"/>
    <col min="5897" max="5897" width="12.69921875" style="1" customWidth="1"/>
    <col min="5898" max="6144" width="9" style="1"/>
    <col min="6145" max="6145" width="5" style="1" customWidth="1"/>
    <col min="6146" max="6146" width="17.8984375" style="1" bestFit="1" customWidth="1"/>
    <col min="6147" max="6147" width="23.59765625" style="1" customWidth="1"/>
    <col min="6148" max="6148" width="18.19921875" style="1" customWidth="1"/>
    <col min="6149" max="6149" width="5.19921875" style="1" bestFit="1" customWidth="1"/>
    <col min="6150" max="6150" width="9" style="1"/>
    <col min="6151" max="6151" width="11.8984375" style="1" customWidth="1"/>
    <col min="6152" max="6152" width="13.59765625" style="1" customWidth="1"/>
    <col min="6153" max="6153" width="12.69921875" style="1" customWidth="1"/>
    <col min="6154" max="6400" width="9" style="1"/>
    <col min="6401" max="6401" width="5" style="1" customWidth="1"/>
    <col min="6402" max="6402" width="17.8984375" style="1" bestFit="1" customWidth="1"/>
    <col min="6403" max="6403" width="23.59765625" style="1" customWidth="1"/>
    <col min="6404" max="6404" width="18.19921875" style="1" customWidth="1"/>
    <col min="6405" max="6405" width="5.19921875" style="1" bestFit="1" customWidth="1"/>
    <col min="6406" max="6406" width="9" style="1"/>
    <col min="6407" max="6407" width="11.8984375" style="1" customWidth="1"/>
    <col min="6408" max="6408" width="13.59765625" style="1" customWidth="1"/>
    <col min="6409" max="6409" width="12.69921875" style="1" customWidth="1"/>
    <col min="6410" max="6656" width="9" style="1"/>
    <col min="6657" max="6657" width="5" style="1" customWidth="1"/>
    <col min="6658" max="6658" width="17.8984375" style="1" bestFit="1" customWidth="1"/>
    <col min="6659" max="6659" width="23.59765625" style="1" customWidth="1"/>
    <col min="6660" max="6660" width="18.19921875" style="1" customWidth="1"/>
    <col min="6661" max="6661" width="5.19921875" style="1" bestFit="1" customWidth="1"/>
    <col min="6662" max="6662" width="9" style="1"/>
    <col min="6663" max="6663" width="11.8984375" style="1" customWidth="1"/>
    <col min="6664" max="6664" width="13.59765625" style="1" customWidth="1"/>
    <col min="6665" max="6665" width="12.69921875" style="1" customWidth="1"/>
    <col min="6666" max="6912" width="9" style="1"/>
    <col min="6913" max="6913" width="5" style="1" customWidth="1"/>
    <col min="6914" max="6914" width="17.8984375" style="1" bestFit="1" customWidth="1"/>
    <col min="6915" max="6915" width="23.59765625" style="1" customWidth="1"/>
    <col min="6916" max="6916" width="18.19921875" style="1" customWidth="1"/>
    <col min="6917" max="6917" width="5.19921875" style="1" bestFit="1" customWidth="1"/>
    <col min="6918" max="6918" width="9" style="1"/>
    <col min="6919" max="6919" width="11.8984375" style="1" customWidth="1"/>
    <col min="6920" max="6920" width="13.59765625" style="1" customWidth="1"/>
    <col min="6921" max="6921" width="12.69921875" style="1" customWidth="1"/>
    <col min="6922" max="7168" width="9" style="1"/>
    <col min="7169" max="7169" width="5" style="1" customWidth="1"/>
    <col min="7170" max="7170" width="17.8984375" style="1" bestFit="1" customWidth="1"/>
    <col min="7171" max="7171" width="23.59765625" style="1" customWidth="1"/>
    <col min="7172" max="7172" width="18.19921875" style="1" customWidth="1"/>
    <col min="7173" max="7173" width="5.19921875" style="1" bestFit="1" customWidth="1"/>
    <col min="7174" max="7174" width="9" style="1"/>
    <col min="7175" max="7175" width="11.8984375" style="1" customWidth="1"/>
    <col min="7176" max="7176" width="13.59765625" style="1" customWidth="1"/>
    <col min="7177" max="7177" width="12.69921875" style="1" customWidth="1"/>
    <col min="7178" max="7424" width="9" style="1"/>
    <col min="7425" max="7425" width="5" style="1" customWidth="1"/>
    <col min="7426" max="7426" width="17.8984375" style="1" bestFit="1" customWidth="1"/>
    <col min="7427" max="7427" width="23.59765625" style="1" customWidth="1"/>
    <col min="7428" max="7428" width="18.19921875" style="1" customWidth="1"/>
    <col min="7429" max="7429" width="5.19921875" style="1" bestFit="1" customWidth="1"/>
    <col min="7430" max="7430" width="9" style="1"/>
    <col min="7431" max="7431" width="11.8984375" style="1" customWidth="1"/>
    <col min="7432" max="7432" width="13.59765625" style="1" customWidth="1"/>
    <col min="7433" max="7433" width="12.69921875" style="1" customWidth="1"/>
    <col min="7434" max="7680" width="9" style="1"/>
    <col min="7681" max="7681" width="5" style="1" customWidth="1"/>
    <col min="7682" max="7682" width="17.8984375" style="1" bestFit="1" customWidth="1"/>
    <col min="7683" max="7683" width="23.59765625" style="1" customWidth="1"/>
    <col min="7684" max="7684" width="18.19921875" style="1" customWidth="1"/>
    <col min="7685" max="7685" width="5.19921875" style="1" bestFit="1" customWidth="1"/>
    <col min="7686" max="7686" width="9" style="1"/>
    <col min="7687" max="7687" width="11.8984375" style="1" customWidth="1"/>
    <col min="7688" max="7688" width="13.59765625" style="1" customWidth="1"/>
    <col min="7689" max="7689" width="12.69921875" style="1" customWidth="1"/>
    <col min="7690" max="7936" width="9" style="1"/>
    <col min="7937" max="7937" width="5" style="1" customWidth="1"/>
    <col min="7938" max="7938" width="17.8984375" style="1" bestFit="1" customWidth="1"/>
    <col min="7939" max="7939" width="23.59765625" style="1" customWidth="1"/>
    <col min="7940" max="7940" width="18.19921875" style="1" customWidth="1"/>
    <col min="7941" max="7941" width="5.19921875" style="1" bestFit="1" customWidth="1"/>
    <col min="7942" max="7942" width="9" style="1"/>
    <col min="7943" max="7943" width="11.8984375" style="1" customWidth="1"/>
    <col min="7944" max="7944" width="13.59765625" style="1" customWidth="1"/>
    <col min="7945" max="7945" width="12.69921875" style="1" customWidth="1"/>
    <col min="7946" max="8192" width="9" style="1"/>
    <col min="8193" max="8193" width="5" style="1" customWidth="1"/>
    <col min="8194" max="8194" width="17.8984375" style="1" bestFit="1" customWidth="1"/>
    <col min="8195" max="8195" width="23.59765625" style="1" customWidth="1"/>
    <col min="8196" max="8196" width="18.19921875" style="1" customWidth="1"/>
    <col min="8197" max="8197" width="5.19921875" style="1" bestFit="1" customWidth="1"/>
    <col min="8198" max="8198" width="9" style="1"/>
    <col min="8199" max="8199" width="11.8984375" style="1" customWidth="1"/>
    <col min="8200" max="8200" width="13.59765625" style="1" customWidth="1"/>
    <col min="8201" max="8201" width="12.69921875" style="1" customWidth="1"/>
    <col min="8202" max="8448" width="9" style="1"/>
    <col min="8449" max="8449" width="5" style="1" customWidth="1"/>
    <col min="8450" max="8450" width="17.8984375" style="1" bestFit="1" customWidth="1"/>
    <col min="8451" max="8451" width="23.59765625" style="1" customWidth="1"/>
    <col min="8452" max="8452" width="18.19921875" style="1" customWidth="1"/>
    <col min="8453" max="8453" width="5.19921875" style="1" bestFit="1" customWidth="1"/>
    <col min="8454" max="8454" width="9" style="1"/>
    <col min="8455" max="8455" width="11.8984375" style="1" customWidth="1"/>
    <col min="8456" max="8456" width="13.59765625" style="1" customWidth="1"/>
    <col min="8457" max="8457" width="12.69921875" style="1" customWidth="1"/>
    <col min="8458" max="8704" width="9" style="1"/>
    <col min="8705" max="8705" width="5" style="1" customWidth="1"/>
    <col min="8706" max="8706" width="17.8984375" style="1" bestFit="1" customWidth="1"/>
    <col min="8707" max="8707" width="23.59765625" style="1" customWidth="1"/>
    <col min="8708" max="8708" width="18.19921875" style="1" customWidth="1"/>
    <col min="8709" max="8709" width="5.19921875" style="1" bestFit="1" customWidth="1"/>
    <col min="8710" max="8710" width="9" style="1"/>
    <col min="8711" max="8711" width="11.8984375" style="1" customWidth="1"/>
    <col min="8712" max="8712" width="13.59765625" style="1" customWidth="1"/>
    <col min="8713" max="8713" width="12.69921875" style="1" customWidth="1"/>
    <col min="8714" max="8960" width="9" style="1"/>
    <col min="8961" max="8961" width="5" style="1" customWidth="1"/>
    <col min="8962" max="8962" width="17.8984375" style="1" bestFit="1" customWidth="1"/>
    <col min="8963" max="8963" width="23.59765625" style="1" customWidth="1"/>
    <col min="8964" max="8964" width="18.19921875" style="1" customWidth="1"/>
    <col min="8965" max="8965" width="5.19921875" style="1" bestFit="1" customWidth="1"/>
    <col min="8966" max="8966" width="9" style="1"/>
    <col min="8967" max="8967" width="11.8984375" style="1" customWidth="1"/>
    <col min="8968" max="8968" width="13.59765625" style="1" customWidth="1"/>
    <col min="8969" max="8969" width="12.69921875" style="1" customWidth="1"/>
    <col min="8970" max="9216" width="9" style="1"/>
    <col min="9217" max="9217" width="5" style="1" customWidth="1"/>
    <col min="9218" max="9218" width="17.8984375" style="1" bestFit="1" customWidth="1"/>
    <col min="9219" max="9219" width="23.59765625" style="1" customWidth="1"/>
    <col min="9220" max="9220" width="18.19921875" style="1" customWidth="1"/>
    <col min="9221" max="9221" width="5.19921875" style="1" bestFit="1" customWidth="1"/>
    <col min="9222" max="9222" width="9" style="1"/>
    <col min="9223" max="9223" width="11.8984375" style="1" customWidth="1"/>
    <col min="9224" max="9224" width="13.59765625" style="1" customWidth="1"/>
    <col min="9225" max="9225" width="12.69921875" style="1" customWidth="1"/>
    <col min="9226" max="9472" width="9" style="1"/>
    <col min="9473" max="9473" width="5" style="1" customWidth="1"/>
    <col min="9474" max="9474" width="17.8984375" style="1" bestFit="1" customWidth="1"/>
    <col min="9475" max="9475" width="23.59765625" style="1" customWidth="1"/>
    <col min="9476" max="9476" width="18.19921875" style="1" customWidth="1"/>
    <col min="9477" max="9477" width="5.19921875" style="1" bestFit="1" customWidth="1"/>
    <col min="9478" max="9478" width="9" style="1"/>
    <col min="9479" max="9479" width="11.8984375" style="1" customWidth="1"/>
    <col min="9480" max="9480" width="13.59765625" style="1" customWidth="1"/>
    <col min="9481" max="9481" width="12.69921875" style="1" customWidth="1"/>
    <col min="9482" max="9728" width="9" style="1"/>
    <col min="9729" max="9729" width="5" style="1" customWidth="1"/>
    <col min="9730" max="9730" width="17.8984375" style="1" bestFit="1" customWidth="1"/>
    <col min="9731" max="9731" width="23.59765625" style="1" customWidth="1"/>
    <col min="9732" max="9732" width="18.19921875" style="1" customWidth="1"/>
    <col min="9733" max="9733" width="5.19921875" style="1" bestFit="1" customWidth="1"/>
    <col min="9734" max="9734" width="9" style="1"/>
    <col min="9735" max="9735" width="11.8984375" style="1" customWidth="1"/>
    <col min="9736" max="9736" width="13.59765625" style="1" customWidth="1"/>
    <col min="9737" max="9737" width="12.69921875" style="1" customWidth="1"/>
    <col min="9738" max="9984" width="9" style="1"/>
    <col min="9985" max="9985" width="5" style="1" customWidth="1"/>
    <col min="9986" max="9986" width="17.8984375" style="1" bestFit="1" customWidth="1"/>
    <col min="9987" max="9987" width="23.59765625" style="1" customWidth="1"/>
    <col min="9988" max="9988" width="18.19921875" style="1" customWidth="1"/>
    <col min="9989" max="9989" width="5.19921875" style="1" bestFit="1" customWidth="1"/>
    <col min="9990" max="9990" width="9" style="1"/>
    <col min="9991" max="9991" width="11.8984375" style="1" customWidth="1"/>
    <col min="9992" max="9992" width="13.59765625" style="1" customWidth="1"/>
    <col min="9993" max="9993" width="12.69921875" style="1" customWidth="1"/>
    <col min="9994" max="10240" width="9" style="1"/>
    <col min="10241" max="10241" width="5" style="1" customWidth="1"/>
    <col min="10242" max="10242" width="17.8984375" style="1" bestFit="1" customWidth="1"/>
    <col min="10243" max="10243" width="23.59765625" style="1" customWidth="1"/>
    <col min="10244" max="10244" width="18.19921875" style="1" customWidth="1"/>
    <col min="10245" max="10245" width="5.19921875" style="1" bestFit="1" customWidth="1"/>
    <col min="10246" max="10246" width="9" style="1"/>
    <col min="10247" max="10247" width="11.8984375" style="1" customWidth="1"/>
    <col min="10248" max="10248" width="13.59765625" style="1" customWidth="1"/>
    <col min="10249" max="10249" width="12.69921875" style="1" customWidth="1"/>
    <col min="10250" max="10496" width="9" style="1"/>
    <col min="10497" max="10497" width="5" style="1" customWidth="1"/>
    <col min="10498" max="10498" width="17.8984375" style="1" bestFit="1" customWidth="1"/>
    <col min="10499" max="10499" width="23.59765625" style="1" customWidth="1"/>
    <col min="10500" max="10500" width="18.19921875" style="1" customWidth="1"/>
    <col min="10501" max="10501" width="5.19921875" style="1" bestFit="1" customWidth="1"/>
    <col min="10502" max="10502" width="9" style="1"/>
    <col min="10503" max="10503" width="11.8984375" style="1" customWidth="1"/>
    <col min="10504" max="10504" width="13.59765625" style="1" customWidth="1"/>
    <col min="10505" max="10505" width="12.69921875" style="1" customWidth="1"/>
    <col min="10506" max="10752" width="9" style="1"/>
    <col min="10753" max="10753" width="5" style="1" customWidth="1"/>
    <col min="10754" max="10754" width="17.8984375" style="1" bestFit="1" customWidth="1"/>
    <col min="10755" max="10755" width="23.59765625" style="1" customWidth="1"/>
    <col min="10756" max="10756" width="18.19921875" style="1" customWidth="1"/>
    <col min="10757" max="10757" width="5.19921875" style="1" bestFit="1" customWidth="1"/>
    <col min="10758" max="10758" width="9" style="1"/>
    <col min="10759" max="10759" width="11.8984375" style="1" customWidth="1"/>
    <col min="10760" max="10760" width="13.59765625" style="1" customWidth="1"/>
    <col min="10761" max="10761" width="12.69921875" style="1" customWidth="1"/>
    <col min="10762" max="11008" width="9" style="1"/>
    <col min="11009" max="11009" width="5" style="1" customWidth="1"/>
    <col min="11010" max="11010" width="17.8984375" style="1" bestFit="1" customWidth="1"/>
    <col min="11011" max="11011" width="23.59765625" style="1" customWidth="1"/>
    <col min="11012" max="11012" width="18.19921875" style="1" customWidth="1"/>
    <col min="11013" max="11013" width="5.19921875" style="1" bestFit="1" customWidth="1"/>
    <col min="11014" max="11014" width="9" style="1"/>
    <col min="11015" max="11015" width="11.8984375" style="1" customWidth="1"/>
    <col min="11016" max="11016" width="13.59765625" style="1" customWidth="1"/>
    <col min="11017" max="11017" width="12.69921875" style="1" customWidth="1"/>
    <col min="11018" max="11264" width="9" style="1"/>
    <col min="11265" max="11265" width="5" style="1" customWidth="1"/>
    <col min="11266" max="11266" width="17.8984375" style="1" bestFit="1" customWidth="1"/>
    <col min="11267" max="11267" width="23.59765625" style="1" customWidth="1"/>
    <col min="11268" max="11268" width="18.19921875" style="1" customWidth="1"/>
    <col min="11269" max="11269" width="5.19921875" style="1" bestFit="1" customWidth="1"/>
    <col min="11270" max="11270" width="9" style="1"/>
    <col min="11271" max="11271" width="11.8984375" style="1" customWidth="1"/>
    <col min="11272" max="11272" width="13.59765625" style="1" customWidth="1"/>
    <col min="11273" max="11273" width="12.69921875" style="1" customWidth="1"/>
    <col min="11274" max="11520" width="9" style="1"/>
    <col min="11521" max="11521" width="5" style="1" customWidth="1"/>
    <col min="11522" max="11522" width="17.8984375" style="1" bestFit="1" customWidth="1"/>
    <col min="11523" max="11523" width="23.59765625" style="1" customWidth="1"/>
    <col min="11524" max="11524" width="18.19921875" style="1" customWidth="1"/>
    <col min="11525" max="11525" width="5.19921875" style="1" bestFit="1" customWidth="1"/>
    <col min="11526" max="11526" width="9" style="1"/>
    <col min="11527" max="11527" width="11.8984375" style="1" customWidth="1"/>
    <col min="11528" max="11528" width="13.59765625" style="1" customWidth="1"/>
    <col min="11529" max="11529" width="12.69921875" style="1" customWidth="1"/>
    <col min="11530" max="11776" width="9" style="1"/>
    <col min="11777" max="11777" width="5" style="1" customWidth="1"/>
    <col min="11778" max="11778" width="17.8984375" style="1" bestFit="1" customWidth="1"/>
    <col min="11779" max="11779" width="23.59765625" style="1" customWidth="1"/>
    <col min="11780" max="11780" width="18.19921875" style="1" customWidth="1"/>
    <col min="11781" max="11781" width="5.19921875" style="1" bestFit="1" customWidth="1"/>
    <col min="11782" max="11782" width="9" style="1"/>
    <col min="11783" max="11783" width="11.8984375" style="1" customWidth="1"/>
    <col min="11784" max="11784" width="13.59765625" style="1" customWidth="1"/>
    <col min="11785" max="11785" width="12.69921875" style="1" customWidth="1"/>
    <col min="11786" max="12032" width="9" style="1"/>
    <col min="12033" max="12033" width="5" style="1" customWidth="1"/>
    <col min="12034" max="12034" width="17.8984375" style="1" bestFit="1" customWidth="1"/>
    <col min="12035" max="12035" width="23.59765625" style="1" customWidth="1"/>
    <col min="12036" max="12036" width="18.19921875" style="1" customWidth="1"/>
    <col min="12037" max="12037" width="5.19921875" style="1" bestFit="1" customWidth="1"/>
    <col min="12038" max="12038" width="9" style="1"/>
    <col min="12039" max="12039" width="11.8984375" style="1" customWidth="1"/>
    <col min="12040" max="12040" width="13.59765625" style="1" customWidth="1"/>
    <col min="12041" max="12041" width="12.69921875" style="1" customWidth="1"/>
    <col min="12042" max="12288" width="9" style="1"/>
    <col min="12289" max="12289" width="5" style="1" customWidth="1"/>
    <col min="12290" max="12290" width="17.8984375" style="1" bestFit="1" customWidth="1"/>
    <col min="12291" max="12291" width="23.59765625" style="1" customWidth="1"/>
    <col min="12292" max="12292" width="18.19921875" style="1" customWidth="1"/>
    <col min="12293" max="12293" width="5.19921875" style="1" bestFit="1" customWidth="1"/>
    <col min="12294" max="12294" width="9" style="1"/>
    <col min="12295" max="12295" width="11.8984375" style="1" customWidth="1"/>
    <col min="12296" max="12296" width="13.59765625" style="1" customWidth="1"/>
    <col min="12297" max="12297" width="12.69921875" style="1" customWidth="1"/>
    <col min="12298" max="12544" width="9" style="1"/>
    <col min="12545" max="12545" width="5" style="1" customWidth="1"/>
    <col min="12546" max="12546" width="17.8984375" style="1" bestFit="1" customWidth="1"/>
    <col min="12547" max="12547" width="23.59765625" style="1" customWidth="1"/>
    <col min="12548" max="12548" width="18.19921875" style="1" customWidth="1"/>
    <col min="12549" max="12549" width="5.19921875" style="1" bestFit="1" customWidth="1"/>
    <col min="12550" max="12550" width="9" style="1"/>
    <col min="12551" max="12551" width="11.8984375" style="1" customWidth="1"/>
    <col min="12552" max="12552" width="13.59765625" style="1" customWidth="1"/>
    <col min="12553" max="12553" width="12.69921875" style="1" customWidth="1"/>
    <col min="12554" max="12800" width="9" style="1"/>
    <col min="12801" max="12801" width="5" style="1" customWidth="1"/>
    <col min="12802" max="12802" width="17.8984375" style="1" bestFit="1" customWidth="1"/>
    <col min="12803" max="12803" width="23.59765625" style="1" customWidth="1"/>
    <col min="12804" max="12804" width="18.19921875" style="1" customWidth="1"/>
    <col min="12805" max="12805" width="5.19921875" style="1" bestFit="1" customWidth="1"/>
    <col min="12806" max="12806" width="9" style="1"/>
    <col min="12807" max="12807" width="11.8984375" style="1" customWidth="1"/>
    <col min="12808" max="12808" width="13.59765625" style="1" customWidth="1"/>
    <col min="12809" max="12809" width="12.69921875" style="1" customWidth="1"/>
    <col min="12810" max="13056" width="9" style="1"/>
    <col min="13057" max="13057" width="5" style="1" customWidth="1"/>
    <col min="13058" max="13058" width="17.8984375" style="1" bestFit="1" customWidth="1"/>
    <col min="13059" max="13059" width="23.59765625" style="1" customWidth="1"/>
    <col min="13060" max="13060" width="18.19921875" style="1" customWidth="1"/>
    <col min="13061" max="13061" width="5.19921875" style="1" bestFit="1" customWidth="1"/>
    <col min="13062" max="13062" width="9" style="1"/>
    <col min="13063" max="13063" width="11.8984375" style="1" customWidth="1"/>
    <col min="13064" max="13064" width="13.59765625" style="1" customWidth="1"/>
    <col min="13065" max="13065" width="12.69921875" style="1" customWidth="1"/>
    <col min="13066" max="13312" width="9" style="1"/>
    <col min="13313" max="13313" width="5" style="1" customWidth="1"/>
    <col min="13314" max="13314" width="17.8984375" style="1" bestFit="1" customWidth="1"/>
    <col min="13315" max="13315" width="23.59765625" style="1" customWidth="1"/>
    <col min="13316" max="13316" width="18.19921875" style="1" customWidth="1"/>
    <col min="13317" max="13317" width="5.19921875" style="1" bestFit="1" customWidth="1"/>
    <col min="13318" max="13318" width="9" style="1"/>
    <col min="13319" max="13319" width="11.8984375" style="1" customWidth="1"/>
    <col min="13320" max="13320" width="13.59765625" style="1" customWidth="1"/>
    <col min="13321" max="13321" width="12.69921875" style="1" customWidth="1"/>
    <col min="13322" max="13568" width="9" style="1"/>
    <col min="13569" max="13569" width="5" style="1" customWidth="1"/>
    <col min="13570" max="13570" width="17.8984375" style="1" bestFit="1" customWidth="1"/>
    <col min="13571" max="13571" width="23.59765625" style="1" customWidth="1"/>
    <col min="13572" max="13572" width="18.19921875" style="1" customWidth="1"/>
    <col min="13573" max="13573" width="5.19921875" style="1" bestFit="1" customWidth="1"/>
    <col min="13574" max="13574" width="9" style="1"/>
    <col min="13575" max="13575" width="11.8984375" style="1" customWidth="1"/>
    <col min="13576" max="13576" width="13.59765625" style="1" customWidth="1"/>
    <col min="13577" max="13577" width="12.69921875" style="1" customWidth="1"/>
    <col min="13578" max="13824" width="9" style="1"/>
    <col min="13825" max="13825" width="5" style="1" customWidth="1"/>
    <col min="13826" max="13826" width="17.8984375" style="1" bestFit="1" customWidth="1"/>
    <col min="13827" max="13827" width="23.59765625" style="1" customWidth="1"/>
    <col min="13828" max="13828" width="18.19921875" style="1" customWidth="1"/>
    <col min="13829" max="13829" width="5.19921875" style="1" bestFit="1" customWidth="1"/>
    <col min="13830" max="13830" width="9" style="1"/>
    <col min="13831" max="13831" width="11.8984375" style="1" customWidth="1"/>
    <col min="13832" max="13832" width="13.59765625" style="1" customWidth="1"/>
    <col min="13833" max="13833" width="12.69921875" style="1" customWidth="1"/>
    <col min="13834" max="14080" width="9" style="1"/>
    <col min="14081" max="14081" width="5" style="1" customWidth="1"/>
    <col min="14082" max="14082" width="17.8984375" style="1" bestFit="1" customWidth="1"/>
    <col min="14083" max="14083" width="23.59765625" style="1" customWidth="1"/>
    <col min="14084" max="14084" width="18.19921875" style="1" customWidth="1"/>
    <col min="14085" max="14085" width="5.19921875" style="1" bestFit="1" customWidth="1"/>
    <col min="14086" max="14086" width="9" style="1"/>
    <col min="14087" max="14087" width="11.8984375" style="1" customWidth="1"/>
    <col min="14088" max="14088" width="13.59765625" style="1" customWidth="1"/>
    <col min="14089" max="14089" width="12.69921875" style="1" customWidth="1"/>
    <col min="14090" max="14336" width="9" style="1"/>
    <col min="14337" max="14337" width="5" style="1" customWidth="1"/>
    <col min="14338" max="14338" width="17.8984375" style="1" bestFit="1" customWidth="1"/>
    <col min="14339" max="14339" width="23.59765625" style="1" customWidth="1"/>
    <col min="14340" max="14340" width="18.19921875" style="1" customWidth="1"/>
    <col min="14341" max="14341" width="5.19921875" style="1" bestFit="1" customWidth="1"/>
    <col min="14342" max="14342" width="9" style="1"/>
    <col min="14343" max="14343" width="11.8984375" style="1" customWidth="1"/>
    <col min="14344" max="14344" width="13.59765625" style="1" customWidth="1"/>
    <col min="14345" max="14345" width="12.69921875" style="1" customWidth="1"/>
    <col min="14346" max="14592" width="9" style="1"/>
    <col min="14593" max="14593" width="5" style="1" customWidth="1"/>
    <col min="14594" max="14594" width="17.8984375" style="1" bestFit="1" customWidth="1"/>
    <col min="14595" max="14595" width="23.59765625" style="1" customWidth="1"/>
    <col min="14596" max="14596" width="18.19921875" style="1" customWidth="1"/>
    <col min="14597" max="14597" width="5.19921875" style="1" bestFit="1" customWidth="1"/>
    <col min="14598" max="14598" width="9" style="1"/>
    <col min="14599" max="14599" width="11.8984375" style="1" customWidth="1"/>
    <col min="14600" max="14600" width="13.59765625" style="1" customWidth="1"/>
    <col min="14601" max="14601" width="12.69921875" style="1" customWidth="1"/>
    <col min="14602" max="14848" width="9" style="1"/>
    <col min="14849" max="14849" width="5" style="1" customWidth="1"/>
    <col min="14850" max="14850" width="17.8984375" style="1" bestFit="1" customWidth="1"/>
    <col min="14851" max="14851" width="23.59765625" style="1" customWidth="1"/>
    <col min="14852" max="14852" width="18.19921875" style="1" customWidth="1"/>
    <col min="14853" max="14853" width="5.19921875" style="1" bestFit="1" customWidth="1"/>
    <col min="14854" max="14854" width="9" style="1"/>
    <col min="14855" max="14855" width="11.8984375" style="1" customWidth="1"/>
    <col min="14856" max="14856" width="13.59765625" style="1" customWidth="1"/>
    <col min="14857" max="14857" width="12.69921875" style="1" customWidth="1"/>
    <col min="14858" max="15104" width="9" style="1"/>
    <col min="15105" max="15105" width="5" style="1" customWidth="1"/>
    <col min="15106" max="15106" width="17.8984375" style="1" bestFit="1" customWidth="1"/>
    <col min="15107" max="15107" width="23.59765625" style="1" customWidth="1"/>
    <col min="15108" max="15108" width="18.19921875" style="1" customWidth="1"/>
    <col min="15109" max="15109" width="5.19921875" style="1" bestFit="1" customWidth="1"/>
    <col min="15110" max="15110" width="9" style="1"/>
    <col min="15111" max="15111" width="11.8984375" style="1" customWidth="1"/>
    <col min="15112" max="15112" width="13.59765625" style="1" customWidth="1"/>
    <col min="15113" max="15113" width="12.69921875" style="1" customWidth="1"/>
    <col min="15114" max="15360" width="9" style="1"/>
    <col min="15361" max="15361" width="5" style="1" customWidth="1"/>
    <col min="15362" max="15362" width="17.8984375" style="1" bestFit="1" customWidth="1"/>
    <col min="15363" max="15363" width="23.59765625" style="1" customWidth="1"/>
    <col min="15364" max="15364" width="18.19921875" style="1" customWidth="1"/>
    <col min="15365" max="15365" width="5.19921875" style="1" bestFit="1" customWidth="1"/>
    <col min="15366" max="15366" width="9" style="1"/>
    <col min="15367" max="15367" width="11.8984375" style="1" customWidth="1"/>
    <col min="15368" max="15368" width="13.59765625" style="1" customWidth="1"/>
    <col min="15369" max="15369" width="12.69921875" style="1" customWidth="1"/>
    <col min="15370" max="15616" width="9" style="1"/>
    <col min="15617" max="15617" width="5" style="1" customWidth="1"/>
    <col min="15618" max="15618" width="17.8984375" style="1" bestFit="1" customWidth="1"/>
    <col min="15619" max="15619" width="23.59765625" style="1" customWidth="1"/>
    <col min="15620" max="15620" width="18.19921875" style="1" customWidth="1"/>
    <col min="15621" max="15621" width="5.19921875" style="1" bestFit="1" customWidth="1"/>
    <col min="15622" max="15622" width="9" style="1"/>
    <col min="15623" max="15623" width="11.8984375" style="1" customWidth="1"/>
    <col min="15624" max="15624" width="13.59765625" style="1" customWidth="1"/>
    <col min="15625" max="15625" width="12.69921875" style="1" customWidth="1"/>
    <col min="15626" max="15872" width="9" style="1"/>
    <col min="15873" max="15873" width="5" style="1" customWidth="1"/>
    <col min="15874" max="15874" width="17.8984375" style="1" bestFit="1" customWidth="1"/>
    <col min="15875" max="15875" width="23.59765625" style="1" customWidth="1"/>
    <col min="15876" max="15876" width="18.19921875" style="1" customWidth="1"/>
    <col min="15877" max="15877" width="5.19921875" style="1" bestFit="1" customWidth="1"/>
    <col min="15878" max="15878" width="9" style="1"/>
    <col min="15879" max="15879" width="11.8984375" style="1" customWidth="1"/>
    <col min="15880" max="15880" width="13.59765625" style="1" customWidth="1"/>
    <col min="15881" max="15881" width="12.69921875" style="1" customWidth="1"/>
    <col min="15882" max="16128" width="9" style="1"/>
    <col min="16129" max="16129" width="5" style="1" customWidth="1"/>
    <col min="16130" max="16130" width="17.8984375" style="1" bestFit="1" customWidth="1"/>
    <col min="16131" max="16131" width="23.59765625" style="1" customWidth="1"/>
    <col min="16132" max="16132" width="18.19921875" style="1" customWidth="1"/>
    <col min="16133" max="16133" width="5.19921875" style="1" bestFit="1" customWidth="1"/>
    <col min="16134" max="16134" width="9" style="1"/>
    <col min="16135" max="16135" width="11.8984375" style="1" customWidth="1"/>
    <col min="16136" max="16136" width="13.59765625" style="1" customWidth="1"/>
    <col min="16137" max="16137" width="12.69921875" style="1" customWidth="1"/>
    <col min="16138" max="16384" width="9" style="1"/>
  </cols>
  <sheetData>
    <row r="1" spans="1:9" ht="22.5" customHeight="1">
      <c r="B1" s="202" t="s">
        <v>161</v>
      </c>
      <c r="C1" s="285" t="s">
        <v>553</v>
      </c>
      <c r="F1" s="333"/>
      <c r="I1" s="1" t="s">
        <v>128</v>
      </c>
    </row>
    <row r="2" spans="1:9" s="26" customFormat="1" ht="16.5" customHeight="1">
      <c r="A2" s="384" t="s">
        <v>129</v>
      </c>
      <c r="B2" s="386"/>
      <c r="C2" s="131" t="s">
        <v>130</v>
      </c>
      <c r="D2" s="126" t="s">
        <v>131</v>
      </c>
      <c r="E2" s="126" t="s">
        <v>48</v>
      </c>
      <c r="F2" s="268" t="s">
        <v>49</v>
      </c>
      <c r="G2" s="268" t="s">
        <v>132</v>
      </c>
      <c r="H2" s="268" t="s">
        <v>133</v>
      </c>
      <c r="I2" s="126" t="s">
        <v>134</v>
      </c>
    </row>
    <row r="3" spans="1:9" ht="15.9" customHeight="1">
      <c r="A3" s="479" t="s">
        <v>135</v>
      </c>
      <c r="B3" s="208" t="s">
        <v>136</v>
      </c>
      <c r="C3" s="229"/>
      <c r="D3" s="229"/>
      <c r="E3" s="230"/>
      <c r="F3" s="232"/>
      <c r="G3" s="232"/>
      <c r="H3" s="233">
        <f>IF(F3=0,G3,G3*F3)</f>
        <v>0</v>
      </c>
      <c r="I3" s="234"/>
    </row>
    <row r="4" spans="1:9" ht="15.9" customHeight="1">
      <c r="A4" s="483"/>
      <c r="B4" s="208"/>
      <c r="C4" s="355"/>
      <c r="D4" s="356"/>
      <c r="E4" s="349"/>
      <c r="F4" s="350"/>
      <c r="G4" s="350"/>
      <c r="H4" s="167">
        <f>IF(F4=0,G4,G4*F4)</f>
        <v>0</v>
      </c>
      <c r="I4" s="39"/>
    </row>
    <row r="5" spans="1:9" ht="15.9" customHeight="1">
      <c r="A5" s="483"/>
      <c r="B5" s="208"/>
      <c r="C5" s="215"/>
      <c r="D5" s="215"/>
      <c r="E5" s="216"/>
      <c r="F5" s="218"/>
      <c r="G5" s="218"/>
      <c r="H5" s="167">
        <f t="shared" ref="H5:H54" si="0">IF(F5=0,G5,G5*F5)</f>
        <v>0</v>
      </c>
      <c r="I5" s="39"/>
    </row>
    <row r="6" spans="1:9" ht="15.9" customHeight="1">
      <c r="A6" s="483"/>
      <c r="B6" s="208"/>
      <c r="C6" s="215"/>
      <c r="D6" s="215"/>
      <c r="E6" s="216"/>
      <c r="F6" s="218"/>
      <c r="G6" s="218"/>
      <c r="H6" s="167">
        <f t="shared" si="0"/>
        <v>0</v>
      </c>
      <c r="I6" s="39"/>
    </row>
    <row r="7" spans="1:9" ht="15.9" customHeight="1">
      <c r="A7" s="483"/>
      <c r="B7" s="208"/>
      <c r="C7" s="215"/>
      <c r="D7" s="215"/>
      <c r="E7" s="216"/>
      <c r="F7" s="218"/>
      <c r="G7" s="218"/>
      <c r="H7" s="167">
        <f t="shared" si="0"/>
        <v>0</v>
      </c>
      <c r="I7" s="39"/>
    </row>
    <row r="8" spans="1:9" ht="15.9" customHeight="1">
      <c r="A8" s="483"/>
      <c r="B8" s="208"/>
      <c r="C8" s="215"/>
      <c r="D8" s="215"/>
      <c r="E8" s="216"/>
      <c r="F8" s="218"/>
      <c r="G8" s="218"/>
      <c r="H8" s="167">
        <f t="shared" si="0"/>
        <v>0</v>
      </c>
      <c r="I8" s="39"/>
    </row>
    <row r="9" spans="1:9" ht="15.9" customHeight="1">
      <c r="A9" s="483"/>
      <c r="B9" s="208"/>
      <c r="C9" s="215"/>
      <c r="D9" s="215"/>
      <c r="E9" s="216"/>
      <c r="F9" s="218"/>
      <c r="G9" s="218"/>
      <c r="H9" s="167">
        <f t="shared" si="0"/>
        <v>0</v>
      </c>
      <c r="I9" s="39"/>
    </row>
    <row r="10" spans="1:9" ht="15.9" customHeight="1">
      <c r="A10" s="483"/>
      <c r="B10" s="208"/>
      <c r="C10" s="215"/>
      <c r="D10" s="215"/>
      <c r="E10" s="216"/>
      <c r="F10" s="218"/>
      <c r="G10" s="218"/>
      <c r="H10" s="167">
        <f t="shared" si="0"/>
        <v>0</v>
      </c>
      <c r="I10" s="39"/>
    </row>
    <row r="11" spans="1:9" ht="15.9" customHeight="1">
      <c r="A11" s="483"/>
      <c r="B11" s="208"/>
      <c r="C11" s="215"/>
      <c r="D11" s="215"/>
      <c r="E11" s="216"/>
      <c r="F11" s="218"/>
      <c r="G11" s="218"/>
      <c r="H11" s="167">
        <f t="shared" si="0"/>
        <v>0</v>
      </c>
      <c r="I11" s="39"/>
    </row>
    <row r="12" spans="1:9" ht="15.9" customHeight="1">
      <c r="A12" s="483"/>
      <c r="B12" s="208"/>
      <c r="C12" s="215"/>
      <c r="D12" s="215"/>
      <c r="E12" s="216"/>
      <c r="F12" s="218"/>
      <c r="G12" s="218"/>
      <c r="H12" s="167">
        <f t="shared" si="0"/>
        <v>0</v>
      </c>
      <c r="I12" s="39"/>
    </row>
    <row r="13" spans="1:9" ht="15.9" customHeight="1">
      <c r="A13" s="483"/>
      <c r="B13" s="208"/>
      <c r="C13" s="215"/>
      <c r="D13" s="215"/>
      <c r="E13" s="216"/>
      <c r="F13" s="218"/>
      <c r="G13" s="218"/>
      <c r="H13" s="167">
        <f t="shared" si="0"/>
        <v>0</v>
      </c>
      <c r="I13" s="39"/>
    </row>
    <row r="14" spans="1:9" ht="15.9" customHeight="1">
      <c r="A14" s="483"/>
      <c r="B14" s="208"/>
      <c r="C14" s="215"/>
      <c r="D14" s="215"/>
      <c r="E14" s="216"/>
      <c r="F14" s="218"/>
      <c r="G14" s="218"/>
      <c r="H14" s="167">
        <f t="shared" si="0"/>
        <v>0</v>
      </c>
      <c r="I14" s="39"/>
    </row>
    <row r="15" spans="1:9" ht="15.9" customHeight="1">
      <c r="A15" s="483"/>
      <c r="B15" s="208"/>
      <c r="C15" s="215"/>
      <c r="D15" s="215"/>
      <c r="E15" s="216"/>
      <c r="F15" s="218"/>
      <c r="G15" s="218"/>
      <c r="H15" s="167">
        <f t="shared" si="0"/>
        <v>0</v>
      </c>
      <c r="I15" s="39"/>
    </row>
    <row r="16" spans="1:9" ht="15.9" customHeight="1">
      <c r="A16" s="483"/>
      <c r="B16" s="208"/>
      <c r="C16" s="215"/>
      <c r="D16" s="215"/>
      <c r="E16" s="216"/>
      <c r="F16" s="218"/>
      <c r="G16" s="218"/>
      <c r="H16" s="167">
        <f t="shared" si="0"/>
        <v>0</v>
      </c>
      <c r="I16" s="39"/>
    </row>
    <row r="17" spans="1:9" ht="15.9" customHeight="1">
      <c r="A17" s="483"/>
      <c r="B17" s="208"/>
      <c r="C17" s="215"/>
      <c r="D17" s="215"/>
      <c r="E17" s="216"/>
      <c r="F17" s="218"/>
      <c r="G17" s="218"/>
      <c r="H17" s="167">
        <f t="shared" si="0"/>
        <v>0</v>
      </c>
      <c r="I17" s="39"/>
    </row>
    <row r="18" spans="1:9" ht="15.9" customHeight="1">
      <c r="A18" s="483"/>
      <c r="B18" s="208"/>
      <c r="C18" s="215"/>
      <c r="D18" s="215"/>
      <c r="E18" s="216"/>
      <c r="F18" s="218"/>
      <c r="G18" s="218"/>
      <c r="H18" s="167">
        <f t="shared" si="0"/>
        <v>0</v>
      </c>
      <c r="I18" s="39"/>
    </row>
    <row r="19" spans="1:9" ht="15.9" customHeight="1">
      <c r="A19" s="483"/>
      <c r="B19" s="208"/>
      <c r="C19" s="215"/>
      <c r="D19" s="215"/>
      <c r="E19" s="216"/>
      <c r="F19" s="218"/>
      <c r="G19" s="218"/>
      <c r="H19" s="167">
        <f t="shared" si="0"/>
        <v>0</v>
      </c>
      <c r="I19" s="39"/>
    </row>
    <row r="20" spans="1:9" ht="15.9" customHeight="1">
      <c r="A20" s="483"/>
      <c r="B20" s="208"/>
      <c r="C20" s="215"/>
      <c r="D20" s="215"/>
      <c r="E20" s="216"/>
      <c r="F20" s="218"/>
      <c r="G20" s="218"/>
      <c r="H20" s="167">
        <f t="shared" si="0"/>
        <v>0</v>
      </c>
      <c r="I20" s="39"/>
    </row>
    <row r="21" spans="1:9" ht="15.9" customHeight="1">
      <c r="A21" s="483"/>
      <c r="B21" s="208"/>
      <c r="C21" s="215"/>
      <c r="D21" s="215"/>
      <c r="E21" s="215"/>
      <c r="F21" s="218"/>
      <c r="G21" s="218"/>
      <c r="H21" s="167">
        <f t="shared" si="0"/>
        <v>0</v>
      </c>
      <c r="I21" s="39"/>
    </row>
    <row r="22" spans="1:9" ht="15.9" customHeight="1">
      <c r="A22" s="483"/>
      <c r="B22" s="208"/>
      <c r="C22" s="215"/>
      <c r="D22" s="215"/>
      <c r="E22" s="215"/>
      <c r="F22" s="218"/>
      <c r="G22" s="218"/>
      <c r="H22" s="167">
        <f t="shared" si="0"/>
        <v>0</v>
      </c>
      <c r="I22" s="39"/>
    </row>
    <row r="23" spans="1:9" ht="15.9" customHeight="1">
      <c r="A23" s="483"/>
      <c r="B23" s="208"/>
      <c r="C23" s="219" t="s">
        <v>140</v>
      </c>
      <c r="D23" s="236"/>
      <c r="E23" s="236"/>
      <c r="F23" s="238"/>
      <c r="G23" s="238"/>
      <c r="H23" s="239">
        <f t="shared" si="0"/>
        <v>0</v>
      </c>
      <c r="I23" s="240"/>
    </row>
    <row r="24" spans="1:9" ht="15.9" customHeight="1">
      <c r="A24" s="483"/>
      <c r="B24" s="223"/>
      <c r="C24" s="242"/>
      <c r="D24" s="242"/>
      <c r="E24" s="242"/>
      <c r="F24" s="245"/>
      <c r="G24" s="245"/>
      <c r="H24" s="246">
        <f>SUM(H3:H23)</f>
        <v>0</v>
      </c>
      <c r="I24" s="242"/>
    </row>
    <row r="25" spans="1:9" ht="15.9" customHeight="1">
      <c r="A25" s="483"/>
      <c r="B25" s="208" t="s">
        <v>279</v>
      </c>
      <c r="C25" s="209"/>
      <c r="D25" s="209"/>
      <c r="E25" s="209"/>
      <c r="F25" s="212"/>
      <c r="G25" s="212"/>
      <c r="H25" s="213">
        <f t="shared" si="0"/>
        <v>0</v>
      </c>
      <c r="I25" s="214"/>
    </row>
    <row r="26" spans="1:9" ht="15.9" customHeight="1">
      <c r="A26" s="483"/>
      <c r="B26" s="208" t="s">
        <v>280</v>
      </c>
      <c r="C26" s="215"/>
      <c r="D26" s="215"/>
      <c r="E26" s="215"/>
      <c r="F26" s="218"/>
      <c r="G26" s="218"/>
      <c r="H26" s="167">
        <f t="shared" si="0"/>
        <v>0</v>
      </c>
      <c r="I26" s="39"/>
    </row>
    <row r="27" spans="1:9" ht="15.9" customHeight="1">
      <c r="A27" s="483"/>
      <c r="B27" s="208"/>
      <c r="C27" s="215"/>
      <c r="D27" s="215"/>
      <c r="E27" s="215"/>
      <c r="F27" s="218"/>
      <c r="G27" s="218"/>
      <c r="H27" s="167">
        <f t="shared" si="0"/>
        <v>0</v>
      </c>
      <c r="I27" s="39"/>
    </row>
    <row r="28" spans="1:9" ht="15.9" customHeight="1">
      <c r="A28" s="483"/>
      <c r="B28" s="208"/>
      <c r="C28" s="215"/>
      <c r="D28" s="215"/>
      <c r="E28" s="215"/>
      <c r="F28" s="218"/>
      <c r="G28" s="218"/>
      <c r="H28" s="167">
        <f t="shared" si="0"/>
        <v>0</v>
      </c>
      <c r="I28" s="39"/>
    </row>
    <row r="29" spans="1:9" ht="15.9" customHeight="1">
      <c r="A29" s="483"/>
      <c r="B29" s="208"/>
      <c r="C29" s="219" t="s">
        <v>140</v>
      </c>
      <c r="D29" s="219"/>
      <c r="E29" s="219"/>
      <c r="F29" s="222"/>
      <c r="G29" s="222"/>
      <c r="H29" s="167">
        <f t="shared" si="0"/>
        <v>0</v>
      </c>
      <c r="I29" s="42"/>
    </row>
    <row r="30" spans="1:9" ht="15.9" customHeight="1">
      <c r="A30" s="483"/>
      <c r="B30" s="223"/>
      <c r="C30" s="224"/>
      <c r="D30" s="225"/>
      <c r="E30" s="225"/>
      <c r="F30" s="334"/>
      <c r="G30" s="227"/>
      <c r="H30" s="50">
        <f>SUM(H25:H29)</f>
        <v>0</v>
      </c>
      <c r="I30" s="46"/>
    </row>
    <row r="31" spans="1:9" ht="15.9" customHeight="1">
      <c r="A31" s="483"/>
      <c r="B31" s="247" t="s">
        <v>281</v>
      </c>
      <c r="C31" s="335" t="s">
        <v>547</v>
      </c>
      <c r="D31" s="335"/>
      <c r="E31" s="336" t="s">
        <v>145</v>
      </c>
      <c r="F31" s="272">
        <v>4</v>
      </c>
      <c r="G31" s="273">
        <v>2000000</v>
      </c>
      <c r="H31" s="233">
        <f t="shared" si="0"/>
        <v>8000000</v>
      </c>
      <c r="I31" s="234"/>
    </row>
    <row r="32" spans="1:9" ht="15.9" customHeight="1">
      <c r="A32" s="483"/>
      <c r="B32" s="208" t="s">
        <v>284</v>
      </c>
      <c r="C32" s="215"/>
      <c r="D32" s="215"/>
      <c r="E32" s="216"/>
      <c r="F32" s="218"/>
      <c r="G32" s="218"/>
      <c r="H32" s="167">
        <f t="shared" si="0"/>
        <v>0</v>
      </c>
      <c r="I32" s="39"/>
    </row>
    <row r="33" spans="1:9" ht="15.9" customHeight="1">
      <c r="A33" s="483"/>
      <c r="B33" s="208"/>
      <c r="C33" s="215"/>
      <c r="D33" s="215"/>
      <c r="E33" s="216"/>
      <c r="F33" s="218"/>
      <c r="G33" s="218"/>
      <c r="H33" s="167">
        <f t="shared" si="0"/>
        <v>0</v>
      </c>
      <c r="I33" s="39"/>
    </row>
    <row r="34" spans="1:9" ht="15.9" customHeight="1">
      <c r="A34" s="483"/>
      <c r="B34" s="208"/>
      <c r="C34" s="215"/>
      <c r="D34" s="215"/>
      <c r="E34" s="216"/>
      <c r="F34" s="218"/>
      <c r="G34" s="218"/>
      <c r="H34" s="167">
        <f t="shared" si="0"/>
        <v>0</v>
      </c>
      <c r="I34" s="39"/>
    </row>
    <row r="35" spans="1:9" ht="15.9" customHeight="1">
      <c r="A35" s="483"/>
      <c r="B35" s="208"/>
      <c r="C35" s="215"/>
      <c r="D35" s="215"/>
      <c r="E35" s="216"/>
      <c r="F35" s="218"/>
      <c r="G35" s="218"/>
      <c r="H35" s="167">
        <f t="shared" si="0"/>
        <v>0</v>
      </c>
      <c r="I35" s="39"/>
    </row>
    <row r="36" spans="1:9" ht="15.9" customHeight="1">
      <c r="A36" s="483"/>
      <c r="B36" s="208"/>
      <c r="C36" s="215"/>
      <c r="D36" s="215"/>
      <c r="E36" s="216"/>
      <c r="F36" s="218"/>
      <c r="G36" s="218"/>
      <c r="H36" s="167">
        <f t="shared" si="0"/>
        <v>0</v>
      </c>
      <c r="I36" s="39"/>
    </row>
    <row r="37" spans="1:9" ht="15.9" customHeight="1">
      <c r="A37" s="483"/>
      <c r="B37" s="208"/>
      <c r="C37" s="215"/>
      <c r="D37" s="215"/>
      <c r="E37" s="216"/>
      <c r="F37" s="218"/>
      <c r="G37" s="218"/>
      <c r="H37" s="167">
        <f t="shared" si="0"/>
        <v>0</v>
      </c>
      <c r="I37" s="39"/>
    </row>
    <row r="38" spans="1:9" ht="15.9" customHeight="1">
      <c r="A38" s="483"/>
      <c r="B38" s="208"/>
      <c r="C38" s="215"/>
      <c r="D38" s="215"/>
      <c r="E38" s="216"/>
      <c r="F38" s="218"/>
      <c r="G38" s="218"/>
      <c r="H38" s="167">
        <f t="shared" si="0"/>
        <v>0</v>
      </c>
      <c r="I38" s="39"/>
    </row>
    <row r="39" spans="1:9" ht="15.9" customHeight="1">
      <c r="A39" s="483"/>
      <c r="B39" s="208"/>
      <c r="C39" s="215"/>
      <c r="D39" s="215"/>
      <c r="E39" s="216"/>
      <c r="F39" s="218"/>
      <c r="G39" s="218"/>
      <c r="H39" s="167">
        <f t="shared" si="0"/>
        <v>0</v>
      </c>
      <c r="I39" s="39"/>
    </row>
    <row r="40" spans="1:9" ht="15.9" customHeight="1">
      <c r="A40" s="483"/>
      <c r="B40" s="208"/>
      <c r="C40" s="215"/>
      <c r="D40" s="215"/>
      <c r="E40" s="216"/>
      <c r="F40" s="218"/>
      <c r="G40" s="218"/>
      <c r="H40" s="167">
        <f t="shared" si="0"/>
        <v>0</v>
      </c>
      <c r="I40" s="39"/>
    </row>
    <row r="41" spans="1:9" ht="15.9" customHeight="1">
      <c r="A41" s="483"/>
      <c r="B41" s="208"/>
      <c r="C41" s="215"/>
      <c r="D41" s="215"/>
      <c r="E41" s="216"/>
      <c r="F41" s="218"/>
      <c r="G41" s="218"/>
      <c r="H41" s="167">
        <f t="shared" si="0"/>
        <v>0</v>
      </c>
      <c r="I41" s="39"/>
    </row>
    <row r="42" spans="1:9" ht="15.9" customHeight="1">
      <c r="A42" s="483"/>
      <c r="B42" s="208"/>
      <c r="C42" s="215"/>
      <c r="D42" s="215"/>
      <c r="E42" s="216"/>
      <c r="F42" s="218"/>
      <c r="G42" s="218"/>
      <c r="H42" s="167">
        <f t="shared" si="0"/>
        <v>0</v>
      </c>
      <c r="I42" s="39"/>
    </row>
    <row r="43" spans="1:9" ht="15.9" customHeight="1">
      <c r="A43" s="483"/>
      <c r="B43" s="208"/>
      <c r="C43" s="215"/>
      <c r="D43" s="215"/>
      <c r="E43" s="216"/>
      <c r="F43" s="218"/>
      <c r="G43" s="218"/>
      <c r="H43" s="167">
        <f t="shared" si="0"/>
        <v>0</v>
      </c>
      <c r="I43" s="39"/>
    </row>
    <row r="44" spans="1:9" ht="15.9" customHeight="1">
      <c r="A44" s="483"/>
      <c r="B44" s="208"/>
      <c r="C44" s="215"/>
      <c r="D44" s="215"/>
      <c r="E44" s="216"/>
      <c r="F44" s="218"/>
      <c r="G44" s="218"/>
      <c r="H44" s="167">
        <f t="shared" si="0"/>
        <v>0</v>
      </c>
      <c r="I44" s="39"/>
    </row>
    <row r="45" spans="1:9" ht="15.9" customHeight="1">
      <c r="A45" s="483"/>
      <c r="B45" s="208"/>
      <c r="C45" s="215"/>
      <c r="D45" s="215"/>
      <c r="E45" s="216"/>
      <c r="F45" s="218"/>
      <c r="G45" s="218"/>
      <c r="H45" s="167">
        <f t="shared" si="0"/>
        <v>0</v>
      </c>
      <c r="I45" s="39"/>
    </row>
    <row r="46" spans="1:9" ht="15.9" customHeight="1">
      <c r="A46" s="483"/>
      <c r="B46" s="208"/>
      <c r="C46" s="219" t="s">
        <v>140</v>
      </c>
      <c r="D46" s="220"/>
      <c r="E46" s="220" t="s">
        <v>141</v>
      </c>
      <c r="F46" s="221"/>
      <c r="G46" s="222"/>
      <c r="H46" s="177">
        <f t="shared" si="0"/>
        <v>0</v>
      </c>
      <c r="I46" s="42"/>
    </row>
    <row r="47" spans="1:9" ht="15.9" customHeight="1">
      <c r="A47" s="483"/>
      <c r="B47" s="223"/>
      <c r="C47" s="224"/>
      <c r="D47" s="225"/>
      <c r="E47" s="225"/>
      <c r="F47" s="227"/>
      <c r="G47" s="227"/>
      <c r="H47" s="50">
        <f>SUM(H31:H46)</f>
        <v>8000000</v>
      </c>
      <c r="I47" s="46"/>
    </row>
    <row r="48" spans="1:9" ht="15.9" customHeight="1">
      <c r="A48" s="483"/>
      <c r="B48" s="247" t="s">
        <v>61</v>
      </c>
      <c r="C48" s="215"/>
      <c r="D48" s="297"/>
      <c r="E48" s="297"/>
      <c r="F48" s="298"/>
      <c r="G48" s="218"/>
      <c r="H48" s="233">
        <f t="shared" si="0"/>
        <v>0</v>
      </c>
      <c r="I48" s="234"/>
    </row>
    <row r="49" spans="1:9" ht="15.9" customHeight="1">
      <c r="A49" s="483"/>
      <c r="B49" s="208"/>
      <c r="C49" s="215"/>
      <c r="D49" s="352"/>
      <c r="E49" s="297"/>
      <c r="F49" s="298"/>
      <c r="G49" s="218"/>
      <c r="H49" s="167">
        <f t="shared" si="0"/>
        <v>0</v>
      </c>
      <c r="I49" s="39"/>
    </row>
    <row r="50" spans="1:9" ht="15.9" customHeight="1">
      <c r="A50" s="483"/>
      <c r="B50" s="208"/>
      <c r="C50" s="215"/>
      <c r="D50" s="297"/>
      <c r="E50" s="297"/>
      <c r="F50" s="298"/>
      <c r="G50" s="218"/>
      <c r="H50" s="167">
        <f t="shared" si="0"/>
        <v>0</v>
      </c>
      <c r="I50" s="39"/>
    </row>
    <row r="51" spans="1:9" ht="15.9" customHeight="1">
      <c r="A51" s="483"/>
      <c r="B51" s="208"/>
      <c r="C51" s="215"/>
      <c r="D51" s="215"/>
      <c r="E51" s="297"/>
      <c r="F51" s="217"/>
      <c r="G51" s="218"/>
      <c r="H51" s="167">
        <f t="shared" si="0"/>
        <v>0</v>
      </c>
      <c r="I51" s="39"/>
    </row>
    <row r="52" spans="1:9" ht="15.9" customHeight="1">
      <c r="A52" s="483"/>
      <c r="B52" s="208"/>
      <c r="C52" s="215"/>
      <c r="D52" s="215"/>
      <c r="E52" s="297"/>
      <c r="F52" s="217"/>
      <c r="G52" s="218"/>
      <c r="H52" s="167">
        <f t="shared" si="0"/>
        <v>0</v>
      </c>
      <c r="I52" s="39"/>
    </row>
    <row r="53" spans="1:9" ht="15.9" customHeight="1">
      <c r="A53" s="483"/>
      <c r="B53" s="208"/>
      <c r="C53" s="215"/>
      <c r="D53" s="215"/>
      <c r="E53" s="297"/>
      <c r="F53" s="218"/>
      <c r="G53" s="218"/>
      <c r="H53" s="167">
        <f t="shared" si="0"/>
        <v>0</v>
      </c>
      <c r="I53" s="39"/>
    </row>
    <row r="54" spans="1:9" ht="15.9" customHeight="1">
      <c r="A54" s="483"/>
      <c r="B54" s="208"/>
      <c r="C54" s="219"/>
      <c r="D54" s="219"/>
      <c r="E54" s="357"/>
      <c r="F54" s="222"/>
      <c r="G54" s="222"/>
      <c r="H54" s="177">
        <f t="shared" si="0"/>
        <v>0</v>
      </c>
      <c r="I54" s="42"/>
    </row>
    <row r="55" spans="1:9" ht="15.9" customHeight="1">
      <c r="A55" s="483"/>
      <c r="B55" s="223"/>
      <c r="C55" s="224"/>
      <c r="D55" s="225"/>
      <c r="E55" s="225"/>
      <c r="F55" s="227"/>
      <c r="G55" s="227"/>
      <c r="H55" s="50">
        <f>SUM(H48:H54)</f>
        <v>0</v>
      </c>
      <c r="I55" s="46"/>
    </row>
    <row r="56" spans="1:9" ht="15.9" customHeight="1">
      <c r="A56" s="265"/>
      <c r="B56" s="266" t="s">
        <v>147</v>
      </c>
      <c r="C56" s="267"/>
      <c r="D56" s="46"/>
      <c r="E56" s="46"/>
      <c r="F56" s="269"/>
      <c r="G56" s="269"/>
      <c r="H56" s="50">
        <f>SUM(H55,H47,H30,H24)</f>
        <v>8000000</v>
      </c>
      <c r="I56" s="46"/>
    </row>
    <row r="57" spans="1:9" ht="15.9" customHeight="1">
      <c r="A57" s="479" t="s">
        <v>148</v>
      </c>
      <c r="B57" s="270" t="s">
        <v>67</v>
      </c>
      <c r="C57" s="267"/>
      <c r="D57" s="46"/>
      <c r="E57" s="270" t="s">
        <v>68</v>
      </c>
      <c r="F57" s="284"/>
      <c r="G57" s="273"/>
      <c r="H57" s="274">
        <f>F57*G57</f>
        <v>0</v>
      </c>
      <c r="I57" s="46"/>
    </row>
    <row r="58" spans="1:9" ht="15.9" customHeight="1">
      <c r="A58" s="483"/>
      <c r="B58" s="275" t="s">
        <v>444</v>
      </c>
      <c r="C58" s="276"/>
      <c r="D58" s="234"/>
      <c r="E58" s="275" t="s">
        <v>150</v>
      </c>
      <c r="F58" s="232"/>
      <c r="G58" s="232"/>
      <c r="H58" s="233">
        <f t="shared" ref="H58:H64" si="1">F58*G58</f>
        <v>0</v>
      </c>
      <c r="I58" s="234"/>
    </row>
    <row r="59" spans="1:9" ht="15.9" customHeight="1">
      <c r="A59" s="483"/>
      <c r="B59" s="277" t="s">
        <v>445</v>
      </c>
      <c r="C59" s="278"/>
      <c r="D59" s="39"/>
      <c r="E59" s="277" t="s">
        <v>150</v>
      </c>
      <c r="F59" s="218"/>
      <c r="G59" s="218"/>
      <c r="H59" s="167">
        <f t="shared" si="1"/>
        <v>0</v>
      </c>
      <c r="I59" s="39"/>
    </row>
    <row r="60" spans="1:9" ht="15.9" customHeight="1">
      <c r="A60" s="483"/>
      <c r="B60" s="277" t="s">
        <v>446</v>
      </c>
      <c r="C60" s="278"/>
      <c r="D60" s="39"/>
      <c r="E60" s="277" t="s">
        <v>150</v>
      </c>
      <c r="F60" s="218"/>
      <c r="G60" s="218"/>
      <c r="H60" s="167">
        <f t="shared" si="1"/>
        <v>0</v>
      </c>
      <c r="I60" s="39"/>
    </row>
    <row r="61" spans="1:9" ht="15.9" customHeight="1">
      <c r="A61" s="483"/>
      <c r="B61" s="277" t="s">
        <v>447</v>
      </c>
      <c r="C61" s="278"/>
      <c r="D61" s="39"/>
      <c r="E61" s="277" t="s">
        <v>150</v>
      </c>
      <c r="F61" s="218"/>
      <c r="G61" s="218"/>
      <c r="H61" s="167">
        <f t="shared" si="1"/>
        <v>0</v>
      </c>
      <c r="I61" s="39"/>
    </row>
    <row r="62" spans="1:9" ht="15.9" customHeight="1">
      <c r="A62" s="483"/>
      <c r="B62" s="277" t="s">
        <v>448</v>
      </c>
      <c r="C62" s="278"/>
      <c r="D62" s="39"/>
      <c r="E62" s="277" t="s">
        <v>150</v>
      </c>
      <c r="F62" s="218"/>
      <c r="G62" s="218"/>
      <c r="H62" s="167">
        <f t="shared" si="1"/>
        <v>0</v>
      </c>
      <c r="I62" s="39"/>
    </row>
    <row r="63" spans="1:9" ht="15.9" customHeight="1">
      <c r="A63" s="483"/>
      <c r="B63" s="277" t="s">
        <v>449</v>
      </c>
      <c r="C63" s="278"/>
      <c r="D63" s="39"/>
      <c r="E63" s="277" t="s">
        <v>150</v>
      </c>
      <c r="F63" s="218">
        <v>56</v>
      </c>
      <c r="G63" s="218">
        <v>400000</v>
      </c>
      <c r="H63" s="167">
        <f t="shared" si="1"/>
        <v>22400000</v>
      </c>
      <c r="I63" s="39"/>
    </row>
    <row r="64" spans="1:9" ht="15.9" customHeight="1">
      <c r="A64" s="483"/>
      <c r="B64" s="279" t="s">
        <v>551</v>
      </c>
      <c r="C64" s="280" t="s">
        <v>552</v>
      </c>
      <c r="D64" s="42"/>
      <c r="E64" s="279" t="s">
        <v>150</v>
      </c>
      <c r="F64" s="358"/>
      <c r="G64" s="222"/>
      <c r="H64" s="177">
        <f t="shared" si="1"/>
        <v>0</v>
      </c>
      <c r="I64" s="42"/>
    </row>
    <row r="65" spans="1:9" ht="15.9" customHeight="1">
      <c r="A65" s="265"/>
      <c r="B65" s="281" t="s">
        <v>156</v>
      </c>
      <c r="C65" s="267"/>
      <c r="D65" s="46"/>
      <c r="E65" s="46"/>
      <c r="F65" s="227"/>
      <c r="G65" s="227"/>
      <c r="H65" s="227">
        <f>SUM(H57:H64)</f>
        <v>22400000</v>
      </c>
      <c r="I65" s="225"/>
    </row>
    <row r="66" spans="1:9" ht="15.9" customHeight="1">
      <c r="A66" s="271"/>
      <c r="B66" s="281" t="s">
        <v>451</v>
      </c>
      <c r="C66" s="267"/>
      <c r="D66" s="46"/>
      <c r="E66" s="46"/>
      <c r="F66" s="50"/>
      <c r="G66" s="50"/>
      <c r="H66" s="269">
        <v>0</v>
      </c>
      <c r="I66" s="46"/>
    </row>
    <row r="67" spans="1:9" ht="15.9" customHeight="1">
      <c r="A67" s="271"/>
      <c r="B67" s="281" t="s">
        <v>93</v>
      </c>
      <c r="C67" s="267"/>
      <c r="D67" s="46"/>
      <c r="E67" s="46"/>
      <c r="F67" s="50"/>
      <c r="G67" s="283"/>
      <c r="H67" s="284">
        <f>(H65+H56)*0</f>
        <v>0</v>
      </c>
      <c r="I67" s="267"/>
    </row>
    <row r="68" spans="1:9" ht="15.9" customHeight="1">
      <c r="A68" s="271"/>
      <c r="B68" s="281" t="s">
        <v>159</v>
      </c>
      <c r="C68" s="267"/>
      <c r="D68" s="46"/>
      <c r="E68" s="46"/>
      <c r="F68" s="50"/>
      <c r="G68" s="283"/>
      <c r="H68" s="284">
        <f>(H65+H56)*0</f>
        <v>0</v>
      </c>
      <c r="I68" s="267"/>
    </row>
    <row r="69" spans="1:9" ht="15.9" customHeight="1">
      <c r="A69" s="271"/>
      <c r="B69" s="281" t="s">
        <v>160</v>
      </c>
      <c r="C69" s="267"/>
      <c r="D69" s="46"/>
      <c r="E69" s="46"/>
      <c r="F69" s="50"/>
      <c r="G69" s="50"/>
      <c r="H69" s="227">
        <f>H56+H65+H66+H67+H68</f>
        <v>30400000</v>
      </c>
      <c r="I69" s="46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3B73-B4C2-4142-BE64-6FC5E4761421}">
  <sheetPr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H66" sqref="H66"/>
      <selection pane="topRight" activeCell="H66" sqref="H66"/>
      <selection pane="bottomLeft" activeCell="H66" sqref="H66"/>
      <selection pane="bottomRight" activeCell="H66" sqref="H66"/>
    </sheetView>
  </sheetViews>
  <sheetFormatPr defaultColWidth="9" defaultRowHeight="14.4"/>
  <cols>
    <col min="1" max="1" width="5" style="1" customWidth="1"/>
    <col min="2" max="2" width="17.8984375" style="1" bestFit="1" customWidth="1"/>
    <col min="3" max="3" width="23.59765625" style="1" customWidth="1"/>
    <col min="4" max="4" width="18.19921875" style="1" customWidth="1"/>
    <col min="5" max="5" width="5.19921875" style="1" bestFit="1" customWidth="1"/>
    <col min="6" max="6" width="9" style="49"/>
    <col min="7" max="7" width="11.8984375" style="49" customWidth="1"/>
    <col min="8" max="8" width="13.59765625" style="49" customWidth="1"/>
    <col min="9" max="9" width="12.69921875" style="1" customWidth="1"/>
    <col min="10" max="256" width="9" style="1"/>
    <col min="257" max="257" width="5" style="1" customWidth="1"/>
    <col min="258" max="258" width="17.8984375" style="1" bestFit="1" customWidth="1"/>
    <col min="259" max="259" width="23.59765625" style="1" customWidth="1"/>
    <col min="260" max="260" width="18.19921875" style="1" customWidth="1"/>
    <col min="261" max="261" width="5.19921875" style="1" bestFit="1" customWidth="1"/>
    <col min="262" max="262" width="9" style="1"/>
    <col min="263" max="263" width="11.8984375" style="1" customWidth="1"/>
    <col min="264" max="264" width="13.59765625" style="1" customWidth="1"/>
    <col min="265" max="265" width="12.69921875" style="1" customWidth="1"/>
    <col min="266" max="512" width="9" style="1"/>
    <col min="513" max="513" width="5" style="1" customWidth="1"/>
    <col min="514" max="514" width="17.8984375" style="1" bestFit="1" customWidth="1"/>
    <col min="515" max="515" width="23.59765625" style="1" customWidth="1"/>
    <col min="516" max="516" width="18.19921875" style="1" customWidth="1"/>
    <col min="517" max="517" width="5.19921875" style="1" bestFit="1" customWidth="1"/>
    <col min="518" max="518" width="9" style="1"/>
    <col min="519" max="519" width="11.8984375" style="1" customWidth="1"/>
    <col min="520" max="520" width="13.59765625" style="1" customWidth="1"/>
    <col min="521" max="521" width="12.69921875" style="1" customWidth="1"/>
    <col min="522" max="768" width="9" style="1"/>
    <col min="769" max="769" width="5" style="1" customWidth="1"/>
    <col min="770" max="770" width="17.8984375" style="1" bestFit="1" customWidth="1"/>
    <col min="771" max="771" width="23.59765625" style="1" customWidth="1"/>
    <col min="772" max="772" width="18.19921875" style="1" customWidth="1"/>
    <col min="773" max="773" width="5.19921875" style="1" bestFit="1" customWidth="1"/>
    <col min="774" max="774" width="9" style="1"/>
    <col min="775" max="775" width="11.8984375" style="1" customWidth="1"/>
    <col min="776" max="776" width="13.59765625" style="1" customWidth="1"/>
    <col min="777" max="777" width="12.69921875" style="1" customWidth="1"/>
    <col min="778" max="1024" width="9" style="1"/>
    <col min="1025" max="1025" width="5" style="1" customWidth="1"/>
    <col min="1026" max="1026" width="17.8984375" style="1" bestFit="1" customWidth="1"/>
    <col min="1027" max="1027" width="23.59765625" style="1" customWidth="1"/>
    <col min="1028" max="1028" width="18.19921875" style="1" customWidth="1"/>
    <col min="1029" max="1029" width="5.19921875" style="1" bestFit="1" customWidth="1"/>
    <col min="1030" max="1030" width="9" style="1"/>
    <col min="1031" max="1031" width="11.8984375" style="1" customWidth="1"/>
    <col min="1032" max="1032" width="13.59765625" style="1" customWidth="1"/>
    <col min="1033" max="1033" width="12.69921875" style="1" customWidth="1"/>
    <col min="1034" max="1280" width="9" style="1"/>
    <col min="1281" max="1281" width="5" style="1" customWidth="1"/>
    <col min="1282" max="1282" width="17.8984375" style="1" bestFit="1" customWidth="1"/>
    <col min="1283" max="1283" width="23.59765625" style="1" customWidth="1"/>
    <col min="1284" max="1284" width="18.19921875" style="1" customWidth="1"/>
    <col min="1285" max="1285" width="5.19921875" style="1" bestFit="1" customWidth="1"/>
    <col min="1286" max="1286" width="9" style="1"/>
    <col min="1287" max="1287" width="11.8984375" style="1" customWidth="1"/>
    <col min="1288" max="1288" width="13.59765625" style="1" customWidth="1"/>
    <col min="1289" max="1289" width="12.69921875" style="1" customWidth="1"/>
    <col min="1290" max="1536" width="9" style="1"/>
    <col min="1537" max="1537" width="5" style="1" customWidth="1"/>
    <col min="1538" max="1538" width="17.8984375" style="1" bestFit="1" customWidth="1"/>
    <col min="1539" max="1539" width="23.59765625" style="1" customWidth="1"/>
    <col min="1540" max="1540" width="18.19921875" style="1" customWidth="1"/>
    <col min="1541" max="1541" width="5.19921875" style="1" bestFit="1" customWidth="1"/>
    <col min="1542" max="1542" width="9" style="1"/>
    <col min="1543" max="1543" width="11.8984375" style="1" customWidth="1"/>
    <col min="1544" max="1544" width="13.59765625" style="1" customWidth="1"/>
    <col min="1545" max="1545" width="12.69921875" style="1" customWidth="1"/>
    <col min="1546" max="1792" width="9" style="1"/>
    <col min="1793" max="1793" width="5" style="1" customWidth="1"/>
    <col min="1794" max="1794" width="17.8984375" style="1" bestFit="1" customWidth="1"/>
    <col min="1795" max="1795" width="23.59765625" style="1" customWidth="1"/>
    <col min="1796" max="1796" width="18.19921875" style="1" customWidth="1"/>
    <col min="1797" max="1797" width="5.19921875" style="1" bestFit="1" customWidth="1"/>
    <col min="1798" max="1798" width="9" style="1"/>
    <col min="1799" max="1799" width="11.8984375" style="1" customWidth="1"/>
    <col min="1800" max="1800" width="13.59765625" style="1" customWidth="1"/>
    <col min="1801" max="1801" width="12.69921875" style="1" customWidth="1"/>
    <col min="1802" max="2048" width="9" style="1"/>
    <col min="2049" max="2049" width="5" style="1" customWidth="1"/>
    <col min="2050" max="2050" width="17.8984375" style="1" bestFit="1" customWidth="1"/>
    <col min="2051" max="2051" width="23.59765625" style="1" customWidth="1"/>
    <col min="2052" max="2052" width="18.19921875" style="1" customWidth="1"/>
    <col min="2053" max="2053" width="5.19921875" style="1" bestFit="1" customWidth="1"/>
    <col min="2054" max="2054" width="9" style="1"/>
    <col min="2055" max="2055" width="11.8984375" style="1" customWidth="1"/>
    <col min="2056" max="2056" width="13.59765625" style="1" customWidth="1"/>
    <col min="2057" max="2057" width="12.69921875" style="1" customWidth="1"/>
    <col min="2058" max="2304" width="9" style="1"/>
    <col min="2305" max="2305" width="5" style="1" customWidth="1"/>
    <col min="2306" max="2306" width="17.8984375" style="1" bestFit="1" customWidth="1"/>
    <col min="2307" max="2307" width="23.59765625" style="1" customWidth="1"/>
    <col min="2308" max="2308" width="18.19921875" style="1" customWidth="1"/>
    <col min="2309" max="2309" width="5.19921875" style="1" bestFit="1" customWidth="1"/>
    <col min="2310" max="2310" width="9" style="1"/>
    <col min="2311" max="2311" width="11.8984375" style="1" customWidth="1"/>
    <col min="2312" max="2312" width="13.59765625" style="1" customWidth="1"/>
    <col min="2313" max="2313" width="12.69921875" style="1" customWidth="1"/>
    <col min="2314" max="2560" width="9" style="1"/>
    <col min="2561" max="2561" width="5" style="1" customWidth="1"/>
    <col min="2562" max="2562" width="17.8984375" style="1" bestFit="1" customWidth="1"/>
    <col min="2563" max="2563" width="23.59765625" style="1" customWidth="1"/>
    <col min="2564" max="2564" width="18.19921875" style="1" customWidth="1"/>
    <col min="2565" max="2565" width="5.19921875" style="1" bestFit="1" customWidth="1"/>
    <col min="2566" max="2566" width="9" style="1"/>
    <col min="2567" max="2567" width="11.8984375" style="1" customWidth="1"/>
    <col min="2568" max="2568" width="13.59765625" style="1" customWidth="1"/>
    <col min="2569" max="2569" width="12.69921875" style="1" customWidth="1"/>
    <col min="2570" max="2816" width="9" style="1"/>
    <col min="2817" max="2817" width="5" style="1" customWidth="1"/>
    <col min="2818" max="2818" width="17.8984375" style="1" bestFit="1" customWidth="1"/>
    <col min="2819" max="2819" width="23.59765625" style="1" customWidth="1"/>
    <col min="2820" max="2820" width="18.19921875" style="1" customWidth="1"/>
    <col min="2821" max="2821" width="5.19921875" style="1" bestFit="1" customWidth="1"/>
    <col min="2822" max="2822" width="9" style="1"/>
    <col min="2823" max="2823" width="11.8984375" style="1" customWidth="1"/>
    <col min="2824" max="2824" width="13.59765625" style="1" customWidth="1"/>
    <col min="2825" max="2825" width="12.69921875" style="1" customWidth="1"/>
    <col min="2826" max="3072" width="9" style="1"/>
    <col min="3073" max="3073" width="5" style="1" customWidth="1"/>
    <col min="3074" max="3074" width="17.8984375" style="1" bestFit="1" customWidth="1"/>
    <col min="3075" max="3075" width="23.59765625" style="1" customWidth="1"/>
    <col min="3076" max="3076" width="18.19921875" style="1" customWidth="1"/>
    <col min="3077" max="3077" width="5.19921875" style="1" bestFit="1" customWidth="1"/>
    <col min="3078" max="3078" width="9" style="1"/>
    <col min="3079" max="3079" width="11.8984375" style="1" customWidth="1"/>
    <col min="3080" max="3080" width="13.59765625" style="1" customWidth="1"/>
    <col min="3081" max="3081" width="12.69921875" style="1" customWidth="1"/>
    <col min="3082" max="3328" width="9" style="1"/>
    <col min="3329" max="3329" width="5" style="1" customWidth="1"/>
    <col min="3330" max="3330" width="17.8984375" style="1" bestFit="1" customWidth="1"/>
    <col min="3331" max="3331" width="23.59765625" style="1" customWidth="1"/>
    <col min="3332" max="3332" width="18.19921875" style="1" customWidth="1"/>
    <col min="3333" max="3333" width="5.19921875" style="1" bestFit="1" customWidth="1"/>
    <col min="3334" max="3334" width="9" style="1"/>
    <col min="3335" max="3335" width="11.8984375" style="1" customWidth="1"/>
    <col min="3336" max="3336" width="13.59765625" style="1" customWidth="1"/>
    <col min="3337" max="3337" width="12.69921875" style="1" customWidth="1"/>
    <col min="3338" max="3584" width="9" style="1"/>
    <col min="3585" max="3585" width="5" style="1" customWidth="1"/>
    <col min="3586" max="3586" width="17.8984375" style="1" bestFit="1" customWidth="1"/>
    <col min="3587" max="3587" width="23.59765625" style="1" customWidth="1"/>
    <col min="3588" max="3588" width="18.19921875" style="1" customWidth="1"/>
    <col min="3589" max="3589" width="5.19921875" style="1" bestFit="1" customWidth="1"/>
    <col min="3590" max="3590" width="9" style="1"/>
    <col min="3591" max="3591" width="11.8984375" style="1" customWidth="1"/>
    <col min="3592" max="3592" width="13.59765625" style="1" customWidth="1"/>
    <col min="3593" max="3593" width="12.69921875" style="1" customWidth="1"/>
    <col min="3594" max="3840" width="9" style="1"/>
    <col min="3841" max="3841" width="5" style="1" customWidth="1"/>
    <col min="3842" max="3842" width="17.8984375" style="1" bestFit="1" customWidth="1"/>
    <col min="3843" max="3843" width="23.59765625" style="1" customWidth="1"/>
    <col min="3844" max="3844" width="18.19921875" style="1" customWidth="1"/>
    <col min="3845" max="3845" width="5.19921875" style="1" bestFit="1" customWidth="1"/>
    <col min="3846" max="3846" width="9" style="1"/>
    <col min="3847" max="3847" width="11.8984375" style="1" customWidth="1"/>
    <col min="3848" max="3848" width="13.59765625" style="1" customWidth="1"/>
    <col min="3849" max="3849" width="12.69921875" style="1" customWidth="1"/>
    <col min="3850" max="4096" width="9" style="1"/>
    <col min="4097" max="4097" width="5" style="1" customWidth="1"/>
    <col min="4098" max="4098" width="17.8984375" style="1" bestFit="1" customWidth="1"/>
    <col min="4099" max="4099" width="23.59765625" style="1" customWidth="1"/>
    <col min="4100" max="4100" width="18.19921875" style="1" customWidth="1"/>
    <col min="4101" max="4101" width="5.19921875" style="1" bestFit="1" customWidth="1"/>
    <col min="4102" max="4102" width="9" style="1"/>
    <col min="4103" max="4103" width="11.8984375" style="1" customWidth="1"/>
    <col min="4104" max="4104" width="13.59765625" style="1" customWidth="1"/>
    <col min="4105" max="4105" width="12.69921875" style="1" customWidth="1"/>
    <col min="4106" max="4352" width="9" style="1"/>
    <col min="4353" max="4353" width="5" style="1" customWidth="1"/>
    <col min="4354" max="4354" width="17.8984375" style="1" bestFit="1" customWidth="1"/>
    <col min="4355" max="4355" width="23.59765625" style="1" customWidth="1"/>
    <col min="4356" max="4356" width="18.19921875" style="1" customWidth="1"/>
    <col min="4357" max="4357" width="5.19921875" style="1" bestFit="1" customWidth="1"/>
    <col min="4358" max="4358" width="9" style="1"/>
    <col min="4359" max="4359" width="11.8984375" style="1" customWidth="1"/>
    <col min="4360" max="4360" width="13.59765625" style="1" customWidth="1"/>
    <col min="4361" max="4361" width="12.69921875" style="1" customWidth="1"/>
    <col min="4362" max="4608" width="9" style="1"/>
    <col min="4609" max="4609" width="5" style="1" customWidth="1"/>
    <col min="4610" max="4610" width="17.8984375" style="1" bestFit="1" customWidth="1"/>
    <col min="4611" max="4611" width="23.59765625" style="1" customWidth="1"/>
    <col min="4612" max="4612" width="18.19921875" style="1" customWidth="1"/>
    <col min="4613" max="4613" width="5.19921875" style="1" bestFit="1" customWidth="1"/>
    <col min="4614" max="4614" width="9" style="1"/>
    <col min="4615" max="4615" width="11.8984375" style="1" customWidth="1"/>
    <col min="4616" max="4616" width="13.59765625" style="1" customWidth="1"/>
    <col min="4617" max="4617" width="12.69921875" style="1" customWidth="1"/>
    <col min="4618" max="4864" width="9" style="1"/>
    <col min="4865" max="4865" width="5" style="1" customWidth="1"/>
    <col min="4866" max="4866" width="17.8984375" style="1" bestFit="1" customWidth="1"/>
    <col min="4867" max="4867" width="23.59765625" style="1" customWidth="1"/>
    <col min="4868" max="4868" width="18.19921875" style="1" customWidth="1"/>
    <col min="4869" max="4869" width="5.19921875" style="1" bestFit="1" customWidth="1"/>
    <col min="4870" max="4870" width="9" style="1"/>
    <col min="4871" max="4871" width="11.8984375" style="1" customWidth="1"/>
    <col min="4872" max="4872" width="13.59765625" style="1" customWidth="1"/>
    <col min="4873" max="4873" width="12.69921875" style="1" customWidth="1"/>
    <col min="4874" max="5120" width="9" style="1"/>
    <col min="5121" max="5121" width="5" style="1" customWidth="1"/>
    <col min="5122" max="5122" width="17.8984375" style="1" bestFit="1" customWidth="1"/>
    <col min="5123" max="5123" width="23.59765625" style="1" customWidth="1"/>
    <col min="5124" max="5124" width="18.19921875" style="1" customWidth="1"/>
    <col min="5125" max="5125" width="5.19921875" style="1" bestFit="1" customWidth="1"/>
    <col min="5126" max="5126" width="9" style="1"/>
    <col min="5127" max="5127" width="11.8984375" style="1" customWidth="1"/>
    <col min="5128" max="5128" width="13.59765625" style="1" customWidth="1"/>
    <col min="5129" max="5129" width="12.69921875" style="1" customWidth="1"/>
    <col min="5130" max="5376" width="9" style="1"/>
    <col min="5377" max="5377" width="5" style="1" customWidth="1"/>
    <col min="5378" max="5378" width="17.8984375" style="1" bestFit="1" customWidth="1"/>
    <col min="5379" max="5379" width="23.59765625" style="1" customWidth="1"/>
    <col min="5380" max="5380" width="18.19921875" style="1" customWidth="1"/>
    <col min="5381" max="5381" width="5.19921875" style="1" bestFit="1" customWidth="1"/>
    <col min="5382" max="5382" width="9" style="1"/>
    <col min="5383" max="5383" width="11.8984375" style="1" customWidth="1"/>
    <col min="5384" max="5384" width="13.59765625" style="1" customWidth="1"/>
    <col min="5385" max="5385" width="12.69921875" style="1" customWidth="1"/>
    <col min="5386" max="5632" width="9" style="1"/>
    <col min="5633" max="5633" width="5" style="1" customWidth="1"/>
    <col min="5634" max="5634" width="17.8984375" style="1" bestFit="1" customWidth="1"/>
    <col min="5635" max="5635" width="23.59765625" style="1" customWidth="1"/>
    <col min="5636" max="5636" width="18.19921875" style="1" customWidth="1"/>
    <col min="5637" max="5637" width="5.19921875" style="1" bestFit="1" customWidth="1"/>
    <col min="5638" max="5638" width="9" style="1"/>
    <col min="5639" max="5639" width="11.8984375" style="1" customWidth="1"/>
    <col min="5640" max="5640" width="13.59765625" style="1" customWidth="1"/>
    <col min="5641" max="5641" width="12.69921875" style="1" customWidth="1"/>
    <col min="5642" max="5888" width="9" style="1"/>
    <col min="5889" max="5889" width="5" style="1" customWidth="1"/>
    <col min="5890" max="5890" width="17.8984375" style="1" bestFit="1" customWidth="1"/>
    <col min="5891" max="5891" width="23.59765625" style="1" customWidth="1"/>
    <col min="5892" max="5892" width="18.19921875" style="1" customWidth="1"/>
    <col min="5893" max="5893" width="5.19921875" style="1" bestFit="1" customWidth="1"/>
    <col min="5894" max="5894" width="9" style="1"/>
    <col min="5895" max="5895" width="11.8984375" style="1" customWidth="1"/>
    <col min="5896" max="5896" width="13.59765625" style="1" customWidth="1"/>
    <col min="5897" max="5897" width="12.69921875" style="1" customWidth="1"/>
    <col min="5898" max="6144" width="9" style="1"/>
    <col min="6145" max="6145" width="5" style="1" customWidth="1"/>
    <col min="6146" max="6146" width="17.8984375" style="1" bestFit="1" customWidth="1"/>
    <col min="6147" max="6147" width="23.59765625" style="1" customWidth="1"/>
    <col min="6148" max="6148" width="18.19921875" style="1" customWidth="1"/>
    <col min="6149" max="6149" width="5.19921875" style="1" bestFit="1" customWidth="1"/>
    <col min="6150" max="6150" width="9" style="1"/>
    <col min="6151" max="6151" width="11.8984375" style="1" customWidth="1"/>
    <col min="6152" max="6152" width="13.59765625" style="1" customWidth="1"/>
    <col min="6153" max="6153" width="12.69921875" style="1" customWidth="1"/>
    <col min="6154" max="6400" width="9" style="1"/>
    <col min="6401" max="6401" width="5" style="1" customWidth="1"/>
    <col min="6402" max="6402" width="17.8984375" style="1" bestFit="1" customWidth="1"/>
    <col min="6403" max="6403" width="23.59765625" style="1" customWidth="1"/>
    <col min="6404" max="6404" width="18.19921875" style="1" customWidth="1"/>
    <col min="6405" max="6405" width="5.19921875" style="1" bestFit="1" customWidth="1"/>
    <col min="6406" max="6406" width="9" style="1"/>
    <col min="6407" max="6407" width="11.8984375" style="1" customWidth="1"/>
    <col min="6408" max="6408" width="13.59765625" style="1" customWidth="1"/>
    <col min="6409" max="6409" width="12.69921875" style="1" customWidth="1"/>
    <col min="6410" max="6656" width="9" style="1"/>
    <col min="6657" max="6657" width="5" style="1" customWidth="1"/>
    <col min="6658" max="6658" width="17.8984375" style="1" bestFit="1" customWidth="1"/>
    <col min="6659" max="6659" width="23.59765625" style="1" customWidth="1"/>
    <col min="6660" max="6660" width="18.19921875" style="1" customWidth="1"/>
    <col min="6661" max="6661" width="5.19921875" style="1" bestFit="1" customWidth="1"/>
    <col min="6662" max="6662" width="9" style="1"/>
    <col min="6663" max="6663" width="11.8984375" style="1" customWidth="1"/>
    <col min="6664" max="6664" width="13.59765625" style="1" customWidth="1"/>
    <col min="6665" max="6665" width="12.69921875" style="1" customWidth="1"/>
    <col min="6666" max="6912" width="9" style="1"/>
    <col min="6913" max="6913" width="5" style="1" customWidth="1"/>
    <col min="6914" max="6914" width="17.8984375" style="1" bestFit="1" customWidth="1"/>
    <col min="6915" max="6915" width="23.59765625" style="1" customWidth="1"/>
    <col min="6916" max="6916" width="18.19921875" style="1" customWidth="1"/>
    <col min="6917" max="6917" width="5.19921875" style="1" bestFit="1" customWidth="1"/>
    <col min="6918" max="6918" width="9" style="1"/>
    <col min="6919" max="6919" width="11.8984375" style="1" customWidth="1"/>
    <col min="6920" max="6920" width="13.59765625" style="1" customWidth="1"/>
    <col min="6921" max="6921" width="12.69921875" style="1" customWidth="1"/>
    <col min="6922" max="7168" width="9" style="1"/>
    <col min="7169" max="7169" width="5" style="1" customWidth="1"/>
    <col min="7170" max="7170" width="17.8984375" style="1" bestFit="1" customWidth="1"/>
    <col min="7171" max="7171" width="23.59765625" style="1" customWidth="1"/>
    <col min="7172" max="7172" width="18.19921875" style="1" customWidth="1"/>
    <col min="7173" max="7173" width="5.19921875" style="1" bestFit="1" customWidth="1"/>
    <col min="7174" max="7174" width="9" style="1"/>
    <col min="7175" max="7175" width="11.8984375" style="1" customWidth="1"/>
    <col min="7176" max="7176" width="13.59765625" style="1" customWidth="1"/>
    <col min="7177" max="7177" width="12.69921875" style="1" customWidth="1"/>
    <col min="7178" max="7424" width="9" style="1"/>
    <col min="7425" max="7425" width="5" style="1" customWidth="1"/>
    <col min="7426" max="7426" width="17.8984375" style="1" bestFit="1" customWidth="1"/>
    <col min="7427" max="7427" width="23.59765625" style="1" customWidth="1"/>
    <col min="7428" max="7428" width="18.19921875" style="1" customWidth="1"/>
    <col min="7429" max="7429" width="5.19921875" style="1" bestFit="1" customWidth="1"/>
    <col min="7430" max="7430" width="9" style="1"/>
    <col min="7431" max="7431" width="11.8984375" style="1" customWidth="1"/>
    <col min="7432" max="7432" width="13.59765625" style="1" customWidth="1"/>
    <col min="7433" max="7433" width="12.69921875" style="1" customWidth="1"/>
    <col min="7434" max="7680" width="9" style="1"/>
    <col min="7681" max="7681" width="5" style="1" customWidth="1"/>
    <col min="7682" max="7682" width="17.8984375" style="1" bestFit="1" customWidth="1"/>
    <col min="7683" max="7683" width="23.59765625" style="1" customWidth="1"/>
    <col min="7684" max="7684" width="18.19921875" style="1" customWidth="1"/>
    <col min="7685" max="7685" width="5.19921875" style="1" bestFit="1" customWidth="1"/>
    <col min="7686" max="7686" width="9" style="1"/>
    <col min="7687" max="7687" width="11.8984375" style="1" customWidth="1"/>
    <col min="7688" max="7688" width="13.59765625" style="1" customWidth="1"/>
    <col min="7689" max="7689" width="12.69921875" style="1" customWidth="1"/>
    <col min="7690" max="7936" width="9" style="1"/>
    <col min="7937" max="7937" width="5" style="1" customWidth="1"/>
    <col min="7938" max="7938" width="17.8984375" style="1" bestFit="1" customWidth="1"/>
    <col min="7939" max="7939" width="23.59765625" style="1" customWidth="1"/>
    <col min="7940" max="7940" width="18.19921875" style="1" customWidth="1"/>
    <col min="7941" max="7941" width="5.19921875" style="1" bestFit="1" customWidth="1"/>
    <col min="7942" max="7942" width="9" style="1"/>
    <col min="7943" max="7943" width="11.8984375" style="1" customWidth="1"/>
    <col min="7944" max="7944" width="13.59765625" style="1" customWidth="1"/>
    <col min="7945" max="7945" width="12.69921875" style="1" customWidth="1"/>
    <col min="7946" max="8192" width="9" style="1"/>
    <col min="8193" max="8193" width="5" style="1" customWidth="1"/>
    <col min="8194" max="8194" width="17.8984375" style="1" bestFit="1" customWidth="1"/>
    <col min="8195" max="8195" width="23.59765625" style="1" customWidth="1"/>
    <col min="8196" max="8196" width="18.19921875" style="1" customWidth="1"/>
    <col min="8197" max="8197" width="5.19921875" style="1" bestFit="1" customWidth="1"/>
    <col min="8198" max="8198" width="9" style="1"/>
    <col min="8199" max="8199" width="11.8984375" style="1" customWidth="1"/>
    <col min="8200" max="8200" width="13.59765625" style="1" customWidth="1"/>
    <col min="8201" max="8201" width="12.69921875" style="1" customWidth="1"/>
    <col min="8202" max="8448" width="9" style="1"/>
    <col min="8449" max="8449" width="5" style="1" customWidth="1"/>
    <col min="8450" max="8450" width="17.8984375" style="1" bestFit="1" customWidth="1"/>
    <col min="8451" max="8451" width="23.59765625" style="1" customWidth="1"/>
    <col min="8452" max="8452" width="18.19921875" style="1" customWidth="1"/>
    <col min="8453" max="8453" width="5.19921875" style="1" bestFit="1" customWidth="1"/>
    <col min="8454" max="8454" width="9" style="1"/>
    <col min="8455" max="8455" width="11.8984375" style="1" customWidth="1"/>
    <col min="8456" max="8456" width="13.59765625" style="1" customWidth="1"/>
    <col min="8457" max="8457" width="12.69921875" style="1" customWidth="1"/>
    <col min="8458" max="8704" width="9" style="1"/>
    <col min="8705" max="8705" width="5" style="1" customWidth="1"/>
    <col min="8706" max="8706" width="17.8984375" style="1" bestFit="1" customWidth="1"/>
    <col min="8707" max="8707" width="23.59765625" style="1" customWidth="1"/>
    <col min="8708" max="8708" width="18.19921875" style="1" customWidth="1"/>
    <col min="8709" max="8709" width="5.19921875" style="1" bestFit="1" customWidth="1"/>
    <col min="8710" max="8710" width="9" style="1"/>
    <col min="8711" max="8711" width="11.8984375" style="1" customWidth="1"/>
    <col min="8712" max="8712" width="13.59765625" style="1" customWidth="1"/>
    <col min="8713" max="8713" width="12.69921875" style="1" customWidth="1"/>
    <col min="8714" max="8960" width="9" style="1"/>
    <col min="8961" max="8961" width="5" style="1" customWidth="1"/>
    <col min="8962" max="8962" width="17.8984375" style="1" bestFit="1" customWidth="1"/>
    <col min="8963" max="8963" width="23.59765625" style="1" customWidth="1"/>
    <col min="8964" max="8964" width="18.19921875" style="1" customWidth="1"/>
    <col min="8965" max="8965" width="5.19921875" style="1" bestFit="1" customWidth="1"/>
    <col min="8966" max="8966" width="9" style="1"/>
    <col min="8967" max="8967" width="11.8984375" style="1" customWidth="1"/>
    <col min="8968" max="8968" width="13.59765625" style="1" customWidth="1"/>
    <col min="8969" max="8969" width="12.69921875" style="1" customWidth="1"/>
    <col min="8970" max="9216" width="9" style="1"/>
    <col min="9217" max="9217" width="5" style="1" customWidth="1"/>
    <col min="9218" max="9218" width="17.8984375" style="1" bestFit="1" customWidth="1"/>
    <col min="9219" max="9219" width="23.59765625" style="1" customWidth="1"/>
    <col min="9220" max="9220" width="18.19921875" style="1" customWidth="1"/>
    <col min="9221" max="9221" width="5.19921875" style="1" bestFit="1" customWidth="1"/>
    <col min="9222" max="9222" width="9" style="1"/>
    <col min="9223" max="9223" width="11.8984375" style="1" customWidth="1"/>
    <col min="9224" max="9224" width="13.59765625" style="1" customWidth="1"/>
    <col min="9225" max="9225" width="12.69921875" style="1" customWidth="1"/>
    <col min="9226" max="9472" width="9" style="1"/>
    <col min="9473" max="9473" width="5" style="1" customWidth="1"/>
    <col min="9474" max="9474" width="17.8984375" style="1" bestFit="1" customWidth="1"/>
    <col min="9475" max="9475" width="23.59765625" style="1" customWidth="1"/>
    <col min="9476" max="9476" width="18.19921875" style="1" customWidth="1"/>
    <col min="9477" max="9477" width="5.19921875" style="1" bestFit="1" customWidth="1"/>
    <col min="9478" max="9478" width="9" style="1"/>
    <col min="9479" max="9479" width="11.8984375" style="1" customWidth="1"/>
    <col min="9480" max="9480" width="13.59765625" style="1" customWidth="1"/>
    <col min="9481" max="9481" width="12.69921875" style="1" customWidth="1"/>
    <col min="9482" max="9728" width="9" style="1"/>
    <col min="9729" max="9729" width="5" style="1" customWidth="1"/>
    <col min="9730" max="9730" width="17.8984375" style="1" bestFit="1" customWidth="1"/>
    <col min="9731" max="9731" width="23.59765625" style="1" customWidth="1"/>
    <col min="9732" max="9732" width="18.19921875" style="1" customWidth="1"/>
    <col min="9733" max="9733" width="5.19921875" style="1" bestFit="1" customWidth="1"/>
    <col min="9734" max="9734" width="9" style="1"/>
    <col min="9735" max="9735" width="11.8984375" style="1" customWidth="1"/>
    <col min="9736" max="9736" width="13.59765625" style="1" customWidth="1"/>
    <col min="9737" max="9737" width="12.69921875" style="1" customWidth="1"/>
    <col min="9738" max="9984" width="9" style="1"/>
    <col min="9985" max="9985" width="5" style="1" customWidth="1"/>
    <col min="9986" max="9986" width="17.8984375" style="1" bestFit="1" customWidth="1"/>
    <col min="9987" max="9987" width="23.59765625" style="1" customWidth="1"/>
    <col min="9988" max="9988" width="18.19921875" style="1" customWidth="1"/>
    <col min="9989" max="9989" width="5.19921875" style="1" bestFit="1" customWidth="1"/>
    <col min="9990" max="9990" width="9" style="1"/>
    <col min="9991" max="9991" width="11.8984375" style="1" customWidth="1"/>
    <col min="9992" max="9992" width="13.59765625" style="1" customWidth="1"/>
    <col min="9993" max="9993" width="12.69921875" style="1" customWidth="1"/>
    <col min="9994" max="10240" width="9" style="1"/>
    <col min="10241" max="10241" width="5" style="1" customWidth="1"/>
    <col min="10242" max="10242" width="17.8984375" style="1" bestFit="1" customWidth="1"/>
    <col min="10243" max="10243" width="23.59765625" style="1" customWidth="1"/>
    <col min="10244" max="10244" width="18.19921875" style="1" customWidth="1"/>
    <col min="10245" max="10245" width="5.19921875" style="1" bestFit="1" customWidth="1"/>
    <col min="10246" max="10246" width="9" style="1"/>
    <col min="10247" max="10247" width="11.8984375" style="1" customWidth="1"/>
    <col min="10248" max="10248" width="13.59765625" style="1" customWidth="1"/>
    <col min="10249" max="10249" width="12.69921875" style="1" customWidth="1"/>
    <col min="10250" max="10496" width="9" style="1"/>
    <col min="10497" max="10497" width="5" style="1" customWidth="1"/>
    <col min="10498" max="10498" width="17.8984375" style="1" bestFit="1" customWidth="1"/>
    <col min="10499" max="10499" width="23.59765625" style="1" customWidth="1"/>
    <col min="10500" max="10500" width="18.19921875" style="1" customWidth="1"/>
    <col min="10501" max="10501" width="5.19921875" style="1" bestFit="1" customWidth="1"/>
    <col min="10502" max="10502" width="9" style="1"/>
    <col min="10503" max="10503" width="11.8984375" style="1" customWidth="1"/>
    <col min="10504" max="10504" width="13.59765625" style="1" customWidth="1"/>
    <col min="10505" max="10505" width="12.69921875" style="1" customWidth="1"/>
    <col min="10506" max="10752" width="9" style="1"/>
    <col min="10753" max="10753" width="5" style="1" customWidth="1"/>
    <col min="10754" max="10754" width="17.8984375" style="1" bestFit="1" customWidth="1"/>
    <col min="10755" max="10755" width="23.59765625" style="1" customWidth="1"/>
    <col min="10756" max="10756" width="18.19921875" style="1" customWidth="1"/>
    <col min="10757" max="10757" width="5.19921875" style="1" bestFit="1" customWidth="1"/>
    <col min="10758" max="10758" width="9" style="1"/>
    <col min="10759" max="10759" width="11.8984375" style="1" customWidth="1"/>
    <col min="10760" max="10760" width="13.59765625" style="1" customWidth="1"/>
    <col min="10761" max="10761" width="12.69921875" style="1" customWidth="1"/>
    <col min="10762" max="11008" width="9" style="1"/>
    <col min="11009" max="11009" width="5" style="1" customWidth="1"/>
    <col min="11010" max="11010" width="17.8984375" style="1" bestFit="1" customWidth="1"/>
    <col min="11011" max="11011" width="23.59765625" style="1" customWidth="1"/>
    <col min="11012" max="11012" width="18.19921875" style="1" customWidth="1"/>
    <col min="11013" max="11013" width="5.19921875" style="1" bestFit="1" customWidth="1"/>
    <col min="11014" max="11014" width="9" style="1"/>
    <col min="11015" max="11015" width="11.8984375" style="1" customWidth="1"/>
    <col min="11016" max="11016" width="13.59765625" style="1" customWidth="1"/>
    <col min="11017" max="11017" width="12.69921875" style="1" customWidth="1"/>
    <col min="11018" max="11264" width="9" style="1"/>
    <col min="11265" max="11265" width="5" style="1" customWidth="1"/>
    <col min="11266" max="11266" width="17.8984375" style="1" bestFit="1" customWidth="1"/>
    <col min="11267" max="11267" width="23.59765625" style="1" customWidth="1"/>
    <col min="11268" max="11268" width="18.19921875" style="1" customWidth="1"/>
    <col min="11269" max="11269" width="5.19921875" style="1" bestFit="1" customWidth="1"/>
    <col min="11270" max="11270" width="9" style="1"/>
    <col min="11271" max="11271" width="11.8984375" style="1" customWidth="1"/>
    <col min="11272" max="11272" width="13.59765625" style="1" customWidth="1"/>
    <col min="11273" max="11273" width="12.69921875" style="1" customWidth="1"/>
    <col min="11274" max="11520" width="9" style="1"/>
    <col min="11521" max="11521" width="5" style="1" customWidth="1"/>
    <col min="11522" max="11522" width="17.8984375" style="1" bestFit="1" customWidth="1"/>
    <col min="11523" max="11523" width="23.59765625" style="1" customWidth="1"/>
    <col min="11524" max="11524" width="18.19921875" style="1" customWidth="1"/>
    <col min="11525" max="11525" width="5.19921875" style="1" bestFit="1" customWidth="1"/>
    <col min="11526" max="11526" width="9" style="1"/>
    <col min="11527" max="11527" width="11.8984375" style="1" customWidth="1"/>
    <col min="11528" max="11528" width="13.59765625" style="1" customWidth="1"/>
    <col min="11529" max="11529" width="12.69921875" style="1" customWidth="1"/>
    <col min="11530" max="11776" width="9" style="1"/>
    <col min="11777" max="11777" width="5" style="1" customWidth="1"/>
    <col min="11778" max="11778" width="17.8984375" style="1" bestFit="1" customWidth="1"/>
    <col min="11779" max="11779" width="23.59765625" style="1" customWidth="1"/>
    <col min="11780" max="11780" width="18.19921875" style="1" customWidth="1"/>
    <col min="11781" max="11781" width="5.19921875" style="1" bestFit="1" customWidth="1"/>
    <col min="11782" max="11782" width="9" style="1"/>
    <col min="11783" max="11783" width="11.8984375" style="1" customWidth="1"/>
    <col min="11784" max="11784" width="13.59765625" style="1" customWidth="1"/>
    <col min="11785" max="11785" width="12.69921875" style="1" customWidth="1"/>
    <col min="11786" max="12032" width="9" style="1"/>
    <col min="12033" max="12033" width="5" style="1" customWidth="1"/>
    <col min="12034" max="12034" width="17.8984375" style="1" bestFit="1" customWidth="1"/>
    <col min="12035" max="12035" width="23.59765625" style="1" customWidth="1"/>
    <col min="12036" max="12036" width="18.19921875" style="1" customWidth="1"/>
    <col min="12037" max="12037" width="5.19921875" style="1" bestFit="1" customWidth="1"/>
    <col min="12038" max="12038" width="9" style="1"/>
    <col min="12039" max="12039" width="11.8984375" style="1" customWidth="1"/>
    <col min="12040" max="12040" width="13.59765625" style="1" customWidth="1"/>
    <col min="12041" max="12041" width="12.69921875" style="1" customWidth="1"/>
    <col min="12042" max="12288" width="9" style="1"/>
    <col min="12289" max="12289" width="5" style="1" customWidth="1"/>
    <col min="12290" max="12290" width="17.8984375" style="1" bestFit="1" customWidth="1"/>
    <col min="12291" max="12291" width="23.59765625" style="1" customWidth="1"/>
    <col min="12292" max="12292" width="18.19921875" style="1" customWidth="1"/>
    <col min="12293" max="12293" width="5.19921875" style="1" bestFit="1" customWidth="1"/>
    <col min="12294" max="12294" width="9" style="1"/>
    <col min="12295" max="12295" width="11.8984375" style="1" customWidth="1"/>
    <col min="12296" max="12296" width="13.59765625" style="1" customWidth="1"/>
    <col min="12297" max="12297" width="12.69921875" style="1" customWidth="1"/>
    <col min="12298" max="12544" width="9" style="1"/>
    <col min="12545" max="12545" width="5" style="1" customWidth="1"/>
    <col min="12546" max="12546" width="17.8984375" style="1" bestFit="1" customWidth="1"/>
    <col min="12547" max="12547" width="23.59765625" style="1" customWidth="1"/>
    <col min="12548" max="12548" width="18.19921875" style="1" customWidth="1"/>
    <col min="12549" max="12549" width="5.19921875" style="1" bestFit="1" customWidth="1"/>
    <col min="12550" max="12550" width="9" style="1"/>
    <col min="12551" max="12551" width="11.8984375" style="1" customWidth="1"/>
    <col min="12552" max="12552" width="13.59765625" style="1" customWidth="1"/>
    <col min="12553" max="12553" width="12.69921875" style="1" customWidth="1"/>
    <col min="12554" max="12800" width="9" style="1"/>
    <col min="12801" max="12801" width="5" style="1" customWidth="1"/>
    <col min="12802" max="12802" width="17.8984375" style="1" bestFit="1" customWidth="1"/>
    <col min="12803" max="12803" width="23.59765625" style="1" customWidth="1"/>
    <col min="12804" max="12804" width="18.19921875" style="1" customWidth="1"/>
    <col min="12805" max="12805" width="5.19921875" style="1" bestFit="1" customWidth="1"/>
    <col min="12806" max="12806" width="9" style="1"/>
    <col min="12807" max="12807" width="11.8984375" style="1" customWidth="1"/>
    <col min="12808" max="12808" width="13.59765625" style="1" customWidth="1"/>
    <col min="12809" max="12809" width="12.69921875" style="1" customWidth="1"/>
    <col min="12810" max="13056" width="9" style="1"/>
    <col min="13057" max="13057" width="5" style="1" customWidth="1"/>
    <col min="13058" max="13058" width="17.8984375" style="1" bestFit="1" customWidth="1"/>
    <col min="13059" max="13059" width="23.59765625" style="1" customWidth="1"/>
    <col min="13060" max="13060" width="18.19921875" style="1" customWidth="1"/>
    <col min="13061" max="13061" width="5.19921875" style="1" bestFit="1" customWidth="1"/>
    <col min="13062" max="13062" width="9" style="1"/>
    <col min="13063" max="13063" width="11.8984375" style="1" customWidth="1"/>
    <col min="13064" max="13064" width="13.59765625" style="1" customWidth="1"/>
    <col min="13065" max="13065" width="12.69921875" style="1" customWidth="1"/>
    <col min="13066" max="13312" width="9" style="1"/>
    <col min="13313" max="13313" width="5" style="1" customWidth="1"/>
    <col min="13314" max="13314" width="17.8984375" style="1" bestFit="1" customWidth="1"/>
    <col min="13315" max="13315" width="23.59765625" style="1" customWidth="1"/>
    <col min="13316" max="13316" width="18.19921875" style="1" customWidth="1"/>
    <col min="13317" max="13317" width="5.19921875" style="1" bestFit="1" customWidth="1"/>
    <col min="13318" max="13318" width="9" style="1"/>
    <col min="13319" max="13319" width="11.8984375" style="1" customWidth="1"/>
    <col min="13320" max="13320" width="13.59765625" style="1" customWidth="1"/>
    <col min="13321" max="13321" width="12.69921875" style="1" customWidth="1"/>
    <col min="13322" max="13568" width="9" style="1"/>
    <col min="13569" max="13569" width="5" style="1" customWidth="1"/>
    <col min="13570" max="13570" width="17.8984375" style="1" bestFit="1" customWidth="1"/>
    <col min="13571" max="13571" width="23.59765625" style="1" customWidth="1"/>
    <col min="13572" max="13572" width="18.19921875" style="1" customWidth="1"/>
    <col min="13573" max="13573" width="5.19921875" style="1" bestFit="1" customWidth="1"/>
    <col min="13574" max="13574" width="9" style="1"/>
    <col min="13575" max="13575" width="11.8984375" style="1" customWidth="1"/>
    <col min="13576" max="13576" width="13.59765625" style="1" customWidth="1"/>
    <col min="13577" max="13577" width="12.69921875" style="1" customWidth="1"/>
    <col min="13578" max="13824" width="9" style="1"/>
    <col min="13825" max="13825" width="5" style="1" customWidth="1"/>
    <col min="13826" max="13826" width="17.8984375" style="1" bestFit="1" customWidth="1"/>
    <col min="13827" max="13827" width="23.59765625" style="1" customWidth="1"/>
    <col min="13828" max="13828" width="18.19921875" style="1" customWidth="1"/>
    <col min="13829" max="13829" width="5.19921875" style="1" bestFit="1" customWidth="1"/>
    <col min="13830" max="13830" width="9" style="1"/>
    <col min="13831" max="13831" width="11.8984375" style="1" customWidth="1"/>
    <col min="13832" max="13832" width="13.59765625" style="1" customWidth="1"/>
    <col min="13833" max="13833" width="12.69921875" style="1" customWidth="1"/>
    <col min="13834" max="14080" width="9" style="1"/>
    <col min="14081" max="14081" width="5" style="1" customWidth="1"/>
    <col min="14082" max="14082" width="17.8984375" style="1" bestFit="1" customWidth="1"/>
    <col min="14083" max="14083" width="23.59765625" style="1" customWidth="1"/>
    <col min="14084" max="14084" width="18.19921875" style="1" customWidth="1"/>
    <col min="14085" max="14085" width="5.19921875" style="1" bestFit="1" customWidth="1"/>
    <col min="14086" max="14086" width="9" style="1"/>
    <col min="14087" max="14087" width="11.8984375" style="1" customWidth="1"/>
    <col min="14088" max="14088" width="13.59765625" style="1" customWidth="1"/>
    <col min="14089" max="14089" width="12.69921875" style="1" customWidth="1"/>
    <col min="14090" max="14336" width="9" style="1"/>
    <col min="14337" max="14337" width="5" style="1" customWidth="1"/>
    <col min="14338" max="14338" width="17.8984375" style="1" bestFit="1" customWidth="1"/>
    <col min="14339" max="14339" width="23.59765625" style="1" customWidth="1"/>
    <col min="14340" max="14340" width="18.19921875" style="1" customWidth="1"/>
    <col min="14341" max="14341" width="5.19921875" style="1" bestFit="1" customWidth="1"/>
    <col min="14342" max="14342" width="9" style="1"/>
    <col min="14343" max="14343" width="11.8984375" style="1" customWidth="1"/>
    <col min="14344" max="14344" width="13.59765625" style="1" customWidth="1"/>
    <col min="14345" max="14345" width="12.69921875" style="1" customWidth="1"/>
    <col min="14346" max="14592" width="9" style="1"/>
    <col min="14593" max="14593" width="5" style="1" customWidth="1"/>
    <col min="14594" max="14594" width="17.8984375" style="1" bestFit="1" customWidth="1"/>
    <col min="14595" max="14595" width="23.59765625" style="1" customWidth="1"/>
    <col min="14596" max="14596" width="18.19921875" style="1" customWidth="1"/>
    <col min="14597" max="14597" width="5.19921875" style="1" bestFit="1" customWidth="1"/>
    <col min="14598" max="14598" width="9" style="1"/>
    <col min="14599" max="14599" width="11.8984375" style="1" customWidth="1"/>
    <col min="14600" max="14600" width="13.59765625" style="1" customWidth="1"/>
    <col min="14601" max="14601" width="12.69921875" style="1" customWidth="1"/>
    <col min="14602" max="14848" width="9" style="1"/>
    <col min="14849" max="14849" width="5" style="1" customWidth="1"/>
    <col min="14850" max="14850" width="17.8984375" style="1" bestFit="1" customWidth="1"/>
    <col min="14851" max="14851" width="23.59765625" style="1" customWidth="1"/>
    <col min="14852" max="14852" width="18.19921875" style="1" customWidth="1"/>
    <col min="14853" max="14853" width="5.19921875" style="1" bestFit="1" customWidth="1"/>
    <col min="14854" max="14854" width="9" style="1"/>
    <col min="14855" max="14855" width="11.8984375" style="1" customWidth="1"/>
    <col min="14856" max="14856" width="13.59765625" style="1" customWidth="1"/>
    <col min="14857" max="14857" width="12.69921875" style="1" customWidth="1"/>
    <col min="14858" max="15104" width="9" style="1"/>
    <col min="15105" max="15105" width="5" style="1" customWidth="1"/>
    <col min="15106" max="15106" width="17.8984375" style="1" bestFit="1" customWidth="1"/>
    <col min="15107" max="15107" width="23.59765625" style="1" customWidth="1"/>
    <col min="15108" max="15108" width="18.19921875" style="1" customWidth="1"/>
    <col min="15109" max="15109" width="5.19921875" style="1" bestFit="1" customWidth="1"/>
    <col min="15110" max="15110" width="9" style="1"/>
    <col min="15111" max="15111" width="11.8984375" style="1" customWidth="1"/>
    <col min="15112" max="15112" width="13.59765625" style="1" customWidth="1"/>
    <col min="15113" max="15113" width="12.69921875" style="1" customWidth="1"/>
    <col min="15114" max="15360" width="9" style="1"/>
    <col min="15361" max="15361" width="5" style="1" customWidth="1"/>
    <col min="15362" max="15362" width="17.8984375" style="1" bestFit="1" customWidth="1"/>
    <col min="15363" max="15363" width="23.59765625" style="1" customWidth="1"/>
    <col min="15364" max="15364" width="18.19921875" style="1" customWidth="1"/>
    <col min="15365" max="15365" width="5.19921875" style="1" bestFit="1" customWidth="1"/>
    <col min="15366" max="15366" width="9" style="1"/>
    <col min="15367" max="15367" width="11.8984375" style="1" customWidth="1"/>
    <col min="15368" max="15368" width="13.59765625" style="1" customWidth="1"/>
    <col min="15369" max="15369" width="12.69921875" style="1" customWidth="1"/>
    <col min="15370" max="15616" width="9" style="1"/>
    <col min="15617" max="15617" width="5" style="1" customWidth="1"/>
    <col min="15618" max="15618" width="17.8984375" style="1" bestFit="1" customWidth="1"/>
    <col min="15619" max="15619" width="23.59765625" style="1" customWidth="1"/>
    <col min="15620" max="15620" width="18.19921875" style="1" customWidth="1"/>
    <col min="15621" max="15621" width="5.19921875" style="1" bestFit="1" customWidth="1"/>
    <col min="15622" max="15622" width="9" style="1"/>
    <col min="15623" max="15623" width="11.8984375" style="1" customWidth="1"/>
    <col min="15624" max="15624" width="13.59765625" style="1" customWidth="1"/>
    <col min="15625" max="15625" width="12.69921875" style="1" customWidth="1"/>
    <col min="15626" max="15872" width="9" style="1"/>
    <col min="15873" max="15873" width="5" style="1" customWidth="1"/>
    <col min="15874" max="15874" width="17.8984375" style="1" bestFit="1" customWidth="1"/>
    <col min="15875" max="15875" width="23.59765625" style="1" customWidth="1"/>
    <col min="15876" max="15876" width="18.19921875" style="1" customWidth="1"/>
    <col min="15877" max="15877" width="5.19921875" style="1" bestFit="1" customWidth="1"/>
    <col min="15878" max="15878" width="9" style="1"/>
    <col min="15879" max="15879" width="11.8984375" style="1" customWidth="1"/>
    <col min="15880" max="15880" width="13.59765625" style="1" customWidth="1"/>
    <col min="15881" max="15881" width="12.69921875" style="1" customWidth="1"/>
    <col min="15882" max="16128" width="9" style="1"/>
    <col min="16129" max="16129" width="5" style="1" customWidth="1"/>
    <col min="16130" max="16130" width="17.8984375" style="1" bestFit="1" customWidth="1"/>
    <col min="16131" max="16131" width="23.59765625" style="1" customWidth="1"/>
    <col min="16132" max="16132" width="18.19921875" style="1" customWidth="1"/>
    <col min="16133" max="16133" width="5.19921875" style="1" bestFit="1" customWidth="1"/>
    <col min="16134" max="16134" width="9" style="1"/>
    <col min="16135" max="16135" width="11.8984375" style="1" customWidth="1"/>
    <col min="16136" max="16136" width="13.59765625" style="1" customWidth="1"/>
    <col min="16137" max="16137" width="12.69921875" style="1" customWidth="1"/>
    <col min="16138" max="16384" width="9" style="1"/>
  </cols>
  <sheetData>
    <row r="1" spans="1:9" ht="22.5" customHeight="1">
      <c r="B1" s="202" t="s">
        <v>161</v>
      </c>
      <c r="C1" s="285" t="s">
        <v>554</v>
      </c>
      <c r="F1" s="333"/>
      <c r="I1" s="1" t="s">
        <v>128</v>
      </c>
    </row>
    <row r="2" spans="1:9" s="26" customFormat="1" ht="16.5" customHeight="1">
      <c r="A2" s="384" t="s">
        <v>129</v>
      </c>
      <c r="B2" s="386"/>
      <c r="C2" s="131" t="s">
        <v>130</v>
      </c>
      <c r="D2" s="126" t="s">
        <v>131</v>
      </c>
      <c r="E2" s="126" t="s">
        <v>48</v>
      </c>
      <c r="F2" s="268" t="s">
        <v>49</v>
      </c>
      <c r="G2" s="268" t="s">
        <v>132</v>
      </c>
      <c r="H2" s="268" t="s">
        <v>133</v>
      </c>
      <c r="I2" s="126" t="s">
        <v>134</v>
      </c>
    </row>
    <row r="3" spans="1:9" ht="15.9" customHeight="1">
      <c r="A3" s="479" t="s">
        <v>135</v>
      </c>
      <c r="B3" s="208" t="s">
        <v>136</v>
      </c>
      <c r="C3" s="229"/>
      <c r="D3" s="229"/>
      <c r="E3" s="230"/>
      <c r="F3" s="232"/>
      <c r="G3" s="232"/>
      <c r="H3" s="233">
        <f>IF(F3=0,G3,G3*F3)</f>
        <v>0</v>
      </c>
      <c r="I3" s="234"/>
    </row>
    <row r="4" spans="1:9" ht="15.9" customHeight="1">
      <c r="A4" s="483"/>
      <c r="B4" s="208"/>
      <c r="C4" s="215"/>
      <c r="D4" s="215"/>
      <c r="E4" s="216"/>
      <c r="F4" s="218"/>
      <c r="G4" s="218"/>
      <c r="H4" s="167">
        <f>IF(F4=0,G4,G4*F4)</f>
        <v>0</v>
      </c>
      <c r="I4" s="39"/>
    </row>
    <row r="5" spans="1:9" ht="15.9" customHeight="1">
      <c r="A5" s="483"/>
      <c r="B5" s="208"/>
      <c r="C5" s="215"/>
      <c r="D5" s="215"/>
      <c r="E5" s="216"/>
      <c r="F5" s="218"/>
      <c r="G5" s="218"/>
      <c r="H5" s="167">
        <f t="shared" ref="H5:H54" si="0">IF(F5=0,G5,G5*F5)</f>
        <v>0</v>
      </c>
      <c r="I5" s="39"/>
    </row>
    <row r="6" spans="1:9" ht="15.9" customHeight="1">
      <c r="A6" s="483"/>
      <c r="B6" s="208"/>
      <c r="C6" s="215"/>
      <c r="D6" s="215"/>
      <c r="E6" s="216"/>
      <c r="F6" s="218"/>
      <c r="G6" s="218"/>
      <c r="H6" s="167">
        <f t="shared" si="0"/>
        <v>0</v>
      </c>
      <c r="I6" s="39"/>
    </row>
    <row r="7" spans="1:9" ht="15.9" customHeight="1">
      <c r="A7" s="483"/>
      <c r="B7" s="208"/>
      <c r="C7" s="215"/>
      <c r="D7" s="215"/>
      <c r="E7" s="216"/>
      <c r="F7" s="218"/>
      <c r="G7" s="218"/>
      <c r="H7" s="167">
        <f t="shared" si="0"/>
        <v>0</v>
      </c>
      <c r="I7" s="39"/>
    </row>
    <row r="8" spans="1:9" ht="15.9" customHeight="1">
      <c r="A8" s="483"/>
      <c r="B8" s="208"/>
      <c r="C8" s="215"/>
      <c r="D8" s="215"/>
      <c r="E8" s="216"/>
      <c r="F8" s="218"/>
      <c r="G8" s="218"/>
      <c r="H8" s="167">
        <f t="shared" si="0"/>
        <v>0</v>
      </c>
      <c r="I8" s="39"/>
    </row>
    <row r="9" spans="1:9" ht="15.9" customHeight="1">
      <c r="A9" s="483"/>
      <c r="B9" s="208"/>
      <c r="C9" s="215"/>
      <c r="D9" s="215"/>
      <c r="E9" s="216"/>
      <c r="F9" s="218"/>
      <c r="G9" s="218"/>
      <c r="H9" s="167">
        <f t="shared" si="0"/>
        <v>0</v>
      </c>
      <c r="I9" s="39"/>
    </row>
    <row r="10" spans="1:9" ht="15.9" customHeight="1">
      <c r="A10" s="483"/>
      <c r="B10" s="208"/>
      <c r="C10" s="215"/>
      <c r="D10" s="215"/>
      <c r="E10" s="216"/>
      <c r="F10" s="218"/>
      <c r="G10" s="218"/>
      <c r="H10" s="167">
        <f t="shared" si="0"/>
        <v>0</v>
      </c>
      <c r="I10" s="39"/>
    </row>
    <row r="11" spans="1:9" ht="15.9" customHeight="1">
      <c r="A11" s="483"/>
      <c r="B11" s="208"/>
      <c r="C11" s="215"/>
      <c r="D11" s="215"/>
      <c r="E11" s="216"/>
      <c r="F11" s="218"/>
      <c r="G11" s="218"/>
      <c r="H11" s="167">
        <f t="shared" si="0"/>
        <v>0</v>
      </c>
      <c r="I11" s="39"/>
    </row>
    <row r="12" spans="1:9" ht="15.9" customHeight="1">
      <c r="A12" s="483"/>
      <c r="B12" s="208"/>
      <c r="C12" s="215"/>
      <c r="D12" s="215"/>
      <c r="E12" s="216"/>
      <c r="F12" s="218"/>
      <c r="G12" s="218"/>
      <c r="H12" s="167">
        <f t="shared" si="0"/>
        <v>0</v>
      </c>
      <c r="I12" s="39"/>
    </row>
    <row r="13" spans="1:9" ht="15.9" customHeight="1">
      <c r="A13" s="483"/>
      <c r="B13" s="208"/>
      <c r="C13" s="215"/>
      <c r="D13" s="215"/>
      <c r="E13" s="216"/>
      <c r="F13" s="218"/>
      <c r="G13" s="218"/>
      <c r="H13" s="167">
        <f t="shared" si="0"/>
        <v>0</v>
      </c>
      <c r="I13" s="39"/>
    </row>
    <row r="14" spans="1:9" ht="15.9" customHeight="1">
      <c r="A14" s="483"/>
      <c r="B14" s="208"/>
      <c r="C14" s="215"/>
      <c r="D14" s="215"/>
      <c r="E14" s="216"/>
      <c r="F14" s="218"/>
      <c r="G14" s="218"/>
      <c r="H14" s="167">
        <f t="shared" si="0"/>
        <v>0</v>
      </c>
      <c r="I14" s="39"/>
    </row>
    <row r="15" spans="1:9" ht="15.9" customHeight="1">
      <c r="A15" s="483"/>
      <c r="B15" s="208"/>
      <c r="C15" s="215"/>
      <c r="D15" s="215"/>
      <c r="E15" s="216"/>
      <c r="F15" s="218"/>
      <c r="G15" s="218"/>
      <c r="H15" s="167">
        <f t="shared" si="0"/>
        <v>0</v>
      </c>
      <c r="I15" s="39"/>
    </row>
    <row r="16" spans="1:9" ht="15.9" customHeight="1">
      <c r="A16" s="483"/>
      <c r="B16" s="208"/>
      <c r="C16" s="215"/>
      <c r="D16" s="215"/>
      <c r="E16" s="216"/>
      <c r="F16" s="218"/>
      <c r="G16" s="218"/>
      <c r="H16" s="167">
        <f t="shared" si="0"/>
        <v>0</v>
      </c>
      <c r="I16" s="39"/>
    </row>
    <row r="17" spans="1:9" ht="15.9" customHeight="1">
      <c r="A17" s="483"/>
      <c r="B17" s="208"/>
      <c r="C17" s="215"/>
      <c r="D17" s="215"/>
      <c r="E17" s="216"/>
      <c r="F17" s="218"/>
      <c r="G17" s="218"/>
      <c r="H17" s="167">
        <f t="shared" si="0"/>
        <v>0</v>
      </c>
      <c r="I17" s="39"/>
    </row>
    <row r="18" spans="1:9" ht="15.9" customHeight="1">
      <c r="A18" s="483"/>
      <c r="B18" s="208"/>
      <c r="C18" s="215"/>
      <c r="D18" s="215"/>
      <c r="E18" s="216"/>
      <c r="F18" s="218"/>
      <c r="G18" s="218"/>
      <c r="H18" s="167">
        <f t="shared" si="0"/>
        <v>0</v>
      </c>
      <c r="I18" s="39"/>
    </row>
    <row r="19" spans="1:9" ht="15.9" customHeight="1">
      <c r="A19" s="483"/>
      <c r="B19" s="208"/>
      <c r="C19" s="215"/>
      <c r="D19" s="215"/>
      <c r="E19" s="216"/>
      <c r="F19" s="218"/>
      <c r="G19" s="218"/>
      <c r="H19" s="167">
        <f t="shared" si="0"/>
        <v>0</v>
      </c>
      <c r="I19" s="39"/>
    </row>
    <row r="20" spans="1:9" ht="15.9" customHeight="1">
      <c r="A20" s="483"/>
      <c r="B20" s="208"/>
      <c r="C20" s="215"/>
      <c r="D20" s="215"/>
      <c r="E20" s="216"/>
      <c r="F20" s="218"/>
      <c r="G20" s="218"/>
      <c r="H20" s="167">
        <f t="shared" si="0"/>
        <v>0</v>
      </c>
      <c r="I20" s="39"/>
    </row>
    <row r="21" spans="1:9" ht="15.9" customHeight="1">
      <c r="A21" s="483"/>
      <c r="B21" s="208"/>
      <c r="C21" s="215"/>
      <c r="D21" s="215"/>
      <c r="E21" s="216"/>
      <c r="F21" s="218"/>
      <c r="G21" s="218"/>
      <c r="H21" s="167">
        <f t="shared" si="0"/>
        <v>0</v>
      </c>
      <c r="I21" s="39"/>
    </row>
    <row r="22" spans="1:9" ht="15.9" customHeight="1">
      <c r="A22" s="483"/>
      <c r="B22" s="208"/>
      <c r="C22" s="215"/>
      <c r="D22" s="215"/>
      <c r="E22" s="215"/>
      <c r="F22" s="218"/>
      <c r="G22" s="218"/>
      <c r="H22" s="167">
        <f t="shared" si="0"/>
        <v>0</v>
      </c>
      <c r="I22" s="39"/>
    </row>
    <row r="23" spans="1:9" ht="15.9" customHeight="1">
      <c r="A23" s="483"/>
      <c r="B23" s="208"/>
      <c r="C23" s="219" t="s">
        <v>140</v>
      </c>
      <c r="D23" s="220"/>
      <c r="E23" s="220" t="s">
        <v>141</v>
      </c>
      <c r="F23" s="221"/>
      <c r="G23" s="222"/>
      <c r="H23" s="239">
        <f t="shared" si="0"/>
        <v>0</v>
      </c>
      <c r="I23" s="240"/>
    </row>
    <row r="24" spans="1:9" ht="15.9" customHeight="1">
      <c r="A24" s="483"/>
      <c r="B24" s="223"/>
      <c r="C24" s="242"/>
      <c r="D24" s="242"/>
      <c r="E24" s="242"/>
      <c r="F24" s="245"/>
      <c r="G24" s="245"/>
      <c r="H24" s="246">
        <f>SUM(H3:H23)</f>
        <v>0</v>
      </c>
      <c r="I24" s="242"/>
    </row>
    <row r="25" spans="1:9" ht="15.9" customHeight="1">
      <c r="A25" s="483"/>
      <c r="B25" s="208" t="s">
        <v>279</v>
      </c>
      <c r="C25" s="209"/>
      <c r="D25" s="209"/>
      <c r="E25" s="209"/>
      <c r="F25" s="212"/>
      <c r="G25" s="212"/>
      <c r="H25" s="213">
        <f t="shared" si="0"/>
        <v>0</v>
      </c>
      <c r="I25" s="214"/>
    </row>
    <row r="26" spans="1:9" ht="15.9" customHeight="1">
      <c r="A26" s="483"/>
      <c r="B26" s="208" t="s">
        <v>280</v>
      </c>
      <c r="C26" s="215"/>
      <c r="D26" s="215"/>
      <c r="E26" s="215"/>
      <c r="F26" s="218"/>
      <c r="G26" s="218"/>
      <c r="H26" s="167">
        <f t="shared" si="0"/>
        <v>0</v>
      </c>
      <c r="I26" s="39"/>
    </row>
    <row r="27" spans="1:9" ht="15.9" customHeight="1">
      <c r="A27" s="483"/>
      <c r="B27" s="208"/>
      <c r="C27" s="215"/>
      <c r="D27" s="215"/>
      <c r="E27" s="215"/>
      <c r="F27" s="218"/>
      <c r="G27" s="218"/>
      <c r="H27" s="167">
        <f t="shared" si="0"/>
        <v>0</v>
      </c>
      <c r="I27" s="39"/>
    </row>
    <row r="28" spans="1:9" ht="15.9" customHeight="1">
      <c r="A28" s="483"/>
      <c r="B28" s="208"/>
      <c r="C28" s="215"/>
      <c r="D28" s="215"/>
      <c r="E28" s="215"/>
      <c r="F28" s="218"/>
      <c r="G28" s="218"/>
      <c r="H28" s="167">
        <f t="shared" si="0"/>
        <v>0</v>
      </c>
      <c r="I28" s="39"/>
    </row>
    <row r="29" spans="1:9" ht="15.9" customHeight="1">
      <c r="A29" s="483"/>
      <c r="B29" s="208"/>
      <c r="C29" s="219" t="s">
        <v>140</v>
      </c>
      <c r="D29" s="219"/>
      <c r="E29" s="219"/>
      <c r="F29" s="222"/>
      <c r="G29" s="222"/>
      <c r="H29" s="167">
        <f t="shared" si="0"/>
        <v>0</v>
      </c>
      <c r="I29" s="42"/>
    </row>
    <row r="30" spans="1:9" ht="15.9" customHeight="1">
      <c r="A30" s="483"/>
      <c r="B30" s="223"/>
      <c r="C30" s="224"/>
      <c r="D30" s="225"/>
      <c r="E30" s="225"/>
      <c r="F30" s="334"/>
      <c r="G30" s="227"/>
      <c r="H30" s="50">
        <f>SUM(H25:H29)</f>
        <v>0</v>
      </c>
      <c r="I30" s="46"/>
    </row>
    <row r="31" spans="1:9" ht="15.9" customHeight="1">
      <c r="A31" s="483"/>
      <c r="B31" s="247" t="s">
        <v>281</v>
      </c>
      <c r="C31" s="229" t="s">
        <v>555</v>
      </c>
      <c r="D31" s="229" t="s">
        <v>556</v>
      </c>
      <c r="E31" s="229" t="s">
        <v>557</v>
      </c>
      <c r="F31" s="232">
        <v>352</v>
      </c>
      <c r="G31" s="232">
        <v>200000</v>
      </c>
      <c r="H31" s="233">
        <f t="shared" si="0"/>
        <v>70400000</v>
      </c>
      <c r="I31" s="234"/>
    </row>
    <row r="32" spans="1:9" ht="15.9" customHeight="1">
      <c r="A32" s="483"/>
      <c r="B32" s="208" t="s">
        <v>284</v>
      </c>
      <c r="C32" s="215"/>
      <c r="D32" s="215"/>
      <c r="E32" s="215"/>
      <c r="F32" s="218"/>
      <c r="G32" s="218"/>
      <c r="H32" s="167">
        <f t="shared" si="0"/>
        <v>0</v>
      </c>
      <c r="I32" s="39"/>
    </row>
    <row r="33" spans="1:9" ht="15.9" customHeight="1">
      <c r="A33" s="483"/>
      <c r="B33" s="208"/>
      <c r="C33" s="215"/>
      <c r="D33" s="215"/>
      <c r="E33" s="215"/>
      <c r="F33" s="218"/>
      <c r="G33" s="218"/>
      <c r="H33" s="167">
        <f t="shared" si="0"/>
        <v>0</v>
      </c>
      <c r="I33" s="39"/>
    </row>
    <row r="34" spans="1:9" ht="15.9" customHeight="1">
      <c r="A34" s="483"/>
      <c r="B34" s="208"/>
      <c r="C34" s="215"/>
      <c r="D34" s="215"/>
      <c r="E34" s="215"/>
      <c r="F34" s="218"/>
      <c r="G34" s="218"/>
      <c r="H34" s="167">
        <f t="shared" si="0"/>
        <v>0</v>
      </c>
      <c r="I34" s="39"/>
    </row>
    <row r="35" spans="1:9" ht="15.9" customHeight="1">
      <c r="A35" s="483"/>
      <c r="B35" s="208"/>
      <c r="C35" s="215"/>
      <c r="D35" s="215"/>
      <c r="E35" s="215"/>
      <c r="F35" s="218"/>
      <c r="G35" s="218"/>
      <c r="H35" s="167">
        <f t="shared" si="0"/>
        <v>0</v>
      </c>
      <c r="I35" s="39"/>
    </row>
    <row r="36" spans="1:9" ht="15.9" customHeight="1">
      <c r="A36" s="483"/>
      <c r="B36" s="208"/>
      <c r="C36" s="215"/>
      <c r="D36" s="215"/>
      <c r="E36" s="215"/>
      <c r="F36" s="218"/>
      <c r="G36" s="218"/>
      <c r="H36" s="167">
        <f t="shared" si="0"/>
        <v>0</v>
      </c>
      <c r="I36" s="39"/>
    </row>
    <row r="37" spans="1:9" ht="15.9" customHeight="1">
      <c r="A37" s="483"/>
      <c r="B37" s="208"/>
      <c r="C37" s="215"/>
      <c r="D37" s="215"/>
      <c r="E37" s="215"/>
      <c r="F37" s="218"/>
      <c r="G37" s="218"/>
      <c r="H37" s="167">
        <f t="shared" si="0"/>
        <v>0</v>
      </c>
      <c r="I37" s="39"/>
    </row>
    <row r="38" spans="1:9" ht="15.9" customHeight="1">
      <c r="A38" s="483"/>
      <c r="B38" s="208"/>
      <c r="C38" s="215"/>
      <c r="D38" s="215"/>
      <c r="E38" s="215"/>
      <c r="F38" s="218"/>
      <c r="G38" s="218"/>
      <c r="H38" s="167">
        <f t="shared" si="0"/>
        <v>0</v>
      </c>
      <c r="I38" s="39"/>
    </row>
    <row r="39" spans="1:9" ht="15.9" customHeight="1">
      <c r="A39" s="483"/>
      <c r="B39" s="208"/>
      <c r="C39" s="215"/>
      <c r="D39" s="215"/>
      <c r="E39" s="215"/>
      <c r="F39" s="218"/>
      <c r="G39" s="218"/>
      <c r="H39" s="167">
        <f t="shared" si="0"/>
        <v>0</v>
      </c>
      <c r="I39" s="39"/>
    </row>
    <row r="40" spans="1:9" ht="15.9" customHeight="1">
      <c r="A40" s="483"/>
      <c r="B40" s="208"/>
      <c r="C40" s="215"/>
      <c r="D40" s="215"/>
      <c r="E40" s="215"/>
      <c r="F40" s="218"/>
      <c r="G40" s="218"/>
      <c r="H40" s="167">
        <f t="shared" si="0"/>
        <v>0</v>
      </c>
      <c r="I40" s="39"/>
    </row>
    <row r="41" spans="1:9" ht="15.9" customHeight="1">
      <c r="A41" s="483"/>
      <c r="B41" s="208"/>
      <c r="C41" s="215"/>
      <c r="D41" s="215"/>
      <c r="E41" s="215"/>
      <c r="F41" s="218"/>
      <c r="G41" s="218"/>
      <c r="H41" s="167">
        <f t="shared" si="0"/>
        <v>0</v>
      </c>
      <c r="I41" s="39"/>
    </row>
    <row r="42" spans="1:9" ht="15.9" customHeight="1">
      <c r="A42" s="483"/>
      <c r="B42" s="208"/>
      <c r="C42" s="215"/>
      <c r="D42" s="215"/>
      <c r="E42" s="215"/>
      <c r="F42" s="218"/>
      <c r="G42" s="218"/>
      <c r="H42" s="167">
        <f t="shared" si="0"/>
        <v>0</v>
      </c>
      <c r="I42" s="39"/>
    </row>
    <row r="43" spans="1:9" ht="15.9" customHeight="1">
      <c r="A43" s="483"/>
      <c r="B43" s="208"/>
      <c r="C43" s="215"/>
      <c r="D43" s="215"/>
      <c r="E43" s="215"/>
      <c r="F43" s="218"/>
      <c r="G43" s="218"/>
      <c r="H43" s="167">
        <f t="shared" si="0"/>
        <v>0</v>
      </c>
      <c r="I43" s="39"/>
    </row>
    <row r="44" spans="1:9" ht="15.9" customHeight="1">
      <c r="A44" s="483"/>
      <c r="B44" s="208"/>
      <c r="C44" s="215"/>
      <c r="D44" s="215"/>
      <c r="E44" s="215"/>
      <c r="F44" s="218"/>
      <c r="G44" s="218"/>
      <c r="H44" s="167">
        <f t="shared" si="0"/>
        <v>0</v>
      </c>
      <c r="I44" s="39"/>
    </row>
    <row r="45" spans="1:9" ht="15.9" customHeight="1">
      <c r="A45" s="483"/>
      <c r="B45" s="208"/>
      <c r="C45" s="215"/>
      <c r="D45" s="215"/>
      <c r="E45" s="215"/>
      <c r="F45" s="218"/>
      <c r="G45" s="218"/>
      <c r="H45" s="167">
        <f t="shared" si="0"/>
        <v>0</v>
      </c>
      <c r="I45" s="39"/>
    </row>
    <row r="46" spans="1:9" ht="15.9" customHeight="1">
      <c r="A46" s="483"/>
      <c r="B46" s="208"/>
      <c r="C46" s="219" t="s">
        <v>140</v>
      </c>
      <c r="D46" s="220"/>
      <c r="E46" s="220" t="s">
        <v>141</v>
      </c>
      <c r="F46" s="221"/>
      <c r="G46" s="222"/>
      <c r="H46" s="177">
        <f t="shared" si="0"/>
        <v>0</v>
      </c>
      <c r="I46" s="42"/>
    </row>
    <row r="47" spans="1:9" ht="15.9" customHeight="1">
      <c r="A47" s="483"/>
      <c r="B47" s="223"/>
      <c r="C47" s="224"/>
      <c r="D47" s="225"/>
      <c r="E47" s="225"/>
      <c r="F47" s="227"/>
      <c r="G47" s="227"/>
      <c r="H47" s="50">
        <f>SUM(H31:H46)</f>
        <v>70400000</v>
      </c>
      <c r="I47" s="46"/>
    </row>
    <row r="48" spans="1:9" ht="15.9" customHeight="1">
      <c r="A48" s="483"/>
      <c r="B48" s="247" t="s">
        <v>61</v>
      </c>
      <c r="C48" s="215"/>
      <c r="D48" s="297"/>
      <c r="E48" s="297"/>
      <c r="F48" s="298"/>
      <c r="G48" s="218"/>
      <c r="H48" s="233">
        <f t="shared" si="0"/>
        <v>0</v>
      </c>
      <c r="I48" s="234"/>
    </row>
    <row r="49" spans="1:9" ht="15.9" customHeight="1">
      <c r="A49" s="483"/>
      <c r="B49" s="208"/>
      <c r="C49" s="215"/>
      <c r="D49" s="297"/>
      <c r="E49" s="297"/>
      <c r="F49" s="298"/>
      <c r="G49" s="218"/>
      <c r="H49" s="167">
        <f t="shared" si="0"/>
        <v>0</v>
      </c>
      <c r="I49" s="39"/>
    </row>
    <row r="50" spans="1:9" ht="15.9" customHeight="1">
      <c r="A50" s="483"/>
      <c r="B50" s="208"/>
      <c r="C50" s="215"/>
      <c r="D50" s="297"/>
      <c r="E50" s="297"/>
      <c r="F50" s="298"/>
      <c r="G50" s="218"/>
      <c r="H50" s="167">
        <f t="shared" si="0"/>
        <v>0</v>
      </c>
      <c r="I50" s="39"/>
    </row>
    <row r="51" spans="1:9" ht="15.9" customHeight="1">
      <c r="A51" s="483"/>
      <c r="B51" s="208"/>
      <c r="C51" s="215"/>
      <c r="D51" s="215"/>
      <c r="E51" s="215"/>
      <c r="F51" s="218"/>
      <c r="G51" s="218"/>
      <c r="H51" s="167">
        <f t="shared" si="0"/>
        <v>0</v>
      </c>
      <c r="I51" s="39"/>
    </row>
    <row r="52" spans="1:9" ht="15.9" customHeight="1">
      <c r="A52" s="483"/>
      <c r="B52" s="208"/>
      <c r="C52" s="215"/>
      <c r="D52" s="215"/>
      <c r="E52" s="215"/>
      <c r="F52" s="218"/>
      <c r="G52" s="218"/>
      <c r="H52" s="167">
        <f t="shared" si="0"/>
        <v>0</v>
      </c>
      <c r="I52" s="39"/>
    </row>
    <row r="53" spans="1:9" ht="15.9" customHeight="1">
      <c r="A53" s="483"/>
      <c r="B53" s="208"/>
      <c r="C53" s="215"/>
      <c r="D53" s="215"/>
      <c r="E53" s="215"/>
      <c r="F53" s="218"/>
      <c r="G53" s="218"/>
      <c r="H53" s="167">
        <f t="shared" si="0"/>
        <v>0</v>
      </c>
      <c r="I53" s="39"/>
    </row>
    <row r="54" spans="1:9" ht="15.9" customHeight="1">
      <c r="A54" s="483"/>
      <c r="B54" s="208"/>
      <c r="C54" s="219" t="s">
        <v>140</v>
      </c>
      <c r="D54" s="219"/>
      <c r="E54" s="220" t="s">
        <v>141</v>
      </c>
      <c r="F54" s="221"/>
      <c r="G54" s="222"/>
      <c r="H54" s="177">
        <f t="shared" si="0"/>
        <v>0</v>
      </c>
      <c r="I54" s="42"/>
    </row>
    <row r="55" spans="1:9" ht="15.9" customHeight="1">
      <c r="A55" s="483"/>
      <c r="B55" s="223"/>
      <c r="C55" s="224"/>
      <c r="D55" s="225"/>
      <c r="E55" s="225"/>
      <c r="F55" s="227"/>
      <c r="G55" s="227"/>
      <c r="H55" s="50">
        <f>SUM(H48:H54)</f>
        <v>0</v>
      </c>
      <c r="I55" s="46"/>
    </row>
    <row r="56" spans="1:9" ht="15.9" customHeight="1">
      <c r="A56" s="265"/>
      <c r="B56" s="266" t="s">
        <v>147</v>
      </c>
      <c r="C56" s="267"/>
      <c r="D56" s="46"/>
      <c r="E56" s="46"/>
      <c r="F56" s="269"/>
      <c r="G56" s="269"/>
      <c r="H56" s="50">
        <f>SUM(H55,H47,H30,H24)</f>
        <v>70400000</v>
      </c>
      <c r="I56" s="46"/>
    </row>
    <row r="57" spans="1:9" ht="15.9" customHeight="1">
      <c r="A57" s="479" t="s">
        <v>148</v>
      </c>
      <c r="B57" s="270" t="s">
        <v>67</v>
      </c>
      <c r="C57" s="267"/>
      <c r="D57" s="46"/>
      <c r="E57" s="270" t="s">
        <v>68</v>
      </c>
      <c r="F57" s="284"/>
      <c r="G57" s="273"/>
      <c r="H57" s="274">
        <f>F57*G57</f>
        <v>0</v>
      </c>
      <c r="I57" s="46"/>
    </row>
    <row r="58" spans="1:9" ht="15.9" customHeight="1">
      <c r="A58" s="483"/>
      <c r="B58" s="275" t="s">
        <v>444</v>
      </c>
      <c r="C58" s="276"/>
      <c r="D58" s="234"/>
      <c r="E58" s="275" t="s">
        <v>150</v>
      </c>
      <c r="F58" s="232"/>
      <c r="G58" s="232"/>
      <c r="H58" s="233">
        <f t="shared" ref="H58:H64" si="1">F58*G58</f>
        <v>0</v>
      </c>
      <c r="I58" s="234"/>
    </row>
    <row r="59" spans="1:9" ht="15.9" customHeight="1">
      <c r="A59" s="483"/>
      <c r="B59" s="277" t="s">
        <v>445</v>
      </c>
      <c r="C59" s="278"/>
      <c r="D59" s="39"/>
      <c r="E59" s="277" t="s">
        <v>150</v>
      </c>
      <c r="F59" s="218"/>
      <c r="G59" s="218"/>
      <c r="H59" s="167">
        <f t="shared" si="1"/>
        <v>0</v>
      </c>
      <c r="I59" s="39"/>
    </row>
    <row r="60" spans="1:9" ht="15.9" customHeight="1">
      <c r="A60" s="483"/>
      <c r="B60" s="277" t="s">
        <v>446</v>
      </c>
      <c r="C60" s="278"/>
      <c r="D60" s="39"/>
      <c r="E60" s="277" t="s">
        <v>150</v>
      </c>
      <c r="F60" s="347"/>
      <c r="G60" s="218"/>
      <c r="H60" s="167">
        <f t="shared" si="1"/>
        <v>0</v>
      </c>
      <c r="I60" s="39"/>
    </row>
    <row r="61" spans="1:9" ht="15.9" customHeight="1">
      <c r="A61" s="483"/>
      <c r="B61" s="277" t="s">
        <v>447</v>
      </c>
      <c r="C61" s="278"/>
      <c r="D61" s="39"/>
      <c r="E61" s="277" t="s">
        <v>150</v>
      </c>
      <c r="F61" s="218"/>
      <c r="G61" s="218"/>
      <c r="H61" s="167">
        <f t="shared" si="1"/>
        <v>0</v>
      </c>
      <c r="I61" s="39"/>
    </row>
    <row r="62" spans="1:9" ht="15.9" customHeight="1">
      <c r="A62" s="483"/>
      <c r="B62" s="277" t="s">
        <v>448</v>
      </c>
      <c r="C62" s="278"/>
      <c r="D62" s="39"/>
      <c r="E62" s="277" t="s">
        <v>150</v>
      </c>
      <c r="F62" s="218"/>
      <c r="G62" s="218"/>
      <c r="H62" s="167">
        <f t="shared" si="1"/>
        <v>0</v>
      </c>
      <c r="I62" s="39"/>
    </row>
    <row r="63" spans="1:9" ht="15.9" customHeight="1">
      <c r="A63" s="483"/>
      <c r="B63" s="277" t="s">
        <v>449</v>
      </c>
      <c r="C63" s="278"/>
      <c r="D63" s="39"/>
      <c r="E63" s="277" t="s">
        <v>150</v>
      </c>
      <c r="F63" s="218"/>
      <c r="G63" s="218"/>
      <c r="H63" s="167">
        <f t="shared" si="1"/>
        <v>0</v>
      </c>
      <c r="I63" s="39"/>
    </row>
    <row r="64" spans="1:9" ht="15.9" customHeight="1">
      <c r="A64" s="483"/>
      <c r="B64" s="279" t="s">
        <v>548</v>
      </c>
      <c r="C64" s="280"/>
      <c r="D64" s="42"/>
      <c r="E64" s="279" t="s">
        <v>150</v>
      </c>
      <c r="F64" s="222"/>
      <c r="G64" s="222"/>
      <c r="H64" s="177">
        <f t="shared" si="1"/>
        <v>0</v>
      </c>
      <c r="I64" s="42"/>
    </row>
    <row r="65" spans="1:9" ht="15.9" customHeight="1">
      <c r="A65" s="265"/>
      <c r="B65" s="281" t="s">
        <v>156</v>
      </c>
      <c r="C65" s="267"/>
      <c r="D65" s="46"/>
      <c r="E65" s="46"/>
      <c r="F65" s="227"/>
      <c r="G65" s="227"/>
      <c r="H65" s="227">
        <f>SUM(H57:H64)</f>
        <v>0</v>
      </c>
      <c r="I65" s="225"/>
    </row>
    <row r="66" spans="1:9" ht="15.9" customHeight="1">
      <c r="A66" s="271"/>
      <c r="B66" s="281" t="s">
        <v>451</v>
      </c>
      <c r="C66" s="267"/>
      <c r="D66" s="46"/>
      <c r="E66" s="46"/>
      <c r="F66" s="50"/>
      <c r="G66" s="50"/>
      <c r="H66" s="269">
        <v>0</v>
      </c>
      <c r="I66" s="46"/>
    </row>
    <row r="67" spans="1:9" ht="15.9" customHeight="1">
      <c r="A67" s="271"/>
      <c r="B67" s="281" t="s">
        <v>93</v>
      </c>
      <c r="C67" s="267"/>
      <c r="D67" s="46"/>
      <c r="E67" s="46"/>
      <c r="F67" s="50"/>
      <c r="G67" s="283"/>
      <c r="H67" s="284">
        <f>(H65+H56)*0</f>
        <v>0</v>
      </c>
      <c r="I67" s="267"/>
    </row>
    <row r="68" spans="1:9" ht="15.9" customHeight="1">
      <c r="A68" s="271"/>
      <c r="B68" s="281" t="s">
        <v>159</v>
      </c>
      <c r="C68" s="267"/>
      <c r="D68" s="46"/>
      <c r="E68" s="46"/>
      <c r="F68" s="50"/>
      <c r="G68" s="283"/>
      <c r="H68" s="284">
        <f>(H65+H56)*0</f>
        <v>0</v>
      </c>
      <c r="I68" s="267"/>
    </row>
    <row r="69" spans="1:9" ht="15.9" customHeight="1">
      <c r="A69" s="271"/>
      <c r="B69" s="281" t="s">
        <v>160</v>
      </c>
      <c r="C69" s="267"/>
      <c r="D69" s="46"/>
      <c r="E69" s="46"/>
      <c r="F69" s="50"/>
      <c r="G69" s="50"/>
      <c r="H69" s="227">
        <f>H56+H65+H66+H67+H68</f>
        <v>70400000</v>
      </c>
      <c r="I69" s="46"/>
    </row>
    <row r="70" spans="1:9">
      <c r="A70" s="26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7.399999999999999"/>
  <sheetData/>
  <phoneticPr fontId="2" type="noConversion"/>
  <pageMargins left="0.7" right="0.7" top="0.75" bottom="0.75" header="0.3" footer="0.3"/>
  <headerFooter>
    <oddHeader>&amp;C&amp;G</oddHeader>
    <oddFooter>&amp;L_x000D_&amp;1#&amp;"Malgun Gothic"&amp;6&amp;K000000 외부 전송용(No Protection) 손철호 책임매니저 통합구매팀 son@hyundai-wia.com 2026-07-07T13:16:51 본 문서는 현대위아(주)의 정보 자산으로써 무단으로 전제 및 복제할 수 없으며, 이를 위반할 시에는 당사 사규 및 관련 법규에 의해 제재를 받을 수 있습니다.</oddFooter>
  </headerFooter>
  <legacyDrawingHF r:id="rId1"/>
</worksheet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5</vt:i4>
      </vt:variant>
    </vt:vector>
  </HeadingPairs>
  <TitlesOfParts>
    <vt:vector size="17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Sheet1</vt:lpstr>
      <vt:lpstr>갑지!Print_Area</vt:lpstr>
      <vt:lpstr>'단위공사별(집계)'!Print_Area</vt:lpstr>
      <vt:lpstr>'원가항목별(집계)'!Print_Area</vt:lpstr>
      <vt:lpstr>전기!Print_Area</vt:lpstr>
      <vt:lpstr>전기!Print_Titles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손철호 책임매니저 통합구매팀</cp:lastModifiedBy>
  <dcterms:created xsi:type="dcterms:W3CDTF">2015-06-05T18:17:20Z</dcterms:created>
  <dcterms:modified xsi:type="dcterms:W3CDTF">2026-07-07T04:16:54Z</dcterms:modified>
</cp:coreProperties>
</file>