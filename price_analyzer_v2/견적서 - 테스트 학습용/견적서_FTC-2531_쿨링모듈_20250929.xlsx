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wiakr-my.sharepoint.com/personal/gb8397_hyundai-wia_com/Documents/★ 진행중/0. SX3 공조시스템 양산대응/품의서/조립라인/"/>
    </mc:Choice>
  </mc:AlternateContent>
  <xr:revisionPtr revIDLastSave="1" documentId="11_B492618A493FEDFC7426F7CE13E66A4BAF6D97F5" xr6:coauthVersionLast="47" xr6:coauthVersionMax="47" xr10:uidLastSave="{5C09B66B-A531-435F-A92E-94D28891DE94}"/>
  <bookViews>
    <workbookView xWindow="-16320" yWindow="-240" windowWidth="16440" windowHeight="28440" tabRatio="1000" xr2:uid="{00000000-000D-0000-FFFF-FFFF00000000}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ASSY TABLE " sheetId="11" r:id="rId5"/>
    <sheet name="VISION BAECODE DB" sheetId="10" r:id="rId6"/>
    <sheet name="OTHER COST" sheetId="9" r:id="rId7"/>
    <sheet name="단위장비4" sheetId="8" r:id="rId8"/>
    <sheet name="단위장비5" sheetId="7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4" hidden="1">'ASSY TABLE '!$A$2:$I$103</definedName>
    <definedName name="_xlnm._FilterDatabase" localSheetId="6" hidden="1">'OTHER COST'!$J$2:$J$53</definedName>
    <definedName name="_xlnm._FilterDatabase" localSheetId="5" hidden="1">'VISION BAECODE DB'!$A$2:$I$80</definedName>
    <definedName name="_xlnm._FilterDatabase" localSheetId="7" hidden="1">단위장비4!$J$2:$J$67</definedName>
    <definedName name="_xlnm._FilterDatabase" localSheetId="8" hidden="1">단위장비5!$J$2:$J$69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전기!$A$2:$I$81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'원가항목별(집계)'!$A$1:$J$43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0" l="1"/>
  <c r="H64" i="10"/>
  <c r="H26" i="9"/>
  <c r="H27" i="9"/>
  <c r="H28" i="9"/>
  <c r="H29" i="9"/>
  <c r="H30" i="9"/>
  <c r="H31" i="9"/>
  <c r="H32" i="9"/>
  <c r="H60" i="10"/>
  <c r="H61" i="10"/>
  <c r="H62" i="10"/>
  <c r="H23" i="10"/>
  <c r="H20" i="10"/>
  <c r="H21" i="10"/>
  <c r="H22" i="10"/>
  <c r="H55" i="10"/>
  <c r="H18" i="10"/>
  <c r="H19" i="10"/>
  <c r="H36" i="10"/>
  <c r="H37" i="10"/>
  <c r="H38" i="10"/>
  <c r="H58" i="10" s="1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28" i="11"/>
  <c r="H29" i="11"/>
  <c r="H26" i="11"/>
  <c r="H77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42" i="11"/>
  <c r="H43" i="11"/>
  <c r="H44" i="11"/>
  <c r="H45" i="11"/>
  <c r="H46" i="11"/>
  <c r="H47" i="11"/>
  <c r="H48" i="11"/>
  <c r="H49" i="11"/>
  <c r="H50" i="11"/>
  <c r="H78" i="11"/>
  <c r="H79" i="11"/>
  <c r="H5" i="3"/>
  <c r="H6" i="3"/>
  <c r="H7" i="3"/>
  <c r="H8" i="3"/>
  <c r="H64" i="3"/>
  <c r="H65" i="3"/>
  <c r="H66" i="3"/>
  <c r="H56" i="3"/>
  <c r="H57" i="3"/>
  <c r="H58" i="3"/>
  <c r="H59" i="3"/>
  <c r="H60" i="3"/>
  <c r="H61" i="3"/>
  <c r="H62" i="3"/>
  <c r="H63" i="3"/>
  <c r="H12" i="8"/>
  <c r="H13" i="8"/>
  <c r="H14" i="8"/>
  <c r="H15" i="8"/>
  <c r="H16" i="8"/>
  <c r="H17" i="8"/>
  <c r="H83" i="11"/>
  <c r="H19" i="3"/>
  <c r="H68" i="3" s="1"/>
  <c r="H69" i="3" s="1"/>
  <c r="H15" i="10"/>
  <c r="H6" i="11"/>
  <c r="H21" i="3"/>
  <c r="H22" i="3"/>
  <c r="H23" i="3"/>
  <c r="H24" i="3"/>
  <c r="H25" i="3"/>
  <c r="H26" i="3"/>
  <c r="H27" i="3"/>
  <c r="H7" i="9"/>
  <c r="H21" i="11"/>
  <c r="H19" i="11"/>
  <c r="H18" i="11"/>
  <c r="H56" i="8"/>
  <c r="F10" i="2" s="1"/>
  <c r="H57" i="8"/>
  <c r="H58" i="8"/>
  <c r="H63" i="8" s="1"/>
  <c r="H59" i="8"/>
  <c r="G10" i="2" s="1"/>
  <c r="H60" i="8"/>
  <c r="H61" i="8"/>
  <c r="H10" i="2"/>
  <c r="H62" i="8"/>
  <c r="H55" i="8"/>
  <c r="E10" i="2" s="1"/>
  <c r="H29" i="14"/>
  <c r="H28" i="14"/>
  <c r="H27" i="14"/>
  <c r="H26" i="14"/>
  <c r="H25" i="14"/>
  <c r="H23" i="14"/>
  <c r="H22" i="14"/>
  <c r="H29" i="15"/>
  <c r="H28" i="15"/>
  <c r="H27" i="15"/>
  <c r="H26" i="15"/>
  <c r="H25" i="15"/>
  <c r="H23" i="15"/>
  <c r="H21" i="15"/>
  <c r="H22" i="15"/>
  <c r="H29" i="4"/>
  <c r="H28" i="4"/>
  <c r="H27" i="4"/>
  <c r="H26" i="4"/>
  <c r="H25" i="4"/>
  <c r="H23" i="4"/>
  <c r="H22" i="4"/>
  <c r="H29" i="5"/>
  <c r="H28" i="5"/>
  <c r="H27" i="5"/>
  <c r="H26" i="5"/>
  <c r="H25" i="5"/>
  <c r="H23" i="5"/>
  <c r="H22" i="5"/>
  <c r="H29" i="6"/>
  <c r="H28" i="6"/>
  <c r="H27" i="6"/>
  <c r="H26" i="6"/>
  <c r="H25" i="6"/>
  <c r="H30" i="6" s="1"/>
  <c r="H23" i="6"/>
  <c r="H22" i="6"/>
  <c r="H29" i="7"/>
  <c r="H28" i="7"/>
  <c r="H27" i="7"/>
  <c r="H26" i="7"/>
  <c r="H25" i="7"/>
  <c r="H23" i="7"/>
  <c r="H22" i="7"/>
  <c r="H27" i="8"/>
  <c r="H26" i="8"/>
  <c r="H25" i="8"/>
  <c r="H24" i="8"/>
  <c r="H23" i="8"/>
  <c r="H21" i="8"/>
  <c r="H20" i="8"/>
  <c r="H16" i="9"/>
  <c r="H15" i="9"/>
  <c r="H14" i="9"/>
  <c r="H13" i="9"/>
  <c r="H12" i="9"/>
  <c r="H10" i="9"/>
  <c r="H8" i="9"/>
  <c r="H9" i="9"/>
  <c r="H31" i="10"/>
  <c r="H30" i="10"/>
  <c r="H29" i="10"/>
  <c r="H28" i="10"/>
  <c r="H27" i="10"/>
  <c r="H25" i="10"/>
  <c r="H24" i="10"/>
  <c r="H25" i="11"/>
  <c r="H27" i="11"/>
  <c r="H18" i="3"/>
  <c r="B7" i="2"/>
  <c r="A7" i="2" s="1"/>
  <c r="B8" i="2"/>
  <c r="B9" i="2"/>
  <c r="B10" i="2"/>
  <c r="B11" i="2"/>
  <c r="A11" i="2" s="1"/>
  <c r="B12" i="2"/>
  <c r="L12" i="2" s="1"/>
  <c r="B13" i="2"/>
  <c r="A13" i="2"/>
  <c r="B14" i="2"/>
  <c r="B15" i="2"/>
  <c r="K15" i="2" s="1"/>
  <c r="B16" i="2"/>
  <c r="A16" i="2" s="1"/>
  <c r="H3" i="11"/>
  <c r="H30" i="11" s="1"/>
  <c r="H4" i="11"/>
  <c r="H5" i="11"/>
  <c r="H7" i="11"/>
  <c r="H8" i="11"/>
  <c r="H9" i="11"/>
  <c r="H10" i="11"/>
  <c r="H11" i="11"/>
  <c r="H12" i="11"/>
  <c r="H13" i="11"/>
  <c r="H14" i="11"/>
  <c r="H15" i="11"/>
  <c r="H16" i="11"/>
  <c r="H17" i="11"/>
  <c r="H20" i="11"/>
  <c r="H22" i="11"/>
  <c r="H23" i="11"/>
  <c r="H24" i="11"/>
  <c r="H31" i="11"/>
  <c r="H32" i="11"/>
  <c r="H33" i="11"/>
  <c r="H34" i="11"/>
  <c r="H35" i="11"/>
  <c r="H37" i="11"/>
  <c r="H81" i="11" s="1"/>
  <c r="H38" i="11"/>
  <c r="H39" i="11"/>
  <c r="H40" i="11"/>
  <c r="H41" i="11"/>
  <c r="H80" i="11"/>
  <c r="H82" i="11"/>
  <c r="H89" i="11" s="1"/>
  <c r="H84" i="11"/>
  <c r="H85" i="11"/>
  <c r="H86" i="11"/>
  <c r="H87" i="11"/>
  <c r="H88" i="11"/>
  <c r="H91" i="11"/>
  <c r="E7" i="2"/>
  <c r="H92" i="11"/>
  <c r="H93" i="11"/>
  <c r="H94" i="1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49" i="14"/>
  <c r="H50" i="14"/>
  <c r="H51" i="14"/>
  <c r="H52" i="14"/>
  <c r="H53" i="14"/>
  <c r="H54" i="14"/>
  <c r="H57" i="14"/>
  <c r="H58" i="14"/>
  <c r="D16" i="2" s="1"/>
  <c r="H59" i="14"/>
  <c r="E16" i="2"/>
  <c r="H60" i="14"/>
  <c r="H61" i="14"/>
  <c r="H62" i="14"/>
  <c r="H65" i="14" s="1"/>
  <c r="H16" i="2" s="1"/>
  <c r="H63" i="14"/>
  <c r="H64" i="14"/>
  <c r="H3" i="10"/>
  <c r="H4" i="10"/>
  <c r="H26" i="10" s="1"/>
  <c r="H5" i="10"/>
  <c r="H6" i="10"/>
  <c r="H7" i="10"/>
  <c r="H8" i="10"/>
  <c r="H9" i="10"/>
  <c r="H10" i="10"/>
  <c r="H11" i="10"/>
  <c r="H12" i="10"/>
  <c r="H13" i="10"/>
  <c r="H14" i="10"/>
  <c r="H16" i="10"/>
  <c r="H17" i="10"/>
  <c r="H33" i="10"/>
  <c r="H34" i="10"/>
  <c r="H35" i="10"/>
  <c r="H56" i="10"/>
  <c r="H57" i="10"/>
  <c r="H59" i="10"/>
  <c r="H65" i="10"/>
  <c r="H66" i="10" s="1"/>
  <c r="H68" i="10"/>
  <c r="I11" i="1" s="1"/>
  <c r="H69" i="10"/>
  <c r="H3" i="9"/>
  <c r="H4" i="9"/>
  <c r="H5" i="9"/>
  <c r="H11" i="9" s="1"/>
  <c r="H6" i="9"/>
  <c r="H18" i="9"/>
  <c r="H19" i="9"/>
  <c r="H20" i="9"/>
  <c r="H21" i="9"/>
  <c r="H22" i="9"/>
  <c r="H23" i="9"/>
  <c r="H24" i="9"/>
  <c r="H33" i="9"/>
  <c r="H34" i="9"/>
  <c r="H35" i="9"/>
  <c r="H36" i="9"/>
  <c r="H37" i="9"/>
  <c r="H38" i="9"/>
  <c r="H41" i="9"/>
  <c r="E9" i="2"/>
  <c r="H42" i="9"/>
  <c r="H49" i="9" s="1"/>
  <c r="H3" i="8"/>
  <c r="H4" i="8"/>
  <c r="H22" i="8" s="1"/>
  <c r="H5" i="8"/>
  <c r="H6" i="8"/>
  <c r="H7" i="8"/>
  <c r="H8" i="8"/>
  <c r="H9" i="8"/>
  <c r="H10" i="8"/>
  <c r="H11" i="8"/>
  <c r="H18" i="8"/>
  <c r="H19" i="8"/>
  <c r="H29" i="8"/>
  <c r="H30" i="8"/>
  <c r="H31" i="8"/>
  <c r="H45" i="8" s="1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6" i="8"/>
  <c r="H47" i="8"/>
  <c r="H48" i="8"/>
  <c r="H49" i="8"/>
  <c r="H50" i="8"/>
  <c r="H51" i="8"/>
  <c r="H52" i="8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49" i="7"/>
  <c r="H50" i="7"/>
  <c r="H51" i="7"/>
  <c r="H52" i="7"/>
  <c r="H53" i="7"/>
  <c r="H54" i="7"/>
  <c r="H57" i="7"/>
  <c r="E11" i="2"/>
  <c r="H58" i="7"/>
  <c r="H59" i="7"/>
  <c r="H60" i="7"/>
  <c r="H61" i="7"/>
  <c r="H62" i="7"/>
  <c r="H63" i="7"/>
  <c r="H11" i="2" s="1"/>
  <c r="H64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49" i="6"/>
  <c r="H50" i="6"/>
  <c r="H51" i="6"/>
  <c r="H52" i="6"/>
  <c r="H53" i="6"/>
  <c r="H54" i="6"/>
  <c r="H57" i="6"/>
  <c r="E12" i="2" s="1"/>
  <c r="H58" i="6"/>
  <c r="H59" i="6"/>
  <c r="H60" i="6"/>
  <c r="H61" i="6"/>
  <c r="G12" i="2" s="1"/>
  <c r="H62" i="6"/>
  <c r="H63" i="6"/>
  <c r="H12" i="2" s="1"/>
  <c r="H64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49" i="5"/>
  <c r="H50" i="5"/>
  <c r="H51" i="5"/>
  <c r="H52" i="5"/>
  <c r="H53" i="5"/>
  <c r="H54" i="5"/>
  <c r="H57" i="5"/>
  <c r="E13" i="2" s="1"/>
  <c r="H58" i="5"/>
  <c r="H59" i="5"/>
  <c r="H60" i="5"/>
  <c r="F13" i="2" s="1"/>
  <c r="H61" i="5"/>
  <c r="G13" i="2" s="1"/>
  <c r="H62" i="5"/>
  <c r="H63" i="5"/>
  <c r="H13" i="2"/>
  <c r="H64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0" i="4"/>
  <c r="H51" i="4"/>
  <c r="H52" i="4"/>
  <c r="H53" i="4"/>
  <c r="H54" i="4"/>
  <c r="H57" i="4"/>
  <c r="E14" i="2" s="1"/>
  <c r="H58" i="4"/>
  <c r="H59" i="4"/>
  <c r="H60" i="4"/>
  <c r="H61" i="4"/>
  <c r="H65" i="4" s="1"/>
  <c r="H62" i="4"/>
  <c r="H63" i="4"/>
  <c r="H14" i="2" s="1"/>
  <c r="H64" i="4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G6" i="1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0" i="15"/>
  <c r="H51" i="15"/>
  <c r="H52" i="15"/>
  <c r="H53" i="15"/>
  <c r="H54" i="15"/>
  <c r="H57" i="15"/>
  <c r="H58" i="15"/>
  <c r="E15" i="2"/>
  <c r="H59" i="15"/>
  <c r="H60" i="15"/>
  <c r="H61" i="15"/>
  <c r="H62" i="15"/>
  <c r="H63" i="15"/>
  <c r="G15" i="2" s="1"/>
  <c r="H64" i="15"/>
  <c r="H15" i="2" s="1"/>
  <c r="G11" i="1"/>
  <c r="H11" i="1"/>
  <c r="G12" i="1"/>
  <c r="H12" i="1"/>
  <c r="G13" i="1"/>
  <c r="H13" i="1"/>
  <c r="G14" i="1"/>
  <c r="G15" i="1"/>
  <c r="G16" i="1"/>
  <c r="G17" i="1"/>
  <c r="G18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H3" i="3"/>
  <c r="H10" i="3" s="1"/>
  <c r="H4" i="3"/>
  <c r="H9" i="3"/>
  <c r="H11" i="3"/>
  <c r="H17" i="3" s="1"/>
  <c r="I23" i="1" s="1"/>
  <c r="H12" i="3"/>
  <c r="H13" i="3"/>
  <c r="H14" i="3"/>
  <c r="H15" i="3"/>
  <c r="H16" i="3"/>
  <c r="H20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67" i="3"/>
  <c r="H70" i="3"/>
  <c r="I24" i="1" s="1"/>
  <c r="H71" i="3"/>
  <c r="I25" i="1" s="1"/>
  <c r="H72" i="3"/>
  <c r="I26" i="1" s="1"/>
  <c r="H73" i="3"/>
  <c r="I27" i="1" s="1"/>
  <c r="H74" i="3"/>
  <c r="I28" i="1" s="1"/>
  <c r="H75" i="3"/>
  <c r="I29" i="1" s="1"/>
  <c r="H76" i="3"/>
  <c r="I30" i="1" s="1"/>
  <c r="L15" i="2"/>
  <c r="L16" i="2"/>
  <c r="K14" i="2"/>
  <c r="H15" i="1"/>
  <c r="H95" i="11"/>
  <c r="H96" i="11"/>
  <c r="G16" i="2"/>
  <c r="H16" i="1"/>
  <c r="A14" i="2"/>
  <c r="L14" i="2"/>
  <c r="I14" i="2"/>
  <c r="H43" i="9"/>
  <c r="H14" i="1"/>
  <c r="H44" i="9"/>
  <c r="H97" i="11"/>
  <c r="H7" i="2" s="1"/>
  <c r="H17" i="1"/>
  <c r="H70" i="10"/>
  <c r="H98" i="11"/>
  <c r="H18" i="1"/>
  <c r="H45" i="9"/>
  <c r="G9" i="2" s="1"/>
  <c r="H71" i="10"/>
  <c r="I14" i="1" s="1"/>
  <c r="H72" i="10"/>
  <c r="H46" i="9"/>
  <c r="H73" i="10"/>
  <c r="H47" i="9"/>
  <c r="H9" i="2" s="1"/>
  <c r="H48" i="9"/>
  <c r="H74" i="10"/>
  <c r="H8" i="2" s="1"/>
  <c r="H75" i="10"/>
  <c r="I13" i="2"/>
  <c r="I11" i="2"/>
  <c r="K13" i="2"/>
  <c r="L13" i="2"/>
  <c r="H28" i="8"/>
  <c r="H53" i="8"/>
  <c r="A10" i="2"/>
  <c r="I10" i="2"/>
  <c r="L10" i="2"/>
  <c r="K10" i="2"/>
  <c r="H32" i="10"/>
  <c r="I12" i="1"/>
  <c r="I18" i="1"/>
  <c r="H77" i="3"/>
  <c r="H67" i="10" l="1"/>
  <c r="D8" i="2" s="1"/>
  <c r="H47" i="4"/>
  <c r="K12" i="2"/>
  <c r="F9" i="2"/>
  <c r="L11" i="2"/>
  <c r="G14" i="2"/>
  <c r="K16" i="2"/>
  <c r="H24" i="4"/>
  <c r="H56" i="4" s="1"/>
  <c r="H55" i="5"/>
  <c r="H47" i="5"/>
  <c r="H24" i="14"/>
  <c r="A12" i="2"/>
  <c r="H30" i="15"/>
  <c r="E8" i="2"/>
  <c r="I15" i="1"/>
  <c r="I15" i="2"/>
  <c r="H55" i="15"/>
  <c r="H47" i="15"/>
  <c r="H24" i="5"/>
  <c r="F12" i="2"/>
  <c r="H55" i="6"/>
  <c r="H25" i="9"/>
  <c r="I7" i="1" s="1"/>
  <c r="A15" i="2"/>
  <c r="H65" i="5"/>
  <c r="H47" i="6"/>
  <c r="H65" i="15"/>
  <c r="F15" i="2" s="1"/>
  <c r="H55" i="7"/>
  <c r="H47" i="7"/>
  <c r="H56" i="7" s="1"/>
  <c r="H30" i="5"/>
  <c r="H54" i="8"/>
  <c r="H66" i="8" s="1"/>
  <c r="G11" i="2"/>
  <c r="H24" i="7"/>
  <c r="I6" i="1" s="1"/>
  <c r="K11" i="2"/>
  <c r="H24" i="6"/>
  <c r="F11" i="2"/>
  <c r="I13" i="1"/>
  <c r="F14" i="2"/>
  <c r="H55" i="14"/>
  <c r="H56" i="14" s="1"/>
  <c r="H47" i="14"/>
  <c r="A8" i="2"/>
  <c r="A9" i="2" s="1"/>
  <c r="H30" i="7"/>
  <c r="H30" i="14"/>
  <c r="I12" i="2"/>
  <c r="H55" i="4"/>
  <c r="I17" i="1"/>
  <c r="H65" i="7"/>
  <c r="I16" i="2"/>
  <c r="H24" i="15"/>
  <c r="H36" i="11"/>
  <c r="H17" i="9"/>
  <c r="H30" i="4"/>
  <c r="H39" i="9"/>
  <c r="I8" i="1" s="1"/>
  <c r="G8" i="2"/>
  <c r="I16" i="1"/>
  <c r="H66" i="14"/>
  <c r="F16" i="2" s="1"/>
  <c r="J16" i="2" s="1"/>
  <c r="F8" i="2"/>
  <c r="H76" i="10"/>
  <c r="H79" i="10" s="1"/>
  <c r="G7" i="2"/>
  <c r="H99" i="11"/>
  <c r="F7" i="2"/>
  <c r="H66" i="5"/>
  <c r="H66" i="6"/>
  <c r="H66" i="15"/>
  <c r="H64" i="8"/>
  <c r="H66" i="4"/>
  <c r="H66" i="7"/>
  <c r="D10" i="2"/>
  <c r="H65" i="8"/>
  <c r="I31" i="1"/>
  <c r="H56" i="6"/>
  <c r="I22" i="1"/>
  <c r="H79" i="3"/>
  <c r="H80" i="3"/>
  <c r="E17" i="2"/>
  <c r="E18" i="2" s="1"/>
  <c r="H17" i="2"/>
  <c r="H90" i="11"/>
  <c r="I9" i="1"/>
  <c r="H65" i="6"/>
  <c r="D15" i="2"/>
  <c r="J46" i="1" l="1"/>
  <c r="I46" i="1" s="1"/>
  <c r="H40" i="9"/>
  <c r="I19" i="1"/>
  <c r="M10" i="2"/>
  <c r="G17" i="2"/>
  <c r="J47" i="1"/>
  <c r="I47" i="1" s="1"/>
  <c r="I38" i="1" s="1"/>
  <c r="C34" i="16" s="1"/>
  <c r="H56" i="15"/>
  <c r="H56" i="5"/>
  <c r="I10" i="1"/>
  <c r="I34" i="1" s="1"/>
  <c r="H78" i="10"/>
  <c r="M8" i="2" s="1"/>
  <c r="P8" i="2" s="1"/>
  <c r="F17" i="2"/>
  <c r="H69" i="14"/>
  <c r="M16" i="2" s="1"/>
  <c r="P16" i="2" s="1"/>
  <c r="H67" i="14"/>
  <c r="H68" i="14"/>
  <c r="I32" i="1"/>
  <c r="I33" i="1" s="1"/>
  <c r="J15" i="2"/>
  <c r="H81" i="3"/>
  <c r="H51" i="9"/>
  <c r="D9" i="2"/>
  <c r="H52" i="9"/>
  <c r="H67" i="8"/>
  <c r="H101" i="11"/>
  <c r="H102" i="11"/>
  <c r="D7" i="2"/>
  <c r="J38" i="1"/>
  <c r="I35" i="1"/>
  <c r="P10" i="2"/>
  <c r="J10" i="2"/>
  <c r="N10" i="2" s="1"/>
  <c r="D14" i="2"/>
  <c r="H68" i="4"/>
  <c r="H67" i="4"/>
  <c r="M14" i="2" s="1"/>
  <c r="H67" i="7"/>
  <c r="H68" i="7"/>
  <c r="D11" i="2"/>
  <c r="H68" i="6"/>
  <c r="D12" i="2"/>
  <c r="H67" i="6"/>
  <c r="H67" i="15" l="1"/>
  <c r="H68" i="15"/>
  <c r="H69" i="15"/>
  <c r="M15" i="2" s="1"/>
  <c r="P15" i="2" s="1"/>
  <c r="M11" i="2"/>
  <c r="M12" i="2"/>
  <c r="H68" i="5"/>
  <c r="I40" i="1" s="1"/>
  <c r="D13" i="2"/>
  <c r="J13" i="2" s="1"/>
  <c r="H67" i="5"/>
  <c r="I39" i="1" s="1"/>
  <c r="I36" i="1"/>
  <c r="N16" i="2"/>
  <c r="C27" i="16" s="1"/>
  <c r="N15" i="2"/>
  <c r="G26" i="16" s="1"/>
  <c r="M9" i="2"/>
  <c r="P9" i="2" s="1"/>
  <c r="J14" i="2"/>
  <c r="N14" i="2" s="1"/>
  <c r="P14" i="2"/>
  <c r="H69" i="4"/>
  <c r="H69" i="6"/>
  <c r="P12" i="2"/>
  <c r="J12" i="2"/>
  <c r="N12" i="2" s="1"/>
  <c r="H69" i="7"/>
  <c r="P11" i="2"/>
  <c r="J11" i="2"/>
  <c r="C21" i="16"/>
  <c r="H21" i="16"/>
  <c r="E21" i="16"/>
  <c r="G21" i="16"/>
  <c r="M7" i="2"/>
  <c r="P7" i="2" s="1"/>
  <c r="I20" i="1"/>
  <c r="I21" i="1" s="1"/>
  <c r="I41" i="1" s="1"/>
  <c r="M13" i="2" l="1"/>
  <c r="P13" i="2" s="1"/>
  <c r="H69" i="5"/>
  <c r="D17" i="2"/>
  <c r="N11" i="2"/>
  <c r="H27" i="16"/>
  <c r="E27" i="16"/>
  <c r="G27" i="16"/>
  <c r="E26" i="16"/>
  <c r="H26" i="16"/>
  <c r="C26" i="16"/>
  <c r="H22" i="16"/>
  <c r="C22" i="16"/>
  <c r="E22" i="16"/>
  <c r="G22" i="16"/>
  <c r="P17" i="2"/>
  <c r="L7" i="2" s="1"/>
  <c r="M17" i="2"/>
  <c r="C23" i="16"/>
  <c r="H23" i="16"/>
  <c r="G23" i="16"/>
  <c r="E23" i="16"/>
  <c r="G25" i="16"/>
  <c r="C25" i="16"/>
  <c r="E25" i="16"/>
  <c r="H25" i="16"/>
  <c r="N13" i="2" l="1"/>
  <c r="I7" i="2"/>
  <c r="J7" i="2" s="1"/>
  <c r="I8" i="2"/>
  <c r="J8" i="2" s="1"/>
  <c r="L8" i="2"/>
  <c r="K7" i="2"/>
  <c r="K8" i="2"/>
  <c r="K9" i="2"/>
  <c r="L9" i="2"/>
  <c r="I9" i="2"/>
  <c r="J9" i="2" s="1"/>
  <c r="G24" i="16" l="1"/>
  <c r="H24" i="16"/>
  <c r="E24" i="16"/>
  <c r="C24" i="16"/>
  <c r="H100" i="11"/>
  <c r="H103" i="11" s="1"/>
  <c r="H50" i="9"/>
  <c r="H53" i="9" s="1"/>
  <c r="I17" i="2"/>
  <c r="J17" i="2" s="1"/>
  <c r="K17" i="2"/>
  <c r="H77" i="10"/>
  <c r="H80" i="10" s="1"/>
  <c r="N8" i="2"/>
  <c r="N9" i="2"/>
  <c r="N7" i="2"/>
  <c r="L17" i="2"/>
  <c r="H18" i="16" l="1"/>
  <c r="E18" i="16"/>
  <c r="F18" i="16"/>
  <c r="F28" i="16" s="1"/>
  <c r="C18" i="16"/>
  <c r="G18" i="16"/>
  <c r="N17" i="2"/>
  <c r="J18" i="2" s="1"/>
  <c r="C19" i="16"/>
  <c r="H19" i="16"/>
  <c r="G19" i="16"/>
  <c r="E19" i="16"/>
  <c r="G20" i="16"/>
  <c r="E20" i="16"/>
  <c r="H20" i="16"/>
  <c r="C20" i="16"/>
  <c r="H28" i="16" l="1"/>
  <c r="G28" i="16"/>
  <c r="N18" i="2"/>
  <c r="G18" i="2"/>
  <c r="F18" i="2"/>
  <c r="H18" i="2"/>
  <c r="N20" i="2"/>
  <c r="D18" i="2"/>
  <c r="M18" i="2"/>
  <c r="K18" i="2"/>
  <c r="I18" i="2"/>
  <c r="E28" i="16"/>
  <c r="L18" i="2"/>
</calcChain>
</file>

<file path=xl/sharedStrings.xml><?xml version="1.0" encoding="utf-8"?>
<sst xmlns="http://schemas.openxmlformats.org/spreadsheetml/2006/main" count="1098" uniqueCount="394">
  <si>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</si>
  <si>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</si>
  <si>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</si>
  <si>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</si>
  <si>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</si>
  <si>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</si>
  <si>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</si>
  <si>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</si>
  <si>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</si>
  <si>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</si>
  <si>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</si>
  <si>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</si>
  <si>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</si>
  <si>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</si>
  <si>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</si>
  <si>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</si>
  <si>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</si>
  <si>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</si>
  <si>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</si>
  <si>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</si>
  <si>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</si>
  <si>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</si>
  <si>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</si>
  <si>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</si>
  <si>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</si>
  <si>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</si>
  <si>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</si>
  <si>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</si>
  <si>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</si>
  <si>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</si>
  <si>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</si>
  <si>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</si>
  <si>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</si>
  <si>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</si>
  <si>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</si>
  <si>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</si>
  <si>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</si>
  <si>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</si>
  <si>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</si>
  <si>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</si>
  <si>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</si>
  <si>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</si>
  <si>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</si>
  <si>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</si>
  <si>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</si>
  <si>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</si>
  <si>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</si>
  <si>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</si>
  <si>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</si>
  <si>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</si>
  <si>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</si>
  <si>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</si>
  <si>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</si>
  <si>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</si>
  <si>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</si>
  <si>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</si>
  <si>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</si>
  <si>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</si>
  <si>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</si>
  <si>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</si>
  <si>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</si>
  <si>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</si>
  <si>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</si>
  <si>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</si>
  <si>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</si>
  <si>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</si>
  <si>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</si>
  <si>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</si>
  <si>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</si>
  <si>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</si>
  <si>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</si>
  <si>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</si>
  <si>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</si>
  <si>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</si>
  <si>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</si>
  <si>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</si>
  <si>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</si>
  <si>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</si>
  <si>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전기부문(공통)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</si>
  <si>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</si>
  <si>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</si>
  <si>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</si>
  <si>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</si>
  <si>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</si>
  <si>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</si>
  <si>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</si>
  <si>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</si>
  <si>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</si>
  <si>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</si>
  <si>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</si>
  <si>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</si>
  <si>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</si>
  <si>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</si>
  <si>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</si>
  <si>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</si>
  <si>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</si>
  <si>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</si>
  <si>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</si>
  <si>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</si>
  <si>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</si>
  <si>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</si>
  <si>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</si>
  <si>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</si>
  <si>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설계/프로그램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</si>
  <si>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</si>
  <si>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</si>
  <si>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</si>
  <si>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</si>
  <si>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</si>
  <si>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</si>
  <si>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</si>
  <si>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</si>
  <si>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</si>
  <si>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</si>
  <si>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</si>
  <si>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</si>
  <si>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</si>
  <si>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</si>
  <si>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</si>
  <si>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</si>
  <si>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</si>
  <si>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</si>
  <si>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</si>
  <si>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</si>
  <si>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</si>
  <si>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</si>
  <si>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</si>
  <si>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연 락 처 :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</si>
  <si>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</si>
  <si>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</si>
  <si>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</si>
  <si>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</si>
  <si>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</si>
  <si>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</si>
  <si>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</si>
  <si>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</si>
  <si>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</si>
  <si>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</si>
  <si>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</si>
  <si>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</si>
  <si>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</si>
  <si>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</si>
  <si>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</si>
  <si>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</si>
  <si>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</si>
  <si>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</si>
  <si>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</si>
  <si>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</si>
  <si>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</si>
  <si>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</si>
  <si>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</si>
  <si>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</si>
  <si>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</si>
  <si>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</si>
  <si>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</si>
  <si>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</si>
  <si>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</si>
  <si>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</si>
  <si>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</si>
  <si>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</si>
  <si>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</si>
  <si>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</si>
  <si>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</si>
  <si>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</si>
  <si>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</si>
  <si>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</si>
  <si>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</si>
  <si>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</si>
  <si>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</si>
  <si>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</si>
  <si>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</si>
  <si>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</si>
  <si>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</si>
  <si>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</si>
  <si>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</si>
  <si>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</si>
  <si>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</si>
  <si>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</si>
  <si>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견적담당:</t>
    <phoneticPr fontId="2" type="noConversion"/>
  </si>
  <si>
    <t>견적 제출 후 30일</t>
    <phoneticPr fontId="2" type="noConversion"/>
  </si>
  <si>
    <t>귀사 지정장소</t>
    <phoneticPr fontId="2" type="noConversion"/>
  </si>
  <si>
    <t>정기 지불조건</t>
    <phoneticPr fontId="2" type="noConversion"/>
  </si>
  <si>
    <t>%</t>
    <phoneticPr fontId="2" type="noConversion"/>
  </si>
  <si>
    <t>현대위아 貴下</t>
    <phoneticPr fontId="2" type="noConversion"/>
  </si>
  <si>
    <t>EA</t>
  </si>
  <si>
    <t xml:space="preserve"> </t>
    <phoneticPr fontId="2" type="noConversion"/>
  </si>
  <si>
    <t>SET</t>
  </si>
  <si>
    <t>KEYENCE</t>
  </si>
  <si>
    <t>SOL V/V 外</t>
  </si>
  <si>
    <t xml:space="preserve"> AJ65SBT1-32DT</t>
  </si>
  <si>
    <t xml:space="preserve"> GCP32/7</t>
  </si>
  <si>
    <t xml:space="preserve"> IE-SW-BL08-8TX</t>
  </si>
  <si>
    <t xml:space="preserve"> LY2N</t>
  </si>
  <si>
    <t xml:space="preserve"> 47BND</t>
  </si>
  <si>
    <t>LOT</t>
  </si>
  <si>
    <t>근접 SENSOR</t>
  </si>
  <si>
    <t xml:space="preserve"> ST-56L-3 DC24V LED</t>
  </si>
  <si>
    <t>M</t>
  </si>
  <si>
    <t xml:space="preserve"> CC-LINK</t>
  </si>
  <si>
    <t xml:space="preserve"> NFB</t>
  </si>
  <si>
    <t xml:space="preserve"> MC</t>
  </si>
  <si>
    <t xml:space="preserve"> NANE PLATE</t>
  </si>
  <si>
    <t xml:space="preserve"> IV WIRE</t>
  </si>
  <si>
    <t xml:space="preserve"> TERMINAL BLOCK</t>
  </si>
  <si>
    <t xml:space="preserve"> TERMINAL &amp; CAP</t>
  </si>
  <si>
    <t xml:space="preserve"> PVC DUCT</t>
  </si>
  <si>
    <t xml:space="preserve"> LAPP CABLE</t>
  </si>
  <si>
    <t xml:space="preserve"> CC-LINK CABLE</t>
  </si>
  <si>
    <t xml:space="preserve"> TOWER LAMP</t>
  </si>
  <si>
    <t xml:space="preserve"> TERMINAL BOX</t>
  </si>
  <si>
    <t xml:space="preserve"> AJ65SBT1-32D</t>
  </si>
  <si>
    <t xml:space="preserve"> AJ65SBT1-32T</t>
  </si>
  <si>
    <t xml:space="preserve"> GV2ME</t>
  </si>
  <si>
    <t>OTHERS</t>
  </si>
  <si>
    <t>E3ZM</t>
  </si>
  <si>
    <t xml:space="preserve"> </t>
    <phoneticPr fontId="2" type="noConversion"/>
  </si>
  <si>
    <t>대표 :김동학</t>
    <phoneticPr fontId="2" type="noConversion"/>
  </si>
  <si>
    <t>전화: 031)314-0803</t>
    <phoneticPr fontId="2" type="noConversion"/>
  </si>
  <si>
    <t xml:space="preserve">Fax: 031)314-0805 </t>
    <phoneticPr fontId="2" type="noConversion"/>
  </si>
  <si>
    <t>김 동학</t>
    <phoneticPr fontId="2" type="noConversion"/>
  </si>
  <si>
    <t>010-8822-0803</t>
    <phoneticPr fontId="2" type="noConversion"/>
  </si>
  <si>
    <t xml:space="preserve"> </t>
    <phoneticPr fontId="2" type="noConversion"/>
  </si>
  <si>
    <t>400X400X250</t>
  </si>
  <si>
    <t>AL</t>
  </si>
  <si>
    <t xml:space="preserve"> PANEL</t>
  </si>
  <si>
    <t xml:space="preserve"> GOT2000</t>
  </si>
  <si>
    <t xml:space="preserve"> GT2712-STBA</t>
  </si>
  <si>
    <t xml:space="preserve"> PLC CPU</t>
  </si>
  <si>
    <t xml:space="preserve"> Q13UDVCPU</t>
  </si>
  <si>
    <t xml:space="preserve"> PLC POWER</t>
  </si>
  <si>
    <t xml:space="preserve"> Q62P</t>
  </si>
  <si>
    <t xml:space="preserve"> PLC BASE</t>
  </si>
  <si>
    <t xml:space="preserve"> Q312B</t>
  </si>
  <si>
    <t xml:space="preserve"> PLC CCLINK</t>
  </si>
  <si>
    <t xml:space="preserve"> QJ61BT11N</t>
  </si>
  <si>
    <t xml:space="preserve"> PLC ETHERNET UINT </t>
  </si>
  <si>
    <t xml:space="preserve"> QJ1E71-100</t>
  </si>
  <si>
    <t xml:space="preserve"> PLC 통신카드</t>
  </si>
  <si>
    <t xml:space="preserve"> QJ71C24N</t>
  </si>
  <si>
    <t xml:space="preserve"> ABS32/15A</t>
  </si>
  <si>
    <t xml:space="preserve"> N-40c</t>
  </si>
  <si>
    <t xml:space="preserve"> CONSENT</t>
  </si>
  <si>
    <t xml:space="preserve"> AC220V 2구 </t>
  </si>
  <si>
    <t xml:space="preserve"> COOLING FAN</t>
  </si>
  <si>
    <t xml:space="preserve"> PANEL LIGHT</t>
  </si>
  <si>
    <t xml:space="preserve"> RELAY</t>
  </si>
  <si>
    <t xml:space="preserve"> LC1D09BD</t>
  </si>
  <si>
    <t xml:space="preserve"> NOISE FILTER</t>
  </si>
  <si>
    <t xml:space="preserve"> 10A</t>
  </si>
  <si>
    <t xml:space="preserve"> DC POWER SPULLY</t>
  </si>
  <si>
    <t xml:space="preserve"> S8VS-24024A</t>
  </si>
  <si>
    <t xml:space="preserve"> SAFETY UNIT</t>
  </si>
  <si>
    <t xml:space="preserve"> PNOZ X2.8P</t>
  </si>
  <si>
    <t xml:space="preserve"> P7SA-10F-ND</t>
  </si>
  <si>
    <t xml:space="preserve"> ETHERNET HUB</t>
  </si>
  <si>
    <t>VCTF</t>
  </si>
  <si>
    <t>22m/m</t>
  </si>
  <si>
    <t>MITSUBISHI</t>
  </si>
  <si>
    <t xml:space="preserve"> GVAE11</t>
  </si>
  <si>
    <t>OMRON</t>
  </si>
  <si>
    <t>BASE PLATE</t>
  </si>
  <si>
    <t>SS400*4.5T,상하</t>
  </si>
  <si>
    <t>PARTS BOX SHELF</t>
  </si>
  <si>
    <t>AIR SERVICE UNIT</t>
  </si>
  <si>
    <t>SMC</t>
  </si>
  <si>
    <t>LG</t>
  </si>
  <si>
    <t>ASS'Y JIG</t>
  </si>
  <si>
    <t>E2E-X30MD1-M1GJ</t>
  </si>
  <si>
    <t>포토 SENSOR</t>
  </si>
  <si>
    <t>SY5000</t>
  </si>
  <si>
    <t>BUFFER TABLE</t>
  </si>
  <si>
    <t>TORQUE ARM</t>
  </si>
  <si>
    <t>1식</t>
    <phoneticPr fontId="2" type="noConversion"/>
  </si>
  <si>
    <t>LEAK TESTER(중압)</t>
  </si>
  <si>
    <t>FLA-0201-MC,MASTER</t>
  </si>
  <si>
    <t>SEALING COUPLER</t>
  </si>
  <si>
    <t>MC.N</t>
  </si>
  <si>
    <t>CEPA 인증비</t>
  </si>
  <si>
    <t>공장 임대료</t>
  </si>
  <si>
    <t>OTHER COST</t>
    <phoneticPr fontId="2" type="noConversion"/>
  </si>
  <si>
    <t>국내양산대응포함</t>
    <phoneticPr fontId="2" type="noConversion"/>
  </si>
  <si>
    <t>발주후 90일</t>
    <phoneticPr fontId="2" type="noConversion"/>
  </si>
  <si>
    <t>2026년</t>
    <phoneticPr fontId="2" type="noConversion"/>
  </si>
  <si>
    <t>공사명 : C Moudle Assy Table Line SX3i</t>
    <phoneticPr fontId="2" type="noConversion"/>
  </si>
  <si>
    <t xml:space="preserve"> 800X800X600</t>
  </si>
  <si>
    <t>`</t>
  </si>
  <si>
    <t xml:space="preserve"> DATA CABLE</t>
  </si>
  <si>
    <t xml:space="preserve"> POWER CABLE</t>
  </si>
  <si>
    <t xml:space="preserve"> ETHERNET CABLE</t>
  </si>
  <si>
    <t xml:space="preserve"> RS-232 통신</t>
  </si>
  <si>
    <t xml:space="preserve"> FLEXIBLE</t>
  </si>
  <si>
    <t xml:space="preserve"> FLEXIBLE CONNECT</t>
  </si>
  <si>
    <t xml:space="preserve"> GOT BOX</t>
  </si>
  <si>
    <t xml:space="preserve"> Jig Connector</t>
  </si>
  <si>
    <t xml:space="preserve"> OP LAMP&amp;SWITCH</t>
  </si>
  <si>
    <t xml:space="preserve"> WORK SWITCH</t>
  </si>
  <si>
    <t xml:space="preserve"> WORK SWITCH BOX</t>
  </si>
  <si>
    <t xml:space="preserve"> WORK LIGHT</t>
  </si>
  <si>
    <t>AL 꼬리표</t>
    <phoneticPr fontId="2" type="noConversion"/>
  </si>
  <si>
    <t>인도설치,P1,P2</t>
    <phoneticPr fontId="2" type="noConversion"/>
  </si>
  <si>
    <t>ASS'Y TABLE (OP10)</t>
  </si>
  <si>
    <t>FRAME</t>
  </si>
  <si>
    <t>PROFILE 40*40</t>
  </si>
  <si>
    <t>작업 표준 MONITOR</t>
  </si>
  <si>
    <t>24",거치대</t>
  </si>
  <si>
    <t>JIG MAIN BASE</t>
  </si>
  <si>
    <t>AL*15T</t>
  </si>
  <si>
    <t>AL*15T,LOCK'G UNIT</t>
  </si>
  <si>
    <t>ETD SL21</t>
  </si>
  <si>
    <t>COND ASS'Y DEVICE</t>
  </si>
  <si>
    <t>배관재</t>
  </si>
  <si>
    <t>QUICK COUPLER</t>
  </si>
  <si>
    <t>ATLAS</t>
  </si>
  <si>
    <t>TORQUE TOOL(사급)</t>
    <phoneticPr fontId="2" type="noConversion"/>
  </si>
  <si>
    <t xml:space="preserve"> (OP20,30)</t>
  </si>
  <si>
    <t>ASS'Y TABLE</t>
    <phoneticPr fontId="2" type="noConversion"/>
  </si>
  <si>
    <t>(OP10)</t>
  </si>
  <si>
    <t xml:space="preserve">ASS'Y TABLE </t>
    <phoneticPr fontId="2" type="noConversion"/>
  </si>
  <si>
    <t>(OP20,30)</t>
  </si>
  <si>
    <t>AIR LEAK TABLE</t>
    <phoneticPr fontId="2" type="noConversion"/>
  </si>
  <si>
    <t xml:space="preserve"> (OP40)</t>
  </si>
  <si>
    <t>REGULATOR</t>
  </si>
  <si>
    <t>LEAK TESTER 거치대</t>
  </si>
  <si>
    <t>SS400*4.5T</t>
  </si>
  <si>
    <t>LEAK JIG</t>
  </si>
  <si>
    <t>RAD/LTR/COND</t>
  </si>
  <si>
    <t>COUPLER 보관 JIG</t>
  </si>
  <si>
    <t>LEAK TESTER(고압)</t>
  </si>
  <si>
    <t>FLA-0201-HD,MASTER</t>
  </si>
  <si>
    <t>AIR TANK(중압)</t>
  </si>
  <si>
    <t>15L</t>
  </si>
  <si>
    <t>AIR TANK(고압)</t>
  </si>
  <si>
    <t>200L,COVER</t>
  </si>
  <si>
    <t>고압 VALVE/배관재</t>
  </si>
  <si>
    <t>VALVE,HOSE</t>
  </si>
  <si>
    <t>증압 VALVE</t>
  </si>
  <si>
    <t>VBA11A-02G-X3239</t>
  </si>
  <si>
    <t>압력 스위치</t>
  </si>
  <si>
    <t>ISE20</t>
  </si>
  <si>
    <t xml:space="preserve">FINAL CHECK TABLE </t>
    <phoneticPr fontId="2" type="noConversion"/>
  </si>
  <si>
    <t>(OP50)</t>
  </si>
  <si>
    <t>FINAL JIG</t>
  </si>
  <si>
    <t>VISION/BAECODE/DB</t>
    <phoneticPr fontId="2" type="noConversion"/>
  </si>
  <si>
    <t>스마트 비전</t>
  </si>
  <si>
    <t>IV3-G500CA</t>
  </si>
  <si>
    <t>GigE 케이블</t>
  </si>
  <si>
    <t>GigE 케이블 커플러</t>
  </si>
  <si>
    <t>PC 랙</t>
  </si>
  <si>
    <t>산업용 PC</t>
  </si>
  <si>
    <t>무선랜 카드</t>
  </si>
  <si>
    <t>UPS</t>
  </si>
  <si>
    <t>Ethernet 허브</t>
  </si>
  <si>
    <t>파워 서플라이</t>
  </si>
  <si>
    <t>모니터</t>
  </si>
  <si>
    <t>마운트 블록</t>
  </si>
  <si>
    <t>기타 자재</t>
  </si>
  <si>
    <t>SQL</t>
  </si>
  <si>
    <t>바코드 프린터</t>
  </si>
  <si>
    <t>ZT411</t>
  </si>
  <si>
    <t>바코드 스캐너</t>
  </si>
  <si>
    <t>HR-X300</t>
  </si>
  <si>
    <t>바코드 프린터 테이블</t>
  </si>
  <si>
    <t>ADVANTECH</t>
  </si>
  <si>
    <t>APC</t>
  </si>
  <si>
    <t>ZEBRA</t>
  </si>
  <si>
    <t>바코드</t>
    <phoneticPr fontId="2" type="noConversion"/>
  </si>
  <si>
    <t>비젼</t>
    <phoneticPr fontId="2" type="noConversion"/>
  </si>
  <si>
    <t>스마트비전 S/W</t>
  </si>
  <si>
    <t>바코드시스템 S/W</t>
  </si>
  <si>
    <t>DB 프로그램</t>
  </si>
  <si>
    <t>서버 전송 프로그램</t>
  </si>
  <si>
    <t>MES/LMS GATEWAY</t>
  </si>
  <si>
    <t>COPY</t>
  </si>
  <si>
    <t>국내및인도 설치시 시운전 포함</t>
    <phoneticPr fontId="2" type="noConversion"/>
  </si>
  <si>
    <t>항공료</t>
    <phoneticPr fontId="2" type="noConversion"/>
  </si>
  <si>
    <t>LOT</t>
    <phoneticPr fontId="2" type="noConversion"/>
  </si>
  <si>
    <t>설치(2),P1(1),P2(1)</t>
    <phoneticPr fontId="2" type="noConversion"/>
  </si>
  <si>
    <t>체류비</t>
  </si>
  <si>
    <t>체류비</t>
    <phoneticPr fontId="2" type="noConversion"/>
  </si>
  <si>
    <t>MD</t>
    <phoneticPr fontId="2" type="noConversion"/>
  </si>
  <si>
    <t>전장 작업 인건비</t>
  </si>
  <si>
    <t>VISION SET-UP</t>
  </si>
  <si>
    <t>BARCODE SET-UP</t>
  </si>
  <si>
    <t>DB SET-UP</t>
  </si>
  <si>
    <t>국내 양산대응</t>
  </si>
  <si>
    <t>항공비</t>
  </si>
  <si>
    <t>2인*3회(기계,전기)</t>
  </si>
  <si>
    <t>설치,PI,P2 (2인*2주*2회)</t>
  </si>
  <si>
    <t>현지 설치/시운전비</t>
  </si>
  <si>
    <t>사급</t>
    <phoneticPr fontId="2" type="noConversion"/>
  </si>
  <si>
    <t>FTC-2531</t>
    <phoneticPr fontId="2" type="noConversion"/>
  </si>
  <si>
    <t>주소 : 경기도 시흥시 군자천로 219</t>
    <phoneticPr fontId="2" type="noConversion"/>
  </si>
  <si>
    <t xml:space="preserve"> </t>
    <phoneticPr fontId="2" type="noConversion"/>
  </si>
  <si>
    <t>견적금액:오억육천만원정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</si>
</sst>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₩&quot;* #,##0_-;\-&quot;₩&quot;* #,##0_-;_-&quot;₩&quot;* &quot;-&quot;_-;_-@_-"/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&quot;견적금액: 一金&quot;\ \ ###,###,###\ &quot;천원整&quot;"/>
    <numFmt numFmtId="183" formatCode="yyyy&quot;년&quot;\ m&quot;월&quot;\ d&quot;일&quot;;@"/>
    <numFmt numFmtId="184" formatCode="#,##0_);\(#,##0\)"/>
    <numFmt numFmtId="185" formatCode="#,###&quot; &quot;\ "/>
    <numFmt numFmtId="186" formatCode="_ * #,##0_ ;_ * \-#,##0_ ;_ * &quot;-&quot;_ ;_ @_ "/>
    <numFmt numFmtId="187" formatCode="#,##0;[Red]#,##0"/>
    <numFmt numFmtId="188" formatCode="_ * #,##0.00_ ;_ * \-#,##0.00_ ;_ * &quot;-&quot;??_ ;_ @_ "/>
    <numFmt numFmtId="189" formatCode="&quot;₩&quot;#,##0;&quot;₩&quot;&quot;₩&quot;\-#,##0"/>
    <numFmt numFmtId="190" formatCode="&quot;₩&quot;#,##0.00;&quot;₩&quot;&quot;₩&quot;\-#,##0.00"/>
    <numFmt numFmtId="191" formatCode="&quot;₩&quot;#,##0;&quot;₩&quot;&quot;₩&quot;&quot;₩&quot;&quot;₩&quot;\-#,##0"/>
    <numFmt numFmtId="192" formatCode="#,##0;[Red]&quot;-&quot;#,##0"/>
    <numFmt numFmtId="193" formatCode="&quot;₩&quot;#,##0;[Red]&quot;₩&quot;&quot;₩&quot;&quot;₩&quot;&quot;₩&quot;\-#,##0"/>
    <numFmt numFmtId="194" formatCode="#,##0.00;[Red]&quot;-&quot;#,##0.00"/>
    <numFmt numFmtId="195" formatCode="_-* #,##0.00_-;&quot;₩&quot;&quot;₩&quot;\-* #,##0.00_-;_-* &quot;-&quot;??_-;_-@_-"/>
    <numFmt numFmtId="196" formatCode="_-&quot;₩&quot;* #,##0.00_-;&quot;₩&quot;&quot;₩&quot;\-&quot;₩&quot;* #,##0.00_-;_-&quot;₩&quot;* &quot;-&quot;??_-;_-@_-"/>
    <numFmt numFmtId="197" formatCode="&quot;₩&quot;#,##0.00;&quot;₩&quot;&quot;₩&quot;&quot;₩&quot;&quot;₩&quot;\-#,##0.00"/>
  </numFmts>
  <fonts count="4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돋움"/>
      <family val="3"/>
      <charset val="129"/>
    </font>
    <font>
      <sz val="12"/>
      <name val="뼻뮝"/>
      <family val="1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b/>
      <sz val="12"/>
      <color indexed="16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2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42">
    <xf numFmtId="0" fontId="0" fillId="0" borderId="0"/>
    <xf numFmtId="186" fontId="33" fillId="0" borderId="0" applyFont="0" applyFill="0" applyBorder="0" applyAlignment="0" applyProtection="0"/>
    <xf numFmtId="188" fontId="33" fillId="0" borderId="0" applyFont="0" applyFill="0" applyBorder="0" applyAlignment="0" applyProtection="0"/>
    <xf numFmtId="189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33" fillId="0" borderId="0"/>
    <xf numFmtId="191" fontId="34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9" fontId="1" fillId="0" borderId="0" applyFont="0" applyFill="0" applyBorder="0" applyAlignment="0" applyProtection="0"/>
    <xf numFmtId="0" fontId="32" fillId="0" borderId="0"/>
    <xf numFmtId="192" fontId="37" fillId="0" borderId="0">
      <alignment vertical="center"/>
    </xf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38" fillId="0" borderId="0"/>
    <xf numFmtId="4" fontId="36" fillId="0" borderId="0">
      <protection locked="0"/>
    </xf>
    <xf numFmtId="193" fontId="34" fillId="0" borderId="0">
      <protection locked="0"/>
    </xf>
    <xf numFmtId="192" fontId="34" fillId="0" borderId="0" applyFont="0" applyFill="0" applyBorder="0" applyAlignment="0" applyProtection="0"/>
    <xf numFmtId="194" fontId="34" fillId="0" borderId="0" applyFont="0" applyFill="0" applyBorder="0" applyAlignment="0" applyProtection="0"/>
    <xf numFmtId="42" fontId="3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2" fontId="3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195" fontId="34" fillId="0" borderId="0">
      <protection locked="0"/>
    </xf>
    <xf numFmtId="0" fontId="1" fillId="0" borderId="0"/>
    <xf numFmtId="0" fontId="29" fillId="0" borderId="0"/>
    <xf numFmtId="0" fontId="33" fillId="0" borderId="0">
      <alignment vertical="center"/>
    </xf>
    <xf numFmtId="0" fontId="39" fillId="0" borderId="0">
      <alignment vertical="center"/>
    </xf>
    <xf numFmtId="0" fontId="29" fillId="0" borderId="0">
      <alignment vertical="center"/>
    </xf>
    <xf numFmtId="0" fontId="39" fillId="0" borderId="0">
      <alignment vertical="center"/>
    </xf>
    <xf numFmtId="0" fontId="33" fillId="0" borderId="0">
      <alignment vertical="center"/>
    </xf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6" fillId="0" borderId="1">
      <protection locked="0"/>
    </xf>
    <xf numFmtId="196" fontId="34" fillId="0" borderId="0">
      <protection locked="0"/>
    </xf>
    <xf numFmtId="197" fontId="34" fillId="0" borderId="0">
      <protection locked="0"/>
    </xf>
  </cellStyleXfs>
  <cellXfs count="514">
    <xf numFmtId="0" fontId="0" fillId="0" borderId="0" xfId="0"/>
    <xf numFmtId="3" fontId="7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vertical="center"/>
    </xf>
    <xf numFmtId="3" fontId="5" fillId="0" borderId="7" xfId="0" applyNumberFormat="1" applyFont="1" applyFill="1" applyBorder="1" applyAlignment="1">
      <alignment horizontal="center" vertical="center"/>
    </xf>
    <xf numFmtId="3" fontId="6" fillId="0" borderId="5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9" xfId="0" applyNumberFormat="1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vertical="center"/>
    </xf>
    <xf numFmtId="3" fontId="5" fillId="0" borderId="12" xfId="0" applyNumberFormat="1" applyFont="1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vertical="center"/>
    </xf>
    <xf numFmtId="3" fontId="5" fillId="0" borderId="14" xfId="0" applyNumberFormat="1" applyFont="1" applyFill="1" applyBorder="1" applyAlignment="1">
      <alignment horizontal="center" vertical="center"/>
    </xf>
    <xf numFmtId="3" fontId="5" fillId="0" borderId="15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6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7" xfId="0" applyBorder="1" applyAlignment="1">
      <alignment horizontal="center" vertical="center"/>
    </xf>
    <xf numFmtId="177" fontId="1" fillId="0" borderId="5" xfId="0" applyNumberFormat="1" applyFont="1" applyFill="1" applyBorder="1" applyAlignment="1">
      <alignment vertical="center"/>
    </xf>
    <xf numFmtId="177" fontId="5" fillId="0" borderId="4" xfId="0" applyNumberFormat="1" applyFont="1" applyFill="1" applyBorder="1" applyAlignment="1">
      <alignment vertical="center"/>
    </xf>
    <xf numFmtId="177" fontId="5" fillId="0" borderId="5" xfId="0" applyNumberFormat="1" applyFont="1" applyFill="1" applyBorder="1" applyAlignment="1">
      <alignment vertical="center"/>
    </xf>
    <xf numFmtId="3" fontId="5" fillId="0" borderId="18" xfId="0" applyNumberFormat="1" applyFont="1" applyFill="1" applyBorder="1" applyAlignment="1">
      <alignment horizontal="center" vertical="center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20" xfId="0" applyNumberFormat="1" applyFont="1" applyFill="1" applyBorder="1" applyAlignment="1">
      <alignment horizontal="center" vertical="center"/>
    </xf>
    <xf numFmtId="3" fontId="5" fillId="0" borderId="21" xfId="0" applyNumberFormat="1" applyFont="1" applyFill="1" applyBorder="1" applyAlignment="1">
      <alignment horizontal="center" vertical="center"/>
    </xf>
    <xf numFmtId="178" fontId="0" fillId="0" borderId="22" xfId="0" applyNumberFormat="1" applyBorder="1" applyAlignment="1">
      <alignment vertical="center"/>
    </xf>
    <xf numFmtId="0" fontId="0" fillId="0" borderId="23" xfId="0" applyBorder="1" applyAlignment="1">
      <alignment horizontal="center" vertical="center"/>
    </xf>
    <xf numFmtId="177" fontId="9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7" fontId="5" fillId="0" borderId="20" xfId="0" applyNumberFormat="1" applyFont="1" applyFill="1" applyBorder="1" applyAlignment="1">
      <alignment horizontal="center" vertical="center"/>
    </xf>
    <xf numFmtId="177" fontId="5" fillId="0" borderId="18" xfId="0" applyNumberFormat="1" applyFont="1" applyFill="1" applyBorder="1" applyAlignment="1">
      <alignment vertical="center"/>
    </xf>
    <xf numFmtId="177" fontId="4" fillId="0" borderId="5" xfId="0" applyNumberFormat="1" applyFont="1" applyFill="1" applyBorder="1" applyAlignment="1">
      <alignment vertical="center"/>
    </xf>
    <xf numFmtId="177" fontId="4" fillId="0" borderId="24" xfId="0" applyNumberFormat="1" applyFont="1" applyFill="1" applyBorder="1" applyAlignment="1">
      <alignment vertical="center"/>
    </xf>
    <xf numFmtId="177" fontId="4" fillId="0" borderId="4" xfId="0" applyNumberFormat="1" applyFont="1" applyFill="1" applyBorder="1" applyAlignment="1">
      <alignment vertical="center"/>
    </xf>
    <xf numFmtId="177" fontId="4" fillId="0" borderId="25" xfId="0" applyNumberFormat="1" applyFont="1" applyFill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8" fontId="0" fillId="0" borderId="28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7" xfId="0" applyNumberFormat="1" applyBorder="1" applyAlignment="1">
      <alignment vertical="center"/>
    </xf>
    <xf numFmtId="177" fontId="4" fillId="0" borderId="29" xfId="0" applyNumberFormat="1" applyFont="1" applyFill="1" applyBorder="1" applyAlignment="1">
      <alignment vertical="center"/>
    </xf>
    <xf numFmtId="3" fontId="5" fillId="0" borderId="30" xfId="0" applyNumberFormat="1" applyFont="1" applyFill="1" applyBorder="1" applyAlignment="1">
      <alignment vertical="center"/>
    </xf>
    <xf numFmtId="3" fontId="5" fillId="0" borderId="31" xfId="0" applyNumberFormat="1" applyFont="1" applyFill="1" applyBorder="1" applyAlignment="1">
      <alignment horizontal="left" vertical="center"/>
    </xf>
    <xf numFmtId="177" fontId="4" fillId="0" borderId="32" xfId="0" applyNumberFormat="1" applyFont="1" applyFill="1" applyBorder="1" applyAlignment="1">
      <alignment vertical="center"/>
    </xf>
    <xf numFmtId="0" fontId="0" fillId="0" borderId="33" xfId="0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Fill="1" applyAlignment="1">
      <alignment vertical="center"/>
    </xf>
    <xf numFmtId="178" fontId="11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4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177" fontId="5" fillId="0" borderId="3" xfId="0" applyNumberFormat="1" applyFont="1" applyFill="1" applyBorder="1" applyAlignment="1">
      <alignment horizontal="center" vertical="center"/>
    </xf>
    <xf numFmtId="3" fontId="5" fillId="0" borderId="41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4" fontId="6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3" fontId="5" fillId="0" borderId="42" xfId="0" applyNumberFormat="1" applyFont="1" applyFill="1" applyBorder="1" applyAlignment="1">
      <alignment vertical="center"/>
    </xf>
    <xf numFmtId="3" fontId="5" fillId="0" borderId="43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177" fontId="5" fillId="0" borderId="18" xfId="0" applyNumberFormat="1" applyFont="1" applyFill="1" applyBorder="1" applyAlignment="1">
      <alignment horizontal="right" vertical="center"/>
    </xf>
    <xf numFmtId="177" fontId="5" fillId="0" borderId="5" xfId="11" applyNumberFormat="1" applyFont="1" applyFill="1" applyBorder="1" applyAlignment="1">
      <alignment horizontal="right" vertical="center"/>
    </xf>
    <xf numFmtId="177" fontId="5" fillId="0" borderId="5" xfId="0" applyNumberFormat="1" applyFont="1" applyFill="1" applyBorder="1" applyAlignment="1">
      <alignment horizontal="right" vertical="center"/>
    </xf>
    <xf numFmtId="0" fontId="0" fillId="0" borderId="45" xfId="0" applyBorder="1" applyAlignment="1">
      <alignment vertical="center"/>
    </xf>
    <xf numFmtId="0" fontId="0" fillId="0" borderId="45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6" xfId="0" applyBorder="1" applyAlignment="1">
      <alignment vertical="center"/>
    </xf>
    <xf numFmtId="178" fontId="0" fillId="0" borderId="47" xfId="0" applyNumberFormat="1" applyBorder="1" applyAlignment="1">
      <alignment vertical="center"/>
    </xf>
    <xf numFmtId="178" fontId="0" fillId="0" borderId="17" xfId="0" applyNumberForma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178" fontId="0" fillId="0" borderId="50" xfId="0" applyNumberFormat="1" applyBorder="1" applyAlignment="1">
      <alignment vertical="center"/>
    </xf>
    <xf numFmtId="178" fontId="0" fillId="0" borderId="51" xfId="0" applyNumberFormat="1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53" xfId="0" applyFill="1" applyBorder="1" applyAlignment="1">
      <alignment vertical="center"/>
    </xf>
    <xf numFmtId="0" fontId="0" fillId="0" borderId="54" xfId="0" applyFill="1" applyBorder="1" applyAlignment="1">
      <alignment vertical="center"/>
    </xf>
    <xf numFmtId="3" fontId="5" fillId="0" borderId="55" xfId="0" applyNumberFormat="1" applyFont="1" applyFill="1" applyBorder="1" applyAlignment="1">
      <alignment vertical="center"/>
    </xf>
    <xf numFmtId="177" fontId="4" fillId="0" borderId="18" xfId="0" applyNumberFormat="1" applyFont="1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178" fontId="0" fillId="2" borderId="40" xfId="0" applyNumberFormat="1" applyFill="1" applyBorder="1" applyAlignment="1">
      <alignment vertical="center"/>
    </xf>
    <xf numFmtId="0" fontId="0" fillId="2" borderId="38" xfId="0" applyFill="1" applyBorder="1" applyAlignment="1">
      <alignment vertical="center"/>
    </xf>
    <xf numFmtId="178" fontId="0" fillId="2" borderId="38" xfId="0" applyNumberFormat="1" applyFill="1" applyBorder="1" applyAlignment="1">
      <alignment vertical="center"/>
    </xf>
    <xf numFmtId="178" fontId="0" fillId="2" borderId="16" xfId="0" applyNumberFormat="1" applyFill="1" applyBorder="1" applyAlignment="1">
      <alignment vertical="center"/>
    </xf>
    <xf numFmtId="0" fontId="0" fillId="2" borderId="56" xfId="0" applyFill="1" applyBorder="1" applyAlignment="1">
      <alignment vertical="center"/>
    </xf>
    <xf numFmtId="178" fontId="0" fillId="2" borderId="56" xfId="0" applyNumberFormat="1" applyFill="1" applyBorder="1" applyAlignment="1">
      <alignment vertical="center"/>
    </xf>
    <xf numFmtId="178" fontId="0" fillId="0" borderId="55" xfId="0" applyNumberFormat="1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5" fillId="0" borderId="57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60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51" xfId="0" applyBorder="1" applyAlignment="1">
      <alignment vertical="center"/>
    </xf>
    <xf numFmtId="179" fontId="17" fillId="0" borderId="61" xfId="0" applyNumberFormat="1" applyFont="1" applyFill="1" applyBorder="1" applyAlignment="1">
      <alignment horizontal="center" vertical="center"/>
    </xf>
    <xf numFmtId="41" fontId="15" fillId="0" borderId="0" xfId="14" applyFont="1" applyAlignment="1">
      <alignment vertical="center"/>
    </xf>
    <xf numFmtId="0" fontId="0" fillId="0" borderId="16" xfId="0" applyBorder="1" applyAlignment="1">
      <alignment horizontal="right" vertical="center"/>
    </xf>
    <xf numFmtId="179" fontId="12" fillId="2" borderId="61" xfId="0" applyNumberFormat="1" applyFont="1" applyFill="1" applyBorder="1" applyAlignment="1">
      <alignment vertical="center"/>
    </xf>
    <xf numFmtId="176" fontId="0" fillId="0" borderId="22" xfId="0" applyNumberFormat="1" applyBorder="1" applyAlignment="1">
      <alignment vertical="center"/>
    </xf>
    <xf numFmtId="177" fontId="4" fillId="3" borderId="62" xfId="0" applyNumberFormat="1" applyFont="1" applyFill="1" applyBorder="1" applyAlignment="1">
      <alignment vertical="center"/>
    </xf>
    <xf numFmtId="178" fontId="0" fillId="0" borderId="63" xfId="0" applyNumberFormat="1" applyBorder="1" applyAlignment="1">
      <alignment horizontal="center" vertical="center"/>
    </xf>
    <xf numFmtId="178" fontId="0" fillId="0" borderId="63" xfId="0" applyNumberFormat="1" applyFill="1" applyBorder="1" applyAlignment="1">
      <alignment horizontal="left" vertical="center"/>
    </xf>
    <xf numFmtId="178" fontId="1" fillId="0" borderId="64" xfId="0" applyNumberFormat="1" applyFont="1" applyFill="1" applyBorder="1" applyAlignment="1">
      <alignment vertical="center"/>
    </xf>
    <xf numFmtId="178" fontId="0" fillId="0" borderId="65" xfId="0" applyNumberFormat="1" applyFill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67" xfId="0" applyNumberFormat="1" applyBorder="1" applyAlignment="1">
      <alignment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7" xfId="0" applyNumberFormat="1" applyFill="1" applyBorder="1" applyAlignment="1">
      <alignment horizontal="left" vertical="center"/>
    </xf>
    <xf numFmtId="178" fontId="1" fillId="0" borderId="5" xfId="0" applyNumberFormat="1" applyFont="1" applyFill="1" applyBorder="1" applyAlignment="1">
      <alignment vertical="center"/>
    </xf>
    <xf numFmtId="178" fontId="0" fillId="0" borderId="68" xfId="0" applyNumberFormat="1" applyFill="1" applyBorder="1" applyAlignment="1">
      <alignment vertical="center"/>
    </xf>
    <xf numFmtId="178" fontId="0" fillId="0" borderId="69" xfId="0" applyNumberFormat="1" applyBorder="1" applyAlignment="1">
      <alignment vertical="center"/>
    </xf>
    <xf numFmtId="178" fontId="0" fillId="0" borderId="37" xfId="0" applyNumberFormat="1" applyFill="1" applyBorder="1" applyAlignment="1">
      <alignment horizontal="center" vertical="center"/>
    </xf>
    <xf numFmtId="178" fontId="0" fillId="0" borderId="69" xfId="0" applyNumberFormat="1" applyFill="1" applyBorder="1" applyAlignment="1">
      <alignment vertical="center"/>
    </xf>
    <xf numFmtId="178" fontId="0" fillId="0" borderId="47" xfId="0" applyNumberFormat="1" applyFill="1" applyBorder="1" applyAlignment="1">
      <alignment vertical="center"/>
    </xf>
    <xf numFmtId="178" fontId="0" fillId="0" borderId="38" xfId="0" applyNumberFormat="1" applyFill="1" applyBorder="1" applyAlignment="1">
      <alignment horizontal="center" vertical="center"/>
    </xf>
    <xf numFmtId="178" fontId="0" fillId="0" borderId="38" xfId="0" applyNumberFormat="1" applyFill="1" applyBorder="1" applyAlignment="1">
      <alignment horizontal="left" vertical="center"/>
    </xf>
    <xf numFmtId="178" fontId="1" fillId="0" borderId="24" xfId="0" applyNumberFormat="1" applyFont="1" applyFill="1" applyBorder="1" applyAlignment="1">
      <alignment vertical="center"/>
    </xf>
    <xf numFmtId="178" fontId="0" fillId="0" borderId="70" xfId="0" applyNumberFormat="1" applyFill="1" applyBorder="1" applyAlignment="1">
      <alignment vertical="center"/>
    </xf>
    <xf numFmtId="178" fontId="0" fillId="0" borderId="71" xfId="0" applyNumberFormat="1" applyFill="1" applyBorder="1" applyAlignment="1">
      <alignment vertical="center"/>
    </xf>
    <xf numFmtId="178" fontId="0" fillId="0" borderId="51" xfId="0" applyNumberFormat="1" applyFill="1" applyBorder="1" applyAlignment="1">
      <alignment vertical="center"/>
    </xf>
    <xf numFmtId="0" fontId="1" fillId="0" borderId="53" xfId="0" applyFont="1" applyBorder="1" applyAlignment="1">
      <alignment vertical="center"/>
    </xf>
    <xf numFmtId="3" fontId="12" fillId="0" borderId="0" xfId="0" applyNumberFormat="1" applyFont="1" applyFill="1" applyAlignment="1">
      <alignment vertical="center"/>
    </xf>
    <xf numFmtId="3" fontId="3" fillId="0" borderId="5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18" xfId="0" applyNumberFormat="1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10" fontId="5" fillId="0" borderId="0" xfId="1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6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78" fontId="1" fillId="0" borderId="73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74" xfId="0" applyFont="1" applyFill="1" applyBorder="1" applyAlignment="1">
      <alignment horizontal="center" vertical="center"/>
    </xf>
    <xf numFmtId="178" fontId="1" fillId="0" borderId="75" xfId="0" applyNumberFormat="1" applyFont="1" applyFill="1" applyBorder="1" applyAlignment="1">
      <alignment horizontal="right" vertical="center"/>
    </xf>
    <xf numFmtId="0" fontId="1" fillId="0" borderId="74" xfId="0" applyFont="1" applyFill="1" applyBorder="1" applyAlignment="1">
      <alignment vertical="center"/>
    </xf>
    <xf numFmtId="0" fontId="1" fillId="0" borderId="37" xfId="0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right" vertical="center"/>
    </xf>
    <xf numFmtId="0" fontId="1" fillId="0" borderId="37" xfId="0" applyFont="1" applyFill="1" applyBorder="1" applyAlignment="1">
      <alignment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178" fontId="1" fillId="0" borderId="24" xfId="0" applyNumberFormat="1" applyFont="1" applyFill="1" applyBorder="1" applyAlignment="1">
      <alignment horizontal="right" vertical="center"/>
    </xf>
    <xf numFmtId="0" fontId="1" fillId="0" borderId="38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52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178" fontId="1" fillId="0" borderId="76" xfId="0" applyNumberFormat="1" applyFont="1" applyBorder="1" applyAlignment="1">
      <alignment vertical="center"/>
    </xf>
    <xf numFmtId="178" fontId="1" fillId="0" borderId="77" xfId="0" applyNumberFormat="1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178" fontId="1" fillId="0" borderId="0" xfId="0" applyNumberFormat="1" applyFont="1" applyAlignment="1">
      <alignment vertical="center"/>
    </xf>
    <xf numFmtId="0" fontId="5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0" fillId="0" borderId="78" xfId="0" applyFill="1" applyBorder="1" applyAlignment="1">
      <alignment vertical="center"/>
    </xf>
    <xf numFmtId="0" fontId="0" fillId="0" borderId="79" xfId="0" applyFill="1" applyBorder="1" applyAlignment="1">
      <alignment vertical="center"/>
    </xf>
    <xf numFmtId="178" fontId="1" fillId="0" borderId="80" xfId="0" applyNumberFormat="1" applyFont="1" applyFill="1" applyBorder="1" applyAlignment="1">
      <alignment horizontal="right" vertical="center"/>
    </xf>
    <xf numFmtId="178" fontId="1" fillId="0" borderId="47" xfId="0" applyNumberFormat="1" applyFont="1" applyFill="1" applyBorder="1" applyAlignment="1">
      <alignment horizontal="right" vertical="center"/>
    </xf>
    <xf numFmtId="178" fontId="1" fillId="0" borderId="51" xfId="0" applyNumberFormat="1" applyFont="1" applyFill="1" applyBorder="1" applyAlignment="1">
      <alignment horizontal="right" vertical="center"/>
    </xf>
    <xf numFmtId="178" fontId="4" fillId="3" borderId="28" xfId="0" applyNumberFormat="1" applyFont="1" applyFill="1" applyBorder="1" applyAlignment="1">
      <alignment vertical="center"/>
    </xf>
    <xf numFmtId="0" fontId="1" fillId="0" borderId="8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178" fontId="1" fillId="0" borderId="82" xfId="0" applyNumberFormat="1" applyFont="1" applyFill="1" applyBorder="1" applyAlignment="1">
      <alignment horizontal="right" vertical="center"/>
    </xf>
    <xf numFmtId="178" fontId="1" fillId="0" borderId="14" xfId="0" applyNumberFormat="1" applyFont="1" applyFill="1" applyBorder="1" applyAlignment="1">
      <alignment horizontal="right" vertical="center"/>
    </xf>
    <xf numFmtId="178" fontId="1" fillId="0" borderId="83" xfId="0" applyNumberFormat="1" applyFont="1" applyFill="1" applyBorder="1" applyAlignment="1">
      <alignment horizontal="right" vertical="center"/>
    </xf>
    <xf numFmtId="0" fontId="0" fillId="0" borderId="78" xfId="0" applyBorder="1" applyAlignment="1">
      <alignment horizontal="center" vertical="center"/>
    </xf>
    <xf numFmtId="0" fontId="0" fillId="0" borderId="78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178" fontId="1" fillId="0" borderId="89" xfId="0" applyNumberFormat="1" applyFont="1" applyFill="1" applyBorder="1" applyAlignment="1">
      <alignment vertical="center"/>
    </xf>
    <xf numFmtId="178" fontId="1" fillId="0" borderId="7" xfId="0" applyNumberFormat="1" applyFont="1" applyFill="1" applyBorder="1" applyAlignment="1">
      <alignment vertical="center"/>
    </xf>
    <xf numFmtId="178" fontId="1" fillId="0" borderId="9" xfId="0" applyNumberFormat="1" applyFont="1" applyFill="1" applyBorder="1" applyAlignment="1">
      <alignment vertical="center"/>
    </xf>
    <xf numFmtId="178" fontId="3" fillId="0" borderId="39" xfId="0" applyNumberFormat="1" applyFont="1" applyBorder="1" applyAlignment="1">
      <alignment horizontal="center" vertical="center"/>
    </xf>
    <xf numFmtId="178" fontId="3" fillId="0" borderId="61" xfId="0" applyNumberFormat="1" applyFont="1" applyBorder="1" applyAlignment="1">
      <alignment horizontal="center" vertical="center"/>
    </xf>
    <xf numFmtId="178" fontId="3" fillId="0" borderId="48" xfId="0" applyNumberFormat="1" applyFont="1" applyBorder="1" applyAlignment="1">
      <alignment horizontal="center" vertical="center"/>
    </xf>
    <xf numFmtId="9" fontId="3" fillId="0" borderId="79" xfId="11" applyFont="1" applyBorder="1" applyAlignment="1">
      <alignment vertical="center"/>
    </xf>
    <xf numFmtId="9" fontId="3" fillId="0" borderId="90" xfId="11" applyFont="1" applyBorder="1" applyAlignment="1">
      <alignment vertical="center"/>
    </xf>
    <xf numFmtId="9" fontId="3" fillId="0" borderId="79" xfId="11" applyFont="1" applyFill="1" applyBorder="1" applyAlignment="1">
      <alignment vertical="center"/>
    </xf>
    <xf numFmtId="9" fontId="3" fillId="0" borderId="91" xfId="11" applyFont="1" applyBorder="1" applyAlignment="1">
      <alignment vertical="center"/>
    </xf>
    <xf numFmtId="9" fontId="3" fillId="0" borderId="92" xfId="11" applyFont="1" applyBorder="1" applyAlignment="1">
      <alignment vertical="center"/>
    </xf>
    <xf numFmtId="178" fontId="3" fillId="0" borderId="48" xfId="0" applyNumberFormat="1" applyFont="1" applyBorder="1" applyAlignment="1">
      <alignment vertical="center"/>
    </xf>
    <xf numFmtId="178" fontId="3" fillId="0" borderId="0" xfId="0" applyNumberFormat="1" applyFont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78" fontId="27" fillId="0" borderId="93" xfId="0" applyNumberFormat="1" applyFont="1" applyFill="1" applyBorder="1" applyAlignment="1">
      <alignment vertical="center"/>
    </xf>
    <xf numFmtId="178" fontId="27" fillId="0" borderId="64" xfId="0" applyNumberFormat="1" applyFont="1" applyFill="1" applyBorder="1" applyAlignment="1">
      <alignment vertical="center"/>
    </xf>
    <xf numFmtId="178" fontId="27" fillId="0" borderId="94" xfId="0" applyNumberFormat="1" applyFont="1" applyFill="1" applyBorder="1" applyAlignment="1">
      <alignment vertical="center"/>
    </xf>
    <xf numFmtId="178" fontId="27" fillId="0" borderId="14" xfId="0" applyNumberFormat="1" applyFont="1" applyFill="1" applyBorder="1" applyAlignment="1">
      <alignment vertical="center"/>
    </xf>
    <xf numFmtId="178" fontId="27" fillId="0" borderId="5" xfId="0" applyNumberFormat="1" applyFont="1" applyFill="1" applyBorder="1" applyAlignment="1">
      <alignment vertical="center"/>
    </xf>
    <xf numFmtId="178" fontId="27" fillId="0" borderId="6" xfId="0" applyNumberFormat="1" applyFont="1" applyFill="1" applyBorder="1" applyAlignment="1">
      <alignment vertical="center"/>
    </xf>
    <xf numFmtId="178" fontId="27" fillId="0" borderId="83" xfId="0" applyNumberFormat="1" applyFont="1" applyFill="1" applyBorder="1" applyAlignment="1">
      <alignment vertical="center"/>
    </xf>
    <xf numFmtId="178" fontId="27" fillId="0" borderId="24" xfId="0" applyNumberFormat="1" applyFont="1" applyFill="1" applyBorder="1" applyAlignment="1">
      <alignment vertical="center"/>
    </xf>
    <xf numFmtId="178" fontId="27" fillId="0" borderId="10" xfId="0" applyNumberFormat="1" applyFont="1" applyFill="1" applyBorder="1" applyAlignment="1">
      <alignment vertical="center"/>
    </xf>
    <xf numFmtId="178" fontId="27" fillId="0" borderId="2" xfId="0" applyNumberFormat="1" applyFont="1" applyBorder="1" applyAlignment="1">
      <alignment vertical="center"/>
    </xf>
    <xf numFmtId="178" fontId="27" fillId="0" borderId="3" xfId="0" applyNumberFormat="1" applyFont="1" applyBorder="1" applyAlignment="1">
      <alignment vertical="center"/>
    </xf>
    <xf numFmtId="178" fontId="27" fillId="0" borderId="41" xfId="0" applyNumberFormat="1" applyFont="1" applyBorder="1" applyAlignment="1">
      <alignment vertical="center"/>
    </xf>
    <xf numFmtId="9" fontId="28" fillId="0" borderId="95" xfId="11" applyFont="1" applyBorder="1" applyAlignment="1">
      <alignment vertical="center"/>
    </xf>
    <xf numFmtId="9" fontId="28" fillId="0" borderId="79" xfId="11" applyFont="1" applyBorder="1" applyAlignment="1">
      <alignment vertical="center"/>
    </xf>
    <xf numFmtId="9" fontId="28" fillId="0" borderId="96" xfId="11" applyFont="1" applyBorder="1" applyAlignment="1">
      <alignment vertical="center"/>
    </xf>
    <xf numFmtId="178" fontId="0" fillId="0" borderId="63" xfId="0" applyNumberFormat="1" applyFill="1" applyBorder="1" applyAlignment="1">
      <alignment horizontal="center" vertical="center"/>
    </xf>
    <xf numFmtId="178" fontId="4" fillId="0" borderId="97" xfId="0" applyNumberFormat="1" applyFont="1" applyBorder="1" applyAlignment="1">
      <alignment vertical="center"/>
    </xf>
    <xf numFmtId="178" fontId="4" fillId="0" borderId="3" xfId="0" applyNumberFormat="1" applyFont="1" applyFill="1" applyBorder="1" applyAlignment="1">
      <alignment vertical="center"/>
    </xf>
    <xf numFmtId="178" fontId="4" fillId="0" borderId="3" xfId="0" applyNumberFormat="1" applyFont="1" applyBorder="1" applyAlignment="1">
      <alignment vertical="center"/>
    </xf>
    <xf numFmtId="178" fontId="4" fillId="0" borderId="58" xfId="0" applyNumberFormat="1" applyFont="1" applyBorder="1" applyAlignment="1">
      <alignment vertical="center"/>
    </xf>
    <xf numFmtId="178" fontId="4" fillId="0" borderId="98" xfId="0" applyNumberFormat="1" applyFont="1" applyBorder="1" applyAlignment="1">
      <alignment vertical="center"/>
    </xf>
    <xf numFmtId="3" fontId="0" fillId="4" borderId="5" xfId="0" applyNumberForma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vertical="center"/>
    </xf>
    <xf numFmtId="177" fontId="5" fillId="4" borderId="18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2" borderId="99" xfId="0" applyFill="1" applyBorder="1" applyAlignment="1">
      <alignment vertical="center"/>
    </xf>
    <xf numFmtId="178" fontId="0" fillId="2" borderId="99" xfId="0" applyNumberFormat="1" applyFill="1" applyBorder="1" applyAlignment="1">
      <alignment vertical="center"/>
    </xf>
    <xf numFmtId="178" fontId="0" fillId="0" borderId="100" xfId="0" applyNumberFormat="1" applyBorder="1" applyAlignment="1">
      <alignment vertical="center"/>
    </xf>
    <xf numFmtId="0" fontId="0" fillId="0" borderId="99" xfId="0" applyBorder="1" applyAlignment="1">
      <alignment vertical="center"/>
    </xf>
    <xf numFmtId="0" fontId="0" fillId="5" borderId="28" xfId="0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178" fontId="0" fillId="5" borderId="16" xfId="0" applyNumberFormat="1" applyFill="1" applyBorder="1" applyAlignment="1">
      <alignment vertical="center"/>
    </xf>
    <xf numFmtId="178" fontId="0" fillId="5" borderId="28" xfId="0" applyNumberFormat="1" applyFill="1" applyBorder="1" applyAlignment="1">
      <alignment vertical="center"/>
    </xf>
    <xf numFmtId="0" fontId="0" fillId="6" borderId="49" xfId="0" applyFill="1" applyBorder="1" applyAlignment="1">
      <alignment vertical="center"/>
    </xf>
    <xf numFmtId="0" fontId="0" fillId="6" borderId="46" xfId="0" applyFill="1" applyBorder="1" applyAlignment="1">
      <alignment vertical="center"/>
    </xf>
    <xf numFmtId="3" fontId="0" fillId="0" borderId="6" xfId="0" applyNumberFormat="1" applyFill="1" applyBorder="1" applyAlignment="1">
      <alignment vertical="center"/>
    </xf>
    <xf numFmtId="177" fontId="0" fillId="0" borderId="0" xfId="0" applyNumberFormat="1" applyFont="1" applyFill="1" applyAlignment="1">
      <alignment horizontal="left" vertical="center"/>
    </xf>
    <xf numFmtId="177" fontId="0" fillId="0" borderId="5" xfId="0" applyNumberFormat="1" applyFont="1" applyFill="1" applyBorder="1" applyAlignment="1">
      <alignment horizontal="center" vertical="center"/>
    </xf>
    <xf numFmtId="3" fontId="0" fillId="0" borderId="5" xfId="0" applyNumberFormat="1" applyFont="1" applyFill="1" applyBorder="1" applyAlignment="1">
      <alignment vertical="center"/>
    </xf>
    <xf numFmtId="3" fontId="0" fillId="0" borderId="5" xfId="0" applyNumberFormat="1" applyFont="1" applyFill="1" applyBorder="1" applyAlignment="1">
      <alignment horizontal="center" vertical="center"/>
    </xf>
    <xf numFmtId="4" fontId="0" fillId="0" borderId="5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right" vertical="center"/>
    </xf>
    <xf numFmtId="3" fontId="6" fillId="4" borderId="5" xfId="0" applyNumberFormat="1" applyFont="1" applyFill="1" applyBorder="1" applyAlignment="1">
      <alignment horizontal="center" vertical="center"/>
    </xf>
    <xf numFmtId="177" fontId="1" fillId="4" borderId="5" xfId="0" applyNumberFormat="1" applyFont="1" applyFill="1" applyBorder="1" applyAlignment="1">
      <alignment vertical="center"/>
    </xf>
    <xf numFmtId="3" fontId="3" fillId="4" borderId="18" xfId="0" applyNumberFormat="1" applyFont="1" applyFill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vertical="center" wrapText="1"/>
    </xf>
    <xf numFmtId="3" fontId="0" fillId="4" borderId="5" xfId="0" applyNumberFormat="1" applyFont="1" applyFill="1" applyBorder="1" applyAlignment="1">
      <alignment vertical="center"/>
    </xf>
    <xf numFmtId="182" fontId="1" fillId="0" borderId="0" xfId="0" applyNumberFormat="1" applyFont="1" applyAlignment="1">
      <alignment vertical="center"/>
    </xf>
    <xf numFmtId="0" fontId="22" fillId="7" borderId="49" xfId="0" applyFont="1" applyFill="1" applyBorder="1" applyAlignment="1">
      <alignment horizontal="left" vertical="center"/>
    </xf>
    <xf numFmtId="0" fontId="19" fillId="7" borderId="73" xfId="0" applyFont="1" applyFill="1" applyBorder="1" applyAlignment="1">
      <alignment horizontal="left" vertical="center"/>
    </xf>
    <xf numFmtId="0" fontId="4" fillId="7" borderId="26" xfId="0" applyFont="1" applyFill="1" applyBorder="1" applyAlignment="1">
      <alignment vertical="center"/>
    </xf>
    <xf numFmtId="0" fontId="4" fillId="7" borderId="0" xfId="0" applyFont="1" applyFill="1" applyBorder="1" applyAlignment="1">
      <alignment horizontal="left" vertical="center"/>
    </xf>
    <xf numFmtId="0" fontId="4" fillId="7" borderId="86" xfId="0" applyFont="1" applyFill="1" applyBorder="1" applyAlignment="1">
      <alignment horizontal="left" vertical="center"/>
    </xf>
    <xf numFmtId="0" fontId="0" fillId="7" borderId="46" xfId="0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1" fillId="7" borderId="86" xfId="0" applyFont="1" applyFill="1" applyBorder="1" applyAlignment="1">
      <alignment horizontal="left" vertical="center"/>
    </xf>
    <xf numFmtId="0" fontId="0" fillId="7" borderId="46" xfId="0" applyFill="1" applyBorder="1" applyAlignment="1">
      <alignment vertical="center"/>
    </xf>
    <xf numFmtId="0" fontId="24" fillId="7" borderId="46" xfId="0" applyFont="1" applyFill="1" applyBorder="1" applyAlignment="1">
      <alignment horizontal="right" vertical="center"/>
    </xf>
    <xf numFmtId="0" fontId="25" fillId="7" borderId="0" xfId="0" applyFont="1" applyFill="1" applyBorder="1" applyAlignment="1">
      <alignment vertical="center"/>
    </xf>
    <xf numFmtId="0" fontId="24" fillId="7" borderId="86" xfId="0" applyFont="1" applyFill="1" applyBorder="1" applyAlignment="1">
      <alignment horizontal="left" vertical="center"/>
    </xf>
    <xf numFmtId="0" fontId="24" fillId="7" borderId="39" xfId="0" applyFont="1" applyFill="1" applyBorder="1" applyAlignment="1">
      <alignment horizontal="right" vertical="center"/>
    </xf>
    <xf numFmtId="0" fontId="25" fillId="7" borderId="61" xfId="0" applyFont="1" applyFill="1" applyBorder="1" applyAlignment="1">
      <alignment vertical="center"/>
    </xf>
    <xf numFmtId="0" fontId="24" fillId="7" borderId="48" xfId="0" applyFont="1" applyFill="1" applyBorder="1" applyAlignment="1">
      <alignment horizontal="left" vertical="center"/>
    </xf>
    <xf numFmtId="183" fontId="0" fillId="7" borderId="40" xfId="0" applyNumberFormat="1" applyFont="1" applyFill="1" applyBorder="1" applyAlignment="1">
      <alignment horizontal="left" vertical="center"/>
    </xf>
    <xf numFmtId="0" fontId="0" fillId="7" borderId="37" xfId="0" applyFill="1" applyBorder="1" applyAlignment="1">
      <alignment horizontal="left" vertical="center"/>
    </xf>
    <xf numFmtId="31" fontId="0" fillId="7" borderId="37" xfId="0" applyNumberFormat="1" applyFill="1" applyBorder="1" applyAlignment="1">
      <alignment horizontal="left" vertical="center"/>
    </xf>
    <xf numFmtId="0" fontId="1" fillId="7" borderId="37" xfId="0" applyFont="1" applyFill="1" applyBorder="1" applyAlignment="1">
      <alignment horizontal="left" vertical="center"/>
    </xf>
    <xf numFmtId="0" fontId="1" fillId="7" borderId="38" xfId="0" applyFont="1" applyFill="1" applyBorder="1" applyAlignment="1">
      <alignment horizontal="left" vertical="center"/>
    </xf>
    <xf numFmtId="178" fontId="0" fillId="0" borderId="16" xfId="0" applyNumberFormat="1" applyFill="1" applyBorder="1" applyAlignment="1">
      <alignment vertical="center"/>
    </xf>
    <xf numFmtId="178" fontId="0" fillId="0" borderId="40" xfId="0" applyNumberFormat="1" applyFill="1" applyBorder="1" applyAlignment="1">
      <alignment vertical="center"/>
    </xf>
    <xf numFmtId="178" fontId="0" fillId="0" borderId="37" xfId="0" applyNumberFormat="1" applyFill="1" applyBorder="1" applyAlignment="1">
      <alignment vertical="center"/>
    </xf>
    <xf numFmtId="178" fontId="0" fillId="0" borderId="22" xfId="0" applyNumberFormat="1" applyFill="1" applyBorder="1" applyAlignment="1">
      <alignment vertical="center"/>
    </xf>
    <xf numFmtId="0" fontId="0" fillId="7" borderId="37" xfId="0" applyFill="1" applyBorder="1" applyAlignment="1">
      <alignment horizontal="center" vertical="center"/>
    </xf>
    <xf numFmtId="178" fontId="0" fillId="7" borderId="37" xfId="0" applyNumberFormat="1" applyFill="1" applyBorder="1" applyAlignment="1">
      <alignment horizontal="right"/>
    </xf>
    <xf numFmtId="178" fontId="0" fillId="7" borderId="37" xfId="0" applyNumberFormat="1" applyFill="1" applyBorder="1" applyAlignment="1">
      <alignment vertical="center"/>
    </xf>
    <xf numFmtId="41" fontId="0" fillId="7" borderId="37" xfId="0" applyNumberFormat="1" applyFill="1" applyBorder="1" applyAlignment="1">
      <alignment horizontal="right"/>
    </xf>
    <xf numFmtId="178" fontId="0" fillId="7" borderId="56" xfId="0" applyNumberFormat="1" applyFill="1" applyBorder="1" applyAlignment="1">
      <alignment vertical="center"/>
    </xf>
    <xf numFmtId="0" fontId="0" fillId="7" borderId="37" xfId="0" applyFill="1" applyBorder="1" applyAlignment="1">
      <alignment vertical="center"/>
    </xf>
    <xf numFmtId="41" fontId="1" fillId="7" borderId="37" xfId="0" applyNumberFormat="1" applyFont="1" applyFill="1" applyBorder="1" applyAlignment="1">
      <alignment horizontal="right"/>
    </xf>
    <xf numFmtId="0" fontId="0" fillId="2" borderId="99" xfId="0" applyFill="1" applyBorder="1" applyAlignment="1">
      <alignment horizontal="center" vertical="center"/>
    </xf>
    <xf numFmtId="178" fontId="0" fillId="2" borderId="99" xfId="0" applyNumberFormat="1" applyFill="1" applyBorder="1" applyAlignment="1">
      <alignment horizontal="center" vertical="center"/>
    </xf>
    <xf numFmtId="0" fontId="0" fillId="7" borderId="56" xfId="0" applyFill="1" applyBorder="1" applyAlignment="1">
      <alignment vertical="center"/>
    </xf>
    <xf numFmtId="0" fontId="0" fillId="7" borderId="56" xfId="0" applyFill="1" applyBorder="1" applyAlignment="1">
      <alignment horizontal="center" vertical="center"/>
    </xf>
    <xf numFmtId="178" fontId="0" fillId="7" borderId="56" xfId="0" applyNumberFormat="1" applyFill="1" applyBorder="1" applyAlignment="1">
      <alignment horizontal="center" vertical="center"/>
    </xf>
    <xf numFmtId="184" fontId="1" fillId="7" borderId="37" xfId="0" applyNumberFormat="1" applyFont="1" applyFill="1" applyBorder="1" applyAlignment="1">
      <alignment horizontal="center" vertical="center"/>
    </xf>
    <xf numFmtId="185" fontId="1" fillId="7" borderId="37" xfId="0" applyNumberFormat="1" applyFont="1" applyFill="1" applyBorder="1" applyAlignment="1">
      <alignment vertical="center"/>
    </xf>
    <xf numFmtId="0" fontId="0" fillId="2" borderId="38" xfId="0" applyFill="1" applyBorder="1" applyAlignment="1">
      <alignment horizontal="center" vertical="center"/>
    </xf>
    <xf numFmtId="178" fontId="0" fillId="7" borderId="38" xfId="0" applyNumberFormat="1" applyFill="1" applyBorder="1" applyAlignment="1">
      <alignment horizontal="center" vertical="center"/>
    </xf>
    <xf numFmtId="178" fontId="0" fillId="7" borderId="16" xfId="0" applyNumberFormat="1" applyFill="1" applyBorder="1" applyAlignment="1">
      <alignment horizontal="center" vertical="center"/>
    </xf>
    <xf numFmtId="178" fontId="0" fillId="7" borderId="37" xfId="0" applyNumberFormat="1" applyFill="1" applyBorder="1" applyAlignment="1">
      <alignment horizontal="center" vertical="center"/>
    </xf>
    <xf numFmtId="178" fontId="0" fillId="7" borderId="38" xfId="0" applyNumberFormat="1" applyFill="1" applyBorder="1" applyAlignment="1">
      <alignment horizontal="right" vertical="center"/>
    </xf>
    <xf numFmtId="0" fontId="0" fillId="7" borderId="37" xfId="0" applyFont="1" applyFill="1" applyBorder="1" applyAlignment="1">
      <alignment vertical="center"/>
    </xf>
    <xf numFmtId="0" fontId="0" fillId="2" borderId="40" xfId="0" applyFill="1" applyBorder="1" applyAlignment="1">
      <alignment horizontal="center" vertical="center"/>
    </xf>
    <xf numFmtId="178" fontId="0" fillId="2" borderId="40" xfId="0" applyNumberForma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78" fontId="0" fillId="5" borderId="16" xfId="0" applyNumberFormat="1" applyFill="1" applyBorder="1" applyAlignment="1">
      <alignment horizontal="center" vertical="center"/>
    </xf>
    <xf numFmtId="178" fontId="0" fillId="0" borderId="22" xfId="0" applyNumberFormat="1" applyBorder="1" applyAlignment="1">
      <alignment horizontal="center" vertical="center"/>
    </xf>
    <xf numFmtId="178" fontId="39" fillId="2" borderId="37" xfId="33" applyNumberFormat="1" applyFill="1" applyBorder="1" applyAlignment="1">
      <alignment horizontal="center" vertical="center"/>
    </xf>
    <xf numFmtId="178" fontId="39" fillId="2" borderId="37" xfId="33" applyNumberFormat="1" applyFill="1" applyBorder="1" applyAlignment="1">
      <alignment vertical="center"/>
    </xf>
    <xf numFmtId="178" fontId="39" fillId="2" borderId="56" xfId="33" applyNumberFormat="1" applyFill="1" applyBorder="1" applyAlignment="1">
      <alignment horizontal="center" vertical="center"/>
    </xf>
    <xf numFmtId="178" fontId="39" fillId="2" borderId="56" xfId="33" applyNumberFormat="1" applyFill="1" applyBorder="1" applyAlignment="1">
      <alignment vertical="center"/>
    </xf>
    <xf numFmtId="0" fontId="40" fillId="2" borderId="56" xfId="0" applyFont="1" applyFill="1" applyBorder="1" applyAlignment="1">
      <alignment vertical="center" shrinkToFit="1"/>
    </xf>
    <xf numFmtId="0" fontId="40" fillId="2" borderId="37" xfId="0" applyFont="1" applyFill="1" applyBorder="1" applyAlignment="1">
      <alignment vertical="center" shrinkToFit="1"/>
    </xf>
    <xf numFmtId="0" fontId="0" fillId="2" borderId="37" xfId="0" applyFill="1" applyBorder="1" applyAlignment="1">
      <alignment vertical="center" shrinkToFit="1"/>
    </xf>
    <xf numFmtId="178" fontId="40" fillId="2" borderId="37" xfId="0" applyNumberFormat="1" applyFont="1" applyFill="1" applyBorder="1" applyAlignment="1">
      <alignment horizontal="center" vertical="center"/>
    </xf>
    <xf numFmtId="0" fontId="40" fillId="2" borderId="37" xfId="0" applyFont="1" applyFill="1" applyBorder="1" applyAlignment="1">
      <alignment vertical="center"/>
    </xf>
    <xf numFmtId="178" fontId="40" fillId="2" borderId="37" xfId="0" applyNumberFormat="1" applyFont="1" applyFill="1" applyBorder="1" applyAlignment="1">
      <alignment vertical="center"/>
    </xf>
    <xf numFmtId="0" fontId="40" fillId="2" borderId="99" xfId="0" applyFont="1" applyFill="1" applyBorder="1" applyAlignment="1">
      <alignment vertical="center"/>
    </xf>
    <xf numFmtId="0" fontId="40" fillId="2" borderId="99" xfId="0" applyFont="1" applyFill="1" applyBorder="1" applyAlignment="1">
      <alignment vertical="center" shrinkToFit="1"/>
    </xf>
    <xf numFmtId="178" fontId="40" fillId="2" borderId="99" xfId="0" applyNumberFormat="1" applyFont="1" applyFill="1" applyBorder="1" applyAlignment="1">
      <alignment horizontal="center" vertical="center"/>
    </xf>
    <xf numFmtId="0" fontId="0" fillId="7" borderId="46" xfId="0" applyFont="1" applyFill="1" applyBorder="1" applyAlignment="1">
      <alignment horizontal="left" vertical="center"/>
    </xf>
    <xf numFmtId="0" fontId="0" fillId="7" borderId="46" xfId="0" applyFont="1" applyFill="1" applyBorder="1" applyAlignment="1">
      <alignment vertical="center"/>
    </xf>
    <xf numFmtId="3" fontId="0" fillId="0" borderId="0" xfId="0" applyNumberFormat="1" applyFont="1" applyFill="1" applyAlignment="1">
      <alignment vertical="center"/>
    </xf>
    <xf numFmtId="187" fontId="31" fillId="7" borderId="37" xfId="14" applyNumberFormat="1" applyFont="1" applyFill="1" applyBorder="1" applyAlignment="1">
      <alignment horizontal="right" vertical="center"/>
    </xf>
    <xf numFmtId="187" fontId="31" fillId="7" borderId="36" xfId="14" applyNumberFormat="1" applyFont="1" applyFill="1" applyBorder="1" applyAlignment="1">
      <alignment vertical="center"/>
    </xf>
    <xf numFmtId="187" fontId="31" fillId="7" borderId="22" xfId="14" applyNumberFormat="1" applyFont="1" applyFill="1" applyBorder="1" applyAlignment="1">
      <alignment vertical="center"/>
    </xf>
    <xf numFmtId="178" fontId="0" fillId="0" borderId="10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178" fontId="0" fillId="0" borderId="40" xfId="0" applyNumberForma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40" fillId="2" borderId="37" xfId="0" applyFont="1" applyFill="1" applyBorder="1" applyAlignment="1">
      <alignment vertical="center" wrapText="1" shrinkToFit="1"/>
    </xf>
    <xf numFmtId="0" fontId="0" fillId="2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178" fontId="0" fillId="2" borderId="36" xfId="0" applyNumberFormat="1" applyFill="1" applyBorder="1" applyAlignment="1">
      <alignment vertical="center"/>
    </xf>
    <xf numFmtId="0" fontId="0" fillId="5" borderId="0" xfId="0" applyFill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73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7" borderId="4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6" xfId="0" applyFont="1" applyFill="1" applyBorder="1" applyAlignment="1">
      <alignment vertical="center"/>
    </xf>
    <xf numFmtId="178" fontId="1" fillId="0" borderId="27" xfId="0" applyNumberFormat="1" applyFont="1" applyBorder="1" applyAlignment="1">
      <alignment horizontal="center" vertical="center" wrapText="1"/>
    </xf>
    <xf numFmtId="178" fontId="1" fillId="0" borderId="28" xfId="0" applyNumberFormat="1" applyFont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" fillId="0" borderId="54" xfId="0" applyFont="1" applyFill="1" applyBorder="1" applyAlignment="1">
      <alignment horizontal="left" vertical="center"/>
    </xf>
    <xf numFmtId="0" fontId="1" fillId="0" borderId="51" xfId="0" applyFont="1" applyFill="1" applyBorder="1" applyAlignment="1">
      <alignment horizontal="left" vertical="center"/>
    </xf>
    <xf numFmtId="182" fontId="12" fillId="2" borderId="0" xfId="0" applyNumberFormat="1" applyFont="1" applyFill="1" applyBorder="1" applyAlignment="1">
      <alignment horizontal="left" vertical="center"/>
    </xf>
    <xf numFmtId="178" fontId="1" fillId="0" borderId="108" xfId="0" applyNumberFormat="1" applyFont="1" applyFill="1" applyBorder="1" applyAlignment="1">
      <alignment horizontal="right" vertical="center"/>
    </xf>
    <xf numFmtId="0" fontId="0" fillId="0" borderId="78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101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0" borderId="60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 textRotation="255"/>
    </xf>
    <xf numFmtId="0" fontId="1" fillId="0" borderId="106" xfId="0" applyFont="1" applyFill="1" applyBorder="1" applyAlignment="1">
      <alignment horizontal="left" vertical="center"/>
    </xf>
    <xf numFmtId="0" fontId="1" fillId="0" borderId="80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 textRotation="255"/>
    </xf>
    <xf numFmtId="0" fontId="1" fillId="0" borderId="36" xfId="0" applyFont="1" applyBorder="1" applyAlignment="1">
      <alignment horizontal="center" vertical="center" textRotation="255"/>
    </xf>
    <xf numFmtId="0" fontId="1" fillId="0" borderId="22" xfId="0" applyFont="1" applyBorder="1" applyAlignment="1">
      <alignment horizontal="center" vertical="center" textRotation="255"/>
    </xf>
    <xf numFmtId="181" fontId="1" fillId="2" borderId="46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Border="1" applyAlignment="1">
      <alignment horizontal="left" vertical="center"/>
    </xf>
    <xf numFmtId="181" fontId="1" fillId="2" borderId="86" xfId="0" applyNumberFormat="1" applyFont="1" applyFill="1" applyBorder="1" applyAlignment="1">
      <alignment horizontal="left" vertical="center"/>
    </xf>
    <xf numFmtId="180" fontId="1" fillId="2" borderId="46" xfId="0" applyNumberFormat="1" applyFont="1" applyFill="1" applyBorder="1" applyAlignment="1">
      <alignment vertical="center"/>
    </xf>
    <xf numFmtId="180" fontId="1" fillId="2" borderId="0" xfId="0" applyNumberFormat="1" applyFont="1" applyFill="1" applyBorder="1" applyAlignment="1">
      <alignment vertical="center"/>
    </xf>
    <xf numFmtId="180" fontId="1" fillId="2" borderId="86" xfId="0" applyNumberFormat="1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61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10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51" xfId="0" applyFont="1" applyFill="1" applyBorder="1" applyAlignment="1">
      <alignment vertical="center"/>
    </xf>
    <xf numFmtId="178" fontId="1" fillId="0" borderId="27" xfId="0" applyNumberFormat="1" applyFont="1" applyBorder="1" applyAlignment="1">
      <alignment horizontal="center" vertical="center"/>
    </xf>
    <xf numFmtId="178" fontId="1" fillId="0" borderId="45" xfId="0" applyNumberFormat="1" applyFont="1" applyBorder="1" applyAlignment="1">
      <alignment horizontal="center" vertical="center"/>
    </xf>
    <xf numFmtId="178" fontId="1" fillId="0" borderId="28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3" fontId="5" fillId="0" borderId="60" xfId="0" applyNumberFormat="1" applyFont="1" applyFill="1" applyBorder="1" applyAlignment="1">
      <alignment horizontal="center" vertical="center"/>
    </xf>
    <xf numFmtId="3" fontId="5" fillId="0" borderId="101" xfId="0" applyNumberFormat="1" applyFont="1" applyFill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3" fontId="6" fillId="0" borderId="60" xfId="0" applyNumberFormat="1" applyFont="1" applyFill="1" applyBorder="1" applyAlignment="1">
      <alignment horizontal="center" vertical="center"/>
    </xf>
    <xf numFmtId="3" fontId="6" fillId="0" borderId="101" xfId="0" applyNumberFormat="1" applyFont="1" applyFill="1" applyBorder="1" applyAlignment="1">
      <alignment horizontal="center" vertical="center"/>
    </xf>
    <xf numFmtId="3" fontId="6" fillId="0" borderId="7" xfId="0" applyNumberFormat="1" applyFont="1" applyFill="1" applyBorder="1" applyAlignment="1">
      <alignment horizontal="center" vertical="center"/>
    </xf>
    <xf numFmtId="3" fontId="5" fillId="0" borderId="10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9" xfId="0" applyNumberFormat="1" applyFont="1" applyFill="1" applyBorder="1" applyAlignment="1">
      <alignment horizontal="center" vertical="center"/>
    </xf>
    <xf numFmtId="3" fontId="5" fillId="0" borderId="104" xfId="0" applyNumberFormat="1" applyFont="1" applyFill="1" applyBorder="1" applyAlignment="1">
      <alignment horizontal="center" vertical="center"/>
    </xf>
    <xf numFmtId="3" fontId="5" fillId="0" borderId="105" xfId="0" applyNumberFormat="1" applyFont="1" applyFill="1" applyBorder="1" applyAlignment="1">
      <alignment horizontal="center" vertical="center"/>
    </xf>
    <xf numFmtId="3" fontId="5" fillId="0" borderId="121" xfId="0" applyNumberFormat="1" applyFont="1" applyFill="1" applyBorder="1" applyAlignment="1">
      <alignment horizontal="center" vertical="center"/>
    </xf>
    <xf numFmtId="3" fontId="5" fillId="0" borderId="124" xfId="0" applyNumberFormat="1" applyFont="1" applyFill="1" applyBorder="1" applyAlignment="1">
      <alignment horizontal="center" vertical="center"/>
    </xf>
    <xf numFmtId="3" fontId="5" fillId="0" borderId="122" xfId="0" applyNumberFormat="1" applyFont="1" applyFill="1" applyBorder="1" applyAlignment="1">
      <alignment horizontal="center" vertical="center"/>
    </xf>
    <xf numFmtId="3" fontId="5" fillId="0" borderId="123" xfId="0" applyNumberFormat="1" applyFont="1" applyFill="1" applyBorder="1" applyAlignment="1">
      <alignment horizontal="center" vertical="center"/>
    </xf>
    <xf numFmtId="3" fontId="5" fillId="0" borderId="125" xfId="0" applyNumberFormat="1" applyFont="1" applyFill="1" applyBorder="1" applyAlignment="1">
      <alignment horizontal="center" vertical="center"/>
    </xf>
    <xf numFmtId="3" fontId="5" fillId="0" borderId="126" xfId="0" applyNumberFormat="1" applyFont="1" applyFill="1" applyBorder="1" applyAlignment="1">
      <alignment horizontal="center" vertical="center"/>
    </xf>
    <xf numFmtId="3" fontId="5" fillId="0" borderId="80" xfId="0" applyNumberFormat="1" applyFont="1" applyFill="1" applyBorder="1" applyAlignment="1">
      <alignment horizontal="center" vertical="center"/>
    </xf>
    <xf numFmtId="3" fontId="3" fillId="4" borderId="60" xfId="0" applyNumberFormat="1" applyFont="1" applyFill="1" applyBorder="1" applyAlignment="1">
      <alignment horizontal="left" vertical="center"/>
    </xf>
    <xf numFmtId="3" fontId="3" fillId="4" borderId="101" xfId="0" applyNumberFormat="1" applyFont="1" applyFill="1" applyBorder="1" applyAlignment="1">
      <alignment horizontal="left" vertical="center"/>
    </xf>
    <xf numFmtId="3" fontId="3" fillId="4" borderId="7" xfId="0" applyNumberFormat="1" applyFont="1" applyFill="1" applyBorder="1" applyAlignment="1">
      <alignment horizontal="left" vertical="center"/>
    </xf>
    <xf numFmtId="3" fontId="5" fillId="0" borderId="117" xfId="0" applyNumberFormat="1" applyFont="1" applyFill="1" applyBorder="1" applyAlignment="1">
      <alignment horizontal="center" vertical="center"/>
    </xf>
    <xf numFmtId="3" fontId="5" fillId="0" borderId="95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118" xfId="0" applyNumberFormat="1" applyFont="1" applyFill="1" applyBorder="1" applyAlignment="1">
      <alignment horizontal="center" vertical="center"/>
    </xf>
    <xf numFmtId="3" fontId="5" fillId="0" borderId="73" xfId="0" applyNumberFormat="1" applyFont="1" applyFill="1" applyBorder="1" applyAlignment="1">
      <alignment horizontal="center" vertical="center"/>
    </xf>
    <xf numFmtId="3" fontId="5" fillId="0" borderId="97" xfId="0" applyNumberFormat="1" applyFont="1" applyFill="1" applyBorder="1" applyAlignment="1">
      <alignment horizontal="center" vertical="center"/>
    </xf>
    <xf numFmtId="3" fontId="5" fillId="0" borderId="119" xfId="0" applyNumberFormat="1" applyFont="1" applyFill="1" applyBorder="1" applyAlignment="1">
      <alignment horizontal="center" vertical="center"/>
    </xf>
    <xf numFmtId="3" fontId="5" fillId="0" borderId="120" xfId="0" applyNumberFormat="1" applyFont="1" applyFill="1" applyBorder="1" applyAlignment="1">
      <alignment horizontal="center" vertical="center"/>
    </xf>
    <xf numFmtId="3" fontId="5" fillId="0" borderId="88" xfId="0" applyNumberFormat="1" applyFont="1" applyFill="1" applyBorder="1" applyAlignment="1">
      <alignment horizontal="center" vertical="center"/>
    </xf>
    <xf numFmtId="3" fontId="5" fillId="0" borderId="49" xfId="0" applyNumberFormat="1" applyFont="1" applyFill="1" applyBorder="1" applyAlignment="1">
      <alignment horizontal="center" vertical="center"/>
    </xf>
    <xf numFmtId="3" fontId="5" fillId="0" borderId="46" xfId="0" applyNumberFormat="1" applyFont="1" applyFill="1" applyBorder="1" applyAlignment="1">
      <alignment horizontal="center" vertical="center"/>
    </xf>
    <xf numFmtId="3" fontId="5" fillId="0" borderId="102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 wrapText="1"/>
    </xf>
    <xf numFmtId="3" fontId="5" fillId="0" borderId="78" xfId="0" applyNumberFormat="1" applyFont="1" applyFill="1" applyBorder="1" applyAlignment="1">
      <alignment horizontal="center" vertical="center" wrapText="1"/>
    </xf>
    <xf numFmtId="3" fontId="5" fillId="0" borderId="78" xfId="0" applyNumberFormat="1" applyFont="1" applyFill="1" applyBorder="1" applyAlignment="1">
      <alignment horizontal="center" vertical="center"/>
    </xf>
    <xf numFmtId="3" fontId="5" fillId="0" borderId="109" xfId="0" applyNumberFormat="1" applyFont="1" applyFill="1" applyBorder="1" applyAlignment="1">
      <alignment horizontal="center" vertical="center"/>
    </xf>
    <xf numFmtId="3" fontId="5" fillId="0" borderId="110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18" xfId="0" applyNumberFormat="1" applyFont="1" applyFill="1" applyBorder="1" applyAlignment="1">
      <alignment horizontal="center" vertical="center"/>
    </xf>
    <xf numFmtId="3" fontId="5" fillId="0" borderId="109" xfId="0" applyNumberFormat="1" applyFont="1" applyFill="1" applyBorder="1" applyAlignment="1">
      <alignment horizontal="center" vertical="center" wrapText="1"/>
    </xf>
    <xf numFmtId="3" fontId="5" fillId="0" borderId="111" xfId="0" applyNumberFormat="1" applyFont="1" applyFill="1" applyBorder="1" applyAlignment="1">
      <alignment horizontal="center" vertical="center"/>
    </xf>
    <xf numFmtId="3" fontId="5" fillId="0" borderId="112" xfId="0" applyNumberFormat="1" applyFont="1" applyFill="1" applyBorder="1" applyAlignment="1">
      <alignment horizontal="center" vertical="center"/>
    </xf>
    <xf numFmtId="3" fontId="0" fillId="0" borderId="5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horizontal="center" vertical="center"/>
    </xf>
    <xf numFmtId="177" fontId="0" fillId="0" borderId="60" xfId="0" applyNumberFormat="1" applyFont="1" applyFill="1" applyBorder="1" applyAlignment="1">
      <alignment horizontal="center" vertical="center"/>
    </xf>
    <xf numFmtId="177" fontId="0" fillId="0" borderId="101" xfId="0" applyNumberFormat="1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3" fontId="0" fillId="0" borderId="25" xfId="0" applyNumberFormat="1" applyFont="1" applyFill="1" applyBorder="1" applyAlignment="1">
      <alignment horizontal="center" vertical="center" wrapText="1"/>
    </xf>
    <xf numFmtId="3" fontId="0" fillId="0" borderId="78" xfId="0" applyNumberFormat="1" applyFont="1" applyFill="1" applyBorder="1" applyAlignment="1">
      <alignment horizontal="center" vertical="center"/>
    </xf>
    <xf numFmtId="3" fontId="0" fillId="0" borderId="18" xfId="0" applyNumberFormat="1" applyFont="1" applyFill="1" applyBorder="1" applyAlignment="1">
      <alignment horizontal="center" vertical="center"/>
    </xf>
    <xf numFmtId="3" fontId="3" fillId="0" borderId="32" xfId="0" quotePrefix="1" applyNumberFormat="1" applyFont="1" applyFill="1" applyBorder="1" applyAlignment="1">
      <alignment horizontal="left" vertical="center"/>
    </xf>
    <xf numFmtId="3" fontId="3" fillId="0" borderId="113" xfId="0" quotePrefix="1" applyNumberFormat="1" applyFont="1" applyFill="1" applyBorder="1" applyAlignment="1">
      <alignment horizontal="left" vertical="center"/>
    </xf>
    <xf numFmtId="3" fontId="3" fillId="0" borderId="116" xfId="0" quotePrefix="1" applyNumberFormat="1" applyFont="1" applyFill="1" applyBorder="1" applyAlignment="1">
      <alignment horizontal="left" vertical="center"/>
    </xf>
    <xf numFmtId="3" fontId="0" fillId="0" borderId="107" xfId="0" quotePrefix="1" applyNumberFormat="1" applyFill="1" applyBorder="1" applyAlignment="1">
      <alignment horizontal="left" vertical="center"/>
    </xf>
    <xf numFmtId="3" fontId="0" fillId="0" borderId="8" xfId="0" quotePrefix="1" applyNumberFormat="1" applyFill="1" applyBorder="1" applyAlignment="1">
      <alignment horizontal="left" vertical="center"/>
    </xf>
    <xf numFmtId="3" fontId="0" fillId="0" borderId="9" xfId="0" quotePrefix="1" applyNumberFormat="1" applyFill="1" applyBorder="1" applyAlignment="1">
      <alignment horizontal="left" vertical="center"/>
    </xf>
    <xf numFmtId="3" fontId="5" fillId="0" borderId="113" xfId="0" applyNumberFormat="1" applyFont="1" applyFill="1" applyBorder="1" applyAlignment="1">
      <alignment horizontal="center" vertical="center"/>
    </xf>
    <xf numFmtId="3" fontId="5" fillId="0" borderId="114" xfId="0" applyNumberFormat="1" applyFont="1" applyFill="1" applyBorder="1" applyAlignment="1">
      <alignment horizontal="center" vertical="center"/>
    </xf>
    <xf numFmtId="3" fontId="5" fillId="0" borderId="115" xfId="0" applyNumberFormat="1" applyFont="1" applyFill="1" applyBorder="1" applyAlignment="1">
      <alignment horizontal="center" vertical="center"/>
    </xf>
    <xf numFmtId="3" fontId="3" fillId="0" borderId="60" xfId="0" applyNumberFormat="1" applyFont="1" applyFill="1" applyBorder="1" applyAlignment="1">
      <alignment horizontal="left" vertical="center"/>
    </xf>
    <xf numFmtId="3" fontId="3" fillId="0" borderId="101" xfId="0" applyNumberFormat="1" applyFont="1" applyFill="1" applyBorder="1" applyAlignment="1">
      <alignment horizontal="left" vertical="center"/>
    </xf>
    <xf numFmtId="3" fontId="3" fillId="0" borderId="7" xfId="0" applyNumberFormat="1" applyFont="1" applyFill="1" applyBorder="1" applyAlignment="1">
      <alignment horizontal="left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73" xfId="0" applyNumberFormat="1" applyBorder="1" applyAlignment="1">
      <alignment horizontal="center" vertical="center"/>
    </xf>
    <xf numFmtId="178" fontId="0" fillId="0" borderId="26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top" wrapText="1" shrinkToFit="1"/>
    </xf>
    <xf numFmtId="0" fontId="0" fillId="0" borderId="36" xfId="0" applyBorder="1" applyAlignment="1">
      <alignment horizontal="center" vertical="top" wrapText="1" shrinkToFit="1"/>
    </xf>
    <xf numFmtId="0" fontId="0" fillId="0" borderId="1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</cellXfs>
  <cellStyles count="42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Normal_ SG&amp;A Bridge " xfId="5" xr:uid="{00000000-0005-0000-0000-000004000000}"/>
    <cellStyle name="고정소숫점" xfId="6" xr:uid="{00000000-0005-0000-0000-000005000000}"/>
    <cellStyle name="고정출력1" xfId="7" xr:uid="{00000000-0005-0000-0000-000006000000}"/>
    <cellStyle name="고정출력2" xfId="8" xr:uid="{00000000-0005-0000-0000-000007000000}"/>
    <cellStyle name="날짜" xfId="9" xr:uid="{00000000-0005-0000-0000-000008000000}"/>
    <cellStyle name="달러" xfId="10" xr:uid="{00000000-0005-0000-0000-000009000000}"/>
    <cellStyle name="백분율" xfId="11" builtinId="5"/>
    <cellStyle name="뷭?_BOOKSHIP" xfId="12" xr:uid="{00000000-0005-0000-0000-00000B000000}"/>
    <cellStyle name="숫자(R)" xfId="13" xr:uid="{00000000-0005-0000-0000-00000C000000}"/>
    <cellStyle name="쉼표 [0]" xfId="14" builtinId="6"/>
    <cellStyle name="쉼표 [0] 2" xfId="15" xr:uid="{00000000-0005-0000-0000-00000E000000}"/>
    <cellStyle name="쉼표 [0] 2 2" xfId="16" xr:uid="{00000000-0005-0000-0000-00000F000000}"/>
    <cellStyle name="쉼표 [0] 3" xfId="17" xr:uid="{00000000-0005-0000-0000-000010000000}"/>
    <cellStyle name="쉼표 [0] 4" xfId="18" xr:uid="{00000000-0005-0000-0000-000011000000}"/>
    <cellStyle name="쉼표 [0] 7" xfId="19" xr:uid="{00000000-0005-0000-0000-000012000000}"/>
    <cellStyle name="스타일 1" xfId="20" xr:uid="{00000000-0005-0000-0000-000013000000}"/>
    <cellStyle name="자리수" xfId="21" xr:uid="{00000000-0005-0000-0000-000014000000}"/>
    <cellStyle name="자리수0" xfId="22" xr:uid="{00000000-0005-0000-0000-000015000000}"/>
    <cellStyle name="콤마 [0]_(type)총괄" xfId="23" xr:uid="{00000000-0005-0000-0000-000016000000}"/>
    <cellStyle name="콤마_(type)총괄" xfId="24" xr:uid="{00000000-0005-0000-0000-000017000000}"/>
    <cellStyle name="통화 [0] 2" xfId="25" xr:uid="{00000000-0005-0000-0000-000018000000}"/>
    <cellStyle name="통화 [0] 2 2" xfId="26" xr:uid="{00000000-0005-0000-0000-000019000000}"/>
    <cellStyle name="통화 [0] 3" xfId="27" xr:uid="{00000000-0005-0000-0000-00001A000000}"/>
    <cellStyle name="통화 [0] 4" xfId="28" xr:uid="{00000000-0005-0000-0000-00001B000000}"/>
    <cellStyle name="퍼센트" xfId="29" xr:uid="{00000000-0005-0000-0000-00001C000000}"/>
    <cellStyle name="표준" xfId="0" builtinId="0"/>
    <cellStyle name="표준 2" xfId="30" xr:uid="{00000000-0005-0000-0000-00001E000000}"/>
    <cellStyle name="표준 2 2" xfId="31" xr:uid="{00000000-0005-0000-0000-00001F000000}"/>
    <cellStyle name="표준 2 3" xfId="32" xr:uid="{00000000-0005-0000-0000-000020000000}"/>
    <cellStyle name="표준 3" xfId="33" xr:uid="{00000000-0005-0000-0000-000021000000}"/>
    <cellStyle name="표준 3 2" xfId="34" xr:uid="{00000000-0005-0000-0000-000022000000}"/>
    <cellStyle name="표준 4" xfId="35" xr:uid="{00000000-0005-0000-0000-000023000000}"/>
    <cellStyle name="표준 4 2" xfId="36" xr:uid="{00000000-0005-0000-0000-000024000000}"/>
    <cellStyle name="표준 5" xfId="37" xr:uid="{00000000-0005-0000-0000-000025000000}"/>
    <cellStyle name="하이퍼링크 2" xfId="38" xr:uid="{00000000-0005-0000-0000-000026000000}"/>
    <cellStyle name="합산" xfId="39" xr:uid="{00000000-0005-0000-0000-000027000000}"/>
    <cellStyle name="화폐기호" xfId="40" xr:uid="{00000000-0005-0000-0000-000028000000}"/>
    <cellStyle name="화폐기호0" xfId="41" xr:uid="{00000000-0005-0000-0000-00002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0</xdr:row>
      <xdr:rowOff>0</xdr:rowOff>
    </xdr:from>
    <xdr:to>
      <xdr:col>10</xdr:col>
      <xdr:colOff>923925</xdr:colOff>
      <xdr:row>0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rrowheads="1"/>
        </xdr:cNvSpPr>
      </xdr:nvSpPr>
      <xdr:spPr bwMode="auto">
        <a:xfrm>
          <a:off x="4276725" y="38100"/>
          <a:ext cx="4048125" cy="514350"/>
        </a:xfrm>
        <a:prstGeom prst="wedgeEllipseCallout">
          <a:avLst>
            <a:gd name="adj1" fmla="val -50241"/>
            <a:gd name="adj2" fmla="val 16667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이곳에서는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[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운반 및 중장비 사용료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]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만 </a:t>
          </a:r>
        </a:p>
        <a:p>
          <a:pPr algn="ctr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기재하시고 다른항목은 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~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두세요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^.^</a:t>
          </a:r>
        </a:p>
      </xdr:txBody>
    </xdr:sp>
    <xdr:clientData fPrintsWithSheet="0"/>
  </xdr:twoCellAnchor>
  <xdr:twoCellAnchor>
    <xdr:from>
      <xdr:col>10</xdr:col>
      <xdr:colOff>257175</xdr:colOff>
      <xdr:row>14</xdr:row>
      <xdr:rowOff>28575</xdr:rowOff>
    </xdr:from>
    <xdr:to>
      <xdr:col>14</xdr:col>
      <xdr:colOff>9510</xdr:colOff>
      <xdr:row>15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10</xdr:row>
      <xdr:rowOff>9525</xdr:rowOff>
    </xdr:from>
    <xdr:to>
      <xdr:col>14</xdr:col>
      <xdr:colOff>28575</xdr:colOff>
      <xdr:row>11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16</xdr:row>
      <xdr:rowOff>19050</xdr:rowOff>
    </xdr:from>
    <xdr:to>
      <xdr:col>14</xdr:col>
      <xdr:colOff>28575</xdr:colOff>
      <xdr:row>17</xdr:row>
      <xdr:rowOff>275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266700</xdr:colOff>
      <xdr:row>25</xdr:row>
      <xdr:rowOff>0</xdr:rowOff>
    </xdr:from>
    <xdr:to>
      <xdr:col>14</xdr:col>
      <xdr:colOff>28575</xdr:colOff>
      <xdr:row>25</xdr:row>
      <xdr:rowOff>238125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/>
        </xdr:cNvSpPr>
      </xdr:nvSpPr>
      <xdr:spPr bwMode="auto">
        <a:xfrm>
          <a:off x="7667625" y="6057900"/>
          <a:ext cx="3009900" cy="238125"/>
        </a:xfrm>
        <a:prstGeom prst="borderCallout1">
          <a:avLst>
            <a:gd name="adj1" fmla="val 48000"/>
            <a:gd name="adj2" fmla="val -2532"/>
            <a:gd name="adj3" fmla="val 52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CONTROL PNL,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단자함등 제작</a:t>
          </a:r>
        </a:p>
      </xdr:txBody>
    </xdr:sp>
    <xdr:clientData fPrintsWithSheet="0"/>
  </xdr:twoCellAnchor>
  <xdr:twoCellAnchor>
    <xdr:from>
      <xdr:col>10</xdr:col>
      <xdr:colOff>276225</xdr:colOff>
      <xdr:row>6</xdr:row>
      <xdr:rowOff>147640</xdr:rowOff>
    </xdr:from>
    <xdr:to>
      <xdr:col>14</xdr:col>
      <xdr:colOff>38100</xdr:colOff>
      <xdr:row>7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259551</xdr:colOff>
      <xdr:row>13</xdr:row>
      <xdr:rowOff>0</xdr:rowOff>
    </xdr:from>
    <xdr:to>
      <xdr:col>14</xdr:col>
      <xdr:colOff>11916</xdr:colOff>
      <xdr:row>13</xdr:row>
      <xdr:rowOff>229365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226214</xdr:colOff>
      <xdr:row>37</xdr:row>
      <xdr:rowOff>0</xdr:rowOff>
    </xdr:from>
    <xdr:to>
      <xdr:col>13</xdr:col>
      <xdr:colOff>678651</xdr:colOff>
      <xdr:row>37</xdr:row>
      <xdr:rowOff>238125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/>
        </xdr:cNvSpPr>
      </xdr:nvSpPr>
      <xdr:spPr bwMode="auto">
        <a:xfrm>
          <a:off x="7631902" y="9620250"/>
          <a:ext cx="3024187" cy="238125"/>
        </a:xfrm>
        <a:prstGeom prst="borderCallout1">
          <a:avLst>
            <a:gd name="adj1" fmla="val 48000"/>
            <a:gd name="adj2" fmla="val -2532"/>
            <a:gd name="adj3" fmla="val 52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철거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 관련 금액 합계</a:t>
          </a:r>
        </a:p>
      </xdr:txBody>
    </xdr:sp>
    <xdr:clientData fPrintsWithSheet="0"/>
  </xdr:twoCellAnchor>
  <xdr:twoCellAnchor>
    <xdr:from>
      <xdr:col>10</xdr:col>
      <xdr:colOff>261932</xdr:colOff>
      <xdr:row>7</xdr:row>
      <xdr:rowOff>226218</xdr:rowOff>
    </xdr:from>
    <xdr:to>
      <xdr:col>14</xdr:col>
      <xdr:colOff>8586</xdr:colOff>
      <xdr:row>9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  <xdr:twoCellAnchor>
    <xdr:from>
      <xdr:col>10</xdr:col>
      <xdr:colOff>238120</xdr:colOff>
      <xdr:row>21</xdr:row>
      <xdr:rowOff>186215</xdr:rowOff>
    </xdr:from>
    <xdr:to>
      <xdr:col>13</xdr:col>
      <xdr:colOff>682937</xdr:colOff>
      <xdr:row>23</xdr:row>
      <xdr:rowOff>150498</xdr:rowOff>
    </xdr:to>
    <xdr:sp macro="" textlink="">
      <xdr:nvSpPr>
        <xdr:cNvPr id="12" name="AutoShape 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/>
        </xdr:cNvSpPr>
      </xdr:nvSpPr>
      <xdr:spPr bwMode="auto">
        <a:xfrm>
          <a:off x="7703339" y="5786439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  <xdr:twoCellAnchor>
    <xdr:from>
      <xdr:col>8</xdr:col>
      <xdr:colOff>38100</xdr:colOff>
      <xdr:row>37</xdr:row>
      <xdr:rowOff>133350</xdr:rowOff>
    </xdr:from>
    <xdr:to>
      <xdr:col>8</xdr:col>
      <xdr:colOff>180975</xdr:colOff>
      <xdr:row>44</xdr:row>
      <xdr:rowOff>142875</xdr:rowOff>
    </xdr:to>
    <xdr:sp macro="" textlink="">
      <xdr:nvSpPr>
        <xdr:cNvPr id="46150" name="위쪽 화살표 1">
          <a:extLst>
            <a:ext uri="{FF2B5EF4-FFF2-40B4-BE49-F238E27FC236}">
              <a16:creationId xmlns:a16="http://schemas.microsoft.com/office/drawing/2014/main" id="{00000000-0008-0000-0100-000046B40000}"/>
            </a:ext>
          </a:extLst>
        </xdr:cNvPr>
        <xdr:cNvSpPr>
          <a:spLocks noChangeArrowheads="1"/>
        </xdr:cNvSpPr>
      </xdr:nvSpPr>
      <xdr:spPr bwMode="auto">
        <a:xfrm>
          <a:off x="4972050" y="9420225"/>
          <a:ext cx="142875" cy="1914525"/>
        </a:xfrm>
        <a:prstGeom prst="upArrow">
          <a:avLst>
            <a:gd name="adj1" fmla="val 50000"/>
            <a:gd name="adj2" fmla="val 49630"/>
          </a:avLst>
        </a:prstGeom>
        <a:solidFill>
          <a:srgbClr val="FF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330989</xdr:colOff>
      <xdr:row>41</xdr:row>
      <xdr:rowOff>95250</xdr:rowOff>
    </xdr:from>
    <xdr:to>
      <xdr:col>15</xdr:col>
      <xdr:colOff>464366</xdr:colOff>
      <xdr:row>43</xdr:row>
      <xdr:rowOff>238125</xdr:rowOff>
    </xdr:to>
    <xdr:sp macro="" textlink="">
      <xdr:nvSpPr>
        <xdr:cNvPr id="13" name="AutoShape 8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/>
        </xdr:cNvSpPr>
      </xdr:nvSpPr>
      <xdr:spPr bwMode="auto">
        <a:xfrm>
          <a:off x="7786683" y="10882313"/>
          <a:ext cx="4095755" cy="642937"/>
        </a:xfrm>
        <a:prstGeom prst="borderCallout1">
          <a:avLst>
            <a:gd name="adj1" fmla="val 48000"/>
            <a:gd name="adj2" fmla="val -2532"/>
            <a:gd name="adj3" fmla="val 51101"/>
            <a:gd name="adj4" fmla="val -661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입찰시 산업안전관리비를 감안하여 입찰필요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300"/>
            </a:lnSpc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합계금액 고정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300"/>
            </a:lnSpc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※ </a:t>
          </a:r>
          <a:r>
            <a:rPr lang="ko-KR" altLang="en-US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하기 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2</a:t>
          </a:r>
          <a:r>
            <a:rPr lang="ko-KR" altLang="en-US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개의 계상기준중 작은금액으로 자동입력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(</a:t>
          </a:r>
          <a:r>
            <a:rPr lang="ko-KR" altLang="en-US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천단위 절상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20</xdr:row>
      <xdr:rowOff>110490</xdr:rowOff>
    </xdr:from>
    <xdr:to>
      <xdr:col>16</xdr:col>
      <xdr:colOff>428625</xdr:colOff>
      <xdr:row>21</xdr:row>
      <xdr:rowOff>190551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rrowheads="1"/>
        </xdr:cNvSpPr>
      </xdr:nvSpPr>
      <xdr:spPr bwMode="auto">
        <a:xfrm>
          <a:off x="8448675" y="6177915"/>
          <a:ext cx="5886450" cy="299136"/>
        </a:xfrm>
        <a:prstGeom prst="wedgeRectCallout">
          <a:avLst>
            <a:gd name="adj1" fmla="val -34468"/>
            <a:gd name="adj2" fmla="val -238236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설비를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Break-Down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하여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단위공사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1~10)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작성하면 자동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DATA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집계됩니다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3073" name="Rectangle 1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00000000-0008-0000-0400-000001100000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00000000-0008-0000-0400-0000051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89</xdr:row>
      <xdr:rowOff>0</xdr:rowOff>
    </xdr:from>
    <xdr:to>
      <xdr:col>9</xdr:col>
      <xdr:colOff>2</xdr:colOff>
      <xdr:row>89</xdr:row>
      <xdr:rowOff>0</xdr:rowOff>
    </xdr:to>
    <xdr:sp macro="" textlink="">
      <xdr:nvSpPr>
        <xdr:cNvPr id="4111" name="Rectangle 15">
          <a:extLst>
            <a:ext uri="{FF2B5EF4-FFF2-40B4-BE49-F238E27FC236}">
              <a16:creationId xmlns:a16="http://schemas.microsoft.com/office/drawing/2014/main" id="{00000000-0008-0000-0400-00000F10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1266825</xdr:colOff>
      <xdr:row>0</xdr:row>
      <xdr:rowOff>276398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00000000-0008-0000-0500-00000414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66</xdr:row>
      <xdr:rowOff>0</xdr:rowOff>
    </xdr:from>
    <xdr:to>
      <xdr:col>9</xdr:col>
      <xdr:colOff>2</xdr:colOff>
      <xdr:row>66</xdr:row>
      <xdr:rowOff>0</xdr:rowOff>
    </xdr:to>
    <xdr:sp macro="" textlink="">
      <xdr:nvSpPr>
        <xdr:cNvPr id="5126" name="Rectangle 6">
          <a:extLst>
            <a:ext uri="{FF2B5EF4-FFF2-40B4-BE49-F238E27FC236}">
              <a16:creationId xmlns:a16="http://schemas.microsoft.com/office/drawing/2014/main" id="{00000000-0008-0000-0500-00000614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213360</xdr:colOff>
      <xdr:row>0</xdr:row>
      <xdr:rowOff>0</xdr:rowOff>
    </xdr:from>
    <xdr:to>
      <xdr:col>8</xdr:col>
      <xdr:colOff>718185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00000000-0008-0000-0500-00000F14000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1289776</xdr:colOff>
      <xdr:row>0</xdr:row>
      <xdr:rowOff>276398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00000000-0008-0000-0600-00000418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39</xdr:row>
      <xdr:rowOff>0</xdr:rowOff>
    </xdr:from>
    <xdr:to>
      <xdr:col>9</xdr:col>
      <xdr:colOff>2</xdr:colOff>
      <xdr:row>39</xdr:row>
      <xdr:rowOff>0</xdr:rowOff>
    </xdr:to>
    <xdr:sp macro="" textlink="">
      <xdr:nvSpPr>
        <xdr:cNvPr id="6150" name="Rectangle 6">
          <a:extLst>
            <a:ext uri="{FF2B5EF4-FFF2-40B4-BE49-F238E27FC236}">
              <a16:creationId xmlns:a16="http://schemas.microsoft.com/office/drawing/2014/main" id="{00000000-0008-0000-0600-00000618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00000000-0008-0000-0600-00000718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1211627</xdr:colOff>
      <xdr:row>0</xdr:row>
      <xdr:rowOff>276398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00000000-0008-0000-0700-0000041C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188595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00000000-0008-0000-0700-0000071C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00000000-0008-0000-0800-0000042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8198" name="Rectangle 6">
          <a:extLst>
            <a:ext uri="{FF2B5EF4-FFF2-40B4-BE49-F238E27FC236}">
              <a16:creationId xmlns:a16="http://schemas.microsoft.com/office/drawing/2014/main" id="{00000000-0008-0000-0800-00000620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601990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000000-0008-0000-0800-0000072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1251679</xdr:colOff>
      <xdr:row>0</xdr:row>
      <xdr:rowOff>276398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9222" name="Rectangle 6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00000000-0008-0000-0A00-00000428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10246" name="Rectangle 6">
          <a:extLst>
            <a:ext uri="{FF2B5EF4-FFF2-40B4-BE49-F238E27FC236}">
              <a16:creationId xmlns:a16="http://schemas.microsoft.com/office/drawing/2014/main" id="{00000000-0008-0000-0A00-00000628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175260</xdr:colOff>
      <xdr:row>0</xdr:row>
      <xdr:rowOff>0</xdr:rowOff>
    </xdr:from>
    <xdr:to>
      <xdr:col>8</xdr:col>
      <xdr:colOff>680085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00000000-0008-0000-0A00-00000728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00000000-0008-0000-0B00-0000042C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525790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00000000-0008-0000-0B00-0000072C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00000000-0008-0000-0C00-00000234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00000000-0008-0000-0C00-00000334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00000000-0008-0000-0C00-00000434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00000000-0008-0000-0D00-00000238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00000000-0008-0000-0D00-00000338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00000000-0008-0000-0D00-00000438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showGridLines="0" tabSelected="1" zoomScale="85" workbookViewId="0">
      <selection activeCell="B15" sqref="B15"/>
    </sheetView>
  </sheetViews>
  <sheetFormatPr defaultRowHeight="13.5"/>
  <cols>
    <col min="1" max="1" width="2" style="177" customWidth="1"/>
    <col min="2" max="2" width="4.25" style="177" customWidth="1"/>
    <col min="3" max="3" width="8.5" style="177" customWidth="1"/>
    <col min="4" max="4" width="14.75" style="177" customWidth="1"/>
    <col min="5" max="7" width="11.125" style="177" customWidth="1"/>
    <col min="8" max="8" width="12.25" style="177" customWidth="1"/>
    <col min="9" max="9" width="8.5" style="177" customWidth="1"/>
    <col min="10" max="10" width="1.375" style="177" customWidth="1"/>
    <col min="11" max="11" width="9" style="177"/>
    <col min="12" max="12" width="33.25" style="177" customWidth="1"/>
    <col min="13" max="14" width="9" style="177"/>
    <col min="15" max="16" width="30.125" style="177" bestFit="1" customWidth="1"/>
    <col min="17" max="17" width="5.625" style="177" customWidth="1"/>
    <col min="18" max="16384" width="9" style="177"/>
  </cols>
  <sheetData>
    <row r="1" spans="2:17">
      <c r="B1" s="177" t="s">
        <v>143</v>
      </c>
    </row>
    <row r="2" spans="2:17" ht="38.25">
      <c r="B2" s="429" t="s">
        <v>137</v>
      </c>
      <c r="C2" s="429"/>
      <c r="D2" s="429"/>
      <c r="E2" s="429"/>
      <c r="F2" s="429"/>
      <c r="G2" s="429"/>
      <c r="H2" s="429"/>
      <c r="I2" s="429"/>
    </row>
    <row r="3" spans="2:17">
      <c r="O3" s="301"/>
      <c r="P3" s="301"/>
      <c r="Q3" s="208"/>
    </row>
    <row r="4" spans="2:17" s="184" customFormat="1" ht="24" customHeight="1">
      <c r="B4" s="430" t="s">
        <v>183</v>
      </c>
      <c r="C4" s="430"/>
      <c r="D4" s="430"/>
      <c r="E4" s="199"/>
      <c r="F4" s="199"/>
      <c r="G4" s="302"/>
      <c r="H4" s="303"/>
      <c r="I4" s="304"/>
    </row>
    <row r="5" spans="2:17" s="184" customFormat="1" ht="21.75" customHeight="1">
      <c r="B5" s="404" t="s">
        <v>128</v>
      </c>
      <c r="C5" s="405"/>
      <c r="D5" s="317">
        <v>45929</v>
      </c>
      <c r="E5" s="200"/>
      <c r="F5" s="199"/>
      <c r="G5" s="364" t="s">
        <v>216</v>
      </c>
      <c r="H5" s="305"/>
      <c r="I5" s="306"/>
    </row>
    <row r="6" spans="2:17" s="184" customFormat="1" ht="21.75" customHeight="1">
      <c r="B6" s="406" t="s">
        <v>129</v>
      </c>
      <c r="C6" s="407"/>
      <c r="D6" s="318" t="s">
        <v>390</v>
      </c>
      <c r="E6" s="201"/>
      <c r="F6" s="199"/>
      <c r="G6" s="307" t="s">
        <v>391</v>
      </c>
      <c r="H6" s="308"/>
      <c r="I6" s="309"/>
      <c r="J6" s="204"/>
    </row>
    <row r="7" spans="2:17" s="184" customFormat="1" ht="21.75" customHeight="1">
      <c r="B7" s="408" t="s">
        <v>130</v>
      </c>
      <c r="C7" s="209" t="s">
        <v>141</v>
      </c>
      <c r="D7" s="319" t="s">
        <v>281</v>
      </c>
      <c r="E7" s="201"/>
      <c r="F7" s="199"/>
      <c r="G7" s="310"/>
      <c r="H7" s="308"/>
      <c r="I7" s="309"/>
      <c r="J7" s="204"/>
    </row>
    <row r="8" spans="2:17" s="184" customFormat="1" ht="21.75" customHeight="1">
      <c r="B8" s="408"/>
      <c r="C8" s="209" t="s">
        <v>142</v>
      </c>
      <c r="D8" s="319" t="s">
        <v>282</v>
      </c>
      <c r="E8" s="201"/>
      <c r="F8" s="199"/>
      <c r="G8" s="365" t="s">
        <v>217</v>
      </c>
      <c r="H8" s="308"/>
      <c r="I8" s="309"/>
      <c r="J8" s="204"/>
    </row>
    <row r="9" spans="2:17" s="184" customFormat="1" ht="21.75" customHeight="1">
      <c r="B9" s="406" t="s">
        <v>131</v>
      </c>
      <c r="C9" s="407"/>
      <c r="D9" s="318" t="s">
        <v>179</v>
      </c>
      <c r="E9" s="201"/>
      <c r="F9" s="199"/>
      <c r="G9" s="364" t="s">
        <v>218</v>
      </c>
      <c r="H9" s="308"/>
      <c r="I9" s="309"/>
      <c r="J9" s="204"/>
    </row>
    <row r="10" spans="2:17" s="184" customFormat="1" ht="21.75" customHeight="1">
      <c r="B10" s="406" t="s">
        <v>132</v>
      </c>
      <c r="C10" s="407"/>
      <c r="D10" s="320" t="s">
        <v>180</v>
      </c>
      <c r="E10" s="201"/>
      <c r="G10" s="311" t="s">
        <v>178</v>
      </c>
      <c r="H10" s="312" t="s">
        <v>219</v>
      </c>
      <c r="I10" s="313"/>
    </row>
    <row r="11" spans="2:17" s="184" customFormat="1" ht="21.75" customHeight="1">
      <c r="B11" s="406" t="s">
        <v>133</v>
      </c>
      <c r="C11" s="407"/>
      <c r="D11" s="321" t="s">
        <v>181</v>
      </c>
      <c r="E11" s="201"/>
      <c r="G11" s="314" t="s">
        <v>127</v>
      </c>
      <c r="H11" s="315" t="s">
        <v>220</v>
      </c>
      <c r="I11" s="316"/>
    </row>
    <row r="12" spans="2:17" s="185" customFormat="1" ht="10.5" customHeight="1">
      <c r="B12" s="187"/>
      <c r="I12" s="186"/>
    </row>
    <row r="13" spans="2:17" s="203" customFormat="1" ht="24.95" customHeight="1">
      <c r="B13" s="389" t="s">
        <v>283</v>
      </c>
      <c r="C13" s="389"/>
      <c r="D13" s="389"/>
      <c r="E13" s="389"/>
      <c r="F13" s="389"/>
      <c r="G13" s="389"/>
      <c r="H13" s="389"/>
      <c r="I13" s="389"/>
    </row>
    <row r="14" spans="2:17" s="203" customFormat="1" ht="24.95" customHeight="1">
      <c r="B14" s="392" t="s">
        <v>393</v>
      </c>
      <c r="C14" s="392"/>
      <c r="D14" s="392"/>
      <c r="E14" s="392"/>
      <c r="F14" s="392"/>
      <c r="G14" s="392"/>
      <c r="H14" s="392"/>
      <c r="I14" s="392"/>
    </row>
    <row r="15" spans="2:17" s="184" customFormat="1" ht="8.25" customHeight="1"/>
    <row r="16" spans="2:17" s="178" customFormat="1" ht="24.95" customHeight="1">
      <c r="B16" s="432" t="s">
        <v>122</v>
      </c>
      <c r="C16" s="434" t="s">
        <v>149</v>
      </c>
      <c r="D16" s="435"/>
      <c r="E16" s="431" t="s">
        <v>136</v>
      </c>
      <c r="F16" s="431"/>
      <c r="G16" s="431"/>
      <c r="H16" s="431"/>
      <c r="I16" s="432" t="s">
        <v>27</v>
      </c>
      <c r="O16" s="373" t="s">
        <v>392</v>
      </c>
    </row>
    <row r="17" spans="1:13" s="178" customFormat="1" ht="29.25" customHeight="1" thickBot="1">
      <c r="B17" s="433"/>
      <c r="C17" s="436"/>
      <c r="D17" s="437"/>
      <c r="E17" s="218" t="s">
        <v>134</v>
      </c>
      <c r="F17" s="219" t="s">
        <v>135</v>
      </c>
      <c r="G17" s="220" t="s">
        <v>138</v>
      </c>
      <c r="H17" s="175" t="s">
        <v>126</v>
      </c>
      <c r="I17" s="433"/>
      <c r="M17" s="373" t="s">
        <v>221</v>
      </c>
    </row>
    <row r="18" spans="1:13" s="188" customFormat="1" ht="24.95" customHeight="1">
      <c r="B18" s="189">
        <v>1</v>
      </c>
      <c r="C18" s="409" t="str">
        <f>IF('단위공사별(집계)'!N7&gt;0,'단위공사별(집계)'!B7,"")</f>
        <v>ASS'Y TABLE</v>
      </c>
      <c r="D18" s="410"/>
      <c r="E18" s="221">
        <f>IF('단위공사별(집계)'!N7&gt;1,('단위공사별(집계)'!D7+'단위공사별(집계)'!E7+'단위공사별(집계)'!F7+'단위공사별(집계)'!G7+'단위공사별(집계)'!H7+'단위공사별(집계)'!I7)/1000," ")</f>
        <v>167014.85862343595</v>
      </c>
      <c r="F18" s="393">
        <f>IF('단위공사별(집계)'!N7&gt;0,'단위공사별(집계)'!K17/1000,"")</f>
        <v>117375.21</v>
      </c>
      <c r="G18" s="190">
        <f>IF('단위공사별(집계)'!N7&gt;0,('단위공사별(집계)'!L7+'단위공사별(집계)'!M7)/1000,"")</f>
        <v>25165.093976176177</v>
      </c>
      <c r="H18" s="214">
        <f>IF('단위공사별(집계)'!N7&gt;0,'단위공사별(집계)'!N7/1000,"")</f>
        <v>243132.16227845088</v>
      </c>
      <c r="I18" s="191"/>
    </row>
    <row r="19" spans="1:13" s="188" customFormat="1" ht="24.95" customHeight="1">
      <c r="B19" s="192">
        <v>2</v>
      </c>
      <c r="C19" s="387" t="str">
        <f>IF('단위공사별(집계)'!N8&gt;0,'단위공사별(집계)'!B8,"")</f>
        <v>VISION/BAECODE/DB</v>
      </c>
      <c r="D19" s="388"/>
      <c r="E19" s="222">
        <f>IF('단위공사별(집계)'!N8&gt;1,('단위공사별(집계)'!D8+'단위공사별(집계)'!E8+'단위공사별(집계)'!F8+'단위공사별(집계)'!G8+'단위공사별(집계)'!H8+'단위공사별(집계)'!I8)/1000," ")</f>
        <v>175784.86165300931</v>
      </c>
      <c r="F19" s="394"/>
      <c r="G19" s="193">
        <f>IF('단위공사별(집계)'!N8&gt;0,('단위공사별(집계)'!L8+'단위공사별(집계)'!M8)/1000,"")</f>
        <v>26486.521017037048</v>
      </c>
      <c r="H19" s="215">
        <f>IF('단위공사별(집계)'!N8&gt;0,'단위공사별(집계)'!N8/1000,"")</f>
        <v>255899.10898812249</v>
      </c>
      <c r="I19" s="194"/>
    </row>
    <row r="20" spans="1:13" s="188" customFormat="1" ht="24.95" customHeight="1">
      <c r="B20" s="192">
        <v>3</v>
      </c>
      <c r="C20" s="387" t="str">
        <f>IF('단위공사별(집계)'!N9&gt;0,'단위공사별(집계)'!B9,"")</f>
        <v>OTHER COST</v>
      </c>
      <c r="D20" s="388"/>
      <c r="E20" s="222">
        <f>IF('단위공사별(집계)'!N9&gt;1,('단위공사별(집계)'!D9+'단위공사별(집계)'!E9+'단위공사별(집계)'!F9+'단위공사별(집계)'!G9+'단위공사별(집계)'!H9+'단위공사별(집계)'!I9)/1000," ")</f>
        <v>41941.27972355474</v>
      </c>
      <c r="F20" s="394"/>
      <c r="G20" s="193">
        <f>IF('단위공사별(집계)'!N9&gt;0,('단위공사별(집계)'!L9+'단위공사별(집계)'!M9)/1000,"")</f>
        <v>6319.5350067867739</v>
      </c>
      <c r="H20" s="215">
        <f>IF('단위공사별(집계)'!N9&gt;0,'단위공사별(집계)'!N9/1000,"")</f>
        <v>61056.088733426644</v>
      </c>
      <c r="I20" s="194"/>
    </row>
    <row r="21" spans="1:13" s="188" customFormat="1" ht="24.95" customHeight="1">
      <c r="B21" s="192">
        <v>4</v>
      </c>
      <c r="C21" s="387" t="str">
        <f>IF('단위공사별(집계)'!N10&gt;0,'단위공사별(집계)'!B10,"")</f>
        <v/>
      </c>
      <c r="D21" s="388"/>
      <c r="E21" s="222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394"/>
      <c r="G21" s="193" t="str">
        <f>IF('단위공사별(집계)'!N10&gt;0,('단위공사별(집계)'!L10+'단위공사별(집계)'!M10)/1000,"")</f>
        <v/>
      </c>
      <c r="H21" s="215" t="str">
        <f>IF('단위공사별(집계)'!N10&gt;0,'단위공사별(집계)'!N10/1000,"")</f>
        <v/>
      </c>
      <c r="I21" s="194"/>
    </row>
    <row r="22" spans="1:13" s="188" customFormat="1" ht="24.95" customHeight="1">
      <c r="B22" s="192">
        <v>5</v>
      </c>
      <c r="C22" s="387" t="str">
        <f>IF('단위공사별(집계)'!N11&gt;0,'단위공사별(집계)'!B11,"")</f>
        <v/>
      </c>
      <c r="D22" s="388"/>
      <c r="E22" s="222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212"/>
      <c r="G22" s="193" t="str">
        <f>IF('단위공사별(집계)'!N11&gt;0,('단위공사별(집계)'!L11+'단위공사별(집계)'!M11)/1000,"")</f>
        <v/>
      </c>
      <c r="H22" s="215" t="str">
        <f>IF('단위공사별(집계)'!N11&gt;0,'단위공사별(집계)'!N11/1000,"")</f>
        <v/>
      </c>
      <c r="I22" s="194"/>
    </row>
    <row r="23" spans="1:13" s="188" customFormat="1" ht="24.95" customHeight="1">
      <c r="B23" s="192">
        <v>6</v>
      </c>
      <c r="C23" s="387" t="str">
        <f>IF('단위공사별(집계)'!N12&gt;0,'단위공사별(집계)'!B12,"")</f>
        <v/>
      </c>
      <c r="D23" s="388"/>
      <c r="E23" s="222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212"/>
      <c r="G23" s="193" t="str">
        <f>IF('단위공사별(집계)'!N12&gt;0,('단위공사별(집계)'!L12+'단위공사별(집계)'!M12)/1000,"")</f>
        <v/>
      </c>
      <c r="H23" s="215" t="str">
        <f>IF('단위공사별(집계)'!N12&gt;0,'단위공사별(집계)'!N12/1000,"")</f>
        <v/>
      </c>
      <c r="I23" s="194"/>
    </row>
    <row r="24" spans="1:13" s="188" customFormat="1" ht="24.95" customHeight="1">
      <c r="B24" s="192">
        <v>7</v>
      </c>
      <c r="C24" s="387" t="str">
        <f>IF('단위공사별(집계)'!N13&gt;0,'단위공사별(집계)'!B13,"")</f>
        <v/>
      </c>
      <c r="D24" s="388"/>
      <c r="E24" s="222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212"/>
      <c r="G24" s="193" t="str">
        <f>IF('단위공사별(집계)'!N13&gt;0,('단위공사별(집계)'!L13+'단위공사별(집계)'!M13)/1000,"")</f>
        <v/>
      </c>
      <c r="H24" s="215" t="str">
        <f>IF('단위공사별(집계)'!N13&gt;0,'단위공사별(집계)'!N13/1000,"")</f>
        <v/>
      </c>
      <c r="I24" s="194"/>
    </row>
    <row r="25" spans="1:13" s="188" customFormat="1" ht="24.95" customHeight="1">
      <c r="B25" s="195">
        <v>8</v>
      </c>
      <c r="C25" s="387" t="str">
        <f>IF('단위공사별(집계)'!N14&gt;0,'단위공사별(집계)'!B14,"")</f>
        <v/>
      </c>
      <c r="D25" s="388"/>
      <c r="E25" s="222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212"/>
      <c r="G25" s="193" t="str">
        <f>IF('단위공사별(집계)'!N14&gt;0,('단위공사별(집계)'!L14+'단위공사별(집계)'!M14)/1000,"")</f>
        <v/>
      </c>
      <c r="H25" s="215" t="str">
        <f>IF('단위공사별(집계)'!N14&gt;0,'단위공사별(집계)'!N14/1000,"")</f>
        <v/>
      </c>
      <c r="I25" s="194"/>
    </row>
    <row r="26" spans="1:13" s="188" customFormat="1" ht="24.95" customHeight="1">
      <c r="B26" s="195">
        <v>9</v>
      </c>
      <c r="C26" s="387" t="str">
        <f>IF('단위공사별(집계)'!N15&gt;0,'단위공사별(집계)'!B15,"")</f>
        <v/>
      </c>
      <c r="D26" s="388"/>
      <c r="E26" s="222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212"/>
      <c r="G26" s="193" t="str">
        <f>IF('단위공사별(집계)'!N15&gt;0,('단위공사별(집계)'!L15+'단위공사별(집계)'!M15)/1000,"")</f>
        <v/>
      </c>
      <c r="H26" s="215" t="str">
        <f>IF('단위공사별(집계)'!N15&gt;0,'단위공사별(집계)'!N15/1000,"")</f>
        <v/>
      </c>
      <c r="I26" s="194"/>
    </row>
    <row r="27" spans="1:13" s="188" customFormat="1" ht="24.95" customHeight="1">
      <c r="B27" s="196">
        <v>10</v>
      </c>
      <c r="C27" s="390" t="str">
        <f>IF('단위공사별(집계)'!N16&gt;0,'단위공사별(집계)'!B16,"")</f>
        <v/>
      </c>
      <c r="D27" s="391"/>
      <c r="E27" s="223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213"/>
      <c r="G27" s="197" t="str">
        <f>IF('단위공사별(집계)'!N16&gt;0,('단위공사별(집계)'!L16+'단위공사별(집계)'!M16)/1000,"")</f>
        <v/>
      </c>
      <c r="H27" s="216" t="str">
        <f>IF('단위공사별(집계)'!N16&gt;0,'단위공사별(집계)'!N16/1000,"")</f>
        <v/>
      </c>
      <c r="I27" s="198"/>
    </row>
    <row r="28" spans="1:13" ht="24.95" customHeight="1">
      <c r="B28" s="426" t="s">
        <v>139</v>
      </c>
      <c r="C28" s="427"/>
      <c r="D28" s="428"/>
      <c r="E28" s="205">
        <f>SUM(E18:E24)</f>
        <v>384741</v>
      </c>
      <c r="F28" s="206">
        <f>SUM(F18:F24)</f>
        <v>117375.21</v>
      </c>
      <c r="G28" s="206">
        <f>SUM(G18:G24)</f>
        <v>57971.15</v>
      </c>
      <c r="H28" s="217">
        <f>SUM(H18:H24)-87</f>
        <v>560000.36</v>
      </c>
      <c r="I28" s="207"/>
      <c r="J28" s="208"/>
    </row>
    <row r="29" spans="1:13" ht="4.5" customHeight="1">
      <c r="A29" s="180"/>
      <c r="B29" s="181"/>
      <c r="C29" s="182"/>
      <c r="D29" s="182"/>
      <c r="E29" s="183"/>
      <c r="F29" s="183"/>
      <c r="G29" s="183"/>
      <c r="H29" s="183"/>
      <c r="I29" s="180"/>
    </row>
    <row r="30" spans="1:13" ht="24" customHeight="1">
      <c r="A30" s="180"/>
      <c r="B30" s="182"/>
      <c r="C30" s="182"/>
      <c r="D30" s="182"/>
      <c r="E30" s="183"/>
      <c r="F30" s="385" t="s">
        <v>140</v>
      </c>
      <c r="G30" s="386"/>
      <c r="H30" s="179"/>
      <c r="I30" s="180"/>
    </row>
    <row r="31" spans="1:13" ht="15" customHeight="1">
      <c r="A31" s="180"/>
      <c r="B31" s="182"/>
      <c r="C31" s="182"/>
      <c r="D31" s="182"/>
      <c r="E31" s="183"/>
      <c r="F31" s="183"/>
      <c r="G31" s="183"/>
      <c r="H31" s="183"/>
      <c r="I31" s="180"/>
    </row>
    <row r="32" spans="1:13" ht="22.5" customHeight="1">
      <c r="B32" s="411" t="s">
        <v>125</v>
      </c>
      <c r="C32" s="379" t="s">
        <v>123</v>
      </c>
      <c r="D32" s="380"/>
      <c r="E32" s="381"/>
      <c r="F32" s="395" t="s">
        <v>148</v>
      </c>
      <c r="G32" s="396"/>
      <c r="H32" s="396"/>
      <c r="I32" s="397"/>
    </row>
    <row r="33" spans="2:9" ht="22.5" customHeight="1">
      <c r="B33" s="412"/>
      <c r="C33" s="382" t="s">
        <v>124</v>
      </c>
      <c r="D33" s="383"/>
      <c r="E33" s="384"/>
      <c r="F33" s="202" t="s">
        <v>173</v>
      </c>
      <c r="G33" s="398"/>
      <c r="H33" s="399"/>
      <c r="I33" s="400"/>
    </row>
    <row r="34" spans="2:9" ht="22.5" customHeight="1">
      <c r="B34" s="412"/>
      <c r="C34" s="414">
        <f>'원가항목별(집계)'!I38</f>
        <v>1280000</v>
      </c>
      <c r="D34" s="415"/>
      <c r="E34" s="416"/>
      <c r="F34" s="210" t="s">
        <v>174</v>
      </c>
      <c r="G34" s="401"/>
      <c r="H34" s="402"/>
      <c r="I34" s="403"/>
    </row>
    <row r="35" spans="2:9" ht="22.5" customHeight="1">
      <c r="B35" s="412"/>
      <c r="C35" s="417"/>
      <c r="D35" s="418"/>
      <c r="E35" s="419"/>
      <c r="F35" s="210" t="s">
        <v>175</v>
      </c>
      <c r="G35" s="401"/>
      <c r="H35" s="402"/>
      <c r="I35" s="403"/>
    </row>
    <row r="36" spans="2:9" ht="22.5" customHeight="1">
      <c r="B36" s="413"/>
      <c r="C36" s="420"/>
      <c r="D36" s="421"/>
      <c r="E36" s="422"/>
      <c r="F36" s="211" t="s">
        <v>176</v>
      </c>
      <c r="G36" s="423"/>
      <c r="H36" s="424"/>
      <c r="I36" s="425"/>
    </row>
  </sheetData>
  <mergeCells count="38">
    <mergeCell ref="B2:I2"/>
    <mergeCell ref="B4:D4"/>
    <mergeCell ref="E16:H16"/>
    <mergeCell ref="B16:B17"/>
    <mergeCell ref="I16:I17"/>
    <mergeCell ref="B11:C11"/>
    <mergeCell ref="C16:D17"/>
    <mergeCell ref="G34:I34"/>
    <mergeCell ref="B5:C5"/>
    <mergeCell ref="B6:C6"/>
    <mergeCell ref="B9:C9"/>
    <mergeCell ref="B10:C10"/>
    <mergeCell ref="B7:B8"/>
    <mergeCell ref="C18:D18"/>
    <mergeCell ref="B32:B36"/>
    <mergeCell ref="C34:E34"/>
    <mergeCell ref="C35:E35"/>
    <mergeCell ref="C36:E36"/>
    <mergeCell ref="G35:I35"/>
    <mergeCell ref="G36:I36"/>
    <mergeCell ref="C19:D19"/>
    <mergeCell ref="B28:D28"/>
    <mergeCell ref="C21:D21"/>
    <mergeCell ref="C32:E32"/>
    <mergeCell ref="C33:E33"/>
    <mergeCell ref="F30:G30"/>
    <mergeCell ref="C20:D20"/>
    <mergeCell ref="B13:I13"/>
    <mergeCell ref="C23:D23"/>
    <mergeCell ref="C24:D24"/>
    <mergeCell ref="C25:D25"/>
    <mergeCell ref="C26:D26"/>
    <mergeCell ref="C27:D27"/>
    <mergeCell ref="B14:I14"/>
    <mergeCell ref="F18:F21"/>
    <mergeCell ref="F32:I32"/>
    <mergeCell ref="G33:I33"/>
    <mergeCell ref="C22:D22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M48"/>
  <sheetViews>
    <sheetView showGridLines="0" zoomScale="80" workbookViewId="0">
      <pane ySplit="5" topLeftCell="A21" activePane="bottomLeft" state="frozen"/>
      <selection activeCell="K15" sqref="K15"/>
      <selection pane="bottomLeft" activeCell="X29" sqref="X29"/>
    </sheetView>
  </sheetViews>
  <sheetFormatPr defaultRowHeight="19.5" customHeight="1"/>
  <cols>
    <col min="1" max="1" width="0.5" style="5" customWidth="1"/>
    <col min="2" max="2" width="5.25" style="5" bestFit="1" customWidth="1"/>
    <col min="3" max="3" width="7.375" style="5" customWidth="1"/>
    <col min="4" max="4" width="8.875" style="5" customWidth="1"/>
    <col min="5" max="5" width="17.75" style="5" customWidth="1"/>
    <col min="6" max="6" width="6.375" style="6" customWidth="1"/>
    <col min="7" max="7" width="8.875" style="24" customWidth="1"/>
    <col min="8" max="8" width="9.75" style="40" customWidth="1"/>
    <col min="9" max="9" width="17.5" style="40" bestFit="1" customWidth="1"/>
    <col min="10" max="10" width="15.625" style="5" customWidth="1"/>
    <col min="11" max="11" width="13.75" style="81" bestFit="1" customWidth="1"/>
    <col min="12" max="12" width="10.875" style="5" bestFit="1" customWidth="1"/>
    <col min="13" max="16384" width="9" style="5"/>
  </cols>
  <sheetData>
    <row r="1" spans="2:11" s="80" customFormat="1" ht="26.25" customHeight="1">
      <c r="B1" s="1"/>
      <c r="C1" s="2" t="s">
        <v>71</v>
      </c>
      <c r="D1" s="3"/>
      <c r="E1" s="3"/>
      <c r="F1" s="4"/>
      <c r="G1" s="23"/>
      <c r="H1" s="39"/>
      <c r="I1" s="39"/>
      <c r="J1" s="3"/>
      <c r="K1" s="79"/>
    </row>
    <row r="2" spans="2:11" s="80" customFormat="1" ht="19.5" customHeight="1">
      <c r="B2" s="1"/>
      <c r="C2" s="2"/>
      <c r="D2" s="3"/>
      <c r="E2" s="3"/>
      <c r="F2" s="4"/>
      <c r="G2" s="23"/>
      <c r="H2" s="39"/>
      <c r="I2" s="39"/>
      <c r="J2" s="3"/>
      <c r="K2" s="79"/>
    </row>
    <row r="3" spans="2:11" ht="30" customHeight="1">
      <c r="B3" s="171" t="s">
        <v>116</v>
      </c>
      <c r="D3" s="124"/>
      <c r="J3" s="6"/>
    </row>
    <row r="4" spans="2:11" s="6" customFormat="1" ht="8.25" customHeight="1">
      <c r="B4" s="7"/>
      <c r="C4" s="462"/>
      <c r="D4" s="463"/>
      <c r="E4" s="464"/>
      <c r="F4" s="8"/>
      <c r="G4" s="82"/>
      <c r="H4" s="82"/>
      <c r="I4" s="82"/>
      <c r="J4" s="83"/>
      <c r="K4" s="84"/>
    </row>
    <row r="5" spans="2:11" s="6" customFormat="1" ht="22.5" customHeight="1" thickBot="1">
      <c r="B5" s="34" t="s">
        <v>10</v>
      </c>
      <c r="C5" s="465" t="s">
        <v>12</v>
      </c>
      <c r="D5" s="466"/>
      <c r="E5" s="467"/>
      <c r="F5" s="35" t="s">
        <v>11</v>
      </c>
      <c r="G5" s="41" t="s">
        <v>13</v>
      </c>
      <c r="H5" s="41" t="s">
        <v>14</v>
      </c>
      <c r="I5" s="41" t="s">
        <v>96</v>
      </c>
      <c r="J5" s="36" t="s">
        <v>15</v>
      </c>
      <c r="K5" s="84"/>
    </row>
    <row r="6" spans="2:11" ht="19.5" customHeight="1" thickTop="1">
      <c r="B6" s="459">
        <v>1</v>
      </c>
      <c r="C6" s="478" t="s">
        <v>91</v>
      </c>
      <c r="D6" s="474" t="s">
        <v>1</v>
      </c>
      <c r="E6" s="33" t="s">
        <v>89</v>
      </c>
      <c r="F6" s="174" t="s">
        <v>119</v>
      </c>
      <c r="G6" s="93">
        <f>'ASSY TABLE '!F36+'VISION BAECODE DB'!F32+'OTHER COST'!F17+단위장비4!F28+단위장비5!F30+단위장비6!F30+단위장비7!F30+단위장비8!F30+단위장비9!F30+단위장비10!F30</f>
        <v>0</v>
      </c>
      <c r="H6" s="42"/>
      <c r="I6" s="42">
        <f>'ASSY TABLE '!H30+'VISION BAECODE DB'!H26+'OTHER COST'!H11+단위장비4!H22+단위장비5!H24+단위장비6!H24+단위장비7!H24+단위장비8!H24+단위장비9!H24+단위장비10!H24</f>
        <v>56880000</v>
      </c>
      <c r="J6" s="20" t="s">
        <v>21</v>
      </c>
    </row>
    <row r="7" spans="2:11" ht="19.5" customHeight="1">
      <c r="B7" s="459"/>
      <c r="C7" s="474"/>
      <c r="D7" s="474"/>
      <c r="E7" s="10" t="s">
        <v>121</v>
      </c>
      <c r="F7" s="172" t="s">
        <v>120</v>
      </c>
      <c r="G7" s="94">
        <v>1</v>
      </c>
      <c r="H7" s="32"/>
      <c r="I7" s="32">
        <f>'ASSY TABLE '!H81+'VISION BAECODE DB'!H58+'OTHER COST'!H25+단위장비4!H45+단위장비5!H47+단위장비6!H47+단위장비7!H47+단위장비8!H47+단위장비9!H47+단위장비10!H47</f>
        <v>117061000</v>
      </c>
      <c r="J7" s="11" t="s">
        <v>22</v>
      </c>
    </row>
    <row r="8" spans="2:11" ht="19.5" customHeight="1">
      <c r="B8" s="459"/>
      <c r="C8" s="474"/>
      <c r="D8" s="474"/>
      <c r="E8" s="10" t="s">
        <v>2</v>
      </c>
      <c r="F8" s="172" t="s">
        <v>120</v>
      </c>
      <c r="G8" s="95">
        <v>1</v>
      </c>
      <c r="H8" s="32"/>
      <c r="I8" s="32">
        <f>'ASSY TABLE '!H89+'VISION BAECODE DB'!H66+'OTHER COST'!H39+단위장비4!H53+단위장비5!H55+단위장비6!H55+단위장비7!H55+단위장비8!H55+단위장비9!H55+단위장비10!H55</f>
        <v>89000000</v>
      </c>
      <c r="J8" s="11" t="s">
        <v>30</v>
      </c>
    </row>
    <row r="9" spans="2:11" ht="19.5" customHeight="1">
      <c r="B9" s="459"/>
      <c r="C9" s="474"/>
      <c r="D9" s="474"/>
      <c r="E9" s="272" t="s">
        <v>158</v>
      </c>
      <c r="F9" s="293" t="s">
        <v>153</v>
      </c>
      <c r="G9" s="294">
        <v>1</v>
      </c>
      <c r="H9" s="273"/>
      <c r="I9" s="273">
        <f>'ASSY TABLE '!H36+'VISION BAECODE DB'!H32+'OTHER COST'!H17+단위장비4!H28+단위장비5!H30+단위장비6!H30+단위장비7!H30+단위장비8!H30+단위장비9!H30+단위장비10!H30</f>
        <v>0</v>
      </c>
      <c r="J9" s="287" t="s">
        <v>159</v>
      </c>
    </row>
    <row r="10" spans="2:11" ht="19.5" customHeight="1">
      <c r="B10" s="459"/>
      <c r="C10" s="474"/>
      <c r="D10" s="479"/>
      <c r="E10" s="12" t="s">
        <v>67</v>
      </c>
      <c r="F10" s="438"/>
      <c r="G10" s="439"/>
      <c r="H10" s="440"/>
      <c r="I10" s="43">
        <f>SUM(I6:I9)</f>
        <v>262941000</v>
      </c>
      <c r="J10" s="11"/>
    </row>
    <row r="11" spans="2:11" ht="19.5" customHeight="1">
      <c r="B11" s="459"/>
      <c r="C11" s="474"/>
      <c r="D11" s="480" t="s">
        <v>3</v>
      </c>
      <c r="E11" s="295" t="s">
        <v>90</v>
      </c>
      <c r="F11" s="293" t="s">
        <v>117</v>
      </c>
      <c r="G11" s="296">
        <f>'ASSY TABLE '!F91+'VISION BAECODE DB'!F68+'OTHER COST'!F41+단위장비4!F55+단위장비5!F57+단위장비6!F57+단위장비7!F57+단위장비8!F57+단위장비9!F57+단위장비10!F57</f>
        <v>0</v>
      </c>
      <c r="H11" s="296" t="str">
        <f>IF('ASSY TABLE '!G91&gt;0,'ASSY TABLE '!G91,"")</f>
        <v/>
      </c>
      <c r="I11" s="296">
        <f>'ASSY TABLE '!H91+'VISION BAECODE DB'!H68+'OTHER COST'!H41+단위장비4!H55+단위장비5!H57+단위장비6!H57+단위장비7!H57+단위장비8!H57+단위장비9!H57+단위장비10!H57</f>
        <v>0</v>
      </c>
      <c r="J11" s="14" t="s">
        <v>66</v>
      </c>
    </row>
    <row r="12" spans="2:11" s="86" customFormat="1" ht="19.5" customHeight="1">
      <c r="B12" s="459"/>
      <c r="C12" s="474"/>
      <c r="D12" s="474"/>
      <c r="E12" s="10" t="s">
        <v>4</v>
      </c>
      <c r="F12" s="172" t="s">
        <v>117</v>
      </c>
      <c r="G12" s="30">
        <f>'ASSY TABLE '!F92+'VISION BAECODE DB'!F69+'OTHER COST'!F42+단위장비4!F56+단위장비5!F58+단위장비6!F58+단위장비7!F58+단위장비8!F58+단위장비9!F58+단위장비10!F58</f>
        <v>60</v>
      </c>
      <c r="H12" s="30">
        <f>IF('ASSY TABLE '!G92&gt;0,'ASSY TABLE '!G92,"")</f>
        <v>300000</v>
      </c>
      <c r="I12" s="30">
        <f>'ASSY TABLE '!H92+'VISION BAECODE DB'!H69+'OTHER COST'!H42+단위장비4!H56+단위장비5!H58+단위장비6!H58+단위장비7!H58+단위장비8!H58+단위장비9!H58+단위장비10!H58</f>
        <v>21000000</v>
      </c>
      <c r="J12" s="14"/>
      <c r="K12" s="85"/>
    </row>
    <row r="13" spans="2:11" s="86" customFormat="1" ht="19.5" customHeight="1">
      <c r="B13" s="459"/>
      <c r="C13" s="474"/>
      <c r="D13" s="474"/>
      <c r="E13" s="13" t="s">
        <v>19</v>
      </c>
      <c r="F13" s="172" t="s">
        <v>117</v>
      </c>
      <c r="G13" s="30">
        <f>'ASSY TABLE '!F93+'VISION BAECODE DB'!F70+'OTHER COST'!F43+단위장비4!F57+단위장비5!F59+단위장비6!F59+단위장비7!F59+단위장비8!F59+단위장비9!F59+단위장비10!F59</f>
        <v>45</v>
      </c>
      <c r="H13" s="30">
        <f>IF('ASSY TABLE '!G93&gt;0,'ASSY TABLE '!G93,"")</f>
        <v>300000</v>
      </c>
      <c r="I13" s="30">
        <f>'ASSY TABLE '!H93+'VISION BAECODE DB'!H70+'OTHER COST'!H43+단위장비4!H57+단위장비5!H59+단위장비6!H59+단위장비7!H59+단위장비8!H59+단위장비9!H59+단위장비10!H59</f>
        <v>15000000</v>
      </c>
      <c r="J13" s="14"/>
      <c r="K13" s="85"/>
    </row>
    <row r="14" spans="2:11" s="86" customFormat="1" ht="19.5" customHeight="1">
      <c r="B14" s="459"/>
      <c r="C14" s="474"/>
      <c r="D14" s="474"/>
      <c r="E14" s="13" t="s">
        <v>6</v>
      </c>
      <c r="F14" s="172" t="s">
        <v>117</v>
      </c>
      <c r="G14" s="30">
        <f>'ASSY TABLE '!F94+'VISION BAECODE DB'!F71+'OTHER COST'!F44+단위장비4!F58+단위장비5!F60+단위장비6!F60+단위장비7!F60+단위장비8!F60+단위장비9!F60+단위장비10!F60</f>
        <v>35</v>
      </c>
      <c r="H14" s="30">
        <f>IF('ASSY TABLE '!G94&gt;0,'ASSY TABLE '!G94,"")</f>
        <v>300000</v>
      </c>
      <c r="I14" s="30">
        <f>'ASSY TABLE '!H94+'VISION BAECODE DB'!H71+'OTHER COST'!H44+단위장비4!H58+단위장비5!H60+단위장비6!H60+단위장비7!H60+단위장비8!H60+단위장비9!H60+단위장비10!H60</f>
        <v>12000000</v>
      </c>
      <c r="J14" s="14" t="s">
        <v>65</v>
      </c>
      <c r="K14" s="85"/>
    </row>
    <row r="15" spans="2:11" s="86" customFormat="1" ht="19.5" customHeight="1">
      <c r="B15" s="459"/>
      <c r="C15" s="474"/>
      <c r="D15" s="474"/>
      <c r="E15" s="295" t="s">
        <v>7</v>
      </c>
      <c r="F15" s="293" t="s">
        <v>117</v>
      </c>
      <c r="G15" s="296">
        <f>'ASSY TABLE '!F95+'VISION BAECODE DB'!F72+'OTHER COST'!F45+단위장비4!F59+단위장비5!F61+단위장비6!F61+단위장비7!F61+단위장비8!F61+단위장비9!F61+단위장비10!F61</f>
        <v>25</v>
      </c>
      <c r="H15" s="296">
        <f>IF('ASSY TABLE '!G95&gt;0,'ASSY TABLE '!G95,"")</f>
        <v>300000</v>
      </c>
      <c r="I15" s="296">
        <f>'ASSY TABLE '!H95+'VISION BAECODE DB'!H72+'OTHER COST'!H45+단위장비4!H59+단위장비5!H61+단위장비6!H61+단위장비7!H61+단위장비8!H61+단위장비9!H61+단위장비10!H61</f>
        <v>9000000</v>
      </c>
      <c r="J15" s="14"/>
      <c r="K15" s="85"/>
    </row>
    <row r="16" spans="2:11" ht="19.5" customHeight="1">
      <c r="B16" s="459"/>
      <c r="C16" s="474"/>
      <c r="D16" s="474"/>
      <c r="E16" s="295" t="s">
        <v>8</v>
      </c>
      <c r="F16" s="293" t="s">
        <v>117</v>
      </c>
      <c r="G16" s="296">
        <f>'ASSY TABLE '!F96+'VISION BAECODE DB'!F73+'OTHER COST'!F46+단위장비4!F60+단위장비5!F62+단위장비6!F62+단위장비7!F62+단위장비8!F62+단위장비9!F62+단위장비10!F62</f>
        <v>55</v>
      </c>
      <c r="H16" s="296">
        <f>IF('ASSY TABLE '!G96&gt;0,'ASSY TABLE '!G96,"")</f>
        <v>300000</v>
      </c>
      <c r="I16" s="296">
        <f>'ASSY TABLE '!H96+'VISION BAECODE DB'!H73+'OTHER COST'!H46+단위장비4!H60+단위장비5!H62+단위장비6!H62+단위장비7!H62+단위장비8!H62+단위장비9!H62+단위장비10!H62</f>
        <v>19500000</v>
      </c>
      <c r="J16" s="11"/>
    </row>
    <row r="17" spans="2:10" ht="19.5" customHeight="1">
      <c r="B17" s="459"/>
      <c r="C17" s="474"/>
      <c r="D17" s="474"/>
      <c r="E17" s="10" t="s">
        <v>9</v>
      </c>
      <c r="F17" s="172" t="s">
        <v>117</v>
      </c>
      <c r="G17" s="30">
        <f>'ASSY TABLE '!F97+'VISION BAECODE DB'!F74+'OTHER COST'!F47+단위장비4!F61+단위장비5!F63+단위장비6!F63+단위장비7!F63+단위장비8!F63+단위장비9!F63+단위장비10!F63</f>
        <v>69</v>
      </c>
      <c r="H17" s="30">
        <f>IF('ASSY TABLE '!G97&gt;0,'ASSY TABLE '!G97,"")</f>
        <v>500000</v>
      </c>
      <c r="I17" s="30">
        <f>'ASSY TABLE '!H97+'VISION BAECODE DB'!H74+'OTHER COST'!H47+단위장비4!H61+단위장비5!H63+단위장비6!H63+단위장비7!H63+단위장비8!H63+단위장비9!H63+단위장비10!H63</f>
        <v>34500000</v>
      </c>
      <c r="J17" s="11"/>
    </row>
    <row r="18" spans="2:10" ht="19.5" customHeight="1">
      <c r="B18" s="459"/>
      <c r="C18" s="474"/>
      <c r="D18" s="474"/>
      <c r="E18" s="10" t="s">
        <v>20</v>
      </c>
      <c r="F18" s="172" t="s">
        <v>117</v>
      </c>
      <c r="G18" s="30">
        <f>'ASSY TABLE '!F98+'VISION BAECODE DB'!F75+'OTHER COST'!F48+단위장비4!F62+단위장비5!F64+단위장비6!F64+단위장비7!F64+단위장비8!F64+단위장비9!F64+단위장비10!F64</f>
        <v>1</v>
      </c>
      <c r="H18" s="30">
        <f>IF('ASSY TABLE '!G98&gt;0,'ASSY TABLE '!G98,"")</f>
        <v>4000000</v>
      </c>
      <c r="I18" s="30">
        <f>'ASSY TABLE '!H98+'VISION BAECODE DB'!H75+'OTHER COST'!H48+단위장비4!H62+단위장비5!H64+단위장비6!H64+단위장비7!H64+단위장비8!H64+단위장비9!H64+단위장비10!H64</f>
        <v>4000000</v>
      </c>
      <c r="J18" s="11"/>
    </row>
    <row r="19" spans="2:10" ht="19.5" customHeight="1">
      <c r="B19" s="459"/>
      <c r="C19" s="474"/>
      <c r="D19" s="479"/>
      <c r="E19" s="12" t="s">
        <v>67</v>
      </c>
      <c r="F19" s="438"/>
      <c r="G19" s="439"/>
      <c r="H19" s="440"/>
      <c r="I19" s="43">
        <f>SUM(I11:I18)</f>
        <v>115000000</v>
      </c>
      <c r="J19" s="11"/>
    </row>
    <row r="20" spans="2:10" ht="19.5" customHeight="1">
      <c r="B20" s="459"/>
      <c r="C20" s="474"/>
      <c r="D20" s="133" t="s">
        <v>76</v>
      </c>
      <c r="E20" s="126"/>
      <c r="F20" s="438"/>
      <c r="G20" s="439"/>
      <c r="H20" s="440"/>
      <c r="I20" s="46">
        <f>'ASSY TABLE '!H101+'ASSY TABLE '!H102+'VISION BAECODE DB'!H78+'VISION BAECODE DB'!H79+'OTHER COST'!H51+'OTHER COST'!H52+단위장비4!H65+단위장비4!H66+단위장비5!H67+단위장비5!H68+단위장비6!H67+단위장비6!H68+단위장비7!H67+단위장비7!H68+단위장비8!H67+단위장비8!H68+단위장비9!H67+단위장비9!H68+단위장비10!H67+단위장비10!H68</f>
        <v>56691150</v>
      </c>
      <c r="J20" s="87"/>
    </row>
    <row r="21" spans="2:10" ht="19.5" customHeight="1">
      <c r="B21" s="460"/>
      <c r="C21" s="475"/>
      <c r="D21" s="15"/>
      <c r="E21" s="16" t="s">
        <v>49</v>
      </c>
      <c r="F21" s="444"/>
      <c r="G21" s="445"/>
      <c r="H21" s="446"/>
      <c r="I21" s="44">
        <f>I19+I10+I20</f>
        <v>434632150</v>
      </c>
      <c r="J21" s="17"/>
    </row>
    <row r="22" spans="2:10" ht="19.5" customHeight="1">
      <c r="B22" s="461">
        <v>2</v>
      </c>
      <c r="C22" s="471" t="s">
        <v>92</v>
      </c>
      <c r="D22" s="476" t="s">
        <v>1</v>
      </c>
      <c r="E22" s="9" t="s">
        <v>16</v>
      </c>
      <c r="F22" s="173" t="s">
        <v>118</v>
      </c>
      <c r="G22" s="31">
        <v>1</v>
      </c>
      <c r="H22" s="31"/>
      <c r="I22" s="31">
        <f>전기!H69-I23</f>
        <v>61065400</v>
      </c>
      <c r="J22" s="18"/>
    </row>
    <row r="23" spans="2:10" ht="19.5" customHeight="1">
      <c r="B23" s="459"/>
      <c r="C23" s="472"/>
      <c r="D23" s="477"/>
      <c r="E23" s="272" t="s">
        <v>158</v>
      </c>
      <c r="F23" s="297" t="s">
        <v>153</v>
      </c>
      <c r="G23" s="274">
        <v>1</v>
      </c>
      <c r="H23" s="274"/>
      <c r="I23" s="274">
        <f>전기!H17</f>
        <v>0</v>
      </c>
      <c r="J23" s="287" t="s">
        <v>159</v>
      </c>
    </row>
    <row r="24" spans="2:10" ht="19.5" customHeight="1">
      <c r="B24" s="459"/>
      <c r="C24" s="473"/>
      <c r="D24" s="480" t="s">
        <v>3</v>
      </c>
      <c r="E24" s="295" t="s">
        <v>95</v>
      </c>
      <c r="F24" s="293" t="s">
        <v>117</v>
      </c>
      <c r="G24" s="296">
        <f>전기!F70</f>
        <v>0</v>
      </c>
      <c r="H24" s="273" t="str">
        <f>IF(전기!G70&gt;0,전기!G70,"")</f>
        <v/>
      </c>
      <c r="I24" s="296">
        <f>전기!H70</f>
        <v>0</v>
      </c>
      <c r="J24" s="14"/>
    </row>
    <row r="25" spans="2:10" ht="19.5" customHeight="1">
      <c r="B25" s="459"/>
      <c r="C25" s="473"/>
      <c r="D25" s="474"/>
      <c r="E25" s="10" t="s">
        <v>73</v>
      </c>
      <c r="F25" s="172" t="s">
        <v>117</v>
      </c>
      <c r="G25" s="32">
        <f>전기!F71</f>
        <v>30</v>
      </c>
      <c r="H25" s="32">
        <f>IF(전기!G71&gt;0,전기!G71,"")</f>
        <v>300000</v>
      </c>
      <c r="I25" s="32">
        <f>전기!H71</f>
        <v>9000000</v>
      </c>
      <c r="J25" s="11"/>
    </row>
    <row r="26" spans="2:10" ht="19.5" customHeight="1">
      <c r="B26" s="459"/>
      <c r="C26" s="473"/>
      <c r="D26" s="474"/>
      <c r="E26" s="10" t="s">
        <v>5</v>
      </c>
      <c r="F26" s="172" t="s">
        <v>117</v>
      </c>
      <c r="G26" s="32">
        <f>전기!F72</f>
        <v>10</v>
      </c>
      <c r="H26" s="32">
        <f>IF(전기!G72&gt;0,전기!G72,"")</f>
        <v>250000</v>
      </c>
      <c r="I26" s="32">
        <f>전기!H72</f>
        <v>2500000</v>
      </c>
      <c r="J26" s="11"/>
    </row>
    <row r="27" spans="2:10" ht="19.5" customHeight="1">
      <c r="B27" s="459"/>
      <c r="C27" s="473"/>
      <c r="D27" s="474"/>
      <c r="E27" s="10" t="s">
        <v>101</v>
      </c>
      <c r="F27" s="172" t="s">
        <v>117</v>
      </c>
      <c r="G27" s="32">
        <f>전기!F73</f>
        <v>10</v>
      </c>
      <c r="H27" s="32">
        <f>IF(전기!G73&gt;0,전기!G73,"")</f>
        <v>250000</v>
      </c>
      <c r="I27" s="32">
        <f>전기!H73</f>
        <v>2500000</v>
      </c>
      <c r="J27" s="11"/>
    </row>
    <row r="28" spans="2:10" ht="19.5" customHeight="1">
      <c r="B28" s="459"/>
      <c r="C28" s="473"/>
      <c r="D28" s="474"/>
      <c r="E28" s="298" t="s">
        <v>100</v>
      </c>
      <c r="F28" s="293" t="s">
        <v>117</v>
      </c>
      <c r="G28" s="273">
        <f>전기!F74</f>
        <v>10</v>
      </c>
      <c r="H28" s="273">
        <f>IF(전기!G74&gt;0,전기!G74,"")</f>
        <v>250000</v>
      </c>
      <c r="I28" s="273">
        <f>전기!H74</f>
        <v>2500000</v>
      </c>
      <c r="J28" s="11"/>
    </row>
    <row r="29" spans="2:10" ht="19.5" customHeight="1">
      <c r="B29" s="459"/>
      <c r="C29" s="473"/>
      <c r="D29" s="474"/>
      <c r="E29" s="298" t="s">
        <v>8</v>
      </c>
      <c r="F29" s="293" t="s">
        <v>117</v>
      </c>
      <c r="G29" s="273">
        <f>전기!F75</f>
        <v>10</v>
      </c>
      <c r="H29" s="273">
        <f>IF(전기!G75&gt;0,전기!G75,"")</f>
        <v>350000</v>
      </c>
      <c r="I29" s="273">
        <f>전기!H75</f>
        <v>3500000</v>
      </c>
      <c r="J29" s="11"/>
    </row>
    <row r="30" spans="2:10" ht="19.5" customHeight="1">
      <c r="B30" s="459"/>
      <c r="C30" s="473"/>
      <c r="D30" s="474"/>
      <c r="E30" s="10" t="s">
        <v>9</v>
      </c>
      <c r="F30" s="172" t="s">
        <v>117</v>
      </c>
      <c r="G30" s="32">
        <f>전기!F76</f>
        <v>42</v>
      </c>
      <c r="H30" s="32">
        <f>IF(전기!G76&gt;0,전기!G76,"")</f>
        <v>500000</v>
      </c>
      <c r="I30" s="32">
        <f>전기!H76</f>
        <v>21000000</v>
      </c>
      <c r="J30" s="11"/>
    </row>
    <row r="31" spans="2:10" ht="19.5" customHeight="1">
      <c r="B31" s="459"/>
      <c r="C31" s="473"/>
      <c r="D31" s="479"/>
      <c r="E31" s="12" t="s">
        <v>68</v>
      </c>
      <c r="F31" s="441"/>
      <c r="G31" s="442"/>
      <c r="H31" s="443"/>
      <c r="I31" s="43">
        <f>SUM(I24:I30)</f>
        <v>41000000</v>
      </c>
      <c r="J31" s="11"/>
    </row>
    <row r="32" spans="2:10" ht="19.5" customHeight="1">
      <c r="B32" s="459"/>
      <c r="C32" s="474"/>
      <c r="D32" s="133" t="s">
        <v>76</v>
      </c>
      <c r="E32" s="126"/>
      <c r="F32" s="438"/>
      <c r="G32" s="439"/>
      <c r="H32" s="440"/>
      <c r="I32" s="46">
        <f>전기!H79+전기!H80</f>
        <v>15309810</v>
      </c>
      <c r="J32" s="87"/>
    </row>
    <row r="33" spans="2:13" ht="19.5" customHeight="1">
      <c r="B33" s="460"/>
      <c r="C33" s="475"/>
      <c r="D33" s="15"/>
      <c r="E33" s="16" t="s">
        <v>69</v>
      </c>
      <c r="F33" s="444"/>
      <c r="G33" s="445"/>
      <c r="H33" s="446"/>
      <c r="I33" s="44">
        <f>I31+I22+I32+I23</f>
        <v>117375210</v>
      </c>
      <c r="J33" s="17"/>
    </row>
    <row r="34" spans="2:13" ht="19.5" customHeight="1">
      <c r="B34" s="468">
        <v>3</v>
      </c>
      <c r="C34" s="447" t="s">
        <v>57</v>
      </c>
      <c r="D34" s="448"/>
      <c r="E34" s="449"/>
      <c r="F34" s="447"/>
      <c r="G34" s="448"/>
      <c r="H34" s="449"/>
      <c r="I34" s="45">
        <f>I22+I10+I23</f>
        <v>324006400</v>
      </c>
      <c r="J34" s="18"/>
    </row>
    <row r="35" spans="2:13" ht="19.5" customHeight="1">
      <c r="B35" s="469"/>
      <c r="C35" s="438" t="s">
        <v>58</v>
      </c>
      <c r="D35" s="439"/>
      <c r="E35" s="440"/>
      <c r="F35" s="438"/>
      <c r="G35" s="439"/>
      <c r="H35" s="440"/>
      <c r="I35" s="43">
        <f>I31+I19</f>
        <v>156000000</v>
      </c>
      <c r="J35" s="11"/>
    </row>
    <row r="36" spans="2:13" ht="19.5" customHeight="1" thickBot="1">
      <c r="B36" s="470"/>
      <c r="C36" s="451" t="s">
        <v>59</v>
      </c>
      <c r="D36" s="451"/>
      <c r="E36" s="452"/>
      <c r="F36" s="450"/>
      <c r="G36" s="451"/>
      <c r="H36" s="452"/>
      <c r="I36" s="53">
        <f>I35+I34</f>
        <v>480006400</v>
      </c>
      <c r="J36" s="54"/>
    </row>
    <row r="37" spans="2:13" ht="20.25" customHeight="1">
      <c r="B37" s="19">
        <v>4</v>
      </c>
      <c r="C37" s="479" t="s">
        <v>88</v>
      </c>
      <c r="D37" s="496"/>
      <c r="E37" s="497"/>
      <c r="F37" s="453"/>
      <c r="G37" s="454"/>
      <c r="H37" s="455"/>
      <c r="I37" s="149">
        <v>6800000</v>
      </c>
      <c r="J37" s="110"/>
    </row>
    <row r="38" spans="2:13" ht="22.5" customHeight="1">
      <c r="B38" s="21">
        <v>5</v>
      </c>
      <c r="C38" s="438" t="s">
        <v>0</v>
      </c>
      <c r="D38" s="439"/>
      <c r="E38" s="440"/>
      <c r="F38" s="456" t="s">
        <v>172</v>
      </c>
      <c r="G38" s="457"/>
      <c r="H38" s="458"/>
      <c r="I38" s="111">
        <f>CEILING(MIN(I46:I47),1000)</f>
        <v>1280000</v>
      </c>
      <c r="J38" s="299">
        <f>I29+I28+I24+I23+I16+I15+I11+I9</f>
        <v>34500000</v>
      </c>
      <c r="K38" s="176"/>
      <c r="M38" s="176"/>
    </row>
    <row r="39" spans="2:13" ht="20.25" customHeight="1">
      <c r="B39" s="21">
        <v>6</v>
      </c>
      <c r="C39" s="438" t="s">
        <v>25</v>
      </c>
      <c r="D39" s="439"/>
      <c r="E39" s="440"/>
      <c r="F39" s="498"/>
      <c r="G39" s="499"/>
      <c r="H39" s="500"/>
      <c r="I39" s="43">
        <f>전기!H79+'ASSY TABLE '!H101+'VISION BAECODE DB'!H78+'OTHER COST'!H51+단위장비4!H65+단위장비5!H67+단위장비6!H67+단위장비7!H67+단위장비8!H67+단위장비9!H67+단위장비10!H67</f>
        <v>14400192</v>
      </c>
      <c r="J39" s="11"/>
      <c r="L39" s="366" t="s">
        <v>185</v>
      </c>
    </row>
    <row r="40" spans="2:13" ht="20.25" customHeight="1">
      <c r="B40" s="22">
        <v>7</v>
      </c>
      <c r="C40" s="444" t="s">
        <v>17</v>
      </c>
      <c r="D40" s="445"/>
      <c r="E40" s="446"/>
      <c r="F40" s="492"/>
      <c r="G40" s="493"/>
      <c r="H40" s="494"/>
      <c r="I40" s="46">
        <f>전기!H80+'ASSY TABLE '!H102+'VISION BAECODE DB'!H79+'OTHER COST'!H52+단위장비4!H66+단위장비5!H68+단위장비6!H68+단위장비7!H68+단위장비8!H68+단위장비9!H68+단위장비10!H68</f>
        <v>57600768</v>
      </c>
      <c r="J40" s="87"/>
      <c r="K40" s="5"/>
    </row>
    <row r="41" spans="2:13" ht="28.5" customHeight="1" thickBot="1">
      <c r="B41" s="55"/>
      <c r="C41" s="495" t="s">
        <v>18</v>
      </c>
      <c r="D41" s="495"/>
      <c r="E41" s="495"/>
      <c r="F41" s="489" t="s">
        <v>63</v>
      </c>
      <c r="G41" s="490"/>
      <c r="H41" s="491"/>
      <c r="I41" s="56">
        <f>(I21+I33+I37+I38)-87360</f>
        <v>560000000</v>
      </c>
      <c r="J41" s="88"/>
      <c r="K41" s="5"/>
    </row>
    <row r="42" spans="2:13" ht="19.5" customHeight="1">
      <c r="B42" s="275" t="s">
        <v>154</v>
      </c>
      <c r="C42" s="6"/>
      <c r="D42" s="6"/>
      <c r="E42" s="6"/>
    </row>
    <row r="43" spans="2:13" ht="19.5" customHeight="1">
      <c r="B43" s="5" t="s">
        <v>64</v>
      </c>
      <c r="C43" s="6"/>
      <c r="D43" s="6"/>
      <c r="E43" s="6"/>
    </row>
    <row r="44" spans="2:13" ht="19.5" customHeight="1">
      <c r="C44" s="6"/>
      <c r="D44" s="6"/>
      <c r="E44" s="6"/>
    </row>
    <row r="45" spans="2:13" ht="19.5" customHeight="1">
      <c r="C45" s="6"/>
      <c r="D45" s="6"/>
      <c r="E45" s="486" t="s">
        <v>177</v>
      </c>
      <c r="F45" s="483" t="s">
        <v>167</v>
      </c>
      <c r="G45" s="484"/>
      <c r="H45" s="485"/>
      <c r="I45" s="289" t="s">
        <v>169</v>
      </c>
      <c r="J45" s="291" t="s">
        <v>166</v>
      </c>
      <c r="K45" s="292" t="s">
        <v>170</v>
      </c>
    </row>
    <row r="46" spans="2:13" ht="19.5" customHeight="1">
      <c r="C46" s="6"/>
      <c r="D46" s="6"/>
      <c r="E46" s="487"/>
      <c r="F46" s="481" t="s">
        <v>162</v>
      </c>
      <c r="G46" s="482"/>
      <c r="H46" s="482"/>
      <c r="I46" s="43">
        <f>IF(J46&lt;500000000,J46*0.0309,1)+IF(J46&gt;500000000,J46*0.0199+5499000)*IF(J46&gt;5000000000,0,1)+IF(J46&gt;5000000000,J46*0.021,0)</f>
        <v>15042317.76</v>
      </c>
      <c r="J46" s="290">
        <f>SUM(I6:I9,I11:I18,I22:I30,I37)</f>
        <v>486806400</v>
      </c>
      <c r="K46" s="290" t="s">
        <v>164</v>
      </c>
    </row>
    <row r="47" spans="2:13" ht="19.5" customHeight="1">
      <c r="E47" s="488"/>
      <c r="F47" s="481" t="s">
        <v>163</v>
      </c>
      <c r="G47" s="482"/>
      <c r="H47" s="482"/>
      <c r="I47" s="43">
        <f>(IF(J47&lt;500000000,J47*0.0309,1)+IF(J47&gt;500000000,J47*0.0199+5499000)*IF(J47&gt;5000000000,0,1)+IF(J47&gt;5000000000,J47*0.021,0))*1.2</f>
        <v>1279260</v>
      </c>
      <c r="J47" s="300">
        <f>SUM(I9,I23,I11,I15:I16,I24,I28:I29)</f>
        <v>34500000</v>
      </c>
      <c r="K47" s="290" t="s">
        <v>165</v>
      </c>
    </row>
    <row r="48" spans="2:13" ht="19.5" customHeight="1">
      <c r="G48" s="288" t="s">
        <v>168</v>
      </c>
    </row>
  </sheetData>
  <mergeCells count="38">
    <mergeCell ref="C39:E39"/>
    <mergeCell ref="C40:E40"/>
    <mergeCell ref="C41:E41"/>
    <mergeCell ref="C37:E37"/>
    <mergeCell ref="F46:H46"/>
    <mergeCell ref="F39:H39"/>
    <mergeCell ref="C38:E38"/>
    <mergeCell ref="F47:H47"/>
    <mergeCell ref="F45:H45"/>
    <mergeCell ref="E45:E47"/>
    <mergeCell ref="F41:H41"/>
    <mergeCell ref="F40:H40"/>
    <mergeCell ref="B6:B21"/>
    <mergeCell ref="B22:B33"/>
    <mergeCell ref="C4:E4"/>
    <mergeCell ref="C5:E5"/>
    <mergeCell ref="B34:B36"/>
    <mergeCell ref="C34:E34"/>
    <mergeCell ref="C35:E35"/>
    <mergeCell ref="C36:E36"/>
    <mergeCell ref="C22:C33"/>
    <mergeCell ref="D22:D23"/>
    <mergeCell ref="C6:C21"/>
    <mergeCell ref="D6:D10"/>
    <mergeCell ref="D24:D31"/>
    <mergeCell ref="D11:D19"/>
    <mergeCell ref="F34:H34"/>
    <mergeCell ref="F35:H35"/>
    <mergeCell ref="F36:H36"/>
    <mergeCell ref="F37:H37"/>
    <mergeCell ref="F38:H38"/>
    <mergeCell ref="F10:H10"/>
    <mergeCell ref="F31:H31"/>
    <mergeCell ref="F32:H32"/>
    <mergeCell ref="F33:H33"/>
    <mergeCell ref="F19:H19"/>
    <mergeCell ref="F20:H20"/>
    <mergeCell ref="F21:H21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2:S22"/>
  <sheetViews>
    <sheetView zoomScale="80" workbookViewId="0">
      <selection activeCell="W21" sqref="W21"/>
    </sheetView>
  </sheetViews>
  <sheetFormatPr defaultRowHeight="17.25" customHeight="1"/>
  <cols>
    <col min="1" max="1" width="5" style="25" customWidth="1"/>
    <col min="2" max="2" width="20.125" style="25" customWidth="1"/>
    <col min="3" max="3" width="6.25" style="25" customWidth="1"/>
    <col min="4" max="4" width="13.625" style="25" customWidth="1"/>
    <col min="5" max="8" width="11.875" style="25" customWidth="1"/>
    <col min="9" max="9" width="13" style="25" customWidth="1"/>
    <col min="10" max="10" width="15.75" style="25" customWidth="1"/>
    <col min="11" max="11" width="13.875" style="25" customWidth="1"/>
    <col min="12" max="12" width="12.5" style="25" bestFit="1" customWidth="1"/>
    <col min="13" max="13" width="15" style="25" bestFit="1" customWidth="1"/>
    <col min="14" max="14" width="15.625" style="25" customWidth="1"/>
    <col min="15" max="15" width="9.625" style="25" customWidth="1"/>
    <col min="16" max="16" width="12.625" style="25" hidden="1" customWidth="1"/>
    <col min="17" max="17" width="10" style="25" customWidth="1"/>
    <col min="18" max="16384" width="9" style="25"/>
  </cols>
  <sheetData>
    <row r="2" spans="1:19" ht="31.5" customHeight="1">
      <c r="A2" s="2" t="s">
        <v>93</v>
      </c>
    </row>
    <row r="3" spans="1:19" ht="17.25" customHeight="1" thickBot="1">
      <c r="N3" s="25" t="s">
        <v>29</v>
      </c>
    </row>
    <row r="4" spans="1:19" s="229" customFormat="1" ht="8.25" customHeight="1">
      <c r="A4" s="29"/>
      <c r="B4" s="29"/>
      <c r="C4" s="29"/>
      <c r="D4" s="504"/>
      <c r="E4" s="505"/>
      <c r="F4" s="505"/>
      <c r="G4" s="505"/>
      <c r="H4" s="505"/>
      <c r="I4" s="505"/>
      <c r="J4" s="506"/>
      <c r="K4" s="135"/>
      <c r="L4" s="128"/>
      <c r="M4" s="129"/>
      <c r="N4" s="59"/>
      <c r="O4" s="47"/>
    </row>
    <row r="5" spans="1:19" s="26" customFormat="1" ht="25.5" customHeight="1">
      <c r="A5" s="64"/>
      <c r="B5" s="64"/>
      <c r="C5" s="64"/>
      <c r="D5" s="245"/>
      <c r="E5" s="246"/>
      <c r="F5" s="246"/>
      <c r="G5" s="246"/>
      <c r="H5" s="246"/>
      <c r="I5" s="247" t="s">
        <v>86</v>
      </c>
      <c r="J5" s="230"/>
      <c r="K5" s="225"/>
      <c r="L5" s="224" t="s">
        <v>74</v>
      </c>
      <c r="M5" s="226" t="s">
        <v>56</v>
      </c>
      <c r="N5" s="227"/>
      <c r="O5" s="228"/>
    </row>
    <row r="6" spans="1:19" s="26" customFormat="1" ht="25.5" customHeight="1" thickBot="1">
      <c r="A6" s="38" t="s">
        <v>23</v>
      </c>
      <c r="B6" s="38" t="s">
        <v>94</v>
      </c>
      <c r="C6" s="38" t="s">
        <v>28</v>
      </c>
      <c r="D6" s="248" t="s">
        <v>24</v>
      </c>
      <c r="E6" s="249" t="s">
        <v>60</v>
      </c>
      <c r="F6" s="249" t="s">
        <v>61</v>
      </c>
      <c r="G6" s="249" t="s">
        <v>54</v>
      </c>
      <c r="H6" s="249" t="s">
        <v>55</v>
      </c>
      <c r="I6" s="250" t="s">
        <v>87</v>
      </c>
      <c r="J6" s="231" t="s">
        <v>144</v>
      </c>
      <c r="K6" s="136" t="s">
        <v>145</v>
      </c>
      <c r="L6" s="127" t="s">
        <v>75</v>
      </c>
      <c r="M6" s="130" t="s">
        <v>43</v>
      </c>
      <c r="N6" s="60" t="s">
        <v>26</v>
      </c>
      <c r="O6" s="57" t="s">
        <v>27</v>
      </c>
    </row>
    <row r="7" spans="1:19" s="28" customFormat="1" ht="25.5" customHeight="1" thickTop="1">
      <c r="A7" s="150">
        <f>IF(B7&gt;0,1,"")</f>
        <v>1</v>
      </c>
      <c r="B7" s="151" t="str">
        <f>'ASSY TABLE '!C$1</f>
        <v>ASS'Y TABLE</v>
      </c>
      <c r="C7" s="266" t="s">
        <v>147</v>
      </c>
      <c r="D7" s="251">
        <f>'ASSY TABLE '!H90</f>
        <v>98563000</v>
      </c>
      <c r="E7" s="252">
        <f>'ASSY TABLE '!H91</f>
        <v>0</v>
      </c>
      <c r="F7" s="252">
        <f>'ASSY TABLE '!H92+'ASSY TABLE '!H93+'ASSY TABLE '!H94+'ASSY TABLE '!H98</f>
        <v>28000000</v>
      </c>
      <c r="G7" s="252">
        <f>'ASSY TABLE '!H95+'ASSY TABLE '!H96</f>
        <v>10500000</v>
      </c>
      <c r="H7" s="252">
        <f>'ASSY TABLE '!H97</f>
        <v>27000000</v>
      </c>
      <c r="I7" s="253">
        <f>IF($B7&gt;0,'원가항목별(집계)'!I$37*$P7/$P$17,0)</f>
        <v>2951858.6234359331</v>
      </c>
      <c r="J7" s="232">
        <f>SUM(D7:I7)</f>
        <v>167014858.62343594</v>
      </c>
      <c r="K7" s="152">
        <f>IF(B7&gt;0,'원가항목별(집계)'!I$33*P7/P$17,0)</f>
        <v>50952209.67883876</v>
      </c>
      <c r="L7" s="152">
        <f>IF($B7&gt;0,'원가항목별(집계)'!I$38*$P7/$P$17,0)</f>
        <v>555643.97617617564</v>
      </c>
      <c r="M7" s="153">
        <f>'ASSY TABLE '!H101+'ASSY TABLE '!H102</f>
        <v>24609450</v>
      </c>
      <c r="N7" s="154">
        <f>SUM(J7:M7)</f>
        <v>243132162.27845088</v>
      </c>
      <c r="O7" s="155"/>
      <c r="P7" s="28">
        <f>D7+E7+F7+G7+H7+M7</f>
        <v>188672450</v>
      </c>
    </row>
    <row r="8" spans="1:19" s="28" customFormat="1" ht="25.5" customHeight="1">
      <c r="A8" s="156">
        <f>IF(B8&gt;0,A7+1,"")</f>
        <v>2</v>
      </c>
      <c r="B8" s="157" t="str">
        <f>'VISION BAECODE DB'!C$1</f>
        <v>VISION/BAECODE/DB</v>
      </c>
      <c r="C8" s="161" t="s">
        <v>272</v>
      </c>
      <c r="D8" s="254">
        <f>'VISION BAECODE DB'!H67</f>
        <v>123178000</v>
      </c>
      <c r="E8" s="255">
        <f>'VISION BAECODE DB'!H68</f>
        <v>0</v>
      </c>
      <c r="F8" s="255">
        <f>'VISION BAECODE DB'!H69+'VISION BAECODE DB'!H70+'VISION BAECODE DB'!H71+'VISION BAECODE DB'!H75</f>
        <v>24000000</v>
      </c>
      <c r="G8" s="255">
        <f>'VISION BAECODE DB'!H72+'VISION BAECODE DB'!H73</f>
        <v>18000000</v>
      </c>
      <c r="H8" s="255">
        <f>'VISION BAECODE DB'!H74</f>
        <v>7500000</v>
      </c>
      <c r="I8" s="256">
        <f>IF($B8&gt;0,'원가항목별(집계)'!I$37*$P8/$P$17,0)</f>
        <v>3106861.6530093323</v>
      </c>
      <c r="J8" s="233">
        <f>SUM(D8:I8)</f>
        <v>175784861.65300933</v>
      </c>
      <c r="K8" s="158">
        <f>IF(B8&gt;0,'원가항목별(집계)'!I$33*P8/P$17,0)</f>
        <v>53627726.318076104</v>
      </c>
      <c r="L8" s="158">
        <f>IF($B8&gt;0,'원가항목별(집계)'!I$38*$P8/$P$17,0)</f>
        <v>584821.0170370508</v>
      </c>
      <c r="M8" s="159">
        <f>'VISION BAECODE DB'!H78+'VISION BAECODE DB'!H79</f>
        <v>25901700</v>
      </c>
      <c r="N8" s="160">
        <f t="shared" ref="N8:N16" si="0">SUM(J8:M8)</f>
        <v>255899108.98812249</v>
      </c>
      <c r="O8" s="100"/>
      <c r="P8" s="28">
        <f t="shared" ref="P8:P16" si="1">D8+E8+F8+G8+H8+M8</f>
        <v>198579700</v>
      </c>
    </row>
    <row r="9" spans="1:19" s="28" customFormat="1" ht="25.5" customHeight="1">
      <c r="A9" s="156">
        <f>IF(B9&gt;0,A8+1,"")</f>
        <v>3</v>
      </c>
      <c r="B9" s="157" t="str">
        <f>'OTHER COST'!C$1</f>
        <v>OTHER COST</v>
      </c>
      <c r="C9" s="161" t="s">
        <v>146</v>
      </c>
      <c r="D9" s="254">
        <f>'OTHER COST'!H40</f>
        <v>41200000</v>
      </c>
      <c r="E9" s="255">
        <f>'OTHER COST'!H41</f>
        <v>0</v>
      </c>
      <c r="F9" s="255">
        <f>'OTHER COST'!H42+'OTHER COST'!H43+'OTHER COST'!H44+'OTHER COST'!H48</f>
        <v>0</v>
      </c>
      <c r="G9" s="255">
        <f>'OTHER COST'!H45+'OTHER COST'!H46</f>
        <v>0</v>
      </c>
      <c r="H9" s="255">
        <f>'OTHER COST'!H47</f>
        <v>0</v>
      </c>
      <c r="I9" s="256">
        <f>IF($B9&gt;0,'원가항목별(집계)'!I$37*$P9/$P$17,0)</f>
        <v>741279.72355473472</v>
      </c>
      <c r="J9" s="233">
        <f t="shared" ref="J9:J17" si="2">SUM(D9:I9)</f>
        <v>41941279.723554738</v>
      </c>
      <c r="K9" s="158">
        <f>IF(B9&gt;0,'원가항목별(집계)'!I$33*P9/P$17,0)</f>
        <v>12795274.003085138</v>
      </c>
      <c r="L9" s="158">
        <f>IF($B9&gt;0,'원가항목별(집계)'!I$38*$P9/$P$17,0)</f>
        <v>139535.00678677359</v>
      </c>
      <c r="M9" s="159">
        <f>'OTHER COST'!H51+'OTHER COST'!H52</f>
        <v>6180000</v>
      </c>
      <c r="N9" s="160">
        <f t="shared" si="0"/>
        <v>61056088.733426645</v>
      </c>
      <c r="O9" s="100"/>
      <c r="P9" s="28">
        <f t="shared" si="1"/>
        <v>47380000</v>
      </c>
    </row>
    <row r="10" spans="1:19" s="28" customFormat="1" ht="25.5" customHeight="1">
      <c r="A10" s="156" t="str">
        <f>IF(B10&gt;0,A9+1,"")</f>
        <v/>
      </c>
      <c r="B10" s="157">
        <f>단위장비4!C$1</f>
        <v>0</v>
      </c>
      <c r="C10" s="161" t="s">
        <v>146</v>
      </c>
      <c r="D10" s="254">
        <f>단위장비4!H54</f>
        <v>0</v>
      </c>
      <c r="E10" s="255">
        <f>단위장비4!H55</f>
        <v>0</v>
      </c>
      <c r="F10" s="255">
        <f>단위장비4!H56+단위장비4!H57+단위장비4!H58+단위장비4!H62</f>
        <v>0</v>
      </c>
      <c r="G10" s="255">
        <f>단위장비4!H59+단위장비4!H60</f>
        <v>0</v>
      </c>
      <c r="H10" s="255">
        <f>단위장비4!H61</f>
        <v>0</v>
      </c>
      <c r="I10" s="256">
        <f>IF($B10&gt;0,'원가항목별(집계)'!I$37*$P10/$P$17,0)</f>
        <v>0</v>
      </c>
      <c r="J10" s="233">
        <f t="shared" si="2"/>
        <v>0</v>
      </c>
      <c r="K10" s="158">
        <f>IF(B10&gt;0,'원가항목별(집계)'!I$33*P10/P$17,0)</f>
        <v>0</v>
      </c>
      <c r="L10" s="158">
        <f>IF($B10&gt;0,'원가항목별(집계)'!I$38*$P10/$P$17,0)</f>
        <v>0</v>
      </c>
      <c r="M10" s="159">
        <f>단위장비4!H65+단위장비4!H66</f>
        <v>0</v>
      </c>
      <c r="N10" s="160">
        <f t="shared" si="0"/>
        <v>0</v>
      </c>
      <c r="O10" s="100"/>
      <c r="P10" s="28">
        <f t="shared" si="1"/>
        <v>0</v>
      </c>
      <c r="S10" s="28" t="s">
        <v>215</v>
      </c>
    </row>
    <row r="11" spans="1:19" s="28" customFormat="1" ht="25.5" customHeight="1">
      <c r="A11" s="156" t="str">
        <f>IF(B11&gt;0,A10+1,"")</f>
        <v/>
      </c>
      <c r="B11" s="157">
        <f>단위장비5!C$1</f>
        <v>0</v>
      </c>
      <c r="C11" s="161" t="s">
        <v>146</v>
      </c>
      <c r="D11" s="254">
        <f>단위장비5!H56</f>
        <v>0</v>
      </c>
      <c r="E11" s="255">
        <f>단위장비5!H57</f>
        <v>0</v>
      </c>
      <c r="F11" s="255">
        <f>단위장비5!H58+단위장비5!H59+단위장비5!H60+단위장비5!H64</f>
        <v>0</v>
      </c>
      <c r="G11" s="255">
        <f>단위장비5!H61+단위장비5!H62</f>
        <v>0</v>
      </c>
      <c r="H11" s="255">
        <f>단위장비5!H63</f>
        <v>0</v>
      </c>
      <c r="I11" s="256">
        <f>IF($B11&gt;0,'원가항목별(집계)'!I$37*$P11/$P$17,0)</f>
        <v>0</v>
      </c>
      <c r="J11" s="233">
        <f t="shared" si="2"/>
        <v>0</v>
      </c>
      <c r="K11" s="158">
        <f>IF(B11&gt;0,'원가항목별(집계)'!I$33*P11/P$17,0)</f>
        <v>0</v>
      </c>
      <c r="L11" s="158">
        <f>IF($B11&gt;0,'원가항목별(집계)'!I$38*$P11/$P$17,0)</f>
        <v>0</v>
      </c>
      <c r="M11" s="159">
        <f>단위장비5!H67+단위장비5!H68</f>
        <v>0</v>
      </c>
      <c r="N11" s="160">
        <f t="shared" si="0"/>
        <v>0</v>
      </c>
      <c r="O11" s="100"/>
      <c r="P11" s="28">
        <f t="shared" si="1"/>
        <v>0</v>
      </c>
    </row>
    <row r="12" spans="1:19" s="28" customFormat="1" ht="25.5" customHeight="1">
      <c r="A12" s="156" t="str">
        <f>IF(B12&gt;0,A11+1,"")</f>
        <v/>
      </c>
      <c r="B12" s="157">
        <f>단위장비6!C$1</f>
        <v>0</v>
      </c>
      <c r="C12" s="161" t="s">
        <v>146</v>
      </c>
      <c r="D12" s="254">
        <f>단위장비6!H56</f>
        <v>0</v>
      </c>
      <c r="E12" s="255">
        <f>단위장비6!H57</f>
        <v>0</v>
      </c>
      <c r="F12" s="255">
        <f>단위장비6!H58+단위장비6!H59+단위장비6!H60+단위장비6!H64</f>
        <v>0</v>
      </c>
      <c r="G12" s="255">
        <f>단위장비6!H61+단위장비6!H62</f>
        <v>0</v>
      </c>
      <c r="H12" s="255">
        <f>단위장비6!H63</f>
        <v>0</v>
      </c>
      <c r="I12" s="256">
        <f>IF($B12&gt;0,'원가항목별(집계)'!I$37*$P12/$P$17,0)</f>
        <v>0</v>
      </c>
      <c r="J12" s="233">
        <f t="shared" si="2"/>
        <v>0</v>
      </c>
      <c r="K12" s="158">
        <f>IF(B12&gt;0,'원가항목별(집계)'!I$33*P12/P$17,0)</f>
        <v>0</v>
      </c>
      <c r="L12" s="158">
        <f>IF($B12&gt;0,'원가항목별(집계)'!I$38*$P12/$P$17,0)</f>
        <v>0</v>
      </c>
      <c r="M12" s="159">
        <f>단위장비6!H67+단위장비6!H68</f>
        <v>0</v>
      </c>
      <c r="N12" s="160">
        <f t="shared" si="0"/>
        <v>0</v>
      </c>
      <c r="O12" s="100"/>
      <c r="P12" s="28">
        <f t="shared" si="1"/>
        <v>0</v>
      </c>
    </row>
    <row r="13" spans="1:19" s="28" customFormat="1" ht="25.5" customHeight="1">
      <c r="A13" s="156" t="str">
        <f>IF(B13&gt;0,A8+1,"")</f>
        <v/>
      </c>
      <c r="B13" s="157">
        <f>단위장비7!C$1</f>
        <v>0</v>
      </c>
      <c r="C13" s="161" t="s">
        <v>146</v>
      </c>
      <c r="D13" s="254">
        <f>단위장비7!H56</f>
        <v>0</v>
      </c>
      <c r="E13" s="255">
        <f>단위장비7!H57</f>
        <v>0</v>
      </c>
      <c r="F13" s="255">
        <f>단위장비7!H58+단위장비7!H59+단위장비7!H60+단위장비7!H64</f>
        <v>0</v>
      </c>
      <c r="G13" s="255">
        <f>단위장비7!H61+단위장비7!H62</f>
        <v>0</v>
      </c>
      <c r="H13" s="255">
        <f>단위장비7!H63</f>
        <v>0</v>
      </c>
      <c r="I13" s="256">
        <f>IF($B13&gt;0,'원가항목별(집계)'!I$37*$P13/$P$17,0)</f>
        <v>0</v>
      </c>
      <c r="J13" s="233">
        <f t="shared" si="2"/>
        <v>0</v>
      </c>
      <c r="K13" s="158">
        <f>IF(B13&gt;0,'원가항목별(집계)'!I$33*P13/P$17,0)</f>
        <v>0</v>
      </c>
      <c r="L13" s="158">
        <f>IF($B13&gt;0,'원가항목별(집계)'!I$38*$P13/$P$17,0)</f>
        <v>0</v>
      </c>
      <c r="M13" s="159">
        <f>단위장비7!H67+단위장비7!H68</f>
        <v>0</v>
      </c>
      <c r="N13" s="160">
        <f t="shared" si="0"/>
        <v>0</v>
      </c>
      <c r="O13" s="100"/>
      <c r="P13" s="28">
        <f t="shared" si="1"/>
        <v>0</v>
      </c>
    </row>
    <row r="14" spans="1:19" s="28" customFormat="1" ht="25.5" customHeight="1">
      <c r="A14" s="156" t="str">
        <f>IF(B14&gt;0,A13+1,"")</f>
        <v/>
      </c>
      <c r="B14" s="157">
        <f>단위장비8!C$1</f>
        <v>0</v>
      </c>
      <c r="C14" s="161" t="s">
        <v>146</v>
      </c>
      <c r="D14" s="254">
        <f>단위장비8!H56</f>
        <v>0</v>
      </c>
      <c r="E14" s="255">
        <f>단위장비8!H57</f>
        <v>0</v>
      </c>
      <c r="F14" s="255">
        <f>단위장비8!H58+단위장비8!H59+단위장비8!H60+단위장비8!H64</f>
        <v>0</v>
      </c>
      <c r="G14" s="255">
        <f>단위장비8!H61+단위장비8!H62</f>
        <v>0</v>
      </c>
      <c r="H14" s="255">
        <f>단위장비8!H63</f>
        <v>0</v>
      </c>
      <c r="I14" s="256">
        <f>IF($B14&gt;0,'원가항목별(집계)'!I$37*$P14/$P$17,0)</f>
        <v>0</v>
      </c>
      <c r="J14" s="233">
        <f t="shared" si="2"/>
        <v>0</v>
      </c>
      <c r="K14" s="158">
        <f>IF(B14&gt;0,'원가항목별(집계)'!I$33*P14/P$17,0)</f>
        <v>0</v>
      </c>
      <c r="L14" s="158">
        <f>IF($B14&gt;0,'원가항목별(집계)'!I$38*$P14/$P$17,0)</f>
        <v>0</v>
      </c>
      <c r="M14" s="159">
        <f>단위장비8!H67+단위장비8!H68</f>
        <v>0</v>
      </c>
      <c r="N14" s="160">
        <f t="shared" si="0"/>
        <v>0</v>
      </c>
      <c r="O14" s="100"/>
      <c r="P14" s="28">
        <f t="shared" si="1"/>
        <v>0</v>
      </c>
    </row>
    <row r="15" spans="1:19" s="63" customFormat="1" ht="25.5" customHeight="1">
      <c r="A15" s="161" t="str">
        <f>IF(B15&gt;0,A14+1,"")</f>
        <v/>
      </c>
      <c r="B15" s="157">
        <f>단위장비9!C$1</f>
        <v>0</v>
      </c>
      <c r="C15" s="161" t="s">
        <v>146</v>
      </c>
      <c r="D15" s="254">
        <f>단위장비9!H57</f>
        <v>0</v>
      </c>
      <c r="E15" s="255">
        <f>단위장비9!H58</f>
        <v>0</v>
      </c>
      <c r="F15" s="255">
        <f>단위장비9!H59+단위장비9!H60+단위장비9!H61+단위장비9!H65</f>
        <v>0</v>
      </c>
      <c r="G15" s="255">
        <f>단위장비9!H62+단위장비9!H63</f>
        <v>0</v>
      </c>
      <c r="H15" s="255">
        <f>단위장비9!H64</f>
        <v>0</v>
      </c>
      <c r="I15" s="256">
        <f>IF($B15&gt;0,'원가항목별(집계)'!I$37*$P15/$P$17,0)</f>
        <v>0</v>
      </c>
      <c r="J15" s="233">
        <f t="shared" si="2"/>
        <v>0</v>
      </c>
      <c r="K15" s="158">
        <f>IF(B15&gt;0,'원가항목별(집계)'!I$33*P15/P$17,0)</f>
        <v>0</v>
      </c>
      <c r="L15" s="158">
        <f>IF($B15&gt;0,'원가항목별(집계)'!I$38*$P15/$P$17,0)</f>
        <v>0</v>
      </c>
      <c r="M15" s="159">
        <f>단위장비9!H68+단위장비9!H69</f>
        <v>0</v>
      </c>
      <c r="N15" s="162">
        <f t="shared" si="0"/>
        <v>0</v>
      </c>
      <c r="O15" s="163"/>
      <c r="P15" s="63">
        <f t="shared" si="1"/>
        <v>0</v>
      </c>
    </row>
    <row r="16" spans="1:19" s="63" customFormat="1" ht="25.5" customHeight="1">
      <c r="A16" s="164" t="str">
        <f>IF(B16&gt;0,A15+1,"")</f>
        <v/>
      </c>
      <c r="B16" s="165">
        <f>단위장비10!C$1</f>
        <v>0</v>
      </c>
      <c r="C16" s="164" t="s">
        <v>146</v>
      </c>
      <c r="D16" s="257">
        <f>단위장비10!H58</f>
        <v>0</v>
      </c>
      <c r="E16" s="258">
        <f>단위장비10!H59</f>
        <v>0</v>
      </c>
      <c r="F16" s="258">
        <f>단위장비10!H60+단위장비10!H61+단위장비10!H62+단위장비10!H66</f>
        <v>0</v>
      </c>
      <c r="G16" s="258">
        <f>단위장비10!H63+단위장비10!H64</f>
        <v>0</v>
      </c>
      <c r="H16" s="258">
        <f>단위장비10!H65</f>
        <v>0</v>
      </c>
      <c r="I16" s="259">
        <f>IF($B16&gt;0,'원가항목별(집계)'!I$37*$P16/$P$17,0)</f>
        <v>0</v>
      </c>
      <c r="J16" s="234">
        <f t="shared" si="2"/>
        <v>0</v>
      </c>
      <c r="K16" s="166">
        <f>IF(B16&gt;0,'원가항목별(집계)'!I$33*P16/P$17,0)</f>
        <v>0</v>
      </c>
      <c r="L16" s="166">
        <f>IF($B16&gt;0,'원가항목별(집계)'!I$38*$P16/$P$17,0)</f>
        <v>0</v>
      </c>
      <c r="M16" s="167">
        <f>단위장비10!H69+단위장비10!H70</f>
        <v>0</v>
      </c>
      <c r="N16" s="168">
        <f t="shared" si="0"/>
        <v>0</v>
      </c>
      <c r="O16" s="169"/>
      <c r="P16" s="63">
        <f t="shared" si="1"/>
        <v>0</v>
      </c>
    </row>
    <row r="17" spans="1:16" s="28" customFormat="1" ht="33" customHeight="1">
      <c r="A17" s="501" t="s">
        <v>150</v>
      </c>
      <c r="B17" s="502"/>
      <c r="C17" s="503"/>
      <c r="D17" s="260">
        <f t="shared" ref="D17:M17" si="3">SUM(D7:D16)</f>
        <v>262941000</v>
      </c>
      <c r="E17" s="261">
        <f t="shared" si="3"/>
        <v>0</v>
      </c>
      <c r="F17" s="261">
        <f t="shared" si="3"/>
        <v>52000000</v>
      </c>
      <c r="G17" s="261">
        <f t="shared" si="3"/>
        <v>28500000</v>
      </c>
      <c r="H17" s="261">
        <f t="shared" si="3"/>
        <v>34500000</v>
      </c>
      <c r="I17" s="262">
        <f t="shared" si="3"/>
        <v>6800000.0000000009</v>
      </c>
      <c r="J17" s="267">
        <f t="shared" si="2"/>
        <v>384741000</v>
      </c>
      <c r="K17" s="268">
        <f>SUM(K7:K16)</f>
        <v>117375210</v>
      </c>
      <c r="L17" s="269">
        <f t="shared" si="3"/>
        <v>1280000.0000000002</v>
      </c>
      <c r="M17" s="270">
        <f t="shared" si="3"/>
        <v>56691150</v>
      </c>
      <c r="N17" s="271">
        <f>SUM(N7:N14)</f>
        <v>560087360</v>
      </c>
      <c r="O17" s="58"/>
      <c r="P17" s="28">
        <f>SUM(P7:P16)</f>
        <v>434632150</v>
      </c>
    </row>
    <row r="18" spans="1:16" s="244" customFormat="1" ht="18.75" customHeight="1">
      <c r="A18" s="235"/>
      <c r="B18" s="236"/>
      <c r="C18" s="237"/>
      <c r="D18" s="263">
        <f t="shared" ref="D18:N18" si="4">IF(D17=0,"",D17/$N17)</f>
        <v>0.4694642635748823</v>
      </c>
      <c r="E18" s="264" t="str">
        <f t="shared" si="4"/>
        <v/>
      </c>
      <c r="F18" s="264">
        <f t="shared" si="4"/>
        <v>9.2842659402276095E-2</v>
      </c>
      <c r="G18" s="264">
        <f t="shared" si="4"/>
        <v>5.0884919095478251E-2</v>
      </c>
      <c r="H18" s="264">
        <f t="shared" si="4"/>
        <v>6.1597533641894721E-2</v>
      </c>
      <c r="I18" s="265">
        <f t="shared" si="4"/>
        <v>1.2140963152605337E-2</v>
      </c>
      <c r="J18" s="239">
        <f t="shared" si="4"/>
        <v>0.68693033886713672</v>
      </c>
      <c r="K18" s="240">
        <f t="shared" si="4"/>
        <v>0.20956589700578138</v>
      </c>
      <c r="L18" s="238">
        <f t="shared" si="4"/>
        <v>2.2853577699021815E-3</v>
      </c>
      <c r="M18" s="241">
        <f t="shared" si="4"/>
        <v>0.10121840635717971</v>
      </c>
      <c r="N18" s="242">
        <f t="shared" si="4"/>
        <v>1</v>
      </c>
      <c r="O18" s="243"/>
    </row>
    <row r="19" spans="1:16" ht="28.5" customHeight="1">
      <c r="A19" s="25" t="s">
        <v>102</v>
      </c>
      <c r="H19" s="134"/>
      <c r="I19" s="134"/>
      <c r="J19" s="134"/>
      <c r="K19" s="134"/>
      <c r="L19" s="134"/>
    </row>
    <row r="20" spans="1:16" ht="17.25" customHeight="1">
      <c r="H20" s="131"/>
      <c r="I20" s="131"/>
      <c r="J20" s="131"/>
      <c r="K20" s="131"/>
      <c r="L20" s="131"/>
      <c r="M20" s="125"/>
      <c r="N20" s="145" t="str">
        <f>IF('원가항목별(집계)'!I41='단위공사별(집계)'!N17,"","DATA오류입니다!")</f>
        <v>DATA오류입니다!</v>
      </c>
    </row>
    <row r="21" spans="1:16" ht="17.25" customHeight="1">
      <c r="H21" s="132"/>
      <c r="I21" s="132"/>
      <c r="J21" s="132"/>
      <c r="K21" s="132"/>
      <c r="L21" s="132"/>
      <c r="N21" s="132"/>
    </row>
    <row r="22" spans="1:16" ht="17.25" customHeight="1">
      <c r="H22" s="28"/>
      <c r="I22" s="28"/>
      <c r="J22" s="28"/>
      <c r="L22" s="28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50"/>
    <pageSetUpPr fitToPage="1"/>
  </sheetPr>
  <dimension ref="A1:M82"/>
  <sheetViews>
    <sheetView zoomScale="85" workbookViewId="0">
      <pane xSplit="3" ySplit="2" topLeftCell="D51" activePane="bottomRight" state="frozen"/>
      <selection activeCell="G46" sqref="G46"/>
      <selection pane="topRight" activeCell="G46" sqref="G46"/>
      <selection pane="bottomLeft" activeCell="G46" sqref="G46"/>
      <selection pane="bottomRight" activeCell="L72" sqref="L72"/>
    </sheetView>
  </sheetViews>
  <sheetFormatPr defaultRowHeight="13.5"/>
  <cols>
    <col min="1" max="1" width="5" style="25" customWidth="1"/>
    <col min="2" max="2" width="13" style="25" customWidth="1"/>
    <col min="3" max="3" width="23.625" style="25" customWidth="1"/>
    <col min="4" max="4" width="18.25" style="25" customWidth="1"/>
    <col min="5" max="5" width="5.25" style="25" bestFit="1" customWidth="1"/>
    <col min="6" max="6" width="6.75" style="28" customWidth="1"/>
    <col min="7" max="7" width="11.875" style="28" customWidth="1"/>
    <col min="8" max="8" width="13.625" style="28" customWidth="1"/>
    <col min="9" max="9" width="12.75" style="25" customWidth="1"/>
    <col min="10" max="10" width="9.25" style="25" customWidth="1"/>
    <col min="11" max="11" width="11.5" style="25" bestFit="1" customWidth="1"/>
    <col min="12" max="16384" width="9" style="25"/>
  </cols>
  <sheetData>
    <row r="1" spans="1:9" ht="22.5" customHeight="1">
      <c r="B1" s="98" t="s">
        <v>84</v>
      </c>
      <c r="C1" s="144" t="s">
        <v>78</v>
      </c>
      <c r="D1" s="61"/>
      <c r="E1" s="61"/>
      <c r="F1" s="62"/>
      <c r="G1" s="63"/>
      <c r="I1" s="25" t="s">
        <v>85</v>
      </c>
    </row>
    <row r="2" spans="1:9" s="26" customFormat="1" ht="16.5" customHeight="1">
      <c r="A2" s="395" t="s">
        <v>31</v>
      </c>
      <c r="B2" s="507"/>
      <c r="C2" s="121" t="s">
        <v>44</v>
      </c>
      <c r="D2" s="122" t="s">
        <v>32</v>
      </c>
      <c r="E2" s="122" t="s">
        <v>33</v>
      </c>
      <c r="F2" s="50" t="s">
        <v>34</v>
      </c>
      <c r="G2" s="50" t="s">
        <v>35</v>
      </c>
      <c r="H2" s="50" t="s">
        <v>36</v>
      </c>
      <c r="I2" s="122" t="s">
        <v>46</v>
      </c>
    </row>
    <row r="3" spans="1:9" ht="15.95" customHeight="1">
      <c r="A3" s="510" t="s">
        <v>77</v>
      </c>
      <c r="B3" s="99" t="s">
        <v>37</v>
      </c>
      <c r="C3" s="359" t="s">
        <v>224</v>
      </c>
      <c r="D3" s="374" t="s">
        <v>284</v>
      </c>
      <c r="E3" s="353" t="s">
        <v>184</v>
      </c>
      <c r="F3" s="353">
        <v>5</v>
      </c>
      <c r="G3" s="352">
        <v>800000</v>
      </c>
      <c r="H3" s="119">
        <f t="shared" ref="H3:H9" si="0">IF(F3=0,G3,G3*F3)</f>
        <v>4000000</v>
      </c>
      <c r="I3" s="120"/>
    </row>
    <row r="4" spans="1:9" ht="15.95" customHeight="1">
      <c r="A4" s="511"/>
      <c r="B4" s="99"/>
      <c r="C4" s="359" t="s">
        <v>201</v>
      </c>
      <c r="D4" s="357"/>
      <c r="E4" s="326" t="s">
        <v>194</v>
      </c>
      <c r="F4" s="343">
        <v>1</v>
      </c>
      <c r="G4" s="67">
        <v>200000</v>
      </c>
      <c r="H4" s="100">
        <f t="shared" si="0"/>
        <v>200000</v>
      </c>
      <c r="I4" s="68"/>
    </row>
    <row r="5" spans="1:9" ht="15.95" customHeight="1">
      <c r="A5" s="511"/>
      <c r="B5" s="99"/>
      <c r="C5" s="66" t="s">
        <v>292</v>
      </c>
      <c r="D5" s="66" t="s">
        <v>222</v>
      </c>
      <c r="E5" s="326" t="s">
        <v>186</v>
      </c>
      <c r="F5" s="67">
        <v>5</v>
      </c>
      <c r="G5" s="67">
        <v>200000</v>
      </c>
      <c r="H5" s="100">
        <f t="shared" si="0"/>
        <v>1000000</v>
      </c>
      <c r="I5" s="68"/>
    </row>
    <row r="6" spans="1:9" ht="15.95" customHeight="1">
      <c r="A6" s="511"/>
      <c r="B6" s="99"/>
      <c r="C6" s="66" t="s">
        <v>201</v>
      </c>
      <c r="D6" s="66" t="s">
        <v>298</v>
      </c>
      <c r="E6" s="66" t="s">
        <v>194</v>
      </c>
      <c r="F6" s="67">
        <v>1</v>
      </c>
      <c r="G6" s="67">
        <v>500000</v>
      </c>
      <c r="H6" s="100">
        <f t="shared" si="0"/>
        <v>500000</v>
      </c>
      <c r="I6" s="68"/>
    </row>
    <row r="7" spans="1:9" ht="15.95" customHeight="1">
      <c r="A7" s="511"/>
      <c r="B7" s="99"/>
      <c r="C7" s="66"/>
      <c r="D7" s="66"/>
      <c r="E7" s="66"/>
      <c r="F7" s="67"/>
      <c r="G7" s="67"/>
      <c r="H7" s="100">
        <f t="shared" si="0"/>
        <v>0</v>
      </c>
      <c r="I7" s="68"/>
    </row>
    <row r="8" spans="1:9" ht="15.95" customHeight="1">
      <c r="A8" s="511"/>
      <c r="B8" s="99"/>
      <c r="C8" s="66"/>
      <c r="D8" s="66"/>
      <c r="E8" s="66"/>
      <c r="F8" s="67"/>
      <c r="G8" s="67"/>
      <c r="H8" s="100">
        <f t="shared" si="0"/>
        <v>0</v>
      </c>
      <c r="I8" s="68"/>
    </row>
    <row r="9" spans="1:9" ht="15.95" customHeight="1">
      <c r="A9" s="511"/>
      <c r="B9" s="99"/>
      <c r="C9" s="114"/>
      <c r="D9" s="114"/>
      <c r="E9" s="340"/>
      <c r="F9" s="344"/>
      <c r="G9" s="115"/>
      <c r="H9" s="100">
        <f t="shared" si="0"/>
        <v>0</v>
      </c>
      <c r="I9" s="69"/>
    </row>
    <row r="10" spans="1:9" ht="15.95" customHeight="1">
      <c r="A10" s="511"/>
      <c r="B10" s="70"/>
      <c r="C10" s="102"/>
      <c r="D10" s="92"/>
      <c r="E10" s="92"/>
      <c r="F10" s="37"/>
      <c r="G10" s="37"/>
      <c r="H10" s="27">
        <f>SUM(H3:H9)</f>
        <v>5700000</v>
      </c>
      <c r="I10" s="72"/>
    </row>
    <row r="11" spans="1:9" ht="15.95" customHeight="1">
      <c r="A11" s="511"/>
      <c r="B11" s="285" t="s">
        <v>156</v>
      </c>
      <c r="C11" s="112"/>
      <c r="D11" s="112"/>
      <c r="E11" s="112"/>
      <c r="F11" s="113"/>
      <c r="G11" s="113"/>
      <c r="H11" s="104">
        <f t="shared" ref="H11:H27" si="1">IF(F11=0,G11,G11*F11)</f>
        <v>0</v>
      </c>
      <c r="I11" s="73"/>
    </row>
    <row r="12" spans="1:9" ht="15.95" customHeight="1">
      <c r="A12" s="511"/>
      <c r="B12" s="286" t="s">
        <v>157</v>
      </c>
      <c r="C12" s="66"/>
      <c r="D12" s="66"/>
      <c r="E12" s="66"/>
      <c r="F12" s="67"/>
      <c r="G12" s="67"/>
      <c r="H12" s="100">
        <f t="shared" si="1"/>
        <v>0</v>
      </c>
      <c r="I12" s="68"/>
    </row>
    <row r="13" spans="1:9" ht="15.95" customHeight="1">
      <c r="A13" s="511"/>
      <c r="B13" s="286" t="s">
        <v>155</v>
      </c>
      <c r="C13" s="66"/>
      <c r="D13" s="66"/>
      <c r="E13" s="66"/>
      <c r="F13" s="67"/>
      <c r="G13" s="67"/>
      <c r="H13" s="100">
        <f t="shared" si="1"/>
        <v>0</v>
      </c>
      <c r="I13" s="68"/>
    </row>
    <row r="14" spans="1:9" ht="15.95" customHeight="1">
      <c r="A14" s="511"/>
      <c r="B14" s="99"/>
      <c r="C14" s="66"/>
      <c r="D14" s="66"/>
      <c r="E14" s="66"/>
      <c r="F14" s="67"/>
      <c r="G14" s="67"/>
      <c r="H14" s="100">
        <f t="shared" si="1"/>
        <v>0</v>
      </c>
      <c r="I14" s="68"/>
    </row>
    <row r="15" spans="1:9" ht="15.95" customHeight="1">
      <c r="A15" s="511"/>
      <c r="B15" s="99"/>
      <c r="C15" s="66"/>
      <c r="D15" s="66"/>
      <c r="E15" s="66"/>
      <c r="F15" s="67"/>
      <c r="G15" s="67"/>
      <c r="H15" s="100">
        <f t="shared" si="1"/>
        <v>0</v>
      </c>
      <c r="I15" s="68"/>
    </row>
    <row r="16" spans="1:9" ht="15.95" customHeight="1">
      <c r="A16" s="511"/>
      <c r="B16" s="99"/>
      <c r="C16" s="114"/>
      <c r="D16" s="276"/>
      <c r="E16" s="276"/>
      <c r="F16" s="277"/>
      <c r="G16" s="277"/>
      <c r="H16" s="278">
        <f t="shared" si="1"/>
        <v>0</v>
      </c>
      <c r="I16" s="279"/>
    </row>
    <row r="17" spans="1:9" ht="15.95" customHeight="1">
      <c r="A17" s="511"/>
      <c r="B17" s="99"/>
      <c r="C17" s="280"/>
      <c r="D17" s="281"/>
      <c r="E17" s="282"/>
      <c r="F17" s="283"/>
      <c r="G17" s="283"/>
      <c r="H17" s="284">
        <f>SUM(H11:H16)</f>
        <v>0</v>
      </c>
      <c r="I17" s="282"/>
    </row>
    <row r="18" spans="1:9" ht="15.95" customHeight="1">
      <c r="A18" s="511"/>
      <c r="B18" s="103" t="s">
        <v>40</v>
      </c>
      <c r="C18" s="359" t="s">
        <v>225</v>
      </c>
      <c r="D18" s="356" t="s">
        <v>226</v>
      </c>
      <c r="E18" s="353" t="s">
        <v>184</v>
      </c>
      <c r="F18" s="353">
        <v>5</v>
      </c>
      <c r="G18" s="354">
        <v>1650000</v>
      </c>
      <c r="H18" s="372">
        <f>IF(F18=0,G18,G18*F18)</f>
        <v>8250000</v>
      </c>
      <c r="I18" s="73" t="s">
        <v>257</v>
      </c>
    </row>
    <row r="19" spans="1:9" ht="15.95" customHeight="1">
      <c r="A19" s="511"/>
      <c r="B19" s="99"/>
      <c r="C19" s="359" t="s">
        <v>227</v>
      </c>
      <c r="D19" s="356" t="s">
        <v>228</v>
      </c>
      <c r="E19" s="353" t="s">
        <v>184</v>
      </c>
      <c r="F19" s="353">
        <v>5</v>
      </c>
      <c r="G19" s="354">
        <v>1840000</v>
      </c>
      <c r="H19" s="119">
        <f>IF(F19=0,G19,G19*F19)</f>
        <v>9200000</v>
      </c>
      <c r="I19" s="120" t="s">
        <v>257</v>
      </c>
    </row>
    <row r="20" spans="1:9" ht="15.95" customHeight="1">
      <c r="A20" s="511"/>
      <c r="B20" s="99"/>
      <c r="C20" s="355" t="s">
        <v>229</v>
      </c>
      <c r="D20" s="355" t="s">
        <v>230</v>
      </c>
      <c r="E20" s="351" t="s">
        <v>184</v>
      </c>
      <c r="F20" s="351">
        <v>5</v>
      </c>
      <c r="G20" s="352">
        <v>145000</v>
      </c>
      <c r="H20" s="100">
        <f t="shared" si="1"/>
        <v>725000</v>
      </c>
      <c r="I20" s="120" t="s">
        <v>257</v>
      </c>
    </row>
    <row r="21" spans="1:9" ht="15.95" customHeight="1">
      <c r="A21" s="511"/>
      <c r="B21" s="99"/>
      <c r="C21" s="359" t="s">
        <v>231</v>
      </c>
      <c r="D21" s="356" t="s">
        <v>232</v>
      </c>
      <c r="E21" s="343" t="s">
        <v>184</v>
      </c>
      <c r="F21" s="343">
        <v>5</v>
      </c>
      <c r="G21" s="67">
        <v>240000</v>
      </c>
      <c r="H21" s="100">
        <f t="shared" si="1"/>
        <v>1200000</v>
      </c>
      <c r="I21" s="120" t="s">
        <v>257</v>
      </c>
    </row>
    <row r="22" spans="1:9" ht="15.95" customHeight="1">
      <c r="A22" s="511"/>
      <c r="B22" s="99"/>
      <c r="C22" s="66" t="s">
        <v>233</v>
      </c>
      <c r="D22" s="357" t="s">
        <v>234</v>
      </c>
      <c r="E22" s="343" t="s">
        <v>184</v>
      </c>
      <c r="F22" s="343">
        <v>5</v>
      </c>
      <c r="G22" s="67">
        <v>221000</v>
      </c>
      <c r="H22" s="100">
        <f t="shared" si="1"/>
        <v>1105000</v>
      </c>
      <c r="I22" s="120" t="s">
        <v>257</v>
      </c>
    </row>
    <row r="23" spans="1:9" ht="15.95" customHeight="1">
      <c r="A23" s="511"/>
      <c r="B23" s="99"/>
      <c r="C23" s="66" t="s">
        <v>235</v>
      </c>
      <c r="D23" s="357" t="s">
        <v>236</v>
      </c>
      <c r="E23" s="343" t="s">
        <v>184</v>
      </c>
      <c r="F23" s="343">
        <v>5</v>
      </c>
      <c r="G23" s="67">
        <v>932000</v>
      </c>
      <c r="H23" s="100">
        <f>IF(F23=0,G23,G23*F23)</f>
        <v>4660000</v>
      </c>
      <c r="I23" s="120" t="s">
        <v>257</v>
      </c>
    </row>
    <row r="24" spans="1:9" ht="15.95" customHeight="1">
      <c r="A24" s="511"/>
      <c r="B24" s="99"/>
      <c r="C24" s="66" t="s">
        <v>237</v>
      </c>
      <c r="D24" s="357" t="s">
        <v>238</v>
      </c>
      <c r="E24" s="343" t="s">
        <v>184</v>
      </c>
      <c r="F24" s="343">
        <v>6</v>
      </c>
      <c r="G24" s="67">
        <v>500000</v>
      </c>
      <c r="H24" s="100">
        <f t="shared" si="1"/>
        <v>3000000</v>
      </c>
      <c r="I24" s="120" t="s">
        <v>257</v>
      </c>
    </row>
    <row r="25" spans="1:9" ht="15.95" customHeight="1">
      <c r="A25" s="511"/>
      <c r="B25" s="99"/>
      <c r="C25" s="66" t="s">
        <v>198</v>
      </c>
      <c r="D25" s="357" t="s">
        <v>210</v>
      </c>
      <c r="E25" s="343" t="s">
        <v>184</v>
      </c>
      <c r="F25" s="343">
        <v>18</v>
      </c>
      <c r="G25" s="360">
        <v>210000</v>
      </c>
      <c r="H25" s="100">
        <f t="shared" si="1"/>
        <v>3780000</v>
      </c>
      <c r="I25" s="120" t="s">
        <v>257</v>
      </c>
    </row>
    <row r="26" spans="1:9" ht="15.95" customHeight="1">
      <c r="A26" s="511"/>
      <c r="B26" s="99"/>
      <c r="C26" s="66"/>
      <c r="D26" s="357" t="s">
        <v>211</v>
      </c>
      <c r="E26" s="343" t="s">
        <v>184</v>
      </c>
      <c r="F26" s="343">
        <v>6</v>
      </c>
      <c r="G26" s="360">
        <v>210000</v>
      </c>
      <c r="H26" s="100">
        <f t="shared" si="1"/>
        <v>1260000</v>
      </c>
      <c r="I26" s="120" t="s">
        <v>257</v>
      </c>
    </row>
    <row r="27" spans="1:9" ht="15.95" customHeight="1">
      <c r="A27" s="511"/>
      <c r="B27" s="99"/>
      <c r="C27" s="66"/>
      <c r="D27" s="357" t="s">
        <v>189</v>
      </c>
      <c r="E27" s="343" t="s">
        <v>184</v>
      </c>
      <c r="F27" s="343">
        <v>6</v>
      </c>
      <c r="G27" s="67">
        <v>210000</v>
      </c>
      <c r="H27" s="100">
        <f t="shared" si="1"/>
        <v>1260000</v>
      </c>
      <c r="I27" s="120" t="s">
        <v>257</v>
      </c>
    </row>
    <row r="28" spans="1:9" ht="15.95" customHeight="1">
      <c r="A28" s="511"/>
      <c r="B28" s="99"/>
      <c r="C28" s="357" t="s">
        <v>199</v>
      </c>
      <c r="D28" s="357" t="s">
        <v>239</v>
      </c>
      <c r="E28" s="343" t="s">
        <v>184</v>
      </c>
      <c r="F28" s="343">
        <v>15</v>
      </c>
      <c r="G28" s="67">
        <v>25600</v>
      </c>
      <c r="H28" s="100">
        <f t="shared" ref="H28:H36" si="2">IF(F28=0,G28,G28*F28)</f>
        <v>384000</v>
      </c>
      <c r="I28" s="68"/>
    </row>
    <row r="29" spans="1:9" ht="15.95" customHeight="1">
      <c r="A29" s="511"/>
      <c r="B29" s="99"/>
      <c r="C29" s="66"/>
      <c r="D29" s="357" t="s">
        <v>240</v>
      </c>
      <c r="E29" s="358" t="s">
        <v>184</v>
      </c>
      <c r="F29" s="358">
        <v>5</v>
      </c>
      <c r="G29" s="67">
        <v>17600</v>
      </c>
      <c r="H29" s="100">
        <f t="shared" si="2"/>
        <v>88000</v>
      </c>
      <c r="I29" s="68"/>
    </row>
    <row r="30" spans="1:9" ht="15.95" customHeight="1">
      <c r="A30" s="511"/>
      <c r="B30" s="99"/>
      <c r="C30" s="66" t="s">
        <v>199</v>
      </c>
      <c r="D30" s="357" t="s">
        <v>212</v>
      </c>
      <c r="E30" s="358" t="s">
        <v>184</v>
      </c>
      <c r="F30" s="358">
        <v>10</v>
      </c>
      <c r="G30" s="67">
        <v>46600</v>
      </c>
      <c r="H30" s="100">
        <f t="shared" si="2"/>
        <v>466000</v>
      </c>
      <c r="I30" s="68"/>
    </row>
    <row r="31" spans="1:9" ht="15.95" customHeight="1">
      <c r="A31" s="511"/>
      <c r="B31" s="99"/>
      <c r="C31" s="66"/>
      <c r="D31" s="357" t="s">
        <v>258</v>
      </c>
      <c r="E31" s="358" t="s">
        <v>184</v>
      </c>
      <c r="F31" s="358">
        <v>10</v>
      </c>
      <c r="G31" s="67">
        <v>7150</v>
      </c>
      <c r="H31" s="100">
        <f t="shared" si="2"/>
        <v>71500</v>
      </c>
      <c r="I31" s="68"/>
    </row>
    <row r="32" spans="1:9" ht="15.95" customHeight="1">
      <c r="A32" s="511"/>
      <c r="B32" s="99"/>
      <c r="C32" s="66" t="s">
        <v>285</v>
      </c>
      <c r="D32" s="357" t="s">
        <v>190</v>
      </c>
      <c r="E32" s="358" t="s">
        <v>184</v>
      </c>
      <c r="F32" s="358">
        <v>30</v>
      </c>
      <c r="G32" s="67">
        <v>24200</v>
      </c>
      <c r="H32" s="100">
        <f t="shared" si="2"/>
        <v>726000</v>
      </c>
      <c r="I32" s="68"/>
    </row>
    <row r="33" spans="1:9" ht="15.95" customHeight="1">
      <c r="A33" s="511"/>
      <c r="B33" s="99"/>
      <c r="C33" s="66" t="s">
        <v>241</v>
      </c>
      <c r="D33" s="357" t="s">
        <v>242</v>
      </c>
      <c r="E33" s="358" t="s">
        <v>184</v>
      </c>
      <c r="F33" s="358">
        <v>5</v>
      </c>
      <c r="G33" s="67">
        <v>2500</v>
      </c>
      <c r="H33" s="100">
        <f t="shared" si="2"/>
        <v>12500</v>
      </c>
      <c r="I33" s="68"/>
    </row>
    <row r="34" spans="1:9" ht="15.95" customHeight="1">
      <c r="A34" s="511"/>
      <c r="B34" s="99"/>
      <c r="C34" s="66" t="s">
        <v>243</v>
      </c>
      <c r="D34" s="357"/>
      <c r="E34" s="343" t="s">
        <v>186</v>
      </c>
      <c r="F34" s="343">
        <v>5</v>
      </c>
      <c r="G34" s="67">
        <v>185000</v>
      </c>
      <c r="H34" s="100">
        <f t="shared" si="2"/>
        <v>925000</v>
      </c>
      <c r="I34" s="68"/>
    </row>
    <row r="35" spans="1:9" ht="15.95" customHeight="1">
      <c r="A35" s="511"/>
      <c r="B35" s="99"/>
      <c r="C35" s="66" t="s">
        <v>244</v>
      </c>
      <c r="D35" s="357"/>
      <c r="E35" s="326" t="s">
        <v>184</v>
      </c>
      <c r="F35" s="343">
        <v>5</v>
      </c>
      <c r="G35" s="67">
        <v>50000</v>
      </c>
      <c r="H35" s="100">
        <f t="shared" si="2"/>
        <v>250000</v>
      </c>
      <c r="I35" s="68"/>
    </row>
    <row r="36" spans="1:9" ht="15.95" customHeight="1">
      <c r="A36" s="511"/>
      <c r="B36" s="99"/>
      <c r="C36" s="66" t="s">
        <v>245</v>
      </c>
      <c r="D36" s="357" t="s">
        <v>193</v>
      </c>
      <c r="E36" s="326" t="s">
        <v>184</v>
      </c>
      <c r="F36" s="343">
        <v>8</v>
      </c>
      <c r="G36" s="67">
        <v>40000</v>
      </c>
      <c r="H36" s="100">
        <f t="shared" si="2"/>
        <v>320000</v>
      </c>
      <c r="I36" s="68"/>
    </row>
    <row r="37" spans="1:9" ht="15.95" customHeight="1">
      <c r="A37" s="511"/>
      <c r="B37" s="99"/>
      <c r="C37" s="66" t="s">
        <v>245</v>
      </c>
      <c r="D37" s="357" t="s">
        <v>192</v>
      </c>
      <c r="E37" s="326" t="s">
        <v>184</v>
      </c>
      <c r="F37" s="358">
        <v>20</v>
      </c>
      <c r="G37" s="67">
        <v>5500</v>
      </c>
      <c r="H37" s="100">
        <f t="shared" ref="H37:H45" si="3">IF(F37=0,G37,G37*F37)</f>
        <v>110000</v>
      </c>
      <c r="I37" s="68"/>
    </row>
    <row r="38" spans="1:9" ht="15.95" customHeight="1">
      <c r="A38" s="511"/>
      <c r="B38" s="99"/>
      <c r="C38" s="66" t="s">
        <v>200</v>
      </c>
      <c r="D38" s="357" t="s">
        <v>246</v>
      </c>
      <c r="E38" s="326" t="s">
        <v>184</v>
      </c>
      <c r="F38" s="343">
        <v>12</v>
      </c>
      <c r="G38" s="67">
        <v>27700</v>
      </c>
      <c r="H38" s="100">
        <f t="shared" si="3"/>
        <v>332400</v>
      </c>
      <c r="I38" s="68"/>
    </row>
    <row r="39" spans="1:9" ht="15.95" customHeight="1">
      <c r="A39" s="511"/>
      <c r="B39" s="99"/>
      <c r="C39" s="66" t="s">
        <v>247</v>
      </c>
      <c r="D39" s="357" t="s">
        <v>248</v>
      </c>
      <c r="E39" s="326" t="s">
        <v>184</v>
      </c>
      <c r="F39" s="343">
        <v>5</v>
      </c>
      <c r="G39" s="67">
        <v>32200</v>
      </c>
      <c r="H39" s="100">
        <f t="shared" si="3"/>
        <v>161000</v>
      </c>
      <c r="I39" s="68"/>
    </row>
    <row r="40" spans="1:9" ht="15.95" customHeight="1">
      <c r="A40" s="511"/>
      <c r="B40" s="99"/>
      <c r="C40" s="66" t="s">
        <v>249</v>
      </c>
      <c r="D40" s="357" t="s">
        <v>250</v>
      </c>
      <c r="E40" s="326" t="s">
        <v>184</v>
      </c>
      <c r="F40" s="343">
        <v>5</v>
      </c>
      <c r="G40" s="67">
        <v>268200</v>
      </c>
      <c r="H40" s="100">
        <f t="shared" si="3"/>
        <v>1341000</v>
      </c>
      <c r="I40" s="68"/>
    </row>
    <row r="41" spans="1:9" ht="15.95" customHeight="1">
      <c r="A41" s="511"/>
      <c r="B41" s="99"/>
      <c r="C41" s="359" t="s">
        <v>251</v>
      </c>
      <c r="D41" s="357" t="s">
        <v>252</v>
      </c>
      <c r="E41" s="326" t="s">
        <v>184</v>
      </c>
      <c r="F41" s="343">
        <v>5</v>
      </c>
      <c r="G41" s="67">
        <v>340300</v>
      </c>
      <c r="H41" s="100">
        <f t="shared" si="3"/>
        <v>1701500</v>
      </c>
      <c r="I41" s="68"/>
    </row>
    <row r="42" spans="1:9" ht="15.95" customHeight="1">
      <c r="A42" s="511"/>
      <c r="B42" s="99"/>
      <c r="C42" s="66"/>
      <c r="D42" s="357" t="s">
        <v>253</v>
      </c>
      <c r="E42" s="326" t="s">
        <v>184</v>
      </c>
      <c r="F42" s="343">
        <v>15</v>
      </c>
      <c r="G42" s="67">
        <v>125000</v>
      </c>
      <c r="H42" s="100">
        <f t="shared" si="3"/>
        <v>1875000</v>
      </c>
      <c r="I42" s="68"/>
    </row>
    <row r="43" spans="1:9" ht="15.95" customHeight="1">
      <c r="A43" s="511"/>
      <c r="B43" s="99"/>
      <c r="C43" s="359" t="s">
        <v>202</v>
      </c>
      <c r="D43" s="357"/>
      <c r="E43" s="326" t="s">
        <v>194</v>
      </c>
      <c r="F43" s="343">
        <v>1</v>
      </c>
      <c r="G43" s="67">
        <v>1200000</v>
      </c>
      <c r="H43" s="100">
        <f t="shared" si="3"/>
        <v>1200000</v>
      </c>
      <c r="I43" s="68"/>
    </row>
    <row r="44" spans="1:9" ht="15.95" customHeight="1">
      <c r="A44" s="511"/>
      <c r="B44" s="99"/>
      <c r="C44" s="359" t="s">
        <v>203</v>
      </c>
      <c r="D44" s="357"/>
      <c r="E44" s="326" t="s">
        <v>194</v>
      </c>
      <c r="F44" s="343">
        <v>1</v>
      </c>
      <c r="G44" s="360">
        <v>200000</v>
      </c>
      <c r="H44" s="100">
        <f t="shared" si="3"/>
        <v>200000</v>
      </c>
      <c r="I44" s="68"/>
    </row>
    <row r="45" spans="1:9" ht="15.95" customHeight="1">
      <c r="A45" s="511"/>
      <c r="B45" s="99"/>
      <c r="C45" s="66" t="s">
        <v>204</v>
      </c>
      <c r="D45" s="357"/>
      <c r="E45" s="326" t="s">
        <v>194</v>
      </c>
      <c r="F45" s="358">
        <v>1</v>
      </c>
      <c r="G45" s="67">
        <v>200000</v>
      </c>
      <c r="H45" s="370">
        <f t="shared" si="3"/>
        <v>200000</v>
      </c>
      <c r="I45" s="371"/>
    </row>
    <row r="46" spans="1:9" ht="15.95" customHeight="1">
      <c r="A46" s="511"/>
      <c r="B46" s="99"/>
      <c r="C46" s="66" t="s">
        <v>205</v>
      </c>
      <c r="D46" s="357"/>
      <c r="E46" s="326" t="s">
        <v>194</v>
      </c>
      <c r="F46" s="343">
        <v>1</v>
      </c>
      <c r="G46" s="67">
        <v>300000</v>
      </c>
      <c r="H46" s="100">
        <f t="shared" ref="H46:H66" si="4">IF(F46=0,G46,G46*F46)</f>
        <v>300000</v>
      </c>
      <c r="I46" s="68"/>
    </row>
    <row r="47" spans="1:9" ht="15.95" customHeight="1">
      <c r="A47" s="511"/>
      <c r="B47" s="99"/>
      <c r="C47" s="359" t="s">
        <v>254</v>
      </c>
      <c r="D47" s="356" t="s">
        <v>191</v>
      </c>
      <c r="E47" s="326" t="s">
        <v>184</v>
      </c>
      <c r="F47" s="343">
        <v>5</v>
      </c>
      <c r="G47" s="67">
        <v>172500</v>
      </c>
      <c r="H47" s="100">
        <f t="shared" si="4"/>
        <v>862500</v>
      </c>
      <c r="I47" s="68"/>
    </row>
    <row r="48" spans="1:9" ht="15.95" customHeight="1">
      <c r="A48" s="511"/>
      <c r="B48" s="99"/>
      <c r="C48" s="359" t="s">
        <v>286</v>
      </c>
      <c r="D48" s="356"/>
      <c r="E48" s="326" t="s">
        <v>194</v>
      </c>
      <c r="F48" s="343">
        <v>1</v>
      </c>
      <c r="G48" s="67">
        <v>800000</v>
      </c>
      <c r="H48" s="100">
        <f t="shared" si="4"/>
        <v>800000</v>
      </c>
      <c r="I48" s="68"/>
    </row>
    <row r="49" spans="1:9" ht="15.95" customHeight="1">
      <c r="A49" s="511"/>
      <c r="B49" s="99"/>
      <c r="C49" s="359" t="s">
        <v>206</v>
      </c>
      <c r="D49" s="356"/>
      <c r="E49" s="326" t="s">
        <v>194</v>
      </c>
      <c r="F49" s="343">
        <v>1</v>
      </c>
      <c r="G49" s="67">
        <v>400000</v>
      </c>
      <c r="H49" s="100">
        <f t="shared" si="4"/>
        <v>400000</v>
      </c>
      <c r="I49" s="68"/>
    </row>
    <row r="50" spans="1:9" ht="15.95" customHeight="1">
      <c r="A50" s="511"/>
      <c r="B50" s="99"/>
      <c r="C50" s="359" t="s">
        <v>207</v>
      </c>
      <c r="D50" s="356"/>
      <c r="E50" s="326" t="s">
        <v>194</v>
      </c>
      <c r="F50" s="343">
        <v>1</v>
      </c>
      <c r="G50" s="67">
        <v>300000</v>
      </c>
      <c r="H50" s="100">
        <f t="shared" si="4"/>
        <v>300000</v>
      </c>
      <c r="I50" s="68"/>
    </row>
    <row r="51" spans="1:9" ht="15.95" customHeight="1">
      <c r="A51" s="511"/>
      <c r="B51" s="99"/>
      <c r="C51" s="359" t="s">
        <v>287</v>
      </c>
      <c r="D51" s="356" t="s">
        <v>255</v>
      </c>
      <c r="E51" s="326" t="s">
        <v>194</v>
      </c>
      <c r="F51" s="343">
        <v>1</v>
      </c>
      <c r="G51" s="67">
        <v>300000</v>
      </c>
      <c r="H51" s="100">
        <f t="shared" si="4"/>
        <v>300000</v>
      </c>
      <c r="I51" s="68"/>
    </row>
    <row r="52" spans="1:9" ht="15.95" customHeight="1">
      <c r="A52" s="511"/>
      <c r="B52" s="99"/>
      <c r="C52" s="359" t="s">
        <v>288</v>
      </c>
      <c r="D52" s="356"/>
      <c r="E52" s="326" t="s">
        <v>194</v>
      </c>
      <c r="F52" s="358">
        <v>1</v>
      </c>
      <c r="G52" s="67">
        <v>200000</v>
      </c>
      <c r="H52" s="100">
        <f t="shared" si="4"/>
        <v>200000</v>
      </c>
      <c r="I52" s="68"/>
    </row>
    <row r="53" spans="1:9" ht="15.95" customHeight="1">
      <c r="A53" s="511"/>
      <c r="B53" s="99"/>
      <c r="C53" s="361" t="s">
        <v>289</v>
      </c>
      <c r="D53" s="362"/>
      <c r="E53" s="333" t="s">
        <v>194</v>
      </c>
      <c r="F53" s="363">
        <v>1</v>
      </c>
      <c r="G53" s="277">
        <v>200000</v>
      </c>
      <c r="H53" s="100">
        <f t="shared" si="4"/>
        <v>200000</v>
      </c>
      <c r="I53" s="68"/>
    </row>
    <row r="54" spans="1:9" ht="15.95" customHeight="1">
      <c r="A54" s="511"/>
      <c r="B54" s="99"/>
      <c r="C54" s="361" t="s">
        <v>290</v>
      </c>
      <c r="D54" s="362" t="s">
        <v>256</v>
      </c>
      <c r="E54" s="333" t="s">
        <v>194</v>
      </c>
      <c r="F54" s="363">
        <v>1</v>
      </c>
      <c r="G54" s="277">
        <v>300000</v>
      </c>
      <c r="H54" s="100">
        <f t="shared" si="4"/>
        <v>300000</v>
      </c>
      <c r="I54" s="68"/>
    </row>
    <row r="55" spans="1:9" ht="15.95" customHeight="1">
      <c r="A55" s="511"/>
      <c r="B55" s="99"/>
      <c r="C55" s="66" t="s">
        <v>291</v>
      </c>
      <c r="D55" s="66" t="s">
        <v>256</v>
      </c>
      <c r="E55" s="66" t="s">
        <v>194</v>
      </c>
      <c r="F55" s="67">
        <v>1</v>
      </c>
      <c r="G55" s="67">
        <v>200000</v>
      </c>
      <c r="H55" s="100">
        <f t="shared" si="4"/>
        <v>200000</v>
      </c>
      <c r="I55" s="68"/>
    </row>
    <row r="56" spans="1:9" ht="15.95" customHeight="1">
      <c r="A56" s="511"/>
      <c r="B56" s="99"/>
      <c r="C56" s="66" t="s">
        <v>209</v>
      </c>
      <c r="D56" s="66"/>
      <c r="E56" s="66" t="s">
        <v>184</v>
      </c>
      <c r="F56" s="67">
        <v>40</v>
      </c>
      <c r="G56" s="67">
        <v>15000</v>
      </c>
      <c r="H56" s="100">
        <f t="shared" si="4"/>
        <v>600000</v>
      </c>
      <c r="I56" s="120"/>
    </row>
    <row r="57" spans="1:9" ht="15.95" customHeight="1">
      <c r="A57" s="511"/>
      <c r="B57" s="99"/>
      <c r="C57" s="66" t="s">
        <v>293</v>
      </c>
      <c r="D57" s="66"/>
      <c r="E57" s="66" t="s">
        <v>186</v>
      </c>
      <c r="F57" s="67">
        <v>5</v>
      </c>
      <c r="G57" s="67">
        <v>150000</v>
      </c>
      <c r="H57" s="100">
        <f t="shared" si="4"/>
        <v>750000</v>
      </c>
      <c r="I57" s="68"/>
    </row>
    <row r="58" spans="1:9" ht="15.95" customHeight="1">
      <c r="A58" s="511"/>
      <c r="B58" s="99"/>
      <c r="C58" s="66" t="s">
        <v>208</v>
      </c>
      <c r="D58" s="66" t="s">
        <v>196</v>
      </c>
      <c r="E58" s="66" t="s">
        <v>184</v>
      </c>
      <c r="F58" s="67">
        <v>11</v>
      </c>
      <c r="G58" s="67">
        <v>65000</v>
      </c>
      <c r="H58" s="100">
        <f t="shared" si="4"/>
        <v>715000</v>
      </c>
      <c r="I58" s="68"/>
    </row>
    <row r="59" spans="1:9" ht="15.95" customHeight="1">
      <c r="A59" s="511"/>
      <c r="B59" s="99"/>
      <c r="C59" s="66" t="s">
        <v>294</v>
      </c>
      <c r="D59" s="66"/>
      <c r="E59" s="66" t="s">
        <v>194</v>
      </c>
      <c r="F59" s="67">
        <v>1</v>
      </c>
      <c r="G59" s="67">
        <v>500000</v>
      </c>
      <c r="H59" s="100">
        <f t="shared" si="4"/>
        <v>500000</v>
      </c>
      <c r="I59" s="68"/>
    </row>
    <row r="60" spans="1:9" ht="15.95" customHeight="1">
      <c r="A60" s="511"/>
      <c r="B60" s="99"/>
      <c r="C60" s="66" t="s">
        <v>295</v>
      </c>
      <c r="D60" s="66"/>
      <c r="E60" s="66" t="s">
        <v>194</v>
      </c>
      <c r="F60" s="67">
        <v>1</v>
      </c>
      <c r="G60" s="67">
        <v>150000</v>
      </c>
      <c r="H60" s="100">
        <f t="shared" si="4"/>
        <v>150000</v>
      </c>
      <c r="I60" s="120"/>
    </row>
    <row r="61" spans="1:9" ht="15.95" customHeight="1">
      <c r="A61" s="511"/>
      <c r="B61" s="99"/>
      <c r="C61" s="66" t="s">
        <v>296</v>
      </c>
      <c r="D61" s="66"/>
      <c r="E61" s="66" t="s">
        <v>194</v>
      </c>
      <c r="F61" s="67">
        <v>1</v>
      </c>
      <c r="G61" s="67">
        <v>200000</v>
      </c>
      <c r="H61" s="100">
        <f t="shared" si="4"/>
        <v>200000</v>
      </c>
      <c r="I61" s="68"/>
    </row>
    <row r="62" spans="1:9" ht="15.95" customHeight="1">
      <c r="A62" s="511"/>
      <c r="B62" s="99"/>
      <c r="C62" s="66" t="s">
        <v>297</v>
      </c>
      <c r="D62" s="66"/>
      <c r="E62" s="66" t="s">
        <v>184</v>
      </c>
      <c r="F62" s="67">
        <v>5</v>
      </c>
      <c r="G62" s="67">
        <v>60000</v>
      </c>
      <c r="H62" s="100">
        <f t="shared" si="4"/>
        <v>300000</v>
      </c>
      <c r="I62" s="68"/>
    </row>
    <row r="63" spans="1:9" ht="15.95" customHeight="1">
      <c r="A63" s="511"/>
      <c r="B63" s="99"/>
      <c r="C63" s="66" t="s">
        <v>241</v>
      </c>
      <c r="D63" s="66"/>
      <c r="E63" s="66" t="s">
        <v>194</v>
      </c>
      <c r="F63" s="67">
        <v>1</v>
      </c>
      <c r="G63" s="67">
        <v>100000</v>
      </c>
      <c r="H63" s="100">
        <f t="shared" si="4"/>
        <v>100000</v>
      </c>
      <c r="I63" s="68"/>
    </row>
    <row r="64" spans="1:9" ht="15.95" customHeight="1">
      <c r="A64" s="511"/>
      <c r="B64" s="99"/>
      <c r="C64" s="66" t="s">
        <v>201</v>
      </c>
      <c r="D64" s="66" t="s">
        <v>223</v>
      </c>
      <c r="E64" s="66" t="s">
        <v>194</v>
      </c>
      <c r="F64" s="67">
        <v>1</v>
      </c>
      <c r="G64" s="67">
        <v>500000</v>
      </c>
      <c r="H64" s="100">
        <f t="shared" si="4"/>
        <v>500000</v>
      </c>
      <c r="I64" s="68"/>
    </row>
    <row r="65" spans="1:13" ht="15.95" customHeight="1">
      <c r="A65" s="511"/>
      <c r="B65" s="99"/>
      <c r="C65" s="66" t="s">
        <v>213</v>
      </c>
      <c r="D65" s="66"/>
      <c r="E65" s="66" t="s">
        <v>186</v>
      </c>
      <c r="F65" s="67">
        <v>1</v>
      </c>
      <c r="G65" s="67">
        <v>2884000</v>
      </c>
      <c r="H65" s="100">
        <f t="shared" si="4"/>
        <v>2884000</v>
      </c>
      <c r="I65" s="68"/>
    </row>
    <row r="66" spans="1:13" ht="15.95" customHeight="1">
      <c r="A66" s="511"/>
      <c r="B66" s="99"/>
      <c r="C66" s="66"/>
      <c r="D66" s="66"/>
      <c r="E66" s="66"/>
      <c r="F66" s="67"/>
      <c r="G66" s="67"/>
      <c r="H66" s="100">
        <f t="shared" si="4"/>
        <v>0</v>
      </c>
      <c r="I66" s="68"/>
    </row>
    <row r="67" spans="1:13" ht="15.95" customHeight="1">
      <c r="A67" s="511"/>
      <c r="B67" s="99"/>
      <c r="C67" s="114"/>
      <c r="D67" s="114"/>
      <c r="E67" s="340"/>
      <c r="F67" s="341"/>
      <c r="G67" s="115"/>
      <c r="H67" s="105">
        <f>IF(F67=0,G67,G67*F67)</f>
        <v>0</v>
      </c>
      <c r="I67" s="69"/>
    </row>
    <row r="68" spans="1:13" ht="15.95" customHeight="1">
      <c r="A68" s="511"/>
      <c r="B68" s="70"/>
      <c r="C68" s="102"/>
      <c r="D68" s="92"/>
      <c r="E68" s="92"/>
      <c r="F68" s="37"/>
      <c r="G68" s="37"/>
      <c r="H68" s="27">
        <f>SUM(H18:H67)</f>
        <v>55365400</v>
      </c>
      <c r="I68" s="72"/>
    </row>
    <row r="69" spans="1:13" ht="15.95" customHeight="1">
      <c r="A69" s="74"/>
      <c r="B69" s="97" t="s">
        <v>42</v>
      </c>
      <c r="C69" s="71"/>
      <c r="D69" s="72"/>
      <c r="E69" s="72"/>
      <c r="F69" s="52"/>
      <c r="G69" s="52"/>
      <c r="H69" s="27">
        <f>SUM(H68,H10,H17)</f>
        <v>61065400</v>
      </c>
      <c r="I69" s="72"/>
    </row>
    <row r="70" spans="1:13" ht="15.95" customHeight="1">
      <c r="A70" s="508" t="s">
        <v>72</v>
      </c>
      <c r="B70" s="137" t="s">
        <v>70</v>
      </c>
      <c r="C70" s="71"/>
      <c r="D70" s="75"/>
      <c r="E70" s="106" t="s">
        <v>51</v>
      </c>
      <c r="F70" s="116"/>
      <c r="G70" s="116"/>
      <c r="H70" s="49">
        <f t="shared" ref="H70:H76" si="5">F70*G70</f>
        <v>0</v>
      </c>
      <c r="I70" s="72"/>
      <c r="M70" s="378"/>
    </row>
    <row r="71" spans="1:13" ht="15.95" customHeight="1">
      <c r="A71" s="509"/>
      <c r="B71" s="138" t="s">
        <v>103</v>
      </c>
      <c r="C71" s="141"/>
      <c r="D71" s="76"/>
      <c r="E71" s="107" t="s">
        <v>50</v>
      </c>
      <c r="F71" s="113">
        <v>30</v>
      </c>
      <c r="G71" s="367">
        <v>300000</v>
      </c>
      <c r="H71" s="104">
        <f t="shared" si="5"/>
        <v>9000000</v>
      </c>
      <c r="I71" s="73"/>
    </row>
    <row r="72" spans="1:13" ht="15.95" customHeight="1">
      <c r="A72" s="509"/>
      <c r="B72" s="139" t="s">
        <v>104</v>
      </c>
      <c r="C72" s="142"/>
      <c r="D72" s="77"/>
      <c r="E72" s="108" t="s">
        <v>50</v>
      </c>
      <c r="F72" s="67">
        <v>10</v>
      </c>
      <c r="G72" s="367">
        <v>250000</v>
      </c>
      <c r="H72" s="100">
        <f t="shared" si="5"/>
        <v>2500000</v>
      </c>
      <c r="I72" s="68"/>
    </row>
    <row r="73" spans="1:13" ht="15.95" customHeight="1">
      <c r="A73" s="509"/>
      <c r="B73" s="139" t="s">
        <v>105</v>
      </c>
      <c r="C73" s="142"/>
      <c r="D73" s="77"/>
      <c r="E73" s="108" t="s">
        <v>50</v>
      </c>
      <c r="F73" s="67">
        <v>10</v>
      </c>
      <c r="G73" s="367">
        <v>250000</v>
      </c>
      <c r="H73" s="100">
        <f>F73*G73</f>
        <v>2500000</v>
      </c>
      <c r="I73" s="68"/>
    </row>
    <row r="74" spans="1:13" ht="15.95" customHeight="1">
      <c r="A74" s="509"/>
      <c r="B74" s="139" t="s">
        <v>106</v>
      </c>
      <c r="C74" s="142"/>
      <c r="D74" s="77"/>
      <c r="E74" s="108" t="s">
        <v>50</v>
      </c>
      <c r="F74" s="67">
        <v>10</v>
      </c>
      <c r="G74" s="368">
        <v>250000</v>
      </c>
      <c r="H74" s="100">
        <f t="shared" si="5"/>
        <v>2500000</v>
      </c>
      <c r="I74" s="68"/>
    </row>
    <row r="75" spans="1:13" ht="15.95" customHeight="1">
      <c r="A75" s="509"/>
      <c r="B75" s="139" t="s">
        <v>107</v>
      </c>
      <c r="C75" s="142"/>
      <c r="D75" s="77"/>
      <c r="E75" s="108" t="s">
        <v>50</v>
      </c>
      <c r="F75" s="67">
        <v>10</v>
      </c>
      <c r="G75" s="367">
        <v>350000</v>
      </c>
      <c r="H75" s="100">
        <f t="shared" si="5"/>
        <v>3500000</v>
      </c>
      <c r="I75" s="68"/>
    </row>
    <row r="76" spans="1:13" ht="15.95" customHeight="1">
      <c r="A76" s="509"/>
      <c r="B76" s="140" t="s">
        <v>108</v>
      </c>
      <c r="C76" s="143" t="s">
        <v>299</v>
      </c>
      <c r="D76" s="78"/>
      <c r="E76" s="109" t="s">
        <v>50</v>
      </c>
      <c r="F76" s="115">
        <v>42</v>
      </c>
      <c r="G76" s="369">
        <v>500000</v>
      </c>
      <c r="H76" s="105">
        <f t="shared" si="5"/>
        <v>21000000</v>
      </c>
      <c r="I76" s="69"/>
    </row>
    <row r="77" spans="1:13" ht="15.95" customHeight="1">
      <c r="A77" s="74"/>
      <c r="B77" s="96" t="s">
        <v>41</v>
      </c>
      <c r="C77" s="71"/>
      <c r="D77" s="72"/>
      <c r="E77" s="72"/>
      <c r="F77" s="37"/>
      <c r="G77" s="37"/>
      <c r="H77" s="27">
        <f>SUM(H70:H76)</f>
        <v>41000000</v>
      </c>
      <c r="I77" s="72"/>
    </row>
    <row r="78" spans="1:13" ht="15.95" customHeight="1">
      <c r="A78" s="48"/>
      <c r="B78" s="96" t="s">
        <v>48</v>
      </c>
      <c r="C78" s="71"/>
      <c r="D78" s="72"/>
      <c r="E78" s="72"/>
      <c r="F78" s="27"/>
      <c r="G78" s="146" t="s">
        <v>79</v>
      </c>
      <c r="H78" s="52">
        <v>0</v>
      </c>
      <c r="I78" s="72"/>
    </row>
    <row r="79" spans="1:13" ht="15.95" customHeight="1">
      <c r="A79" s="48"/>
      <c r="B79" s="96" t="s">
        <v>25</v>
      </c>
      <c r="C79" s="71"/>
      <c r="D79" s="72"/>
      <c r="E79" s="72"/>
      <c r="F79" s="27"/>
      <c r="G79" s="51"/>
      <c r="H79" s="116">
        <f>SUM(H69+H77)*0.03</f>
        <v>3061962</v>
      </c>
      <c r="I79" s="71"/>
    </row>
    <row r="80" spans="1:13" ht="15.95" customHeight="1">
      <c r="A80" s="48"/>
      <c r="B80" s="96" t="s">
        <v>151</v>
      </c>
      <c r="C80" s="71"/>
      <c r="D80" s="72"/>
      <c r="E80" s="72"/>
      <c r="F80" s="27"/>
      <c r="G80" s="51"/>
      <c r="H80" s="116">
        <f>SUM(H69+H77)*0.12</f>
        <v>12247848</v>
      </c>
      <c r="I80" s="71"/>
    </row>
    <row r="81" spans="1:11" ht="15.95" customHeight="1">
      <c r="A81" s="48"/>
      <c r="B81" s="96" t="s">
        <v>152</v>
      </c>
      <c r="C81" s="71"/>
      <c r="D81" s="72"/>
      <c r="E81" s="72"/>
      <c r="F81" s="27"/>
      <c r="G81" s="27"/>
      <c r="H81" s="37">
        <f>H69+H77+H78+H79+H80</f>
        <v>117375210</v>
      </c>
      <c r="I81" s="72"/>
      <c r="K81" s="28"/>
    </row>
    <row r="82" spans="1:11">
      <c r="A82" s="26"/>
    </row>
  </sheetData>
  <mergeCells count="3">
    <mergeCell ref="A2:B2"/>
    <mergeCell ref="A70:A76"/>
    <mergeCell ref="A3:A68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4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  <pageSetUpPr fitToPage="1"/>
  </sheetPr>
  <dimension ref="A1:K104"/>
  <sheetViews>
    <sheetView zoomScale="85" workbookViewId="0">
      <pane xSplit="2" ySplit="2" topLeftCell="C68" activePane="bottomRight" state="frozen"/>
      <selection activeCell="J69" sqref="J69"/>
      <selection pane="topRight" activeCell="J69" sqref="J69"/>
      <selection pane="bottomLeft" activeCell="J69" sqref="J69"/>
      <selection pane="bottomRight" activeCell="N94" sqref="N94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0" width="9" style="25"/>
    <col min="11" max="11" width="10" style="25" bestFit="1" customWidth="1"/>
    <col min="12" max="16384" width="9" style="25"/>
  </cols>
  <sheetData>
    <row r="1" spans="1:11" ht="22.5" customHeight="1">
      <c r="B1" s="98" t="s">
        <v>80</v>
      </c>
      <c r="C1" s="147" t="s">
        <v>315</v>
      </c>
      <c r="D1" s="61"/>
      <c r="E1" s="61"/>
      <c r="F1" s="62"/>
      <c r="G1" s="63"/>
      <c r="I1" s="25" t="s">
        <v>83</v>
      </c>
      <c r="K1" s="123"/>
    </row>
    <row r="2" spans="1:11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11" ht="15.95" customHeight="1">
      <c r="A3" s="510" t="s">
        <v>82</v>
      </c>
      <c r="B3" s="99" t="s">
        <v>37</v>
      </c>
      <c r="C3" s="318" t="s">
        <v>301</v>
      </c>
      <c r="D3" s="318" t="s">
        <v>302</v>
      </c>
      <c r="E3" s="326" t="s">
        <v>186</v>
      </c>
      <c r="F3" s="327">
        <v>1</v>
      </c>
      <c r="G3" s="328">
        <v>2500000</v>
      </c>
      <c r="H3" s="104">
        <f>IF(F3=0,G3,G3*F3)</f>
        <v>2500000</v>
      </c>
      <c r="I3" s="73"/>
    </row>
    <row r="4" spans="1:11" ht="15.95" customHeight="1">
      <c r="A4" s="512"/>
      <c r="B4" s="99" t="s">
        <v>315</v>
      </c>
      <c r="C4" s="318" t="s">
        <v>260</v>
      </c>
      <c r="D4" s="318" t="s">
        <v>261</v>
      </c>
      <c r="E4" s="326" t="s">
        <v>184</v>
      </c>
      <c r="F4" s="329">
        <v>2</v>
      </c>
      <c r="G4" s="330">
        <v>150000</v>
      </c>
      <c r="H4" s="100">
        <f>IF(F4=0,G4,G4*F4)</f>
        <v>300000</v>
      </c>
      <c r="I4" s="68"/>
    </row>
    <row r="5" spans="1:11" ht="15.95" customHeight="1">
      <c r="A5" s="512"/>
      <c r="B5" s="99" t="s">
        <v>316</v>
      </c>
      <c r="C5" s="318" t="s">
        <v>262</v>
      </c>
      <c r="D5" s="318"/>
      <c r="E5" s="326" t="s">
        <v>184</v>
      </c>
      <c r="F5" s="329">
        <v>1</v>
      </c>
      <c r="G5" s="330">
        <v>120000</v>
      </c>
      <c r="H5" s="100">
        <f>IF(F5=0,G5,G5*F5)</f>
        <v>120000</v>
      </c>
      <c r="I5" s="68"/>
    </row>
    <row r="6" spans="1:11" ht="15.95" customHeight="1">
      <c r="A6" s="512"/>
      <c r="B6" s="99"/>
      <c r="C6" s="66" t="s">
        <v>270</v>
      </c>
      <c r="D6" s="318" t="s">
        <v>302</v>
      </c>
      <c r="E6" s="326" t="s">
        <v>186</v>
      </c>
      <c r="F6" s="343">
        <v>1</v>
      </c>
      <c r="G6" s="67">
        <v>800000</v>
      </c>
      <c r="H6" s="100">
        <f>IF(F6=0,G6,G6*F6)</f>
        <v>800000</v>
      </c>
      <c r="I6" s="68"/>
    </row>
    <row r="7" spans="1:11" ht="15.95" customHeight="1">
      <c r="A7" s="512"/>
      <c r="B7" s="99"/>
      <c r="C7" s="318" t="s">
        <v>305</v>
      </c>
      <c r="D7" s="318" t="s">
        <v>306</v>
      </c>
      <c r="E7" s="326" t="s">
        <v>186</v>
      </c>
      <c r="F7" s="329">
        <v>1</v>
      </c>
      <c r="G7" s="330">
        <v>300000</v>
      </c>
      <c r="H7" s="100">
        <f t="shared" ref="H7:H88" si="0">IF(F7=0,G7,G7*F7)</f>
        <v>300000</v>
      </c>
      <c r="I7" s="68"/>
    </row>
    <row r="8" spans="1:11" ht="15.95" customHeight="1">
      <c r="A8" s="512"/>
      <c r="B8" s="99"/>
      <c r="C8" s="331" t="s">
        <v>266</v>
      </c>
      <c r="D8" s="345" t="s">
        <v>307</v>
      </c>
      <c r="E8" s="326" t="s">
        <v>186</v>
      </c>
      <c r="F8" s="329">
        <v>5</v>
      </c>
      <c r="G8" s="328">
        <v>800000</v>
      </c>
      <c r="H8" s="100">
        <f t="shared" si="0"/>
        <v>4000000</v>
      </c>
      <c r="I8" s="68"/>
    </row>
    <row r="9" spans="1:11" ht="15.95" customHeight="1">
      <c r="A9" s="512"/>
      <c r="B9" s="99" t="s">
        <v>315</v>
      </c>
      <c r="C9" s="331" t="s">
        <v>301</v>
      </c>
      <c r="D9" s="331" t="s">
        <v>302</v>
      </c>
      <c r="E9" s="326" t="s">
        <v>186</v>
      </c>
      <c r="F9" s="329">
        <v>2</v>
      </c>
      <c r="G9" s="328">
        <v>2500000</v>
      </c>
      <c r="H9" s="100">
        <f t="shared" si="0"/>
        <v>5000000</v>
      </c>
      <c r="I9" s="68"/>
    </row>
    <row r="10" spans="1:11" ht="15.95" customHeight="1">
      <c r="A10" s="512"/>
      <c r="B10" s="99" t="s">
        <v>314</v>
      </c>
      <c r="C10" s="66" t="s">
        <v>260</v>
      </c>
      <c r="D10" s="66" t="s">
        <v>261</v>
      </c>
      <c r="E10" s="326" t="s">
        <v>184</v>
      </c>
      <c r="F10" s="67">
        <v>4</v>
      </c>
      <c r="G10" s="67">
        <v>150000</v>
      </c>
      <c r="H10" s="100">
        <f t="shared" si="0"/>
        <v>600000</v>
      </c>
      <c r="I10" s="68"/>
    </row>
    <row r="11" spans="1:11" ht="15.95" customHeight="1">
      <c r="A11" s="512"/>
      <c r="B11" s="99"/>
      <c r="C11" s="66" t="s">
        <v>262</v>
      </c>
      <c r="D11" s="66"/>
      <c r="E11" s="326" t="s">
        <v>184</v>
      </c>
      <c r="F11" s="67">
        <v>2</v>
      </c>
      <c r="G11" s="67">
        <v>120000</v>
      </c>
      <c r="H11" s="100">
        <f t="shared" si="0"/>
        <v>240000</v>
      </c>
      <c r="I11" s="68"/>
    </row>
    <row r="12" spans="1:11" ht="15.95" customHeight="1">
      <c r="A12" s="512"/>
      <c r="B12" s="99"/>
      <c r="C12" s="66" t="s">
        <v>305</v>
      </c>
      <c r="D12" s="66" t="s">
        <v>306</v>
      </c>
      <c r="E12" s="326" t="s">
        <v>186</v>
      </c>
      <c r="F12" s="67">
        <v>2</v>
      </c>
      <c r="G12" s="67">
        <v>300000</v>
      </c>
      <c r="H12" s="100">
        <f t="shared" si="0"/>
        <v>600000</v>
      </c>
      <c r="I12" s="68"/>
    </row>
    <row r="13" spans="1:11" ht="15.95" customHeight="1">
      <c r="A13" s="512"/>
      <c r="B13" s="99"/>
      <c r="C13" s="66" t="s">
        <v>266</v>
      </c>
      <c r="D13" s="66" t="s">
        <v>307</v>
      </c>
      <c r="E13" s="326" t="s">
        <v>186</v>
      </c>
      <c r="F13" s="67">
        <v>10</v>
      </c>
      <c r="G13" s="67">
        <v>800000</v>
      </c>
      <c r="H13" s="100">
        <f t="shared" si="0"/>
        <v>8000000</v>
      </c>
      <c r="I13" s="68"/>
    </row>
    <row r="14" spans="1:11" ht="15.95" customHeight="1">
      <c r="A14" s="512"/>
      <c r="B14" s="99"/>
      <c r="C14" s="66" t="s">
        <v>270</v>
      </c>
      <c r="D14" s="66"/>
      <c r="E14" s="326" t="s">
        <v>186</v>
      </c>
      <c r="F14" s="67">
        <v>2</v>
      </c>
      <c r="G14" s="67">
        <v>800000</v>
      </c>
      <c r="H14" s="100">
        <f t="shared" si="0"/>
        <v>1600000</v>
      </c>
      <c r="I14" s="68"/>
    </row>
    <row r="15" spans="1:11" ht="15.95" customHeight="1">
      <c r="A15" s="512"/>
      <c r="B15" s="99" t="s">
        <v>319</v>
      </c>
      <c r="C15" s="66" t="s">
        <v>301</v>
      </c>
      <c r="D15" s="66" t="s">
        <v>302</v>
      </c>
      <c r="E15" s="326" t="s">
        <v>186</v>
      </c>
      <c r="F15" s="67">
        <v>2</v>
      </c>
      <c r="G15" s="67">
        <v>3500000</v>
      </c>
      <c r="H15" s="100">
        <f t="shared" si="0"/>
        <v>7000000</v>
      </c>
      <c r="I15" s="68"/>
    </row>
    <row r="16" spans="1:11" ht="15.95" customHeight="1">
      <c r="A16" s="512"/>
      <c r="B16" s="99" t="s">
        <v>320</v>
      </c>
      <c r="C16" s="66" t="s">
        <v>260</v>
      </c>
      <c r="D16" s="66" t="s">
        <v>261</v>
      </c>
      <c r="E16" s="326" t="s">
        <v>184</v>
      </c>
      <c r="F16" s="67">
        <v>4</v>
      </c>
      <c r="G16" s="67">
        <v>150000</v>
      </c>
      <c r="H16" s="100">
        <f t="shared" si="0"/>
        <v>600000</v>
      </c>
      <c r="I16" s="68"/>
    </row>
    <row r="17" spans="1:9" ht="15.95" customHeight="1">
      <c r="A17" s="512"/>
      <c r="B17" s="99"/>
      <c r="C17" s="66" t="s">
        <v>322</v>
      </c>
      <c r="D17" s="66" t="s">
        <v>323</v>
      </c>
      <c r="E17" s="326" t="s">
        <v>186</v>
      </c>
      <c r="F17" s="67">
        <v>2</v>
      </c>
      <c r="G17" s="67">
        <v>250000</v>
      </c>
      <c r="H17" s="100">
        <f t="shared" si="0"/>
        <v>500000</v>
      </c>
      <c r="I17" s="68"/>
    </row>
    <row r="18" spans="1:9" ht="15.95" customHeight="1">
      <c r="A18" s="512"/>
      <c r="B18" s="99"/>
      <c r="C18" s="66" t="s">
        <v>305</v>
      </c>
      <c r="D18" s="66" t="s">
        <v>306</v>
      </c>
      <c r="E18" s="326" t="s">
        <v>186</v>
      </c>
      <c r="F18" s="67">
        <v>2</v>
      </c>
      <c r="G18" s="67">
        <v>300000</v>
      </c>
      <c r="H18" s="100">
        <f t="shared" si="0"/>
        <v>600000</v>
      </c>
      <c r="I18" s="68"/>
    </row>
    <row r="19" spans="1:9" ht="15.95" customHeight="1">
      <c r="A19" s="512"/>
      <c r="B19" s="99"/>
      <c r="C19" s="66" t="s">
        <v>324</v>
      </c>
      <c r="D19" s="66" t="s">
        <v>307</v>
      </c>
      <c r="E19" s="326" t="s">
        <v>186</v>
      </c>
      <c r="F19" s="67">
        <v>10</v>
      </c>
      <c r="G19" s="67">
        <v>800000</v>
      </c>
      <c r="H19" s="100">
        <f t="shared" si="0"/>
        <v>8000000</v>
      </c>
      <c r="I19" s="68"/>
    </row>
    <row r="20" spans="1:9" ht="15.95" customHeight="1">
      <c r="A20" s="512"/>
      <c r="B20" s="99"/>
      <c r="C20" s="66" t="s">
        <v>275</v>
      </c>
      <c r="D20" s="66" t="s">
        <v>325</v>
      </c>
      <c r="E20" s="326" t="s">
        <v>184</v>
      </c>
      <c r="F20" s="343">
        <v>20</v>
      </c>
      <c r="G20" s="67">
        <v>300000</v>
      </c>
      <c r="H20" s="100">
        <f t="shared" si="0"/>
        <v>6000000</v>
      </c>
      <c r="I20" s="68"/>
    </row>
    <row r="21" spans="1:9" ht="15.95" customHeight="1">
      <c r="A21" s="512"/>
      <c r="B21" s="99"/>
      <c r="C21" s="66" t="s">
        <v>270</v>
      </c>
      <c r="D21" s="66"/>
      <c r="E21" s="326" t="s">
        <v>186</v>
      </c>
      <c r="F21" s="343">
        <v>1</v>
      </c>
      <c r="G21" s="67">
        <v>800000</v>
      </c>
      <c r="H21" s="100">
        <f t="shared" si="0"/>
        <v>800000</v>
      </c>
      <c r="I21" s="68"/>
    </row>
    <row r="22" spans="1:9" ht="15.95" customHeight="1">
      <c r="A22" s="512"/>
      <c r="B22" s="99" t="s">
        <v>339</v>
      </c>
      <c r="C22" s="66" t="s">
        <v>301</v>
      </c>
      <c r="D22" s="66" t="s">
        <v>302</v>
      </c>
      <c r="E22" s="326" t="s">
        <v>186</v>
      </c>
      <c r="F22" s="343">
        <v>1</v>
      </c>
      <c r="G22" s="67">
        <v>3500000</v>
      </c>
      <c r="H22" s="100">
        <f t="shared" si="0"/>
        <v>3500000</v>
      </c>
      <c r="I22" s="68"/>
    </row>
    <row r="23" spans="1:9" ht="15.95" customHeight="1">
      <c r="A23" s="512"/>
      <c r="B23" s="99" t="s">
        <v>340</v>
      </c>
      <c r="C23" s="66" t="s">
        <v>260</v>
      </c>
      <c r="D23" s="66" t="s">
        <v>261</v>
      </c>
      <c r="E23" s="326" t="s">
        <v>184</v>
      </c>
      <c r="F23" s="67">
        <v>2</v>
      </c>
      <c r="G23" s="67">
        <v>150000</v>
      </c>
      <c r="H23" s="100">
        <f t="shared" si="0"/>
        <v>300000</v>
      </c>
      <c r="I23" s="68"/>
    </row>
    <row r="24" spans="1:9" ht="15.95" customHeight="1">
      <c r="A24" s="512"/>
      <c r="B24" s="99"/>
      <c r="C24" s="66" t="s">
        <v>262</v>
      </c>
      <c r="D24" s="66"/>
      <c r="E24" s="326" t="s">
        <v>184</v>
      </c>
      <c r="F24" s="67">
        <v>1</v>
      </c>
      <c r="G24" s="67">
        <v>120000</v>
      </c>
      <c r="H24" s="100">
        <f t="shared" si="0"/>
        <v>120000</v>
      </c>
      <c r="I24" s="68"/>
    </row>
    <row r="25" spans="1:9" ht="15.95" customHeight="1">
      <c r="A25" s="512"/>
      <c r="B25" s="99"/>
      <c r="C25" s="66"/>
      <c r="D25" s="66"/>
      <c r="E25" s="326"/>
      <c r="F25" s="67"/>
      <c r="G25" s="67"/>
      <c r="H25" s="100">
        <f t="shared" si="0"/>
        <v>0</v>
      </c>
      <c r="I25" s="68"/>
    </row>
    <row r="26" spans="1:9" ht="15.95" customHeight="1">
      <c r="A26" s="512"/>
      <c r="B26" s="99"/>
      <c r="C26" s="66"/>
      <c r="D26" s="66"/>
      <c r="E26" s="326"/>
      <c r="F26" s="67"/>
      <c r="G26" s="67"/>
      <c r="H26" s="100">
        <f t="shared" si="0"/>
        <v>0</v>
      </c>
      <c r="I26" s="68"/>
    </row>
    <row r="27" spans="1:9" ht="15.95" customHeight="1">
      <c r="A27" s="512"/>
      <c r="B27" s="99"/>
      <c r="C27" s="66"/>
      <c r="D27" s="66"/>
      <c r="E27" s="326"/>
      <c r="F27" s="67"/>
      <c r="G27" s="67"/>
      <c r="H27" s="100">
        <f t="shared" si="0"/>
        <v>0</v>
      </c>
      <c r="I27" s="68"/>
    </row>
    <row r="28" spans="1:9" ht="15.95" customHeight="1">
      <c r="A28" s="512"/>
      <c r="B28" s="99"/>
      <c r="C28" s="276"/>
      <c r="D28" s="276"/>
      <c r="E28" s="326"/>
      <c r="F28" s="277"/>
      <c r="G28" s="277"/>
      <c r="H28" s="100">
        <f t="shared" si="0"/>
        <v>0</v>
      </c>
      <c r="I28" s="279"/>
    </row>
    <row r="29" spans="1:9" ht="15.95" customHeight="1">
      <c r="A29" s="512"/>
      <c r="B29" s="99"/>
      <c r="C29" s="114"/>
      <c r="D29" s="276"/>
      <c r="E29" s="333"/>
      <c r="F29" s="334"/>
      <c r="G29" s="277"/>
      <c r="H29" s="100">
        <f t="shared" si="0"/>
        <v>0</v>
      </c>
      <c r="I29" s="279"/>
    </row>
    <row r="30" spans="1:9" ht="15.95" customHeight="1">
      <c r="A30" s="512"/>
      <c r="B30" s="70"/>
      <c r="C30" s="282"/>
      <c r="D30" s="282"/>
      <c r="E30" s="282"/>
      <c r="F30" s="283"/>
      <c r="G30" s="283"/>
      <c r="H30" s="284">
        <f>SUM(H3:H29)</f>
        <v>51480000</v>
      </c>
      <c r="I30" s="282"/>
    </row>
    <row r="31" spans="1:9" ht="15.95" customHeight="1">
      <c r="A31" s="512"/>
      <c r="B31" s="99" t="s">
        <v>160</v>
      </c>
      <c r="C31" s="117"/>
      <c r="D31" s="117"/>
      <c r="E31" s="117"/>
      <c r="F31" s="118"/>
      <c r="G31" s="118"/>
      <c r="H31" s="119">
        <f t="shared" si="0"/>
        <v>0</v>
      </c>
      <c r="I31" s="120"/>
    </row>
    <row r="32" spans="1:9" ht="15.95" customHeight="1">
      <c r="A32" s="512"/>
      <c r="B32" s="99" t="s">
        <v>161</v>
      </c>
      <c r="C32" s="66"/>
      <c r="D32" s="66"/>
      <c r="E32" s="66"/>
      <c r="F32" s="67"/>
      <c r="G32" s="67"/>
      <c r="H32" s="100">
        <f t="shared" si="0"/>
        <v>0</v>
      </c>
      <c r="I32" s="68"/>
    </row>
    <row r="33" spans="1:9" ht="15.95" customHeight="1">
      <c r="A33" s="512"/>
      <c r="B33" s="99"/>
      <c r="C33" s="66"/>
      <c r="D33" s="66"/>
      <c r="E33" s="66"/>
      <c r="F33" s="67"/>
      <c r="G33" s="67"/>
      <c r="H33" s="100">
        <f t="shared" si="0"/>
        <v>0</v>
      </c>
      <c r="I33" s="68"/>
    </row>
    <row r="34" spans="1:9" ht="15.95" customHeight="1">
      <c r="A34" s="512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2"/>
      <c r="B35" s="99"/>
      <c r="C35" s="114"/>
      <c r="D35" s="114"/>
      <c r="E35" s="114"/>
      <c r="F35" s="115"/>
      <c r="G35" s="115"/>
      <c r="H35" s="100">
        <f t="shared" si="0"/>
        <v>0</v>
      </c>
      <c r="I35" s="69"/>
    </row>
    <row r="36" spans="1:9" ht="15.95" customHeight="1">
      <c r="A36" s="512"/>
      <c r="B36" s="70"/>
      <c r="C36" s="102"/>
      <c r="D36" s="92"/>
      <c r="E36" s="92"/>
      <c r="F36" s="148"/>
      <c r="G36" s="37"/>
      <c r="H36" s="27">
        <f>SUM(H31:H35)</f>
        <v>0</v>
      </c>
      <c r="I36" s="72"/>
    </row>
    <row r="37" spans="1:9" ht="15.95" customHeight="1">
      <c r="A37" s="512"/>
      <c r="B37" s="103" t="s">
        <v>38</v>
      </c>
      <c r="C37" s="331" t="s">
        <v>263</v>
      </c>
      <c r="D37" s="335"/>
      <c r="E37" s="336" t="s">
        <v>186</v>
      </c>
      <c r="F37" s="337">
        <v>1</v>
      </c>
      <c r="G37" s="330">
        <v>250000</v>
      </c>
      <c r="H37" s="104">
        <f t="shared" si="0"/>
        <v>250000</v>
      </c>
      <c r="I37" s="73" t="s">
        <v>264</v>
      </c>
    </row>
    <row r="38" spans="1:9" ht="15.95" customHeight="1">
      <c r="A38" s="512"/>
      <c r="B38" s="99" t="s">
        <v>45</v>
      </c>
      <c r="C38" s="331" t="s">
        <v>303</v>
      </c>
      <c r="D38" s="335" t="s">
        <v>304</v>
      </c>
      <c r="E38" s="336" t="s">
        <v>186</v>
      </c>
      <c r="F38" s="337">
        <v>1</v>
      </c>
      <c r="G38" s="330">
        <v>350000</v>
      </c>
      <c r="H38" s="100">
        <f t="shared" si="0"/>
        <v>350000</v>
      </c>
      <c r="I38" s="68" t="s">
        <v>265</v>
      </c>
    </row>
    <row r="39" spans="1:9" ht="15.95" customHeight="1">
      <c r="A39" s="512"/>
      <c r="B39" s="99" t="s">
        <v>300</v>
      </c>
      <c r="C39" s="66" t="s">
        <v>313</v>
      </c>
      <c r="D39" s="66" t="s">
        <v>308</v>
      </c>
      <c r="E39" s="326" t="s">
        <v>186</v>
      </c>
      <c r="F39" s="343">
        <v>1</v>
      </c>
      <c r="G39" s="67"/>
      <c r="H39" s="100">
        <f t="shared" si="0"/>
        <v>0</v>
      </c>
      <c r="I39" s="68" t="s">
        <v>312</v>
      </c>
    </row>
    <row r="40" spans="1:9" ht="15.95" customHeight="1">
      <c r="A40" s="512"/>
      <c r="B40" s="99"/>
      <c r="C40" s="66" t="s">
        <v>271</v>
      </c>
      <c r="D40" s="66"/>
      <c r="E40" s="326" t="s">
        <v>186</v>
      </c>
      <c r="F40" s="343">
        <v>1</v>
      </c>
      <c r="G40" s="67">
        <v>1500000</v>
      </c>
      <c r="H40" s="100">
        <f t="shared" si="0"/>
        <v>1500000</v>
      </c>
      <c r="I40" s="68"/>
    </row>
    <row r="41" spans="1:9" ht="15.95" customHeight="1">
      <c r="A41" s="512"/>
      <c r="B41" s="99"/>
      <c r="C41" s="66" t="s">
        <v>309</v>
      </c>
      <c r="D41" s="66"/>
      <c r="E41" s="326" t="s">
        <v>186</v>
      </c>
      <c r="F41" s="343">
        <v>1</v>
      </c>
      <c r="G41" s="67">
        <v>2400000</v>
      </c>
      <c r="H41" s="100">
        <f t="shared" si="0"/>
        <v>2400000</v>
      </c>
      <c r="I41" s="68"/>
    </row>
    <row r="42" spans="1:9" ht="15.95" customHeight="1">
      <c r="A42" s="512"/>
      <c r="B42" s="99"/>
      <c r="C42" s="66" t="s">
        <v>310</v>
      </c>
      <c r="D42" s="66" t="s">
        <v>311</v>
      </c>
      <c r="E42" s="326" t="s">
        <v>194</v>
      </c>
      <c r="F42" s="343">
        <v>1</v>
      </c>
      <c r="G42" s="67">
        <v>50000</v>
      </c>
      <c r="H42" s="100">
        <f t="shared" si="0"/>
        <v>50000</v>
      </c>
      <c r="I42" s="68"/>
    </row>
    <row r="43" spans="1:9" ht="15.95" customHeight="1">
      <c r="A43" s="512"/>
      <c r="B43" s="99"/>
      <c r="C43" s="66" t="s">
        <v>188</v>
      </c>
      <c r="D43" s="66" t="s">
        <v>269</v>
      </c>
      <c r="E43" s="326" t="s">
        <v>184</v>
      </c>
      <c r="F43" s="343">
        <v>3</v>
      </c>
      <c r="G43" s="67">
        <v>150000</v>
      </c>
      <c r="H43" s="100">
        <f t="shared" si="0"/>
        <v>450000</v>
      </c>
      <c r="I43" s="68" t="s">
        <v>264</v>
      </c>
    </row>
    <row r="44" spans="1:9" ht="15.95" customHeight="1">
      <c r="A44" s="512"/>
      <c r="B44" s="99"/>
      <c r="C44" s="66" t="s">
        <v>195</v>
      </c>
      <c r="D44" s="66" t="s">
        <v>267</v>
      </c>
      <c r="E44" s="326" t="s">
        <v>184</v>
      </c>
      <c r="F44" s="343">
        <v>4</v>
      </c>
      <c r="G44" s="67">
        <v>80000</v>
      </c>
      <c r="H44" s="100">
        <f t="shared" si="0"/>
        <v>320000</v>
      </c>
      <c r="I44" s="68" t="s">
        <v>259</v>
      </c>
    </row>
    <row r="45" spans="1:9" ht="15.95" customHeight="1">
      <c r="A45" s="512"/>
      <c r="B45" s="99"/>
      <c r="C45" s="66" t="s">
        <v>268</v>
      </c>
      <c r="D45" s="66" t="s">
        <v>214</v>
      </c>
      <c r="E45" s="326" t="s">
        <v>184</v>
      </c>
      <c r="F45" s="343">
        <v>2</v>
      </c>
      <c r="G45" s="67">
        <v>180000</v>
      </c>
      <c r="H45" s="100">
        <f t="shared" si="0"/>
        <v>360000</v>
      </c>
      <c r="I45" s="68" t="s">
        <v>259</v>
      </c>
    </row>
    <row r="46" spans="1:9" ht="15.95" customHeight="1">
      <c r="A46" s="512"/>
      <c r="B46" s="99"/>
      <c r="C46" s="66" t="s">
        <v>213</v>
      </c>
      <c r="D46" s="66"/>
      <c r="E46" s="326" t="s">
        <v>184</v>
      </c>
      <c r="F46" s="343">
        <v>1</v>
      </c>
      <c r="G46" s="67">
        <v>685000</v>
      </c>
      <c r="H46" s="100">
        <f t="shared" si="0"/>
        <v>685000</v>
      </c>
      <c r="I46" s="68"/>
    </row>
    <row r="47" spans="1:9" ht="15.95" customHeight="1">
      <c r="A47" s="512"/>
      <c r="B47" s="99" t="s">
        <v>317</v>
      </c>
      <c r="C47" s="66" t="s">
        <v>263</v>
      </c>
      <c r="D47" s="66"/>
      <c r="E47" s="326" t="s">
        <v>186</v>
      </c>
      <c r="F47" s="343">
        <v>2</v>
      </c>
      <c r="G47" s="67">
        <v>250000</v>
      </c>
      <c r="H47" s="100">
        <f t="shared" si="0"/>
        <v>500000</v>
      </c>
      <c r="I47" s="68" t="s">
        <v>264</v>
      </c>
    </row>
    <row r="48" spans="1:9" ht="15.95" customHeight="1">
      <c r="A48" s="512"/>
      <c r="B48" s="99" t="s">
        <v>318</v>
      </c>
      <c r="C48" s="66" t="s">
        <v>303</v>
      </c>
      <c r="D48" s="66" t="s">
        <v>304</v>
      </c>
      <c r="E48" s="326" t="s">
        <v>186</v>
      </c>
      <c r="F48" s="343">
        <v>2</v>
      </c>
      <c r="G48" s="67">
        <v>350000</v>
      </c>
      <c r="H48" s="100">
        <f t="shared" si="0"/>
        <v>700000</v>
      </c>
      <c r="I48" s="68" t="s">
        <v>265</v>
      </c>
    </row>
    <row r="49" spans="1:9" ht="15.95" customHeight="1">
      <c r="A49" s="512"/>
      <c r="B49" s="99"/>
      <c r="C49" s="66" t="s">
        <v>313</v>
      </c>
      <c r="D49" s="66" t="s">
        <v>308</v>
      </c>
      <c r="E49" s="326" t="s">
        <v>186</v>
      </c>
      <c r="F49" s="343">
        <v>4</v>
      </c>
      <c r="G49" s="67"/>
      <c r="H49" s="100">
        <f t="shared" si="0"/>
        <v>0</v>
      </c>
      <c r="I49" s="68" t="s">
        <v>312</v>
      </c>
    </row>
    <row r="50" spans="1:9" ht="15.95" customHeight="1">
      <c r="A50" s="512"/>
      <c r="B50" s="99"/>
      <c r="C50" s="66" t="s">
        <v>271</v>
      </c>
      <c r="D50" s="66"/>
      <c r="E50" s="326" t="s">
        <v>186</v>
      </c>
      <c r="F50" s="343">
        <v>2</v>
      </c>
      <c r="G50" s="67">
        <v>1500000</v>
      </c>
      <c r="H50" s="100">
        <f t="shared" si="0"/>
        <v>3000000</v>
      </c>
      <c r="I50" s="68"/>
    </row>
    <row r="51" spans="1:9" ht="15.95" customHeight="1">
      <c r="A51" s="512"/>
      <c r="B51" s="99"/>
      <c r="C51" s="66" t="s">
        <v>310</v>
      </c>
      <c r="D51" s="66" t="s">
        <v>311</v>
      </c>
      <c r="E51" s="326" t="s">
        <v>194</v>
      </c>
      <c r="F51" s="343">
        <v>2</v>
      </c>
      <c r="G51" s="67">
        <v>50000</v>
      </c>
      <c r="H51" s="100">
        <f t="shared" si="0"/>
        <v>100000</v>
      </c>
      <c r="I51" s="68"/>
    </row>
    <row r="52" spans="1:9" ht="15.95" customHeight="1">
      <c r="A52" s="512"/>
      <c r="B52" s="99"/>
      <c r="C52" s="66" t="s">
        <v>188</v>
      </c>
      <c r="D52" s="66" t="s">
        <v>269</v>
      </c>
      <c r="E52" s="326" t="s">
        <v>184</v>
      </c>
      <c r="F52" s="343">
        <v>2</v>
      </c>
      <c r="G52" s="67">
        <v>150000</v>
      </c>
      <c r="H52" s="100">
        <f t="shared" si="0"/>
        <v>300000</v>
      </c>
      <c r="I52" s="68" t="s">
        <v>264</v>
      </c>
    </row>
    <row r="53" spans="1:9" ht="15.95" customHeight="1">
      <c r="A53" s="512"/>
      <c r="B53" s="99"/>
      <c r="C53" s="66" t="s">
        <v>195</v>
      </c>
      <c r="D53" s="66" t="s">
        <v>267</v>
      </c>
      <c r="E53" s="326" t="s">
        <v>184</v>
      </c>
      <c r="F53" s="343">
        <v>4</v>
      </c>
      <c r="G53" s="67">
        <v>80000</v>
      </c>
      <c r="H53" s="100">
        <f t="shared" si="0"/>
        <v>320000</v>
      </c>
      <c r="I53" s="68" t="s">
        <v>259</v>
      </c>
    </row>
    <row r="54" spans="1:9" ht="15.95" customHeight="1">
      <c r="A54" s="512"/>
      <c r="B54" s="99"/>
      <c r="C54" s="66" t="s">
        <v>268</v>
      </c>
      <c r="D54" s="66" t="s">
        <v>214</v>
      </c>
      <c r="E54" s="326" t="s">
        <v>184</v>
      </c>
      <c r="F54" s="343">
        <v>2</v>
      </c>
      <c r="G54" s="67">
        <v>180000</v>
      </c>
      <c r="H54" s="100">
        <f t="shared" si="0"/>
        <v>360000</v>
      </c>
      <c r="I54" s="68" t="s">
        <v>259</v>
      </c>
    </row>
    <row r="55" spans="1:9" ht="15.95" customHeight="1">
      <c r="A55" s="512"/>
      <c r="B55" s="99"/>
      <c r="C55" s="66" t="s">
        <v>213</v>
      </c>
      <c r="D55" s="66"/>
      <c r="E55" s="326" t="s">
        <v>184</v>
      </c>
      <c r="F55" s="343">
        <v>2</v>
      </c>
      <c r="G55" s="67">
        <v>533000</v>
      </c>
      <c r="H55" s="100">
        <f t="shared" si="0"/>
        <v>1066000</v>
      </c>
      <c r="I55" s="68"/>
    </row>
    <row r="56" spans="1:9" ht="15.95" customHeight="1">
      <c r="A56" s="512"/>
      <c r="B56" s="99" t="s">
        <v>319</v>
      </c>
      <c r="C56" s="66" t="s">
        <v>263</v>
      </c>
      <c r="D56" s="66"/>
      <c r="E56" s="326" t="s">
        <v>186</v>
      </c>
      <c r="F56" s="343">
        <v>3</v>
      </c>
      <c r="G56" s="67">
        <v>250000</v>
      </c>
      <c r="H56" s="100">
        <f t="shared" si="0"/>
        <v>750000</v>
      </c>
      <c r="I56" s="68"/>
    </row>
    <row r="57" spans="1:9" ht="15.95" customHeight="1">
      <c r="A57" s="512"/>
      <c r="B57" s="99" t="s">
        <v>320</v>
      </c>
      <c r="C57" s="66" t="s">
        <v>321</v>
      </c>
      <c r="D57" s="66"/>
      <c r="E57" s="326" t="s">
        <v>186</v>
      </c>
      <c r="F57" s="343">
        <v>3</v>
      </c>
      <c r="G57" s="67">
        <v>50000</v>
      </c>
      <c r="H57" s="100">
        <f t="shared" si="0"/>
        <v>150000</v>
      </c>
      <c r="I57" s="68"/>
    </row>
    <row r="58" spans="1:9" ht="15.95" customHeight="1">
      <c r="A58" s="512"/>
      <c r="B58" s="99"/>
      <c r="C58" s="66" t="s">
        <v>303</v>
      </c>
      <c r="D58" s="66" t="s">
        <v>304</v>
      </c>
      <c r="E58" s="326" t="s">
        <v>186</v>
      </c>
      <c r="F58" s="343">
        <v>1</v>
      </c>
      <c r="G58" s="67">
        <v>350000</v>
      </c>
      <c r="H58" s="100">
        <f t="shared" si="0"/>
        <v>350000</v>
      </c>
      <c r="I58" s="68"/>
    </row>
    <row r="59" spans="1:9" ht="15.95" customHeight="1">
      <c r="A59" s="512"/>
      <c r="B59" s="99"/>
      <c r="C59" s="66" t="s">
        <v>326</v>
      </c>
      <c r="D59" s="66" t="s">
        <v>276</v>
      </c>
      <c r="E59" s="326" t="s">
        <v>184</v>
      </c>
      <c r="F59" s="343">
        <v>6</v>
      </c>
      <c r="G59" s="67">
        <v>30000</v>
      </c>
      <c r="H59" s="100">
        <f t="shared" si="0"/>
        <v>180000</v>
      </c>
      <c r="I59" s="68"/>
    </row>
    <row r="60" spans="1:9" ht="15.95" customHeight="1">
      <c r="A60" s="512"/>
      <c r="B60" s="99"/>
      <c r="C60" s="66" t="s">
        <v>273</v>
      </c>
      <c r="D60" s="66" t="s">
        <v>274</v>
      </c>
      <c r="E60" s="326" t="s">
        <v>184</v>
      </c>
      <c r="F60" s="343">
        <v>5</v>
      </c>
      <c r="G60" s="67"/>
      <c r="H60" s="100">
        <f t="shared" si="0"/>
        <v>0</v>
      </c>
      <c r="I60" s="68" t="s">
        <v>389</v>
      </c>
    </row>
    <row r="61" spans="1:9" ht="15.95" customHeight="1">
      <c r="A61" s="512"/>
      <c r="B61" s="99"/>
      <c r="C61" s="66" t="s">
        <v>327</v>
      </c>
      <c r="D61" s="66" t="s">
        <v>328</v>
      </c>
      <c r="E61" s="326" t="s">
        <v>184</v>
      </c>
      <c r="F61" s="343">
        <v>3</v>
      </c>
      <c r="G61" s="67"/>
      <c r="H61" s="100">
        <f t="shared" si="0"/>
        <v>0</v>
      </c>
      <c r="I61" s="68" t="s">
        <v>389</v>
      </c>
    </row>
    <row r="62" spans="1:9" ht="15.95" customHeight="1">
      <c r="A62" s="512"/>
      <c r="B62" s="99"/>
      <c r="C62" s="66" t="s">
        <v>329</v>
      </c>
      <c r="D62" s="66" t="s">
        <v>330</v>
      </c>
      <c r="E62" s="326" t="s">
        <v>186</v>
      </c>
      <c r="F62" s="343">
        <v>1</v>
      </c>
      <c r="G62" s="67">
        <v>380000</v>
      </c>
      <c r="H62" s="100">
        <f t="shared" si="0"/>
        <v>380000</v>
      </c>
      <c r="I62" s="68"/>
    </row>
    <row r="63" spans="1:9" ht="15.95" customHeight="1">
      <c r="A63" s="512"/>
      <c r="B63" s="99"/>
      <c r="C63" s="66" t="s">
        <v>331</v>
      </c>
      <c r="D63" s="66" t="s">
        <v>332</v>
      </c>
      <c r="E63" s="326" t="s">
        <v>186</v>
      </c>
      <c r="F63" s="343">
        <v>1</v>
      </c>
      <c r="G63" s="67">
        <v>4500000</v>
      </c>
      <c r="H63" s="100">
        <f t="shared" si="0"/>
        <v>4500000</v>
      </c>
      <c r="I63" s="68"/>
    </row>
    <row r="64" spans="1:9" ht="15.95" customHeight="1">
      <c r="A64" s="512"/>
      <c r="B64" s="99"/>
      <c r="C64" s="66" t="s">
        <v>333</v>
      </c>
      <c r="D64" s="66" t="s">
        <v>334</v>
      </c>
      <c r="E64" s="326" t="s">
        <v>186</v>
      </c>
      <c r="F64" s="343">
        <v>2</v>
      </c>
      <c r="G64" s="67">
        <v>850000</v>
      </c>
      <c r="H64" s="100">
        <f t="shared" si="0"/>
        <v>1700000</v>
      </c>
      <c r="I64" s="68"/>
    </row>
    <row r="65" spans="1:9" ht="15.95" customHeight="1">
      <c r="A65" s="512"/>
      <c r="B65" s="99"/>
      <c r="C65" s="66" t="s">
        <v>335</v>
      </c>
      <c r="D65" s="66" t="s">
        <v>336</v>
      </c>
      <c r="E65" s="326" t="s">
        <v>186</v>
      </c>
      <c r="F65" s="343">
        <v>2</v>
      </c>
      <c r="G65" s="67">
        <v>300000</v>
      </c>
      <c r="H65" s="100">
        <f t="shared" si="0"/>
        <v>600000</v>
      </c>
      <c r="I65" s="68"/>
    </row>
    <row r="66" spans="1:9" ht="15.95" customHeight="1">
      <c r="A66" s="512"/>
      <c r="B66" s="99"/>
      <c r="C66" s="66" t="s">
        <v>337</v>
      </c>
      <c r="D66" s="66" t="s">
        <v>338</v>
      </c>
      <c r="E66" s="326" t="s">
        <v>186</v>
      </c>
      <c r="F66" s="343">
        <v>4</v>
      </c>
      <c r="G66" s="67">
        <v>120000</v>
      </c>
      <c r="H66" s="100">
        <f t="shared" si="0"/>
        <v>480000</v>
      </c>
      <c r="I66" s="68"/>
    </row>
    <row r="67" spans="1:9" ht="15.95" customHeight="1">
      <c r="A67" s="512"/>
      <c r="B67" s="99"/>
      <c r="C67" s="66" t="s">
        <v>195</v>
      </c>
      <c r="D67" s="66" t="s">
        <v>267</v>
      </c>
      <c r="E67" s="326" t="s">
        <v>184</v>
      </c>
      <c r="F67" s="343">
        <v>12</v>
      </c>
      <c r="G67" s="67">
        <v>80000</v>
      </c>
      <c r="H67" s="100">
        <f t="shared" si="0"/>
        <v>960000</v>
      </c>
      <c r="I67" s="68"/>
    </row>
    <row r="68" spans="1:9" ht="15.95" customHeight="1">
      <c r="A68" s="512"/>
      <c r="B68" s="99"/>
      <c r="C68" s="66" t="s">
        <v>268</v>
      </c>
      <c r="D68" s="66" t="s">
        <v>214</v>
      </c>
      <c r="E68" s="326" t="s">
        <v>184</v>
      </c>
      <c r="F68" s="343">
        <v>10</v>
      </c>
      <c r="G68" s="67">
        <v>180000</v>
      </c>
      <c r="H68" s="100">
        <f t="shared" si="0"/>
        <v>1800000</v>
      </c>
      <c r="I68" s="68"/>
    </row>
    <row r="69" spans="1:9" ht="15.95" customHeight="1">
      <c r="A69" s="512"/>
      <c r="B69" s="99"/>
      <c r="C69" s="66" t="s">
        <v>213</v>
      </c>
      <c r="D69" s="66"/>
      <c r="E69" s="326" t="s">
        <v>184</v>
      </c>
      <c r="F69" s="343">
        <v>1</v>
      </c>
      <c r="G69" s="67">
        <v>1578000</v>
      </c>
      <c r="H69" s="100">
        <f t="shared" si="0"/>
        <v>1578000</v>
      </c>
      <c r="I69" s="68"/>
    </row>
    <row r="70" spans="1:9" ht="15.95" customHeight="1">
      <c r="A70" s="512"/>
      <c r="B70" s="99" t="s">
        <v>339</v>
      </c>
      <c r="C70" s="66" t="s">
        <v>263</v>
      </c>
      <c r="D70" s="66"/>
      <c r="E70" s="326" t="s">
        <v>186</v>
      </c>
      <c r="F70" s="343">
        <v>1</v>
      </c>
      <c r="G70" s="67">
        <v>250000</v>
      </c>
      <c r="H70" s="100">
        <f t="shared" si="0"/>
        <v>250000</v>
      </c>
      <c r="I70" s="68"/>
    </row>
    <row r="71" spans="1:9" ht="15.95" customHeight="1">
      <c r="A71" s="512"/>
      <c r="B71" s="99" t="s">
        <v>340</v>
      </c>
      <c r="C71" s="66" t="s">
        <v>303</v>
      </c>
      <c r="D71" s="66" t="s">
        <v>304</v>
      </c>
      <c r="E71" s="326" t="s">
        <v>186</v>
      </c>
      <c r="F71" s="343">
        <v>1</v>
      </c>
      <c r="G71" s="67">
        <v>350000</v>
      </c>
      <c r="H71" s="100">
        <f t="shared" si="0"/>
        <v>350000</v>
      </c>
      <c r="I71" s="68"/>
    </row>
    <row r="72" spans="1:9" ht="15.95" customHeight="1">
      <c r="A72" s="512"/>
      <c r="B72" s="99"/>
      <c r="C72" s="66" t="s">
        <v>305</v>
      </c>
      <c r="D72" s="66" t="s">
        <v>306</v>
      </c>
      <c r="E72" s="326" t="s">
        <v>186</v>
      </c>
      <c r="F72" s="343">
        <v>1</v>
      </c>
      <c r="G72" s="67">
        <v>300000</v>
      </c>
      <c r="H72" s="100">
        <f t="shared" si="0"/>
        <v>300000</v>
      </c>
      <c r="I72" s="68"/>
    </row>
    <row r="73" spans="1:9" ht="15.95" customHeight="1">
      <c r="A73" s="512"/>
      <c r="B73" s="99"/>
      <c r="C73" s="66" t="s">
        <v>341</v>
      </c>
      <c r="D73" s="66" t="s">
        <v>307</v>
      </c>
      <c r="E73" s="326" t="s">
        <v>186</v>
      </c>
      <c r="F73" s="343">
        <v>5</v>
      </c>
      <c r="G73" s="67">
        <v>2500000</v>
      </c>
      <c r="H73" s="100">
        <f t="shared" si="0"/>
        <v>12500000</v>
      </c>
      <c r="I73" s="68"/>
    </row>
    <row r="74" spans="1:9" ht="15.95" customHeight="1">
      <c r="A74" s="512"/>
      <c r="B74" s="99"/>
      <c r="C74" s="66" t="s">
        <v>310</v>
      </c>
      <c r="D74" s="66" t="s">
        <v>311</v>
      </c>
      <c r="E74" s="326" t="s">
        <v>194</v>
      </c>
      <c r="F74" s="343">
        <v>1</v>
      </c>
      <c r="G74" s="67">
        <v>50000</v>
      </c>
      <c r="H74" s="100">
        <f t="shared" si="0"/>
        <v>50000</v>
      </c>
      <c r="I74" s="68"/>
    </row>
    <row r="75" spans="1:9" ht="15.95" customHeight="1">
      <c r="A75" s="512"/>
      <c r="B75" s="99"/>
      <c r="C75" s="66" t="s">
        <v>188</v>
      </c>
      <c r="D75" s="66" t="s">
        <v>269</v>
      </c>
      <c r="E75" s="326" t="s">
        <v>184</v>
      </c>
      <c r="F75" s="343">
        <v>1</v>
      </c>
      <c r="G75" s="67">
        <v>150000</v>
      </c>
      <c r="H75" s="100">
        <f t="shared" si="0"/>
        <v>150000</v>
      </c>
      <c r="I75" s="68"/>
    </row>
    <row r="76" spans="1:9" ht="15.95" customHeight="1">
      <c r="A76" s="512"/>
      <c r="B76" s="99"/>
      <c r="C76" s="66" t="s">
        <v>195</v>
      </c>
      <c r="D76" s="66" t="s">
        <v>267</v>
      </c>
      <c r="E76" s="326" t="s">
        <v>184</v>
      </c>
      <c r="F76" s="343">
        <v>50</v>
      </c>
      <c r="G76" s="67">
        <v>80000</v>
      </c>
      <c r="H76" s="100">
        <f t="shared" si="0"/>
        <v>4000000</v>
      </c>
      <c r="I76" s="68"/>
    </row>
    <row r="77" spans="1:9" ht="15.95" customHeight="1">
      <c r="A77" s="512"/>
      <c r="B77" s="99"/>
      <c r="C77" s="66" t="s">
        <v>268</v>
      </c>
      <c r="D77" s="66" t="s">
        <v>214</v>
      </c>
      <c r="E77" s="326" t="s">
        <v>184</v>
      </c>
      <c r="F77" s="343">
        <v>12</v>
      </c>
      <c r="G77" s="67">
        <v>180000</v>
      </c>
      <c r="H77" s="100">
        <f t="shared" si="0"/>
        <v>2160000</v>
      </c>
      <c r="I77" s="68"/>
    </row>
    <row r="78" spans="1:9" ht="15.95" customHeight="1">
      <c r="A78" s="512"/>
      <c r="B78" s="99"/>
      <c r="C78" s="66" t="s">
        <v>213</v>
      </c>
      <c r="D78" s="66"/>
      <c r="E78" s="326" t="s">
        <v>184</v>
      </c>
      <c r="F78" s="343">
        <v>1</v>
      </c>
      <c r="G78" s="67">
        <v>1184000</v>
      </c>
      <c r="H78" s="100">
        <f t="shared" si="0"/>
        <v>1184000</v>
      </c>
      <c r="I78" s="68"/>
    </row>
    <row r="79" spans="1:9" ht="15.95" customHeight="1">
      <c r="A79" s="512"/>
      <c r="B79" s="99"/>
      <c r="C79" s="66"/>
      <c r="D79" s="66"/>
      <c r="E79" s="326"/>
      <c r="F79" s="343"/>
      <c r="G79" s="67"/>
      <c r="H79" s="100">
        <f t="shared" si="0"/>
        <v>0</v>
      </c>
      <c r="I79" s="68"/>
    </row>
    <row r="80" spans="1:9" ht="15.95" customHeight="1">
      <c r="A80" s="512"/>
      <c r="B80" s="99"/>
      <c r="C80" s="114"/>
      <c r="D80" s="114"/>
      <c r="E80" s="340"/>
      <c r="F80" s="341"/>
      <c r="G80" s="115"/>
      <c r="H80" s="105">
        <f t="shared" si="0"/>
        <v>0</v>
      </c>
      <c r="I80" s="69"/>
    </row>
    <row r="81" spans="1:9" ht="15.95" customHeight="1">
      <c r="A81" s="512"/>
      <c r="B81" s="70"/>
      <c r="C81" s="102"/>
      <c r="D81" s="92"/>
      <c r="E81" s="92"/>
      <c r="F81" s="37"/>
      <c r="G81" s="37"/>
      <c r="H81" s="27">
        <f>SUM(H37:H80)</f>
        <v>47083000</v>
      </c>
      <c r="I81" s="72"/>
    </row>
    <row r="82" spans="1:9" ht="15.95" customHeight="1">
      <c r="A82" s="512"/>
      <c r="B82" s="103" t="s">
        <v>39</v>
      </c>
      <c r="C82" s="66"/>
      <c r="D82" s="66"/>
      <c r="E82" s="346"/>
      <c r="F82" s="113"/>
      <c r="G82" s="113"/>
      <c r="H82" s="104">
        <f t="shared" si="0"/>
        <v>0</v>
      </c>
      <c r="I82" s="73"/>
    </row>
    <row r="83" spans="1:9" ht="15.95" customHeight="1">
      <c r="A83" s="512"/>
      <c r="B83" s="99"/>
      <c r="C83" s="66"/>
      <c r="D83" s="66"/>
      <c r="E83" s="326"/>
      <c r="F83" s="67"/>
      <c r="G83" s="67"/>
      <c r="H83" s="100">
        <f t="shared" si="0"/>
        <v>0</v>
      </c>
      <c r="I83" s="68"/>
    </row>
    <row r="84" spans="1:9" ht="15.95" customHeight="1">
      <c r="A84" s="512"/>
      <c r="B84" s="99"/>
      <c r="C84" s="66"/>
      <c r="D84" s="66"/>
      <c r="E84" s="326"/>
      <c r="F84" s="67"/>
      <c r="G84" s="67"/>
      <c r="H84" s="100">
        <f t="shared" si="0"/>
        <v>0</v>
      </c>
      <c r="I84" s="68"/>
    </row>
    <row r="85" spans="1:9" ht="15.95" customHeight="1">
      <c r="A85" s="512"/>
      <c r="B85" s="99"/>
      <c r="C85" s="66"/>
      <c r="D85" s="66"/>
      <c r="E85" s="326"/>
      <c r="F85" s="67"/>
      <c r="G85" s="67"/>
      <c r="H85" s="100">
        <f t="shared" si="0"/>
        <v>0</v>
      </c>
      <c r="I85" s="68"/>
    </row>
    <row r="86" spans="1:9" ht="15.95" customHeight="1">
      <c r="A86" s="512"/>
      <c r="B86" s="99"/>
      <c r="C86" s="66"/>
      <c r="D86" s="66"/>
      <c r="E86" s="326"/>
      <c r="F86" s="67"/>
      <c r="G86" s="67"/>
      <c r="H86" s="100">
        <f t="shared" si="0"/>
        <v>0</v>
      </c>
      <c r="I86" s="68"/>
    </row>
    <row r="87" spans="1:9" ht="15.95" customHeight="1">
      <c r="A87" s="512"/>
      <c r="B87" s="99"/>
      <c r="C87" s="66"/>
      <c r="D87" s="66"/>
      <c r="E87" s="326"/>
      <c r="F87" s="67"/>
      <c r="G87" s="67"/>
      <c r="H87" s="100">
        <f t="shared" si="0"/>
        <v>0</v>
      </c>
      <c r="I87" s="68"/>
    </row>
    <row r="88" spans="1:9" ht="15.95" customHeight="1">
      <c r="A88" s="512"/>
      <c r="B88" s="99"/>
      <c r="C88" s="114"/>
      <c r="D88" s="114"/>
      <c r="E88" s="340"/>
      <c r="F88" s="115"/>
      <c r="G88" s="115"/>
      <c r="H88" s="105">
        <f t="shared" si="0"/>
        <v>0</v>
      </c>
      <c r="I88" s="69"/>
    </row>
    <row r="89" spans="1:9" ht="15.95" customHeight="1">
      <c r="A89" s="512"/>
      <c r="B89" s="70"/>
      <c r="C89" s="102"/>
      <c r="D89" s="92"/>
      <c r="E89" s="92"/>
      <c r="F89" s="37"/>
      <c r="G89" s="37"/>
      <c r="H89" s="27">
        <f>SUM(H82:H88)</f>
        <v>0</v>
      </c>
      <c r="I89" s="72"/>
    </row>
    <row r="90" spans="1:9" ht="15.95" customHeight="1">
      <c r="A90" s="74"/>
      <c r="B90" s="97" t="s">
        <v>42</v>
      </c>
      <c r="C90" s="71"/>
      <c r="D90" s="72"/>
      <c r="E90" s="72"/>
      <c r="F90" s="52"/>
      <c r="G90" s="52"/>
      <c r="H90" s="27">
        <f>SUM(H89,H81,H36,H30)</f>
        <v>98563000</v>
      </c>
      <c r="I90" s="72"/>
    </row>
    <row r="91" spans="1:9" ht="15.95" customHeight="1">
      <c r="A91" s="510" t="s">
        <v>72</v>
      </c>
      <c r="B91" s="137" t="s">
        <v>70</v>
      </c>
      <c r="C91" s="71"/>
      <c r="D91" s="75"/>
      <c r="E91" s="106" t="s">
        <v>51</v>
      </c>
      <c r="F91" s="342"/>
      <c r="G91" s="116"/>
      <c r="H91" s="49">
        <f>F91*G91</f>
        <v>0</v>
      </c>
      <c r="I91" s="72"/>
    </row>
    <row r="92" spans="1:9" ht="15.95" customHeight="1">
      <c r="A92" s="512"/>
      <c r="B92" s="138" t="s">
        <v>109</v>
      </c>
      <c r="C92" s="141"/>
      <c r="D92" s="76"/>
      <c r="E92" s="107" t="s">
        <v>50</v>
      </c>
      <c r="F92" s="337">
        <v>30</v>
      </c>
      <c r="G92" s="113">
        <v>300000</v>
      </c>
      <c r="H92" s="104">
        <f t="shared" ref="H92:H98" si="1">F92*G92</f>
        <v>9000000</v>
      </c>
      <c r="I92" s="73"/>
    </row>
    <row r="93" spans="1:9" ht="15.95" customHeight="1">
      <c r="A93" s="512"/>
      <c r="B93" s="139" t="s">
        <v>110</v>
      </c>
      <c r="C93" s="142"/>
      <c r="D93" s="77"/>
      <c r="E93" s="108" t="s">
        <v>50</v>
      </c>
      <c r="F93" s="343">
        <v>30</v>
      </c>
      <c r="G93" s="67">
        <v>300000</v>
      </c>
      <c r="H93" s="100">
        <f t="shared" si="1"/>
        <v>9000000</v>
      </c>
      <c r="I93" s="68"/>
    </row>
    <row r="94" spans="1:9" ht="15.95" customHeight="1">
      <c r="A94" s="512"/>
      <c r="B94" s="139" t="s">
        <v>111</v>
      </c>
      <c r="C94" s="142"/>
      <c r="D94" s="77"/>
      <c r="E94" s="108" t="s">
        <v>50</v>
      </c>
      <c r="F94" s="343">
        <v>20</v>
      </c>
      <c r="G94" s="67">
        <v>300000</v>
      </c>
      <c r="H94" s="100">
        <f t="shared" si="1"/>
        <v>6000000</v>
      </c>
      <c r="I94" s="68"/>
    </row>
    <row r="95" spans="1:9" ht="15.95" customHeight="1">
      <c r="A95" s="512"/>
      <c r="B95" s="139" t="s">
        <v>112</v>
      </c>
      <c r="C95" s="142"/>
      <c r="D95" s="77"/>
      <c r="E95" s="108" t="s">
        <v>50</v>
      </c>
      <c r="F95" s="343">
        <v>10</v>
      </c>
      <c r="G95" s="67">
        <v>300000</v>
      </c>
      <c r="H95" s="100">
        <f t="shared" si="1"/>
        <v>3000000</v>
      </c>
      <c r="I95" s="68"/>
    </row>
    <row r="96" spans="1:9" ht="15.95" customHeight="1">
      <c r="A96" s="512"/>
      <c r="B96" s="139" t="s">
        <v>113</v>
      </c>
      <c r="C96" s="142"/>
      <c r="D96" s="77"/>
      <c r="E96" s="108" t="s">
        <v>50</v>
      </c>
      <c r="F96" s="343">
        <v>25</v>
      </c>
      <c r="G96" s="67">
        <v>300000</v>
      </c>
      <c r="H96" s="100">
        <f t="shared" si="1"/>
        <v>7500000</v>
      </c>
      <c r="I96" s="68"/>
    </row>
    <row r="97" spans="1:10" ht="15.95" customHeight="1">
      <c r="A97" s="512"/>
      <c r="B97" s="139" t="s">
        <v>114</v>
      </c>
      <c r="C97" s="142" t="s">
        <v>388</v>
      </c>
      <c r="D97" s="77" t="s">
        <v>387</v>
      </c>
      <c r="E97" s="108" t="s">
        <v>50</v>
      </c>
      <c r="F97" s="343">
        <v>54</v>
      </c>
      <c r="G97" s="67">
        <v>500000</v>
      </c>
      <c r="H97" s="100">
        <f t="shared" si="1"/>
        <v>27000000</v>
      </c>
      <c r="I97" s="68"/>
      <c r="J97" s="25" t="s">
        <v>185</v>
      </c>
    </row>
    <row r="98" spans="1:10" ht="15.95" customHeight="1">
      <c r="A98" s="512"/>
      <c r="B98" s="140" t="s">
        <v>115</v>
      </c>
      <c r="C98" s="143"/>
      <c r="D98" s="78"/>
      <c r="E98" s="109" t="s">
        <v>50</v>
      </c>
      <c r="F98" s="341">
        <v>1</v>
      </c>
      <c r="G98" s="115">
        <v>4000000</v>
      </c>
      <c r="H98" s="105">
        <f t="shared" si="1"/>
        <v>4000000</v>
      </c>
      <c r="I98" s="69"/>
    </row>
    <row r="99" spans="1:10" ht="15.95" customHeight="1">
      <c r="A99" s="74"/>
      <c r="B99" s="96" t="s">
        <v>41</v>
      </c>
      <c r="C99" s="71"/>
      <c r="D99" s="72"/>
      <c r="E99" s="72"/>
      <c r="F99" s="37"/>
      <c r="G99" s="37"/>
      <c r="H99" s="37">
        <f>SUM(H91:H98)</f>
        <v>65500000</v>
      </c>
      <c r="I99" s="92"/>
    </row>
    <row r="100" spans="1:10" ht="15.95" customHeight="1">
      <c r="A100" s="48"/>
      <c r="B100" s="96" t="s">
        <v>171</v>
      </c>
      <c r="C100" s="71"/>
      <c r="D100" s="72"/>
      <c r="E100" s="72"/>
      <c r="F100" s="27"/>
      <c r="G100" s="27"/>
      <c r="H100" s="52">
        <f>'단위공사별(집계)'!I7+'단위공사별(집계)'!L7</f>
        <v>3507502.5996121089</v>
      </c>
      <c r="I100" s="72"/>
    </row>
    <row r="101" spans="1:10" ht="15.95" customHeight="1">
      <c r="A101" s="48"/>
      <c r="B101" s="96" t="s">
        <v>25</v>
      </c>
      <c r="C101" s="71"/>
      <c r="D101" s="72"/>
      <c r="E101" s="72" t="s">
        <v>182</v>
      </c>
      <c r="F101" s="27">
        <v>3</v>
      </c>
      <c r="G101" s="51"/>
      <c r="H101" s="116">
        <f>SUM(H90+H99)*0.03</f>
        <v>4921890</v>
      </c>
      <c r="I101" s="71"/>
    </row>
    <row r="102" spans="1:10" ht="15.95" customHeight="1">
      <c r="A102" s="48"/>
      <c r="B102" s="96" t="s">
        <v>151</v>
      </c>
      <c r="C102" s="71"/>
      <c r="D102" s="72"/>
      <c r="E102" s="72" t="s">
        <v>182</v>
      </c>
      <c r="F102" s="27">
        <v>12</v>
      </c>
      <c r="G102" s="51"/>
      <c r="H102" s="116">
        <f>SUM(H90+H99)*0.12</f>
        <v>19687560</v>
      </c>
      <c r="I102" s="71"/>
    </row>
    <row r="103" spans="1:10" ht="15.95" customHeight="1">
      <c r="A103" s="48"/>
      <c r="B103" s="96" t="s">
        <v>152</v>
      </c>
      <c r="C103" s="71"/>
      <c r="D103" s="72"/>
      <c r="E103" s="72"/>
      <c r="F103" s="27"/>
      <c r="G103" s="27"/>
      <c r="H103" s="37">
        <f>H90+H99+H100+H101+H102</f>
        <v>192179952.59961212</v>
      </c>
      <c r="I103" s="72"/>
    </row>
    <row r="104" spans="1:10">
      <c r="A104" s="26"/>
    </row>
  </sheetData>
  <mergeCells count="3">
    <mergeCell ref="A2:B2"/>
    <mergeCell ref="A91:A98"/>
    <mergeCell ref="A3:A8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1" orientation="portrait" horizontalDpi="4294967292" verticalDpi="1200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00B050"/>
    <pageSetUpPr fitToPage="1"/>
  </sheetPr>
  <dimension ref="A1:M81"/>
  <sheetViews>
    <sheetView zoomScale="85" workbookViewId="0">
      <pane xSplit="2" ySplit="2" topLeftCell="C48" activePane="bottomRight" state="frozen"/>
      <selection activeCell="K15" sqref="K15"/>
      <selection pane="topRight" activeCell="K15" sqref="K15"/>
      <selection pane="bottomLeft" activeCell="K15" sqref="K15"/>
      <selection pane="bottomRight" activeCell="N69" sqref="N69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2" width="9" style="25"/>
    <col min="13" max="13" width="11.5" style="25" bestFit="1" customWidth="1"/>
    <col min="14" max="16384" width="9" style="25"/>
  </cols>
  <sheetData>
    <row r="1" spans="1:9" ht="22.5" customHeight="1">
      <c r="B1" s="98" t="s">
        <v>81</v>
      </c>
      <c r="C1" s="147" t="s">
        <v>342</v>
      </c>
      <c r="D1" s="61"/>
      <c r="E1" s="61"/>
      <c r="F1" s="62"/>
      <c r="G1" s="63"/>
      <c r="I1" s="25" t="s">
        <v>83</v>
      </c>
    </row>
    <row r="2" spans="1:9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0" t="s">
        <v>82</v>
      </c>
      <c r="B3" s="99" t="s">
        <v>37</v>
      </c>
      <c r="C3" s="318" t="s">
        <v>347</v>
      </c>
      <c r="D3" s="318"/>
      <c r="E3" s="326" t="s">
        <v>184</v>
      </c>
      <c r="F3" s="329">
        <v>1</v>
      </c>
      <c r="G3" s="330">
        <v>4200000</v>
      </c>
      <c r="H3" s="104">
        <f>IF(F3=0,G3,G3*F3)</f>
        <v>4200000</v>
      </c>
      <c r="I3" s="73"/>
    </row>
    <row r="4" spans="1:9" ht="15.95" customHeight="1">
      <c r="A4" s="512"/>
      <c r="B4" s="99"/>
      <c r="C4" s="331" t="s">
        <v>354</v>
      </c>
      <c r="D4" s="345"/>
      <c r="E4" s="326" t="s">
        <v>184</v>
      </c>
      <c r="F4" s="332">
        <v>6</v>
      </c>
      <c r="G4" s="328">
        <v>200000</v>
      </c>
      <c r="H4" s="100">
        <f>IF(F4=0,G4,G4*F4)</f>
        <v>1200000</v>
      </c>
      <c r="I4" s="68"/>
    </row>
    <row r="5" spans="1:9" ht="15.95" customHeight="1">
      <c r="A5" s="512"/>
      <c r="B5" s="99"/>
      <c r="C5" s="318"/>
      <c r="D5" s="318"/>
      <c r="E5" s="326"/>
      <c r="F5" s="329"/>
      <c r="G5" s="330"/>
      <c r="H5" s="100">
        <f t="shared" ref="H5:H65" si="0">IF(F5=0,G5,G5*F5)</f>
        <v>0</v>
      </c>
      <c r="I5" s="68"/>
    </row>
    <row r="6" spans="1:9" ht="15.95" customHeight="1">
      <c r="A6" s="512"/>
      <c r="B6" s="99"/>
      <c r="C6" s="66"/>
      <c r="D6" s="66"/>
      <c r="E6" s="326"/>
      <c r="F6" s="67"/>
      <c r="G6" s="67"/>
      <c r="H6" s="100">
        <f t="shared" si="0"/>
        <v>0</v>
      </c>
      <c r="I6" s="68"/>
    </row>
    <row r="7" spans="1:9" ht="15.95" customHeight="1">
      <c r="A7" s="512"/>
      <c r="B7" s="99"/>
      <c r="C7" s="331"/>
      <c r="D7" s="345"/>
      <c r="E7" s="326"/>
      <c r="F7" s="332"/>
      <c r="G7" s="328"/>
      <c r="H7" s="100">
        <f t="shared" si="0"/>
        <v>0</v>
      </c>
      <c r="I7" s="68"/>
    </row>
    <row r="8" spans="1:9" ht="15.95" customHeight="1">
      <c r="A8" s="512"/>
      <c r="B8" s="99"/>
      <c r="C8" s="331"/>
      <c r="D8" s="331"/>
      <c r="E8" s="326"/>
      <c r="F8" s="329"/>
      <c r="G8" s="328"/>
      <c r="H8" s="100">
        <f t="shared" si="0"/>
        <v>0</v>
      </c>
      <c r="I8" s="68"/>
    </row>
    <row r="9" spans="1:9" ht="15.95" customHeight="1">
      <c r="A9" s="512"/>
      <c r="B9" s="99"/>
      <c r="C9" s="66"/>
      <c r="D9" s="66"/>
      <c r="E9" s="326"/>
      <c r="F9" s="67"/>
      <c r="G9" s="67"/>
      <c r="H9" s="100">
        <f t="shared" si="0"/>
        <v>0</v>
      </c>
      <c r="I9" s="68"/>
    </row>
    <row r="10" spans="1:9" ht="15.95" customHeight="1">
      <c r="A10" s="512"/>
      <c r="B10" s="99"/>
      <c r="C10" s="66"/>
      <c r="D10" s="66"/>
      <c r="E10" s="326"/>
      <c r="F10" s="67"/>
      <c r="G10" s="67"/>
      <c r="H10" s="100">
        <f t="shared" si="0"/>
        <v>0</v>
      </c>
      <c r="I10" s="68"/>
    </row>
    <row r="11" spans="1:9" ht="15.95" customHeight="1">
      <c r="A11" s="512"/>
      <c r="B11" s="99"/>
      <c r="C11" s="66"/>
      <c r="D11" s="66"/>
      <c r="E11" s="326"/>
      <c r="F11" s="67"/>
      <c r="G11" s="67"/>
      <c r="H11" s="100">
        <f t="shared" si="0"/>
        <v>0</v>
      </c>
      <c r="I11" s="68"/>
    </row>
    <row r="12" spans="1:9" ht="15.95" customHeight="1">
      <c r="A12" s="512"/>
      <c r="B12" s="99"/>
      <c r="C12" s="66"/>
      <c r="D12" s="66"/>
      <c r="E12" s="326"/>
      <c r="F12" s="67"/>
      <c r="G12" s="67"/>
      <c r="H12" s="100">
        <f t="shared" si="0"/>
        <v>0</v>
      </c>
      <c r="I12" s="68"/>
    </row>
    <row r="13" spans="1:9" ht="15.95" customHeight="1">
      <c r="A13" s="512"/>
      <c r="B13" s="99"/>
      <c r="C13" s="66"/>
      <c r="D13" s="66"/>
      <c r="E13" s="326"/>
      <c r="F13" s="67"/>
      <c r="G13" s="67"/>
      <c r="H13" s="100">
        <f t="shared" si="0"/>
        <v>0</v>
      </c>
      <c r="I13" s="68"/>
    </row>
    <row r="14" spans="1:9" ht="15.95" customHeight="1">
      <c r="A14" s="512"/>
      <c r="B14" s="99"/>
      <c r="C14" s="66"/>
      <c r="D14" s="66"/>
      <c r="E14" s="326"/>
      <c r="F14" s="67"/>
      <c r="G14" s="67"/>
      <c r="H14" s="100">
        <f t="shared" si="0"/>
        <v>0</v>
      </c>
      <c r="I14" s="68"/>
    </row>
    <row r="15" spans="1:9" ht="15.95" customHeight="1">
      <c r="A15" s="512"/>
      <c r="B15" s="99"/>
      <c r="C15" s="66"/>
      <c r="D15" s="66"/>
      <c r="E15" s="326"/>
      <c r="F15" s="67"/>
      <c r="G15" s="67"/>
      <c r="H15" s="100">
        <f t="shared" si="0"/>
        <v>0</v>
      </c>
      <c r="I15" s="68"/>
    </row>
    <row r="16" spans="1:9" ht="15.95" customHeight="1">
      <c r="A16" s="512"/>
      <c r="B16" s="99"/>
      <c r="C16" s="66"/>
      <c r="D16" s="66"/>
      <c r="E16" s="326"/>
      <c r="F16" s="67"/>
      <c r="G16" s="67"/>
      <c r="H16" s="100">
        <f t="shared" si="0"/>
        <v>0</v>
      </c>
      <c r="I16" s="68"/>
    </row>
    <row r="17" spans="1:9" ht="15.95" customHeight="1">
      <c r="A17" s="512"/>
      <c r="B17" s="99"/>
      <c r="C17" s="66"/>
      <c r="D17" s="66"/>
      <c r="E17" s="326"/>
      <c r="F17" s="67"/>
      <c r="G17" s="67"/>
      <c r="H17" s="100">
        <f t="shared" si="0"/>
        <v>0</v>
      </c>
      <c r="I17" s="68"/>
    </row>
    <row r="18" spans="1:9" ht="15.95" customHeight="1">
      <c r="A18" s="512"/>
      <c r="B18" s="99"/>
      <c r="C18" s="66"/>
      <c r="D18" s="66"/>
      <c r="E18" s="326"/>
      <c r="F18" s="67"/>
      <c r="G18" s="67"/>
      <c r="H18" s="100">
        <f t="shared" si="0"/>
        <v>0</v>
      </c>
      <c r="I18" s="68"/>
    </row>
    <row r="19" spans="1:9" ht="15.95" customHeight="1">
      <c r="A19" s="512"/>
      <c r="B19" s="99"/>
      <c r="C19" s="66"/>
      <c r="D19" s="66"/>
      <c r="E19" s="326"/>
      <c r="F19" s="67"/>
      <c r="G19" s="67"/>
      <c r="H19" s="100">
        <f t="shared" si="0"/>
        <v>0</v>
      </c>
      <c r="I19" s="68"/>
    </row>
    <row r="20" spans="1:9" ht="15.95" customHeight="1">
      <c r="A20" s="512"/>
      <c r="B20" s="99"/>
      <c r="C20" s="66"/>
      <c r="D20" s="66"/>
      <c r="E20" s="326"/>
      <c r="F20" s="67"/>
      <c r="G20" s="67"/>
      <c r="H20" s="100">
        <f t="shared" si="0"/>
        <v>0</v>
      </c>
      <c r="I20" s="68"/>
    </row>
    <row r="21" spans="1:9" ht="15.95" customHeight="1">
      <c r="A21" s="512"/>
      <c r="B21" s="99"/>
      <c r="C21" s="66"/>
      <c r="D21" s="66"/>
      <c r="E21" s="326"/>
      <c r="F21" s="67"/>
      <c r="G21" s="67"/>
      <c r="H21" s="100">
        <f t="shared" si="0"/>
        <v>0</v>
      </c>
      <c r="I21" s="68"/>
    </row>
    <row r="22" spans="1:9" ht="15.95" customHeight="1">
      <c r="A22" s="512"/>
      <c r="B22" s="99"/>
      <c r="C22" s="66"/>
      <c r="D22" s="66"/>
      <c r="E22" s="326"/>
      <c r="F22" s="67"/>
      <c r="G22" s="67"/>
      <c r="H22" s="100">
        <f t="shared" si="0"/>
        <v>0</v>
      </c>
      <c r="I22" s="68"/>
    </row>
    <row r="23" spans="1:9" ht="15.95" customHeight="1">
      <c r="A23" s="512"/>
      <c r="B23" s="99"/>
      <c r="C23" s="66"/>
      <c r="D23" s="66"/>
      <c r="E23" s="66"/>
      <c r="F23" s="67"/>
      <c r="G23" s="67"/>
      <c r="H23" s="100">
        <f t="shared" si="0"/>
        <v>0</v>
      </c>
      <c r="I23" s="68"/>
    </row>
    <row r="24" spans="1:9" ht="15.95" customHeight="1">
      <c r="A24" s="512"/>
      <c r="B24" s="99"/>
      <c r="C24" s="66"/>
      <c r="D24" s="66"/>
      <c r="E24" s="66"/>
      <c r="F24" s="67"/>
      <c r="G24" s="67"/>
      <c r="H24" s="100">
        <f t="shared" si="0"/>
        <v>0</v>
      </c>
      <c r="I24" s="68"/>
    </row>
    <row r="25" spans="1:9" ht="15.95" customHeight="1">
      <c r="A25" s="512"/>
      <c r="B25" s="99"/>
      <c r="C25" s="114"/>
      <c r="D25" s="276"/>
      <c r="E25" s="333"/>
      <c r="F25" s="334"/>
      <c r="G25" s="277"/>
      <c r="H25" s="278">
        <f t="shared" si="0"/>
        <v>0</v>
      </c>
      <c r="I25" s="279"/>
    </row>
    <row r="26" spans="1:9" ht="15.95" customHeight="1">
      <c r="A26" s="512"/>
      <c r="B26" s="70"/>
      <c r="C26" s="282"/>
      <c r="D26" s="282"/>
      <c r="E26" s="282"/>
      <c r="F26" s="283"/>
      <c r="G26" s="283"/>
      <c r="H26" s="284">
        <f>SUM(H3:H25)</f>
        <v>5400000</v>
      </c>
      <c r="I26" s="282"/>
    </row>
    <row r="27" spans="1:9" ht="15.95" customHeight="1">
      <c r="A27" s="512"/>
      <c r="B27" s="99" t="s">
        <v>160</v>
      </c>
      <c r="C27" s="117"/>
      <c r="D27" s="117"/>
      <c r="E27" s="117"/>
      <c r="F27" s="118"/>
      <c r="G27" s="118"/>
      <c r="H27" s="119">
        <f t="shared" si="0"/>
        <v>0</v>
      </c>
      <c r="I27" s="120"/>
    </row>
    <row r="28" spans="1:9" ht="15.95" customHeight="1">
      <c r="A28" s="512"/>
      <c r="B28" s="99" t="s">
        <v>161</v>
      </c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2"/>
      <c r="B29" s="99"/>
      <c r="C29" s="66"/>
      <c r="D29" s="66"/>
      <c r="E29" s="66"/>
      <c r="F29" s="67"/>
      <c r="G29" s="67"/>
      <c r="H29" s="100">
        <f t="shared" si="0"/>
        <v>0</v>
      </c>
      <c r="I29" s="68"/>
    </row>
    <row r="30" spans="1:9" ht="15.95" customHeight="1">
      <c r="A30" s="512"/>
      <c r="B30" s="99"/>
      <c r="C30" s="66"/>
      <c r="D30" s="66"/>
      <c r="E30" s="66"/>
      <c r="F30" s="67"/>
      <c r="G30" s="67"/>
      <c r="H30" s="100">
        <f t="shared" si="0"/>
        <v>0</v>
      </c>
      <c r="I30" s="68"/>
    </row>
    <row r="31" spans="1:9" ht="15.95" customHeight="1">
      <c r="A31" s="512"/>
      <c r="B31" s="99"/>
      <c r="C31" s="114"/>
      <c r="D31" s="114"/>
      <c r="E31" s="114"/>
      <c r="F31" s="115"/>
      <c r="G31" s="115"/>
      <c r="H31" s="100">
        <f t="shared" si="0"/>
        <v>0</v>
      </c>
      <c r="I31" s="69"/>
    </row>
    <row r="32" spans="1:9" ht="15.95" customHeight="1">
      <c r="A32" s="512"/>
      <c r="B32" s="70"/>
      <c r="C32" s="102"/>
      <c r="D32" s="92"/>
      <c r="E32" s="92"/>
      <c r="F32" s="148"/>
      <c r="G32" s="37"/>
      <c r="H32" s="27">
        <f>SUM(H27:H31)</f>
        <v>0</v>
      </c>
      <c r="I32" s="72"/>
    </row>
    <row r="33" spans="1:9" ht="15.95" customHeight="1">
      <c r="A33" s="512"/>
      <c r="B33" s="103" t="s">
        <v>38</v>
      </c>
      <c r="C33" s="331" t="s">
        <v>343</v>
      </c>
      <c r="D33" s="335" t="s">
        <v>344</v>
      </c>
      <c r="E33" s="336" t="s">
        <v>184</v>
      </c>
      <c r="F33" s="337">
        <v>6</v>
      </c>
      <c r="G33" s="330">
        <v>4800000</v>
      </c>
      <c r="H33" s="104">
        <f t="shared" si="0"/>
        <v>28800000</v>
      </c>
      <c r="I33" s="73" t="s">
        <v>187</v>
      </c>
    </row>
    <row r="34" spans="1:9" ht="15.95" customHeight="1">
      <c r="A34" s="512"/>
      <c r="B34" s="99" t="s">
        <v>45</v>
      </c>
      <c r="C34" s="331" t="s">
        <v>345</v>
      </c>
      <c r="D34" s="335"/>
      <c r="E34" s="336" t="s">
        <v>184</v>
      </c>
      <c r="F34" s="337">
        <v>6</v>
      </c>
      <c r="G34" s="330">
        <v>110000</v>
      </c>
      <c r="H34" s="100">
        <f t="shared" si="0"/>
        <v>660000</v>
      </c>
      <c r="I34" s="68"/>
    </row>
    <row r="35" spans="1:9" ht="15.95" customHeight="1">
      <c r="A35" s="512"/>
      <c r="B35" s="99"/>
      <c r="C35" s="331" t="s">
        <v>346</v>
      </c>
      <c r="D35" s="318"/>
      <c r="E35" s="326" t="s">
        <v>184</v>
      </c>
      <c r="F35" s="338">
        <v>6</v>
      </c>
      <c r="G35" s="339">
        <v>30000</v>
      </c>
      <c r="H35" s="100">
        <f t="shared" si="0"/>
        <v>180000</v>
      </c>
      <c r="I35" s="68"/>
    </row>
    <row r="36" spans="1:9" ht="15.95" customHeight="1">
      <c r="A36" s="512"/>
      <c r="B36" s="99"/>
      <c r="C36" s="331" t="s">
        <v>348</v>
      </c>
      <c r="D36" s="345" t="s">
        <v>366</v>
      </c>
      <c r="E36" s="326" t="s">
        <v>184</v>
      </c>
      <c r="F36" s="338">
        <v>1</v>
      </c>
      <c r="G36" s="339">
        <v>3300000</v>
      </c>
      <c r="H36" s="100">
        <f t="shared" si="0"/>
        <v>3300000</v>
      </c>
      <c r="I36" s="68" t="s">
        <v>362</v>
      </c>
    </row>
    <row r="37" spans="1:9" ht="15.95" customHeight="1">
      <c r="A37" s="512"/>
      <c r="B37" s="99"/>
      <c r="C37" s="331" t="s">
        <v>349</v>
      </c>
      <c r="D37" s="345"/>
      <c r="E37" s="326" t="s">
        <v>184</v>
      </c>
      <c r="F37" s="338">
        <v>1</v>
      </c>
      <c r="G37" s="339">
        <v>50000</v>
      </c>
      <c r="H37" s="100">
        <f t="shared" si="0"/>
        <v>50000</v>
      </c>
      <c r="I37" s="68"/>
    </row>
    <row r="38" spans="1:9" ht="15.95" customHeight="1">
      <c r="A38" s="512"/>
      <c r="B38" s="99"/>
      <c r="C38" s="331" t="s">
        <v>350</v>
      </c>
      <c r="D38" s="345"/>
      <c r="E38" s="326" t="s">
        <v>184</v>
      </c>
      <c r="F38" s="338">
        <v>1</v>
      </c>
      <c r="G38" s="339">
        <v>600000</v>
      </c>
      <c r="H38" s="100">
        <f t="shared" si="0"/>
        <v>600000</v>
      </c>
      <c r="I38" s="68" t="s">
        <v>363</v>
      </c>
    </row>
    <row r="39" spans="1:9" ht="15.95" customHeight="1">
      <c r="A39" s="512"/>
      <c r="B39" s="99"/>
      <c r="C39" s="331" t="s">
        <v>351</v>
      </c>
      <c r="D39" s="345"/>
      <c r="E39" s="326" t="s">
        <v>184</v>
      </c>
      <c r="F39" s="338">
        <v>1</v>
      </c>
      <c r="G39" s="339">
        <v>380000</v>
      </c>
      <c r="H39" s="100">
        <f t="shared" si="0"/>
        <v>380000</v>
      </c>
      <c r="I39" s="68"/>
    </row>
    <row r="40" spans="1:9" ht="15.95" customHeight="1">
      <c r="A40" s="512"/>
      <c r="B40" s="99"/>
      <c r="C40" s="331" t="s">
        <v>352</v>
      </c>
      <c r="D40" s="345"/>
      <c r="E40" s="326" t="s">
        <v>184</v>
      </c>
      <c r="F40" s="338">
        <v>1</v>
      </c>
      <c r="G40" s="339">
        <v>150000</v>
      </c>
      <c r="H40" s="100">
        <f t="shared" si="0"/>
        <v>150000</v>
      </c>
      <c r="I40" s="68"/>
    </row>
    <row r="41" spans="1:9" ht="15.95" customHeight="1">
      <c r="A41" s="512"/>
      <c r="B41" s="99"/>
      <c r="C41" s="331" t="s">
        <v>353</v>
      </c>
      <c r="D41" s="345"/>
      <c r="E41" s="326" t="s">
        <v>184</v>
      </c>
      <c r="F41" s="338">
        <v>1</v>
      </c>
      <c r="G41" s="339">
        <v>230000</v>
      </c>
      <c r="H41" s="100">
        <f t="shared" si="0"/>
        <v>230000</v>
      </c>
      <c r="I41" s="68"/>
    </row>
    <row r="42" spans="1:9" ht="15.95" customHeight="1">
      <c r="A42" s="512"/>
      <c r="B42" s="99"/>
      <c r="C42" s="331" t="s">
        <v>354</v>
      </c>
      <c r="D42" s="345"/>
      <c r="E42" s="326" t="s">
        <v>184</v>
      </c>
      <c r="F42" s="338">
        <v>6</v>
      </c>
      <c r="G42" s="339">
        <v>200000</v>
      </c>
      <c r="H42" s="100">
        <f t="shared" si="0"/>
        <v>1200000</v>
      </c>
      <c r="I42" s="68"/>
    </row>
    <row r="43" spans="1:9" ht="15.95" customHeight="1">
      <c r="A43" s="512"/>
      <c r="B43" s="99"/>
      <c r="C43" s="331" t="s">
        <v>355</v>
      </c>
      <c r="D43" s="345"/>
      <c r="E43" s="326" t="s">
        <v>194</v>
      </c>
      <c r="F43" s="338">
        <v>1</v>
      </c>
      <c r="G43" s="339">
        <v>1988000</v>
      </c>
      <c r="H43" s="100">
        <f t="shared" si="0"/>
        <v>1988000</v>
      </c>
      <c r="I43" s="68"/>
    </row>
    <row r="44" spans="1:9" ht="15.95" customHeight="1">
      <c r="A44" s="512"/>
      <c r="B44" s="99"/>
      <c r="C44" s="331" t="s">
        <v>356</v>
      </c>
      <c r="D44" s="345"/>
      <c r="E44" s="326" t="s">
        <v>184</v>
      </c>
      <c r="F44" s="338">
        <v>1</v>
      </c>
      <c r="G44" s="339">
        <v>4100000</v>
      </c>
      <c r="H44" s="100">
        <f t="shared" si="0"/>
        <v>4100000</v>
      </c>
      <c r="I44" s="68"/>
    </row>
    <row r="45" spans="1:9" ht="15.95" customHeight="1">
      <c r="A45" s="512"/>
      <c r="B45" s="99"/>
      <c r="C45" s="331" t="s">
        <v>347</v>
      </c>
      <c r="D45" s="345"/>
      <c r="E45" s="326" t="s">
        <v>184</v>
      </c>
      <c r="F45" s="338">
        <v>1</v>
      </c>
      <c r="G45" s="339">
        <v>4200000</v>
      </c>
      <c r="H45" s="100">
        <f t="shared" si="0"/>
        <v>4200000</v>
      </c>
      <c r="I45" s="68"/>
    </row>
    <row r="46" spans="1:9" ht="15.95" customHeight="1">
      <c r="A46" s="512"/>
      <c r="B46" s="99"/>
      <c r="C46" s="331" t="s">
        <v>348</v>
      </c>
      <c r="D46" s="345" t="s">
        <v>365</v>
      </c>
      <c r="E46" s="326" t="s">
        <v>184</v>
      </c>
      <c r="F46" s="338">
        <v>1</v>
      </c>
      <c r="G46" s="339">
        <v>4200000</v>
      </c>
      <c r="H46" s="100">
        <f t="shared" si="0"/>
        <v>4200000</v>
      </c>
      <c r="I46" s="68" t="s">
        <v>362</v>
      </c>
    </row>
    <row r="47" spans="1:9" ht="15.95" customHeight="1">
      <c r="A47" s="512"/>
      <c r="B47" s="99"/>
      <c r="C47" s="331" t="s">
        <v>349</v>
      </c>
      <c r="D47" s="345"/>
      <c r="E47" s="326" t="s">
        <v>184</v>
      </c>
      <c r="F47" s="338">
        <v>1</v>
      </c>
      <c r="G47" s="339">
        <v>50000</v>
      </c>
      <c r="H47" s="100">
        <f t="shared" si="0"/>
        <v>50000</v>
      </c>
      <c r="I47" s="68"/>
    </row>
    <row r="48" spans="1:9" ht="15.95" customHeight="1">
      <c r="A48" s="512"/>
      <c r="B48" s="99"/>
      <c r="C48" s="331" t="s">
        <v>353</v>
      </c>
      <c r="D48" s="345"/>
      <c r="E48" s="326" t="s">
        <v>184</v>
      </c>
      <c r="F48" s="338">
        <v>1</v>
      </c>
      <c r="G48" s="339">
        <v>230000</v>
      </c>
      <c r="H48" s="100">
        <f t="shared" si="0"/>
        <v>230000</v>
      </c>
      <c r="I48" s="68"/>
    </row>
    <row r="49" spans="1:9" ht="15.95" customHeight="1">
      <c r="A49" s="512"/>
      <c r="B49" s="99"/>
      <c r="C49" s="331" t="s">
        <v>350</v>
      </c>
      <c r="D49" s="345"/>
      <c r="E49" s="326" t="s">
        <v>184</v>
      </c>
      <c r="F49" s="338">
        <v>1</v>
      </c>
      <c r="G49" s="339">
        <v>600000</v>
      </c>
      <c r="H49" s="100">
        <f t="shared" si="0"/>
        <v>600000</v>
      </c>
      <c r="I49" s="68" t="s">
        <v>363</v>
      </c>
    </row>
    <row r="50" spans="1:9" ht="15.95" customHeight="1">
      <c r="A50" s="512"/>
      <c r="B50" s="99"/>
      <c r="C50" s="331" t="s">
        <v>357</v>
      </c>
      <c r="D50" s="345" t="s">
        <v>358</v>
      </c>
      <c r="E50" s="326" t="s">
        <v>184</v>
      </c>
      <c r="F50" s="338">
        <v>1</v>
      </c>
      <c r="G50" s="339">
        <v>3000000</v>
      </c>
      <c r="H50" s="100">
        <f t="shared" si="0"/>
        <v>3000000</v>
      </c>
      <c r="I50" s="68" t="s">
        <v>364</v>
      </c>
    </row>
    <row r="51" spans="1:9" ht="15.95" customHeight="1">
      <c r="A51" s="512"/>
      <c r="B51" s="99"/>
      <c r="C51" s="331" t="s">
        <v>345</v>
      </c>
      <c r="D51" s="345"/>
      <c r="E51" s="326" t="s">
        <v>184</v>
      </c>
      <c r="F51" s="338">
        <v>1</v>
      </c>
      <c r="G51" s="339">
        <v>110000</v>
      </c>
      <c r="H51" s="100">
        <f t="shared" si="0"/>
        <v>110000</v>
      </c>
      <c r="I51" s="68"/>
    </row>
    <row r="52" spans="1:9" ht="15.95" customHeight="1">
      <c r="A52" s="512"/>
      <c r="B52" s="99"/>
      <c r="C52" s="331" t="s">
        <v>359</v>
      </c>
      <c r="D52" s="345" t="s">
        <v>360</v>
      </c>
      <c r="E52" s="326" t="s">
        <v>184</v>
      </c>
      <c r="F52" s="338">
        <v>6</v>
      </c>
      <c r="G52" s="339">
        <v>2600000</v>
      </c>
      <c r="H52" s="100">
        <f t="shared" si="0"/>
        <v>15600000</v>
      </c>
      <c r="I52" s="68" t="s">
        <v>187</v>
      </c>
    </row>
    <row r="53" spans="1:9" ht="15.95" customHeight="1">
      <c r="A53" s="512"/>
      <c r="B53" s="99"/>
      <c r="C53" s="331" t="s">
        <v>361</v>
      </c>
      <c r="D53" s="345"/>
      <c r="E53" s="326" t="s">
        <v>184</v>
      </c>
      <c r="F53" s="338">
        <v>1</v>
      </c>
      <c r="G53" s="339">
        <v>350000</v>
      </c>
      <c r="H53" s="100">
        <f t="shared" si="0"/>
        <v>350000</v>
      </c>
      <c r="I53" s="68"/>
    </row>
    <row r="54" spans="1:9" ht="15.95" customHeight="1">
      <c r="A54" s="512"/>
      <c r="B54" s="99"/>
      <c r="C54" s="331" t="s">
        <v>355</v>
      </c>
      <c r="D54" s="345"/>
      <c r="E54" s="326"/>
      <c r="F54" s="338"/>
      <c r="G54" s="339"/>
      <c r="H54" s="100">
        <f t="shared" si="0"/>
        <v>0</v>
      </c>
      <c r="I54" s="68"/>
    </row>
    <row r="55" spans="1:9" ht="15.95" customHeight="1">
      <c r="A55" s="512"/>
      <c r="B55" s="99"/>
      <c r="C55" s="331"/>
      <c r="D55" s="345"/>
      <c r="E55" s="326"/>
      <c r="F55" s="338"/>
      <c r="G55" s="339"/>
      <c r="H55" s="100">
        <f t="shared" si="0"/>
        <v>0</v>
      </c>
      <c r="I55" s="68"/>
    </row>
    <row r="56" spans="1:9" ht="15.95" customHeight="1">
      <c r="A56" s="512"/>
      <c r="B56" s="99"/>
      <c r="C56" s="66"/>
      <c r="D56" s="66"/>
      <c r="E56" s="66"/>
      <c r="F56" s="67"/>
      <c r="G56" s="67"/>
      <c r="H56" s="100">
        <f t="shared" si="0"/>
        <v>0</v>
      </c>
      <c r="I56" s="68"/>
    </row>
    <row r="57" spans="1:9" ht="15.95" customHeight="1">
      <c r="A57" s="512"/>
      <c r="B57" s="99"/>
      <c r="C57" s="114"/>
      <c r="D57" s="114"/>
      <c r="E57" s="340"/>
      <c r="F57" s="341"/>
      <c r="G57" s="115"/>
      <c r="H57" s="105">
        <f t="shared" si="0"/>
        <v>0</v>
      </c>
      <c r="I57" s="69"/>
    </row>
    <row r="58" spans="1:9" ht="15.95" customHeight="1">
      <c r="A58" s="512"/>
      <c r="B58" s="70"/>
      <c r="C58" s="102"/>
      <c r="D58" s="92"/>
      <c r="E58" s="92"/>
      <c r="F58" s="37"/>
      <c r="G58" s="37"/>
      <c r="H58" s="27">
        <f>SUM(H33:H57)</f>
        <v>69978000</v>
      </c>
      <c r="I58" s="72"/>
    </row>
    <row r="59" spans="1:9" ht="15.95" customHeight="1">
      <c r="A59" s="512"/>
      <c r="B59" s="103" t="s">
        <v>39</v>
      </c>
      <c r="C59" s="112" t="s">
        <v>367</v>
      </c>
      <c r="D59" s="112"/>
      <c r="E59" s="346" t="s">
        <v>372</v>
      </c>
      <c r="F59" s="113">
        <v>1</v>
      </c>
      <c r="G59" s="113">
        <v>8000000</v>
      </c>
      <c r="H59" s="104">
        <f t="shared" si="0"/>
        <v>8000000</v>
      </c>
      <c r="I59" s="73"/>
    </row>
    <row r="60" spans="1:9" ht="15.95" customHeight="1">
      <c r="A60" s="512"/>
      <c r="B60" s="99"/>
      <c r="C60" s="117" t="s">
        <v>368</v>
      </c>
      <c r="D60" s="117"/>
      <c r="E60" s="336" t="s">
        <v>372</v>
      </c>
      <c r="F60" s="118">
        <v>1</v>
      </c>
      <c r="G60" s="118">
        <v>4000000</v>
      </c>
      <c r="H60" s="100">
        <f t="shared" si="0"/>
        <v>4000000</v>
      </c>
      <c r="I60" s="120"/>
    </row>
    <row r="61" spans="1:9" ht="15.95" customHeight="1">
      <c r="A61" s="512"/>
      <c r="B61" s="99"/>
      <c r="C61" s="117" t="s">
        <v>369</v>
      </c>
      <c r="D61" s="117"/>
      <c r="E61" s="336" t="s">
        <v>372</v>
      </c>
      <c r="F61" s="118">
        <v>1</v>
      </c>
      <c r="G61" s="118">
        <v>8000000</v>
      </c>
      <c r="H61" s="100">
        <f t="shared" si="0"/>
        <v>8000000</v>
      </c>
      <c r="I61" s="120"/>
    </row>
    <row r="62" spans="1:9" ht="15.95" customHeight="1">
      <c r="A62" s="512"/>
      <c r="B62" s="99"/>
      <c r="C62" s="117" t="s">
        <v>370</v>
      </c>
      <c r="D62" s="117" t="s">
        <v>371</v>
      </c>
      <c r="E62" s="336" t="s">
        <v>372</v>
      </c>
      <c r="F62" s="118">
        <v>1</v>
      </c>
      <c r="G62" s="118">
        <v>4000000</v>
      </c>
      <c r="H62" s="100">
        <f t="shared" si="0"/>
        <v>4000000</v>
      </c>
      <c r="I62" s="120"/>
    </row>
    <row r="63" spans="1:9" ht="15.95" customHeight="1">
      <c r="A63" s="512"/>
      <c r="B63" s="99"/>
      <c r="C63" s="117" t="s">
        <v>374</v>
      </c>
      <c r="D63" s="117" t="s">
        <v>376</v>
      </c>
      <c r="E63" s="336" t="s">
        <v>379</v>
      </c>
      <c r="F63" s="118">
        <v>3</v>
      </c>
      <c r="G63" s="118">
        <v>2000000</v>
      </c>
      <c r="H63" s="100">
        <f t="shared" si="0"/>
        <v>6000000</v>
      </c>
      <c r="I63" s="65"/>
    </row>
    <row r="64" spans="1:9" ht="15.95" customHeight="1">
      <c r="A64" s="512"/>
      <c r="B64" s="99"/>
      <c r="C64" s="375" t="s">
        <v>378</v>
      </c>
      <c r="D64" s="117" t="s">
        <v>376</v>
      </c>
      <c r="E64" s="376" t="s">
        <v>379</v>
      </c>
      <c r="F64" s="377">
        <v>56</v>
      </c>
      <c r="G64" s="377">
        <v>300000</v>
      </c>
      <c r="H64" s="100">
        <f t="shared" si="0"/>
        <v>16800000</v>
      </c>
      <c r="I64" s="65"/>
    </row>
    <row r="65" spans="1:13" ht="15.95" customHeight="1">
      <c r="A65" s="512"/>
      <c r="B65" s="99"/>
      <c r="C65" s="114" t="s">
        <v>277</v>
      </c>
      <c r="D65" s="114"/>
      <c r="E65" s="340" t="s">
        <v>375</v>
      </c>
      <c r="F65" s="115">
        <v>1</v>
      </c>
      <c r="G65" s="115">
        <v>1000000</v>
      </c>
      <c r="H65" s="105">
        <f t="shared" si="0"/>
        <v>1000000</v>
      </c>
      <c r="I65" s="69"/>
    </row>
    <row r="66" spans="1:13" ht="15.95" customHeight="1">
      <c r="A66" s="512"/>
      <c r="B66" s="70"/>
      <c r="C66" s="102"/>
      <c r="D66" s="92"/>
      <c r="E66" s="92"/>
      <c r="F66" s="37"/>
      <c r="G66" s="37"/>
      <c r="H66" s="27">
        <f>SUM(H59:H65)</f>
        <v>47800000</v>
      </c>
      <c r="I66" s="72"/>
    </row>
    <row r="67" spans="1:13" ht="15.95" customHeight="1">
      <c r="A67" s="74"/>
      <c r="B67" s="97" t="s">
        <v>42</v>
      </c>
      <c r="C67" s="71"/>
      <c r="D67" s="72"/>
      <c r="E67" s="72"/>
      <c r="F67" s="52"/>
      <c r="G67" s="52"/>
      <c r="H67" s="27">
        <f>SUM(H66,H58,H32,H26)</f>
        <v>123178000</v>
      </c>
      <c r="I67" s="72"/>
    </row>
    <row r="68" spans="1:13" ht="15.95" customHeight="1">
      <c r="A68" s="513" t="s">
        <v>72</v>
      </c>
      <c r="B68" s="137" t="s">
        <v>70</v>
      </c>
      <c r="C68" s="71"/>
      <c r="D68" s="75"/>
      <c r="E68" s="106" t="s">
        <v>51</v>
      </c>
      <c r="F68" s="342"/>
      <c r="G68" s="116"/>
      <c r="H68" s="49">
        <f>F68*G68</f>
        <v>0</v>
      </c>
      <c r="I68" s="72"/>
    </row>
    <row r="69" spans="1:13" ht="15.95" customHeight="1">
      <c r="A69" s="512"/>
      <c r="B69" s="138" t="s">
        <v>109</v>
      </c>
      <c r="C69" s="141" t="s">
        <v>380</v>
      </c>
      <c r="D69" s="76"/>
      <c r="E69" s="107" t="s">
        <v>50</v>
      </c>
      <c r="F69" s="337">
        <v>30</v>
      </c>
      <c r="G69" s="113">
        <v>400000</v>
      </c>
      <c r="H69" s="104">
        <f t="shared" ref="H69:H75" si="1">F69*G69</f>
        <v>12000000</v>
      </c>
      <c r="I69" s="73"/>
    </row>
    <row r="70" spans="1:13" ht="15.95" customHeight="1">
      <c r="A70" s="512"/>
      <c r="B70" s="170" t="s">
        <v>110</v>
      </c>
      <c r="C70" s="142" t="s">
        <v>381</v>
      </c>
      <c r="D70" s="77"/>
      <c r="E70" s="108" t="s">
        <v>50</v>
      </c>
      <c r="F70" s="343">
        <v>15</v>
      </c>
      <c r="G70" s="67">
        <v>400000</v>
      </c>
      <c r="H70" s="100">
        <f t="shared" si="1"/>
        <v>6000000</v>
      </c>
      <c r="I70" s="68"/>
    </row>
    <row r="71" spans="1:13" ht="15.95" customHeight="1">
      <c r="A71" s="512"/>
      <c r="B71" s="139" t="s">
        <v>111</v>
      </c>
      <c r="C71" s="142" t="s">
        <v>382</v>
      </c>
      <c r="D71" s="77"/>
      <c r="E71" s="108" t="s">
        <v>50</v>
      </c>
      <c r="F71" s="343">
        <v>15</v>
      </c>
      <c r="G71" s="67">
        <v>400000</v>
      </c>
      <c r="H71" s="100">
        <f t="shared" si="1"/>
        <v>6000000</v>
      </c>
      <c r="I71" s="68"/>
    </row>
    <row r="72" spans="1:13" ht="15.95" customHeight="1">
      <c r="A72" s="512"/>
      <c r="B72" s="139" t="s">
        <v>112</v>
      </c>
      <c r="C72" s="142" t="s">
        <v>383</v>
      </c>
      <c r="D72" s="77"/>
      <c r="E72" s="108" t="s">
        <v>50</v>
      </c>
      <c r="F72" s="343">
        <v>15</v>
      </c>
      <c r="G72" s="67">
        <v>400000</v>
      </c>
      <c r="H72" s="100">
        <f t="shared" si="1"/>
        <v>6000000</v>
      </c>
      <c r="I72" s="68"/>
    </row>
    <row r="73" spans="1:13" ht="15.95" customHeight="1">
      <c r="A73" s="512"/>
      <c r="B73" s="139" t="s">
        <v>113</v>
      </c>
      <c r="C73" s="142" t="s">
        <v>373</v>
      </c>
      <c r="D73" s="77"/>
      <c r="E73" s="108" t="s">
        <v>50</v>
      </c>
      <c r="F73" s="343">
        <v>30</v>
      </c>
      <c r="G73" s="67">
        <v>400000</v>
      </c>
      <c r="H73" s="100">
        <f t="shared" si="1"/>
        <v>12000000</v>
      </c>
      <c r="I73" s="68"/>
    </row>
    <row r="74" spans="1:13" ht="15.95" customHeight="1">
      <c r="A74" s="512"/>
      <c r="B74" s="139" t="s">
        <v>114</v>
      </c>
      <c r="C74" s="142" t="s">
        <v>280</v>
      </c>
      <c r="D74" s="77"/>
      <c r="E74" s="108" t="s">
        <v>50</v>
      </c>
      <c r="F74" s="343">
        <v>15</v>
      </c>
      <c r="G74" s="67">
        <v>500000</v>
      </c>
      <c r="H74" s="100">
        <f t="shared" si="1"/>
        <v>7500000</v>
      </c>
      <c r="I74" s="68"/>
    </row>
    <row r="75" spans="1:13" ht="15.95" customHeight="1">
      <c r="A75" s="512"/>
      <c r="B75" s="140" t="s">
        <v>115</v>
      </c>
      <c r="C75" s="143"/>
      <c r="D75" s="78"/>
      <c r="E75" s="109" t="s">
        <v>50</v>
      </c>
      <c r="F75" s="341"/>
      <c r="G75" s="115"/>
      <c r="H75" s="105">
        <f t="shared" si="1"/>
        <v>0</v>
      </c>
      <c r="I75" s="69"/>
    </row>
    <row r="76" spans="1:13" ht="15.95" customHeight="1">
      <c r="A76" s="74"/>
      <c r="B76" s="96" t="s">
        <v>41</v>
      </c>
      <c r="C76" s="71"/>
      <c r="D76" s="72"/>
      <c r="E76" s="72"/>
      <c r="F76" s="37"/>
      <c r="G76" s="37"/>
      <c r="H76" s="37">
        <f>SUM(H68:H75)</f>
        <v>49500000</v>
      </c>
      <c r="I76" s="92"/>
    </row>
    <row r="77" spans="1:13" ht="15.95" customHeight="1">
      <c r="A77" s="48"/>
      <c r="B77" s="96" t="s">
        <v>171</v>
      </c>
      <c r="C77" s="71"/>
      <c r="D77" s="72"/>
      <c r="E77" s="72"/>
      <c r="F77" s="27"/>
      <c r="G77" s="27"/>
      <c r="H77" s="52">
        <f>'단위공사별(집계)'!L8+'단위공사별(집계)'!I8</f>
        <v>3691682.670046383</v>
      </c>
      <c r="I77" s="72"/>
    </row>
    <row r="78" spans="1:13" ht="15.95" customHeight="1">
      <c r="A78" s="48"/>
      <c r="B78" s="96" t="s">
        <v>25</v>
      </c>
      <c r="C78" s="71"/>
      <c r="D78" s="72"/>
      <c r="E78" s="72" t="s">
        <v>182</v>
      </c>
      <c r="F78" s="27">
        <v>3</v>
      </c>
      <c r="G78" s="51"/>
      <c r="H78" s="116">
        <f>SUM(H67+H76)*0.03</f>
        <v>5180340</v>
      </c>
      <c r="I78" s="71"/>
    </row>
    <row r="79" spans="1:13" ht="15.95" customHeight="1">
      <c r="A79" s="48"/>
      <c r="B79" s="96" t="s">
        <v>151</v>
      </c>
      <c r="C79" s="71"/>
      <c r="D79" s="72"/>
      <c r="E79" s="72" t="s">
        <v>182</v>
      </c>
      <c r="F79" s="27">
        <v>12</v>
      </c>
      <c r="G79" s="51"/>
      <c r="H79" s="116">
        <f>SUM(H67+H76)*0.12</f>
        <v>20721360</v>
      </c>
      <c r="I79" s="71"/>
      <c r="M79" s="28"/>
    </row>
    <row r="80" spans="1:13" ht="15.95" customHeight="1">
      <c r="A80" s="48"/>
      <c r="B80" s="96" t="s">
        <v>152</v>
      </c>
      <c r="C80" s="71"/>
      <c r="D80" s="72"/>
      <c r="E80" s="72"/>
      <c r="F80" s="27"/>
      <c r="G80" s="27"/>
      <c r="H80" s="37">
        <f>H67+H76+H77+H78+H79</f>
        <v>202271382.67004639</v>
      </c>
      <c r="I80" s="72"/>
    </row>
    <row r="81" spans="1:1">
      <c r="A81" s="26"/>
    </row>
  </sheetData>
  <mergeCells count="3">
    <mergeCell ref="A2:B2"/>
    <mergeCell ref="A68:A75"/>
    <mergeCell ref="A3:A6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00B050"/>
    <pageSetUpPr fitToPage="1"/>
  </sheetPr>
  <dimension ref="A1:I54"/>
  <sheetViews>
    <sheetView zoomScale="85" workbookViewId="0">
      <pane xSplit="2" ySplit="2" topLeftCell="C27" activePane="bottomRight" state="frozen"/>
      <selection activeCell="B69" sqref="B69"/>
      <selection pane="topRight" activeCell="B69" sqref="B69"/>
      <selection pane="bottomLeft" activeCell="B69" sqref="B69"/>
      <selection pane="bottomRight" activeCell="K57" sqref="K57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 t="s">
        <v>279</v>
      </c>
      <c r="D1" s="61"/>
      <c r="E1" s="61"/>
      <c r="F1" s="62"/>
      <c r="G1" s="63"/>
      <c r="I1" s="25" t="s">
        <v>83</v>
      </c>
    </row>
    <row r="2" spans="1:9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0" t="s">
        <v>82</v>
      </c>
      <c r="B3" s="99" t="s">
        <v>37</v>
      </c>
      <c r="C3" s="318"/>
      <c r="D3" s="318"/>
      <c r="E3" s="326"/>
      <c r="F3" s="329"/>
      <c r="G3" s="330"/>
      <c r="H3" s="104">
        <f>IF(F3=0,G3,G3*F3)</f>
        <v>0</v>
      </c>
      <c r="I3" s="73"/>
    </row>
    <row r="4" spans="1:9" ht="15.95" customHeight="1">
      <c r="A4" s="512"/>
      <c r="B4" s="99"/>
      <c r="C4" s="331"/>
      <c r="D4" s="345"/>
      <c r="E4" s="326"/>
      <c r="F4" s="332"/>
      <c r="G4" s="328"/>
      <c r="H4" s="100">
        <f>IF(F4=0,G4,G4*F4)</f>
        <v>0</v>
      </c>
      <c r="I4" s="68"/>
    </row>
    <row r="5" spans="1:9" ht="15.95" customHeight="1">
      <c r="A5" s="512"/>
      <c r="B5" s="99"/>
      <c r="C5" s="318"/>
      <c r="D5" s="318"/>
      <c r="E5" s="326"/>
      <c r="F5" s="329"/>
      <c r="G5" s="330"/>
      <c r="H5" s="100">
        <f t="shared" ref="H5:H38" si="0">IF(F5=0,G5,G5*F5)</f>
        <v>0</v>
      </c>
      <c r="I5" s="68"/>
    </row>
    <row r="6" spans="1:9" ht="15.95" customHeight="1">
      <c r="A6" s="512"/>
      <c r="B6" s="99"/>
      <c r="C6" s="66"/>
      <c r="D6" s="66"/>
      <c r="E6" s="326"/>
      <c r="F6" s="67"/>
      <c r="G6" s="67"/>
      <c r="H6" s="100">
        <f t="shared" si="0"/>
        <v>0</v>
      </c>
      <c r="I6" s="68"/>
    </row>
    <row r="7" spans="1:9" ht="15.95" customHeight="1">
      <c r="A7" s="512"/>
      <c r="B7" s="99"/>
      <c r="C7" s="66"/>
      <c r="D7" s="66"/>
      <c r="E7" s="326"/>
      <c r="F7" s="67"/>
      <c r="G7" s="67"/>
      <c r="H7" s="100">
        <f t="shared" si="0"/>
        <v>0</v>
      </c>
      <c r="I7" s="68"/>
    </row>
    <row r="8" spans="1:9" ht="15.95" customHeight="1">
      <c r="A8" s="512"/>
      <c r="B8" s="99"/>
      <c r="C8" s="66"/>
      <c r="D8" s="66"/>
      <c r="E8" s="326"/>
      <c r="F8" s="328"/>
      <c r="G8" s="67"/>
      <c r="H8" s="100">
        <f t="shared" si="0"/>
        <v>0</v>
      </c>
      <c r="I8" s="68"/>
    </row>
    <row r="9" spans="1:9" ht="15.95" customHeight="1">
      <c r="A9" s="512"/>
      <c r="B9" s="99"/>
      <c r="C9" s="66"/>
      <c r="D9" s="66"/>
      <c r="E9" s="326"/>
      <c r="F9" s="328"/>
      <c r="G9" s="67"/>
      <c r="H9" s="100">
        <f t="shared" si="0"/>
        <v>0</v>
      </c>
      <c r="I9" s="68"/>
    </row>
    <row r="10" spans="1:9" ht="15.95" customHeight="1">
      <c r="A10" s="512"/>
      <c r="B10" s="99"/>
      <c r="C10" s="114"/>
      <c r="D10" s="276"/>
      <c r="E10" s="333"/>
      <c r="F10" s="277"/>
      <c r="G10" s="277"/>
      <c r="H10" s="278">
        <f t="shared" si="0"/>
        <v>0</v>
      </c>
      <c r="I10" s="279"/>
    </row>
    <row r="11" spans="1:9" ht="15.95" customHeight="1">
      <c r="A11" s="512"/>
      <c r="B11" s="70"/>
      <c r="C11" s="282"/>
      <c r="D11" s="282"/>
      <c r="E11" s="282"/>
      <c r="F11" s="283"/>
      <c r="G11" s="283"/>
      <c r="H11" s="284">
        <f>SUM(H3:H10)</f>
        <v>0</v>
      </c>
      <c r="I11" s="282"/>
    </row>
    <row r="12" spans="1:9" ht="15.95" customHeight="1">
      <c r="A12" s="512"/>
      <c r="B12" s="99" t="s">
        <v>160</v>
      </c>
      <c r="C12" s="117"/>
      <c r="D12" s="117"/>
      <c r="E12" s="117"/>
      <c r="F12" s="118"/>
      <c r="G12" s="118"/>
      <c r="H12" s="119">
        <f t="shared" si="0"/>
        <v>0</v>
      </c>
      <c r="I12" s="120"/>
    </row>
    <row r="13" spans="1:9" ht="15.95" customHeight="1">
      <c r="A13" s="512"/>
      <c r="B13" s="99" t="s">
        <v>161</v>
      </c>
      <c r="C13" s="66"/>
      <c r="D13" s="66"/>
      <c r="E13" s="66"/>
      <c r="F13" s="67"/>
      <c r="G13" s="67"/>
      <c r="H13" s="100">
        <f t="shared" si="0"/>
        <v>0</v>
      </c>
      <c r="I13" s="68"/>
    </row>
    <row r="14" spans="1:9" ht="15.95" customHeight="1">
      <c r="A14" s="512"/>
      <c r="B14" s="99"/>
      <c r="C14" s="66"/>
      <c r="D14" s="66"/>
      <c r="E14" s="66"/>
      <c r="F14" s="67"/>
      <c r="G14" s="67"/>
      <c r="H14" s="100">
        <f t="shared" si="0"/>
        <v>0</v>
      </c>
      <c r="I14" s="68"/>
    </row>
    <row r="15" spans="1:9" ht="15.95" customHeight="1">
      <c r="A15" s="512"/>
      <c r="B15" s="99"/>
      <c r="C15" s="66"/>
      <c r="D15" s="66"/>
      <c r="E15" s="66"/>
      <c r="F15" s="67"/>
      <c r="G15" s="67"/>
      <c r="H15" s="100">
        <f t="shared" si="0"/>
        <v>0</v>
      </c>
      <c r="I15" s="68"/>
    </row>
    <row r="16" spans="1:9" ht="15.95" customHeight="1">
      <c r="A16" s="512"/>
      <c r="B16" s="99"/>
      <c r="C16" s="114"/>
      <c r="D16" s="114"/>
      <c r="E16" s="114"/>
      <c r="F16" s="115"/>
      <c r="G16" s="115"/>
      <c r="H16" s="100">
        <f t="shared" si="0"/>
        <v>0</v>
      </c>
      <c r="I16" s="69"/>
    </row>
    <row r="17" spans="1:9" ht="15.95" customHeight="1">
      <c r="A17" s="512"/>
      <c r="B17" s="70"/>
      <c r="C17" s="102"/>
      <c r="D17" s="92"/>
      <c r="E17" s="92"/>
      <c r="F17" s="148"/>
      <c r="G17" s="37"/>
      <c r="H17" s="27">
        <f>SUM(H12:H16)</f>
        <v>0</v>
      </c>
      <c r="I17" s="72"/>
    </row>
    <row r="18" spans="1:9" ht="15.95" customHeight="1">
      <c r="A18" s="512"/>
      <c r="B18" s="103" t="s">
        <v>38</v>
      </c>
      <c r="C18" s="331"/>
      <c r="D18" s="335"/>
      <c r="E18" s="336"/>
      <c r="F18" s="337"/>
      <c r="G18" s="330"/>
      <c r="H18" s="104">
        <f t="shared" si="0"/>
        <v>0</v>
      </c>
      <c r="I18" s="73"/>
    </row>
    <row r="19" spans="1:9" ht="15.95" customHeight="1">
      <c r="A19" s="512"/>
      <c r="B19" s="99" t="s">
        <v>45</v>
      </c>
      <c r="C19" s="331"/>
      <c r="D19" s="335"/>
      <c r="E19" s="336"/>
      <c r="F19" s="337"/>
      <c r="G19" s="330"/>
      <c r="H19" s="100">
        <f t="shared" si="0"/>
        <v>0</v>
      </c>
      <c r="I19" s="68"/>
    </row>
    <row r="20" spans="1:9" ht="15.95" customHeight="1">
      <c r="A20" s="512"/>
      <c r="B20" s="99"/>
      <c r="C20" s="331"/>
      <c r="D20" s="318"/>
      <c r="E20" s="326"/>
      <c r="F20" s="338"/>
      <c r="G20" s="339"/>
      <c r="H20" s="100">
        <f t="shared" si="0"/>
        <v>0</v>
      </c>
      <c r="I20" s="68"/>
    </row>
    <row r="21" spans="1:9" ht="15.95" customHeight="1">
      <c r="A21" s="512"/>
      <c r="B21" s="99"/>
      <c r="C21" s="331"/>
      <c r="D21" s="345"/>
      <c r="E21" s="326"/>
      <c r="F21" s="338"/>
      <c r="G21" s="339"/>
      <c r="H21" s="100">
        <f t="shared" si="0"/>
        <v>0</v>
      </c>
      <c r="I21" s="68"/>
    </row>
    <row r="22" spans="1:9" ht="15.95" customHeight="1">
      <c r="A22" s="512"/>
      <c r="B22" s="99"/>
      <c r="C22" s="66"/>
      <c r="D22" s="66"/>
      <c r="E22" s="326"/>
      <c r="F22" s="67"/>
      <c r="G22" s="67"/>
      <c r="H22" s="100">
        <f t="shared" si="0"/>
        <v>0</v>
      </c>
      <c r="I22" s="68"/>
    </row>
    <row r="23" spans="1:9" ht="15.95" customHeight="1">
      <c r="A23" s="512"/>
      <c r="B23" s="99"/>
      <c r="C23" s="66"/>
      <c r="D23" s="66"/>
      <c r="E23" s="66"/>
      <c r="F23" s="67"/>
      <c r="G23" s="67"/>
      <c r="H23" s="100">
        <f t="shared" si="0"/>
        <v>0</v>
      </c>
      <c r="I23" s="68"/>
    </row>
    <row r="24" spans="1:9" ht="15.95" customHeight="1">
      <c r="A24" s="512"/>
      <c r="B24" s="99"/>
      <c r="C24" s="114"/>
      <c r="D24" s="114"/>
      <c r="E24" s="340"/>
      <c r="F24" s="341"/>
      <c r="G24" s="115"/>
      <c r="H24" s="105">
        <f t="shared" si="0"/>
        <v>0</v>
      </c>
      <c r="I24" s="69"/>
    </row>
    <row r="25" spans="1:9" ht="15.95" customHeight="1">
      <c r="A25" s="512"/>
      <c r="B25" s="70"/>
      <c r="C25" s="102"/>
      <c r="D25" s="92"/>
      <c r="E25" s="92"/>
      <c r="F25" s="37"/>
      <c r="G25" s="37"/>
      <c r="H25" s="27">
        <f>SUM(H18:H24)</f>
        <v>0</v>
      </c>
      <c r="I25" s="72"/>
    </row>
    <row r="26" spans="1:9" ht="15.95" customHeight="1">
      <c r="A26" s="512"/>
      <c r="B26" s="103" t="s">
        <v>2</v>
      </c>
      <c r="C26" s="117" t="s">
        <v>384</v>
      </c>
      <c r="D26" s="117"/>
      <c r="E26" s="336" t="s">
        <v>194</v>
      </c>
      <c r="F26" s="118">
        <v>1</v>
      </c>
      <c r="G26" s="118">
        <v>2000000</v>
      </c>
      <c r="H26" s="100">
        <f t="shared" si="0"/>
        <v>2000000</v>
      </c>
      <c r="I26" s="120"/>
    </row>
    <row r="27" spans="1:9" ht="15.95" customHeight="1">
      <c r="A27" s="512"/>
      <c r="B27" s="99"/>
      <c r="C27" s="117" t="s">
        <v>385</v>
      </c>
      <c r="D27" s="117" t="s">
        <v>386</v>
      </c>
      <c r="E27" s="336" t="s">
        <v>197</v>
      </c>
      <c r="F27" s="118">
        <v>6</v>
      </c>
      <c r="G27" s="118">
        <v>1500000</v>
      </c>
      <c r="H27" s="100">
        <f t="shared" si="0"/>
        <v>9000000</v>
      </c>
      <c r="I27" s="120"/>
    </row>
    <row r="28" spans="1:9" ht="15.95" customHeight="1">
      <c r="A28" s="512"/>
      <c r="B28" s="99"/>
      <c r="C28" s="117" t="s">
        <v>377</v>
      </c>
      <c r="D28" s="117" t="s">
        <v>387</v>
      </c>
      <c r="E28" s="336" t="s">
        <v>50</v>
      </c>
      <c r="F28" s="118">
        <v>84</v>
      </c>
      <c r="G28" s="118">
        <v>300000</v>
      </c>
      <c r="H28" s="100">
        <f t="shared" si="0"/>
        <v>25200000</v>
      </c>
      <c r="I28" s="120"/>
    </row>
    <row r="29" spans="1:9" ht="15.95" customHeight="1">
      <c r="A29" s="512"/>
      <c r="B29" s="99"/>
      <c r="C29" s="117" t="s">
        <v>277</v>
      </c>
      <c r="D29" s="117"/>
      <c r="E29" s="336" t="s">
        <v>194</v>
      </c>
      <c r="F29" s="118">
        <v>1</v>
      </c>
      <c r="G29" s="118">
        <v>3000000</v>
      </c>
      <c r="H29" s="100">
        <f t="shared" si="0"/>
        <v>3000000</v>
      </c>
      <c r="I29" s="120"/>
    </row>
    <row r="30" spans="1:9" ht="15.95" customHeight="1">
      <c r="A30" s="512"/>
      <c r="B30" s="99"/>
      <c r="C30" s="117" t="s">
        <v>278</v>
      </c>
      <c r="D30" s="117"/>
      <c r="E30" s="336" t="s">
        <v>194</v>
      </c>
      <c r="F30" s="118">
        <v>1</v>
      </c>
      <c r="G30" s="118">
        <v>2000000</v>
      </c>
      <c r="H30" s="100">
        <f t="shared" si="0"/>
        <v>2000000</v>
      </c>
      <c r="I30" s="120"/>
    </row>
    <row r="31" spans="1:9" ht="15.95" customHeight="1">
      <c r="A31" s="512"/>
      <c r="B31" s="99"/>
      <c r="C31" s="117"/>
      <c r="D31" s="117"/>
      <c r="E31" s="336"/>
      <c r="F31" s="118"/>
      <c r="G31" s="118"/>
      <c r="H31" s="100">
        <f t="shared" si="0"/>
        <v>0</v>
      </c>
      <c r="I31" s="120"/>
    </row>
    <row r="32" spans="1:9" ht="15.95" customHeight="1">
      <c r="A32" s="512"/>
      <c r="B32" s="99"/>
      <c r="C32" s="117"/>
      <c r="D32" s="117"/>
      <c r="E32" s="336"/>
      <c r="F32" s="118"/>
      <c r="G32" s="118"/>
      <c r="H32" s="100">
        <f t="shared" si="0"/>
        <v>0</v>
      </c>
      <c r="I32" s="120"/>
    </row>
    <row r="33" spans="1:9" ht="15.95" customHeight="1">
      <c r="A33" s="512"/>
      <c r="B33" s="99"/>
      <c r="C33" s="66"/>
      <c r="D33" s="66"/>
      <c r="E33" s="326"/>
      <c r="F33" s="67"/>
      <c r="G33" s="67"/>
      <c r="H33" s="100">
        <f t="shared" si="0"/>
        <v>0</v>
      </c>
      <c r="I33" s="68"/>
    </row>
    <row r="34" spans="1:9" ht="15.95" customHeight="1">
      <c r="A34" s="512"/>
      <c r="B34" s="99"/>
      <c r="C34" s="66"/>
      <c r="D34" s="66"/>
      <c r="E34" s="326"/>
      <c r="F34" s="67"/>
      <c r="G34" s="67"/>
      <c r="H34" s="100">
        <f t="shared" si="0"/>
        <v>0</v>
      </c>
      <c r="I34" s="68"/>
    </row>
    <row r="35" spans="1:9" ht="15.95" customHeight="1">
      <c r="A35" s="512"/>
      <c r="B35" s="99"/>
      <c r="C35" s="66"/>
      <c r="D35" s="66"/>
      <c r="E35" s="326"/>
      <c r="F35" s="67"/>
      <c r="G35" s="67"/>
      <c r="H35" s="100">
        <f t="shared" si="0"/>
        <v>0</v>
      </c>
      <c r="I35" s="68"/>
    </row>
    <row r="36" spans="1:9" ht="15.95" customHeight="1">
      <c r="A36" s="512"/>
      <c r="B36" s="99"/>
      <c r="C36" s="66"/>
      <c r="D36" s="66"/>
      <c r="E36" s="326"/>
      <c r="F36" s="67"/>
      <c r="G36" s="67"/>
      <c r="H36" s="100">
        <f t="shared" si="0"/>
        <v>0</v>
      </c>
      <c r="I36" s="68"/>
    </row>
    <row r="37" spans="1:9" ht="15.95" customHeight="1">
      <c r="A37" s="512"/>
      <c r="B37" s="99"/>
      <c r="C37" s="66"/>
      <c r="D37" s="66"/>
      <c r="E37" s="326"/>
      <c r="F37" s="67"/>
      <c r="G37" s="67"/>
      <c r="H37" s="100">
        <f t="shared" si="0"/>
        <v>0</v>
      </c>
      <c r="I37" s="68"/>
    </row>
    <row r="38" spans="1:9" ht="15.95" customHeight="1">
      <c r="A38" s="512"/>
      <c r="B38" s="99"/>
      <c r="C38" s="114"/>
      <c r="D38" s="114"/>
      <c r="E38" s="340"/>
      <c r="F38" s="115"/>
      <c r="G38" s="115"/>
      <c r="H38" s="105">
        <f t="shared" si="0"/>
        <v>0</v>
      </c>
      <c r="I38" s="69"/>
    </row>
    <row r="39" spans="1:9" ht="15.95" customHeight="1">
      <c r="A39" s="512"/>
      <c r="B39" s="70"/>
      <c r="C39" s="102"/>
      <c r="D39" s="92"/>
      <c r="E39" s="92"/>
      <c r="F39" s="37"/>
      <c r="G39" s="37"/>
      <c r="H39" s="27">
        <f>SUM(H26:H38)</f>
        <v>41200000</v>
      </c>
      <c r="I39" s="72"/>
    </row>
    <row r="40" spans="1:9" ht="15.95" customHeight="1">
      <c r="A40" s="74"/>
      <c r="B40" s="97" t="s">
        <v>42</v>
      </c>
      <c r="C40" s="71"/>
      <c r="D40" s="72"/>
      <c r="E40" s="72"/>
      <c r="F40" s="52"/>
      <c r="G40" s="52"/>
      <c r="H40" s="27">
        <f>SUM(H39,H25,H17,H11)</f>
        <v>41200000</v>
      </c>
      <c r="I40" s="72"/>
    </row>
    <row r="41" spans="1:9" ht="15.95" customHeight="1">
      <c r="A41" s="513" t="s">
        <v>72</v>
      </c>
      <c r="B41" s="137" t="s">
        <v>70</v>
      </c>
      <c r="C41" s="71"/>
      <c r="D41" s="75"/>
      <c r="E41" s="106" t="s">
        <v>51</v>
      </c>
      <c r="F41" s="342"/>
      <c r="G41" s="116"/>
      <c r="H41" s="49">
        <f>F41*G41</f>
        <v>0</v>
      </c>
      <c r="I41" s="72"/>
    </row>
    <row r="42" spans="1:9" ht="15.95" customHeight="1">
      <c r="A42" s="512"/>
      <c r="B42" s="138" t="s">
        <v>109</v>
      </c>
      <c r="C42" s="141"/>
      <c r="D42" s="76"/>
      <c r="E42" s="107" t="s">
        <v>50</v>
      </c>
      <c r="F42" s="337"/>
      <c r="G42" s="113"/>
      <c r="H42" s="104">
        <f t="shared" ref="H42:H48" si="1">F42*G42</f>
        <v>0</v>
      </c>
      <c r="I42" s="73"/>
    </row>
    <row r="43" spans="1:9" ht="15.95" customHeight="1">
      <c r="A43" s="512"/>
      <c r="B43" s="170" t="s">
        <v>110</v>
      </c>
      <c r="C43" s="142"/>
      <c r="D43" s="77"/>
      <c r="E43" s="108" t="s">
        <v>50</v>
      </c>
      <c r="F43" s="343"/>
      <c r="G43" s="67"/>
      <c r="H43" s="100">
        <f t="shared" si="1"/>
        <v>0</v>
      </c>
      <c r="I43" s="68"/>
    </row>
    <row r="44" spans="1:9" ht="15.95" customHeight="1">
      <c r="A44" s="512"/>
      <c r="B44" s="139" t="s">
        <v>111</v>
      </c>
      <c r="C44" s="142"/>
      <c r="D44" s="77"/>
      <c r="E44" s="108" t="s">
        <v>50</v>
      </c>
      <c r="F44" s="343"/>
      <c r="G44" s="67"/>
      <c r="H44" s="100">
        <f t="shared" si="1"/>
        <v>0</v>
      </c>
      <c r="I44" s="68"/>
    </row>
    <row r="45" spans="1:9" ht="15.95" customHeight="1">
      <c r="A45" s="512"/>
      <c r="B45" s="139" t="s">
        <v>112</v>
      </c>
      <c r="C45" s="142"/>
      <c r="D45" s="77"/>
      <c r="E45" s="108" t="s">
        <v>50</v>
      </c>
      <c r="F45" s="343"/>
      <c r="G45" s="67"/>
      <c r="H45" s="100">
        <f t="shared" si="1"/>
        <v>0</v>
      </c>
      <c r="I45" s="68"/>
    </row>
    <row r="46" spans="1:9" ht="15.95" customHeight="1">
      <c r="A46" s="512"/>
      <c r="B46" s="139" t="s">
        <v>113</v>
      </c>
      <c r="C46" s="142"/>
      <c r="D46" s="77"/>
      <c r="E46" s="108" t="s">
        <v>50</v>
      </c>
      <c r="F46" s="343"/>
      <c r="G46" s="67"/>
      <c r="H46" s="100">
        <f t="shared" si="1"/>
        <v>0</v>
      </c>
      <c r="I46" s="68"/>
    </row>
    <row r="47" spans="1:9" ht="15.95" customHeight="1">
      <c r="A47" s="512"/>
      <c r="B47" s="139" t="s">
        <v>114</v>
      </c>
      <c r="C47" s="142"/>
      <c r="D47" s="77"/>
      <c r="E47" s="108" t="s">
        <v>50</v>
      </c>
      <c r="F47" s="343"/>
      <c r="G47" s="67"/>
      <c r="H47" s="100">
        <f t="shared" si="1"/>
        <v>0</v>
      </c>
      <c r="I47" s="68"/>
    </row>
    <row r="48" spans="1:9" ht="15.95" customHeight="1">
      <c r="A48" s="512"/>
      <c r="B48" s="140" t="s">
        <v>115</v>
      </c>
      <c r="C48" s="143"/>
      <c r="D48" s="78"/>
      <c r="E48" s="109" t="s">
        <v>50</v>
      </c>
      <c r="F48" s="341"/>
      <c r="G48" s="115"/>
      <c r="H48" s="105">
        <f t="shared" si="1"/>
        <v>0</v>
      </c>
      <c r="I48" s="69"/>
    </row>
    <row r="49" spans="1:9" ht="15.95" customHeight="1">
      <c r="A49" s="74"/>
      <c r="B49" s="96" t="s">
        <v>41</v>
      </c>
      <c r="C49" s="71"/>
      <c r="D49" s="72"/>
      <c r="E49" s="72"/>
      <c r="F49" s="37"/>
      <c r="G49" s="37"/>
      <c r="H49" s="37">
        <f>SUM(H41:H48)</f>
        <v>0</v>
      </c>
      <c r="I49" s="92"/>
    </row>
    <row r="50" spans="1:9" ht="15.95" customHeight="1">
      <c r="A50" s="48"/>
      <c r="B50" s="96" t="s">
        <v>171</v>
      </c>
      <c r="C50" s="71"/>
      <c r="D50" s="72"/>
      <c r="E50" s="72"/>
      <c r="F50" s="27"/>
      <c r="G50" s="27"/>
      <c r="H50" s="52">
        <f>'단위공사별(집계)'!L9+'단위공사별(집계)'!I9</f>
        <v>880814.73034150829</v>
      </c>
      <c r="I50" s="72"/>
    </row>
    <row r="51" spans="1:9" ht="15.95" customHeight="1">
      <c r="A51" s="48"/>
      <c r="B51" s="96" t="s">
        <v>25</v>
      </c>
      <c r="C51" s="71"/>
      <c r="D51" s="72"/>
      <c r="E51" s="72" t="s">
        <v>182</v>
      </c>
      <c r="F51" s="27">
        <v>3</v>
      </c>
      <c r="G51" s="51"/>
      <c r="H51" s="116">
        <f>SUM(H40+H49)*0.03</f>
        <v>1236000</v>
      </c>
      <c r="I51" s="71"/>
    </row>
    <row r="52" spans="1:9" ht="15.95" customHeight="1">
      <c r="A52" s="48"/>
      <c r="B52" s="96" t="s">
        <v>151</v>
      </c>
      <c r="C52" s="71"/>
      <c r="D52" s="72"/>
      <c r="E52" s="72" t="s">
        <v>182</v>
      </c>
      <c r="F52" s="27">
        <v>12</v>
      </c>
      <c r="G52" s="51"/>
      <c r="H52" s="116">
        <f>SUM(H40+H49)*0.12</f>
        <v>4944000</v>
      </c>
      <c r="I52" s="71"/>
    </row>
    <row r="53" spans="1:9" ht="15.95" customHeight="1">
      <c r="A53" s="48"/>
      <c r="B53" s="96" t="s">
        <v>152</v>
      </c>
      <c r="C53" s="71"/>
      <c r="D53" s="72"/>
      <c r="E53" s="72"/>
      <c r="F53" s="27"/>
      <c r="G53" s="27"/>
      <c r="H53" s="37">
        <f>H40+H49+H50+H51+H52</f>
        <v>48260814.730341509</v>
      </c>
      <c r="I53" s="72"/>
    </row>
    <row r="54" spans="1:9">
      <c r="A54" s="26"/>
    </row>
  </sheetData>
  <mergeCells count="3">
    <mergeCell ref="A2:B2"/>
    <mergeCell ref="A41:A48"/>
    <mergeCell ref="A3:A3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00B050"/>
    <pageSetUpPr fitToPage="1"/>
  </sheetPr>
  <dimension ref="A1:I68"/>
  <sheetViews>
    <sheetView zoomScale="82" zoomScaleNormal="82" workbookViewId="0">
      <pane xSplit="2" ySplit="2" topLeftCell="C39" activePane="bottomRight" state="frozen"/>
      <selection activeCell="B69" sqref="B69"/>
      <selection pane="topRight" activeCell="B69" sqref="B69"/>
      <selection pane="bottomLeft" activeCell="B69" sqref="B69"/>
      <selection pane="bottomRight" activeCell="O60" sqref="O60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0" t="s">
        <v>82</v>
      </c>
      <c r="B3" s="99" t="s">
        <v>37</v>
      </c>
      <c r="C3" s="318"/>
      <c r="D3" s="318"/>
      <c r="E3" s="329"/>
      <c r="F3" s="329"/>
      <c r="G3" s="330"/>
      <c r="H3" s="104">
        <f>IF(F3=0,G3,G3*F3)</f>
        <v>0</v>
      </c>
      <c r="I3" s="73"/>
    </row>
    <row r="4" spans="1:9" ht="15.95" customHeight="1">
      <c r="A4" s="512"/>
      <c r="B4" s="99"/>
      <c r="C4" s="331"/>
      <c r="D4" s="345"/>
      <c r="E4" s="332"/>
      <c r="F4" s="332"/>
      <c r="G4" s="328"/>
      <c r="H4" s="100">
        <f>IF(F4=0,G4,G4*F4)</f>
        <v>0</v>
      </c>
      <c r="I4" s="68"/>
    </row>
    <row r="5" spans="1:9" ht="15.95" customHeight="1">
      <c r="A5" s="512"/>
      <c r="B5" s="99"/>
      <c r="C5" s="66"/>
      <c r="D5" s="66"/>
      <c r="E5" s="67"/>
      <c r="F5" s="67"/>
      <c r="G5" s="67"/>
      <c r="H5" s="100">
        <f t="shared" ref="H5:H52" si="0">IF(F5=0,G5,G5*F5)</f>
        <v>0</v>
      </c>
      <c r="I5" s="68"/>
    </row>
    <row r="6" spans="1:9" ht="15.95" customHeight="1">
      <c r="A6" s="512"/>
      <c r="B6" s="99"/>
      <c r="C6" s="331"/>
      <c r="D6" s="345"/>
      <c r="E6" s="332"/>
      <c r="F6" s="332"/>
      <c r="G6" s="328"/>
      <c r="H6" s="100">
        <f t="shared" si="0"/>
        <v>0</v>
      </c>
      <c r="I6" s="68"/>
    </row>
    <row r="7" spans="1:9" ht="15.95" customHeight="1">
      <c r="A7" s="512"/>
      <c r="B7" s="99"/>
      <c r="C7" s="331"/>
      <c r="D7" s="331"/>
      <c r="E7" s="329"/>
      <c r="F7" s="329"/>
      <c r="G7" s="328"/>
      <c r="H7" s="100">
        <f t="shared" si="0"/>
        <v>0</v>
      </c>
      <c r="I7" s="68"/>
    </row>
    <row r="8" spans="1:9" ht="15.95" customHeight="1">
      <c r="A8" s="512"/>
      <c r="B8" s="99"/>
      <c r="C8" s="66"/>
      <c r="D8" s="66"/>
      <c r="E8" s="67"/>
      <c r="F8" s="67"/>
      <c r="G8" s="67"/>
      <c r="H8" s="100">
        <f t="shared" si="0"/>
        <v>0</v>
      </c>
      <c r="I8" s="68"/>
    </row>
    <row r="9" spans="1:9" ht="15.95" customHeight="1">
      <c r="A9" s="512"/>
      <c r="B9" s="99"/>
      <c r="C9" s="66"/>
      <c r="D9" s="66"/>
      <c r="E9" s="67"/>
      <c r="F9" s="67"/>
      <c r="G9" s="67"/>
      <c r="H9" s="100">
        <f t="shared" si="0"/>
        <v>0</v>
      </c>
      <c r="I9" s="68"/>
    </row>
    <row r="10" spans="1:9" ht="15.95" customHeight="1">
      <c r="A10" s="512"/>
      <c r="B10" s="99"/>
      <c r="C10" s="66"/>
      <c r="D10" s="66"/>
      <c r="E10" s="67"/>
      <c r="F10" s="67"/>
      <c r="G10" s="67"/>
      <c r="H10" s="100">
        <f t="shared" si="0"/>
        <v>0</v>
      </c>
      <c r="I10" s="68"/>
    </row>
    <row r="11" spans="1:9" ht="15.95" customHeight="1">
      <c r="A11" s="512"/>
      <c r="B11" s="99"/>
      <c r="C11" s="66"/>
      <c r="D11" s="66"/>
      <c r="E11" s="67"/>
      <c r="F11" s="67"/>
      <c r="G11" s="67"/>
      <c r="H11" s="100">
        <f t="shared" si="0"/>
        <v>0</v>
      </c>
      <c r="I11" s="68"/>
    </row>
    <row r="12" spans="1:9" ht="15.95" customHeight="1">
      <c r="A12" s="512"/>
      <c r="B12" s="99"/>
      <c r="C12" s="66"/>
      <c r="D12" s="66"/>
      <c r="E12" s="67"/>
      <c r="F12" s="67"/>
      <c r="G12" s="67"/>
      <c r="H12" s="100">
        <f t="shared" si="0"/>
        <v>0</v>
      </c>
      <c r="I12" s="68"/>
    </row>
    <row r="13" spans="1:9" ht="15.95" customHeight="1">
      <c r="A13" s="512"/>
      <c r="B13" s="99"/>
      <c r="C13" s="66"/>
      <c r="D13" s="66"/>
      <c r="E13" s="67"/>
      <c r="F13" s="67"/>
      <c r="G13" s="67"/>
      <c r="H13" s="100">
        <f t="shared" si="0"/>
        <v>0</v>
      </c>
      <c r="I13" s="68"/>
    </row>
    <row r="14" spans="1:9" ht="15.95" customHeight="1">
      <c r="A14" s="512"/>
      <c r="B14" s="99"/>
      <c r="C14" s="66"/>
      <c r="D14" s="66"/>
      <c r="E14" s="67"/>
      <c r="F14" s="67"/>
      <c r="G14" s="67"/>
      <c r="H14" s="100">
        <f t="shared" si="0"/>
        <v>0</v>
      </c>
      <c r="I14" s="68"/>
    </row>
    <row r="15" spans="1:9" ht="15.95" customHeight="1">
      <c r="A15" s="512"/>
      <c r="B15" s="99"/>
      <c r="C15" s="66"/>
      <c r="D15" s="66"/>
      <c r="E15" s="67"/>
      <c r="F15" s="67"/>
      <c r="G15" s="67"/>
      <c r="H15" s="100">
        <f t="shared" si="0"/>
        <v>0</v>
      </c>
      <c r="I15" s="68"/>
    </row>
    <row r="16" spans="1:9" ht="15.95" customHeight="1">
      <c r="A16" s="512"/>
      <c r="B16" s="99"/>
      <c r="C16" s="66"/>
      <c r="D16" s="66"/>
      <c r="E16" s="67"/>
      <c r="F16" s="67"/>
      <c r="G16" s="67"/>
      <c r="H16" s="100">
        <f t="shared" si="0"/>
        <v>0</v>
      </c>
      <c r="I16" s="68"/>
    </row>
    <row r="17" spans="1:9" ht="15.95" customHeight="1">
      <c r="A17" s="512"/>
      <c r="B17" s="99"/>
      <c r="C17" s="66"/>
      <c r="D17" s="66"/>
      <c r="E17" s="67"/>
      <c r="F17" s="67"/>
      <c r="G17" s="67"/>
      <c r="H17" s="100">
        <f t="shared" si="0"/>
        <v>0</v>
      </c>
      <c r="I17" s="68"/>
    </row>
    <row r="18" spans="1:9" ht="15.95" customHeight="1">
      <c r="A18" s="512"/>
      <c r="B18" s="99"/>
      <c r="C18" s="66"/>
      <c r="D18" s="66"/>
      <c r="E18" s="326"/>
      <c r="F18" s="343"/>
      <c r="G18" s="67"/>
      <c r="H18" s="100">
        <f t="shared" si="0"/>
        <v>0</v>
      </c>
      <c r="I18" s="68"/>
    </row>
    <row r="19" spans="1:9" ht="15.95" customHeight="1">
      <c r="A19" s="512"/>
      <c r="B19" s="99"/>
      <c r="C19" s="117"/>
      <c r="D19" s="117"/>
      <c r="E19" s="336"/>
      <c r="F19" s="337"/>
      <c r="G19" s="118"/>
      <c r="H19" s="100">
        <f t="shared" si="0"/>
        <v>0</v>
      </c>
      <c r="I19" s="68"/>
    </row>
    <row r="20" spans="1:9" ht="15.95" customHeight="1">
      <c r="A20" s="512"/>
      <c r="B20" s="99"/>
      <c r="C20" s="66"/>
      <c r="D20" s="66"/>
      <c r="E20" s="326"/>
      <c r="F20" s="343"/>
      <c r="G20" s="67"/>
      <c r="H20" s="100">
        <f t="shared" si="0"/>
        <v>0</v>
      </c>
      <c r="I20" s="68"/>
    </row>
    <row r="21" spans="1:9" ht="15.95" customHeight="1">
      <c r="A21" s="512"/>
      <c r="B21" s="99"/>
      <c r="C21" s="114"/>
      <c r="D21" s="276"/>
      <c r="E21" s="333"/>
      <c r="F21" s="277"/>
      <c r="G21" s="277"/>
      <c r="H21" s="278">
        <f t="shared" si="0"/>
        <v>0</v>
      </c>
      <c r="I21" s="279"/>
    </row>
    <row r="22" spans="1:9" ht="15.95" customHeight="1">
      <c r="A22" s="512"/>
      <c r="B22" s="70"/>
      <c r="C22" s="282"/>
      <c r="D22" s="282"/>
      <c r="E22" s="348"/>
      <c r="F22" s="349"/>
      <c r="G22" s="283"/>
      <c r="H22" s="284">
        <f>SUM(H3:H21)</f>
        <v>0</v>
      </c>
      <c r="I22" s="282"/>
    </row>
    <row r="23" spans="1:9" ht="15.95" customHeight="1">
      <c r="A23" s="512"/>
      <c r="B23" s="99" t="s">
        <v>160</v>
      </c>
      <c r="C23" s="117"/>
      <c r="D23" s="117"/>
      <c r="E23" s="117"/>
      <c r="F23" s="118"/>
      <c r="G23" s="118"/>
      <c r="H23" s="119">
        <f t="shared" si="0"/>
        <v>0</v>
      </c>
      <c r="I23" s="120"/>
    </row>
    <row r="24" spans="1:9" ht="15.95" customHeight="1">
      <c r="A24" s="512"/>
      <c r="B24" s="99" t="s">
        <v>161</v>
      </c>
      <c r="C24" s="66"/>
      <c r="D24" s="66"/>
      <c r="E24" s="66"/>
      <c r="F24" s="67"/>
      <c r="G24" s="67"/>
      <c r="H24" s="100">
        <f t="shared" si="0"/>
        <v>0</v>
      </c>
      <c r="I24" s="68"/>
    </row>
    <row r="25" spans="1:9" ht="15.95" customHeight="1">
      <c r="A25" s="512"/>
      <c r="B25" s="99"/>
      <c r="C25" s="66"/>
      <c r="D25" s="66"/>
      <c r="E25" s="66"/>
      <c r="F25" s="67"/>
      <c r="G25" s="67"/>
      <c r="H25" s="100">
        <f t="shared" si="0"/>
        <v>0</v>
      </c>
      <c r="I25" s="68"/>
    </row>
    <row r="26" spans="1:9" ht="15.95" customHeight="1">
      <c r="A26" s="512"/>
      <c r="B26" s="99"/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2"/>
      <c r="B27" s="99"/>
      <c r="C27" s="114"/>
      <c r="D27" s="114"/>
      <c r="E27" s="114"/>
      <c r="F27" s="115"/>
      <c r="G27" s="115"/>
      <c r="H27" s="100">
        <f t="shared" si="0"/>
        <v>0</v>
      </c>
      <c r="I27" s="69"/>
    </row>
    <row r="28" spans="1:9" ht="15.95" customHeight="1">
      <c r="A28" s="512"/>
      <c r="B28" s="70"/>
      <c r="C28" s="102"/>
      <c r="D28" s="92"/>
      <c r="E28" s="92"/>
      <c r="F28" s="148"/>
      <c r="G28" s="37"/>
      <c r="H28" s="27">
        <f>SUM(H23:H27)</f>
        <v>0</v>
      </c>
      <c r="I28" s="72"/>
    </row>
    <row r="29" spans="1:9" ht="15.95" customHeight="1">
      <c r="A29" s="512"/>
      <c r="B29" s="103" t="s">
        <v>38</v>
      </c>
      <c r="C29" s="66"/>
      <c r="D29" s="66"/>
      <c r="E29" s="67"/>
      <c r="F29" s="67"/>
      <c r="G29" s="67"/>
      <c r="H29" s="104">
        <f t="shared" si="0"/>
        <v>0</v>
      </c>
      <c r="I29" s="73"/>
    </row>
    <row r="30" spans="1:9" ht="15.95" customHeight="1">
      <c r="A30" s="512"/>
      <c r="B30" s="99" t="s">
        <v>45</v>
      </c>
      <c r="C30" s="66"/>
      <c r="D30" s="66"/>
      <c r="E30" s="67"/>
      <c r="F30" s="67"/>
      <c r="G30" s="67"/>
      <c r="H30" s="100">
        <f t="shared" si="0"/>
        <v>0</v>
      </c>
      <c r="I30" s="68"/>
    </row>
    <row r="31" spans="1:9" ht="15.95" customHeight="1">
      <c r="A31" s="512"/>
      <c r="B31" s="99"/>
      <c r="C31" s="66"/>
      <c r="D31" s="66"/>
      <c r="E31" s="67"/>
      <c r="F31" s="67"/>
      <c r="G31" s="67"/>
      <c r="H31" s="100">
        <f t="shared" si="0"/>
        <v>0</v>
      </c>
      <c r="I31" s="68"/>
    </row>
    <row r="32" spans="1:9" ht="15.95" customHeight="1">
      <c r="A32" s="512"/>
      <c r="B32" s="99"/>
      <c r="C32" s="318"/>
      <c r="D32" s="318"/>
      <c r="E32" s="329"/>
      <c r="F32" s="329"/>
      <c r="G32" s="330"/>
      <c r="H32" s="100">
        <f t="shared" si="0"/>
        <v>0</v>
      </c>
      <c r="I32" s="68"/>
    </row>
    <row r="33" spans="1:9" ht="15.95" customHeight="1">
      <c r="A33" s="512"/>
      <c r="B33" s="99"/>
      <c r="C33" s="66"/>
      <c r="D33" s="66"/>
      <c r="E33" s="67"/>
      <c r="F33" s="67"/>
      <c r="G33" s="67"/>
      <c r="H33" s="100">
        <f t="shared" si="0"/>
        <v>0</v>
      </c>
      <c r="I33" s="68"/>
    </row>
    <row r="34" spans="1:9" ht="15.95" customHeight="1">
      <c r="A34" s="512"/>
      <c r="B34" s="99"/>
      <c r="C34" s="66"/>
      <c r="D34" s="66"/>
      <c r="E34" s="67"/>
      <c r="F34" s="67"/>
      <c r="G34" s="67"/>
      <c r="H34" s="100">
        <f t="shared" si="0"/>
        <v>0</v>
      </c>
      <c r="I34" s="68"/>
    </row>
    <row r="35" spans="1:9" ht="15.95" customHeight="1">
      <c r="A35" s="512"/>
      <c r="B35" s="99"/>
      <c r="C35" s="66"/>
      <c r="D35" s="66"/>
      <c r="E35" s="326"/>
      <c r="F35" s="67"/>
      <c r="G35" s="67"/>
      <c r="H35" s="100">
        <f t="shared" si="0"/>
        <v>0</v>
      </c>
      <c r="I35" s="68"/>
    </row>
    <row r="36" spans="1:9" ht="15.95" customHeight="1">
      <c r="A36" s="512"/>
      <c r="B36" s="99"/>
      <c r="C36" s="66"/>
      <c r="D36" s="66"/>
      <c r="E36" s="326"/>
      <c r="F36" s="67"/>
      <c r="G36" s="67"/>
      <c r="H36" s="100">
        <f t="shared" si="0"/>
        <v>0</v>
      </c>
      <c r="I36" s="68"/>
    </row>
    <row r="37" spans="1:9" ht="15.95" customHeight="1">
      <c r="A37" s="512"/>
      <c r="B37" s="99"/>
      <c r="C37" s="66"/>
      <c r="D37" s="66"/>
      <c r="E37" s="326"/>
      <c r="F37" s="67"/>
      <c r="G37" s="67"/>
      <c r="H37" s="100">
        <f t="shared" si="0"/>
        <v>0</v>
      </c>
      <c r="I37" s="68"/>
    </row>
    <row r="38" spans="1:9" ht="15.95" customHeight="1">
      <c r="A38" s="512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2"/>
      <c r="B39" s="99"/>
      <c r="C39" s="66"/>
      <c r="D39" s="66"/>
      <c r="E39" s="326"/>
      <c r="F39" s="343"/>
      <c r="G39" s="67"/>
      <c r="H39" s="100">
        <f t="shared" si="0"/>
        <v>0</v>
      </c>
      <c r="I39" s="68"/>
    </row>
    <row r="40" spans="1:9" ht="15.95" customHeight="1">
      <c r="A40" s="512"/>
      <c r="B40" s="99"/>
      <c r="C40" s="66"/>
      <c r="D40" s="66"/>
      <c r="E40" s="326"/>
      <c r="F40" s="343"/>
      <c r="G40" s="67"/>
      <c r="H40" s="100">
        <f t="shared" si="0"/>
        <v>0</v>
      </c>
      <c r="I40" s="68"/>
    </row>
    <row r="41" spans="1:9" ht="15.95" customHeight="1">
      <c r="A41" s="512"/>
      <c r="B41" s="99"/>
      <c r="C41" s="66"/>
      <c r="D41" s="66"/>
      <c r="E41" s="326"/>
      <c r="F41" s="343"/>
      <c r="G41" s="67"/>
      <c r="H41" s="100">
        <f t="shared" si="0"/>
        <v>0</v>
      </c>
      <c r="I41" s="68"/>
    </row>
    <row r="42" spans="1:9" ht="15.95" customHeight="1">
      <c r="A42" s="512"/>
      <c r="B42" s="99"/>
      <c r="C42" s="66"/>
      <c r="D42" s="66"/>
      <c r="E42" s="326"/>
      <c r="F42" s="343"/>
      <c r="G42" s="67"/>
      <c r="H42" s="100">
        <f t="shared" si="0"/>
        <v>0</v>
      </c>
      <c r="I42" s="68"/>
    </row>
    <row r="43" spans="1:9" ht="15.95" customHeight="1">
      <c r="A43" s="512"/>
      <c r="B43" s="99"/>
      <c r="C43" s="66"/>
      <c r="D43" s="66"/>
      <c r="E43" s="326"/>
      <c r="F43" s="343"/>
      <c r="G43" s="67"/>
      <c r="H43" s="100">
        <f t="shared" si="0"/>
        <v>0</v>
      </c>
      <c r="I43" s="68"/>
    </row>
    <row r="44" spans="1:9" ht="15.95" customHeight="1">
      <c r="A44" s="512"/>
      <c r="B44" s="99"/>
      <c r="C44" s="114"/>
      <c r="D44" s="114"/>
      <c r="E44" s="340"/>
      <c r="F44" s="341"/>
      <c r="G44" s="115"/>
      <c r="H44" s="105">
        <f t="shared" si="0"/>
        <v>0</v>
      </c>
      <c r="I44" s="69"/>
    </row>
    <row r="45" spans="1:9" ht="15.95" customHeight="1">
      <c r="A45" s="512"/>
      <c r="B45" s="70"/>
      <c r="C45" s="102"/>
      <c r="D45" s="92"/>
      <c r="E45" s="121"/>
      <c r="F45" s="350"/>
      <c r="G45" s="37"/>
      <c r="H45" s="27">
        <f>SUM(H29:H44)</f>
        <v>0</v>
      </c>
      <c r="I45" s="72"/>
    </row>
    <row r="46" spans="1:9" ht="15.95" customHeight="1">
      <c r="A46" s="512"/>
      <c r="B46" s="103" t="s">
        <v>39</v>
      </c>
      <c r="C46" s="66"/>
      <c r="D46" s="66"/>
      <c r="E46" s="67"/>
      <c r="F46" s="67"/>
      <c r="G46" s="67"/>
      <c r="H46" s="104">
        <f t="shared" si="0"/>
        <v>0</v>
      </c>
      <c r="I46" s="73"/>
    </row>
    <row r="47" spans="1:9" ht="15.95" customHeight="1">
      <c r="A47" s="512"/>
      <c r="B47" s="99"/>
      <c r="C47" s="66"/>
      <c r="D47" s="66"/>
      <c r="E47" s="67"/>
      <c r="F47" s="67"/>
      <c r="G47" s="67"/>
      <c r="H47" s="100">
        <f t="shared" si="0"/>
        <v>0</v>
      </c>
      <c r="I47" s="68"/>
    </row>
    <row r="48" spans="1:9" ht="15.95" customHeight="1">
      <c r="A48" s="512"/>
      <c r="B48" s="99"/>
      <c r="C48" s="66"/>
      <c r="D48" s="66"/>
      <c r="E48" s="326"/>
      <c r="F48" s="67"/>
      <c r="G48" s="67"/>
      <c r="H48" s="100">
        <f t="shared" si="0"/>
        <v>0</v>
      </c>
      <c r="I48" s="68"/>
    </row>
    <row r="49" spans="1:9" ht="15.95" customHeight="1">
      <c r="A49" s="512"/>
      <c r="B49" s="99"/>
      <c r="C49" s="66"/>
      <c r="D49" s="66"/>
      <c r="E49" s="326"/>
      <c r="F49" s="67"/>
      <c r="G49" s="67"/>
      <c r="H49" s="100">
        <f t="shared" si="0"/>
        <v>0</v>
      </c>
      <c r="I49" s="68"/>
    </row>
    <row r="50" spans="1:9" ht="15.95" customHeight="1">
      <c r="A50" s="512"/>
      <c r="B50" s="99"/>
      <c r="C50" s="66"/>
      <c r="D50" s="66"/>
      <c r="E50" s="326"/>
      <c r="F50" s="67"/>
      <c r="G50" s="67"/>
      <c r="H50" s="100">
        <f t="shared" si="0"/>
        <v>0</v>
      </c>
      <c r="I50" s="68"/>
    </row>
    <row r="51" spans="1:9" ht="15.95" customHeight="1">
      <c r="A51" s="512"/>
      <c r="B51" s="99"/>
      <c r="C51" s="66"/>
      <c r="D51" s="66"/>
      <c r="E51" s="326"/>
      <c r="F51" s="67"/>
      <c r="G51" s="67"/>
      <c r="H51" s="100">
        <f t="shared" si="0"/>
        <v>0</v>
      </c>
      <c r="I51" s="68"/>
    </row>
    <row r="52" spans="1:9" ht="15.95" customHeight="1">
      <c r="A52" s="512"/>
      <c r="B52" s="99"/>
      <c r="C52" s="114"/>
      <c r="D52" s="114"/>
      <c r="E52" s="340"/>
      <c r="F52" s="115"/>
      <c r="G52" s="115"/>
      <c r="H52" s="105">
        <f t="shared" si="0"/>
        <v>0</v>
      </c>
      <c r="I52" s="69"/>
    </row>
    <row r="53" spans="1:9" ht="15.95" customHeight="1">
      <c r="A53" s="512"/>
      <c r="B53" s="70"/>
      <c r="C53" s="102"/>
      <c r="D53" s="92"/>
      <c r="E53" s="92"/>
      <c r="F53" s="37"/>
      <c r="G53" s="37"/>
      <c r="H53" s="27">
        <f>SUM(H46:H52)</f>
        <v>0</v>
      </c>
      <c r="I53" s="72"/>
    </row>
    <row r="54" spans="1:9" ht="15.95" customHeight="1">
      <c r="A54" s="74"/>
      <c r="B54" s="97" t="s">
        <v>42</v>
      </c>
      <c r="C54" s="71"/>
      <c r="D54" s="72"/>
      <c r="E54" s="72"/>
      <c r="F54" s="52"/>
      <c r="G54" s="52"/>
      <c r="H54" s="27">
        <f>SUM(H53,H45,H28,H22)</f>
        <v>0</v>
      </c>
      <c r="I54" s="72"/>
    </row>
    <row r="55" spans="1:9" ht="15.95" customHeight="1">
      <c r="A55" s="513" t="s">
        <v>72</v>
      </c>
      <c r="B55" s="137" t="s">
        <v>70</v>
      </c>
      <c r="C55" s="71"/>
      <c r="D55" s="75"/>
      <c r="E55" s="106" t="s">
        <v>51</v>
      </c>
      <c r="F55" s="342"/>
      <c r="G55" s="116"/>
      <c r="H55" s="322">
        <f>SUM(F55*G55)</f>
        <v>0</v>
      </c>
      <c r="I55" s="72"/>
    </row>
    <row r="56" spans="1:9" ht="15.95" customHeight="1">
      <c r="A56" s="512"/>
      <c r="B56" s="138" t="s">
        <v>109</v>
      </c>
      <c r="C56" s="141"/>
      <c r="D56" s="76"/>
      <c r="E56" s="107" t="s">
        <v>50</v>
      </c>
      <c r="F56" s="337"/>
      <c r="G56" s="113"/>
      <c r="H56" s="323">
        <f t="shared" ref="H56:H62" si="1">SUM(F56*G56)</f>
        <v>0</v>
      </c>
      <c r="I56" s="73"/>
    </row>
    <row r="57" spans="1:9" ht="15.95" customHeight="1">
      <c r="A57" s="512"/>
      <c r="B57" s="170" t="s">
        <v>110</v>
      </c>
      <c r="C57" s="142"/>
      <c r="D57" s="77"/>
      <c r="E57" s="108" t="s">
        <v>50</v>
      </c>
      <c r="F57" s="343"/>
      <c r="G57" s="67"/>
      <c r="H57" s="324">
        <f t="shared" si="1"/>
        <v>0</v>
      </c>
      <c r="I57" s="68"/>
    </row>
    <row r="58" spans="1:9" ht="15.95" customHeight="1">
      <c r="A58" s="512"/>
      <c r="B58" s="139" t="s">
        <v>111</v>
      </c>
      <c r="C58" s="142"/>
      <c r="D58" s="77"/>
      <c r="E58" s="108" t="s">
        <v>50</v>
      </c>
      <c r="F58" s="343"/>
      <c r="G58" s="67"/>
      <c r="H58" s="324">
        <f t="shared" si="1"/>
        <v>0</v>
      </c>
      <c r="I58" s="68"/>
    </row>
    <row r="59" spans="1:9" ht="15.95" customHeight="1">
      <c r="A59" s="512"/>
      <c r="B59" s="139" t="s">
        <v>112</v>
      </c>
      <c r="C59" s="142"/>
      <c r="D59" s="77"/>
      <c r="E59" s="108" t="s">
        <v>50</v>
      </c>
      <c r="F59" s="343"/>
      <c r="G59" s="67"/>
      <c r="H59" s="324">
        <f t="shared" si="1"/>
        <v>0</v>
      </c>
      <c r="I59" s="68"/>
    </row>
    <row r="60" spans="1:9" ht="15.95" customHeight="1">
      <c r="A60" s="512"/>
      <c r="B60" s="139" t="s">
        <v>113</v>
      </c>
      <c r="C60" s="142"/>
      <c r="D60" s="77"/>
      <c r="E60" s="108" t="s">
        <v>50</v>
      </c>
      <c r="F60" s="343"/>
      <c r="G60" s="67"/>
      <c r="H60" s="324">
        <f t="shared" si="1"/>
        <v>0</v>
      </c>
      <c r="I60" s="68"/>
    </row>
    <row r="61" spans="1:9" ht="15.95" customHeight="1">
      <c r="A61" s="512"/>
      <c r="B61" s="139" t="s">
        <v>114</v>
      </c>
      <c r="C61" s="142"/>
      <c r="D61" s="77"/>
      <c r="E61" s="108" t="s">
        <v>50</v>
      </c>
      <c r="F61" s="343"/>
      <c r="G61" s="67"/>
      <c r="H61" s="324">
        <f t="shared" si="1"/>
        <v>0</v>
      </c>
      <c r="I61" s="68"/>
    </row>
    <row r="62" spans="1:9" ht="15.95" customHeight="1">
      <c r="A62" s="512"/>
      <c r="B62" s="140" t="s">
        <v>115</v>
      </c>
      <c r="C62" s="143"/>
      <c r="D62" s="78"/>
      <c r="E62" s="109" t="s">
        <v>50</v>
      </c>
      <c r="F62" s="341"/>
      <c r="G62" s="115"/>
      <c r="H62" s="325">
        <f t="shared" si="1"/>
        <v>0</v>
      </c>
      <c r="I62" s="69"/>
    </row>
    <row r="63" spans="1:9" ht="15.95" customHeight="1">
      <c r="A63" s="74"/>
      <c r="B63" s="96" t="s">
        <v>41</v>
      </c>
      <c r="C63" s="71"/>
      <c r="D63" s="72"/>
      <c r="E63" s="72"/>
      <c r="F63" s="37"/>
      <c r="G63" s="37"/>
      <c r="H63" s="37">
        <f>SUM(H55:H62)</f>
        <v>0</v>
      </c>
      <c r="I63" s="92"/>
    </row>
    <row r="64" spans="1:9" ht="15.95" customHeight="1">
      <c r="A64" s="48"/>
      <c r="B64" s="96" t="s">
        <v>171</v>
      </c>
      <c r="C64" s="71"/>
      <c r="D64" s="72"/>
      <c r="E64" s="72"/>
      <c r="F64" s="27"/>
      <c r="G64" s="27"/>
      <c r="H64" s="52">
        <f>'단위공사별(집계)'!L10+'단위공사별(집계)'!I10</f>
        <v>0</v>
      </c>
      <c r="I64" s="72"/>
    </row>
    <row r="65" spans="1:9" ht="15.95" customHeight="1">
      <c r="A65" s="48"/>
      <c r="B65" s="96" t="s">
        <v>25</v>
      </c>
      <c r="C65" s="71"/>
      <c r="D65" s="72"/>
      <c r="E65" s="72" t="s">
        <v>182</v>
      </c>
      <c r="F65" s="27">
        <v>3</v>
      </c>
      <c r="G65" s="51"/>
      <c r="H65" s="116">
        <f>SUM(H54+H63)*0.03</f>
        <v>0</v>
      </c>
      <c r="I65" s="71"/>
    </row>
    <row r="66" spans="1:9" ht="15.95" customHeight="1">
      <c r="A66" s="48"/>
      <c r="B66" s="96" t="s">
        <v>151</v>
      </c>
      <c r="C66" s="71"/>
      <c r="D66" s="72"/>
      <c r="E66" s="72" t="s">
        <v>182</v>
      </c>
      <c r="F66" s="27">
        <v>12</v>
      </c>
      <c r="G66" s="51"/>
      <c r="H66" s="116">
        <f>SUM(H54+H63)*0.12</f>
        <v>0</v>
      </c>
      <c r="I66" s="71"/>
    </row>
    <row r="67" spans="1:9" ht="15.95" customHeight="1">
      <c r="A67" s="48"/>
      <c r="B67" s="96" t="s">
        <v>152</v>
      </c>
      <c r="C67" s="71"/>
      <c r="D67" s="72"/>
      <c r="E67" s="72"/>
      <c r="F67" s="27"/>
      <c r="G67" s="27"/>
      <c r="H67" s="37">
        <f>H54+H63+H64+H65+H66</f>
        <v>0</v>
      </c>
      <c r="I67" s="72"/>
    </row>
    <row r="68" spans="1:9">
      <c r="A68" s="26"/>
    </row>
  </sheetData>
  <mergeCells count="3">
    <mergeCell ref="A2:B2"/>
    <mergeCell ref="A55:A62"/>
    <mergeCell ref="A3:A5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00B050"/>
    <pageSetUpPr fitToPage="1"/>
  </sheetPr>
  <dimension ref="A1:I70"/>
  <sheetViews>
    <sheetView zoomScale="85" workbookViewId="0">
      <pane xSplit="2" ySplit="2" topLeftCell="C51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0" t="s">
        <v>82</v>
      </c>
      <c r="B3" s="99" t="s">
        <v>37</v>
      </c>
      <c r="C3" s="112"/>
      <c r="D3" s="112"/>
      <c r="E3" s="346"/>
      <c r="F3" s="347"/>
      <c r="G3" s="113"/>
      <c r="H3" s="104">
        <f>IF(F3=0,G3,G3*F3)</f>
        <v>0</v>
      </c>
      <c r="I3" s="73"/>
    </row>
    <row r="4" spans="1:9" ht="15.95" customHeight="1">
      <c r="A4" s="512"/>
      <c r="B4" s="99"/>
      <c r="C4" s="66"/>
      <c r="D4" s="66"/>
      <c r="E4" s="326"/>
      <c r="F4" s="343"/>
      <c r="G4" s="67"/>
      <c r="H4" s="100">
        <f>IF(F4=0,G4,G4*F4)</f>
        <v>0</v>
      </c>
      <c r="I4" s="68"/>
    </row>
    <row r="5" spans="1:9" ht="15.95" customHeight="1">
      <c r="A5" s="512"/>
      <c r="B5" s="99"/>
      <c r="C5" s="66"/>
      <c r="D5" s="66"/>
      <c r="E5" s="326"/>
      <c r="F5" s="343"/>
      <c r="G5" s="67"/>
      <c r="H5" s="100">
        <f t="shared" ref="H5:H54" si="0">IF(F5=0,G5,G5*F5)</f>
        <v>0</v>
      </c>
      <c r="I5" s="68"/>
    </row>
    <row r="6" spans="1:9" ht="15.95" customHeight="1">
      <c r="A6" s="512"/>
      <c r="B6" s="99"/>
      <c r="C6" s="66"/>
      <c r="D6" s="66"/>
      <c r="E6" s="326"/>
      <c r="F6" s="343"/>
      <c r="G6" s="67"/>
      <c r="H6" s="100">
        <f t="shared" si="0"/>
        <v>0</v>
      </c>
      <c r="I6" s="68"/>
    </row>
    <row r="7" spans="1:9" ht="15.95" customHeight="1">
      <c r="A7" s="512"/>
      <c r="B7" s="99"/>
      <c r="C7" s="66"/>
      <c r="D7" s="66"/>
      <c r="E7" s="326"/>
      <c r="F7" s="343"/>
      <c r="G7" s="67"/>
      <c r="H7" s="100">
        <f t="shared" si="0"/>
        <v>0</v>
      </c>
      <c r="I7" s="68"/>
    </row>
    <row r="8" spans="1:9" ht="15.95" customHeight="1">
      <c r="A8" s="512"/>
      <c r="B8" s="99"/>
      <c r="C8" s="66"/>
      <c r="D8" s="66"/>
      <c r="E8" s="326"/>
      <c r="F8" s="343"/>
      <c r="G8" s="67"/>
      <c r="H8" s="100">
        <f t="shared" si="0"/>
        <v>0</v>
      </c>
      <c r="I8" s="68"/>
    </row>
    <row r="9" spans="1:9" ht="15.95" customHeight="1">
      <c r="A9" s="512"/>
      <c r="B9" s="99"/>
      <c r="C9" s="66"/>
      <c r="D9" s="66"/>
      <c r="E9" s="326"/>
      <c r="F9" s="343"/>
      <c r="G9" s="67"/>
      <c r="H9" s="100">
        <f t="shared" si="0"/>
        <v>0</v>
      </c>
      <c r="I9" s="68"/>
    </row>
    <row r="10" spans="1:9" ht="15.95" customHeight="1">
      <c r="A10" s="512"/>
      <c r="B10" s="99"/>
      <c r="C10" s="66"/>
      <c r="D10" s="66"/>
      <c r="E10" s="326"/>
      <c r="F10" s="343"/>
      <c r="G10" s="67"/>
      <c r="H10" s="100">
        <f t="shared" si="0"/>
        <v>0</v>
      </c>
      <c r="I10" s="68"/>
    </row>
    <row r="11" spans="1:9" ht="15.95" customHeight="1">
      <c r="A11" s="512"/>
      <c r="B11" s="99"/>
      <c r="C11" s="66"/>
      <c r="D11" s="66"/>
      <c r="E11" s="326"/>
      <c r="F11" s="343"/>
      <c r="G11" s="67"/>
      <c r="H11" s="100">
        <f t="shared" si="0"/>
        <v>0</v>
      </c>
      <c r="I11" s="68"/>
    </row>
    <row r="12" spans="1:9" ht="15.95" customHeight="1">
      <c r="A12" s="512"/>
      <c r="B12" s="99"/>
      <c r="C12" s="66"/>
      <c r="D12" s="66"/>
      <c r="E12" s="326"/>
      <c r="F12" s="343"/>
      <c r="G12" s="67"/>
      <c r="H12" s="100">
        <f t="shared" si="0"/>
        <v>0</v>
      </c>
      <c r="I12" s="68"/>
    </row>
    <row r="13" spans="1:9" ht="15.95" customHeight="1">
      <c r="A13" s="512"/>
      <c r="B13" s="99"/>
      <c r="C13" s="66"/>
      <c r="D13" s="66"/>
      <c r="E13" s="326"/>
      <c r="F13" s="343"/>
      <c r="G13" s="67"/>
      <c r="H13" s="100">
        <f t="shared" si="0"/>
        <v>0</v>
      </c>
      <c r="I13" s="68"/>
    </row>
    <row r="14" spans="1:9" ht="15.95" customHeight="1">
      <c r="A14" s="512"/>
      <c r="B14" s="99"/>
      <c r="C14" s="66"/>
      <c r="D14" s="66"/>
      <c r="E14" s="326"/>
      <c r="F14" s="343"/>
      <c r="G14" s="67"/>
      <c r="H14" s="100">
        <f t="shared" si="0"/>
        <v>0</v>
      </c>
      <c r="I14" s="68"/>
    </row>
    <row r="15" spans="1:9" ht="15.95" customHeight="1">
      <c r="A15" s="512"/>
      <c r="B15" s="99"/>
      <c r="C15" s="66"/>
      <c r="D15" s="66"/>
      <c r="E15" s="326"/>
      <c r="F15" s="343"/>
      <c r="G15" s="67"/>
      <c r="H15" s="100">
        <f t="shared" si="0"/>
        <v>0</v>
      </c>
      <c r="I15" s="68"/>
    </row>
    <row r="16" spans="1:9" ht="15.95" customHeight="1">
      <c r="A16" s="512"/>
      <c r="B16" s="99"/>
      <c r="C16" s="66"/>
      <c r="D16" s="66"/>
      <c r="E16" s="326"/>
      <c r="F16" s="343"/>
      <c r="G16" s="67"/>
      <c r="H16" s="100">
        <f t="shared" si="0"/>
        <v>0</v>
      </c>
      <c r="I16" s="68"/>
    </row>
    <row r="17" spans="1:9" ht="15.95" customHeight="1">
      <c r="A17" s="512"/>
      <c r="B17" s="99"/>
      <c r="C17" s="66"/>
      <c r="D17" s="66"/>
      <c r="E17" s="326"/>
      <c r="F17" s="343"/>
      <c r="G17" s="67"/>
      <c r="H17" s="100">
        <f t="shared" si="0"/>
        <v>0</v>
      </c>
      <c r="I17" s="68"/>
    </row>
    <row r="18" spans="1:9" ht="15.95" customHeight="1">
      <c r="A18" s="512"/>
      <c r="B18" s="99"/>
      <c r="C18" s="66"/>
      <c r="D18" s="66"/>
      <c r="E18" s="326"/>
      <c r="F18" s="343"/>
      <c r="G18" s="67"/>
      <c r="H18" s="100">
        <f t="shared" si="0"/>
        <v>0</v>
      </c>
      <c r="I18" s="68"/>
    </row>
    <row r="19" spans="1:9" ht="15.95" customHeight="1">
      <c r="A19" s="512"/>
      <c r="B19" s="99"/>
      <c r="C19" s="66"/>
      <c r="D19" s="66"/>
      <c r="E19" s="326"/>
      <c r="F19" s="343"/>
      <c r="G19" s="67"/>
      <c r="H19" s="100">
        <f t="shared" si="0"/>
        <v>0</v>
      </c>
      <c r="I19" s="68"/>
    </row>
    <row r="20" spans="1:9" ht="15.95" customHeight="1">
      <c r="A20" s="512"/>
      <c r="B20" s="99"/>
      <c r="C20" s="66"/>
      <c r="D20" s="66"/>
      <c r="E20" s="326"/>
      <c r="F20" s="343"/>
      <c r="G20" s="67"/>
      <c r="H20" s="100">
        <f t="shared" si="0"/>
        <v>0</v>
      </c>
      <c r="I20" s="68"/>
    </row>
    <row r="21" spans="1:9" ht="15.95" customHeight="1">
      <c r="A21" s="512"/>
      <c r="B21" s="99"/>
      <c r="C21" s="66"/>
      <c r="D21" s="66"/>
      <c r="E21" s="326"/>
      <c r="F21" s="343"/>
      <c r="G21" s="67"/>
      <c r="H21" s="100">
        <f t="shared" si="0"/>
        <v>0</v>
      </c>
      <c r="I21" s="68"/>
    </row>
    <row r="22" spans="1:9" ht="15.95" customHeight="1">
      <c r="A22" s="512"/>
      <c r="B22" s="99"/>
      <c r="C22" s="66"/>
      <c r="D22" s="66"/>
      <c r="E22" s="326"/>
      <c r="F22" s="343"/>
      <c r="G22" s="67"/>
      <c r="H22" s="100">
        <f t="shared" si="0"/>
        <v>0</v>
      </c>
      <c r="I22" s="68"/>
    </row>
    <row r="23" spans="1:9" ht="15.95" customHeight="1">
      <c r="A23" s="512"/>
      <c r="B23" s="99"/>
      <c r="C23" s="114"/>
      <c r="D23" s="276"/>
      <c r="E23" s="333"/>
      <c r="F23" s="334"/>
      <c r="G23" s="277"/>
      <c r="H23" s="278">
        <f t="shared" si="0"/>
        <v>0</v>
      </c>
      <c r="I23" s="279"/>
    </row>
    <row r="24" spans="1:9" ht="15.95" customHeight="1">
      <c r="A24" s="512"/>
      <c r="B24" s="70"/>
      <c r="C24" s="282"/>
      <c r="D24" s="282"/>
      <c r="E24" s="348"/>
      <c r="F24" s="349"/>
      <c r="G24" s="283"/>
      <c r="H24" s="284">
        <f>SUM(H3:H23)</f>
        <v>0</v>
      </c>
      <c r="I24" s="282"/>
    </row>
    <row r="25" spans="1:9" ht="15.95" customHeight="1">
      <c r="A25" s="512"/>
      <c r="B25" s="99" t="s">
        <v>160</v>
      </c>
      <c r="C25" s="117"/>
      <c r="D25" s="117"/>
      <c r="E25" s="336"/>
      <c r="F25" s="337"/>
      <c r="G25" s="118"/>
      <c r="H25" s="119">
        <f t="shared" si="0"/>
        <v>0</v>
      </c>
      <c r="I25" s="120"/>
    </row>
    <row r="26" spans="1:9" ht="15.95" customHeight="1">
      <c r="A26" s="512"/>
      <c r="B26" s="99" t="s">
        <v>161</v>
      </c>
      <c r="C26" s="66"/>
      <c r="D26" s="66"/>
      <c r="E26" s="326"/>
      <c r="F26" s="343"/>
      <c r="G26" s="67"/>
      <c r="H26" s="100">
        <f t="shared" si="0"/>
        <v>0</v>
      </c>
      <c r="I26" s="68"/>
    </row>
    <row r="27" spans="1:9" ht="15.95" customHeight="1">
      <c r="A27" s="512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2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2"/>
      <c r="B29" s="99"/>
      <c r="C29" s="114"/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2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2"/>
      <c r="B31" s="103" t="s">
        <v>38</v>
      </c>
      <c r="C31" s="112"/>
      <c r="D31" s="112"/>
      <c r="E31" s="346"/>
      <c r="F31" s="347"/>
      <c r="G31" s="113"/>
      <c r="H31" s="104">
        <f t="shared" si="0"/>
        <v>0</v>
      </c>
      <c r="I31" s="73"/>
    </row>
    <row r="32" spans="1:9" ht="15.95" customHeight="1">
      <c r="A32" s="512"/>
      <c r="B32" s="99" t="s">
        <v>45</v>
      </c>
      <c r="C32" s="66"/>
      <c r="D32" s="66"/>
      <c r="E32" s="326"/>
      <c r="F32" s="343"/>
      <c r="G32" s="67"/>
      <c r="H32" s="100">
        <f t="shared" si="0"/>
        <v>0</v>
      </c>
      <c r="I32" s="68"/>
    </row>
    <row r="33" spans="1:9" ht="15.95" customHeight="1">
      <c r="A33" s="512"/>
      <c r="B33" s="99"/>
      <c r="C33" s="66"/>
      <c r="D33" s="66"/>
      <c r="E33" s="326"/>
      <c r="F33" s="343"/>
      <c r="G33" s="67"/>
      <c r="H33" s="100">
        <f t="shared" si="0"/>
        <v>0</v>
      </c>
      <c r="I33" s="68"/>
    </row>
    <row r="34" spans="1:9" ht="15.95" customHeight="1">
      <c r="A34" s="512"/>
      <c r="B34" s="99"/>
      <c r="C34" s="66"/>
      <c r="D34" s="66"/>
      <c r="E34" s="326"/>
      <c r="F34" s="343"/>
      <c r="G34" s="67"/>
      <c r="H34" s="100">
        <f t="shared" si="0"/>
        <v>0</v>
      </c>
      <c r="I34" s="68"/>
    </row>
    <row r="35" spans="1:9" ht="15.95" customHeight="1">
      <c r="A35" s="512"/>
      <c r="B35" s="99"/>
      <c r="C35" s="66"/>
      <c r="D35" s="66"/>
      <c r="E35" s="326"/>
      <c r="F35" s="343"/>
      <c r="G35" s="67"/>
      <c r="H35" s="100">
        <f t="shared" si="0"/>
        <v>0</v>
      </c>
      <c r="I35" s="68"/>
    </row>
    <row r="36" spans="1:9" ht="15.95" customHeight="1">
      <c r="A36" s="512"/>
      <c r="B36" s="99"/>
      <c r="C36" s="66"/>
      <c r="D36" s="66"/>
      <c r="E36" s="326"/>
      <c r="F36" s="343"/>
      <c r="G36" s="67"/>
      <c r="H36" s="100">
        <f t="shared" si="0"/>
        <v>0</v>
      </c>
      <c r="I36" s="68"/>
    </row>
    <row r="37" spans="1:9" ht="15.95" customHeight="1">
      <c r="A37" s="512"/>
      <c r="B37" s="99"/>
      <c r="C37" s="66"/>
      <c r="D37" s="66"/>
      <c r="E37" s="326"/>
      <c r="F37" s="343"/>
      <c r="G37" s="67"/>
      <c r="H37" s="100">
        <f t="shared" si="0"/>
        <v>0</v>
      </c>
      <c r="I37" s="68"/>
    </row>
    <row r="38" spans="1:9" ht="15.95" customHeight="1">
      <c r="A38" s="512"/>
      <c r="B38" s="99"/>
      <c r="C38" s="66"/>
      <c r="D38" s="66"/>
      <c r="E38" s="326"/>
      <c r="F38" s="343"/>
      <c r="G38" s="67"/>
      <c r="H38" s="100">
        <f t="shared" si="0"/>
        <v>0</v>
      </c>
      <c r="I38" s="68"/>
    </row>
    <row r="39" spans="1:9" ht="15.95" customHeight="1">
      <c r="A39" s="512"/>
      <c r="B39" s="99"/>
      <c r="C39" s="66"/>
      <c r="D39" s="66"/>
      <c r="E39" s="326"/>
      <c r="F39" s="343"/>
      <c r="G39" s="67"/>
      <c r="H39" s="100">
        <f t="shared" si="0"/>
        <v>0</v>
      </c>
      <c r="I39" s="68"/>
    </row>
    <row r="40" spans="1:9" ht="15.95" customHeight="1">
      <c r="A40" s="512"/>
      <c r="B40" s="99"/>
      <c r="C40" s="66"/>
      <c r="D40" s="66"/>
      <c r="E40" s="326"/>
      <c r="F40" s="343"/>
      <c r="G40" s="67"/>
      <c r="H40" s="100">
        <f t="shared" si="0"/>
        <v>0</v>
      </c>
      <c r="I40" s="68"/>
    </row>
    <row r="41" spans="1:9" ht="15.95" customHeight="1">
      <c r="A41" s="512"/>
      <c r="B41" s="99"/>
      <c r="C41" s="66"/>
      <c r="D41" s="66"/>
      <c r="E41" s="326"/>
      <c r="F41" s="343"/>
      <c r="G41" s="67"/>
      <c r="H41" s="100">
        <f t="shared" si="0"/>
        <v>0</v>
      </c>
      <c r="I41" s="68"/>
    </row>
    <row r="42" spans="1:9" ht="15.95" customHeight="1">
      <c r="A42" s="512"/>
      <c r="B42" s="99"/>
      <c r="C42" s="66"/>
      <c r="D42" s="66"/>
      <c r="E42" s="326"/>
      <c r="F42" s="343"/>
      <c r="G42" s="67"/>
      <c r="H42" s="100">
        <f t="shared" si="0"/>
        <v>0</v>
      </c>
      <c r="I42" s="68"/>
    </row>
    <row r="43" spans="1:9" ht="15.95" customHeight="1">
      <c r="A43" s="512"/>
      <c r="B43" s="99"/>
      <c r="C43" s="66"/>
      <c r="D43" s="66"/>
      <c r="E43" s="326"/>
      <c r="F43" s="343"/>
      <c r="G43" s="67"/>
      <c r="H43" s="100">
        <f t="shared" si="0"/>
        <v>0</v>
      </c>
      <c r="I43" s="68"/>
    </row>
    <row r="44" spans="1:9" ht="15.95" customHeight="1">
      <c r="A44" s="512"/>
      <c r="B44" s="99"/>
      <c r="C44" s="66"/>
      <c r="D44" s="66"/>
      <c r="E44" s="326"/>
      <c r="F44" s="343"/>
      <c r="G44" s="67"/>
      <c r="H44" s="100">
        <f t="shared" si="0"/>
        <v>0</v>
      </c>
      <c r="I44" s="68"/>
    </row>
    <row r="45" spans="1:9" ht="15.95" customHeight="1">
      <c r="A45" s="512"/>
      <c r="B45" s="99"/>
      <c r="C45" s="66"/>
      <c r="D45" s="66"/>
      <c r="E45" s="326"/>
      <c r="F45" s="343"/>
      <c r="G45" s="67"/>
      <c r="H45" s="100">
        <f t="shared" si="0"/>
        <v>0</v>
      </c>
      <c r="I45" s="68"/>
    </row>
    <row r="46" spans="1:9" ht="15.95" customHeight="1">
      <c r="A46" s="512"/>
      <c r="B46" s="99"/>
      <c r="C46" s="114"/>
      <c r="D46" s="114"/>
      <c r="E46" s="340"/>
      <c r="F46" s="341"/>
      <c r="G46" s="115"/>
      <c r="H46" s="105">
        <f t="shared" si="0"/>
        <v>0</v>
      </c>
      <c r="I46" s="69"/>
    </row>
    <row r="47" spans="1:9" ht="15.95" customHeight="1">
      <c r="A47" s="512"/>
      <c r="B47" s="70"/>
      <c r="C47" s="102"/>
      <c r="D47" s="92"/>
      <c r="E47" s="121"/>
      <c r="F47" s="350"/>
      <c r="G47" s="37"/>
      <c r="H47" s="27">
        <f>SUM(H31:H46)</f>
        <v>0</v>
      </c>
      <c r="I47" s="72"/>
    </row>
    <row r="48" spans="1:9" ht="15.95" customHeight="1">
      <c r="A48" s="512"/>
      <c r="B48" s="103" t="s">
        <v>39</v>
      </c>
      <c r="C48" s="112"/>
      <c r="D48" s="112"/>
      <c r="E48" s="346"/>
      <c r="F48" s="347"/>
      <c r="G48" s="113"/>
      <c r="H48" s="104">
        <f t="shared" si="0"/>
        <v>0</v>
      </c>
      <c r="I48" s="73"/>
    </row>
    <row r="49" spans="1:9" ht="15.95" customHeight="1">
      <c r="A49" s="512"/>
      <c r="B49" s="99"/>
      <c r="C49" s="66"/>
      <c r="D49" s="66"/>
      <c r="E49" s="326"/>
      <c r="F49" s="343"/>
      <c r="G49" s="67"/>
      <c r="H49" s="100">
        <f t="shared" si="0"/>
        <v>0</v>
      </c>
      <c r="I49" s="68"/>
    </row>
    <row r="50" spans="1:9" ht="15.95" customHeight="1">
      <c r="A50" s="512"/>
      <c r="B50" s="99"/>
      <c r="C50" s="66"/>
      <c r="D50" s="66"/>
      <c r="E50" s="326"/>
      <c r="F50" s="343"/>
      <c r="G50" s="67"/>
      <c r="H50" s="100">
        <f t="shared" si="0"/>
        <v>0</v>
      </c>
      <c r="I50" s="68"/>
    </row>
    <row r="51" spans="1:9" ht="15.95" customHeight="1">
      <c r="A51" s="512"/>
      <c r="B51" s="99"/>
      <c r="C51" s="66"/>
      <c r="D51" s="66"/>
      <c r="E51" s="326"/>
      <c r="F51" s="343"/>
      <c r="G51" s="67"/>
      <c r="H51" s="100">
        <f t="shared" si="0"/>
        <v>0</v>
      </c>
      <c r="I51" s="68"/>
    </row>
    <row r="52" spans="1:9" ht="15.95" customHeight="1">
      <c r="A52" s="512"/>
      <c r="B52" s="99"/>
      <c r="C52" s="66"/>
      <c r="D52" s="66"/>
      <c r="E52" s="326"/>
      <c r="F52" s="343"/>
      <c r="G52" s="67"/>
      <c r="H52" s="100">
        <f t="shared" si="0"/>
        <v>0</v>
      </c>
      <c r="I52" s="68"/>
    </row>
    <row r="53" spans="1:9" ht="15.95" customHeight="1">
      <c r="A53" s="512"/>
      <c r="B53" s="99"/>
      <c r="C53" s="66"/>
      <c r="D53" s="66"/>
      <c r="E53" s="326"/>
      <c r="F53" s="343"/>
      <c r="G53" s="67"/>
      <c r="H53" s="100">
        <f t="shared" si="0"/>
        <v>0</v>
      </c>
      <c r="I53" s="68"/>
    </row>
    <row r="54" spans="1:9" ht="15.95" customHeight="1">
      <c r="A54" s="512"/>
      <c r="B54" s="99"/>
      <c r="C54" s="114"/>
      <c r="D54" s="114"/>
      <c r="E54" s="340"/>
      <c r="F54" s="341"/>
      <c r="G54" s="115"/>
      <c r="H54" s="105">
        <f t="shared" si="0"/>
        <v>0</v>
      </c>
      <c r="I54" s="69"/>
    </row>
    <row r="55" spans="1:9" ht="15.95" customHeight="1">
      <c r="A55" s="512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3" t="s">
        <v>72</v>
      </c>
      <c r="B57" s="137" t="s">
        <v>70</v>
      </c>
      <c r="C57" s="71"/>
      <c r="D57" s="75"/>
      <c r="E57" s="106" t="s">
        <v>51</v>
      </c>
      <c r="F57" s="342"/>
      <c r="G57" s="116"/>
      <c r="H57" s="49">
        <f>F57*G57</f>
        <v>0</v>
      </c>
      <c r="I57" s="72"/>
    </row>
    <row r="58" spans="1:9" ht="15.95" customHeight="1">
      <c r="A58" s="512"/>
      <c r="B58" s="138" t="s">
        <v>109</v>
      </c>
      <c r="C58" s="141"/>
      <c r="D58" s="76"/>
      <c r="E58" s="107" t="s">
        <v>50</v>
      </c>
      <c r="F58" s="337"/>
      <c r="G58" s="113"/>
      <c r="H58" s="104">
        <f t="shared" ref="H58:H64" si="1">F58*G58</f>
        <v>0</v>
      </c>
      <c r="I58" s="73"/>
    </row>
    <row r="59" spans="1:9" ht="15.95" customHeight="1">
      <c r="A59" s="512"/>
      <c r="B59" s="170" t="s">
        <v>110</v>
      </c>
      <c r="C59" s="142"/>
      <c r="D59" s="77"/>
      <c r="E59" s="108" t="s">
        <v>50</v>
      </c>
      <c r="F59" s="343"/>
      <c r="G59" s="67"/>
      <c r="H59" s="100">
        <f t="shared" si="1"/>
        <v>0</v>
      </c>
      <c r="I59" s="68"/>
    </row>
    <row r="60" spans="1:9" ht="15.95" customHeight="1">
      <c r="A60" s="512"/>
      <c r="B60" s="139" t="s">
        <v>111</v>
      </c>
      <c r="C60" s="142"/>
      <c r="D60" s="77"/>
      <c r="E60" s="108" t="s">
        <v>50</v>
      </c>
      <c r="F60" s="343"/>
      <c r="G60" s="67"/>
      <c r="H60" s="100">
        <f t="shared" si="1"/>
        <v>0</v>
      </c>
      <c r="I60" s="68"/>
    </row>
    <row r="61" spans="1:9" ht="15.95" customHeight="1">
      <c r="A61" s="512"/>
      <c r="B61" s="139" t="s">
        <v>112</v>
      </c>
      <c r="C61" s="142"/>
      <c r="D61" s="77"/>
      <c r="E61" s="108" t="s">
        <v>50</v>
      </c>
      <c r="F61" s="343"/>
      <c r="G61" s="67"/>
      <c r="H61" s="100">
        <f t="shared" si="1"/>
        <v>0</v>
      </c>
      <c r="I61" s="68"/>
    </row>
    <row r="62" spans="1:9" ht="15.95" customHeight="1">
      <c r="A62" s="512"/>
      <c r="B62" s="139" t="s">
        <v>113</v>
      </c>
      <c r="C62" s="142"/>
      <c r="D62" s="77"/>
      <c r="E62" s="108" t="s">
        <v>50</v>
      </c>
      <c r="F62" s="343"/>
      <c r="G62" s="67"/>
      <c r="H62" s="100">
        <f t="shared" si="1"/>
        <v>0</v>
      </c>
      <c r="I62" s="68"/>
    </row>
    <row r="63" spans="1:9" ht="15.95" customHeight="1">
      <c r="A63" s="512"/>
      <c r="B63" s="139" t="s">
        <v>114</v>
      </c>
      <c r="C63" s="142"/>
      <c r="D63" s="77"/>
      <c r="E63" s="108" t="s">
        <v>50</v>
      </c>
      <c r="F63" s="343"/>
      <c r="G63" s="67"/>
      <c r="H63" s="100">
        <f t="shared" si="1"/>
        <v>0</v>
      </c>
      <c r="I63" s="68"/>
    </row>
    <row r="64" spans="1:9" ht="15.95" customHeight="1">
      <c r="A64" s="512"/>
      <c r="B64" s="140" t="s">
        <v>115</v>
      </c>
      <c r="C64" s="143"/>
      <c r="D64" s="78"/>
      <c r="E64" s="109" t="s">
        <v>50</v>
      </c>
      <c r="F64" s="341"/>
      <c r="G64" s="115"/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'단위공사별(집계)'!I11+'단위공사별(집계)'!L11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rgb="FF00B050"/>
    <pageSetUpPr fitToPage="1"/>
  </sheetPr>
  <dimension ref="A1:I70"/>
  <sheetViews>
    <sheetView zoomScale="85" workbookViewId="0">
      <pane xSplit="2" ySplit="2" topLeftCell="C24" activePane="bottomRight" state="frozen"/>
      <selection activeCell="B69" sqref="B69"/>
      <selection pane="topRight" activeCell="B69" sqref="B69"/>
      <selection pane="bottomLeft" activeCell="B69" sqref="B69"/>
      <selection pane="bottomRight" activeCell="C3" sqref="C3:G38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0" t="s">
        <v>82</v>
      </c>
      <c r="B3" s="99" t="s">
        <v>37</v>
      </c>
      <c r="C3" s="112"/>
      <c r="D3" s="112"/>
      <c r="E3" s="346"/>
      <c r="F3" s="347"/>
      <c r="G3" s="113"/>
      <c r="H3" s="104">
        <f>IF(F3=0,G3,G3*F3)</f>
        <v>0</v>
      </c>
      <c r="I3" s="73"/>
    </row>
    <row r="4" spans="1:9" ht="15.95" customHeight="1">
      <c r="A4" s="512"/>
      <c r="B4" s="99"/>
      <c r="C4" s="66"/>
      <c r="D4" s="66"/>
      <c r="E4" s="326"/>
      <c r="F4" s="343"/>
      <c r="G4" s="67"/>
      <c r="H4" s="100">
        <f>IF(F4=0,G4,G4*F4)</f>
        <v>0</v>
      </c>
      <c r="I4" s="68"/>
    </row>
    <row r="5" spans="1:9" ht="15.95" customHeight="1">
      <c r="A5" s="512"/>
      <c r="B5" s="99"/>
      <c r="C5" s="66"/>
      <c r="D5" s="66"/>
      <c r="E5" s="326"/>
      <c r="F5" s="343"/>
      <c r="G5" s="67"/>
      <c r="H5" s="100">
        <f t="shared" ref="H5:H54" si="0">IF(F5=0,G5,G5*F5)</f>
        <v>0</v>
      </c>
      <c r="I5" s="68"/>
    </row>
    <row r="6" spans="1:9" ht="15.95" customHeight="1">
      <c r="A6" s="512"/>
      <c r="B6" s="99"/>
      <c r="C6" s="66"/>
      <c r="D6" s="66"/>
      <c r="E6" s="326"/>
      <c r="F6" s="343"/>
      <c r="G6" s="67"/>
      <c r="H6" s="100">
        <f t="shared" si="0"/>
        <v>0</v>
      </c>
      <c r="I6" s="68"/>
    </row>
    <row r="7" spans="1:9" ht="15.95" customHeight="1">
      <c r="A7" s="512"/>
      <c r="B7" s="99"/>
      <c r="C7" s="66"/>
      <c r="D7" s="66"/>
      <c r="E7" s="326"/>
      <c r="F7" s="343"/>
      <c r="G7" s="67"/>
      <c r="H7" s="100">
        <f t="shared" si="0"/>
        <v>0</v>
      </c>
      <c r="I7" s="68"/>
    </row>
    <row r="8" spans="1:9" ht="15.95" customHeight="1">
      <c r="A8" s="512"/>
      <c r="B8" s="99"/>
      <c r="C8" s="66"/>
      <c r="D8" s="66"/>
      <c r="E8" s="326"/>
      <c r="F8" s="343"/>
      <c r="G8" s="67"/>
      <c r="H8" s="100">
        <f t="shared" si="0"/>
        <v>0</v>
      </c>
      <c r="I8" s="68"/>
    </row>
    <row r="9" spans="1:9" ht="15.95" customHeight="1">
      <c r="A9" s="512"/>
      <c r="B9" s="99"/>
      <c r="C9" s="66"/>
      <c r="D9" s="66"/>
      <c r="E9" s="326"/>
      <c r="F9" s="343"/>
      <c r="G9" s="67"/>
      <c r="H9" s="100">
        <f t="shared" si="0"/>
        <v>0</v>
      </c>
      <c r="I9" s="68"/>
    </row>
    <row r="10" spans="1:9" ht="15.95" customHeight="1">
      <c r="A10" s="512"/>
      <c r="B10" s="99"/>
      <c r="C10" s="66"/>
      <c r="D10" s="66"/>
      <c r="E10" s="326"/>
      <c r="F10" s="343"/>
      <c r="G10" s="67"/>
      <c r="H10" s="100">
        <f t="shared" si="0"/>
        <v>0</v>
      </c>
      <c r="I10" s="68"/>
    </row>
    <row r="11" spans="1:9" ht="15.95" customHeight="1">
      <c r="A11" s="512"/>
      <c r="B11" s="99"/>
      <c r="C11" s="66"/>
      <c r="D11" s="66"/>
      <c r="E11" s="326"/>
      <c r="F11" s="343"/>
      <c r="G11" s="67"/>
      <c r="H11" s="100">
        <f t="shared" si="0"/>
        <v>0</v>
      </c>
      <c r="I11" s="68"/>
    </row>
    <row r="12" spans="1:9" ht="15.95" customHeight="1">
      <c r="A12" s="512"/>
      <c r="B12" s="99"/>
      <c r="C12" s="66"/>
      <c r="D12" s="66"/>
      <c r="E12" s="326"/>
      <c r="F12" s="343"/>
      <c r="G12" s="67"/>
      <c r="H12" s="100">
        <f t="shared" si="0"/>
        <v>0</v>
      </c>
      <c r="I12" s="68"/>
    </row>
    <row r="13" spans="1:9" ht="15.95" customHeight="1">
      <c r="A13" s="512"/>
      <c r="B13" s="99"/>
      <c r="C13" s="66"/>
      <c r="D13" s="66"/>
      <c r="E13" s="326"/>
      <c r="F13" s="343"/>
      <c r="G13" s="67"/>
      <c r="H13" s="100">
        <f t="shared" si="0"/>
        <v>0</v>
      </c>
      <c r="I13" s="68"/>
    </row>
    <row r="14" spans="1:9" ht="15.95" customHeight="1">
      <c r="A14" s="512"/>
      <c r="B14" s="99"/>
      <c r="C14" s="66"/>
      <c r="D14" s="66"/>
      <c r="E14" s="326"/>
      <c r="F14" s="343"/>
      <c r="G14" s="67"/>
      <c r="H14" s="100">
        <f t="shared" si="0"/>
        <v>0</v>
      </c>
      <c r="I14" s="68"/>
    </row>
    <row r="15" spans="1:9" ht="15.95" customHeight="1">
      <c r="A15" s="512"/>
      <c r="B15" s="99"/>
      <c r="C15" s="66"/>
      <c r="D15" s="66"/>
      <c r="E15" s="326"/>
      <c r="F15" s="343"/>
      <c r="G15" s="67"/>
      <c r="H15" s="100">
        <f t="shared" si="0"/>
        <v>0</v>
      </c>
      <c r="I15" s="68"/>
    </row>
    <row r="16" spans="1:9" ht="15.95" customHeight="1">
      <c r="A16" s="512"/>
      <c r="B16" s="99"/>
      <c r="C16" s="66"/>
      <c r="D16" s="66"/>
      <c r="E16" s="326"/>
      <c r="F16" s="343"/>
      <c r="G16" s="67"/>
      <c r="H16" s="100">
        <f t="shared" si="0"/>
        <v>0</v>
      </c>
      <c r="I16" s="68"/>
    </row>
    <row r="17" spans="1:9" ht="15.95" customHeight="1">
      <c r="A17" s="512"/>
      <c r="B17" s="99"/>
      <c r="C17" s="66"/>
      <c r="D17" s="66"/>
      <c r="E17" s="326"/>
      <c r="F17" s="343"/>
      <c r="G17" s="67"/>
      <c r="H17" s="100">
        <f t="shared" si="0"/>
        <v>0</v>
      </c>
      <c r="I17" s="68"/>
    </row>
    <row r="18" spans="1:9" ht="15.95" customHeight="1">
      <c r="A18" s="512"/>
      <c r="B18" s="99"/>
      <c r="C18" s="66"/>
      <c r="D18" s="66"/>
      <c r="E18" s="326"/>
      <c r="F18" s="343"/>
      <c r="G18" s="67"/>
      <c r="H18" s="100">
        <f t="shared" si="0"/>
        <v>0</v>
      </c>
      <c r="I18" s="68"/>
    </row>
    <row r="19" spans="1:9" ht="15.95" customHeight="1">
      <c r="A19" s="512"/>
      <c r="B19" s="99"/>
      <c r="C19" s="66"/>
      <c r="D19" s="66"/>
      <c r="E19" s="326"/>
      <c r="F19" s="343"/>
      <c r="G19" s="67"/>
      <c r="H19" s="100">
        <f t="shared" si="0"/>
        <v>0</v>
      </c>
      <c r="I19" s="68"/>
    </row>
    <row r="20" spans="1:9" ht="15.95" customHeight="1">
      <c r="A20" s="512"/>
      <c r="B20" s="99"/>
      <c r="C20" s="66"/>
      <c r="D20" s="66"/>
      <c r="E20" s="326"/>
      <c r="F20" s="343"/>
      <c r="G20" s="67"/>
      <c r="H20" s="100">
        <f t="shared" si="0"/>
        <v>0</v>
      </c>
      <c r="I20" s="68"/>
    </row>
    <row r="21" spans="1:9" ht="15.95" customHeight="1">
      <c r="A21" s="512"/>
      <c r="B21" s="99"/>
      <c r="C21" s="66"/>
      <c r="D21" s="66"/>
      <c r="E21" s="326"/>
      <c r="F21" s="343"/>
      <c r="G21" s="67"/>
      <c r="H21" s="100">
        <f t="shared" si="0"/>
        <v>0</v>
      </c>
      <c r="I21" s="68"/>
    </row>
    <row r="22" spans="1:9" ht="15.95" customHeight="1">
      <c r="A22" s="512"/>
      <c r="B22" s="99"/>
      <c r="C22" s="66"/>
      <c r="D22" s="66"/>
      <c r="E22" s="326"/>
      <c r="F22" s="343"/>
      <c r="G22" s="67"/>
      <c r="H22" s="100">
        <f t="shared" si="0"/>
        <v>0</v>
      </c>
      <c r="I22" s="68"/>
    </row>
    <row r="23" spans="1:9" ht="15.95" customHeight="1">
      <c r="A23" s="512"/>
      <c r="B23" s="99"/>
      <c r="C23" s="114"/>
      <c r="D23" s="276"/>
      <c r="E23" s="333"/>
      <c r="F23" s="334"/>
      <c r="G23" s="277"/>
      <c r="H23" s="278">
        <f t="shared" si="0"/>
        <v>0</v>
      </c>
      <c r="I23" s="279"/>
    </row>
    <row r="24" spans="1:9" ht="15.95" customHeight="1">
      <c r="A24" s="512"/>
      <c r="B24" s="70"/>
      <c r="C24" s="282"/>
      <c r="D24" s="282"/>
      <c r="E24" s="348"/>
      <c r="F24" s="349"/>
      <c r="G24" s="283"/>
      <c r="H24" s="284">
        <f>SUM(H3:H23)</f>
        <v>0</v>
      </c>
      <c r="I24" s="282"/>
    </row>
    <row r="25" spans="1:9" ht="15.95" customHeight="1">
      <c r="A25" s="512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2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2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2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2"/>
      <c r="B29" s="99"/>
      <c r="C29" s="114"/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2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2"/>
      <c r="B31" s="103" t="s">
        <v>38</v>
      </c>
      <c r="C31" s="112"/>
      <c r="D31" s="112"/>
      <c r="E31" s="346"/>
      <c r="F31" s="347"/>
      <c r="G31" s="113"/>
      <c r="H31" s="104">
        <f t="shared" si="0"/>
        <v>0</v>
      </c>
      <c r="I31" s="73"/>
    </row>
    <row r="32" spans="1:9" ht="15.95" customHeight="1">
      <c r="A32" s="512"/>
      <c r="B32" s="99" t="s">
        <v>45</v>
      </c>
      <c r="C32" s="66"/>
      <c r="D32" s="66"/>
      <c r="E32" s="326"/>
      <c r="F32" s="343"/>
      <c r="G32" s="67"/>
      <c r="H32" s="100">
        <f t="shared" si="0"/>
        <v>0</v>
      </c>
      <c r="I32" s="68"/>
    </row>
    <row r="33" spans="1:9" ht="15.95" customHeight="1">
      <c r="A33" s="512"/>
      <c r="B33" s="99"/>
      <c r="C33" s="66"/>
      <c r="D33" s="66"/>
      <c r="E33" s="326"/>
      <c r="F33" s="343"/>
      <c r="G33" s="67"/>
      <c r="H33" s="100">
        <f t="shared" si="0"/>
        <v>0</v>
      </c>
      <c r="I33" s="68"/>
    </row>
    <row r="34" spans="1:9" ht="15.95" customHeight="1">
      <c r="A34" s="512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2"/>
      <c r="B35" s="99"/>
      <c r="C35" s="66"/>
      <c r="D35" s="66"/>
      <c r="E35" s="66"/>
      <c r="F35" s="67"/>
      <c r="G35" s="67"/>
      <c r="H35" s="100">
        <f t="shared" si="0"/>
        <v>0</v>
      </c>
      <c r="I35" s="68"/>
    </row>
    <row r="36" spans="1:9" ht="15.95" customHeight="1">
      <c r="A36" s="512"/>
      <c r="B36" s="99"/>
      <c r="C36" s="66"/>
      <c r="D36" s="66"/>
      <c r="E36" s="66"/>
      <c r="F36" s="67"/>
      <c r="G36" s="67"/>
      <c r="H36" s="100">
        <f t="shared" si="0"/>
        <v>0</v>
      </c>
      <c r="I36" s="68"/>
    </row>
    <row r="37" spans="1:9" ht="15.95" customHeight="1">
      <c r="A37" s="512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2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2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2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2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2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2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2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2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2"/>
      <c r="B46" s="99"/>
      <c r="C46" s="114"/>
      <c r="D46" s="114"/>
      <c r="E46" s="114"/>
      <c r="F46" s="115"/>
      <c r="G46" s="115"/>
      <c r="H46" s="105">
        <f t="shared" si="0"/>
        <v>0</v>
      </c>
      <c r="I46" s="69"/>
    </row>
    <row r="47" spans="1:9" ht="15.95" customHeight="1">
      <c r="A47" s="512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2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3"/>
    </row>
    <row r="49" spans="1:9" ht="15.95" customHeight="1">
      <c r="A49" s="512"/>
      <c r="B49" s="99"/>
      <c r="C49" s="66"/>
      <c r="D49" s="66"/>
      <c r="E49" s="66"/>
      <c r="F49" s="67"/>
      <c r="G49" s="67"/>
      <c r="H49" s="100">
        <f t="shared" si="0"/>
        <v>0</v>
      </c>
      <c r="I49" s="68"/>
    </row>
    <row r="50" spans="1:9" ht="15.95" customHeight="1">
      <c r="A50" s="512"/>
      <c r="B50" s="99"/>
      <c r="C50" s="66"/>
      <c r="D50" s="66"/>
      <c r="E50" s="66"/>
      <c r="F50" s="67"/>
      <c r="G50" s="67"/>
      <c r="H50" s="100">
        <f t="shared" si="0"/>
        <v>0</v>
      </c>
      <c r="I50" s="68"/>
    </row>
    <row r="51" spans="1:9" ht="15.95" customHeight="1">
      <c r="A51" s="512"/>
      <c r="B51" s="99"/>
      <c r="C51" s="66"/>
      <c r="D51" s="66"/>
      <c r="E51" s="66"/>
      <c r="F51" s="67"/>
      <c r="G51" s="67"/>
      <c r="H51" s="100">
        <f t="shared" si="0"/>
        <v>0</v>
      </c>
      <c r="I51" s="68"/>
    </row>
    <row r="52" spans="1:9" ht="15.95" customHeight="1">
      <c r="A52" s="512"/>
      <c r="B52" s="99"/>
      <c r="C52" s="66"/>
      <c r="D52" s="66"/>
      <c r="E52" s="66"/>
      <c r="F52" s="67"/>
      <c r="G52" s="67"/>
      <c r="H52" s="100">
        <f t="shared" si="0"/>
        <v>0</v>
      </c>
      <c r="I52" s="68"/>
    </row>
    <row r="53" spans="1:9" ht="15.95" customHeight="1">
      <c r="A53" s="512"/>
      <c r="B53" s="99"/>
      <c r="C53" s="66"/>
      <c r="D53" s="66"/>
      <c r="E53" s="66"/>
      <c r="F53" s="67"/>
      <c r="G53" s="67"/>
      <c r="H53" s="100">
        <f t="shared" si="0"/>
        <v>0</v>
      </c>
      <c r="I53" s="68"/>
    </row>
    <row r="54" spans="1:9" ht="15.95" customHeight="1">
      <c r="A54" s="512"/>
      <c r="B54" s="99"/>
      <c r="C54" s="114"/>
      <c r="D54" s="114"/>
      <c r="E54" s="114"/>
      <c r="F54" s="115"/>
      <c r="G54" s="115"/>
      <c r="H54" s="105">
        <f t="shared" si="0"/>
        <v>0</v>
      </c>
      <c r="I54" s="69"/>
    </row>
    <row r="55" spans="1:9" ht="15.95" customHeight="1">
      <c r="A55" s="512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3" t="s">
        <v>72</v>
      </c>
      <c r="B57" s="137" t="s">
        <v>70</v>
      </c>
      <c r="C57" s="71"/>
      <c r="D57" s="75"/>
      <c r="E57" s="106" t="s">
        <v>51</v>
      </c>
      <c r="F57" s="116"/>
      <c r="G57" s="116"/>
      <c r="H57" s="49">
        <f>F57*G57</f>
        <v>0</v>
      </c>
      <c r="I57" s="72"/>
    </row>
    <row r="58" spans="1:9" ht="15.95" customHeight="1">
      <c r="A58" s="512"/>
      <c r="B58" s="138" t="s">
        <v>109</v>
      </c>
      <c r="C58" s="141"/>
      <c r="D58" s="76"/>
      <c r="E58" s="107" t="s">
        <v>50</v>
      </c>
      <c r="F58" s="113"/>
      <c r="G58" s="113"/>
      <c r="H58" s="104">
        <f t="shared" ref="H58:H64" si="1">F58*G58</f>
        <v>0</v>
      </c>
      <c r="I58" s="73"/>
    </row>
    <row r="59" spans="1:9" ht="15.95" customHeight="1">
      <c r="A59" s="512"/>
      <c r="B59" s="170" t="s">
        <v>110</v>
      </c>
      <c r="C59" s="142"/>
      <c r="D59" s="77"/>
      <c r="E59" s="108" t="s">
        <v>50</v>
      </c>
      <c r="F59" s="67"/>
      <c r="G59" s="67"/>
      <c r="H59" s="100">
        <f t="shared" si="1"/>
        <v>0</v>
      </c>
      <c r="I59" s="68"/>
    </row>
    <row r="60" spans="1:9" ht="15.95" customHeight="1">
      <c r="A60" s="512"/>
      <c r="B60" s="139" t="s">
        <v>111</v>
      </c>
      <c r="C60" s="142"/>
      <c r="D60" s="77"/>
      <c r="E60" s="108" t="s">
        <v>50</v>
      </c>
      <c r="F60" s="67"/>
      <c r="G60" s="67"/>
      <c r="H60" s="100">
        <f t="shared" si="1"/>
        <v>0</v>
      </c>
      <c r="I60" s="68"/>
    </row>
    <row r="61" spans="1:9" ht="15.95" customHeight="1">
      <c r="A61" s="512"/>
      <c r="B61" s="139" t="s">
        <v>112</v>
      </c>
      <c r="C61" s="142"/>
      <c r="D61" s="77"/>
      <c r="E61" s="108" t="s">
        <v>50</v>
      </c>
      <c r="F61" s="67"/>
      <c r="G61" s="67"/>
      <c r="H61" s="100">
        <f t="shared" si="1"/>
        <v>0</v>
      </c>
      <c r="I61" s="68"/>
    </row>
    <row r="62" spans="1:9" ht="15.95" customHeight="1">
      <c r="A62" s="512"/>
      <c r="B62" s="139" t="s">
        <v>113</v>
      </c>
      <c r="C62" s="142"/>
      <c r="D62" s="77"/>
      <c r="E62" s="108" t="s">
        <v>50</v>
      </c>
      <c r="F62" s="67"/>
      <c r="G62" s="67"/>
      <c r="H62" s="100">
        <f t="shared" si="1"/>
        <v>0</v>
      </c>
      <c r="I62" s="68"/>
    </row>
    <row r="63" spans="1:9" ht="15.95" customHeight="1">
      <c r="A63" s="512"/>
      <c r="B63" s="139" t="s">
        <v>114</v>
      </c>
      <c r="C63" s="142"/>
      <c r="D63" s="77"/>
      <c r="E63" s="108" t="s">
        <v>50</v>
      </c>
      <c r="F63" s="67"/>
      <c r="G63" s="67"/>
      <c r="H63" s="100">
        <f t="shared" si="1"/>
        <v>0</v>
      </c>
      <c r="I63" s="68"/>
    </row>
    <row r="64" spans="1:9" ht="15.95" customHeight="1">
      <c r="A64" s="512"/>
      <c r="B64" s="140" t="s">
        <v>115</v>
      </c>
      <c r="C64" s="143"/>
      <c r="D64" s="78"/>
      <c r="E64" s="109" t="s">
        <v>50</v>
      </c>
      <c r="F64" s="115"/>
      <c r="G64" s="115"/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'단위공사별(집계)'!L12+'단위공사별(집계)'!I12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00B050"/>
    <pageSetUpPr fitToPage="1"/>
  </sheetPr>
  <dimension ref="A1:I70"/>
  <sheetViews>
    <sheetView zoomScale="85" workbookViewId="0">
      <pane xSplit="2" ySplit="2" topLeftCell="C18" activePane="bottomRight" state="frozen"/>
      <selection activeCell="B69" sqref="B69"/>
      <selection pane="topRight" activeCell="B69" sqref="B69"/>
      <selection pane="bottomLeft" activeCell="B69" sqref="B69"/>
      <selection pane="bottomRight" activeCell="C3" sqref="C3:G36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0" t="s">
        <v>82</v>
      </c>
      <c r="B3" s="99" t="s">
        <v>37</v>
      </c>
      <c r="C3" s="112"/>
      <c r="D3" s="112"/>
      <c r="E3" s="346"/>
      <c r="F3" s="347"/>
      <c r="G3" s="113"/>
      <c r="H3" s="104">
        <f>IF(F3=0,G3,G3*F3)</f>
        <v>0</v>
      </c>
      <c r="I3" s="73"/>
    </row>
    <row r="4" spans="1:9" ht="15.95" customHeight="1">
      <c r="A4" s="512"/>
      <c r="B4" s="99"/>
      <c r="C4" s="66"/>
      <c r="D4" s="66"/>
      <c r="E4" s="326"/>
      <c r="F4" s="343"/>
      <c r="G4" s="67"/>
      <c r="H4" s="100">
        <f>IF(F4=0,G4,G4*F4)</f>
        <v>0</v>
      </c>
      <c r="I4" s="68"/>
    </row>
    <row r="5" spans="1:9" ht="15.95" customHeight="1">
      <c r="A5" s="512"/>
      <c r="B5" s="99"/>
      <c r="C5" s="66"/>
      <c r="D5" s="66"/>
      <c r="E5" s="326"/>
      <c r="F5" s="343"/>
      <c r="G5" s="67"/>
      <c r="H5" s="100">
        <f t="shared" ref="H5:H54" si="0">IF(F5=0,G5,G5*F5)</f>
        <v>0</v>
      </c>
      <c r="I5" s="68"/>
    </row>
    <row r="6" spans="1:9" ht="15.95" customHeight="1">
      <c r="A6" s="512"/>
      <c r="B6" s="99"/>
      <c r="C6" s="66"/>
      <c r="D6" s="66"/>
      <c r="E6" s="326"/>
      <c r="F6" s="343"/>
      <c r="G6" s="67"/>
      <c r="H6" s="100">
        <f t="shared" si="0"/>
        <v>0</v>
      </c>
      <c r="I6" s="68"/>
    </row>
    <row r="7" spans="1:9" ht="15.95" customHeight="1">
      <c r="A7" s="512"/>
      <c r="B7" s="99"/>
      <c r="C7" s="66"/>
      <c r="D7" s="66"/>
      <c r="E7" s="326"/>
      <c r="F7" s="343"/>
      <c r="G7" s="67"/>
      <c r="H7" s="100">
        <f t="shared" si="0"/>
        <v>0</v>
      </c>
      <c r="I7" s="68"/>
    </row>
    <row r="8" spans="1:9" ht="15.95" customHeight="1">
      <c r="A8" s="512"/>
      <c r="B8" s="99"/>
      <c r="C8" s="66"/>
      <c r="D8" s="66"/>
      <c r="E8" s="326"/>
      <c r="F8" s="343"/>
      <c r="G8" s="67"/>
      <c r="H8" s="100">
        <f t="shared" si="0"/>
        <v>0</v>
      </c>
      <c r="I8" s="68"/>
    </row>
    <row r="9" spans="1:9" ht="15.95" customHeight="1">
      <c r="A9" s="512"/>
      <c r="B9" s="99"/>
      <c r="C9" s="66"/>
      <c r="D9" s="66"/>
      <c r="E9" s="326"/>
      <c r="F9" s="343"/>
      <c r="G9" s="67"/>
      <c r="H9" s="100">
        <f t="shared" si="0"/>
        <v>0</v>
      </c>
      <c r="I9" s="68"/>
    </row>
    <row r="10" spans="1:9" ht="15.95" customHeight="1">
      <c r="A10" s="512"/>
      <c r="B10" s="99"/>
      <c r="C10" s="66"/>
      <c r="D10" s="66"/>
      <c r="E10" s="326"/>
      <c r="F10" s="343"/>
      <c r="G10" s="67"/>
      <c r="H10" s="100">
        <f t="shared" si="0"/>
        <v>0</v>
      </c>
      <c r="I10" s="68"/>
    </row>
    <row r="11" spans="1:9" ht="15.95" customHeight="1">
      <c r="A11" s="512"/>
      <c r="B11" s="99"/>
      <c r="C11" s="66"/>
      <c r="D11" s="66"/>
      <c r="E11" s="326"/>
      <c r="F11" s="343"/>
      <c r="G11" s="67"/>
      <c r="H11" s="100">
        <f t="shared" si="0"/>
        <v>0</v>
      </c>
      <c r="I11" s="68"/>
    </row>
    <row r="12" spans="1:9" ht="15.95" customHeight="1">
      <c r="A12" s="512"/>
      <c r="B12" s="99"/>
      <c r="C12" s="66"/>
      <c r="D12" s="66"/>
      <c r="E12" s="326"/>
      <c r="F12" s="343"/>
      <c r="G12" s="67"/>
      <c r="H12" s="100">
        <f t="shared" si="0"/>
        <v>0</v>
      </c>
      <c r="I12" s="68"/>
    </row>
    <row r="13" spans="1:9" ht="15.95" customHeight="1">
      <c r="A13" s="512"/>
      <c r="B13" s="99"/>
      <c r="C13" s="66"/>
      <c r="D13" s="66"/>
      <c r="E13" s="326"/>
      <c r="F13" s="343"/>
      <c r="G13" s="67"/>
      <c r="H13" s="100">
        <f t="shared" si="0"/>
        <v>0</v>
      </c>
      <c r="I13" s="68"/>
    </row>
    <row r="14" spans="1:9" ht="15.95" customHeight="1">
      <c r="A14" s="512"/>
      <c r="B14" s="99"/>
      <c r="C14" s="66"/>
      <c r="D14" s="66"/>
      <c r="E14" s="326"/>
      <c r="F14" s="343"/>
      <c r="G14" s="67"/>
      <c r="H14" s="100">
        <f t="shared" si="0"/>
        <v>0</v>
      </c>
      <c r="I14" s="68"/>
    </row>
    <row r="15" spans="1:9" ht="15.95" customHeight="1">
      <c r="A15" s="512"/>
      <c r="B15" s="99"/>
      <c r="C15" s="66"/>
      <c r="D15" s="66"/>
      <c r="E15" s="326"/>
      <c r="F15" s="343"/>
      <c r="G15" s="67"/>
      <c r="H15" s="100">
        <f t="shared" si="0"/>
        <v>0</v>
      </c>
      <c r="I15" s="68"/>
    </row>
    <row r="16" spans="1:9" ht="15.95" customHeight="1">
      <c r="A16" s="512"/>
      <c r="B16" s="99"/>
      <c r="C16" s="66"/>
      <c r="D16" s="66"/>
      <c r="E16" s="326"/>
      <c r="F16" s="343"/>
      <c r="G16" s="67"/>
      <c r="H16" s="100">
        <f t="shared" si="0"/>
        <v>0</v>
      </c>
      <c r="I16" s="68"/>
    </row>
    <row r="17" spans="1:9" ht="15.95" customHeight="1">
      <c r="A17" s="512"/>
      <c r="B17" s="99"/>
      <c r="C17" s="66"/>
      <c r="D17" s="66"/>
      <c r="E17" s="326"/>
      <c r="F17" s="343"/>
      <c r="G17" s="67"/>
      <c r="H17" s="100">
        <f t="shared" si="0"/>
        <v>0</v>
      </c>
      <c r="I17" s="68"/>
    </row>
    <row r="18" spans="1:9" ht="15.95" customHeight="1">
      <c r="A18" s="512"/>
      <c r="B18" s="99"/>
      <c r="C18" s="66"/>
      <c r="D18" s="66"/>
      <c r="E18" s="326"/>
      <c r="F18" s="343"/>
      <c r="G18" s="67"/>
      <c r="H18" s="100">
        <f t="shared" si="0"/>
        <v>0</v>
      </c>
      <c r="I18" s="68"/>
    </row>
    <row r="19" spans="1:9" ht="15.95" customHeight="1">
      <c r="A19" s="512"/>
      <c r="B19" s="99"/>
      <c r="C19" s="66"/>
      <c r="D19" s="66"/>
      <c r="E19" s="326"/>
      <c r="F19" s="343"/>
      <c r="G19" s="67"/>
      <c r="H19" s="100">
        <f t="shared" si="0"/>
        <v>0</v>
      </c>
      <c r="I19" s="68"/>
    </row>
    <row r="20" spans="1:9" ht="15.95" customHeight="1">
      <c r="A20" s="512"/>
      <c r="B20" s="99"/>
      <c r="C20" s="66"/>
      <c r="D20" s="66"/>
      <c r="E20" s="326"/>
      <c r="F20" s="343"/>
      <c r="G20" s="67"/>
      <c r="H20" s="100">
        <f t="shared" si="0"/>
        <v>0</v>
      </c>
      <c r="I20" s="68"/>
    </row>
    <row r="21" spans="1:9" ht="15.95" customHeight="1">
      <c r="A21" s="512"/>
      <c r="B21" s="99"/>
      <c r="C21" s="66"/>
      <c r="D21" s="66"/>
      <c r="E21" s="326"/>
      <c r="F21" s="343"/>
      <c r="G21" s="67"/>
      <c r="H21" s="100">
        <f t="shared" si="0"/>
        <v>0</v>
      </c>
      <c r="I21" s="68"/>
    </row>
    <row r="22" spans="1:9" ht="15.95" customHeight="1">
      <c r="A22" s="512"/>
      <c r="B22" s="99"/>
      <c r="C22" s="66"/>
      <c r="D22" s="66"/>
      <c r="E22" s="326"/>
      <c r="F22" s="343"/>
      <c r="G22" s="67"/>
      <c r="H22" s="100">
        <f t="shared" si="0"/>
        <v>0</v>
      </c>
      <c r="I22" s="68"/>
    </row>
    <row r="23" spans="1:9" ht="15.95" customHeight="1">
      <c r="A23" s="512"/>
      <c r="B23" s="99"/>
      <c r="C23" s="114"/>
      <c r="D23" s="276"/>
      <c r="E23" s="333"/>
      <c r="F23" s="334"/>
      <c r="G23" s="277"/>
      <c r="H23" s="278">
        <f t="shared" si="0"/>
        <v>0</v>
      </c>
      <c r="I23" s="279"/>
    </row>
    <row r="24" spans="1:9" ht="15.95" customHeight="1">
      <c r="A24" s="512"/>
      <c r="B24" s="70"/>
      <c r="C24" s="282"/>
      <c r="D24" s="282"/>
      <c r="E24" s="282"/>
      <c r="F24" s="283"/>
      <c r="G24" s="283"/>
      <c r="H24" s="284">
        <f>SUM(H3:H23)</f>
        <v>0</v>
      </c>
      <c r="I24" s="282"/>
    </row>
    <row r="25" spans="1:9" ht="15.95" customHeight="1">
      <c r="A25" s="512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2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2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2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2"/>
      <c r="B29" s="99"/>
      <c r="C29" s="114"/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2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2"/>
      <c r="B31" s="103" t="s">
        <v>38</v>
      </c>
      <c r="C31" s="112"/>
      <c r="D31" s="112"/>
      <c r="E31" s="346"/>
      <c r="F31" s="347"/>
      <c r="G31" s="113"/>
      <c r="H31" s="104">
        <f t="shared" si="0"/>
        <v>0</v>
      </c>
      <c r="I31" s="73"/>
    </row>
    <row r="32" spans="1:9" ht="15.95" customHeight="1">
      <c r="A32" s="512"/>
      <c r="B32" s="99" t="s">
        <v>45</v>
      </c>
      <c r="C32" s="66"/>
      <c r="D32" s="66"/>
      <c r="E32" s="326"/>
      <c r="F32" s="343"/>
      <c r="G32" s="67"/>
      <c r="H32" s="100">
        <f t="shared" si="0"/>
        <v>0</v>
      </c>
      <c r="I32" s="68"/>
    </row>
    <row r="33" spans="1:9" ht="15.95" customHeight="1">
      <c r="A33" s="512"/>
      <c r="B33" s="99"/>
      <c r="C33" s="66"/>
      <c r="D33" s="66"/>
      <c r="E33" s="326"/>
      <c r="F33" s="343"/>
      <c r="G33" s="67"/>
      <c r="H33" s="100">
        <f t="shared" si="0"/>
        <v>0</v>
      </c>
      <c r="I33" s="68"/>
    </row>
    <row r="34" spans="1:9" ht="15.95" customHeight="1">
      <c r="A34" s="512"/>
      <c r="B34" s="99"/>
      <c r="C34" s="66"/>
      <c r="D34" s="66"/>
      <c r="E34" s="326"/>
      <c r="F34" s="343"/>
      <c r="G34" s="67"/>
      <c r="H34" s="100">
        <f t="shared" si="0"/>
        <v>0</v>
      </c>
      <c r="I34" s="68"/>
    </row>
    <row r="35" spans="1:9" ht="15.95" customHeight="1">
      <c r="A35" s="512"/>
      <c r="B35" s="99"/>
      <c r="C35" s="66"/>
      <c r="D35" s="66"/>
      <c r="E35" s="326"/>
      <c r="F35" s="343"/>
      <c r="G35" s="67"/>
      <c r="H35" s="100">
        <f t="shared" si="0"/>
        <v>0</v>
      </c>
      <c r="I35" s="68"/>
    </row>
    <row r="36" spans="1:9" ht="15.95" customHeight="1">
      <c r="A36" s="512"/>
      <c r="B36" s="99"/>
      <c r="C36" s="66"/>
      <c r="D36" s="66"/>
      <c r="E36" s="326"/>
      <c r="F36" s="343"/>
      <c r="G36" s="67"/>
      <c r="H36" s="100">
        <f t="shared" si="0"/>
        <v>0</v>
      </c>
      <c r="I36" s="68"/>
    </row>
    <row r="37" spans="1:9" ht="15.95" customHeight="1">
      <c r="A37" s="512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2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2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2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2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2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2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2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2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2"/>
      <c r="B46" s="99"/>
      <c r="C46" s="114"/>
      <c r="D46" s="114"/>
      <c r="E46" s="340"/>
      <c r="F46" s="341"/>
      <c r="G46" s="115"/>
      <c r="H46" s="105">
        <f t="shared" si="0"/>
        <v>0</v>
      </c>
      <c r="I46" s="69"/>
    </row>
    <row r="47" spans="1:9" ht="15.95" customHeight="1">
      <c r="A47" s="512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2"/>
      <c r="B48" s="103" t="s">
        <v>39</v>
      </c>
      <c r="C48" s="112"/>
      <c r="D48" s="112"/>
      <c r="E48" s="346"/>
      <c r="F48" s="347"/>
      <c r="G48" s="113"/>
      <c r="H48" s="104">
        <f t="shared" si="0"/>
        <v>0</v>
      </c>
      <c r="I48" s="73"/>
    </row>
    <row r="49" spans="1:9" ht="15.95" customHeight="1">
      <c r="A49" s="512"/>
      <c r="B49" s="99"/>
      <c r="C49" s="66"/>
      <c r="D49" s="66"/>
      <c r="E49" s="326"/>
      <c r="F49" s="343"/>
      <c r="G49" s="67"/>
      <c r="H49" s="100">
        <f t="shared" si="0"/>
        <v>0</v>
      </c>
      <c r="I49" s="68"/>
    </row>
    <row r="50" spans="1:9" ht="15.95" customHeight="1">
      <c r="A50" s="512"/>
      <c r="B50" s="99"/>
      <c r="C50" s="66"/>
      <c r="D50" s="66"/>
      <c r="E50" s="326"/>
      <c r="F50" s="343"/>
      <c r="G50" s="67"/>
      <c r="H50" s="100">
        <f t="shared" si="0"/>
        <v>0</v>
      </c>
      <c r="I50" s="68"/>
    </row>
    <row r="51" spans="1:9" ht="15.95" customHeight="1">
      <c r="A51" s="512"/>
      <c r="B51" s="99"/>
      <c r="C51" s="66"/>
      <c r="D51" s="66"/>
      <c r="E51" s="326"/>
      <c r="F51" s="343"/>
      <c r="G51" s="67"/>
      <c r="H51" s="100">
        <f t="shared" si="0"/>
        <v>0</v>
      </c>
      <c r="I51" s="68"/>
    </row>
    <row r="52" spans="1:9" ht="15.95" customHeight="1">
      <c r="A52" s="512"/>
      <c r="B52" s="99"/>
      <c r="C52" s="66"/>
      <c r="D52" s="66"/>
      <c r="E52" s="326"/>
      <c r="F52" s="343"/>
      <c r="G52" s="67"/>
      <c r="H52" s="100">
        <f t="shared" si="0"/>
        <v>0</v>
      </c>
      <c r="I52" s="68"/>
    </row>
    <row r="53" spans="1:9" ht="15.95" customHeight="1">
      <c r="A53" s="512"/>
      <c r="B53" s="99"/>
      <c r="C53" s="66"/>
      <c r="D53" s="66"/>
      <c r="E53" s="326"/>
      <c r="F53" s="343"/>
      <c r="G53" s="67"/>
      <c r="H53" s="100">
        <f t="shared" si="0"/>
        <v>0</v>
      </c>
      <c r="I53" s="68"/>
    </row>
    <row r="54" spans="1:9" ht="15.95" customHeight="1">
      <c r="A54" s="512"/>
      <c r="B54" s="99"/>
      <c r="C54" s="114"/>
      <c r="D54" s="114"/>
      <c r="E54" s="340"/>
      <c r="F54" s="341"/>
      <c r="G54" s="115"/>
      <c r="H54" s="105">
        <f t="shared" si="0"/>
        <v>0</v>
      </c>
      <c r="I54" s="69"/>
    </row>
    <row r="55" spans="1:9" ht="15.95" customHeight="1">
      <c r="A55" s="512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3" t="s">
        <v>72</v>
      </c>
      <c r="B57" s="137" t="s">
        <v>70</v>
      </c>
      <c r="C57" s="71"/>
      <c r="D57" s="75"/>
      <c r="E57" s="106" t="s">
        <v>51</v>
      </c>
      <c r="F57" s="116"/>
      <c r="G57" s="116"/>
      <c r="H57" s="49">
        <f>F57*G57</f>
        <v>0</v>
      </c>
      <c r="I57" s="72"/>
    </row>
    <row r="58" spans="1:9" ht="15.95" customHeight="1">
      <c r="A58" s="512"/>
      <c r="B58" s="138" t="s">
        <v>109</v>
      </c>
      <c r="C58" s="141"/>
      <c r="D58" s="76"/>
      <c r="E58" s="107" t="s">
        <v>50</v>
      </c>
      <c r="F58" s="113"/>
      <c r="G58" s="113"/>
      <c r="H58" s="104">
        <f t="shared" ref="H58:H64" si="1">F58*G58</f>
        <v>0</v>
      </c>
      <c r="I58" s="73"/>
    </row>
    <row r="59" spans="1:9" ht="15.95" customHeight="1">
      <c r="A59" s="512"/>
      <c r="B59" s="170" t="s">
        <v>110</v>
      </c>
      <c r="C59" s="142"/>
      <c r="D59" s="77"/>
      <c r="E59" s="108" t="s">
        <v>50</v>
      </c>
      <c r="F59" s="67"/>
      <c r="G59" s="67"/>
      <c r="H59" s="100">
        <f t="shared" si="1"/>
        <v>0</v>
      </c>
      <c r="I59" s="68"/>
    </row>
    <row r="60" spans="1:9" ht="15.95" customHeight="1">
      <c r="A60" s="512"/>
      <c r="B60" s="139" t="s">
        <v>111</v>
      </c>
      <c r="C60" s="142"/>
      <c r="D60" s="77"/>
      <c r="E60" s="108" t="s">
        <v>50</v>
      </c>
      <c r="F60" s="67"/>
      <c r="G60" s="67"/>
      <c r="H60" s="100">
        <f t="shared" si="1"/>
        <v>0</v>
      </c>
      <c r="I60" s="68"/>
    </row>
    <row r="61" spans="1:9" ht="15.95" customHeight="1">
      <c r="A61" s="512"/>
      <c r="B61" s="139" t="s">
        <v>112</v>
      </c>
      <c r="C61" s="142"/>
      <c r="D61" s="77"/>
      <c r="E61" s="108" t="s">
        <v>50</v>
      </c>
      <c r="F61" s="67"/>
      <c r="G61" s="67"/>
      <c r="H61" s="100">
        <f t="shared" si="1"/>
        <v>0</v>
      </c>
      <c r="I61" s="68"/>
    </row>
    <row r="62" spans="1:9" ht="15.95" customHeight="1">
      <c r="A62" s="512"/>
      <c r="B62" s="139" t="s">
        <v>113</v>
      </c>
      <c r="C62" s="142"/>
      <c r="D62" s="77"/>
      <c r="E62" s="108" t="s">
        <v>50</v>
      </c>
      <c r="F62" s="67"/>
      <c r="G62" s="67"/>
      <c r="H62" s="100">
        <f t="shared" si="1"/>
        <v>0</v>
      </c>
      <c r="I62" s="68"/>
    </row>
    <row r="63" spans="1:9" ht="15.95" customHeight="1">
      <c r="A63" s="512"/>
      <c r="B63" s="139" t="s">
        <v>114</v>
      </c>
      <c r="C63" s="142"/>
      <c r="D63" s="77"/>
      <c r="E63" s="108" t="s">
        <v>50</v>
      </c>
      <c r="F63" s="67"/>
      <c r="G63" s="67"/>
      <c r="H63" s="100">
        <f t="shared" si="1"/>
        <v>0</v>
      </c>
      <c r="I63" s="68"/>
    </row>
    <row r="64" spans="1:9" ht="15.95" customHeight="1">
      <c r="A64" s="512"/>
      <c r="B64" s="140" t="s">
        <v>115</v>
      </c>
      <c r="C64" s="143"/>
      <c r="D64" s="78"/>
      <c r="E64" s="109" t="s">
        <v>50</v>
      </c>
      <c r="F64" s="115"/>
      <c r="G64" s="115"/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'단위공사별(집계)'!L13+'단위공사별(집계)'!I13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B050"/>
    <pageSetUpPr fitToPage="1"/>
  </sheetPr>
  <dimension ref="A1:I70"/>
  <sheetViews>
    <sheetView zoomScale="85" workbookViewId="0">
      <pane xSplit="2" ySplit="2" topLeftCell="C45" activePane="bottomRight" state="frozen"/>
      <selection activeCell="B69" sqref="B69"/>
      <selection pane="topRight" activeCell="B69" sqref="B69"/>
      <selection pane="bottomLeft" activeCell="B69" sqref="B69"/>
      <selection pane="bottomRight" activeCell="G57" sqref="G57:G64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0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3"/>
    </row>
    <row r="4" spans="1:9" ht="15.95" customHeight="1">
      <c r="A4" s="512"/>
      <c r="B4" s="99"/>
      <c r="C4" s="66"/>
      <c r="D4" s="66"/>
      <c r="E4" s="66"/>
      <c r="F4" s="67"/>
      <c r="G4" s="67"/>
      <c r="H4" s="100">
        <f>IF(F4=0,G4,G4*F4)</f>
        <v>0</v>
      </c>
      <c r="I4" s="68"/>
    </row>
    <row r="5" spans="1:9" ht="15.95" customHeight="1">
      <c r="A5" s="512"/>
      <c r="B5" s="99"/>
      <c r="C5" s="66"/>
      <c r="D5" s="66"/>
      <c r="E5" s="66"/>
      <c r="F5" s="67"/>
      <c r="G5" s="67"/>
      <c r="H5" s="100">
        <f t="shared" ref="H5:H54" si="0">IF(F5=0,G5,G5*F5)</f>
        <v>0</v>
      </c>
      <c r="I5" s="68"/>
    </row>
    <row r="6" spans="1:9" ht="15.95" customHeight="1">
      <c r="A6" s="512"/>
      <c r="B6" s="99"/>
      <c r="C6" s="66"/>
      <c r="D6" s="66"/>
      <c r="E6" s="66"/>
      <c r="F6" s="67"/>
      <c r="G6" s="67"/>
      <c r="H6" s="100">
        <f t="shared" si="0"/>
        <v>0</v>
      </c>
      <c r="I6" s="68"/>
    </row>
    <row r="7" spans="1:9" ht="15.95" customHeight="1">
      <c r="A7" s="512"/>
      <c r="B7" s="99"/>
      <c r="C7" s="66"/>
      <c r="D7" s="66"/>
      <c r="E7" s="66"/>
      <c r="F7" s="67"/>
      <c r="G7" s="67"/>
      <c r="H7" s="100">
        <f t="shared" si="0"/>
        <v>0</v>
      </c>
      <c r="I7" s="68"/>
    </row>
    <row r="8" spans="1:9" ht="15.95" customHeight="1">
      <c r="A8" s="512"/>
      <c r="B8" s="99"/>
      <c r="C8" s="66"/>
      <c r="D8" s="66"/>
      <c r="E8" s="66"/>
      <c r="F8" s="67"/>
      <c r="G8" s="67"/>
      <c r="H8" s="100">
        <f t="shared" si="0"/>
        <v>0</v>
      </c>
      <c r="I8" s="68"/>
    </row>
    <row r="9" spans="1:9" ht="15.95" customHeight="1">
      <c r="A9" s="512"/>
      <c r="B9" s="99"/>
      <c r="C9" s="66"/>
      <c r="D9" s="66"/>
      <c r="E9" s="66"/>
      <c r="F9" s="67"/>
      <c r="G9" s="67"/>
      <c r="H9" s="100">
        <f t="shared" si="0"/>
        <v>0</v>
      </c>
      <c r="I9" s="68"/>
    </row>
    <row r="10" spans="1:9" ht="15.95" customHeight="1">
      <c r="A10" s="512"/>
      <c r="B10" s="99"/>
      <c r="C10" s="66"/>
      <c r="D10" s="66"/>
      <c r="E10" s="66"/>
      <c r="F10" s="67"/>
      <c r="G10" s="67"/>
      <c r="H10" s="100">
        <f t="shared" si="0"/>
        <v>0</v>
      </c>
      <c r="I10" s="68"/>
    </row>
    <row r="11" spans="1:9" ht="15.95" customHeight="1">
      <c r="A11" s="512"/>
      <c r="B11" s="99"/>
      <c r="C11" s="66"/>
      <c r="D11" s="66"/>
      <c r="E11" s="66"/>
      <c r="F11" s="67"/>
      <c r="G11" s="67"/>
      <c r="H11" s="100">
        <f t="shared" si="0"/>
        <v>0</v>
      </c>
      <c r="I11" s="68"/>
    </row>
    <row r="12" spans="1:9" ht="15.95" customHeight="1">
      <c r="A12" s="512"/>
      <c r="B12" s="99"/>
      <c r="C12" s="66"/>
      <c r="D12" s="66"/>
      <c r="E12" s="66"/>
      <c r="F12" s="67"/>
      <c r="G12" s="67"/>
      <c r="H12" s="100">
        <f t="shared" si="0"/>
        <v>0</v>
      </c>
      <c r="I12" s="68"/>
    </row>
    <row r="13" spans="1:9" ht="15.95" customHeight="1">
      <c r="A13" s="512"/>
      <c r="B13" s="99"/>
      <c r="C13" s="66"/>
      <c r="D13" s="66"/>
      <c r="E13" s="66"/>
      <c r="F13" s="67"/>
      <c r="G13" s="67"/>
      <c r="H13" s="100">
        <f t="shared" si="0"/>
        <v>0</v>
      </c>
      <c r="I13" s="68"/>
    </row>
    <row r="14" spans="1:9" ht="15.95" customHeight="1">
      <c r="A14" s="512"/>
      <c r="B14" s="99"/>
      <c r="C14" s="66"/>
      <c r="D14" s="66"/>
      <c r="E14" s="66"/>
      <c r="F14" s="67"/>
      <c r="G14" s="67"/>
      <c r="H14" s="100">
        <f t="shared" si="0"/>
        <v>0</v>
      </c>
      <c r="I14" s="68"/>
    </row>
    <row r="15" spans="1:9" ht="15.95" customHeight="1">
      <c r="A15" s="512"/>
      <c r="B15" s="99"/>
      <c r="C15" s="66"/>
      <c r="D15" s="66"/>
      <c r="E15" s="66"/>
      <c r="F15" s="67"/>
      <c r="G15" s="67"/>
      <c r="H15" s="100">
        <f t="shared" si="0"/>
        <v>0</v>
      </c>
      <c r="I15" s="68"/>
    </row>
    <row r="16" spans="1:9" ht="15.95" customHeight="1">
      <c r="A16" s="512"/>
      <c r="B16" s="99"/>
      <c r="C16" s="66"/>
      <c r="D16" s="66"/>
      <c r="E16" s="66"/>
      <c r="F16" s="67"/>
      <c r="G16" s="67"/>
      <c r="H16" s="100">
        <f t="shared" si="0"/>
        <v>0</v>
      </c>
      <c r="I16" s="68"/>
    </row>
    <row r="17" spans="1:9" ht="15.95" customHeight="1">
      <c r="A17" s="512"/>
      <c r="B17" s="99"/>
      <c r="C17" s="66"/>
      <c r="D17" s="66"/>
      <c r="E17" s="66"/>
      <c r="F17" s="67"/>
      <c r="G17" s="67"/>
      <c r="H17" s="100">
        <f t="shared" si="0"/>
        <v>0</v>
      </c>
      <c r="I17" s="68"/>
    </row>
    <row r="18" spans="1:9" ht="15.95" customHeight="1">
      <c r="A18" s="512"/>
      <c r="B18" s="99"/>
      <c r="C18" s="66"/>
      <c r="D18" s="66"/>
      <c r="E18" s="66"/>
      <c r="F18" s="67"/>
      <c r="G18" s="67"/>
      <c r="H18" s="100">
        <f t="shared" si="0"/>
        <v>0</v>
      </c>
      <c r="I18" s="68"/>
    </row>
    <row r="19" spans="1:9" ht="15.95" customHeight="1">
      <c r="A19" s="512"/>
      <c r="B19" s="99"/>
      <c r="C19" s="66"/>
      <c r="D19" s="66"/>
      <c r="E19" s="66"/>
      <c r="F19" s="67"/>
      <c r="G19" s="67"/>
      <c r="H19" s="100">
        <f t="shared" si="0"/>
        <v>0</v>
      </c>
      <c r="I19" s="68"/>
    </row>
    <row r="20" spans="1:9" ht="15.95" customHeight="1">
      <c r="A20" s="512"/>
      <c r="B20" s="99"/>
      <c r="C20" s="66"/>
      <c r="D20" s="66"/>
      <c r="E20" s="66"/>
      <c r="F20" s="67"/>
      <c r="G20" s="67"/>
      <c r="H20" s="100">
        <f t="shared" si="0"/>
        <v>0</v>
      </c>
      <c r="I20" s="68"/>
    </row>
    <row r="21" spans="1:9" ht="15.95" customHeight="1">
      <c r="A21" s="512"/>
      <c r="B21" s="99"/>
      <c r="C21" s="66"/>
      <c r="D21" s="66"/>
      <c r="E21" s="66"/>
      <c r="F21" s="67"/>
      <c r="G21" s="67"/>
      <c r="H21" s="100">
        <f t="shared" si="0"/>
        <v>0</v>
      </c>
      <c r="I21" s="68"/>
    </row>
    <row r="22" spans="1:9" ht="15.95" customHeight="1">
      <c r="A22" s="512"/>
      <c r="B22" s="99"/>
      <c r="C22" s="66"/>
      <c r="D22" s="66"/>
      <c r="E22" s="66"/>
      <c r="F22" s="67"/>
      <c r="G22" s="67"/>
      <c r="H22" s="100">
        <f t="shared" si="0"/>
        <v>0</v>
      </c>
      <c r="I22" s="68"/>
    </row>
    <row r="23" spans="1:9" ht="15.95" customHeight="1">
      <c r="A23" s="512"/>
      <c r="B23" s="99"/>
      <c r="C23" s="114" t="s">
        <v>47</v>
      </c>
      <c r="D23" s="276"/>
      <c r="E23" s="276"/>
      <c r="F23" s="277"/>
      <c r="G23" s="277"/>
      <c r="H23" s="278">
        <f t="shared" si="0"/>
        <v>0</v>
      </c>
      <c r="I23" s="279"/>
    </row>
    <row r="24" spans="1:9" ht="15.95" customHeight="1">
      <c r="A24" s="512"/>
      <c r="B24" s="70"/>
      <c r="C24" s="282"/>
      <c r="D24" s="282"/>
      <c r="E24" s="282"/>
      <c r="F24" s="283"/>
      <c r="G24" s="283"/>
      <c r="H24" s="284">
        <f>SUM(H3:H23)</f>
        <v>0</v>
      </c>
      <c r="I24" s="282"/>
    </row>
    <row r="25" spans="1:9" ht="15.95" customHeight="1">
      <c r="A25" s="512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2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2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2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2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2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2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3"/>
    </row>
    <row r="32" spans="1:9" ht="15.95" customHeight="1">
      <c r="A32" s="512"/>
      <c r="B32" s="99" t="s">
        <v>45</v>
      </c>
      <c r="C32" s="66"/>
      <c r="D32" s="66"/>
      <c r="E32" s="66"/>
      <c r="F32" s="67"/>
      <c r="G32" s="67"/>
      <c r="H32" s="100">
        <f t="shared" si="0"/>
        <v>0</v>
      </c>
      <c r="I32" s="68"/>
    </row>
    <row r="33" spans="1:9" ht="15.95" customHeight="1">
      <c r="A33" s="512"/>
      <c r="B33" s="99"/>
      <c r="C33" s="66"/>
      <c r="D33" s="66"/>
      <c r="E33" s="66"/>
      <c r="F33" s="67"/>
      <c r="G33" s="67"/>
      <c r="H33" s="100">
        <f t="shared" si="0"/>
        <v>0</v>
      </c>
      <c r="I33" s="68"/>
    </row>
    <row r="34" spans="1:9" ht="15.95" customHeight="1">
      <c r="A34" s="512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2"/>
      <c r="B35" s="99"/>
      <c r="C35" s="66"/>
      <c r="D35" s="66"/>
      <c r="E35" s="66"/>
      <c r="F35" s="67"/>
      <c r="G35" s="67"/>
      <c r="H35" s="100">
        <f t="shared" si="0"/>
        <v>0</v>
      </c>
      <c r="I35" s="68"/>
    </row>
    <row r="36" spans="1:9" ht="15.95" customHeight="1">
      <c r="A36" s="512"/>
      <c r="B36" s="99"/>
      <c r="C36" s="66"/>
      <c r="D36" s="66"/>
      <c r="E36" s="66"/>
      <c r="F36" s="67"/>
      <c r="G36" s="67"/>
      <c r="H36" s="100">
        <f t="shared" si="0"/>
        <v>0</v>
      </c>
      <c r="I36" s="68"/>
    </row>
    <row r="37" spans="1:9" ht="15.95" customHeight="1">
      <c r="A37" s="512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2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2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2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2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2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2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2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2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2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69"/>
    </row>
    <row r="47" spans="1:9" ht="15.95" customHeight="1">
      <c r="A47" s="512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2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3"/>
    </row>
    <row r="49" spans="1:9" ht="15.95" customHeight="1">
      <c r="A49" s="512"/>
      <c r="B49" s="99"/>
      <c r="C49" s="66"/>
      <c r="D49" s="66"/>
      <c r="E49" s="66"/>
      <c r="F49" s="67"/>
      <c r="G49" s="67"/>
      <c r="H49" s="100">
        <f t="shared" si="0"/>
        <v>0</v>
      </c>
      <c r="I49" s="68"/>
    </row>
    <row r="50" spans="1:9" ht="15.95" customHeight="1">
      <c r="A50" s="512"/>
      <c r="B50" s="99"/>
      <c r="C50" s="66"/>
      <c r="D50" s="66"/>
      <c r="E50" s="66"/>
      <c r="F50" s="67"/>
      <c r="G50" s="67"/>
      <c r="H50" s="100">
        <f t="shared" si="0"/>
        <v>0</v>
      </c>
      <c r="I50" s="68"/>
    </row>
    <row r="51" spans="1:9" ht="15.95" customHeight="1">
      <c r="A51" s="512"/>
      <c r="B51" s="99"/>
      <c r="C51" s="66"/>
      <c r="D51" s="66"/>
      <c r="E51" s="66"/>
      <c r="F51" s="67"/>
      <c r="G51" s="67"/>
      <c r="H51" s="100">
        <f t="shared" si="0"/>
        <v>0</v>
      </c>
      <c r="I51" s="68"/>
    </row>
    <row r="52" spans="1:9" ht="15.95" customHeight="1">
      <c r="A52" s="512"/>
      <c r="B52" s="99"/>
      <c r="C52" s="66"/>
      <c r="D52" s="66"/>
      <c r="E52" s="66"/>
      <c r="F52" s="67"/>
      <c r="G52" s="67"/>
      <c r="H52" s="100">
        <f t="shared" si="0"/>
        <v>0</v>
      </c>
      <c r="I52" s="68"/>
    </row>
    <row r="53" spans="1:9" ht="15.95" customHeight="1">
      <c r="A53" s="512"/>
      <c r="B53" s="99"/>
      <c r="C53" s="66"/>
      <c r="D53" s="66"/>
      <c r="E53" s="66"/>
      <c r="F53" s="67"/>
      <c r="G53" s="67"/>
      <c r="H53" s="100">
        <f t="shared" si="0"/>
        <v>0</v>
      </c>
      <c r="I53" s="68"/>
    </row>
    <row r="54" spans="1:9" ht="15.95" customHeight="1">
      <c r="A54" s="512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69"/>
    </row>
    <row r="55" spans="1:9" ht="15.95" customHeight="1">
      <c r="A55" s="512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3" t="s">
        <v>72</v>
      </c>
      <c r="B57" s="137" t="s">
        <v>70</v>
      </c>
      <c r="C57" s="71"/>
      <c r="D57" s="75"/>
      <c r="E57" s="106" t="s">
        <v>51</v>
      </c>
      <c r="F57" s="116"/>
      <c r="G57" s="116">
        <v>200000</v>
      </c>
      <c r="H57" s="49">
        <f>F57*G57</f>
        <v>0</v>
      </c>
      <c r="I57" s="72"/>
    </row>
    <row r="58" spans="1:9" ht="15.95" customHeight="1">
      <c r="A58" s="512"/>
      <c r="B58" s="138" t="s">
        <v>109</v>
      </c>
      <c r="C58" s="141"/>
      <c r="D58" s="76"/>
      <c r="E58" s="107" t="s">
        <v>50</v>
      </c>
      <c r="F58" s="113"/>
      <c r="G58" s="113">
        <v>250000</v>
      </c>
      <c r="H58" s="104">
        <f t="shared" ref="H58:H64" si="1">F58*G58</f>
        <v>0</v>
      </c>
      <c r="I58" s="73"/>
    </row>
    <row r="59" spans="1:9" ht="15.95" customHeight="1">
      <c r="A59" s="512"/>
      <c r="B59" s="170" t="s">
        <v>110</v>
      </c>
      <c r="C59" s="142"/>
      <c r="D59" s="77"/>
      <c r="E59" s="108" t="s">
        <v>50</v>
      </c>
      <c r="F59" s="67"/>
      <c r="G59" s="67">
        <v>180000</v>
      </c>
      <c r="H59" s="100">
        <f t="shared" si="1"/>
        <v>0</v>
      </c>
      <c r="I59" s="68"/>
    </row>
    <row r="60" spans="1:9" ht="15.95" customHeight="1">
      <c r="A60" s="512"/>
      <c r="B60" s="139" t="s">
        <v>111</v>
      </c>
      <c r="C60" s="142"/>
      <c r="D60" s="77"/>
      <c r="E60" s="108" t="s">
        <v>50</v>
      </c>
      <c r="F60" s="67"/>
      <c r="G60" s="67">
        <v>180000</v>
      </c>
      <c r="H60" s="100">
        <f t="shared" si="1"/>
        <v>0</v>
      </c>
      <c r="I60" s="68"/>
    </row>
    <row r="61" spans="1:9" ht="15.95" customHeight="1">
      <c r="A61" s="512"/>
      <c r="B61" s="139" t="s">
        <v>112</v>
      </c>
      <c r="C61" s="142"/>
      <c r="D61" s="77"/>
      <c r="E61" s="108" t="s">
        <v>50</v>
      </c>
      <c r="F61" s="67"/>
      <c r="G61" s="67">
        <v>200000</v>
      </c>
      <c r="H61" s="100">
        <f t="shared" si="1"/>
        <v>0</v>
      </c>
      <c r="I61" s="68"/>
    </row>
    <row r="62" spans="1:9" ht="15.95" customHeight="1">
      <c r="A62" s="512"/>
      <c r="B62" s="139" t="s">
        <v>113</v>
      </c>
      <c r="C62" s="142"/>
      <c r="D62" s="77"/>
      <c r="E62" s="108" t="s">
        <v>50</v>
      </c>
      <c r="F62" s="67"/>
      <c r="G62" s="67">
        <v>200000</v>
      </c>
      <c r="H62" s="100">
        <f t="shared" si="1"/>
        <v>0</v>
      </c>
      <c r="I62" s="68"/>
    </row>
    <row r="63" spans="1:9" ht="15.95" customHeight="1">
      <c r="A63" s="512"/>
      <c r="B63" s="139" t="s">
        <v>114</v>
      </c>
      <c r="C63" s="142"/>
      <c r="D63" s="77"/>
      <c r="E63" s="108" t="s">
        <v>50</v>
      </c>
      <c r="F63" s="67"/>
      <c r="G63" s="67">
        <v>250000</v>
      </c>
      <c r="H63" s="100">
        <f t="shared" si="1"/>
        <v>0</v>
      </c>
      <c r="I63" s="68"/>
    </row>
    <row r="64" spans="1:9" ht="15.95" customHeight="1">
      <c r="A64" s="512"/>
      <c r="B64" s="140" t="s">
        <v>115</v>
      </c>
      <c r="C64" s="143"/>
      <c r="D64" s="78"/>
      <c r="E64" s="109" t="s">
        <v>50</v>
      </c>
      <c r="F64" s="115"/>
      <c r="G64" s="115">
        <v>150000</v>
      </c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'단위공사별(집계)'!L14+'단위공사별(집계)'!I14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I70"/>
  <sheetViews>
    <sheetView zoomScale="85" workbookViewId="0">
      <pane xSplit="2" ySplit="2" topLeftCell="C51" activePane="bottomRight" state="frozen"/>
      <selection activeCell="B69" sqref="B69"/>
      <selection pane="topRight" activeCell="B69" sqref="B69"/>
      <selection pane="bottomLeft" activeCell="B69" sqref="B69"/>
      <selection pane="bottomRight" activeCell="L66" sqref="L66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0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3"/>
    </row>
    <row r="4" spans="1:9" ht="15.95" customHeight="1">
      <c r="A4" s="512"/>
      <c r="B4" s="99"/>
      <c r="C4" s="66"/>
      <c r="D4" s="66"/>
      <c r="E4" s="66"/>
      <c r="F4" s="67"/>
      <c r="G4" s="67"/>
      <c r="H4" s="100">
        <f>IF(F4=0,G4,G4*F4)</f>
        <v>0</v>
      </c>
      <c r="I4" s="68"/>
    </row>
    <row r="5" spans="1:9" ht="15.95" customHeight="1">
      <c r="A5" s="512"/>
      <c r="B5" s="99"/>
      <c r="C5" s="66"/>
      <c r="D5" s="66"/>
      <c r="E5" s="66"/>
      <c r="F5" s="67"/>
      <c r="G5" s="67"/>
      <c r="H5" s="100">
        <f t="shared" ref="H5:H54" si="0">IF(F5=0,G5,G5*F5)</f>
        <v>0</v>
      </c>
      <c r="I5" s="68"/>
    </row>
    <row r="6" spans="1:9" ht="15.95" customHeight="1">
      <c r="A6" s="512"/>
      <c r="B6" s="99"/>
      <c r="C6" s="66"/>
      <c r="D6" s="66"/>
      <c r="E6" s="66"/>
      <c r="F6" s="67"/>
      <c r="G6" s="67"/>
      <c r="H6" s="100">
        <f t="shared" si="0"/>
        <v>0</v>
      </c>
      <c r="I6" s="68"/>
    </row>
    <row r="7" spans="1:9" ht="15.95" customHeight="1">
      <c r="A7" s="512"/>
      <c r="B7" s="99"/>
      <c r="C7" s="66"/>
      <c r="D7" s="66"/>
      <c r="E7" s="66"/>
      <c r="F7" s="67"/>
      <c r="G7" s="67"/>
      <c r="H7" s="100">
        <f t="shared" si="0"/>
        <v>0</v>
      </c>
      <c r="I7" s="68"/>
    </row>
    <row r="8" spans="1:9" ht="15.95" customHeight="1">
      <c r="A8" s="512"/>
      <c r="B8" s="99"/>
      <c r="C8" s="66"/>
      <c r="D8" s="66"/>
      <c r="E8" s="66"/>
      <c r="F8" s="67"/>
      <c r="G8" s="67"/>
      <c r="H8" s="100">
        <f t="shared" si="0"/>
        <v>0</v>
      </c>
      <c r="I8" s="68"/>
    </row>
    <row r="9" spans="1:9" ht="15.95" customHeight="1">
      <c r="A9" s="512"/>
      <c r="B9" s="99"/>
      <c r="C9" s="66"/>
      <c r="D9" s="66"/>
      <c r="E9" s="66"/>
      <c r="F9" s="67"/>
      <c r="G9" s="67"/>
      <c r="H9" s="100">
        <f t="shared" si="0"/>
        <v>0</v>
      </c>
      <c r="I9" s="68"/>
    </row>
    <row r="10" spans="1:9" ht="15.95" customHeight="1">
      <c r="A10" s="512"/>
      <c r="B10" s="99"/>
      <c r="C10" s="66"/>
      <c r="D10" s="66"/>
      <c r="E10" s="66"/>
      <c r="F10" s="67"/>
      <c r="G10" s="67"/>
      <c r="H10" s="100">
        <f t="shared" si="0"/>
        <v>0</v>
      </c>
      <c r="I10" s="68"/>
    </row>
    <row r="11" spans="1:9" ht="15.95" customHeight="1">
      <c r="A11" s="512"/>
      <c r="B11" s="99"/>
      <c r="C11" s="66"/>
      <c r="D11" s="66"/>
      <c r="E11" s="66"/>
      <c r="F11" s="67"/>
      <c r="G11" s="67"/>
      <c r="H11" s="100">
        <f t="shared" si="0"/>
        <v>0</v>
      </c>
      <c r="I11" s="68"/>
    </row>
    <row r="12" spans="1:9" ht="15.95" customHeight="1">
      <c r="A12" s="512"/>
      <c r="B12" s="99"/>
      <c r="C12" s="66"/>
      <c r="D12" s="66"/>
      <c r="E12" s="66"/>
      <c r="F12" s="67"/>
      <c r="G12" s="67"/>
      <c r="H12" s="100">
        <f t="shared" si="0"/>
        <v>0</v>
      </c>
      <c r="I12" s="68"/>
    </row>
    <row r="13" spans="1:9" ht="15.95" customHeight="1">
      <c r="A13" s="512"/>
      <c r="B13" s="99"/>
      <c r="C13" s="66"/>
      <c r="D13" s="66"/>
      <c r="E13" s="66"/>
      <c r="F13" s="67"/>
      <c r="G13" s="67"/>
      <c r="H13" s="100">
        <f t="shared" si="0"/>
        <v>0</v>
      </c>
      <c r="I13" s="68"/>
    </row>
    <row r="14" spans="1:9" ht="15.95" customHeight="1">
      <c r="A14" s="512"/>
      <c r="B14" s="99"/>
      <c r="C14" s="66"/>
      <c r="D14" s="66"/>
      <c r="E14" s="66"/>
      <c r="F14" s="67"/>
      <c r="G14" s="67"/>
      <c r="H14" s="100">
        <f t="shared" si="0"/>
        <v>0</v>
      </c>
      <c r="I14" s="68"/>
    </row>
    <row r="15" spans="1:9" ht="15.95" customHeight="1">
      <c r="A15" s="512"/>
      <c r="B15" s="99"/>
      <c r="C15" s="66"/>
      <c r="D15" s="66"/>
      <c r="E15" s="66"/>
      <c r="F15" s="67"/>
      <c r="G15" s="67"/>
      <c r="H15" s="100">
        <f t="shared" si="0"/>
        <v>0</v>
      </c>
      <c r="I15" s="68"/>
    </row>
    <row r="16" spans="1:9" ht="15.95" customHeight="1">
      <c r="A16" s="512"/>
      <c r="B16" s="99"/>
      <c r="C16" s="66"/>
      <c r="D16" s="66"/>
      <c r="E16" s="66"/>
      <c r="F16" s="67"/>
      <c r="G16" s="67"/>
      <c r="H16" s="100">
        <f t="shared" si="0"/>
        <v>0</v>
      </c>
      <c r="I16" s="68"/>
    </row>
    <row r="17" spans="1:9" ht="15.95" customHeight="1">
      <c r="A17" s="512"/>
      <c r="B17" s="99"/>
      <c r="C17" s="66"/>
      <c r="D17" s="66"/>
      <c r="E17" s="66"/>
      <c r="F17" s="67"/>
      <c r="G17" s="67"/>
      <c r="H17" s="100">
        <f t="shared" si="0"/>
        <v>0</v>
      </c>
      <c r="I17" s="68"/>
    </row>
    <row r="18" spans="1:9" ht="15.95" customHeight="1">
      <c r="A18" s="512"/>
      <c r="B18" s="99"/>
      <c r="C18" s="66"/>
      <c r="D18" s="66"/>
      <c r="E18" s="66"/>
      <c r="F18" s="67"/>
      <c r="G18" s="67"/>
      <c r="H18" s="100">
        <f t="shared" si="0"/>
        <v>0</v>
      </c>
      <c r="I18" s="68"/>
    </row>
    <row r="19" spans="1:9" ht="15.95" customHeight="1">
      <c r="A19" s="512"/>
      <c r="B19" s="99"/>
      <c r="C19" s="66"/>
      <c r="D19" s="66"/>
      <c r="E19" s="66"/>
      <c r="F19" s="67"/>
      <c r="G19" s="67"/>
      <c r="H19" s="100">
        <f t="shared" si="0"/>
        <v>0</v>
      </c>
      <c r="I19" s="68"/>
    </row>
    <row r="20" spans="1:9" ht="15.95" customHeight="1">
      <c r="A20" s="512"/>
      <c r="B20" s="99"/>
      <c r="C20" s="66"/>
      <c r="D20" s="66"/>
      <c r="E20" s="66"/>
      <c r="F20" s="67"/>
      <c r="G20" s="67"/>
      <c r="H20" s="100">
        <f t="shared" si="0"/>
        <v>0</v>
      </c>
      <c r="I20" s="68"/>
    </row>
    <row r="21" spans="1:9" ht="15.95" customHeight="1">
      <c r="A21" s="512"/>
      <c r="B21" s="99"/>
      <c r="C21" s="66"/>
      <c r="D21" s="66"/>
      <c r="E21" s="66"/>
      <c r="F21" s="67"/>
      <c r="G21" s="67"/>
      <c r="H21" s="100">
        <f t="shared" si="0"/>
        <v>0</v>
      </c>
      <c r="I21" s="68"/>
    </row>
    <row r="22" spans="1:9" ht="15.95" customHeight="1">
      <c r="A22" s="512"/>
      <c r="B22" s="99"/>
      <c r="C22" s="66"/>
      <c r="D22" s="66"/>
      <c r="E22" s="66"/>
      <c r="F22" s="67"/>
      <c r="G22" s="67"/>
      <c r="H22" s="100">
        <f t="shared" si="0"/>
        <v>0</v>
      </c>
      <c r="I22" s="68"/>
    </row>
    <row r="23" spans="1:9" ht="15.95" customHeight="1">
      <c r="A23" s="512"/>
      <c r="B23" s="99"/>
      <c r="C23" s="114" t="s">
        <v>47</v>
      </c>
      <c r="D23" s="276"/>
      <c r="E23" s="276"/>
      <c r="F23" s="277"/>
      <c r="G23" s="277"/>
      <c r="H23" s="278">
        <f t="shared" si="0"/>
        <v>0</v>
      </c>
      <c r="I23" s="279"/>
    </row>
    <row r="24" spans="1:9" ht="15.95" customHeight="1">
      <c r="A24" s="512"/>
      <c r="B24" s="70"/>
      <c r="C24" s="282"/>
      <c r="D24" s="282"/>
      <c r="E24" s="282"/>
      <c r="F24" s="283"/>
      <c r="G24" s="283"/>
      <c r="H24" s="284">
        <f>SUM(H3:H23)</f>
        <v>0</v>
      </c>
      <c r="I24" s="282"/>
    </row>
    <row r="25" spans="1:9" ht="15.95" customHeight="1">
      <c r="A25" s="512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2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2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2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2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2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2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3"/>
    </row>
    <row r="32" spans="1:9" ht="15.95" customHeight="1">
      <c r="A32" s="512"/>
      <c r="B32" s="99" t="s">
        <v>45</v>
      </c>
      <c r="C32" s="66"/>
      <c r="D32" s="66"/>
      <c r="E32" s="66"/>
      <c r="F32" s="67"/>
      <c r="G32" s="67"/>
      <c r="H32" s="100">
        <f t="shared" si="0"/>
        <v>0</v>
      </c>
      <c r="I32" s="68"/>
    </row>
    <row r="33" spans="1:9" ht="15.95" customHeight="1">
      <c r="A33" s="512"/>
      <c r="B33" s="99"/>
      <c r="C33" s="66"/>
      <c r="D33" s="66"/>
      <c r="E33" s="66"/>
      <c r="F33" s="67"/>
      <c r="G33" s="67"/>
      <c r="H33" s="100">
        <f t="shared" si="0"/>
        <v>0</v>
      </c>
      <c r="I33" s="68"/>
    </row>
    <row r="34" spans="1:9" ht="15.95" customHeight="1">
      <c r="A34" s="512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2"/>
      <c r="B35" s="99"/>
      <c r="C35" s="66"/>
      <c r="D35" s="66"/>
      <c r="E35" s="66"/>
      <c r="F35" s="67"/>
      <c r="G35" s="67"/>
      <c r="H35" s="100">
        <f t="shared" si="0"/>
        <v>0</v>
      </c>
      <c r="I35" s="68"/>
    </row>
    <row r="36" spans="1:9" ht="15.95" customHeight="1">
      <c r="A36" s="512"/>
      <c r="B36" s="99"/>
      <c r="C36" s="66"/>
      <c r="D36" s="66"/>
      <c r="E36" s="66"/>
      <c r="F36" s="67"/>
      <c r="G36" s="67"/>
      <c r="H36" s="100">
        <f t="shared" si="0"/>
        <v>0</v>
      </c>
      <c r="I36" s="68"/>
    </row>
    <row r="37" spans="1:9" ht="15.95" customHeight="1">
      <c r="A37" s="512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2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2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2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2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2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2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2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2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2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69"/>
    </row>
    <row r="47" spans="1:9" ht="15.95" customHeight="1">
      <c r="A47" s="512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2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3"/>
    </row>
    <row r="49" spans="1:9" ht="15.95" customHeight="1">
      <c r="A49" s="512"/>
      <c r="B49" s="99"/>
      <c r="C49" s="66"/>
      <c r="D49" s="66"/>
      <c r="E49" s="66"/>
      <c r="F49" s="67"/>
      <c r="G49" s="67"/>
      <c r="H49" s="100">
        <f t="shared" si="0"/>
        <v>0</v>
      </c>
      <c r="I49" s="68"/>
    </row>
    <row r="50" spans="1:9" ht="15.95" customHeight="1">
      <c r="A50" s="512"/>
      <c r="B50" s="99"/>
      <c r="C50" s="66"/>
      <c r="D50" s="66"/>
      <c r="E50" s="66"/>
      <c r="F50" s="67"/>
      <c r="G50" s="67"/>
      <c r="H50" s="100">
        <f t="shared" si="0"/>
        <v>0</v>
      </c>
      <c r="I50" s="68"/>
    </row>
    <row r="51" spans="1:9" ht="15.95" customHeight="1">
      <c r="A51" s="512"/>
      <c r="B51" s="99"/>
      <c r="C51" s="66"/>
      <c r="D51" s="66"/>
      <c r="E51" s="66"/>
      <c r="F51" s="67"/>
      <c r="G51" s="67"/>
      <c r="H51" s="100">
        <f t="shared" si="0"/>
        <v>0</v>
      </c>
      <c r="I51" s="68"/>
    </row>
    <row r="52" spans="1:9" ht="15.95" customHeight="1">
      <c r="A52" s="512"/>
      <c r="B52" s="99"/>
      <c r="C52" s="66"/>
      <c r="D52" s="66"/>
      <c r="E52" s="66"/>
      <c r="F52" s="67"/>
      <c r="G52" s="67"/>
      <c r="H52" s="100">
        <f t="shared" si="0"/>
        <v>0</v>
      </c>
      <c r="I52" s="68"/>
    </row>
    <row r="53" spans="1:9" ht="15.95" customHeight="1">
      <c r="A53" s="512"/>
      <c r="B53" s="99"/>
      <c r="C53" s="66"/>
      <c r="D53" s="66"/>
      <c r="E53" s="66"/>
      <c r="F53" s="67"/>
      <c r="G53" s="67"/>
      <c r="H53" s="100">
        <f t="shared" si="0"/>
        <v>0</v>
      </c>
      <c r="I53" s="68"/>
    </row>
    <row r="54" spans="1:9" ht="15.95" customHeight="1">
      <c r="A54" s="512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69"/>
    </row>
    <row r="55" spans="1:9" ht="15.95" customHeight="1">
      <c r="A55" s="512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3" t="s">
        <v>72</v>
      </c>
      <c r="B57" s="137" t="s">
        <v>70</v>
      </c>
      <c r="C57" s="71"/>
      <c r="D57" s="75"/>
      <c r="E57" s="106" t="s">
        <v>51</v>
      </c>
      <c r="F57" s="116"/>
      <c r="G57" s="116">
        <v>200000</v>
      </c>
      <c r="H57" s="49">
        <f>F57*G57</f>
        <v>0</v>
      </c>
      <c r="I57" s="72"/>
    </row>
    <row r="58" spans="1:9" ht="15.95" customHeight="1">
      <c r="A58" s="512"/>
      <c r="B58" s="138" t="s">
        <v>109</v>
      </c>
      <c r="C58" s="141"/>
      <c r="D58" s="76"/>
      <c r="E58" s="107" t="s">
        <v>50</v>
      </c>
      <c r="F58" s="113"/>
      <c r="G58" s="113">
        <v>250000</v>
      </c>
      <c r="H58" s="104">
        <f t="shared" ref="H58:H64" si="1">F58*G58</f>
        <v>0</v>
      </c>
      <c r="I58" s="73"/>
    </row>
    <row r="59" spans="1:9" ht="15.95" customHeight="1">
      <c r="A59" s="512"/>
      <c r="B59" s="170" t="s">
        <v>110</v>
      </c>
      <c r="C59" s="142"/>
      <c r="D59" s="77"/>
      <c r="E59" s="108" t="s">
        <v>50</v>
      </c>
      <c r="F59" s="67"/>
      <c r="G59" s="67">
        <v>180000</v>
      </c>
      <c r="H59" s="100">
        <f t="shared" si="1"/>
        <v>0</v>
      </c>
      <c r="I59" s="68"/>
    </row>
    <row r="60" spans="1:9" ht="15.95" customHeight="1">
      <c r="A60" s="512"/>
      <c r="B60" s="139" t="s">
        <v>111</v>
      </c>
      <c r="C60" s="142"/>
      <c r="D60" s="77"/>
      <c r="E60" s="108" t="s">
        <v>50</v>
      </c>
      <c r="F60" s="67"/>
      <c r="G60" s="67">
        <v>180000</v>
      </c>
      <c r="H60" s="100">
        <f t="shared" si="1"/>
        <v>0</v>
      </c>
      <c r="I60" s="68"/>
    </row>
    <row r="61" spans="1:9" ht="15.95" customHeight="1">
      <c r="A61" s="512"/>
      <c r="B61" s="139" t="s">
        <v>112</v>
      </c>
      <c r="C61" s="142"/>
      <c r="D61" s="77"/>
      <c r="E61" s="108" t="s">
        <v>50</v>
      </c>
      <c r="F61" s="67"/>
      <c r="G61" s="67">
        <v>200000</v>
      </c>
      <c r="H61" s="100">
        <f t="shared" si="1"/>
        <v>0</v>
      </c>
      <c r="I61" s="68"/>
    </row>
    <row r="62" spans="1:9" ht="15.95" customHeight="1">
      <c r="A62" s="512"/>
      <c r="B62" s="139" t="s">
        <v>113</v>
      </c>
      <c r="C62" s="142"/>
      <c r="D62" s="77"/>
      <c r="E62" s="108" t="s">
        <v>50</v>
      </c>
      <c r="F62" s="67"/>
      <c r="G62" s="67">
        <v>200000</v>
      </c>
      <c r="H62" s="100">
        <f t="shared" si="1"/>
        <v>0</v>
      </c>
      <c r="I62" s="68"/>
    </row>
    <row r="63" spans="1:9" ht="15.95" customHeight="1">
      <c r="A63" s="512"/>
      <c r="B63" s="139" t="s">
        <v>114</v>
      </c>
      <c r="C63" s="142"/>
      <c r="D63" s="77"/>
      <c r="E63" s="108" t="s">
        <v>50</v>
      </c>
      <c r="F63" s="67"/>
      <c r="G63" s="67">
        <v>250000</v>
      </c>
      <c r="H63" s="100">
        <f t="shared" si="1"/>
        <v>0</v>
      </c>
      <c r="I63" s="68"/>
    </row>
    <row r="64" spans="1:9" ht="15.95" customHeight="1">
      <c r="A64" s="512"/>
      <c r="B64" s="140" t="s">
        <v>115</v>
      </c>
      <c r="C64" s="143"/>
      <c r="D64" s="78"/>
      <c r="E64" s="109" t="s">
        <v>50</v>
      </c>
      <c r="F64" s="115"/>
      <c r="G64" s="115">
        <v>150000</v>
      </c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'단위공사별(집계)'!L14+'단위공사별(집계)'!I14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I70"/>
  <sheetViews>
    <sheetView zoomScale="85" workbookViewId="0">
      <pane xSplit="2" ySplit="2" topLeftCell="C45" activePane="bottomRight" state="frozen"/>
      <selection activeCell="B69" sqref="B69"/>
      <selection pane="topRight" activeCell="B69" sqref="B69"/>
      <selection pane="bottomLeft" activeCell="B69" sqref="B69"/>
      <selection pane="bottomRight" activeCell="M70" sqref="M70:M71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395" t="s">
        <v>31</v>
      </c>
      <c r="B2" s="507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0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3"/>
    </row>
    <row r="4" spans="1:9" ht="15.95" customHeight="1">
      <c r="A4" s="512"/>
      <c r="B4" s="99"/>
      <c r="C4" s="66"/>
      <c r="D4" s="66"/>
      <c r="E4" s="66"/>
      <c r="F4" s="67"/>
      <c r="G4" s="67"/>
      <c r="H4" s="100">
        <f>IF(F4=0,G4,G4*F4)</f>
        <v>0</v>
      </c>
      <c r="I4" s="68"/>
    </row>
    <row r="5" spans="1:9" ht="15.95" customHeight="1">
      <c r="A5" s="512"/>
      <c r="B5" s="99"/>
      <c r="C5" s="66"/>
      <c r="D5" s="66"/>
      <c r="E5" s="66"/>
      <c r="F5" s="67"/>
      <c r="G5" s="67"/>
      <c r="H5" s="100">
        <f t="shared" ref="H5:H54" si="0">IF(F5=0,G5,G5*F5)</f>
        <v>0</v>
      </c>
      <c r="I5" s="68"/>
    </row>
    <row r="6" spans="1:9" ht="15.95" customHeight="1">
      <c r="A6" s="512"/>
      <c r="B6" s="99"/>
      <c r="C6" s="66"/>
      <c r="D6" s="66"/>
      <c r="E6" s="66"/>
      <c r="F6" s="67"/>
      <c r="G6" s="67"/>
      <c r="H6" s="100">
        <f t="shared" si="0"/>
        <v>0</v>
      </c>
      <c r="I6" s="68"/>
    </row>
    <row r="7" spans="1:9" ht="15.95" customHeight="1">
      <c r="A7" s="512"/>
      <c r="B7" s="99"/>
      <c r="C7" s="66"/>
      <c r="D7" s="66"/>
      <c r="E7" s="66"/>
      <c r="F7" s="67"/>
      <c r="G7" s="67"/>
      <c r="H7" s="100">
        <f t="shared" si="0"/>
        <v>0</v>
      </c>
      <c r="I7" s="68"/>
    </row>
    <row r="8" spans="1:9" ht="15.95" customHeight="1">
      <c r="A8" s="512"/>
      <c r="B8" s="99"/>
      <c r="C8" s="66"/>
      <c r="D8" s="66"/>
      <c r="E8" s="66"/>
      <c r="F8" s="67"/>
      <c r="G8" s="67"/>
      <c r="H8" s="100">
        <f t="shared" si="0"/>
        <v>0</v>
      </c>
      <c r="I8" s="68"/>
    </row>
    <row r="9" spans="1:9" ht="15.95" customHeight="1">
      <c r="A9" s="512"/>
      <c r="B9" s="99"/>
      <c r="C9" s="66"/>
      <c r="D9" s="66"/>
      <c r="E9" s="66"/>
      <c r="F9" s="67"/>
      <c r="G9" s="67"/>
      <c r="H9" s="100">
        <f t="shared" si="0"/>
        <v>0</v>
      </c>
      <c r="I9" s="68"/>
    </row>
    <row r="10" spans="1:9" ht="15.95" customHeight="1">
      <c r="A10" s="512"/>
      <c r="B10" s="99"/>
      <c r="C10" s="66"/>
      <c r="D10" s="66"/>
      <c r="E10" s="66"/>
      <c r="F10" s="67"/>
      <c r="G10" s="67"/>
      <c r="H10" s="100">
        <f t="shared" si="0"/>
        <v>0</v>
      </c>
      <c r="I10" s="68"/>
    </row>
    <row r="11" spans="1:9" ht="15.95" customHeight="1">
      <c r="A11" s="512"/>
      <c r="B11" s="99"/>
      <c r="C11" s="66"/>
      <c r="D11" s="66"/>
      <c r="E11" s="66"/>
      <c r="F11" s="67"/>
      <c r="G11" s="67"/>
      <c r="H11" s="100">
        <f t="shared" si="0"/>
        <v>0</v>
      </c>
      <c r="I11" s="68"/>
    </row>
    <row r="12" spans="1:9" ht="15.95" customHeight="1">
      <c r="A12" s="512"/>
      <c r="B12" s="99"/>
      <c r="C12" s="66"/>
      <c r="D12" s="66"/>
      <c r="E12" s="66"/>
      <c r="F12" s="67"/>
      <c r="G12" s="67"/>
      <c r="H12" s="100">
        <f t="shared" si="0"/>
        <v>0</v>
      </c>
      <c r="I12" s="68"/>
    </row>
    <row r="13" spans="1:9" ht="15.95" customHeight="1">
      <c r="A13" s="512"/>
      <c r="B13" s="99"/>
      <c r="C13" s="66"/>
      <c r="D13" s="66"/>
      <c r="E13" s="66"/>
      <c r="F13" s="67"/>
      <c r="G13" s="67"/>
      <c r="H13" s="100">
        <f t="shared" si="0"/>
        <v>0</v>
      </c>
      <c r="I13" s="68"/>
    </row>
    <row r="14" spans="1:9" ht="15.95" customHeight="1">
      <c r="A14" s="512"/>
      <c r="B14" s="99"/>
      <c r="C14" s="66"/>
      <c r="D14" s="66"/>
      <c r="E14" s="66"/>
      <c r="F14" s="67"/>
      <c r="G14" s="67"/>
      <c r="H14" s="100">
        <f t="shared" si="0"/>
        <v>0</v>
      </c>
      <c r="I14" s="68"/>
    </row>
    <row r="15" spans="1:9" ht="15.95" customHeight="1">
      <c r="A15" s="512"/>
      <c r="B15" s="99"/>
      <c r="C15" s="66"/>
      <c r="D15" s="66"/>
      <c r="E15" s="66"/>
      <c r="F15" s="67"/>
      <c r="G15" s="67"/>
      <c r="H15" s="100">
        <f t="shared" si="0"/>
        <v>0</v>
      </c>
      <c r="I15" s="68"/>
    </row>
    <row r="16" spans="1:9" ht="15.95" customHeight="1">
      <c r="A16" s="512"/>
      <c r="B16" s="99"/>
      <c r="C16" s="66"/>
      <c r="D16" s="66"/>
      <c r="E16" s="66"/>
      <c r="F16" s="67"/>
      <c r="G16" s="67"/>
      <c r="H16" s="100">
        <f t="shared" si="0"/>
        <v>0</v>
      </c>
      <c r="I16" s="68"/>
    </row>
    <row r="17" spans="1:9" ht="15.95" customHeight="1">
      <c r="A17" s="512"/>
      <c r="B17" s="99"/>
      <c r="C17" s="66"/>
      <c r="D17" s="66"/>
      <c r="E17" s="66"/>
      <c r="F17" s="67"/>
      <c r="G17" s="67"/>
      <c r="H17" s="100">
        <f t="shared" si="0"/>
        <v>0</v>
      </c>
      <c r="I17" s="68"/>
    </row>
    <row r="18" spans="1:9" ht="15.95" customHeight="1">
      <c r="A18" s="512"/>
      <c r="B18" s="99"/>
      <c r="C18" s="66"/>
      <c r="D18" s="66"/>
      <c r="E18" s="66"/>
      <c r="F18" s="67"/>
      <c r="G18" s="67"/>
      <c r="H18" s="100">
        <f t="shared" si="0"/>
        <v>0</v>
      </c>
      <c r="I18" s="68"/>
    </row>
    <row r="19" spans="1:9" ht="15.95" customHeight="1">
      <c r="A19" s="512"/>
      <c r="B19" s="99"/>
      <c r="C19" s="66"/>
      <c r="D19" s="66"/>
      <c r="E19" s="66"/>
      <c r="F19" s="67"/>
      <c r="G19" s="67"/>
      <c r="H19" s="100">
        <f t="shared" si="0"/>
        <v>0</v>
      </c>
      <c r="I19" s="68"/>
    </row>
    <row r="20" spans="1:9" ht="15.95" customHeight="1">
      <c r="A20" s="512"/>
      <c r="B20" s="99"/>
      <c r="C20" s="66"/>
      <c r="D20" s="66"/>
      <c r="E20" s="66"/>
      <c r="F20" s="67"/>
      <c r="G20" s="67"/>
      <c r="H20" s="100">
        <f t="shared" si="0"/>
        <v>0</v>
      </c>
      <c r="I20" s="68"/>
    </row>
    <row r="21" spans="1:9" ht="15.95" customHeight="1">
      <c r="A21" s="512"/>
      <c r="B21" s="99"/>
      <c r="C21" s="66"/>
      <c r="D21" s="66"/>
      <c r="E21" s="66"/>
      <c r="F21" s="67"/>
      <c r="G21" s="67"/>
      <c r="H21" s="100">
        <f t="shared" si="0"/>
        <v>0</v>
      </c>
      <c r="I21" s="68"/>
    </row>
    <row r="22" spans="1:9" ht="15.95" customHeight="1">
      <c r="A22" s="512"/>
      <c r="B22" s="99"/>
      <c r="C22" s="66"/>
      <c r="D22" s="66"/>
      <c r="E22" s="66"/>
      <c r="F22" s="67"/>
      <c r="G22" s="67"/>
      <c r="H22" s="100">
        <f t="shared" si="0"/>
        <v>0</v>
      </c>
      <c r="I22" s="68"/>
    </row>
    <row r="23" spans="1:9" ht="15.95" customHeight="1">
      <c r="A23" s="512"/>
      <c r="B23" s="99"/>
      <c r="C23" s="114" t="s">
        <v>47</v>
      </c>
      <c r="D23" s="276"/>
      <c r="E23" s="276"/>
      <c r="F23" s="277"/>
      <c r="G23" s="277"/>
      <c r="H23" s="278">
        <f t="shared" si="0"/>
        <v>0</v>
      </c>
      <c r="I23" s="279"/>
    </row>
    <row r="24" spans="1:9" ht="15.95" customHeight="1">
      <c r="A24" s="512"/>
      <c r="B24" s="70"/>
      <c r="C24" s="282"/>
      <c r="D24" s="282"/>
      <c r="E24" s="282"/>
      <c r="F24" s="283"/>
      <c r="G24" s="283"/>
      <c r="H24" s="284">
        <f>SUM(H3:H23)</f>
        <v>0</v>
      </c>
      <c r="I24" s="282"/>
    </row>
    <row r="25" spans="1:9" ht="15.95" customHeight="1">
      <c r="A25" s="512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2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2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2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2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2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2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3"/>
    </row>
    <row r="32" spans="1:9" ht="15.95" customHeight="1">
      <c r="A32" s="512"/>
      <c r="B32" s="99" t="s">
        <v>45</v>
      </c>
      <c r="C32" s="66"/>
      <c r="D32" s="66"/>
      <c r="E32" s="66"/>
      <c r="F32" s="67"/>
      <c r="G32" s="67"/>
      <c r="H32" s="100">
        <f t="shared" si="0"/>
        <v>0</v>
      </c>
      <c r="I32" s="68"/>
    </row>
    <row r="33" spans="1:9" ht="15.95" customHeight="1">
      <c r="A33" s="512"/>
      <c r="B33" s="99"/>
      <c r="C33" s="66"/>
      <c r="D33" s="66"/>
      <c r="E33" s="66"/>
      <c r="F33" s="67"/>
      <c r="G33" s="67"/>
      <c r="H33" s="100">
        <f t="shared" si="0"/>
        <v>0</v>
      </c>
      <c r="I33" s="68"/>
    </row>
    <row r="34" spans="1:9" ht="15.95" customHeight="1">
      <c r="A34" s="512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2"/>
      <c r="B35" s="99"/>
      <c r="C35" s="66"/>
      <c r="D35" s="66"/>
      <c r="E35" s="66"/>
      <c r="F35" s="67"/>
      <c r="G35" s="67"/>
      <c r="H35" s="100">
        <f t="shared" si="0"/>
        <v>0</v>
      </c>
      <c r="I35" s="68"/>
    </row>
    <row r="36" spans="1:9" ht="15.95" customHeight="1">
      <c r="A36" s="512"/>
      <c r="B36" s="99"/>
      <c r="C36" s="66"/>
      <c r="D36" s="66"/>
      <c r="E36" s="66"/>
      <c r="F36" s="67"/>
      <c r="G36" s="67"/>
      <c r="H36" s="100">
        <f t="shared" si="0"/>
        <v>0</v>
      </c>
      <c r="I36" s="68"/>
    </row>
    <row r="37" spans="1:9" ht="15.95" customHeight="1">
      <c r="A37" s="512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2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2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2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2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2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2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2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2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2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69"/>
    </row>
    <row r="47" spans="1:9" ht="15.95" customHeight="1">
      <c r="A47" s="512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2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3"/>
    </row>
    <row r="49" spans="1:9" ht="15.95" customHeight="1">
      <c r="A49" s="512"/>
      <c r="B49" s="99"/>
      <c r="C49" s="66"/>
      <c r="D49" s="66"/>
      <c r="E49" s="66"/>
      <c r="F49" s="67"/>
      <c r="G49" s="67"/>
      <c r="H49" s="100">
        <f t="shared" si="0"/>
        <v>0</v>
      </c>
      <c r="I49" s="68"/>
    </row>
    <row r="50" spans="1:9" ht="15.95" customHeight="1">
      <c r="A50" s="512"/>
      <c r="B50" s="99"/>
      <c r="C50" s="66"/>
      <c r="D50" s="66"/>
      <c r="E50" s="66"/>
      <c r="F50" s="67"/>
      <c r="G50" s="67"/>
      <c r="H50" s="100">
        <f t="shared" si="0"/>
        <v>0</v>
      </c>
      <c r="I50" s="68"/>
    </row>
    <row r="51" spans="1:9" ht="15.95" customHeight="1">
      <c r="A51" s="512"/>
      <c r="B51" s="99"/>
      <c r="C51" s="66"/>
      <c r="D51" s="66"/>
      <c r="E51" s="66"/>
      <c r="F51" s="67"/>
      <c r="G51" s="67"/>
      <c r="H51" s="100">
        <f t="shared" si="0"/>
        <v>0</v>
      </c>
      <c r="I51" s="68"/>
    </row>
    <row r="52" spans="1:9" ht="15.95" customHeight="1">
      <c r="A52" s="512"/>
      <c r="B52" s="99"/>
      <c r="C52" s="66"/>
      <c r="D52" s="66"/>
      <c r="E52" s="66"/>
      <c r="F52" s="67"/>
      <c r="G52" s="67"/>
      <c r="H52" s="100">
        <f t="shared" si="0"/>
        <v>0</v>
      </c>
      <c r="I52" s="68"/>
    </row>
    <row r="53" spans="1:9" ht="15.95" customHeight="1">
      <c r="A53" s="512"/>
      <c r="B53" s="99"/>
      <c r="C53" s="66"/>
      <c r="D53" s="66"/>
      <c r="E53" s="66"/>
      <c r="F53" s="67"/>
      <c r="G53" s="67"/>
      <c r="H53" s="100">
        <f t="shared" si="0"/>
        <v>0</v>
      </c>
      <c r="I53" s="68"/>
    </row>
    <row r="54" spans="1:9" ht="15.95" customHeight="1">
      <c r="A54" s="512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69"/>
    </row>
    <row r="55" spans="1:9" ht="15.95" customHeight="1">
      <c r="A55" s="512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3" t="s">
        <v>72</v>
      </c>
      <c r="B57" s="137" t="s">
        <v>70</v>
      </c>
      <c r="C57" s="71"/>
      <c r="D57" s="75"/>
      <c r="E57" s="106" t="s">
        <v>51</v>
      </c>
      <c r="F57" s="116"/>
      <c r="G57" s="116">
        <v>200000</v>
      </c>
      <c r="H57" s="49">
        <f>F57*G57</f>
        <v>0</v>
      </c>
      <c r="I57" s="72"/>
    </row>
    <row r="58" spans="1:9" ht="15.95" customHeight="1">
      <c r="A58" s="512"/>
      <c r="B58" s="138" t="s">
        <v>109</v>
      </c>
      <c r="C58" s="141"/>
      <c r="D58" s="76"/>
      <c r="E58" s="107" t="s">
        <v>50</v>
      </c>
      <c r="F58" s="113"/>
      <c r="G58" s="113">
        <v>250000</v>
      </c>
      <c r="H58" s="104">
        <f t="shared" ref="H58:H64" si="1">F58*G58</f>
        <v>0</v>
      </c>
      <c r="I58" s="73"/>
    </row>
    <row r="59" spans="1:9" ht="15.95" customHeight="1">
      <c r="A59" s="512"/>
      <c r="B59" s="170" t="s">
        <v>110</v>
      </c>
      <c r="C59" s="142"/>
      <c r="D59" s="77"/>
      <c r="E59" s="108" t="s">
        <v>50</v>
      </c>
      <c r="F59" s="67"/>
      <c r="G59" s="67">
        <v>180000</v>
      </c>
      <c r="H59" s="100">
        <f t="shared" si="1"/>
        <v>0</v>
      </c>
      <c r="I59" s="68"/>
    </row>
    <row r="60" spans="1:9" ht="15.95" customHeight="1">
      <c r="A60" s="512"/>
      <c r="B60" s="139" t="s">
        <v>111</v>
      </c>
      <c r="C60" s="142"/>
      <c r="D60" s="77"/>
      <c r="E60" s="108" t="s">
        <v>50</v>
      </c>
      <c r="F60" s="67"/>
      <c r="G60" s="67">
        <v>180000</v>
      </c>
      <c r="H60" s="100">
        <f t="shared" si="1"/>
        <v>0</v>
      </c>
      <c r="I60" s="68"/>
    </row>
    <row r="61" spans="1:9" ht="15.95" customHeight="1">
      <c r="A61" s="512"/>
      <c r="B61" s="139" t="s">
        <v>112</v>
      </c>
      <c r="C61" s="142"/>
      <c r="D61" s="77"/>
      <c r="E61" s="108" t="s">
        <v>50</v>
      </c>
      <c r="F61" s="67"/>
      <c r="G61" s="67">
        <v>200000</v>
      </c>
      <c r="H61" s="100">
        <f t="shared" si="1"/>
        <v>0</v>
      </c>
      <c r="I61" s="68"/>
    </row>
    <row r="62" spans="1:9" ht="15.95" customHeight="1">
      <c r="A62" s="512"/>
      <c r="B62" s="139" t="s">
        <v>113</v>
      </c>
      <c r="C62" s="142"/>
      <c r="D62" s="77"/>
      <c r="E62" s="108" t="s">
        <v>50</v>
      </c>
      <c r="F62" s="67"/>
      <c r="G62" s="67">
        <v>200000</v>
      </c>
      <c r="H62" s="100">
        <f t="shared" si="1"/>
        <v>0</v>
      </c>
      <c r="I62" s="68"/>
    </row>
    <row r="63" spans="1:9" ht="15.95" customHeight="1">
      <c r="A63" s="512"/>
      <c r="B63" s="139" t="s">
        <v>114</v>
      </c>
      <c r="C63" s="142"/>
      <c r="D63" s="77"/>
      <c r="E63" s="108" t="s">
        <v>50</v>
      </c>
      <c r="F63" s="67"/>
      <c r="G63" s="67">
        <v>250000</v>
      </c>
      <c r="H63" s="100">
        <f t="shared" si="1"/>
        <v>0</v>
      </c>
      <c r="I63" s="68"/>
    </row>
    <row r="64" spans="1:9" ht="15.95" customHeight="1">
      <c r="A64" s="512"/>
      <c r="B64" s="140" t="s">
        <v>115</v>
      </c>
      <c r="C64" s="143"/>
      <c r="D64" s="78"/>
      <c r="E64" s="109" t="s">
        <v>50</v>
      </c>
      <c r="F64" s="115"/>
      <c r="G64" s="115">
        <v>150000</v>
      </c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'단위공사별(집계)'!L14+'단위공사별(집계)'!I14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>
    <pageSetUpPr fitToPage="1"/>
  </sheetPr>
  <dimension ref="A1:D36"/>
  <sheetViews>
    <sheetView zoomScale="85" workbookViewId="0">
      <selection activeCell="D25" sqref="D25"/>
    </sheetView>
  </sheetViews>
  <sheetFormatPr defaultRowHeight="17.25" customHeight="1"/>
  <cols>
    <col min="1" max="1" width="16.5" style="25" customWidth="1"/>
    <col min="2" max="3" width="27.625" style="25" customWidth="1"/>
    <col min="4" max="4" width="11.5" style="25" customWidth="1"/>
    <col min="5" max="16384" width="9" style="25"/>
  </cols>
  <sheetData>
    <row r="1" spans="1:4" ht="17.25" customHeight="1">
      <c r="A1" s="25" t="s">
        <v>98</v>
      </c>
    </row>
    <row r="2" spans="1:4" ht="17.25" customHeight="1">
      <c r="D2" s="26" t="s">
        <v>99</v>
      </c>
    </row>
    <row r="3" spans="1:4" ht="24.75" customHeight="1">
      <c r="A3" s="89" t="s">
        <v>97</v>
      </c>
    </row>
    <row r="4" spans="1:4" ht="11.25" customHeight="1"/>
    <row r="5" spans="1:4" s="91" customFormat="1" ht="21" customHeight="1" thickBot="1">
      <c r="A5" s="90" t="s">
        <v>62</v>
      </c>
      <c r="B5" s="90" t="s">
        <v>52</v>
      </c>
      <c r="C5" s="90" t="s">
        <v>53</v>
      </c>
      <c r="D5" s="90" t="s">
        <v>27</v>
      </c>
    </row>
    <row r="6" spans="1:4" ht="17.25" customHeight="1" thickTop="1">
      <c r="A6" s="65"/>
      <c r="B6" s="65"/>
      <c r="C6" s="65"/>
      <c r="D6" s="65"/>
    </row>
    <row r="7" spans="1:4" ht="17.25" customHeight="1">
      <c r="A7" s="65"/>
      <c r="B7" s="65"/>
      <c r="C7" s="65"/>
      <c r="D7" s="65"/>
    </row>
    <row r="8" spans="1:4" ht="17.25" customHeight="1">
      <c r="A8" s="65"/>
      <c r="B8" s="65"/>
      <c r="C8" s="65"/>
      <c r="D8" s="65"/>
    </row>
    <row r="9" spans="1:4" ht="17.25" customHeight="1">
      <c r="A9" s="65"/>
      <c r="B9" s="65"/>
      <c r="C9" s="65"/>
      <c r="D9" s="65"/>
    </row>
    <row r="10" spans="1:4" ht="17.25" customHeight="1">
      <c r="A10" s="65"/>
      <c r="B10" s="65"/>
      <c r="C10" s="65"/>
      <c r="D10" s="65"/>
    </row>
    <row r="11" spans="1:4" ht="17.25" customHeight="1">
      <c r="A11" s="65"/>
      <c r="B11" s="65"/>
      <c r="C11" s="65"/>
      <c r="D11" s="65"/>
    </row>
    <row r="12" spans="1:4" ht="17.25" customHeight="1">
      <c r="A12" s="65"/>
      <c r="B12" s="65"/>
      <c r="C12" s="65"/>
      <c r="D12" s="65"/>
    </row>
    <row r="13" spans="1:4" ht="17.25" customHeight="1">
      <c r="A13" s="65"/>
      <c r="B13" s="65"/>
      <c r="C13" s="65"/>
      <c r="D13" s="65"/>
    </row>
    <row r="14" spans="1:4" ht="17.25" customHeight="1">
      <c r="A14" s="65"/>
      <c r="B14" s="65"/>
      <c r="C14" s="65"/>
      <c r="D14" s="65"/>
    </row>
    <row r="15" spans="1:4" ht="17.25" customHeight="1">
      <c r="A15" s="65"/>
      <c r="B15" s="65"/>
      <c r="C15" s="65"/>
      <c r="D15" s="65"/>
    </row>
    <row r="16" spans="1:4" ht="17.25" customHeight="1">
      <c r="A16" s="65"/>
      <c r="B16" s="65"/>
      <c r="C16" s="65"/>
      <c r="D16" s="65"/>
    </row>
    <row r="17" spans="1:4" ht="17.25" customHeight="1">
      <c r="A17" s="65"/>
      <c r="B17" s="65"/>
      <c r="C17" s="65"/>
      <c r="D17" s="65"/>
    </row>
    <row r="18" spans="1:4" ht="17.25" customHeight="1">
      <c r="A18" s="65"/>
      <c r="B18" s="65"/>
      <c r="C18" s="65"/>
      <c r="D18" s="65"/>
    </row>
    <row r="19" spans="1:4" ht="17.25" customHeight="1">
      <c r="A19" s="65"/>
      <c r="B19" s="65"/>
      <c r="C19" s="65"/>
      <c r="D19" s="65"/>
    </row>
    <row r="20" spans="1:4" ht="17.25" customHeight="1">
      <c r="A20" s="65"/>
      <c r="B20" s="65"/>
      <c r="C20" s="65"/>
      <c r="D20" s="65"/>
    </row>
    <row r="21" spans="1:4" ht="17.25" customHeight="1">
      <c r="A21" s="65"/>
      <c r="B21" s="65"/>
      <c r="C21" s="65"/>
      <c r="D21" s="65"/>
    </row>
    <row r="22" spans="1:4" ht="17.25" customHeight="1">
      <c r="A22" s="65"/>
      <c r="B22" s="65"/>
      <c r="C22" s="65"/>
      <c r="D22" s="65"/>
    </row>
    <row r="23" spans="1:4" ht="17.25" customHeight="1">
      <c r="A23" s="65"/>
      <c r="B23" s="65"/>
      <c r="C23" s="65"/>
      <c r="D23" s="65"/>
    </row>
    <row r="24" spans="1:4" ht="17.25" customHeight="1">
      <c r="A24" s="65"/>
      <c r="B24" s="65"/>
      <c r="C24" s="65"/>
      <c r="D24" s="65"/>
    </row>
    <row r="25" spans="1:4" ht="17.25" customHeight="1">
      <c r="A25" s="65"/>
      <c r="B25" s="65"/>
      <c r="C25" s="65"/>
      <c r="D25" s="65"/>
    </row>
    <row r="26" spans="1:4" ht="17.25" customHeight="1">
      <c r="A26" s="65"/>
      <c r="B26" s="65"/>
      <c r="C26" s="65"/>
      <c r="D26" s="65"/>
    </row>
    <row r="27" spans="1:4" ht="17.25" customHeight="1">
      <c r="A27" s="65"/>
      <c r="B27" s="65"/>
      <c r="C27" s="65"/>
      <c r="D27" s="65"/>
    </row>
    <row r="28" spans="1:4" ht="17.25" customHeight="1">
      <c r="A28" s="65"/>
      <c r="B28" s="65"/>
      <c r="C28" s="65"/>
      <c r="D28" s="65"/>
    </row>
    <row r="29" spans="1:4" ht="17.25" customHeight="1">
      <c r="A29" s="65"/>
      <c r="B29" s="65"/>
      <c r="C29" s="65"/>
      <c r="D29" s="65"/>
    </row>
    <row r="30" spans="1:4" ht="17.25" customHeight="1">
      <c r="A30" s="65"/>
      <c r="B30" s="65"/>
      <c r="C30" s="65"/>
      <c r="D30" s="65"/>
    </row>
    <row r="31" spans="1:4" ht="17.25" customHeight="1">
      <c r="A31" s="65"/>
      <c r="B31" s="65"/>
      <c r="C31" s="65"/>
      <c r="D31" s="65"/>
    </row>
    <row r="32" spans="1:4" ht="17.25" customHeight="1">
      <c r="A32" s="65"/>
      <c r="B32" s="65"/>
      <c r="C32" s="65"/>
      <c r="D32" s="65"/>
    </row>
    <row r="33" spans="1:4" ht="17.25" customHeight="1">
      <c r="A33" s="65"/>
      <c r="B33" s="65"/>
      <c r="C33" s="65"/>
      <c r="D33" s="65"/>
    </row>
    <row r="34" spans="1:4" ht="17.25" customHeight="1">
      <c r="A34" s="65"/>
      <c r="B34" s="65"/>
      <c r="C34" s="65"/>
      <c r="D34" s="65"/>
    </row>
    <row r="35" spans="1:4" ht="17.25" customHeight="1">
      <c r="A35" s="65"/>
      <c r="B35" s="65"/>
      <c r="C35" s="65"/>
      <c r="D35" s="65"/>
    </row>
    <row r="36" spans="1:4" ht="17.25" customHeight="1">
      <c r="A36" s="92"/>
      <c r="B36" s="92"/>
      <c r="C36" s="92"/>
      <c r="D36" s="92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4" ma:contentTypeDescription="새 문서를 만듭니다." ma:contentTypeScope="" ma:versionID="a242935e3a113aa7f22be7a076e4b0ef">
  <xsd:schema xmlns:xsd="http://www.w3.org/2001/XMLSchema" xmlns:xs="http://www.w3.org/2001/XMLSchema" xmlns:p="http://schemas.microsoft.com/office/2006/metadata/properties" xmlns:ns2="83072e89-4523-4537-ba2a-0afc19ac2fb1" targetNamespace="http://schemas.microsoft.com/office/2006/metadata/properties" ma:root="true" ma:fieldsID="e7e2bd6d0d5a3e197b35edf89a252977" ns2:_="">
    <xsd:import namespace="83072e89-4523-4537-ba2a-0afc19ac2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449AFFD-B232-4469-AD9A-81F4CD38E6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1A149E-9216-42B7-B63A-EBD9B6CE39FB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3072e89-4523-4537-ba2a-0afc19ac2fb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630E12F-8736-4B64-9EE5-E24117D28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D64CBF5-1E40-4774-B928-9FC767672A3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ASSY TABLE </vt:lpstr>
      <vt:lpstr>VISION BAECODE DB</vt:lpstr>
      <vt:lpstr>OTHER COST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조정현 책임매니저 설비구매팀</cp:lastModifiedBy>
  <cp:lastPrinted>2024-06-27T05:37:21Z</cp:lastPrinted>
  <dcterms:created xsi:type="dcterms:W3CDTF">2001-06-04T06:04:44Z</dcterms:created>
  <dcterms:modified xsi:type="dcterms:W3CDTF">2025-10-13T02:36:40Z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BUILTIN\administrators</vt:lpwstr>
  </property>
  <property fmtid="{D5CDD505-2E9C-101B-9397-08002B2CF9AE}" pid="3" name="display_urn:schemas-microsoft-com:office:office#Author">
    <vt:lpwstr>BUILTIN\administrators</vt:lpwstr>
  </property>
  <property fmtid="{D5CDD505-2E9C-101B-9397-08002B2CF9AE}" pid="4" name="Order">
    <vt:lpwstr>1842400.00000000</vt:lpwstr>
  </property>
  <property fmtid="{D5CDD505-2E9C-101B-9397-08002B2CF9AE}" pid="5" name="MSIP_Label_af9d72c4-8477-49e6-99f9-cf198593d803_SiteId">
    <vt:lpwstr>9682717c-e5aa-4e3f-ae88-3507a84b4611</vt:lpwstr>
  </property>
  <property fmtid="{D5CDD505-2E9C-101B-9397-08002B2CF9AE}" pid="6" name="MSIP_Label_af9d72c4-8477-49e6-99f9-cf198593d803_SetDate">
    <vt:lpwstr>2021-08-24T05:36:22Z</vt:lpwstr>
  </property>
  <property fmtid="{D5CDD505-2E9C-101B-9397-08002B2CF9AE}" pid="7" name="MSIP_Label_af9d72c4-8477-49e6-99f9-cf198593d803_Name">
    <vt:lpwstr>일반(Public)</vt:lpwstr>
  </property>
  <property fmtid="{D5CDD505-2E9C-101B-9397-08002B2CF9AE}" pid="8" name="MSIP_Label_af9d72c4-8477-49e6-99f9-cf198593d803_Method">
    <vt:lpwstr>Privileged</vt:lpwstr>
  </property>
  <property fmtid="{D5CDD505-2E9C-101B-9397-08002B2CF9AE}" pid="9" name="MSIP_Label_af9d72c4-8477-49e6-99f9-cf198593d803_Enabled">
    <vt:lpwstr>true</vt:lpwstr>
  </property>
  <property fmtid="{D5CDD505-2E9C-101B-9397-08002B2CF9AE}" pid="10" name="MSIP_Label_af9d72c4-8477-49e6-99f9-cf198593d803_ContentBits">
    <vt:lpwstr>0</vt:lpwstr>
  </property>
  <property fmtid="{D5CDD505-2E9C-101B-9397-08002B2CF9AE}" pid="11" name="MSIP_Label_af9d72c4-8477-49e6-99f9-cf198593d803_ActionId">
    <vt:lpwstr>0a93cda5-d7fd-4e32-b9e0-90520f53b8aa</vt:lpwstr>
  </property>
</Properties>
</file>