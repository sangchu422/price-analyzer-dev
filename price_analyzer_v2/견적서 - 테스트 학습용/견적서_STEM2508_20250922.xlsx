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A\Desktop\260707 러닝랩 신규과제\견적서\"/>
    </mc:Choice>
  </mc:AlternateContent>
  <xr:revisionPtr revIDLastSave="0" documentId="13_ncr:101_{62764559-2707-45B1-83FA-908CB147A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Sheet1" sheetId="1" r:id="rId4"/>
  </sheets>
  <definedNames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N18" i="4" s="1"/>
  <c r="M17" i="4"/>
  <c r="M18" i="4" s="1"/>
  <c r="L17" i="4"/>
  <c r="L18" i="4" s="1"/>
  <c r="K17" i="4"/>
  <c r="I17" i="4"/>
  <c r="I18" i="4" s="1"/>
  <c r="H17" i="4"/>
  <c r="H18" i="4" s="1"/>
  <c r="G17" i="4"/>
  <c r="H22" i="4" s="1"/>
  <c r="F17" i="4"/>
  <c r="F18" i="4" s="1"/>
  <c r="E17" i="4"/>
  <c r="E18" i="4" s="1"/>
  <c r="D17" i="4"/>
  <c r="J17" i="4" s="1"/>
  <c r="P16" i="4"/>
  <c r="P15" i="4"/>
  <c r="P14" i="4"/>
  <c r="P13" i="4"/>
  <c r="P12" i="4"/>
  <c r="P11" i="4"/>
  <c r="P17" i="4" s="1"/>
  <c r="P10" i="4"/>
  <c r="N10" i="4"/>
  <c r="B10" i="4"/>
  <c r="P9" i="4"/>
  <c r="N9" i="4"/>
  <c r="B9" i="4"/>
  <c r="P8" i="4"/>
  <c r="N8" i="4"/>
  <c r="B8" i="4"/>
  <c r="A8" i="4" s="1"/>
  <c r="A9" i="4" s="1"/>
  <c r="P7" i="4"/>
  <c r="N7" i="4"/>
  <c r="B7" i="4"/>
  <c r="A7" i="4"/>
  <c r="I41" i="3"/>
  <c r="I40" i="3"/>
  <c r="J39" i="3"/>
  <c r="I33" i="3"/>
  <c r="G31" i="3"/>
  <c r="I31" i="3" s="1"/>
  <c r="I30" i="3"/>
  <c r="G30" i="3"/>
  <c r="I29" i="3"/>
  <c r="G29" i="3"/>
  <c r="G27" i="3"/>
  <c r="I27" i="3" s="1"/>
  <c r="G26" i="3"/>
  <c r="I26" i="3" s="1"/>
  <c r="I32" i="3" s="1"/>
  <c r="I23" i="3"/>
  <c r="I21" i="3"/>
  <c r="G19" i="3"/>
  <c r="I19" i="3" s="1"/>
  <c r="I18" i="3"/>
  <c r="G18" i="3"/>
  <c r="I17" i="3"/>
  <c r="G17" i="3"/>
  <c r="I16" i="3"/>
  <c r="J49" i="3" s="1"/>
  <c r="I49" i="3" s="1"/>
  <c r="G16" i="3"/>
  <c r="G15" i="3"/>
  <c r="I15" i="3" s="1"/>
  <c r="G13" i="3"/>
  <c r="I13" i="3" s="1"/>
  <c r="I20" i="3" s="1"/>
  <c r="I22" i="3" s="1"/>
  <c r="I9" i="3"/>
  <c r="I8" i="3"/>
  <c r="I7" i="3"/>
  <c r="I11" i="3" s="1"/>
  <c r="I35" i="3" s="1"/>
  <c r="K44" i="2"/>
  <c r="C33" i="2"/>
  <c r="N27" i="2"/>
  <c r="H27" i="2"/>
  <c r="G13" i="2" s="1"/>
  <c r="G27" i="2"/>
  <c r="F27" i="2"/>
  <c r="E27" i="2"/>
  <c r="I36" i="3" l="1"/>
  <c r="I37" i="3" s="1"/>
  <c r="I34" i="3"/>
  <c r="J48" i="3"/>
  <c r="I48" i="3" s="1"/>
  <c r="I42" i="3"/>
  <c r="N20" i="4" s="1"/>
  <c r="A10" i="4"/>
  <c r="J22" i="4"/>
  <c r="J18" i="4"/>
  <c r="K18" i="4"/>
  <c r="D18" i="4"/>
  <c r="D13" i="2"/>
  <c r="G18" i="4"/>
</calcChain>
</file>

<file path=xl/sharedStrings.xml><?xml version="1.0" encoding="utf-8"?>
<sst xmlns="http://schemas.openxmlformats.org/spreadsheetml/2006/main" count="186" uniqueCount="138">
  <si>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</si>
  <si>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</si>
  <si>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</si>
  <si>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협력사명</t>
    <phoneticPr fontId="3" type="noConversion"/>
  </si>
  <si>
    <t>견적일자</t>
    <phoneticPr fontId="3" type="noConversion"/>
  </si>
  <si>
    <t>대표 : 김 현 태</t>
    <phoneticPr fontId="3" type="noConversion"/>
  </si>
  <si>
    <t>견적번호</t>
    <phoneticPr fontId="3" type="noConversion"/>
  </si>
  <si>
    <t>STEM2508-016/17/18/19</t>
    <phoneticPr fontId="3" type="noConversion"/>
  </si>
  <si>
    <t>주소 : 전라남도 장성군 나노산단2로 76</t>
    <phoneticPr fontId="3" type="noConversion"/>
  </si>
  <si>
    <t>납기</t>
    <phoneticPr fontId="3" type="noConversion"/>
  </si>
  <si>
    <t>입하</t>
    <phoneticPr fontId="3" type="noConversion"/>
  </si>
  <si>
    <t>협의사항</t>
    <phoneticPr fontId="3" type="noConversion"/>
  </si>
  <si>
    <t>최종검수</t>
    <phoneticPr fontId="3" type="noConversion"/>
  </si>
  <si>
    <t>전화: 062-951-7713</t>
    <phoneticPr fontId="3" type="noConversion"/>
  </si>
  <si>
    <t>견적유효기간</t>
    <phoneticPr fontId="3" type="noConversion"/>
  </si>
  <si>
    <t>제출후 30 일</t>
    <phoneticPr fontId="3" type="noConversion"/>
  </si>
  <si>
    <t>Fax: 062-971-7713</t>
    <phoneticPr fontId="3" type="noConversion"/>
  </si>
  <si>
    <t>인도장소</t>
    <phoneticPr fontId="3" type="noConversion"/>
  </si>
  <si>
    <t>귀사 지정장소</t>
    <phoneticPr fontId="3" type="noConversion"/>
  </si>
  <si>
    <t>견적담당:</t>
  </si>
  <si>
    <t>조 귀 현</t>
    <phoneticPr fontId="3" type="noConversion"/>
  </si>
  <si>
    <t>지불조건</t>
    <phoneticPr fontId="3" type="noConversion"/>
  </si>
  <si>
    <t>연 락 처 :</t>
  </si>
  <si>
    <t>010-4602-9549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</si>
  <si>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</si>
  <si>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</si>
  <si>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</si>
  <si>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</si>
  <si>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scheme val="minor"/>
      </rPr>
      <t>(천원)</t>
    </r>
    <phoneticPr fontId="3" type="noConversion"/>
  </si>
  <si>
    <t>비  고</t>
    <phoneticPr fontId="3" type="noConversion"/>
  </si>
  <si>
    <t>기계부문</t>
    <phoneticPr fontId="3" type="noConversion"/>
  </si>
  <si>
    <t>전기부문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</si>
  <si>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</si>
  <si>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</si>
  <si>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t>관리/이윤</t>
    <phoneticPr fontId="3" type="noConversion"/>
  </si>
  <si>
    <t>소계</t>
    <phoneticPr fontId="3" type="noConversion"/>
  </si>
  <si>
    <t>COND. CORE BUILDER</t>
    <phoneticPr fontId="3" type="noConversion"/>
  </si>
  <si>
    <t>RAD. CORE BUUILDER</t>
    <phoneticPr fontId="3" type="noConversion"/>
  </si>
  <si>
    <t>EVAP. CORE BUILDER</t>
    <phoneticPr fontId="3" type="noConversion"/>
  </si>
  <si>
    <t>HTR. CORE BUILDER</t>
    <phoneticPr fontId="3" type="noConversion"/>
  </si>
  <si>
    <t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</si>
  <si>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</si>
  <si>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</si>
  <si>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</si>
  <si>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</si>
  <si>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</si>
  <si>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</si>
  <si>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</si>
  <si>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</si>
  <si>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</si>
  <si>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</si>
  <si>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</si>
  <si>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</si>
  <si>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</si>
  <si>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</si>
  <si>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</si>
  <si>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</si>
  <si>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</si>
  <si>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</si>
  <si>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scheme val="minor"/>
      </rPr>
      <t xml:space="preserve"> 고</t>
    </r>
    <phoneticPr fontId="3" type="noConversion"/>
  </si>
  <si>
    <t>COND</t>
    <phoneticPr fontId="3" type="noConversion"/>
  </si>
  <si>
    <t>RAD</t>
    <phoneticPr fontId="3" type="noConversion"/>
  </si>
  <si>
    <t>EVAP</t>
    <phoneticPr fontId="3" type="noConversion"/>
  </si>
  <si>
    <t>HTR</t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</si>
  <si>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</si>
  <si>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</si>
  <si>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scheme val="minor"/>
      </rPr>
      <t>SS.SUS등)</t>
    </r>
    <phoneticPr fontId="3" type="noConversion"/>
  </si>
  <si>
    <t>kg</t>
    <phoneticPr fontId="3" type="noConversion"/>
  </si>
  <si>
    <t>1식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</si>
  <si>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</si>
  <si>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</si>
  <si>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</si>
  <si>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</si>
  <si>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</si>
  <si>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scheme val="minor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</si>
  <si>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</si>
  <si>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</si>
  <si>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</si>
  <si>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</si>
  <si>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</si>
  <si>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</si>
  <si>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</si>
  <si>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</si>
  <si>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</si>
  <si>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</si>
  <si>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</si>
  <si>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</si>
  <si>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</si>
  <si>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</si>
  <si>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전기 포함</t>
    <phoneticPr fontId="3" type="noConversion"/>
  </si>
  <si>
    <t>항공료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</si>
  <si>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</si>
  <si>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</si>
  <si>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</si>
  <si>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</si>
  <si>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</si>
  <si>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</si>
  <si>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</si>
  <si>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</si>
  <si>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</si>
  <si>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</si>
  <si>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</si>
  <si>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</si>
  <si>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</si>
  <si>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</si>
  <si>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</si>
  <si>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</si>
  <si>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</si>
  <si>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3~7항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</si>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</sst>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</numFmts>
  <fonts count="28" x14ac:knownFonts="1">
    <font>
      <sz val="11"/>
      <color theme="1"/>
      <name val="맑은 고딕"/>
      <family val="2"/>
      <scheme val="minor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</fills>
  <borders count="11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1" fillId="0" borderId="0" xfId="1" applyAlignment="1">
      <alignment vertical="center"/>
    </xf>
    <xf numFmtId="41" fontId="1" fillId="0" borderId="0" xfId="2" applyFont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41" fontId="6" fillId="0" borderId="0" xfId="2" applyFont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horizontal="right"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41" fontId="11" fillId="0" borderId="0" xfId="2" applyFont="1" applyAlignment="1">
      <alignment vertical="center"/>
    </xf>
    <xf numFmtId="0" fontId="6" fillId="3" borderId="0" xfId="1" applyFont="1" applyFill="1" applyAlignment="1">
      <alignment vertical="center"/>
    </xf>
    <xf numFmtId="41" fontId="11" fillId="0" borderId="0" xfId="2" applyFont="1" applyBorder="1" applyAlignment="1">
      <alignment vertical="center"/>
    </xf>
    <xf numFmtId="0" fontId="1" fillId="0" borderId="0" xfId="1" applyAlignment="1">
      <alignment horizontal="center" vertical="center"/>
    </xf>
    <xf numFmtId="41" fontId="1" fillId="0" borderId="0" xfId="2" applyFont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76" fontId="1" fillId="0" borderId="23" xfId="1" applyNumberFormat="1" applyBorder="1" applyAlignment="1">
      <alignment horizontal="center" vertical="center"/>
    </xf>
    <xf numFmtId="176" fontId="1" fillId="0" borderId="24" xfId="1" applyNumberFormat="1" applyBorder="1" applyAlignment="1">
      <alignment horizontal="right" vertical="center"/>
    </xf>
    <xf numFmtId="176" fontId="1" fillId="0" borderId="25" xfId="1" applyNumberFormat="1" applyBorder="1" applyAlignment="1">
      <alignment horizontal="right" vertical="center"/>
    </xf>
    <xf numFmtId="41" fontId="1" fillId="0" borderId="0" xfId="2" applyFont="1" applyFill="1" applyAlignment="1">
      <alignment vertical="center"/>
    </xf>
    <xf numFmtId="41" fontId="1" fillId="0" borderId="0" xfId="2" applyFont="1" applyFill="1" applyBorder="1" applyAlignment="1">
      <alignment vertical="center"/>
    </xf>
    <xf numFmtId="0" fontId="1" fillId="0" borderId="26" xfId="1" applyBorder="1" applyAlignment="1">
      <alignment horizontal="center" vertical="center"/>
    </xf>
    <xf numFmtId="176" fontId="1" fillId="0" borderId="29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0" xfId="1" applyNumberFormat="1" applyBorder="1" applyAlignment="1">
      <alignment horizontal="right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1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179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179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7" fillId="0" borderId="62" xfId="1" applyNumberFormat="1" applyFont="1" applyBorder="1" applyAlignment="1">
      <alignment horizontal="center" vertical="center"/>
    </xf>
    <xf numFmtId="179" fontId="1" fillId="0" borderId="62" xfId="1" applyNumberFormat="1" applyBorder="1" applyAlignment="1">
      <alignment horizontal="right" vertical="center"/>
    </xf>
    <xf numFmtId="179" fontId="1" fillId="0" borderId="62" xfId="1" applyNumberForma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3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vertical="center"/>
    </xf>
    <xf numFmtId="3" fontId="1" fillId="0" borderId="30" xfId="1" applyNumberFormat="1" applyBorder="1" applyAlignment="1">
      <alignment vertical="center"/>
    </xf>
    <xf numFmtId="179" fontId="1" fillId="0" borderId="6" xfId="1" applyNumberFormat="1" applyBorder="1" applyAlignment="1">
      <alignment horizontal="right" vertical="center"/>
    </xf>
    <xf numFmtId="3" fontId="1" fillId="5" borderId="6" xfId="1" applyNumberFormat="1" applyFill="1" applyBorder="1" applyAlignment="1">
      <alignment horizontal="center" vertical="center"/>
    </xf>
    <xf numFmtId="3" fontId="17" fillId="5" borderId="6" xfId="1" applyNumberFormat="1" applyFont="1" applyFill="1" applyBorder="1" applyAlignment="1">
      <alignment horizontal="center" vertical="center"/>
    </xf>
    <xf numFmtId="179" fontId="1" fillId="5" borderId="6" xfId="1" applyNumberFormat="1" applyFill="1" applyBorder="1" applyAlignment="1">
      <alignment horizontal="right" vertical="center"/>
    </xf>
    <xf numFmtId="179" fontId="1" fillId="5" borderId="6" xfId="1" applyNumberFormat="1" applyFill="1" applyBorder="1" applyAlignment="1">
      <alignment vertical="center"/>
    </xf>
    <xf numFmtId="3" fontId="1" fillId="0" borderId="64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3" fontId="1" fillId="0" borderId="4" xfId="1" applyNumberFormat="1" applyBorder="1" applyAlignment="1">
      <alignment horizontal="left" vertical="center"/>
    </xf>
    <xf numFmtId="3" fontId="1" fillId="0" borderId="3" xfId="1" applyNumberFormat="1" applyBorder="1" applyAlignment="1">
      <alignment horizontal="center" vertical="center"/>
    </xf>
    <xf numFmtId="179" fontId="6" fillId="0" borderId="19" xfId="1" applyNumberFormat="1" applyFon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2" xfId="1" applyNumberFormat="1" applyFont="1" applyBorder="1" applyAlignment="1">
      <alignment vertical="center"/>
    </xf>
    <xf numFmtId="3" fontId="1" fillId="0" borderId="69" xfId="1" applyNumberFormat="1" applyBorder="1" applyAlignment="1">
      <alignment vertical="center"/>
    </xf>
    <xf numFmtId="3" fontId="1" fillId="0" borderId="24" xfId="1" applyNumberFormat="1" applyBorder="1" applyAlignment="1">
      <alignment horizontal="center" vertical="center"/>
    </xf>
    <xf numFmtId="3" fontId="17" fillId="0" borderId="24" xfId="1" applyNumberFormat="1" applyFont="1" applyBorder="1" applyAlignment="1">
      <alignment horizontal="center" vertical="center"/>
    </xf>
    <xf numFmtId="179" fontId="1" fillId="0" borderId="24" xfId="1" applyNumberFormat="1" applyBorder="1" applyAlignment="1">
      <alignment vertical="center"/>
    </xf>
    <xf numFmtId="3" fontId="1" fillId="0" borderId="25" xfId="1" applyNumberFormat="1" applyBorder="1" applyAlignment="1">
      <alignment vertical="center"/>
    </xf>
    <xf numFmtId="3" fontId="17" fillId="5" borderId="62" xfId="1" applyNumberFormat="1" applyFont="1" applyFill="1" applyBorder="1" applyAlignment="1">
      <alignment horizontal="center" vertical="center"/>
    </xf>
    <xf numFmtId="179" fontId="1" fillId="5" borderId="62" xfId="1" applyNumberFormat="1" applyFill="1" applyBorder="1" applyAlignment="1">
      <alignment vertical="center"/>
    </xf>
    <xf numFmtId="179" fontId="6" fillId="0" borderId="24" xfId="1" applyNumberFormat="1" applyFont="1" applyBorder="1" applyAlignment="1">
      <alignment vertical="center"/>
    </xf>
    <xf numFmtId="179" fontId="6" fillId="0" borderId="76" xfId="1" applyNumberFormat="1" applyFon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78" xfId="1" applyNumberFormat="1" applyBorder="1" applyAlignment="1">
      <alignment horizontal="center" vertical="center"/>
    </xf>
    <xf numFmtId="179" fontId="6" fillId="4" borderId="82" xfId="1" applyNumberFormat="1" applyFont="1" applyFill="1" applyBorder="1" applyAlignment="1">
      <alignment vertical="center"/>
    </xf>
    <xf numFmtId="3" fontId="1" fillId="0" borderId="83" xfId="1" applyNumberFormat="1" applyBorder="1" applyAlignment="1">
      <alignment vertical="center"/>
    </xf>
    <xf numFmtId="3" fontId="1" fillId="0" borderId="29" xfId="1" applyNumberFormat="1" applyBorder="1" applyAlignment="1">
      <alignment horizontal="center" vertical="center"/>
    </xf>
    <xf numFmtId="179" fontId="6" fillId="0" borderId="62" xfId="1" applyNumberFormat="1" applyFont="1" applyBorder="1" applyAlignment="1">
      <alignment vertical="center"/>
    </xf>
    <xf numFmtId="3" fontId="17" fillId="5" borderId="30" xfId="1" applyNumberFormat="1" applyFont="1" applyFill="1" applyBorder="1" applyAlignment="1">
      <alignment vertical="center" wrapText="1"/>
    </xf>
    <xf numFmtId="10" fontId="1" fillId="0" borderId="0" xfId="3" applyNumberFormat="1" applyFont="1" applyFill="1" applyAlignment="1">
      <alignment vertical="center"/>
    </xf>
    <xf numFmtId="3" fontId="1" fillId="0" borderId="18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left" vertical="center"/>
    </xf>
    <xf numFmtId="179" fontId="6" fillId="0" borderId="86" xfId="1" applyNumberFormat="1" applyFont="1" applyBorder="1" applyAlignment="1">
      <alignment vertical="center"/>
    </xf>
    <xf numFmtId="3" fontId="1" fillId="0" borderId="88" xfId="1" applyNumberFormat="1" applyBorder="1" applyAlignment="1">
      <alignment vertical="center"/>
    </xf>
    <xf numFmtId="179" fontId="1" fillId="0" borderId="6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vertical="center"/>
    </xf>
    <xf numFmtId="3" fontId="1" fillId="5" borderId="6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24" fillId="0" borderId="50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24" fillId="0" borderId="55" xfId="1" applyFont="1" applyBorder="1" applyAlignment="1">
      <alignment horizontal="center" vertical="center"/>
    </xf>
    <xf numFmtId="0" fontId="24" fillId="0" borderId="59" xfId="1" applyFont="1" applyBorder="1" applyAlignment="1">
      <alignment horizontal="center" vertical="center"/>
    </xf>
    <xf numFmtId="0" fontId="24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176" fontId="1" fillId="0" borderId="97" xfId="1" applyNumberFormat="1" applyBorder="1" applyAlignment="1">
      <alignment horizontal="center" vertical="center"/>
    </xf>
    <xf numFmtId="176" fontId="1" fillId="0" borderId="97" xfId="1" applyNumberFormat="1" applyBorder="1" applyAlignment="1">
      <alignment horizontal="left" vertical="center"/>
    </xf>
    <xf numFmtId="176" fontId="24" fillId="0" borderId="98" xfId="1" applyNumberFormat="1" applyFont="1" applyBorder="1" applyAlignment="1">
      <alignment vertical="center"/>
    </xf>
    <xf numFmtId="176" fontId="24" fillId="0" borderId="99" xfId="1" applyNumberFormat="1" applyFont="1" applyBorder="1" applyAlignment="1">
      <alignment vertical="center"/>
    </xf>
    <xf numFmtId="176" fontId="24" fillId="0" borderId="100" xfId="1" applyNumberFormat="1" applyFont="1" applyBorder="1" applyAlignment="1">
      <alignment vertical="center"/>
    </xf>
    <xf numFmtId="176" fontId="1" fillId="0" borderId="101" xfId="1" applyNumberFormat="1" applyBorder="1" applyAlignment="1">
      <alignment vertical="center"/>
    </xf>
    <xf numFmtId="176" fontId="1" fillId="0" borderId="99" xfId="1" applyNumberFormat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176" fontId="1" fillId="0" borderId="104" xfId="1" applyNumberFormat="1" applyBorder="1" applyAlignment="1">
      <alignment vertical="center"/>
    </xf>
    <xf numFmtId="176" fontId="1" fillId="0" borderId="26" xfId="1" applyNumberFormat="1" applyBorder="1" applyAlignment="1">
      <alignment horizontal="center" vertical="center"/>
    </xf>
    <xf numFmtId="176" fontId="1" fillId="0" borderId="26" xfId="1" applyNumberFormat="1" applyBorder="1" applyAlignment="1">
      <alignment horizontal="left" vertical="center"/>
    </xf>
    <xf numFmtId="176" fontId="24" fillId="0" borderId="29" xfId="1" applyNumberFormat="1" applyFont="1" applyBorder="1" applyAlignment="1">
      <alignment vertical="center"/>
    </xf>
    <xf numFmtId="176" fontId="24" fillId="0" borderId="6" xfId="1" applyNumberFormat="1" applyFont="1" applyBorder="1" applyAlignment="1">
      <alignment vertical="center"/>
    </xf>
    <xf numFmtId="176" fontId="24" fillId="0" borderId="30" xfId="1" applyNumberFormat="1" applyFon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105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28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left" vertical="center"/>
    </xf>
    <xf numFmtId="176" fontId="24" fillId="0" borderId="107" xfId="1" applyNumberFormat="1" applyFont="1" applyBorder="1" applyAlignment="1">
      <alignment vertical="center"/>
    </xf>
    <xf numFmtId="176" fontId="24" fillId="0" borderId="32" xfId="1" applyNumberFormat="1" applyFont="1" applyBorder="1" applyAlignment="1">
      <alignment vertical="center"/>
    </xf>
    <xf numFmtId="176" fontId="24" fillId="0" borderId="69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49" xfId="1" applyNumberFormat="1" applyBorder="1" applyAlignment="1">
      <alignment vertical="center"/>
    </xf>
    <xf numFmtId="176" fontId="24" fillId="0" borderId="50" xfId="1" applyNumberFormat="1" applyFont="1" applyBorder="1" applyAlignment="1">
      <alignment vertical="center"/>
    </xf>
    <xf numFmtId="176" fontId="24" fillId="0" borderId="53" xfId="1" applyNumberFormat="1" applyFont="1" applyBorder="1" applyAlignment="1">
      <alignment vertical="center"/>
    </xf>
    <xf numFmtId="176" fontId="24" fillId="0" borderId="54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89" xfId="1" applyNumberFormat="1" applyFont="1" applyBorder="1" applyAlignment="1">
      <alignment vertical="center"/>
    </xf>
    <xf numFmtId="176" fontId="6" fillId="0" borderId="110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25" fillId="0" borderId="66" xfId="3" applyFont="1" applyBorder="1" applyAlignment="1">
      <alignment vertical="center"/>
    </xf>
    <xf numFmtId="9" fontId="25" fillId="0" borderId="111" xfId="3" applyFont="1" applyBorder="1" applyAlignment="1">
      <alignment vertical="center"/>
    </xf>
    <xf numFmtId="9" fontId="25" fillId="0" borderId="112" xfId="3" applyFont="1" applyBorder="1" applyAlignment="1">
      <alignment vertical="center"/>
    </xf>
    <xf numFmtId="9" fontId="17" fillId="0" borderId="113" xfId="3" applyFont="1" applyBorder="1" applyAlignment="1">
      <alignment vertical="center"/>
    </xf>
    <xf numFmtId="9" fontId="17" fillId="0" borderId="111" xfId="3" applyFont="1" applyFill="1" applyBorder="1" applyAlignment="1">
      <alignment vertical="center"/>
    </xf>
    <xf numFmtId="9" fontId="17" fillId="0" borderId="111" xfId="3" applyFont="1" applyBorder="1" applyAlignment="1">
      <alignment vertical="center"/>
    </xf>
    <xf numFmtId="9" fontId="17" fillId="0" borderId="114" xfId="3" applyFont="1" applyBorder="1" applyAlignment="1">
      <alignment vertical="center"/>
    </xf>
    <xf numFmtId="9" fontId="17" fillId="0" borderId="115" xfId="3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6" fillId="0" borderId="0" xfId="1" applyFont="1" applyAlignment="1">
      <alignment vertical="center"/>
    </xf>
    <xf numFmtId="41" fontId="26" fillId="0" borderId="0" xfId="2" applyFont="1" applyAlignment="1">
      <alignment vertical="center"/>
    </xf>
    <xf numFmtId="179" fontId="27" fillId="0" borderId="0" xfId="1" applyNumberFormat="1" applyFont="1" applyAlignme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49" xfId="1" applyFill="1" applyBorder="1" applyAlignment="1">
      <alignment vertical="center"/>
    </xf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176" fontId="1" fillId="0" borderId="24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1" fillId="0" borderId="32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/>
    </xf>
    <xf numFmtId="0" fontId="1" fillId="0" borderId="0" xfId="1" applyAlignment="1">
      <alignment vertical="center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68" xfId="1" quotePrefix="1" applyNumberFormat="1" applyBorder="1" applyAlignment="1">
      <alignment horizontal="left" vertical="center"/>
    </xf>
    <xf numFmtId="3" fontId="1" fillId="0" borderId="85" xfId="1" applyNumberFormat="1" applyBorder="1" applyAlignment="1">
      <alignment horizontal="center" vertical="center"/>
    </xf>
    <xf numFmtId="3" fontId="17" fillId="0" borderId="86" xfId="1" quotePrefix="1" applyNumberFormat="1" applyFont="1" applyBorder="1" applyAlignment="1">
      <alignment horizontal="left" vertical="center"/>
    </xf>
    <xf numFmtId="3" fontId="17" fillId="0" borderId="85" xfId="1" quotePrefix="1" applyNumberFormat="1" applyFont="1" applyBorder="1" applyAlignment="1">
      <alignment horizontal="left" vertical="center"/>
    </xf>
    <xf numFmtId="3" fontId="17" fillId="0" borderId="87" xfId="1" quotePrefix="1" applyNumberFormat="1" applyFont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179" fontId="1" fillId="0" borderId="4" xfId="1" applyNumberFormat="1" applyBorder="1" applyAlignment="1">
      <alignment horizontal="center" vertical="center"/>
    </xf>
    <xf numFmtId="179" fontId="1" fillId="0" borderId="5" xfId="1" applyNumberFormat="1" applyBorder="1" applyAlignment="1">
      <alignment horizontal="center" vertical="center"/>
    </xf>
    <xf numFmtId="179" fontId="1" fillId="0" borderId="6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left" vertical="center"/>
    </xf>
    <xf numFmtId="3" fontId="17" fillId="5" borderId="5" xfId="1" applyNumberFormat="1" applyFont="1" applyFill="1" applyBorder="1" applyAlignment="1">
      <alignment horizontal="left" vertical="center"/>
    </xf>
    <xf numFmtId="3" fontId="17" fillId="5" borderId="64" xfId="1" applyNumberFormat="1" applyFont="1" applyFill="1" applyBorder="1" applyAlignment="1">
      <alignment horizontal="left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64" xfId="1" applyNumberFormat="1" applyFont="1" applyBorder="1" applyAlignment="1">
      <alignment horizontal="left" vertical="center"/>
    </xf>
    <xf numFmtId="3" fontId="1" fillId="0" borderId="13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3" fontId="1" fillId="0" borderId="72" xfId="1" applyNumberFormat="1" applyBorder="1" applyAlignment="1">
      <alignment horizontal="center" vertical="center"/>
    </xf>
    <xf numFmtId="3" fontId="1" fillId="0" borderId="41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71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67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0" fontId="1" fillId="0" borderId="39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</cellXfs>
  <cellStyles count="4">
    <cellStyle name="백분율 2" xfId="3" xr:uid="{3104530D-F8BE-4A43-BC1F-4573FB651ACE}"/>
    <cellStyle name="쉼표 [0] 2" xfId="2" xr:uid="{A4E924AA-2FAE-4AB6-A737-AFF398FC2082}"/>
    <cellStyle name="표준" xfId="0" builtinId="0"/>
    <cellStyle name="표준 2" xfId="1" xr:uid="{581245A9-4EA6-4BD5-BC11-5867D60CA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8ADE1A7-83BD-4B85-B6F1-50D45A29449A}"/>
            </a:ext>
          </a:extLst>
        </xdr:cNvPr>
        <xdr:cNvSpPr>
          <a:spLocks/>
        </xdr:cNvSpPr>
      </xdr:nvSpPr>
      <xdr:spPr bwMode="auto">
        <a:xfrm>
          <a:off x="7700010" y="3800475"/>
          <a:ext cx="3007995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900FB077-924F-4519-9C91-7729AAC88098}"/>
            </a:ext>
          </a:extLst>
        </xdr:cNvPr>
        <xdr:cNvSpPr>
          <a:spLocks/>
        </xdr:cNvSpPr>
      </xdr:nvSpPr>
      <xdr:spPr bwMode="auto">
        <a:xfrm>
          <a:off x="7719060" y="2806065"/>
          <a:ext cx="30079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C9907B1-38E7-47DA-B94A-28523814547F}"/>
            </a:ext>
          </a:extLst>
        </xdr:cNvPr>
        <xdr:cNvSpPr>
          <a:spLocks/>
        </xdr:cNvSpPr>
      </xdr:nvSpPr>
      <xdr:spPr bwMode="auto">
        <a:xfrm>
          <a:off x="7719060" y="4269105"/>
          <a:ext cx="3007995" cy="23431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C2E3048D-A267-4E3C-816C-0E9C7708F846}"/>
            </a:ext>
          </a:extLst>
        </xdr:cNvPr>
        <xdr:cNvSpPr>
          <a:spLocks/>
        </xdr:cNvSpPr>
      </xdr:nvSpPr>
      <xdr:spPr bwMode="auto">
        <a:xfrm>
          <a:off x="7728585" y="1968820"/>
          <a:ext cx="30079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229365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42D1FB4-77A0-4FE8-97B0-9368978A3BE1}"/>
            </a:ext>
          </a:extLst>
        </xdr:cNvPr>
        <xdr:cNvSpPr>
          <a:spLocks/>
        </xdr:cNvSpPr>
      </xdr:nvSpPr>
      <xdr:spPr bwMode="auto">
        <a:xfrm>
          <a:off x="7702386" y="3528060"/>
          <a:ext cx="3007995" cy="2293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16187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3B51B1E9-9C3C-4508-9A4B-FCA954F28D41}"/>
            </a:ext>
          </a:extLst>
        </xdr:cNvPr>
        <xdr:cNvSpPr>
          <a:spLocks/>
        </xdr:cNvSpPr>
      </xdr:nvSpPr>
      <xdr:spPr bwMode="auto">
        <a:xfrm>
          <a:off x="7714292" y="2291238"/>
          <a:ext cx="3000375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214C-B398-482A-B4DE-89E02C4AE6CF}">
  <sheetPr>
    <pageSetUpPr fitToPage="1"/>
  </sheetPr>
  <dimension ref="B1:N44"/>
  <sheetViews>
    <sheetView tabSelected="1" topLeftCell="A13" zoomScale="90" zoomScaleNormal="90" zoomScaleSheetLayoutView="90" workbookViewId="0">
      <selection activeCell="H21" sqref="H21"/>
    </sheetView>
  </sheetViews>
  <sheetFormatPr defaultColWidth="9" defaultRowHeight="14.4" x14ac:dyDescent="0.4"/>
  <cols>
    <col min="1" max="1" width="2" style="1" customWidth="1"/>
    <col min="2" max="2" width="4.8984375" style="1" customWidth="1"/>
    <col min="3" max="3" width="8.5" style="1" customWidth="1"/>
    <col min="4" max="4" width="14.69921875" style="1" customWidth="1"/>
    <col min="5" max="6" width="11.09765625" style="1" customWidth="1"/>
    <col min="7" max="7" width="14.09765625" style="1" customWidth="1"/>
    <col min="8" max="8" width="11.69921875" style="1" customWidth="1"/>
    <col min="9" max="9" width="8.69921875" style="1" customWidth="1"/>
    <col min="10" max="10" width="9" style="1"/>
    <col min="11" max="14" width="20.59765625" style="2" customWidth="1"/>
    <col min="15" max="256" width="9" style="1"/>
    <col min="257" max="257" width="2" style="1" customWidth="1"/>
    <col min="258" max="258" width="4.8984375" style="1" customWidth="1"/>
    <col min="259" max="259" width="8.5" style="1" customWidth="1"/>
    <col min="260" max="260" width="14.69921875" style="1" customWidth="1"/>
    <col min="261" max="262" width="11.09765625" style="1" customWidth="1"/>
    <col min="263" max="263" width="14.09765625" style="1" customWidth="1"/>
    <col min="264" max="264" width="11.69921875" style="1" customWidth="1"/>
    <col min="265" max="265" width="8.69921875" style="1" customWidth="1"/>
    <col min="266" max="266" width="9" style="1"/>
    <col min="267" max="270" width="20.59765625" style="1" customWidth="1"/>
    <col min="271" max="512" width="9" style="1"/>
    <col min="513" max="513" width="2" style="1" customWidth="1"/>
    <col min="514" max="514" width="4.8984375" style="1" customWidth="1"/>
    <col min="515" max="515" width="8.5" style="1" customWidth="1"/>
    <col min="516" max="516" width="14.69921875" style="1" customWidth="1"/>
    <col min="517" max="518" width="11.09765625" style="1" customWidth="1"/>
    <col min="519" max="519" width="14.09765625" style="1" customWidth="1"/>
    <col min="520" max="520" width="11.69921875" style="1" customWidth="1"/>
    <col min="521" max="521" width="8.69921875" style="1" customWidth="1"/>
    <col min="522" max="522" width="9" style="1"/>
    <col min="523" max="526" width="20.59765625" style="1" customWidth="1"/>
    <col min="527" max="768" width="9" style="1"/>
    <col min="769" max="769" width="2" style="1" customWidth="1"/>
    <col min="770" max="770" width="4.8984375" style="1" customWidth="1"/>
    <col min="771" max="771" width="8.5" style="1" customWidth="1"/>
    <col min="772" max="772" width="14.69921875" style="1" customWidth="1"/>
    <col min="773" max="774" width="11.09765625" style="1" customWidth="1"/>
    <col min="775" max="775" width="14.09765625" style="1" customWidth="1"/>
    <col min="776" max="776" width="11.69921875" style="1" customWidth="1"/>
    <col min="777" max="777" width="8.69921875" style="1" customWidth="1"/>
    <col min="778" max="778" width="9" style="1"/>
    <col min="779" max="782" width="20.59765625" style="1" customWidth="1"/>
    <col min="783" max="1024" width="9" style="1"/>
    <col min="1025" max="1025" width="2" style="1" customWidth="1"/>
    <col min="1026" max="1026" width="4.8984375" style="1" customWidth="1"/>
    <col min="1027" max="1027" width="8.5" style="1" customWidth="1"/>
    <col min="1028" max="1028" width="14.69921875" style="1" customWidth="1"/>
    <col min="1029" max="1030" width="11.09765625" style="1" customWidth="1"/>
    <col min="1031" max="1031" width="14.09765625" style="1" customWidth="1"/>
    <col min="1032" max="1032" width="11.69921875" style="1" customWidth="1"/>
    <col min="1033" max="1033" width="8.69921875" style="1" customWidth="1"/>
    <col min="1034" max="1034" width="9" style="1"/>
    <col min="1035" max="1038" width="20.59765625" style="1" customWidth="1"/>
    <col min="1039" max="1280" width="9" style="1"/>
    <col min="1281" max="1281" width="2" style="1" customWidth="1"/>
    <col min="1282" max="1282" width="4.8984375" style="1" customWidth="1"/>
    <col min="1283" max="1283" width="8.5" style="1" customWidth="1"/>
    <col min="1284" max="1284" width="14.69921875" style="1" customWidth="1"/>
    <col min="1285" max="1286" width="11.09765625" style="1" customWidth="1"/>
    <col min="1287" max="1287" width="14.09765625" style="1" customWidth="1"/>
    <col min="1288" max="1288" width="11.69921875" style="1" customWidth="1"/>
    <col min="1289" max="1289" width="8.69921875" style="1" customWidth="1"/>
    <col min="1290" max="1290" width="9" style="1"/>
    <col min="1291" max="1294" width="20.59765625" style="1" customWidth="1"/>
    <col min="1295" max="1536" width="9" style="1"/>
    <col min="1537" max="1537" width="2" style="1" customWidth="1"/>
    <col min="1538" max="1538" width="4.8984375" style="1" customWidth="1"/>
    <col min="1539" max="1539" width="8.5" style="1" customWidth="1"/>
    <col min="1540" max="1540" width="14.69921875" style="1" customWidth="1"/>
    <col min="1541" max="1542" width="11.09765625" style="1" customWidth="1"/>
    <col min="1543" max="1543" width="14.09765625" style="1" customWidth="1"/>
    <col min="1544" max="1544" width="11.69921875" style="1" customWidth="1"/>
    <col min="1545" max="1545" width="8.69921875" style="1" customWidth="1"/>
    <col min="1546" max="1546" width="9" style="1"/>
    <col min="1547" max="1550" width="20.59765625" style="1" customWidth="1"/>
    <col min="1551" max="1792" width="9" style="1"/>
    <col min="1793" max="1793" width="2" style="1" customWidth="1"/>
    <col min="1794" max="1794" width="4.8984375" style="1" customWidth="1"/>
    <col min="1795" max="1795" width="8.5" style="1" customWidth="1"/>
    <col min="1796" max="1796" width="14.69921875" style="1" customWidth="1"/>
    <col min="1797" max="1798" width="11.09765625" style="1" customWidth="1"/>
    <col min="1799" max="1799" width="14.09765625" style="1" customWidth="1"/>
    <col min="1800" max="1800" width="11.69921875" style="1" customWidth="1"/>
    <col min="1801" max="1801" width="8.69921875" style="1" customWidth="1"/>
    <col min="1802" max="1802" width="9" style="1"/>
    <col min="1803" max="1806" width="20.59765625" style="1" customWidth="1"/>
    <col min="1807" max="2048" width="9" style="1"/>
    <col min="2049" max="2049" width="2" style="1" customWidth="1"/>
    <col min="2050" max="2050" width="4.8984375" style="1" customWidth="1"/>
    <col min="2051" max="2051" width="8.5" style="1" customWidth="1"/>
    <col min="2052" max="2052" width="14.69921875" style="1" customWidth="1"/>
    <col min="2053" max="2054" width="11.09765625" style="1" customWidth="1"/>
    <col min="2055" max="2055" width="14.09765625" style="1" customWidth="1"/>
    <col min="2056" max="2056" width="11.69921875" style="1" customWidth="1"/>
    <col min="2057" max="2057" width="8.69921875" style="1" customWidth="1"/>
    <col min="2058" max="2058" width="9" style="1"/>
    <col min="2059" max="2062" width="20.59765625" style="1" customWidth="1"/>
    <col min="2063" max="2304" width="9" style="1"/>
    <col min="2305" max="2305" width="2" style="1" customWidth="1"/>
    <col min="2306" max="2306" width="4.8984375" style="1" customWidth="1"/>
    <col min="2307" max="2307" width="8.5" style="1" customWidth="1"/>
    <col min="2308" max="2308" width="14.69921875" style="1" customWidth="1"/>
    <col min="2309" max="2310" width="11.09765625" style="1" customWidth="1"/>
    <col min="2311" max="2311" width="14.09765625" style="1" customWidth="1"/>
    <col min="2312" max="2312" width="11.69921875" style="1" customWidth="1"/>
    <col min="2313" max="2313" width="8.69921875" style="1" customWidth="1"/>
    <col min="2314" max="2314" width="9" style="1"/>
    <col min="2315" max="2318" width="20.59765625" style="1" customWidth="1"/>
    <col min="2319" max="2560" width="9" style="1"/>
    <col min="2561" max="2561" width="2" style="1" customWidth="1"/>
    <col min="2562" max="2562" width="4.8984375" style="1" customWidth="1"/>
    <col min="2563" max="2563" width="8.5" style="1" customWidth="1"/>
    <col min="2564" max="2564" width="14.69921875" style="1" customWidth="1"/>
    <col min="2565" max="2566" width="11.09765625" style="1" customWidth="1"/>
    <col min="2567" max="2567" width="14.09765625" style="1" customWidth="1"/>
    <col min="2568" max="2568" width="11.69921875" style="1" customWidth="1"/>
    <col min="2569" max="2569" width="8.69921875" style="1" customWidth="1"/>
    <col min="2570" max="2570" width="9" style="1"/>
    <col min="2571" max="2574" width="20.59765625" style="1" customWidth="1"/>
    <col min="2575" max="2816" width="9" style="1"/>
    <col min="2817" max="2817" width="2" style="1" customWidth="1"/>
    <col min="2818" max="2818" width="4.8984375" style="1" customWidth="1"/>
    <col min="2819" max="2819" width="8.5" style="1" customWidth="1"/>
    <col min="2820" max="2820" width="14.69921875" style="1" customWidth="1"/>
    <col min="2821" max="2822" width="11.09765625" style="1" customWidth="1"/>
    <col min="2823" max="2823" width="14.09765625" style="1" customWidth="1"/>
    <col min="2824" max="2824" width="11.69921875" style="1" customWidth="1"/>
    <col min="2825" max="2825" width="8.69921875" style="1" customWidth="1"/>
    <col min="2826" max="2826" width="9" style="1"/>
    <col min="2827" max="2830" width="20.59765625" style="1" customWidth="1"/>
    <col min="2831" max="3072" width="9" style="1"/>
    <col min="3073" max="3073" width="2" style="1" customWidth="1"/>
    <col min="3074" max="3074" width="4.8984375" style="1" customWidth="1"/>
    <col min="3075" max="3075" width="8.5" style="1" customWidth="1"/>
    <col min="3076" max="3076" width="14.69921875" style="1" customWidth="1"/>
    <col min="3077" max="3078" width="11.09765625" style="1" customWidth="1"/>
    <col min="3079" max="3079" width="14.09765625" style="1" customWidth="1"/>
    <col min="3080" max="3080" width="11.69921875" style="1" customWidth="1"/>
    <col min="3081" max="3081" width="8.69921875" style="1" customWidth="1"/>
    <col min="3082" max="3082" width="9" style="1"/>
    <col min="3083" max="3086" width="20.59765625" style="1" customWidth="1"/>
    <col min="3087" max="3328" width="9" style="1"/>
    <col min="3329" max="3329" width="2" style="1" customWidth="1"/>
    <col min="3330" max="3330" width="4.8984375" style="1" customWidth="1"/>
    <col min="3331" max="3331" width="8.5" style="1" customWidth="1"/>
    <col min="3332" max="3332" width="14.69921875" style="1" customWidth="1"/>
    <col min="3333" max="3334" width="11.09765625" style="1" customWidth="1"/>
    <col min="3335" max="3335" width="14.09765625" style="1" customWidth="1"/>
    <col min="3336" max="3336" width="11.69921875" style="1" customWidth="1"/>
    <col min="3337" max="3337" width="8.69921875" style="1" customWidth="1"/>
    <col min="3338" max="3338" width="9" style="1"/>
    <col min="3339" max="3342" width="20.59765625" style="1" customWidth="1"/>
    <col min="3343" max="3584" width="9" style="1"/>
    <col min="3585" max="3585" width="2" style="1" customWidth="1"/>
    <col min="3586" max="3586" width="4.8984375" style="1" customWidth="1"/>
    <col min="3587" max="3587" width="8.5" style="1" customWidth="1"/>
    <col min="3588" max="3588" width="14.69921875" style="1" customWidth="1"/>
    <col min="3589" max="3590" width="11.09765625" style="1" customWidth="1"/>
    <col min="3591" max="3591" width="14.09765625" style="1" customWidth="1"/>
    <col min="3592" max="3592" width="11.69921875" style="1" customWidth="1"/>
    <col min="3593" max="3593" width="8.69921875" style="1" customWidth="1"/>
    <col min="3594" max="3594" width="9" style="1"/>
    <col min="3595" max="3598" width="20.59765625" style="1" customWidth="1"/>
    <col min="3599" max="3840" width="9" style="1"/>
    <col min="3841" max="3841" width="2" style="1" customWidth="1"/>
    <col min="3842" max="3842" width="4.8984375" style="1" customWidth="1"/>
    <col min="3843" max="3843" width="8.5" style="1" customWidth="1"/>
    <col min="3844" max="3844" width="14.69921875" style="1" customWidth="1"/>
    <col min="3845" max="3846" width="11.09765625" style="1" customWidth="1"/>
    <col min="3847" max="3847" width="14.09765625" style="1" customWidth="1"/>
    <col min="3848" max="3848" width="11.69921875" style="1" customWidth="1"/>
    <col min="3849" max="3849" width="8.69921875" style="1" customWidth="1"/>
    <col min="3850" max="3850" width="9" style="1"/>
    <col min="3851" max="3854" width="20.59765625" style="1" customWidth="1"/>
    <col min="3855" max="4096" width="9" style="1"/>
    <col min="4097" max="4097" width="2" style="1" customWidth="1"/>
    <col min="4098" max="4098" width="4.8984375" style="1" customWidth="1"/>
    <col min="4099" max="4099" width="8.5" style="1" customWidth="1"/>
    <col min="4100" max="4100" width="14.69921875" style="1" customWidth="1"/>
    <col min="4101" max="4102" width="11.09765625" style="1" customWidth="1"/>
    <col min="4103" max="4103" width="14.09765625" style="1" customWidth="1"/>
    <col min="4104" max="4104" width="11.69921875" style="1" customWidth="1"/>
    <col min="4105" max="4105" width="8.69921875" style="1" customWidth="1"/>
    <col min="4106" max="4106" width="9" style="1"/>
    <col min="4107" max="4110" width="20.59765625" style="1" customWidth="1"/>
    <col min="4111" max="4352" width="9" style="1"/>
    <col min="4353" max="4353" width="2" style="1" customWidth="1"/>
    <col min="4354" max="4354" width="4.8984375" style="1" customWidth="1"/>
    <col min="4355" max="4355" width="8.5" style="1" customWidth="1"/>
    <col min="4356" max="4356" width="14.69921875" style="1" customWidth="1"/>
    <col min="4357" max="4358" width="11.09765625" style="1" customWidth="1"/>
    <col min="4359" max="4359" width="14.09765625" style="1" customWidth="1"/>
    <col min="4360" max="4360" width="11.69921875" style="1" customWidth="1"/>
    <col min="4361" max="4361" width="8.69921875" style="1" customWidth="1"/>
    <col min="4362" max="4362" width="9" style="1"/>
    <col min="4363" max="4366" width="20.59765625" style="1" customWidth="1"/>
    <col min="4367" max="4608" width="9" style="1"/>
    <col min="4609" max="4609" width="2" style="1" customWidth="1"/>
    <col min="4610" max="4610" width="4.8984375" style="1" customWidth="1"/>
    <col min="4611" max="4611" width="8.5" style="1" customWidth="1"/>
    <col min="4612" max="4612" width="14.69921875" style="1" customWidth="1"/>
    <col min="4613" max="4614" width="11.09765625" style="1" customWidth="1"/>
    <col min="4615" max="4615" width="14.09765625" style="1" customWidth="1"/>
    <col min="4616" max="4616" width="11.69921875" style="1" customWidth="1"/>
    <col min="4617" max="4617" width="8.69921875" style="1" customWidth="1"/>
    <col min="4618" max="4618" width="9" style="1"/>
    <col min="4619" max="4622" width="20.59765625" style="1" customWidth="1"/>
    <col min="4623" max="4864" width="9" style="1"/>
    <col min="4865" max="4865" width="2" style="1" customWidth="1"/>
    <col min="4866" max="4866" width="4.8984375" style="1" customWidth="1"/>
    <col min="4867" max="4867" width="8.5" style="1" customWidth="1"/>
    <col min="4868" max="4868" width="14.69921875" style="1" customWidth="1"/>
    <col min="4869" max="4870" width="11.09765625" style="1" customWidth="1"/>
    <col min="4871" max="4871" width="14.09765625" style="1" customWidth="1"/>
    <col min="4872" max="4872" width="11.69921875" style="1" customWidth="1"/>
    <col min="4873" max="4873" width="8.69921875" style="1" customWidth="1"/>
    <col min="4874" max="4874" width="9" style="1"/>
    <col min="4875" max="4878" width="20.59765625" style="1" customWidth="1"/>
    <col min="4879" max="5120" width="9" style="1"/>
    <col min="5121" max="5121" width="2" style="1" customWidth="1"/>
    <col min="5122" max="5122" width="4.8984375" style="1" customWidth="1"/>
    <col min="5123" max="5123" width="8.5" style="1" customWidth="1"/>
    <col min="5124" max="5124" width="14.69921875" style="1" customWidth="1"/>
    <col min="5125" max="5126" width="11.09765625" style="1" customWidth="1"/>
    <col min="5127" max="5127" width="14.09765625" style="1" customWidth="1"/>
    <col min="5128" max="5128" width="11.69921875" style="1" customWidth="1"/>
    <col min="5129" max="5129" width="8.69921875" style="1" customWidth="1"/>
    <col min="5130" max="5130" width="9" style="1"/>
    <col min="5131" max="5134" width="20.59765625" style="1" customWidth="1"/>
    <col min="5135" max="5376" width="9" style="1"/>
    <col min="5377" max="5377" width="2" style="1" customWidth="1"/>
    <col min="5378" max="5378" width="4.8984375" style="1" customWidth="1"/>
    <col min="5379" max="5379" width="8.5" style="1" customWidth="1"/>
    <col min="5380" max="5380" width="14.69921875" style="1" customWidth="1"/>
    <col min="5381" max="5382" width="11.09765625" style="1" customWidth="1"/>
    <col min="5383" max="5383" width="14.09765625" style="1" customWidth="1"/>
    <col min="5384" max="5384" width="11.69921875" style="1" customWidth="1"/>
    <col min="5385" max="5385" width="8.69921875" style="1" customWidth="1"/>
    <col min="5386" max="5386" width="9" style="1"/>
    <col min="5387" max="5390" width="20.59765625" style="1" customWidth="1"/>
    <col min="5391" max="5632" width="9" style="1"/>
    <col min="5633" max="5633" width="2" style="1" customWidth="1"/>
    <col min="5634" max="5634" width="4.8984375" style="1" customWidth="1"/>
    <col min="5635" max="5635" width="8.5" style="1" customWidth="1"/>
    <col min="5636" max="5636" width="14.69921875" style="1" customWidth="1"/>
    <col min="5637" max="5638" width="11.09765625" style="1" customWidth="1"/>
    <col min="5639" max="5639" width="14.09765625" style="1" customWidth="1"/>
    <col min="5640" max="5640" width="11.69921875" style="1" customWidth="1"/>
    <col min="5641" max="5641" width="8.69921875" style="1" customWidth="1"/>
    <col min="5642" max="5642" width="9" style="1"/>
    <col min="5643" max="5646" width="20.59765625" style="1" customWidth="1"/>
    <col min="5647" max="5888" width="9" style="1"/>
    <col min="5889" max="5889" width="2" style="1" customWidth="1"/>
    <col min="5890" max="5890" width="4.8984375" style="1" customWidth="1"/>
    <col min="5891" max="5891" width="8.5" style="1" customWidth="1"/>
    <col min="5892" max="5892" width="14.69921875" style="1" customWidth="1"/>
    <col min="5893" max="5894" width="11.09765625" style="1" customWidth="1"/>
    <col min="5895" max="5895" width="14.09765625" style="1" customWidth="1"/>
    <col min="5896" max="5896" width="11.69921875" style="1" customWidth="1"/>
    <col min="5897" max="5897" width="8.69921875" style="1" customWidth="1"/>
    <col min="5898" max="5898" width="9" style="1"/>
    <col min="5899" max="5902" width="20.59765625" style="1" customWidth="1"/>
    <col min="5903" max="6144" width="9" style="1"/>
    <col min="6145" max="6145" width="2" style="1" customWidth="1"/>
    <col min="6146" max="6146" width="4.8984375" style="1" customWidth="1"/>
    <col min="6147" max="6147" width="8.5" style="1" customWidth="1"/>
    <col min="6148" max="6148" width="14.69921875" style="1" customWidth="1"/>
    <col min="6149" max="6150" width="11.09765625" style="1" customWidth="1"/>
    <col min="6151" max="6151" width="14.09765625" style="1" customWidth="1"/>
    <col min="6152" max="6152" width="11.69921875" style="1" customWidth="1"/>
    <col min="6153" max="6153" width="8.69921875" style="1" customWidth="1"/>
    <col min="6154" max="6154" width="9" style="1"/>
    <col min="6155" max="6158" width="20.59765625" style="1" customWidth="1"/>
    <col min="6159" max="6400" width="9" style="1"/>
    <col min="6401" max="6401" width="2" style="1" customWidth="1"/>
    <col min="6402" max="6402" width="4.8984375" style="1" customWidth="1"/>
    <col min="6403" max="6403" width="8.5" style="1" customWidth="1"/>
    <col min="6404" max="6404" width="14.69921875" style="1" customWidth="1"/>
    <col min="6405" max="6406" width="11.09765625" style="1" customWidth="1"/>
    <col min="6407" max="6407" width="14.09765625" style="1" customWidth="1"/>
    <col min="6408" max="6408" width="11.69921875" style="1" customWidth="1"/>
    <col min="6409" max="6409" width="8.69921875" style="1" customWidth="1"/>
    <col min="6410" max="6410" width="9" style="1"/>
    <col min="6411" max="6414" width="20.59765625" style="1" customWidth="1"/>
    <col min="6415" max="6656" width="9" style="1"/>
    <col min="6657" max="6657" width="2" style="1" customWidth="1"/>
    <col min="6658" max="6658" width="4.8984375" style="1" customWidth="1"/>
    <col min="6659" max="6659" width="8.5" style="1" customWidth="1"/>
    <col min="6660" max="6660" width="14.69921875" style="1" customWidth="1"/>
    <col min="6661" max="6662" width="11.09765625" style="1" customWidth="1"/>
    <col min="6663" max="6663" width="14.09765625" style="1" customWidth="1"/>
    <col min="6664" max="6664" width="11.69921875" style="1" customWidth="1"/>
    <col min="6665" max="6665" width="8.69921875" style="1" customWidth="1"/>
    <col min="6666" max="6666" width="9" style="1"/>
    <col min="6667" max="6670" width="20.59765625" style="1" customWidth="1"/>
    <col min="6671" max="6912" width="9" style="1"/>
    <col min="6913" max="6913" width="2" style="1" customWidth="1"/>
    <col min="6914" max="6914" width="4.8984375" style="1" customWidth="1"/>
    <col min="6915" max="6915" width="8.5" style="1" customWidth="1"/>
    <col min="6916" max="6916" width="14.69921875" style="1" customWidth="1"/>
    <col min="6917" max="6918" width="11.09765625" style="1" customWidth="1"/>
    <col min="6919" max="6919" width="14.09765625" style="1" customWidth="1"/>
    <col min="6920" max="6920" width="11.69921875" style="1" customWidth="1"/>
    <col min="6921" max="6921" width="8.69921875" style="1" customWidth="1"/>
    <col min="6922" max="6922" width="9" style="1"/>
    <col min="6923" max="6926" width="20.59765625" style="1" customWidth="1"/>
    <col min="6927" max="7168" width="9" style="1"/>
    <col min="7169" max="7169" width="2" style="1" customWidth="1"/>
    <col min="7170" max="7170" width="4.8984375" style="1" customWidth="1"/>
    <col min="7171" max="7171" width="8.5" style="1" customWidth="1"/>
    <col min="7172" max="7172" width="14.69921875" style="1" customWidth="1"/>
    <col min="7173" max="7174" width="11.09765625" style="1" customWidth="1"/>
    <col min="7175" max="7175" width="14.09765625" style="1" customWidth="1"/>
    <col min="7176" max="7176" width="11.69921875" style="1" customWidth="1"/>
    <col min="7177" max="7177" width="8.69921875" style="1" customWidth="1"/>
    <col min="7178" max="7178" width="9" style="1"/>
    <col min="7179" max="7182" width="20.59765625" style="1" customWidth="1"/>
    <col min="7183" max="7424" width="9" style="1"/>
    <col min="7425" max="7425" width="2" style="1" customWidth="1"/>
    <col min="7426" max="7426" width="4.8984375" style="1" customWidth="1"/>
    <col min="7427" max="7427" width="8.5" style="1" customWidth="1"/>
    <col min="7428" max="7428" width="14.69921875" style="1" customWidth="1"/>
    <col min="7429" max="7430" width="11.09765625" style="1" customWidth="1"/>
    <col min="7431" max="7431" width="14.09765625" style="1" customWidth="1"/>
    <col min="7432" max="7432" width="11.69921875" style="1" customWidth="1"/>
    <col min="7433" max="7433" width="8.69921875" style="1" customWidth="1"/>
    <col min="7434" max="7434" width="9" style="1"/>
    <col min="7435" max="7438" width="20.59765625" style="1" customWidth="1"/>
    <col min="7439" max="7680" width="9" style="1"/>
    <col min="7681" max="7681" width="2" style="1" customWidth="1"/>
    <col min="7682" max="7682" width="4.8984375" style="1" customWidth="1"/>
    <col min="7683" max="7683" width="8.5" style="1" customWidth="1"/>
    <col min="7684" max="7684" width="14.69921875" style="1" customWidth="1"/>
    <col min="7685" max="7686" width="11.09765625" style="1" customWidth="1"/>
    <col min="7687" max="7687" width="14.09765625" style="1" customWidth="1"/>
    <col min="7688" max="7688" width="11.69921875" style="1" customWidth="1"/>
    <col min="7689" max="7689" width="8.69921875" style="1" customWidth="1"/>
    <col min="7690" max="7690" width="9" style="1"/>
    <col min="7691" max="7694" width="20.59765625" style="1" customWidth="1"/>
    <col min="7695" max="7936" width="9" style="1"/>
    <col min="7937" max="7937" width="2" style="1" customWidth="1"/>
    <col min="7938" max="7938" width="4.8984375" style="1" customWidth="1"/>
    <col min="7939" max="7939" width="8.5" style="1" customWidth="1"/>
    <col min="7940" max="7940" width="14.69921875" style="1" customWidth="1"/>
    <col min="7941" max="7942" width="11.09765625" style="1" customWidth="1"/>
    <col min="7943" max="7943" width="14.09765625" style="1" customWidth="1"/>
    <col min="7944" max="7944" width="11.69921875" style="1" customWidth="1"/>
    <col min="7945" max="7945" width="8.69921875" style="1" customWidth="1"/>
    <col min="7946" max="7946" width="9" style="1"/>
    <col min="7947" max="7950" width="20.59765625" style="1" customWidth="1"/>
    <col min="7951" max="8192" width="9" style="1"/>
    <col min="8193" max="8193" width="2" style="1" customWidth="1"/>
    <col min="8194" max="8194" width="4.8984375" style="1" customWidth="1"/>
    <col min="8195" max="8195" width="8.5" style="1" customWidth="1"/>
    <col min="8196" max="8196" width="14.69921875" style="1" customWidth="1"/>
    <col min="8197" max="8198" width="11.09765625" style="1" customWidth="1"/>
    <col min="8199" max="8199" width="14.09765625" style="1" customWidth="1"/>
    <col min="8200" max="8200" width="11.69921875" style="1" customWidth="1"/>
    <col min="8201" max="8201" width="8.69921875" style="1" customWidth="1"/>
    <col min="8202" max="8202" width="9" style="1"/>
    <col min="8203" max="8206" width="20.59765625" style="1" customWidth="1"/>
    <col min="8207" max="8448" width="9" style="1"/>
    <col min="8449" max="8449" width="2" style="1" customWidth="1"/>
    <col min="8450" max="8450" width="4.8984375" style="1" customWidth="1"/>
    <col min="8451" max="8451" width="8.5" style="1" customWidth="1"/>
    <col min="8452" max="8452" width="14.69921875" style="1" customWidth="1"/>
    <col min="8453" max="8454" width="11.09765625" style="1" customWidth="1"/>
    <col min="8455" max="8455" width="14.09765625" style="1" customWidth="1"/>
    <col min="8456" max="8456" width="11.69921875" style="1" customWidth="1"/>
    <col min="8457" max="8457" width="8.69921875" style="1" customWidth="1"/>
    <col min="8458" max="8458" width="9" style="1"/>
    <col min="8459" max="8462" width="20.59765625" style="1" customWidth="1"/>
    <col min="8463" max="8704" width="9" style="1"/>
    <col min="8705" max="8705" width="2" style="1" customWidth="1"/>
    <col min="8706" max="8706" width="4.8984375" style="1" customWidth="1"/>
    <col min="8707" max="8707" width="8.5" style="1" customWidth="1"/>
    <col min="8708" max="8708" width="14.69921875" style="1" customWidth="1"/>
    <col min="8709" max="8710" width="11.09765625" style="1" customWidth="1"/>
    <col min="8711" max="8711" width="14.09765625" style="1" customWidth="1"/>
    <col min="8712" max="8712" width="11.69921875" style="1" customWidth="1"/>
    <col min="8713" max="8713" width="8.69921875" style="1" customWidth="1"/>
    <col min="8714" max="8714" width="9" style="1"/>
    <col min="8715" max="8718" width="20.59765625" style="1" customWidth="1"/>
    <col min="8719" max="8960" width="9" style="1"/>
    <col min="8961" max="8961" width="2" style="1" customWidth="1"/>
    <col min="8962" max="8962" width="4.8984375" style="1" customWidth="1"/>
    <col min="8963" max="8963" width="8.5" style="1" customWidth="1"/>
    <col min="8964" max="8964" width="14.69921875" style="1" customWidth="1"/>
    <col min="8965" max="8966" width="11.09765625" style="1" customWidth="1"/>
    <col min="8967" max="8967" width="14.09765625" style="1" customWidth="1"/>
    <col min="8968" max="8968" width="11.69921875" style="1" customWidth="1"/>
    <col min="8969" max="8969" width="8.69921875" style="1" customWidth="1"/>
    <col min="8970" max="8970" width="9" style="1"/>
    <col min="8971" max="8974" width="20.59765625" style="1" customWidth="1"/>
    <col min="8975" max="9216" width="9" style="1"/>
    <col min="9217" max="9217" width="2" style="1" customWidth="1"/>
    <col min="9218" max="9218" width="4.8984375" style="1" customWidth="1"/>
    <col min="9219" max="9219" width="8.5" style="1" customWidth="1"/>
    <col min="9220" max="9220" width="14.69921875" style="1" customWidth="1"/>
    <col min="9221" max="9222" width="11.09765625" style="1" customWidth="1"/>
    <col min="9223" max="9223" width="14.09765625" style="1" customWidth="1"/>
    <col min="9224" max="9224" width="11.69921875" style="1" customWidth="1"/>
    <col min="9225" max="9225" width="8.69921875" style="1" customWidth="1"/>
    <col min="9226" max="9226" width="9" style="1"/>
    <col min="9227" max="9230" width="20.59765625" style="1" customWidth="1"/>
    <col min="9231" max="9472" width="9" style="1"/>
    <col min="9473" max="9473" width="2" style="1" customWidth="1"/>
    <col min="9474" max="9474" width="4.8984375" style="1" customWidth="1"/>
    <col min="9475" max="9475" width="8.5" style="1" customWidth="1"/>
    <col min="9476" max="9476" width="14.69921875" style="1" customWidth="1"/>
    <col min="9477" max="9478" width="11.09765625" style="1" customWidth="1"/>
    <col min="9479" max="9479" width="14.09765625" style="1" customWidth="1"/>
    <col min="9480" max="9480" width="11.69921875" style="1" customWidth="1"/>
    <col min="9481" max="9481" width="8.69921875" style="1" customWidth="1"/>
    <col min="9482" max="9482" width="9" style="1"/>
    <col min="9483" max="9486" width="20.59765625" style="1" customWidth="1"/>
    <col min="9487" max="9728" width="9" style="1"/>
    <col min="9729" max="9729" width="2" style="1" customWidth="1"/>
    <col min="9730" max="9730" width="4.8984375" style="1" customWidth="1"/>
    <col min="9731" max="9731" width="8.5" style="1" customWidth="1"/>
    <col min="9732" max="9732" width="14.69921875" style="1" customWidth="1"/>
    <col min="9733" max="9734" width="11.09765625" style="1" customWidth="1"/>
    <col min="9735" max="9735" width="14.09765625" style="1" customWidth="1"/>
    <col min="9736" max="9736" width="11.69921875" style="1" customWidth="1"/>
    <col min="9737" max="9737" width="8.69921875" style="1" customWidth="1"/>
    <col min="9738" max="9738" width="9" style="1"/>
    <col min="9739" max="9742" width="20.59765625" style="1" customWidth="1"/>
    <col min="9743" max="9984" width="9" style="1"/>
    <col min="9985" max="9985" width="2" style="1" customWidth="1"/>
    <col min="9986" max="9986" width="4.8984375" style="1" customWidth="1"/>
    <col min="9987" max="9987" width="8.5" style="1" customWidth="1"/>
    <col min="9988" max="9988" width="14.69921875" style="1" customWidth="1"/>
    <col min="9989" max="9990" width="11.09765625" style="1" customWidth="1"/>
    <col min="9991" max="9991" width="14.09765625" style="1" customWidth="1"/>
    <col min="9992" max="9992" width="11.69921875" style="1" customWidth="1"/>
    <col min="9993" max="9993" width="8.69921875" style="1" customWidth="1"/>
    <col min="9994" max="9994" width="9" style="1"/>
    <col min="9995" max="9998" width="20.59765625" style="1" customWidth="1"/>
    <col min="9999" max="10240" width="9" style="1"/>
    <col min="10241" max="10241" width="2" style="1" customWidth="1"/>
    <col min="10242" max="10242" width="4.8984375" style="1" customWidth="1"/>
    <col min="10243" max="10243" width="8.5" style="1" customWidth="1"/>
    <col min="10244" max="10244" width="14.69921875" style="1" customWidth="1"/>
    <col min="10245" max="10246" width="11.09765625" style="1" customWidth="1"/>
    <col min="10247" max="10247" width="14.09765625" style="1" customWidth="1"/>
    <col min="10248" max="10248" width="11.69921875" style="1" customWidth="1"/>
    <col min="10249" max="10249" width="8.69921875" style="1" customWidth="1"/>
    <col min="10250" max="10250" width="9" style="1"/>
    <col min="10251" max="10254" width="20.59765625" style="1" customWidth="1"/>
    <col min="10255" max="10496" width="9" style="1"/>
    <col min="10497" max="10497" width="2" style="1" customWidth="1"/>
    <col min="10498" max="10498" width="4.8984375" style="1" customWidth="1"/>
    <col min="10499" max="10499" width="8.5" style="1" customWidth="1"/>
    <col min="10500" max="10500" width="14.69921875" style="1" customWidth="1"/>
    <col min="10501" max="10502" width="11.09765625" style="1" customWidth="1"/>
    <col min="10503" max="10503" width="14.09765625" style="1" customWidth="1"/>
    <col min="10504" max="10504" width="11.69921875" style="1" customWidth="1"/>
    <col min="10505" max="10505" width="8.69921875" style="1" customWidth="1"/>
    <col min="10506" max="10506" width="9" style="1"/>
    <col min="10507" max="10510" width="20.59765625" style="1" customWidth="1"/>
    <col min="10511" max="10752" width="9" style="1"/>
    <col min="10753" max="10753" width="2" style="1" customWidth="1"/>
    <col min="10754" max="10754" width="4.8984375" style="1" customWidth="1"/>
    <col min="10755" max="10755" width="8.5" style="1" customWidth="1"/>
    <col min="10756" max="10756" width="14.69921875" style="1" customWidth="1"/>
    <col min="10757" max="10758" width="11.09765625" style="1" customWidth="1"/>
    <col min="10759" max="10759" width="14.09765625" style="1" customWidth="1"/>
    <col min="10760" max="10760" width="11.69921875" style="1" customWidth="1"/>
    <col min="10761" max="10761" width="8.69921875" style="1" customWidth="1"/>
    <col min="10762" max="10762" width="9" style="1"/>
    <col min="10763" max="10766" width="20.59765625" style="1" customWidth="1"/>
    <col min="10767" max="11008" width="9" style="1"/>
    <col min="11009" max="11009" width="2" style="1" customWidth="1"/>
    <col min="11010" max="11010" width="4.8984375" style="1" customWidth="1"/>
    <col min="11011" max="11011" width="8.5" style="1" customWidth="1"/>
    <col min="11012" max="11012" width="14.69921875" style="1" customWidth="1"/>
    <col min="11013" max="11014" width="11.09765625" style="1" customWidth="1"/>
    <col min="11015" max="11015" width="14.09765625" style="1" customWidth="1"/>
    <col min="11016" max="11016" width="11.69921875" style="1" customWidth="1"/>
    <col min="11017" max="11017" width="8.69921875" style="1" customWidth="1"/>
    <col min="11018" max="11018" width="9" style="1"/>
    <col min="11019" max="11022" width="20.59765625" style="1" customWidth="1"/>
    <col min="11023" max="11264" width="9" style="1"/>
    <col min="11265" max="11265" width="2" style="1" customWidth="1"/>
    <col min="11266" max="11266" width="4.8984375" style="1" customWidth="1"/>
    <col min="11267" max="11267" width="8.5" style="1" customWidth="1"/>
    <col min="11268" max="11268" width="14.69921875" style="1" customWidth="1"/>
    <col min="11269" max="11270" width="11.09765625" style="1" customWidth="1"/>
    <col min="11271" max="11271" width="14.09765625" style="1" customWidth="1"/>
    <col min="11272" max="11272" width="11.69921875" style="1" customWidth="1"/>
    <col min="11273" max="11273" width="8.69921875" style="1" customWidth="1"/>
    <col min="11274" max="11274" width="9" style="1"/>
    <col min="11275" max="11278" width="20.59765625" style="1" customWidth="1"/>
    <col min="11279" max="11520" width="9" style="1"/>
    <col min="11521" max="11521" width="2" style="1" customWidth="1"/>
    <col min="11522" max="11522" width="4.8984375" style="1" customWidth="1"/>
    <col min="11523" max="11523" width="8.5" style="1" customWidth="1"/>
    <col min="11524" max="11524" width="14.69921875" style="1" customWidth="1"/>
    <col min="11525" max="11526" width="11.09765625" style="1" customWidth="1"/>
    <col min="11527" max="11527" width="14.09765625" style="1" customWidth="1"/>
    <col min="11528" max="11528" width="11.69921875" style="1" customWidth="1"/>
    <col min="11529" max="11529" width="8.69921875" style="1" customWidth="1"/>
    <col min="11530" max="11530" width="9" style="1"/>
    <col min="11531" max="11534" width="20.59765625" style="1" customWidth="1"/>
    <col min="11535" max="11776" width="9" style="1"/>
    <col min="11777" max="11777" width="2" style="1" customWidth="1"/>
    <col min="11778" max="11778" width="4.8984375" style="1" customWidth="1"/>
    <col min="11779" max="11779" width="8.5" style="1" customWidth="1"/>
    <col min="11780" max="11780" width="14.69921875" style="1" customWidth="1"/>
    <col min="11781" max="11782" width="11.09765625" style="1" customWidth="1"/>
    <col min="11783" max="11783" width="14.09765625" style="1" customWidth="1"/>
    <col min="11784" max="11784" width="11.69921875" style="1" customWidth="1"/>
    <col min="11785" max="11785" width="8.69921875" style="1" customWidth="1"/>
    <col min="11786" max="11786" width="9" style="1"/>
    <col min="11787" max="11790" width="20.59765625" style="1" customWidth="1"/>
    <col min="11791" max="12032" width="9" style="1"/>
    <col min="12033" max="12033" width="2" style="1" customWidth="1"/>
    <col min="12034" max="12034" width="4.8984375" style="1" customWidth="1"/>
    <col min="12035" max="12035" width="8.5" style="1" customWidth="1"/>
    <col min="12036" max="12036" width="14.69921875" style="1" customWidth="1"/>
    <col min="12037" max="12038" width="11.09765625" style="1" customWidth="1"/>
    <col min="12039" max="12039" width="14.09765625" style="1" customWidth="1"/>
    <col min="12040" max="12040" width="11.69921875" style="1" customWidth="1"/>
    <col min="12041" max="12041" width="8.69921875" style="1" customWidth="1"/>
    <col min="12042" max="12042" width="9" style="1"/>
    <col min="12043" max="12046" width="20.59765625" style="1" customWidth="1"/>
    <col min="12047" max="12288" width="9" style="1"/>
    <col min="12289" max="12289" width="2" style="1" customWidth="1"/>
    <col min="12290" max="12290" width="4.8984375" style="1" customWidth="1"/>
    <col min="12291" max="12291" width="8.5" style="1" customWidth="1"/>
    <col min="12292" max="12292" width="14.69921875" style="1" customWidth="1"/>
    <col min="12293" max="12294" width="11.09765625" style="1" customWidth="1"/>
    <col min="12295" max="12295" width="14.09765625" style="1" customWidth="1"/>
    <col min="12296" max="12296" width="11.69921875" style="1" customWidth="1"/>
    <col min="12297" max="12297" width="8.69921875" style="1" customWidth="1"/>
    <col min="12298" max="12298" width="9" style="1"/>
    <col min="12299" max="12302" width="20.59765625" style="1" customWidth="1"/>
    <col min="12303" max="12544" width="9" style="1"/>
    <col min="12545" max="12545" width="2" style="1" customWidth="1"/>
    <col min="12546" max="12546" width="4.8984375" style="1" customWidth="1"/>
    <col min="12547" max="12547" width="8.5" style="1" customWidth="1"/>
    <col min="12548" max="12548" width="14.69921875" style="1" customWidth="1"/>
    <col min="12549" max="12550" width="11.09765625" style="1" customWidth="1"/>
    <col min="12551" max="12551" width="14.09765625" style="1" customWidth="1"/>
    <col min="12552" max="12552" width="11.69921875" style="1" customWidth="1"/>
    <col min="12553" max="12553" width="8.69921875" style="1" customWidth="1"/>
    <col min="12554" max="12554" width="9" style="1"/>
    <col min="12555" max="12558" width="20.59765625" style="1" customWidth="1"/>
    <col min="12559" max="12800" width="9" style="1"/>
    <col min="12801" max="12801" width="2" style="1" customWidth="1"/>
    <col min="12802" max="12802" width="4.8984375" style="1" customWidth="1"/>
    <col min="12803" max="12803" width="8.5" style="1" customWidth="1"/>
    <col min="12804" max="12804" width="14.69921875" style="1" customWidth="1"/>
    <col min="12805" max="12806" width="11.09765625" style="1" customWidth="1"/>
    <col min="12807" max="12807" width="14.09765625" style="1" customWidth="1"/>
    <col min="12808" max="12808" width="11.69921875" style="1" customWidth="1"/>
    <col min="12809" max="12809" width="8.69921875" style="1" customWidth="1"/>
    <col min="12810" max="12810" width="9" style="1"/>
    <col min="12811" max="12814" width="20.59765625" style="1" customWidth="1"/>
    <col min="12815" max="13056" width="9" style="1"/>
    <col min="13057" max="13057" width="2" style="1" customWidth="1"/>
    <col min="13058" max="13058" width="4.8984375" style="1" customWidth="1"/>
    <col min="13059" max="13059" width="8.5" style="1" customWidth="1"/>
    <col min="13060" max="13060" width="14.69921875" style="1" customWidth="1"/>
    <col min="13061" max="13062" width="11.09765625" style="1" customWidth="1"/>
    <col min="13063" max="13063" width="14.09765625" style="1" customWidth="1"/>
    <col min="13064" max="13064" width="11.69921875" style="1" customWidth="1"/>
    <col min="13065" max="13065" width="8.69921875" style="1" customWidth="1"/>
    <col min="13066" max="13066" width="9" style="1"/>
    <col min="13067" max="13070" width="20.59765625" style="1" customWidth="1"/>
    <col min="13071" max="13312" width="9" style="1"/>
    <col min="13313" max="13313" width="2" style="1" customWidth="1"/>
    <col min="13314" max="13314" width="4.8984375" style="1" customWidth="1"/>
    <col min="13315" max="13315" width="8.5" style="1" customWidth="1"/>
    <col min="13316" max="13316" width="14.69921875" style="1" customWidth="1"/>
    <col min="13317" max="13318" width="11.09765625" style="1" customWidth="1"/>
    <col min="13319" max="13319" width="14.09765625" style="1" customWidth="1"/>
    <col min="13320" max="13320" width="11.69921875" style="1" customWidth="1"/>
    <col min="13321" max="13321" width="8.69921875" style="1" customWidth="1"/>
    <col min="13322" max="13322" width="9" style="1"/>
    <col min="13323" max="13326" width="20.59765625" style="1" customWidth="1"/>
    <col min="13327" max="13568" width="9" style="1"/>
    <col min="13569" max="13569" width="2" style="1" customWidth="1"/>
    <col min="13570" max="13570" width="4.8984375" style="1" customWidth="1"/>
    <col min="13571" max="13571" width="8.5" style="1" customWidth="1"/>
    <col min="13572" max="13572" width="14.69921875" style="1" customWidth="1"/>
    <col min="13573" max="13574" width="11.09765625" style="1" customWidth="1"/>
    <col min="13575" max="13575" width="14.09765625" style="1" customWidth="1"/>
    <col min="13576" max="13576" width="11.69921875" style="1" customWidth="1"/>
    <col min="13577" max="13577" width="8.69921875" style="1" customWidth="1"/>
    <col min="13578" max="13578" width="9" style="1"/>
    <col min="13579" max="13582" width="20.59765625" style="1" customWidth="1"/>
    <col min="13583" max="13824" width="9" style="1"/>
    <col min="13825" max="13825" width="2" style="1" customWidth="1"/>
    <col min="13826" max="13826" width="4.8984375" style="1" customWidth="1"/>
    <col min="13827" max="13827" width="8.5" style="1" customWidth="1"/>
    <col min="13828" max="13828" width="14.69921875" style="1" customWidth="1"/>
    <col min="13829" max="13830" width="11.09765625" style="1" customWidth="1"/>
    <col min="13831" max="13831" width="14.09765625" style="1" customWidth="1"/>
    <col min="13832" max="13832" width="11.69921875" style="1" customWidth="1"/>
    <col min="13833" max="13833" width="8.69921875" style="1" customWidth="1"/>
    <col min="13834" max="13834" width="9" style="1"/>
    <col min="13835" max="13838" width="20.59765625" style="1" customWidth="1"/>
    <col min="13839" max="14080" width="9" style="1"/>
    <col min="14081" max="14081" width="2" style="1" customWidth="1"/>
    <col min="14082" max="14082" width="4.8984375" style="1" customWidth="1"/>
    <col min="14083" max="14083" width="8.5" style="1" customWidth="1"/>
    <col min="14084" max="14084" width="14.69921875" style="1" customWidth="1"/>
    <col min="14085" max="14086" width="11.09765625" style="1" customWidth="1"/>
    <col min="14087" max="14087" width="14.09765625" style="1" customWidth="1"/>
    <col min="14088" max="14088" width="11.69921875" style="1" customWidth="1"/>
    <col min="14089" max="14089" width="8.69921875" style="1" customWidth="1"/>
    <col min="14090" max="14090" width="9" style="1"/>
    <col min="14091" max="14094" width="20.59765625" style="1" customWidth="1"/>
    <col min="14095" max="14336" width="9" style="1"/>
    <col min="14337" max="14337" width="2" style="1" customWidth="1"/>
    <col min="14338" max="14338" width="4.8984375" style="1" customWidth="1"/>
    <col min="14339" max="14339" width="8.5" style="1" customWidth="1"/>
    <col min="14340" max="14340" width="14.69921875" style="1" customWidth="1"/>
    <col min="14341" max="14342" width="11.09765625" style="1" customWidth="1"/>
    <col min="14343" max="14343" width="14.09765625" style="1" customWidth="1"/>
    <col min="14344" max="14344" width="11.69921875" style="1" customWidth="1"/>
    <col min="14345" max="14345" width="8.69921875" style="1" customWidth="1"/>
    <col min="14346" max="14346" width="9" style="1"/>
    <col min="14347" max="14350" width="20.59765625" style="1" customWidth="1"/>
    <col min="14351" max="14592" width="9" style="1"/>
    <col min="14593" max="14593" width="2" style="1" customWidth="1"/>
    <col min="14594" max="14594" width="4.8984375" style="1" customWidth="1"/>
    <col min="14595" max="14595" width="8.5" style="1" customWidth="1"/>
    <col min="14596" max="14596" width="14.69921875" style="1" customWidth="1"/>
    <col min="14597" max="14598" width="11.09765625" style="1" customWidth="1"/>
    <col min="14599" max="14599" width="14.09765625" style="1" customWidth="1"/>
    <col min="14600" max="14600" width="11.69921875" style="1" customWidth="1"/>
    <col min="14601" max="14601" width="8.69921875" style="1" customWidth="1"/>
    <col min="14602" max="14602" width="9" style="1"/>
    <col min="14603" max="14606" width="20.59765625" style="1" customWidth="1"/>
    <col min="14607" max="14848" width="9" style="1"/>
    <col min="14849" max="14849" width="2" style="1" customWidth="1"/>
    <col min="14850" max="14850" width="4.8984375" style="1" customWidth="1"/>
    <col min="14851" max="14851" width="8.5" style="1" customWidth="1"/>
    <col min="14852" max="14852" width="14.69921875" style="1" customWidth="1"/>
    <col min="14853" max="14854" width="11.09765625" style="1" customWidth="1"/>
    <col min="14855" max="14855" width="14.09765625" style="1" customWidth="1"/>
    <col min="14856" max="14856" width="11.69921875" style="1" customWidth="1"/>
    <col min="14857" max="14857" width="8.69921875" style="1" customWidth="1"/>
    <col min="14858" max="14858" width="9" style="1"/>
    <col min="14859" max="14862" width="20.59765625" style="1" customWidth="1"/>
    <col min="14863" max="15104" width="9" style="1"/>
    <col min="15105" max="15105" width="2" style="1" customWidth="1"/>
    <col min="15106" max="15106" width="4.8984375" style="1" customWidth="1"/>
    <col min="15107" max="15107" width="8.5" style="1" customWidth="1"/>
    <col min="15108" max="15108" width="14.69921875" style="1" customWidth="1"/>
    <col min="15109" max="15110" width="11.09765625" style="1" customWidth="1"/>
    <col min="15111" max="15111" width="14.09765625" style="1" customWidth="1"/>
    <col min="15112" max="15112" width="11.69921875" style="1" customWidth="1"/>
    <col min="15113" max="15113" width="8.69921875" style="1" customWidth="1"/>
    <col min="15114" max="15114" width="9" style="1"/>
    <col min="15115" max="15118" width="20.59765625" style="1" customWidth="1"/>
    <col min="15119" max="15360" width="9" style="1"/>
    <col min="15361" max="15361" width="2" style="1" customWidth="1"/>
    <col min="15362" max="15362" width="4.8984375" style="1" customWidth="1"/>
    <col min="15363" max="15363" width="8.5" style="1" customWidth="1"/>
    <col min="15364" max="15364" width="14.69921875" style="1" customWidth="1"/>
    <col min="15365" max="15366" width="11.09765625" style="1" customWidth="1"/>
    <col min="15367" max="15367" width="14.09765625" style="1" customWidth="1"/>
    <col min="15368" max="15368" width="11.69921875" style="1" customWidth="1"/>
    <col min="15369" max="15369" width="8.69921875" style="1" customWidth="1"/>
    <col min="15370" max="15370" width="9" style="1"/>
    <col min="15371" max="15374" width="20.59765625" style="1" customWidth="1"/>
    <col min="15375" max="15616" width="9" style="1"/>
    <col min="15617" max="15617" width="2" style="1" customWidth="1"/>
    <col min="15618" max="15618" width="4.8984375" style="1" customWidth="1"/>
    <col min="15619" max="15619" width="8.5" style="1" customWidth="1"/>
    <col min="15620" max="15620" width="14.69921875" style="1" customWidth="1"/>
    <col min="15621" max="15622" width="11.09765625" style="1" customWidth="1"/>
    <col min="15623" max="15623" width="14.09765625" style="1" customWidth="1"/>
    <col min="15624" max="15624" width="11.69921875" style="1" customWidth="1"/>
    <col min="15625" max="15625" width="8.69921875" style="1" customWidth="1"/>
    <col min="15626" max="15626" width="9" style="1"/>
    <col min="15627" max="15630" width="20.59765625" style="1" customWidth="1"/>
    <col min="15631" max="15872" width="9" style="1"/>
    <col min="15873" max="15873" width="2" style="1" customWidth="1"/>
    <col min="15874" max="15874" width="4.8984375" style="1" customWidth="1"/>
    <col min="15875" max="15875" width="8.5" style="1" customWidth="1"/>
    <col min="15876" max="15876" width="14.69921875" style="1" customWidth="1"/>
    <col min="15877" max="15878" width="11.09765625" style="1" customWidth="1"/>
    <col min="15879" max="15879" width="14.09765625" style="1" customWidth="1"/>
    <col min="15880" max="15880" width="11.69921875" style="1" customWidth="1"/>
    <col min="15881" max="15881" width="8.69921875" style="1" customWidth="1"/>
    <col min="15882" max="15882" width="9" style="1"/>
    <col min="15883" max="15886" width="20.59765625" style="1" customWidth="1"/>
    <col min="15887" max="16128" width="9" style="1"/>
    <col min="16129" max="16129" width="2" style="1" customWidth="1"/>
    <col min="16130" max="16130" width="4.8984375" style="1" customWidth="1"/>
    <col min="16131" max="16131" width="8.5" style="1" customWidth="1"/>
    <col min="16132" max="16132" width="14.69921875" style="1" customWidth="1"/>
    <col min="16133" max="16134" width="11.09765625" style="1" customWidth="1"/>
    <col min="16135" max="16135" width="14.09765625" style="1" customWidth="1"/>
    <col min="16136" max="16136" width="11.69921875" style="1" customWidth="1"/>
    <col min="16137" max="16137" width="8.69921875" style="1" customWidth="1"/>
    <col min="16138" max="16138" width="9" style="1"/>
    <col min="16139" max="16142" width="20.59765625" style="1" customWidth="1"/>
    <col min="16143" max="16384" width="9" style="1"/>
  </cols>
  <sheetData>
    <row r="1" spans="2:14" x14ac:dyDescent="0.4">
      <c r="B1" s="1" t="s">
        <v>0</v>
      </c>
    </row>
    <row r="2" spans="2:14" ht="38.4" x14ac:dyDescent="0.4">
      <c r="B2" s="265" t="s">
        <v>1</v>
      </c>
      <c r="C2" s="265"/>
      <c r="D2" s="265"/>
      <c r="E2" s="265"/>
      <c r="F2" s="265"/>
      <c r="G2" s="265"/>
      <c r="H2" s="265"/>
      <c r="I2" s="265"/>
    </row>
    <row r="4" spans="2:14" s="3" customFormat="1" ht="24" customHeight="1" x14ac:dyDescent="0.4">
      <c r="B4" s="266" t="s">
        <v>2</v>
      </c>
      <c r="C4" s="266"/>
      <c r="D4" s="266"/>
      <c r="G4" s="4" t="s">
        <v>3</v>
      </c>
      <c r="H4" s="5"/>
      <c r="I4" s="6"/>
      <c r="K4" s="7"/>
      <c r="L4" s="7"/>
      <c r="M4" s="7"/>
      <c r="N4" s="7"/>
    </row>
    <row r="5" spans="2:14" s="3" customFormat="1" ht="21.75" customHeight="1" x14ac:dyDescent="0.4">
      <c r="B5" s="254" t="s">
        <v>4</v>
      </c>
      <c r="C5" s="255"/>
      <c r="D5" s="8">
        <v>45922</v>
      </c>
      <c r="E5" s="9"/>
      <c r="G5" s="10" t="s">
        <v>5</v>
      </c>
      <c r="H5" s="11"/>
      <c r="I5" s="12"/>
      <c r="K5" s="7"/>
      <c r="L5" s="7"/>
      <c r="M5" s="7"/>
      <c r="N5" s="7"/>
    </row>
    <row r="6" spans="2:14" s="3" customFormat="1" ht="21.75" customHeight="1" x14ac:dyDescent="0.4">
      <c r="B6" s="254" t="s">
        <v>6</v>
      </c>
      <c r="C6" s="255"/>
      <c r="D6" s="13" t="s">
        <v>7</v>
      </c>
      <c r="E6" s="9"/>
      <c r="G6" s="10" t="s">
        <v>8</v>
      </c>
      <c r="H6" s="14"/>
      <c r="I6" s="15"/>
      <c r="K6" s="7"/>
      <c r="L6" s="7"/>
      <c r="M6" s="7"/>
      <c r="N6" s="7"/>
    </row>
    <row r="7" spans="2:14" s="3" customFormat="1" ht="21.75" customHeight="1" x14ac:dyDescent="0.4">
      <c r="B7" s="267" t="s">
        <v>9</v>
      </c>
      <c r="C7" s="16" t="s">
        <v>10</v>
      </c>
      <c r="D7" s="13" t="s">
        <v>11</v>
      </c>
      <c r="E7" s="9"/>
      <c r="G7" s="17"/>
      <c r="H7" s="14"/>
      <c r="I7" s="15"/>
      <c r="K7" s="7"/>
      <c r="L7" s="7"/>
      <c r="M7" s="7"/>
      <c r="N7" s="7"/>
    </row>
    <row r="8" spans="2:14" s="3" customFormat="1" ht="21.75" customHeight="1" x14ac:dyDescent="0.4">
      <c r="B8" s="267"/>
      <c r="C8" s="16" t="s">
        <v>12</v>
      </c>
      <c r="D8" s="13" t="s">
        <v>11</v>
      </c>
      <c r="E8" s="9"/>
      <c r="G8" s="17" t="s">
        <v>13</v>
      </c>
      <c r="H8" s="14"/>
      <c r="I8" s="15"/>
      <c r="K8" s="7"/>
      <c r="L8" s="7"/>
      <c r="M8" s="7"/>
      <c r="N8" s="7"/>
    </row>
    <row r="9" spans="2:14" s="3" customFormat="1" ht="21.75" customHeight="1" x14ac:dyDescent="0.4">
      <c r="B9" s="254" t="s">
        <v>14</v>
      </c>
      <c r="C9" s="255"/>
      <c r="D9" s="13" t="s">
        <v>15</v>
      </c>
      <c r="E9" s="9"/>
      <c r="G9" s="10" t="s">
        <v>16</v>
      </c>
      <c r="H9" s="14"/>
      <c r="I9" s="15"/>
      <c r="K9" s="7"/>
      <c r="L9" s="7"/>
      <c r="M9" s="7"/>
      <c r="N9" s="7"/>
    </row>
    <row r="10" spans="2:14" s="3" customFormat="1" ht="21.75" customHeight="1" x14ac:dyDescent="0.4">
      <c r="B10" s="254" t="s">
        <v>17</v>
      </c>
      <c r="C10" s="255"/>
      <c r="D10" s="13" t="s">
        <v>18</v>
      </c>
      <c r="E10" s="9"/>
      <c r="G10" s="18" t="s">
        <v>19</v>
      </c>
      <c r="H10" s="19" t="s">
        <v>20</v>
      </c>
      <c r="I10" s="20"/>
      <c r="K10" s="7"/>
      <c r="L10" s="7"/>
      <c r="M10" s="7"/>
      <c r="N10" s="7"/>
    </row>
    <row r="11" spans="2:14" s="3" customFormat="1" ht="21.75" customHeight="1" x14ac:dyDescent="0.4">
      <c r="B11" s="254" t="s">
        <v>21</v>
      </c>
      <c r="C11" s="255"/>
      <c r="D11" s="13" t="s">
        <v>11</v>
      </c>
      <c r="E11" s="9"/>
      <c r="G11" s="21" t="s">
        <v>22</v>
      </c>
      <c r="H11" s="22" t="s">
        <v>23</v>
      </c>
      <c r="I11" s="23"/>
      <c r="K11" s="7"/>
      <c r="L11" s="7"/>
      <c r="M11" s="7"/>
      <c r="N11" s="7"/>
    </row>
    <row r="12" spans="2:14" s="25" customFormat="1" ht="10.5" customHeight="1" x14ac:dyDescent="0.4">
      <c r="B12" s="24"/>
      <c r="I12" s="26"/>
      <c r="K12" s="27"/>
      <c r="L12" s="27"/>
      <c r="M12" s="27"/>
      <c r="N12" s="27"/>
    </row>
    <row r="13" spans="2:14" s="25" customFormat="1" ht="24.9" customHeight="1" x14ac:dyDescent="0.4">
      <c r="B13" s="256" t="s">
        <v>24</v>
      </c>
      <c r="C13" s="256"/>
      <c r="D13" s="257" t="str">
        <f>"一金"&amp;NUMBERSTRING(H27,1)&amp;"원整"</f>
        <v>一金이백팔십일만원整</v>
      </c>
      <c r="E13" s="258"/>
      <c r="F13" s="258"/>
      <c r="G13" s="259">
        <f>H27</f>
        <v>2810000.1799999997</v>
      </c>
      <c r="H13" s="260"/>
      <c r="I13" s="28" t="s">
        <v>25</v>
      </c>
      <c r="K13" s="29"/>
      <c r="L13" s="29"/>
      <c r="M13" s="29"/>
      <c r="N13" s="29"/>
    </row>
    <row r="14" spans="2:14" s="3" customFormat="1" ht="8.25" customHeight="1" x14ac:dyDescent="0.4">
      <c r="K14" s="7"/>
      <c r="L14" s="7"/>
      <c r="M14" s="7"/>
      <c r="N14" s="7"/>
    </row>
    <row r="15" spans="2:14" s="30" customFormat="1" ht="24.9" customHeight="1" x14ac:dyDescent="0.4">
      <c r="B15" s="247" t="s">
        <v>26</v>
      </c>
      <c r="C15" s="261" t="s">
        <v>27</v>
      </c>
      <c r="D15" s="262"/>
      <c r="E15" s="248" t="s">
        <v>28</v>
      </c>
      <c r="F15" s="248"/>
      <c r="G15" s="248"/>
      <c r="H15" s="248"/>
      <c r="I15" s="247" t="s">
        <v>29</v>
      </c>
      <c r="K15" s="31"/>
      <c r="L15" s="31"/>
      <c r="M15" s="31"/>
      <c r="N15" s="31"/>
    </row>
    <row r="16" spans="2:14" s="30" customFormat="1" ht="29.25" customHeight="1" x14ac:dyDescent="0.4">
      <c r="B16" s="248"/>
      <c r="C16" s="263"/>
      <c r="D16" s="264"/>
      <c r="E16" s="32" t="s">
        <v>30</v>
      </c>
      <c r="F16" s="33" t="s">
        <v>31</v>
      </c>
      <c r="G16" s="34" t="s">
        <v>32</v>
      </c>
      <c r="H16" s="35" t="s">
        <v>33</v>
      </c>
      <c r="I16" s="248"/>
      <c r="K16" s="36" t="s">
        <v>30</v>
      </c>
      <c r="L16" s="36" t="s">
        <v>31</v>
      </c>
      <c r="M16" s="36" t="s">
        <v>34</v>
      </c>
      <c r="N16" s="36" t="s">
        <v>35</v>
      </c>
    </row>
    <row r="17" spans="2:14" ht="24.9" customHeight="1" x14ac:dyDescent="0.4">
      <c r="B17" s="37">
        <v>1</v>
      </c>
      <c r="C17" s="249" t="s">
        <v>36</v>
      </c>
      <c r="D17" s="250"/>
      <c r="E17" s="38">
        <v>443984</v>
      </c>
      <c r="F17" s="251">
        <v>608293.39999999991</v>
      </c>
      <c r="G17" s="39">
        <v>45918.400000000001</v>
      </c>
      <c r="H17" s="40">
        <v>606999.6</v>
      </c>
      <c r="I17" s="37"/>
      <c r="K17" s="41">
        <v>443984</v>
      </c>
      <c r="L17" s="42">
        <v>117097.2</v>
      </c>
      <c r="M17" s="41">
        <v>45918.400000000001</v>
      </c>
      <c r="N17" s="41">
        <v>606999.6</v>
      </c>
    </row>
    <row r="18" spans="2:14" ht="24.9" customHeight="1" x14ac:dyDescent="0.4">
      <c r="B18" s="43">
        <v>2</v>
      </c>
      <c r="C18" s="222" t="s">
        <v>37</v>
      </c>
      <c r="D18" s="223"/>
      <c r="E18" s="44">
        <v>784950.8</v>
      </c>
      <c r="F18" s="252"/>
      <c r="G18" s="45">
        <v>78495.08</v>
      </c>
      <c r="H18" s="46">
        <v>1073000.28</v>
      </c>
      <c r="I18" s="47"/>
      <c r="K18" s="41">
        <v>784950.8</v>
      </c>
      <c r="L18" s="41">
        <v>209554.39999999997</v>
      </c>
      <c r="M18" s="41">
        <v>78495.08</v>
      </c>
      <c r="N18" s="41">
        <v>1073000.28</v>
      </c>
    </row>
    <row r="19" spans="2:14" ht="24.9" customHeight="1" x14ac:dyDescent="0.4">
      <c r="B19" s="43">
        <v>3</v>
      </c>
      <c r="C19" s="222" t="s">
        <v>38</v>
      </c>
      <c r="D19" s="223"/>
      <c r="E19" s="44">
        <v>411002</v>
      </c>
      <c r="F19" s="252"/>
      <c r="G19" s="45">
        <v>41100.200000000004</v>
      </c>
      <c r="H19" s="46">
        <v>593000.1</v>
      </c>
      <c r="I19" s="47"/>
      <c r="K19" s="41">
        <v>411002</v>
      </c>
      <c r="L19" s="41">
        <v>140897.9</v>
      </c>
      <c r="M19" s="41">
        <v>41100.200000000004</v>
      </c>
      <c r="N19" s="41">
        <v>593000.1</v>
      </c>
    </row>
    <row r="20" spans="2:14" ht="24.9" customHeight="1" x14ac:dyDescent="0.4">
      <c r="B20" s="43">
        <v>4</v>
      </c>
      <c r="C20" s="222" t="s">
        <v>39</v>
      </c>
      <c r="D20" s="223"/>
      <c r="E20" s="44">
        <v>360233</v>
      </c>
      <c r="F20" s="252"/>
      <c r="G20" s="45">
        <v>36023.300000000003</v>
      </c>
      <c r="H20" s="46">
        <v>537000.19999999995</v>
      </c>
      <c r="I20" s="47"/>
      <c r="K20" s="41">
        <v>360233</v>
      </c>
      <c r="L20" s="41">
        <v>140743.89999999997</v>
      </c>
      <c r="M20" s="41">
        <v>36023.300000000003</v>
      </c>
      <c r="N20" s="41">
        <v>537000.19999999995</v>
      </c>
    </row>
    <row r="21" spans="2:14" ht="24.9" customHeight="1" x14ac:dyDescent="0.4">
      <c r="B21" s="43">
        <v>5</v>
      </c>
      <c r="C21" s="222"/>
      <c r="D21" s="223"/>
      <c r="E21" s="44"/>
      <c r="F21" s="252"/>
      <c r="G21" s="45"/>
      <c r="H21" s="46"/>
      <c r="I21" s="47"/>
      <c r="K21" s="41"/>
      <c r="L21" s="41"/>
      <c r="M21" s="41"/>
      <c r="N21" s="41"/>
    </row>
    <row r="22" spans="2:14" ht="24.9" customHeight="1" x14ac:dyDescent="0.4">
      <c r="B22" s="43">
        <v>6</v>
      </c>
      <c r="C22" s="222"/>
      <c r="D22" s="223"/>
      <c r="E22" s="44"/>
      <c r="F22" s="252"/>
      <c r="G22" s="45"/>
      <c r="H22" s="46"/>
      <c r="I22" s="47"/>
      <c r="K22" s="41"/>
      <c r="L22" s="41"/>
      <c r="M22" s="41"/>
      <c r="N22" s="41"/>
    </row>
    <row r="23" spans="2:14" ht="24.9" customHeight="1" x14ac:dyDescent="0.4">
      <c r="B23" s="43">
        <v>7</v>
      </c>
      <c r="C23" s="222"/>
      <c r="D23" s="223"/>
      <c r="E23" s="44"/>
      <c r="F23" s="252"/>
      <c r="G23" s="45"/>
      <c r="H23" s="46"/>
      <c r="I23" s="47"/>
      <c r="K23" s="41"/>
      <c r="L23" s="41"/>
      <c r="M23" s="41"/>
      <c r="N23" s="41"/>
    </row>
    <row r="24" spans="2:14" ht="24.9" customHeight="1" x14ac:dyDescent="0.4">
      <c r="B24" s="48">
        <v>8</v>
      </c>
      <c r="C24" s="222"/>
      <c r="D24" s="223"/>
      <c r="E24" s="44"/>
      <c r="F24" s="252"/>
      <c r="G24" s="45" t="s">
        <v>40</v>
      </c>
      <c r="H24" s="46" t="s">
        <v>40</v>
      </c>
      <c r="I24" s="47"/>
      <c r="K24" s="41"/>
      <c r="L24" s="41"/>
      <c r="M24" s="41"/>
      <c r="N24" s="41"/>
    </row>
    <row r="25" spans="2:14" ht="24.9" customHeight="1" x14ac:dyDescent="0.4">
      <c r="B25" s="48">
        <v>9</v>
      </c>
      <c r="C25" s="222"/>
      <c r="D25" s="223"/>
      <c r="E25" s="44"/>
      <c r="F25" s="252"/>
      <c r="G25" s="45" t="s">
        <v>40</v>
      </c>
      <c r="H25" s="46" t="s">
        <v>40</v>
      </c>
      <c r="I25" s="47"/>
      <c r="K25" s="41"/>
      <c r="L25" s="41"/>
      <c r="M25" s="41"/>
      <c r="N25" s="41"/>
    </row>
    <row r="26" spans="2:14" ht="24.9" customHeight="1" x14ac:dyDescent="0.4">
      <c r="B26" s="49">
        <v>10</v>
      </c>
      <c r="C26" s="222"/>
      <c r="D26" s="223"/>
      <c r="E26" s="44"/>
      <c r="F26" s="253"/>
      <c r="G26" s="45" t="s">
        <v>40</v>
      </c>
      <c r="H26" s="46" t="s">
        <v>40</v>
      </c>
      <c r="I26" s="50"/>
      <c r="K26" s="41"/>
      <c r="L26" s="41"/>
      <c r="M26" s="41"/>
      <c r="N26" s="41"/>
    </row>
    <row r="27" spans="2:14" ht="24.9" customHeight="1" x14ac:dyDescent="0.4">
      <c r="B27" s="224" t="s">
        <v>41</v>
      </c>
      <c r="C27" s="225"/>
      <c r="D27" s="226"/>
      <c r="E27" s="51">
        <f>SUM(E17:E26)</f>
        <v>2000169.8</v>
      </c>
      <c r="F27" s="52">
        <f>SUM(F17)</f>
        <v>608293.39999999991</v>
      </c>
      <c r="G27" s="52">
        <f>SUM(G17:G26)</f>
        <v>201536.98000000004</v>
      </c>
      <c r="H27" s="53">
        <f>SUM(H17:H26)</f>
        <v>2810000.1799999997</v>
      </c>
      <c r="I27" s="54"/>
      <c r="N27" s="2">
        <f>SUM(N17:N26)</f>
        <v>2810000.1799999997</v>
      </c>
    </row>
    <row r="28" spans="2:14" ht="4.5" customHeight="1" x14ac:dyDescent="0.4">
      <c r="B28" s="55"/>
      <c r="C28" s="56"/>
      <c r="D28" s="56"/>
      <c r="E28" s="57"/>
      <c r="F28" s="57"/>
      <c r="G28" s="57"/>
      <c r="H28" s="57"/>
    </row>
    <row r="29" spans="2:14" ht="24" customHeight="1" x14ac:dyDescent="0.4">
      <c r="B29" s="56"/>
      <c r="C29" s="56"/>
      <c r="D29" s="56"/>
      <c r="E29" s="57"/>
      <c r="F29" s="227" t="s">
        <v>42</v>
      </c>
      <c r="G29" s="228"/>
      <c r="H29" s="58"/>
    </row>
    <row r="30" spans="2:14" ht="15" customHeight="1" x14ac:dyDescent="0.4">
      <c r="B30" s="56"/>
      <c r="C30" s="56"/>
      <c r="D30" s="56"/>
      <c r="E30" s="57"/>
      <c r="F30" s="57"/>
      <c r="G30" s="57"/>
      <c r="H30" s="57"/>
    </row>
    <row r="31" spans="2:14" ht="22.5" customHeight="1" x14ac:dyDescent="0.4">
      <c r="B31" s="229" t="s">
        <v>43</v>
      </c>
      <c r="C31" s="232" t="s">
        <v>44</v>
      </c>
      <c r="D31" s="233"/>
      <c r="E31" s="234"/>
      <c r="F31" s="235" t="s">
        <v>45</v>
      </c>
      <c r="G31" s="236"/>
      <c r="H31" s="236"/>
      <c r="I31" s="237"/>
    </row>
    <row r="32" spans="2:14" ht="22.5" customHeight="1" x14ac:dyDescent="0.4">
      <c r="B32" s="230"/>
      <c r="C32" s="238" t="s">
        <v>46</v>
      </c>
      <c r="D32" s="239"/>
      <c r="E32" s="240"/>
      <c r="F32" s="59" t="s">
        <v>47</v>
      </c>
      <c r="G32" s="241"/>
      <c r="H32" s="242"/>
      <c r="I32" s="243"/>
    </row>
    <row r="33" spans="2:11" ht="22.5" customHeight="1" x14ac:dyDescent="0.4">
      <c r="B33" s="230"/>
      <c r="C33" s="244">
        <f>'원가항목별(집계)'!I39</f>
        <v>0</v>
      </c>
      <c r="D33" s="245"/>
      <c r="E33" s="246"/>
      <c r="F33" s="48" t="s">
        <v>48</v>
      </c>
      <c r="G33" s="210"/>
      <c r="H33" s="211"/>
      <c r="I33" s="212"/>
    </row>
    <row r="34" spans="2:11" ht="22.5" customHeight="1" x14ac:dyDescent="0.4">
      <c r="B34" s="230"/>
      <c r="C34" s="213"/>
      <c r="D34" s="214"/>
      <c r="E34" s="215"/>
      <c r="F34" s="48" t="s">
        <v>49</v>
      </c>
      <c r="G34" s="210"/>
      <c r="H34" s="211"/>
      <c r="I34" s="212"/>
    </row>
    <row r="35" spans="2:11" ht="22.5" customHeight="1" x14ac:dyDescent="0.4">
      <c r="B35" s="231"/>
      <c r="C35" s="216"/>
      <c r="D35" s="217"/>
      <c r="E35" s="218"/>
      <c r="F35" s="49" t="s">
        <v>50</v>
      </c>
      <c r="G35" s="219"/>
      <c r="H35" s="220"/>
      <c r="I35" s="221"/>
    </row>
    <row r="44" spans="2:11" x14ac:dyDescent="0.4">
      <c r="K44" s="2" t="e">
        <f>#REF!+#REF!+#REF!+#REF!+#REF!+#REF!+#REF!+#REF!+#REF!+#REF!+#REF!</f>
        <v>#REF!</v>
      </c>
    </row>
  </sheetData>
  <mergeCells count="39"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  <mergeCell ref="C17:D17"/>
    <mergeCell ref="F17:F2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손철호 책임매니저 통합구매팀 son@hyundai-wia.com 2026-07-07T13:18:18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8227-534C-4A19-A814-0BDE1768116D}">
  <sheetPr>
    <pageSetUpPr fitToPage="1"/>
  </sheetPr>
  <dimension ref="B2:X50"/>
  <sheetViews>
    <sheetView showGridLines="0" zoomScale="80" workbookViewId="0">
      <pane ySplit="6" topLeftCell="A7" activePane="bottomLeft" state="frozen"/>
      <selection activeCell="E20" sqref="E20"/>
      <selection pane="bottomLeft" activeCell="E20" sqref="E20"/>
    </sheetView>
  </sheetViews>
  <sheetFormatPr defaultColWidth="9" defaultRowHeight="19.5" customHeight="1" x14ac:dyDescent="0.4"/>
  <cols>
    <col min="1" max="1" width="0.5" style="60" customWidth="1"/>
    <col min="2" max="2" width="5.19921875" style="60" bestFit="1" customWidth="1"/>
    <col min="3" max="3" width="7.3984375" style="60" customWidth="1"/>
    <col min="4" max="4" width="8.8984375" style="60" customWidth="1"/>
    <col min="5" max="5" width="17.69921875" style="60" customWidth="1"/>
    <col min="6" max="6" width="6.3984375" style="61" customWidth="1"/>
    <col min="7" max="7" width="8.8984375" style="62" customWidth="1"/>
    <col min="8" max="8" width="9.69921875" style="63" customWidth="1"/>
    <col min="9" max="9" width="17.5" style="63" bestFit="1" customWidth="1"/>
    <col min="10" max="10" width="15.59765625" style="60" customWidth="1"/>
    <col min="11" max="11" width="13.69921875" style="64" bestFit="1" customWidth="1"/>
    <col min="12" max="12" width="10.8984375" style="60" bestFit="1" customWidth="1"/>
    <col min="13" max="15" width="9" style="60"/>
    <col min="16" max="16" width="9" style="60" customWidth="1"/>
    <col min="17" max="22" width="15.59765625" style="60" customWidth="1"/>
    <col min="23" max="256" width="9" style="60"/>
    <col min="257" max="257" width="0.5" style="60" customWidth="1"/>
    <col min="258" max="258" width="5.19921875" style="60" bestFit="1" customWidth="1"/>
    <col min="259" max="259" width="7.3984375" style="60" customWidth="1"/>
    <col min="260" max="260" width="8.8984375" style="60" customWidth="1"/>
    <col min="261" max="261" width="17.69921875" style="60" customWidth="1"/>
    <col min="262" max="262" width="6.3984375" style="60" customWidth="1"/>
    <col min="263" max="263" width="8.8984375" style="60" customWidth="1"/>
    <col min="264" max="264" width="9.69921875" style="60" customWidth="1"/>
    <col min="265" max="265" width="17.5" style="60" bestFit="1" customWidth="1"/>
    <col min="266" max="266" width="15.59765625" style="60" customWidth="1"/>
    <col min="267" max="267" width="13.69921875" style="60" bestFit="1" customWidth="1"/>
    <col min="268" max="268" width="10.8984375" style="60" bestFit="1" customWidth="1"/>
    <col min="269" max="272" width="9" style="60"/>
    <col min="273" max="278" width="15.59765625" style="60" customWidth="1"/>
    <col min="279" max="512" width="9" style="60"/>
    <col min="513" max="513" width="0.5" style="60" customWidth="1"/>
    <col min="514" max="514" width="5.19921875" style="60" bestFit="1" customWidth="1"/>
    <col min="515" max="515" width="7.3984375" style="60" customWidth="1"/>
    <col min="516" max="516" width="8.8984375" style="60" customWidth="1"/>
    <col min="517" max="517" width="17.69921875" style="60" customWidth="1"/>
    <col min="518" max="518" width="6.3984375" style="60" customWidth="1"/>
    <col min="519" max="519" width="8.8984375" style="60" customWidth="1"/>
    <col min="520" max="520" width="9.69921875" style="60" customWidth="1"/>
    <col min="521" max="521" width="17.5" style="60" bestFit="1" customWidth="1"/>
    <col min="522" max="522" width="15.59765625" style="60" customWidth="1"/>
    <col min="523" max="523" width="13.69921875" style="60" bestFit="1" customWidth="1"/>
    <col min="524" max="524" width="10.8984375" style="60" bestFit="1" customWidth="1"/>
    <col min="525" max="528" width="9" style="60"/>
    <col min="529" max="534" width="15.59765625" style="60" customWidth="1"/>
    <col min="535" max="768" width="9" style="60"/>
    <col min="769" max="769" width="0.5" style="60" customWidth="1"/>
    <col min="770" max="770" width="5.19921875" style="60" bestFit="1" customWidth="1"/>
    <col min="771" max="771" width="7.3984375" style="60" customWidth="1"/>
    <col min="772" max="772" width="8.8984375" style="60" customWidth="1"/>
    <col min="773" max="773" width="17.69921875" style="60" customWidth="1"/>
    <col min="774" max="774" width="6.3984375" style="60" customWidth="1"/>
    <col min="775" max="775" width="8.8984375" style="60" customWidth="1"/>
    <col min="776" max="776" width="9.69921875" style="60" customWidth="1"/>
    <col min="777" max="777" width="17.5" style="60" bestFit="1" customWidth="1"/>
    <col min="778" max="778" width="15.59765625" style="60" customWidth="1"/>
    <col min="779" max="779" width="13.69921875" style="60" bestFit="1" customWidth="1"/>
    <col min="780" max="780" width="10.8984375" style="60" bestFit="1" customWidth="1"/>
    <col min="781" max="784" width="9" style="60"/>
    <col min="785" max="790" width="15.59765625" style="60" customWidth="1"/>
    <col min="791" max="1024" width="9" style="60"/>
    <col min="1025" max="1025" width="0.5" style="60" customWidth="1"/>
    <col min="1026" max="1026" width="5.19921875" style="60" bestFit="1" customWidth="1"/>
    <col min="1027" max="1027" width="7.3984375" style="60" customWidth="1"/>
    <col min="1028" max="1028" width="8.8984375" style="60" customWidth="1"/>
    <col min="1029" max="1029" width="17.69921875" style="60" customWidth="1"/>
    <col min="1030" max="1030" width="6.3984375" style="60" customWidth="1"/>
    <col min="1031" max="1031" width="8.8984375" style="60" customWidth="1"/>
    <col min="1032" max="1032" width="9.69921875" style="60" customWidth="1"/>
    <col min="1033" max="1033" width="17.5" style="60" bestFit="1" customWidth="1"/>
    <col min="1034" max="1034" width="15.59765625" style="60" customWidth="1"/>
    <col min="1035" max="1035" width="13.69921875" style="60" bestFit="1" customWidth="1"/>
    <col min="1036" max="1036" width="10.8984375" style="60" bestFit="1" customWidth="1"/>
    <col min="1037" max="1040" width="9" style="60"/>
    <col min="1041" max="1046" width="15.59765625" style="60" customWidth="1"/>
    <col min="1047" max="1280" width="9" style="60"/>
    <col min="1281" max="1281" width="0.5" style="60" customWidth="1"/>
    <col min="1282" max="1282" width="5.19921875" style="60" bestFit="1" customWidth="1"/>
    <col min="1283" max="1283" width="7.3984375" style="60" customWidth="1"/>
    <col min="1284" max="1284" width="8.8984375" style="60" customWidth="1"/>
    <col min="1285" max="1285" width="17.69921875" style="60" customWidth="1"/>
    <col min="1286" max="1286" width="6.3984375" style="60" customWidth="1"/>
    <col min="1287" max="1287" width="8.8984375" style="60" customWidth="1"/>
    <col min="1288" max="1288" width="9.69921875" style="60" customWidth="1"/>
    <col min="1289" max="1289" width="17.5" style="60" bestFit="1" customWidth="1"/>
    <col min="1290" max="1290" width="15.59765625" style="60" customWidth="1"/>
    <col min="1291" max="1291" width="13.69921875" style="60" bestFit="1" customWidth="1"/>
    <col min="1292" max="1292" width="10.8984375" style="60" bestFit="1" customWidth="1"/>
    <col min="1293" max="1296" width="9" style="60"/>
    <col min="1297" max="1302" width="15.59765625" style="60" customWidth="1"/>
    <col min="1303" max="1536" width="9" style="60"/>
    <col min="1537" max="1537" width="0.5" style="60" customWidth="1"/>
    <col min="1538" max="1538" width="5.19921875" style="60" bestFit="1" customWidth="1"/>
    <col min="1539" max="1539" width="7.3984375" style="60" customWidth="1"/>
    <col min="1540" max="1540" width="8.8984375" style="60" customWidth="1"/>
    <col min="1541" max="1541" width="17.69921875" style="60" customWidth="1"/>
    <col min="1542" max="1542" width="6.3984375" style="60" customWidth="1"/>
    <col min="1543" max="1543" width="8.8984375" style="60" customWidth="1"/>
    <col min="1544" max="1544" width="9.69921875" style="60" customWidth="1"/>
    <col min="1545" max="1545" width="17.5" style="60" bestFit="1" customWidth="1"/>
    <col min="1546" max="1546" width="15.59765625" style="60" customWidth="1"/>
    <col min="1547" max="1547" width="13.69921875" style="60" bestFit="1" customWidth="1"/>
    <col min="1548" max="1548" width="10.8984375" style="60" bestFit="1" customWidth="1"/>
    <col min="1549" max="1552" width="9" style="60"/>
    <col min="1553" max="1558" width="15.59765625" style="60" customWidth="1"/>
    <col min="1559" max="1792" width="9" style="60"/>
    <col min="1793" max="1793" width="0.5" style="60" customWidth="1"/>
    <col min="1794" max="1794" width="5.19921875" style="60" bestFit="1" customWidth="1"/>
    <col min="1795" max="1795" width="7.3984375" style="60" customWidth="1"/>
    <col min="1796" max="1796" width="8.8984375" style="60" customWidth="1"/>
    <col min="1797" max="1797" width="17.69921875" style="60" customWidth="1"/>
    <col min="1798" max="1798" width="6.3984375" style="60" customWidth="1"/>
    <col min="1799" max="1799" width="8.8984375" style="60" customWidth="1"/>
    <col min="1800" max="1800" width="9.69921875" style="60" customWidth="1"/>
    <col min="1801" max="1801" width="17.5" style="60" bestFit="1" customWidth="1"/>
    <col min="1802" max="1802" width="15.59765625" style="60" customWidth="1"/>
    <col min="1803" max="1803" width="13.69921875" style="60" bestFit="1" customWidth="1"/>
    <col min="1804" max="1804" width="10.8984375" style="60" bestFit="1" customWidth="1"/>
    <col min="1805" max="1808" width="9" style="60"/>
    <col min="1809" max="1814" width="15.59765625" style="60" customWidth="1"/>
    <col min="1815" max="2048" width="9" style="60"/>
    <col min="2049" max="2049" width="0.5" style="60" customWidth="1"/>
    <col min="2050" max="2050" width="5.19921875" style="60" bestFit="1" customWidth="1"/>
    <col min="2051" max="2051" width="7.3984375" style="60" customWidth="1"/>
    <col min="2052" max="2052" width="8.8984375" style="60" customWidth="1"/>
    <col min="2053" max="2053" width="17.69921875" style="60" customWidth="1"/>
    <col min="2054" max="2054" width="6.3984375" style="60" customWidth="1"/>
    <col min="2055" max="2055" width="8.8984375" style="60" customWidth="1"/>
    <col min="2056" max="2056" width="9.69921875" style="60" customWidth="1"/>
    <col min="2057" max="2057" width="17.5" style="60" bestFit="1" customWidth="1"/>
    <col min="2058" max="2058" width="15.59765625" style="60" customWidth="1"/>
    <col min="2059" max="2059" width="13.69921875" style="60" bestFit="1" customWidth="1"/>
    <col min="2060" max="2060" width="10.8984375" style="60" bestFit="1" customWidth="1"/>
    <col min="2061" max="2064" width="9" style="60"/>
    <col min="2065" max="2070" width="15.59765625" style="60" customWidth="1"/>
    <col min="2071" max="2304" width="9" style="60"/>
    <col min="2305" max="2305" width="0.5" style="60" customWidth="1"/>
    <col min="2306" max="2306" width="5.19921875" style="60" bestFit="1" customWidth="1"/>
    <col min="2307" max="2307" width="7.3984375" style="60" customWidth="1"/>
    <col min="2308" max="2308" width="8.8984375" style="60" customWidth="1"/>
    <col min="2309" max="2309" width="17.69921875" style="60" customWidth="1"/>
    <col min="2310" max="2310" width="6.3984375" style="60" customWidth="1"/>
    <col min="2311" max="2311" width="8.8984375" style="60" customWidth="1"/>
    <col min="2312" max="2312" width="9.69921875" style="60" customWidth="1"/>
    <col min="2313" max="2313" width="17.5" style="60" bestFit="1" customWidth="1"/>
    <col min="2314" max="2314" width="15.59765625" style="60" customWidth="1"/>
    <col min="2315" max="2315" width="13.69921875" style="60" bestFit="1" customWidth="1"/>
    <col min="2316" max="2316" width="10.8984375" style="60" bestFit="1" customWidth="1"/>
    <col min="2317" max="2320" width="9" style="60"/>
    <col min="2321" max="2326" width="15.59765625" style="60" customWidth="1"/>
    <col min="2327" max="2560" width="9" style="60"/>
    <col min="2561" max="2561" width="0.5" style="60" customWidth="1"/>
    <col min="2562" max="2562" width="5.19921875" style="60" bestFit="1" customWidth="1"/>
    <col min="2563" max="2563" width="7.3984375" style="60" customWidth="1"/>
    <col min="2564" max="2564" width="8.8984375" style="60" customWidth="1"/>
    <col min="2565" max="2565" width="17.69921875" style="60" customWidth="1"/>
    <col min="2566" max="2566" width="6.3984375" style="60" customWidth="1"/>
    <col min="2567" max="2567" width="8.8984375" style="60" customWidth="1"/>
    <col min="2568" max="2568" width="9.69921875" style="60" customWidth="1"/>
    <col min="2569" max="2569" width="17.5" style="60" bestFit="1" customWidth="1"/>
    <col min="2570" max="2570" width="15.59765625" style="60" customWidth="1"/>
    <col min="2571" max="2571" width="13.69921875" style="60" bestFit="1" customWidth="1"/>
    <col min="2572" max="2572" width="10.8984375" style="60" bestFit="1" customWidth="1"/>
    <col min="2573" max="2576" width="9" style="60"/>
    <col min="2577" max="2582" width="15.59765625" style="60" customWidth="1"/>
    <col min="2583" max="2816" width="9" style="60"/>
    <col min="2817" max="2817" width="0.5" style="60" customWidth="1"/>
    <col min="2818" max="2818" width="5.19921875" style="60" bestFit="1" customWidth="1"/>
    <col min="2819" max="2819" width="7.3984375" style="60" customWidth="1"/>
    <col min="2820" max="2820" width="8.8984375" style="60" customWidth="1"/>
    <col min="2821" max="2821" width="17.69921875" style="60" customWidth="1"/>
    <col min="2822" max="2822" width="6.3984375" style="60" customWidth="1"/>
    <col min="2823" max="2823" width="8.8984375" style="60" customWidth="1"/>
    <col min="2824" max="2824" width="9.69921875" style="60" customWidth="1"/>
    <col min="2825" max="2825" width="17.5" style="60" bestFit="1" customWidth="1"/>
    <col min="2826" max="2826" width="15.59765625" style="60" customWidth="1"/>
    <col min="2827" max="2827" width="13.69921875" style="60" bestFit="1" customWidth="1"/>
    <col min="2828" max="2828" width="10.8984375" style="60" bestFit="1" customWidth="1"/>
    <col min="2829" max="2832" width="9" style="60"/>
    <col min="2833" max="2838" width="15.59765625" style="60" customWidth="1"/>
    <col min="2839" max="3072" width="9" style="60"/>
    <col min="3073" max="3073" width="0.5" style="60" customWidth="1"/>
    <col min="3074" max="3074" width="5.19921875" style="60" bestFit="1" customWidth="1"/>
    <col min="3075" max="3075" width="7.3984375" style="60" customWidth="1"/>
    <col min="3076" max="3076" width="8.8984375" style="60" customWidth="1"/>
    <col min="3077" max="3077" width="17.69921875" style="60" customWidth="1"/>
    <col min="3078" max="3078" width="6.3984375" style="60" customWidth="1"/>
    <col min="3079" max="3079" width="8.8984375" style="60" customWidth="1"/>
    <col min="3080" max="3080" width="9.69921875" style="60" customWidth="1"/>
    <col min="3081" max="3081" width="17.5" style="60" bestFit="1" customWidth="1"/>
    <col min="3082" max="3082" width="15.59765625" style="60" customWidth="1"/>
    <col min="3083" max="3083" width="13.69921875" style="60" bestFit="1" customWidth="1"/>
    <col min="3084" max="3084" width="10.8984375" style="60" bestFit="1" customWidth="1"/>
    <col min="3085" max="3088" width="9" style="60"/>
    <col min="3089" max="3094" width="15.59765625" style="60" customWidth="1"/>
    <col min="3095" max="3328" width="9" style="60"/>
    <col min="3329" max="3329" width="0.5" style="60" customWidth="1"/>
    <col min="3330" max="3330" width="5.19921875" style="60" bestFit="1" customWidth="1"/>
    <col min="3331" max="3331" width="7.3984375" style="60" customWidth="1"/>
    <col min="3332" max="3332" width="8.8984375" style="60" customWidth="1"/>
    <col min="3333" max="3333" width="17.69921875" style="60" customWidth="1"/>
    <col min="3334" max="3334" width="6.3984375" style="60" customWidth="1"/>
    <col min="3335" max="3335" width="8.8984375" style="60" customWidth="1"/>
    <col min="3336" max="3336" width="9.69921875" style="60" customWidth="1"/>
    <col min="3337" max="3337" width="17.5" style="60" bestFit="1" customWidth="1"/>
    <col min="3338" max="3338" width="15.59765625" style="60" customWidth="1"/>
    <col min="3339" max="3339" width="13.69921875" style="60" bestFit="1" customWidth="1"/>
    <col min="3340" max="3340" width="10.8984375" style="60" bestFit="1" customWidth="1"/>
    <col min="3341" max="3344" width="9" style="60"/>
    <col min="3345" max="3350" width="15.59765625" style="60" customWidth="1"/>
    <col min="3351" max="3584" width="9" style="60"/>
    <col min="3585" max="3585" width="0.5" style="60" customWidth="1"/>
    <col min="3586" max="3586" width="5.19921875" style="60" bestFit="1" customWidth="1"/>
    <col min="3587" max="3587" width="7.3984375" style="60" customWidth="1"/>
    <col min="3588" max="3588" width="8.8984375" style="60" customWidth="1"/>
    <col min="3589" max="3589" width="17.69921875" style="60" customWidth="1"/>
    <col min="3590" max="3590" width="6.3984375" style="60" customWidth="1"/>
    <col min="3591" max="3591" width="8.8984375" style="60" customWidth="1"/>
    <col min="3592" max="3592" width="9.69921875" style="60" customWidth="1"/>
    <col min="3593" max="3593" width="17.5" style="60" bestFit="1" customWidth="1"/>
    <col min="3594" max="3594" width="15.59765625" style="60" customWidth="1"/>
    <col min="3595" max="3595" width="13.69921875" style="60" bestFit="1" customWidth="1"/>
    <col min="3596" max="3596" width="10.8984375" style="60" bestFit="1" customWidth="1"/>
    <col min="3597" max="3600" width="9" style="60"/>
    <col min="3601" max="3606" width="15.59765625" style="60" customWidth="1"/>
    <col min="3607" max="3840" width="9" style="60"/>
    <col min="3841" max="3841" width="0.5" style="60" customWidth="1"/>
    <col min="3842" max="3842" width="5.19921875" style="60" bestFit="1" customWidth="1"/>
    <col min="3843" max="3843" width="7.3984375" style="60" customWidth="1"/>
    <col min="3844" max="3844" width="8.8984375" style="60" customWidth="1"/>
    <col min="3845" max="3845" width="17.69921875" style="60" customWidth="1"/>
    <col min="3846" max="3846" width="6.3984375" style="60" customWidth="1"/>
    <col min="3847" max="3847" width="8.8984375" style="60" customWidth="1"/>
    <col min="3848" max="3848" width="9.69921875" style="60" customWidth="1"/>
    <col min="3849" max="3849" width="17.5" style="60" bestFit="1" customWidth="1"/>
    <col min="3850" max="3850" width="15.59765625" style="60" customWidth="1"/>
    <col min="3851" max="3851" width="13.69921875" style="60" bestFit="1" customWidth="1"/>
    <col min="3852" max="3852" width="10.8984375" style="60" bestFit="1" customWidth="1"/>
    <col min="3853" max="3856" width="9" style="60"/>
    <col min="3857" max="3862" width="15.59765625" style="60" customWidth="1"/>
    <col min="3863" max="4096" width="9" style="60"/>
    <col min="4097" max="4097" width="0.5" style="60" customWidth="1"/>
    <col min="4098" max="4098" width="5.19921875" style="60" bestFit="1" customWidth="1"/>
    <col min="4099" max="4099" width="7.3984375" style="60" customWidth="1"/>
    <col min="4100" max="4100" width="8.8984375" style="60" customWidth="1"/>
    <col min="4101" max="4101" width="17.69921875" style="60" customWidth="1"/>
    <col min="4102" max="4102" width="6.3984375" style="60" customWidth="1"/>
    <col min="4103" max="4103" width="8.8984375" style="60" customWidth="1"/>
    <col min="4104" max="4104" width="9.69921875" style="60" customWidth="1"/>
    <col min="4105" max="4105" width="17.5" style="60" bestFit="1" customWidth="1"/>
    <col min="4106" max="4106" width="15.59765625" style="60" customWidth="1"/>
    <col min="4107" max="4107" width="13.69921875" style="60" bestFit="1" customWidth="1"/>
    <col min="4108" max="4108" width="10.8984375" style="60" bestFit="1" customWidth="1"/>
    <col min="4109" max="4112" width="9" style="60"/>
    <col min="4113" max="4118" width="15.59765625" style="60" customWidth="1"/>
    <col min="4119" max="4352" width="9" style="60"/>
    <col min="4353" max="4353" width="0.5" style="60" customWidth="1"/>
    <col min="4354" max="4354" width="5.19921875" style="60" bestFit="1" customWidth="1"/>
    <col min="4355" max="4355" width="7.3984375" style="60" customWidth="1"/>
    <col min="4356" max="4356" width="8.8984375" style="60" customWidth="1"/>
    <col min="4357" max="4357" width="17.69921875" style="60" customWidth="1"/>
    <col min="4358" max="4358" width="6.3984375" style="60" customWidth="1"/>
    <col min="4359" max="4359" width="8.8984375" style="60" customWidth="1"/>
    <col min="4360" max="4360" width="9.69921875" style="60" customWidth="1"/>
    <col min="4361" max="4361" width="17.5" style="60" bestFit="1" customWidth="1"/>
    <col min="4362" max="4362" width="15.59765625" style="60" customWidth="1"/>
    <col min="4363" max="4363" width="13.69921875" style="60" bestFit="1" customWidth="1"/>
    <col min="4364" max="4364" width="10.8984375" style="60" bestFit="1" customWidth="1"/>
    <col min="4365" max="4368" width="9" style="60"/>
    <col min="4369" max="4374" width="15.59765625" style="60" customWidth="1"/>
    <col min="4375" max="4608" width="9" style="60"/>
    <col min="4609" max="4609" width="0.5" style="60" customWidth="1"/>
    <col min="4610" max="4610" width="5.19921875" style="60" bestFit="1" customWidth="1"/>
    <col min="4611" max="4611" width="7.3984375" style="60" customWidth="1"/>
    <col min="4612" max="4612" width="8.8984375" style="60" customWidth="1"/>
    <col min="4613" max="4613" width="17.69921875" style="60" customWidth="1"/>
    <col min="4614" max="4614" width="6.3984375" style="60" customWidth="1"/>
    <col min="4615" max="4615" width="8.8984375" style="60" customWidth="1"/>
    <col min="4616" max="4616" width="9.69921875" style="60" customWidth="1"/>
    <col min="4617" max="4617" width="17.5" style="60" bestFit="1" customWidth="1"/>
    <col min="4618" max="4618" width="15.59765625" style="60" customWidth="1"/>
    <col min="4619" max="4619" width="13.69921875" style="60" bestFit="1" customWidth="1"/>
    <col min="4620" max="4620" width="10.8984375" style="60" bestFit="1" customWidth="1"/>
    <col min="4621" max="4624" width="9" style="60"/>
    <col min="4625" max="4630" width="15.59765625" style="60" customWidth="1"/>
    <col min="4631" max="4864" width="9" style="60"/>
    <col min="4865" max="4865" width="0.5" style="60" customWidth="1"/>
    <col min="4866" max="4866" width="5.19921875" style="60" bestFit="1" customWidth="1"/>
    <col min="4867" max="4867" width="7.3984375" style="60" customWidth="1"/>
    <col min="4868" max="4868" width="8.8984375" style="60" customWidth="1"/>
    <col min="4869" max="4869" width="17.69921875" style="60" customWidth="1"/>
    <col min="4870" max="4870" width="6.3984375" style="60" customWidth="1"/>
    <col min="4871" max="4871" width="8.8984375" style="60" customWidth="1"/>
    <col min="4872" max="4872" width="9.69921875" style="60" customWidth="1"/>
    <col min="4873" max="4873" width="17.5" style="60" bestFit="1" customWidth="1"/>
    <col min="4874" max="4874" width="15.59765625" style="60" customWidth="1"/>
    <col min="4875" max="4875" width="13.69921875" style="60" bestFit="1" customWidth="1"/>
    <col min="4876" max="4876" width="10.8984375" style="60" bestFit="1" customWidth="1"/>
    <col min="4877" max="4880" width="9" style="60"/>
    <col min="4881" max="4886" width="15.59765625" style="60" customWidth="1"/>
    <col min="4887" max="5120" width="9" style="60"/>
    <col min="5121" max="5121" width="0.5" style="60" customWidth="1"/>
    <col min="5122" max="5122" width="5.19921875" style="60" bestFit="1" customWidth="1"/>
    <col min="5123" max="5123" width="7.3984375" style="60" customWidth="1"/>
    <col min="5124" max="5124" width="8.8984375" style="60" customWidth="1"/>
    <col min="5125" max="5125" width="17.69921875" style="60" customWidth="1"/>
    <col min="5126" max="5126" width="6.3984375" style="60" customWidth="1"/>
    <col min="5127" max="5127" width="8.8984375" style="60" customWidth="1"/>
    <col min="5128" max="5128" width="9.69921875" style="60" customWidth="1"/>
    <col min="5129" max="5129" width="17.5" style="60" bestFit="1" customWidth="1"/>
    <col min="5130" max="5130" width="15.59765625" style="60" customWidth="1"/>
    <col min="5131" max="5131" width="13.69921875" style="60" bestFit="1" customWidth="1"/>
    <col min="5132" max="5132" width="10.8984375" style="60" bestFit="1" customWidth="1"/>
    <col min="5133" max="5136" width="9" style="60"/>
    <col min="5137" max="5142" width="15.59765625" style="60" customWidth="1"/>
    <col min="5143" max="5376" width="9" style="60"/>
    <col min="5377" max="5377" width="0.5" style="60" customWidth="1"/>
    <col min="5378" max="5378" width="5.19921875" style="60" bestFit="1" customWidth="1"/>
    <col min="5379" max="5379" width="7.3984375" style="60" customWidth="1"/>
    <col min="5380" max="5380" width="8.8984375" style="60" customWidth="1"/>
    <col min="5381" max="5381" width="17.69921875" style="60" customWidth="1"/>
    <col min="5382" max="5382" width="6.3984375" style="60" customWidth="1"/>
    <col min="5383" max="5383" width="8.8984375" style="60" customWidth="1"/>
    <col min="5384" max="5384" width="9.69921875" style="60" customWidth="1"/>
    <col min="5385" max="5385" width="17.5" style="60" bestFit="1" customWidth="1"/>
    <col min="5386" max="5386" width="15.59765625" style="60" customWidth="1"/>
    <col min="5387" max="5387" width="13.69921875" style="60" bestFit="1" customWidth="1"/>
    <col min="5388" max="5388" width="10.8984375" style="60" bestFit="1" customWidth="1"/>
    <col min="5389" max="5392" width="9" style="60"/>
    <col min="5393" max="5398" width="15.59765625" style="60" customWidth="1"/>
    <col min="5399" max="5632" width="9" style="60"/>
    <col min="5633" max="5633" width="0.5" style="60" customWidth="1"/>
    <col min="5634" max="5634" width="5.19921875" style="60" bestFit="1" customWidth="1"/>
    <col min="5635" max="5635" width="7.3984375" style="60" customWidth="1"/>
    <col min="5636" max="5636" width="8.8984375" style="60" customWidth="1"/>
    <col min="5637" max="5637" width="17.69921875" style="60" customWidth="1"/>
    <col min="5638" max="5638" width="6.3984375" style="60" customWidth="1"/>
    <col min="5639" max="5639" width="8.8984375" style="60" customWidth="1"/>
    <col min="5640" max="5640" width="9.69921875" style="60" customWidth="1"/>
    <col min="5641" max="5641" width="17.5" style="60" bestFit="1" customWidth="1"/>
    <col min="5642" max="5642" width="15.59765625" style="60" customWidth="1"/>
    <col min="5643" max="5643" width="13.69921875" style="60" bestFit="1" customWidth="1"/>
    <col min="5644" max="5644" width="10.8984375" style="60" bestFit="1" customWidth="1"/>
    <col min="5645" max="5648" width="9" style="60"/>
    <col min="5649" max="5654" width="15.59765625" style="60" customWidth="1"/>
    <col min="5655" max="5888" width="9" style="60"/>
    <col min="5889" max="5889" width="0.5" style="60" customWidth="1"/>
    <col min="5890" max="5890" width="5.19921875" style="60" bestFit="1" customWidth="1"/>
    <col min="5891" max="5891" width="7.3984375" style="60" customWidth="1"/>
    <col min="5892" max="5892" width="8.8984375" style="60" customWidth="1"/>
    <col min="5893" max="5893" width="17.69921875" style="60" customWidth="1"/>
    <col min="5894" max="5894" width="6.3984375" style="60" customWidth="1"/>
    <col min="5895" max="5895" width="8.8984375" style="60" customWidth="1"/>
    <col min="5896" max="5896" width="9.69921875" style="60" customWidth="1"/>
    <col min="5897" max="5897" width="17.5" style="60" bestFit="1" customWidth="1"/>
    <col min="5898" max="5898" width="15.59765625" style="60" customWidth="1"/>
    <col min="5899" max="5899" width="13.69921875" style="60" bestFit="1" customWidth="1"/>
    <col min="5900" max="5900" width="10.8984375" style="60" bestFit="1" customWidth="1"/>
    <col min="5901" max="5904" width="9" style="60"/>
    <col min="5905" max="5910" width="15.59765625" style="60" customWidth="1"/>
    <col min="5911" max="6144" width="9" style="60"/>
    <col min="6145" max="6145" width="0.5" style="60" customWidth="1"/>
    <col min="6146" max="6146" width="5.19921875" style="60" bestFit="1" customWidth="1"/>
    <col min="6147" max="6147" width="7.3984375" style="60" customWidth="1"/>
    <col min="6148" max="6148" width="8.8984375" style="60" customWidth="1"/>
    <col min="6149" max="6149" width="17.69921875" style="60" customWidth="1"/>
    <col min="6150" max="6150" width="6.3984375" style="60" customWidth="1"/>
    <col min="6151" max="6151" width="8.8984375" style="60" customWidth="1"/>
    <col min="6152" max="6152" width="9.69921875" style="60" customWidth="1"/>
    <col min="6153" max="6153" width="17.5" style="60" bestFit="1" customWidth="1"/>
    <col min="6154" max="6154" width="15.59765625" style="60" customWidth="1"/>
    <col min="6155" max="6155" width="13.69921875" style="60" bestFit="1" customWidth="1"/>
    <col min="6156" max="6156" width="10.8984375" style="60" bestFit="1" customWidth="1"/>
    <col min="6157" max="6160" width="9" style="60"/>
    <col min="6161" max="6166" width="15.59765625" style="60" customWidth="1"/>
    <col min="6167" max="6400" width="9" style="60"/>
    <col min="6401" max="6401" width="0.5" style="60" customWidth="1"/>
    <col min="6402" max="6402" width="5.19921875" style="60" bestFit="1" customWidth="1"/>
    <col min="6403" max="6403" width="7.3984375" style="60" customWidth="1"/>
    <col min="6404" max="6404" width="8.8984375" style="60" customWidth="1"/>
    <col min="6405" max="6405" width="17.69921875" style="60" customWidth="1"/>
    <col min="6406" max="6406" width="6.3984375" style="60" customWidth="1"/>
    <col min="6407" max="6407" width="8.8984375" style="60" customWidth="1"/>
    <col min="6408" max="6408" width="9.69921875" style="60" customWidth="1"/>
    <col min="6409" max="6409" width="17.5" style="60" bestFit="1" customWidth="1"/>
    <col min="6410" max="6410" width="15.59765625" style="60" customWidth="1"/>
    <col min="6411" max="6411" width="13.69921875" style="60" bestFit="1" customWidth="1"/>
    <col min="6412" max="6412" width="10.8984375" style="60" bestFit="1" customWidth="1"/>
    <col min="6413" max="6416" width="9" style="60"/>
    <col min="6417" max="6422" width="15.59765625" style="60" customWidth="1"/>
    <col min="6423" max="6656" width="9" style="60"/>
    <col min="6657" max="6657" width="0.5" style="60" customWidth="1"/>
    <col min="6658" max="6658" width="5.19921875" style="60" bestFit="1" customWidth="1"/>
    <col min="6659" max="6659" width="7.3984375" style="60" customWidth="1"/>
    <col min="6660" max="6660" width="8.8984375" style="60" customWidth="1"/>
    <col min="6661" max="6661" width="17.69921875" style="60" customWidth="1"/>
    <col min="6662" max="6662" width="6.3984375" style="60" customWidth="1"/>
    <col min="6663" max="6663" width="8.8984375" style="60" customWidth="1"/>
    <col min="6664" max="6664" width="9.69921875" style="60" customWidth="1"/>
    <col min="6665" max="6665" width="17.5" style="60" bestFit="1" customWidth="1"/>
    <col min="6666" max="6666" width="15.59765625" style="60" customWidth="1"/>
    <col min="6667" max="6667" width="13.69921875" style="60" bestFit="1" customWidth="1"/>
    <col min="6668" max="6668" width="10.8984375" style="60" bestFit="1" customWidth="1"/>
    <col min="6669" max="6672" width="9" style="60"/>
    <col min="6673" max="6678" width="15.59765625" style="60" customWidth="1"/>
    <col min="6679" max="6912" width="9" style="60"/>
    <col min="6913" max="6913" width="0.5" style="60" customWidth="1"/>
    <col min="6914" max="6914" width="5.19921875" style="60" bestFit="1" customWidth="1"/>
    <col min="6915" max="6915" width="7.3984375" style="60" customWidth="1"/>
    <col min="6916" max="6916" width="8.8984375" style="60" customWidth="1"/>
    <col min="6917" max="6917" width="17.69921875" style="60" customWidth="1"/>
    <col min="6918" max="6918" width="6.3984375" style="60" customWidth="1"/>
    <col min="6919" max="6919" width="8.8984375" style="60" customWidth="1"/>
    <col min="6920" max="6920" width="9.69921875" style="60" customWidth="1"/>
    <col min="6921" max="6921" width="17.5" style="60" bestFit="1" customWidth="1"/>
    <col min="6922" max="6922" width="15.59765625" style="60" customWidth="1"/>
    <col min="6923" max="6923" width="13.69921875" style="60" bestFit="1" customWidth="1"/>
    <col min="6924" max="6924" width="10.8984375" style="60" bestFit="1" customWidth="1"/>
    <col min="6925" max="6928" width="9" style="60"/>
    <col min="6929" max="6934" width="15.59765625" style="60" customWidth="1"/>
    <col min="6935" max="7168" width="9" style="60"/>
    <col min="7169" max="7169" width="0.5" style="60" customWidth="1"/>
    <col min="7170" max="7170" width="5.19921875" style="60" bestFit="1" customWidth="1"/>
    <col min="7171" max="7171" width="7.3984375" style="60" customWidth="1"/>
    <col min="7172" max="7172" width="8.8984375" style="60" customWidth="1"/>
    <col min="7173" max="7173" width="17.69921875" style="60" customWidth="1"/>
    <col min="7174" max="7174" width="6.3984375" style="60" customWidth="1"/>
    <col min="7175" max="7175" width="8.8984375" style="60" customWidth="1"/>
    <col min="7176" max="7176" width="9.69921875" style="60" customWidth="1"/>
    <col min="7177" max="7177" width="17.5" style="60" bestFit="1" customWidth="1"/>
    <col min="7178" max="7178" width="15.59765625" style="60" customWidth="1"/>
    <col min="7179" max="7179" width="13.69921875" style="60" bestFit="1" customWidth="1"/>
    <col min="7180" max="7180" width="10.8984375" style="60" bestFit="1" customWidth="1"/>
    <col min="7181" max="7184" width="9" style="60"/>
    <col min="7185" max="7190" width="15.59765625" style="60" customWidth="1"/>
    <col min="7191" max="7424" width="9" style="60"/>
    <col min="7425" max="7425" width="0.5" style="60" customWidth="1"/>
    <col min="7426" max="7426" width="5.19921875" style="60" bestFit="1" customWidth="1"/>
    <col min="7427" max="7427" width="7.3984375" style="60" customWidth="1"/>
    <col min="7428" max="7428" width="8.8984375" style="60" customWidth="1"/>
    <col min="7429" max="7429" width="17.69921875" style="60" customWidth="1"/>
    <col min="7430" max="7430" width="6.3984375" style="60" customWidth="1"/>
    <col min="7431" max="7431" width="8.8984375" style="60" customWidth="1"/>
    <col min="7432" max="7432" width="9.69921875" style="60" customWidth="1"/>
    <col min="7433" max="7433" width="17.5" style="60" bestFit="1" customWidth="1"/>
    <col min="7434" max="7434" width="15.59765625" style="60" customWidth="1"/>
    <col min="7435" max="7435" width="13.69921875" style="60" bestFit="1" customWidth="1"/>
    <col min="7436" max="7436" width="10.8984375" style="60" bestFit="1" customWidth="1"/>
    <col min="7437" max="7440" width="9" style="60"/>
    <col min="7441" max="7446" width="15.59765625" style="60" customWidth="1"/>
    <col min="7447" max="7680" width="9" style="60"/>
    <col min="7681" max="7681" width="0.5" style="60" customWidth="1"/>
    <col min="7682" max="7682" width="5.19921875" style="60" bestFit="1" customWidth="1"/>
    <col min="7683" max="7683" width="7.3984375" style="60" customWidth="1"/>
    <col min="7684" max="7684" width="8.8984375" style="60" customWidth="1"/>
    <col min="7685" max="7685" width="17.69921875" style="60" customWidth="1"/>
    <col min="7686" max="7686" width="6.3984375" style="60" customWidth="1"/>
    <col min="7687" max="7687" width="8.8984375" style="60" customWidth="1"/>
    <col min="7688" max="7688" width="9.69921875" style="60" customWidth="1"/>
    <col min="7689" max="7689" width="17.5" style="60" bestFit="1" customWidth="1"/>
    <col min="7690" max="7690" width="15.59765625" style="60" customWidth="1"/>
    <col min="7691" max="7691" width="13.69921875" style="60" bestFit="1" customWidth="1"/>
    <col min="7692" max="7692" width="10.8984375" style="60" bestFit="1" customWidth="1"/>
    <col min="7693" max="7696" width="9" style="60"/>
    <col min="7697" max="7702" width="15.59765625" style="60" customWidth="1"/>
    <col min="7703" max="7936" width="9" style="60"/>
    <col min="7937" max="7937" width="0.5" style="60" customWidth="1"/>
    <col min="7938" max="7938" width="5.19921875" style="60" bestFit="1" customWidth="1"/>
    <col min="7939" max="7939" width="7.3984375" style="60" customWidth="1"/>
    <col min="7940" max="7940" width="8.8984375" style="60" customWidth="1"/>
    <col min="7941" max="7941" width="17.69921875" style="60" customWidth="1"/>
    <col min="7942" max="7942" width="6.3984375" style="60" customWidth="1"/>
    <col min="7943" max="7943" width="8.8984375" style="60" customWidth="1"/>
    <col min="7944" max="7944" width="9.69921875" style="60" customWidth="1"/>
    <col min="7945" max="7945" width="17.5" style="60" bestFit="1" customWidth="1"/>
    <col min="7946" max="7946" width="15.59765625" style="60" customWidth="1"/>
    <col min="7947" max="7947" width="13.69921875" style="60" bestFit="1" customWidth="1"/>
    <col min="7948" max="7948" width="10.8984375" style="60" bestFit="1" customWidth="1"/>
    <col min="7949" max="7952" width="9" style="60"/>
    <col min="7953" max="7958" width="15.59765625" style="60" customWidth="1"/>
    <col min="7959" max="8192" width="9" style="60"/>
    <col min="8193" max="8193" width="0.5" style="60" customWidth="1"/>
    <col min="8194" max="8194" width="5.19921875" style="60" bestFit="1" customWidth="1"/>
    <col min="8195" max="8195" width="7.3984375" style="60" customWidth="1"/>
    <col min="8196" max="8196" width="8.8984375" style="60" customWidth="1"/>
    <col min="8197" max="8197" width="17.69921875" style="60" customWidth="1"/>
    <col min="8198" max="8198" width="6.3984375" style="60" customWidth="1"/>
    <col min="8199" max="8199" width="8.8984375" style="60" customWidth="1"/>
    <col min="8200" max="8200" width="9.69921875" style="60" customWidth="1"/>
    <col min="8201" max="8201" width="17.5" style="60" bestFit="1" customWidth="1"/>
    <col min="8202" max="8202" width="15.59765625" style="60" customWidth="1"/>
    <col min="8203" max="8203" width="13.69921875" style="60" bestFit="1" customWidth="1"/>
    <col min="8204" max="8204" width="10.8984375" style="60" bestFit="1" customWidth="1"/>
    <col min="8205" max="8208" width="9" style="60"/>
    <col min="8209" max="8214" width="15.59765625" style="60" customWidth="1"/>
    <col min="8215" max="8448" width="9" style="60"/>
    <col min="8449" max="8449" width="0.5" style="60" customWidth="1"/>
    <col min="8450" max="8450" width="5.19921875" style="60" bestFit="1" customWidth="1"/>
    <col min="8451" max="8451" width="7.3984375" style="60" customWidth="1"/>
    <col min="8452" max="8452" width="8.8984375" style="60" customWidth="1"/>
    <col min="8453" max="8453" width="17.69921875" style="60" customWidth="1"/>
    <col min="8454" max="8454" width="6.3984375" style="60" customWidth="1"/>
    <col min="8455" max="8455" width="8.8984375" style="60" customWidth="1"/>
    <col min="8456" max="8456" width="9.69921875" style="60" customWidth="1"/>
    <col min="8457" max="8457" width="17.5" style="60" bestFit="1" customWidth="1"/>
    <col min="8458" max="8458" width="15.59765625" style="60" customWidth="1"/>
    <col min="8459" max="8459" width="13.69921875" style="60" bestFit="1" customWidth="1"/>
    <col min="8460" max="8460" width="10.8984375" style="60" bestFit="1" customWidth="1"/>
    <col min="8461" max="8464" width="9" style="60"/>
    <col min="8465" max="8470" width="15.59765625" style="60" customWidth="1"/>
    <col min="8471" max="8704" width="9" style="60"/>
    <col min="8705" max="8705" width="0.5" style="60" customWidth="1"/>
    <col min="8706" max="8706" width="5.19921875" style="60" bestFit="1" customWidth="1"/>
    <col min="8707" max="8707" width="7.3984375" style="60" customWidth="1"/>
    <col min="8708" max="8708" width="8.8984375" style="60" customWidth="1"/>
    <col min="8709" max="8709" width="17.69921875" style="60" customWidth="1"/>
    <col min="8710" max="8710" width="6.3984375" style="60" customWidth="1"/>
    <col min="8711" max="8711" width="8.8984375" style="60" customWidth="1"/>
    <col min="8712" max="8712" width="9.69921875" style="60" customWidth="1"/>
    <col min="8713" max="8713" width="17.5" style="60" bestFit="1" customWidth="1"/>
    <col min="8714" max="8714" width="15.59765625" style="60" customWidth="1"/>
    <col min="8715" max="8715" width="13.69921875" style="60" bestFit="1" customWidth="1"/>
    <col min="8716" max="8716" width="10.8984375" style="60" bestFit="1" customWidth="1"/>
    <col min="8717" max="8720" width="9" style="60"/>
    <col min="8721" max="8726" width="15.59765625" style="60" customWidth="1"/>
    <col min="8727" max="8960" width="9" style="60"/>
    <col min="8961" max="8961" width="0.5" style="60" customWidth="1"/>
    <col min="8962" max="8962" width="5.19921875" style="60" bestFit="1" customWidth="1"/>
    <col min="8963" max="8963" width="7.3984375" style="60" customWidth="1"/>
    <col min="8964" max="8964" width="8.8984375" style="60" customWidth="1"/>
    <col min="8965" max="8965" width="17.69921875" style="60" customWidth="1"/>
    <col min="8966" max="8966" width="6.3984375" style="60" customWidth="1"/>
    <col min="8967" max="8967" width="8.8984375" style="60" customWidth="1"/>
    <col min="8968" max="8968" width="9.69921875" style="60" customWidth="1"/>
    <col min="8969" max="8969" width="17.5" style="60" bestFit="1" customWidth="1"/>
    <col min="8970" max="8970" width="15.59765625" style="60" customWidth="1"/>
    <col min="8971" max="8971" width="13.69921875" style="60" bestFit="1" customWidth="1"/>
    <col min="8972" max="8972" width="10.8984375" style="60" bestFit="1" customWidth="1"/>
    <col min="8973" max="8976" width="9" style="60"/>
    <col min="8977" max="8982" width="15.59765625" style="60" customWidth="1"/>
    <col min="8983" max="9216" width="9" style="60"/>
    <col min="9217" max="9217" width="0.5" style="60" customWidth="1"/>
    <col min="9218" max="9218" width="5.19921875" style="60" bestFit="1" customWidth="1"/>
    <col min="9219" max="9219" width="7.3984375" style="60" customWidth="1"/>
    <col min="9220" max="9220" width="8.8984375" style="60" customWidth="1"/>
    <col min="9221" max="9221" width="17.69921875" style="60" customWidth="1"/>
    <col min="9222" max="9222" width="6.3984375" style="60" customWidth="1"/>
    <col min="9223" max="9223" width="8.8984375" style="60" customWidth="1"/>
    <col min="9224" max="9224" width="9.69921875" style="60" customWidth="1"/>
    <col min="9225" max="9225" width="17.5" style="60" bestFit="1" customWidth="1"/>
    <col min="9226" max="9226" width="15.59765625" style="60" customWidth="1"/>
    <col min="9227" max="9227" width="13.69921875" style="60" bestFit="1" customWidth="1"/>
    <col min="9228" max="9228" width="10.8984375" style="60" bestFit="1" customWidth="1"/>
    <col min="9229" max="9232" width="9" style="60"/>
    <col min="9233" max="9238" width="15.59765625" style="60" customWidth="1"/>
    <col min="9239" max="9472" width="9" style="60"/>
    <col min="9473" max="9473" width="0.5" style="60" customWidth="1"/>
    <col min="9474" max="9474" width="5.19921875" style="60" bestFit="1" customWidth="1"/>
    <col min="9475" max="9475" width="7.3984375" style="60" customWidth="1"/>
    <col min="9476" max="9476" width="8.8984375" style="60" customWidth="1"/>
    <col min="9477" max="9477" width="17.69921875" style="60" customWidth="1"/>
    <col min="9478" max="9478" width="6.3984375" style="60" customWidth="1"/>
    <col min="9479" max="9479" width="8.8984375" style="60" customWidth="1"/>
    <col min="9480" max="9480" width="9.69921875" style="60" customWidth="1"/>
    <col min="9481" max="9481" width="17.5" style="60" bestFit="1" customWidth="1"/>
    <col min="9482" max="9482" width="15.59765625" style="60" customWidth="1"/>
    <col min="9483" max="9483" width="13.69921875" style="60" bestFit="1" customWidth="1"/>
    <col min="9484" max="9484" width="10.8984375" style="60" bestFit="1" customWidth="1"/>
    <col min="9485" max="9488" width="9" style="60"/>
    <col min="9489" max="9494" width="15.59765625" style="60" customWidth="1"/>
    <col min="9495" max="9728" width="9" style="60"/>
    <col min="9729" max="9729" width="0.5" style="60" customWidth="1"/>
    <col min="9730" max="9730" width="5.19921875" style="60" bestFit="1" customWidth="1"/>
    <col min="9731" max="9731" width="7.3984375" style="60" customWidth="1"/>
    <col min="9732" max="9732" width="8.8984375" style="60" customWidth="1"/>
    <col min="9733" max="9733" width="17.69921875" style="60" customWidth="1"/>
    <col min="9734" max="9734" width="6.3984375" style="60" customWidth="1"/>
    <col min="9735" max="9735" width="8.8984375" style="60" customWidth="1"/>
    <col min="9736" max="9736" width="9.69921875" style="60" customWidth="1"/>
    <col min="9737" max="9737" width="17.5" style="60" bestFit="1" customWidth="1"/>
    <col min="9738" max="9738" width="15.59765625" style="60" customWidth="1"/>
    <col min="9739" max="9739" width="13.69921875" style="60" bestFit="1" customWidth="1"/>
    <col min="9740" max="9740" width="10.8984375" style="60" bestFit="1" customWidth="1"/>
    <col min="9741" max="9744" width="9" style="60"/>
    <col min="9745" max="9750" width="15.59765625" style="60" customWidth="1"/>
    <col min="9751" max="9984" width="9" style="60"/>
    <col min="9985" max="9985" width="0.5" style="60" customWidth="1"/>
    <col min="9986" max="9986" width="5.19921875" style="60" bestFit="1" customWidth="1"/>
    <col min="9987" max="9987" width="7.3984375" style="60" customWidth="1"/>
    <col min="9988" max="9988" width="8.8984375" style="60" customWidth="1"/>
    <col min="9989" max="9989" width="17.69921875" style="60" customWidth="1"/>
    <col min="9990" max="9990" width="6.3984375" style="60" customWidth="1"/>
    <col min="9991" max="9991" width="8.8984375" style="60" customWidth="1"/>
    <col min="9992" max="9992" width="9.69921875" style="60" customWidth="1"/>
    <col min="9993" max="9993" width="17.5" style="60" bestFit="1" customWidth="1"/>
    <col min="9994" max="9994" width="15.59765625" style="60" customWidth="1"/>
    <col min="9995" max="9995" width="13.69921875" style="60" bestFit="1" customWidth="1"/>
    <col min="9996" max="9996" width="10.8984375" style="60" bestFit="1" customWidth="1"/>
    <col min="9997" max="10000" width="9" style="60"/>
    <col min="10001" max="10006" width="15.59765625" style="60" customWidth="1"/>
    <col min="10007" max="10240" width="9" style="60"/>
    <col min="10241" max="10241" width="0.5" style="60" customWidth="1"/>
    <col min="10242" max="10242" width="5.19921875" style="60" bestFit="1" customWidth="1"/>
    <col min="10243" max="10243" width="7.3984375" style="60" customWidth="1"/>
    <col min="10244" max="10244" width="8.8984375" style="60" customWidth="1"/>
    <col min="10245" max="10245" width="17.69921875" style="60" customWidth="1"/>
    <col min="10246" max="10246" width="6.3984375" style="60" customWidth="1"/>
    <col min="10247" max="10247" width="8.8984375" style="60" customWidth="1"/>
    <col min="10248" max="10248" width="9.69921875" style="60" customWidth="1"/>
    <col min="10249" max="10249" width="17.5" style="60" bestFit="1" customWidth="1"/>
    <col min="10250" max="10250" width="15.59765625" style="60" customWidth="1"/>
    <col min="10251" max="10251" width="13.69921875" style="60" bestFit="1" customWidth="1"/>
    <col min="10252" max="10252" width="10.8984375" style="60" bestFit="1" customWidth="1"/>
    <col min="10253" max="10256" width="9" style="60"/>
    <col min="10257" max="10262" width="15.59765625" style="60" customWidth="1"/>
    <col min="10263" max="10496" width="9" style="60"/>
    <col min="10497" max="10497" width="0.5" style="60" customWidth="1"/>
    <col min="10498" max="10498" width="5.19921875" style="60" bestFit="1" customWidth="1"/>
    <col min="10499" max="10499" width="7.3984375" style="60" customWidth="1"/>
    <col min="10500" max="10500" width="8.8984375" style="60" customWidth="1"/>
    <col min="10501" max="10501" width="17.69921875" style="60" customWidth="1"/>
    <col min="10502" max="10502" width="6.3984375" style="60" customWidth="1"/>
    <col min="10503" max="10503" width="8.8984375" style="60" customWidth="1"/>
    <col min="10504" max="10504" width="9.69921875" style="60" customWidth="1"/>
    <col min="10505" max="10505" width="17.5" style="60" bestFit="1" customWidth="1"/>
    <col min="10506" max="10506" width="15.59765625" style="60" customWidth="1"/>
    <col min="10507" max="10507" width="13.69921875" style="60" bestFit="1" customWidth="1"/>
    <col min="10508" max="10508" width="10.8984375" style="60" bestFit="1" customWidth="1"/>
    <col min="10509" max="10512" width="9" style="60"/>
    <col min="10513" max="10518" width="15.59765625" style="60" customWidth="1"/>
    <col min="10519" max="10752" width="9" style="60"/>
    <col min="10753" max="10753" width="0.5" style="60" customWidth="1"/>
    <col min="10754" max="10754" width="5.19921875" style="60" bestFit="1" customWidth="1"/>
    <col min="10755" max="10755" width="7.3984375" style="60" customWidth="1"/>
    <col min="10756" max="10756" width="8.8984375" style="60" customWidth="1"/>
    <col min="10757" max="10757" width="17.69921875" style="60" customWidth="1"/>
    <col min="10758" max="10758" width="6.3984375" style="60" customWidth="1"/>
    <col min="10759" max="10759" width="8.8984375" style="60" customWidth="1"/>
    <col min="10760" max="10760" width="9.69921875" style="60" customWidth="1"/>
    <col min="10761" max="10761" width="17.5" style="60" bestFit="1" customWidth="1"/>
    <col min="10762" max="10762" width="15.59765625" style="60" customWidth="1"/>
    <col min="10763" max="10763" width="13.69921875" style="60" bestFit="1" customWidth="1"/>
    <col min="10764" max="10764" width="10.8984375" style="60" bestFit="1" customWidth="1"/>
    <col min="10765" max="10768" width="9" style="60"/>
    <col min="10769" max="10774" width="15.59765625" style="60" customWidth="1"/>
    <col min="10775" max="11008" width="9" style="60"/>
    <col min="11009" max="11009" width="0.5" style="60" customWidth="1"/>
    <col min="11010" max="11010" width="5.19921875" style="60" bestFit="1" customWidth="1"/>
    <col min="11011" max="11011" width="7.3984375" style="60" customWidth="1"/>
    <col min="11012" max="11012" width="8.8984375" style="60" customWidth="1"/>
    <col min="11013" max="11013" width="17.69921875" style="60" customWidth="1"/>
    <col min="11014" max="11014" width="6.3984375" style="60" customWidth="1"/>
    <col min="11015" max="11015" width="8.8984375" style="60" customWidth="1"/>
    <col min="11016" max="11016" width="9.69921875" style="60" customWidth="1"/>
    <col min="11017" max="11017" width="17.5" style="60" bestFit="1" customWidth="1"/>
    <col min="11018" max="11018" width="15.59765625" style="60" customWidth="1"/>
    <col min="11019" max="11019" width="13.69921875" style="60" bestFit="1" customWidth="1"/>
    <col min="11020" max="11020" width="10.8984375" style="60" bestFit="1" customWidth="1"/>
    <col min="11021" max="11024" width="9" style="60"/>
    <col min="11025" max="11030" width="15.59765625" style="60" customWidth="1"/>
    <col min="11031" max="11264" width="9" style="60"/>
    <col min="11265" max="11265" width="0.5" style="60" customWidth="1"/>
    <col min="11266" max="11266" width="5.19921875" style="60" bestFit="1" customWidth="1"/>
    <col min="11267" max="11267" width="7.3984375" style="60" customWidth="1"/>
    <col min="11268" max="11268" width="8.8984375" style="60" customWidth="1"/>
    <col min="11269" max="11269" width="17.69921875" style="60" customWidth="1"/>
    <col min="11270" max="11270" width="6.3984375" style="60" customWidth="1"/>
    <col min="11271" max="11271" width="8.8984375" style="60" customWidth="1"/>
    <col min="11272" max="11272" width="9.69921875" style="60" customWidth="1"/>
    <col min="11273" max="11273" width="17.5" style="60" bestFit="1" customWidth="1"/>
    <col min="11274" max="11274" width="15.59765625" style="60" customWidth="1"/>
    <col min="11275" max="11275" width="13.69921875" style="60" bestFit="1" customWidth="1"/>
    <col min="11276" max="11276" width="10.8984375" style="60" bestFit="1" customWidth="1"/>
    <col min="11277" max="11280" width="9" style="60"/>
    <col min="11281" max="11286" width="15.59765625" style="60" customWidth="1"/>
    <col min="11287" max="11520" width="9" style="60"/>
    <col min="11521" max="11521" width="0.5" style="60" customWidth="1"/>
    <col min="11522" max="11522" width="5.19921875" style="60" bestFit="1" customWidth="1"/>
    <col min="11523" max="11523" width="7.3984375" style="60" customWidth="1"/>
    <col min="11524" max="11524" width="8.8984375" style="60" customWidth="1"/>
    <col min="11525" max="11525" width="17.69921875" style="60" customWidth="1"/>
    <col min="11526" max="11526" width="6.3984375" style="60" customWidth="1"/>
    <col min="11527" max="11527" width="8.8984375" style="60" customWidth="1"/>
    <col min="11528" max="11528" width="9.69921875" style="60" customWidth="1"/>
    <col min="11529" max="11529" width="17.5" style="60" bestFit="1" customWidth="1"/>
    <col min="11530" max="11530" width="15.59765625" style="60" customWidth="1"/>
    <col min="11531" max="11531" width="13.69921875" style="60" bestFit="1" customWidth="1"/>
    <col min="11532" max="11532" width="10.8984375" style="60" bestFit="1" customWidth="1"/>
    <col min="11533" max="11536" width="9" style="60"/>
    <col min="11537" max="11542" width="15.59765625" style="60" customWidth="1"/>
    <col min="11543" max="11776" width="9" style="60"/>
    <col min="11777" max="11777" width="0.5" style="60" customWidth="1"/>
    <col min="11778" max="11778" width="5.19921875" style="60" bestFit="1" customWidth="1"/>
    <col min="11779" max="11779" width="7.3984375" style="60" customWidth="1"/>
    <col min="11780" max="11780" width="8.8984375" style="60" customWidth="1"/>
    <col min="11781" max="11781" width="17.69921875" style="60" customWidth="1"/>
    <col min="11782" max="11782" width="6.3984375" style="60" customWidth="1"/>
    <col min="11783" max="11783" width="8.8984375" style="60" customWidth="1"/>
    <col min="11784" max="11784" width="9.69921875" style="60" customWidth="1"/>
    <col min="11785" max="11785" width="17.5" style="60" bestFit="1" customWidth="1"/>
    <col min="11786" max="11786" width="15.59765625" style="60" customWidth="1"/>
    <col min="11787" max="11787" width="13.69921875" style="60" bestFit="1" customWidth="1"/>
    <col min="11788" max="11788" width="10.8984375" style="60" bestFit="1" customWidth="1"/>
    <col min="11789" max="11792" width="9" style="60"/>
    <col min="11793" max="11798" width="15.59765625" style="60" customWidth="1"/>
    <col min="11799" max="12032" width="9" style="60"/>
    <col min="12033" max="12033" width="0.5" style="60" customWidth="1"/>
    <col min="12034" max="12034" width="5.19921875" style="60" bestFit="1" customWidth="1"/>
    <col min="12035" max="12035" width="7.3984375" style="60" customWidth="1"/>
    <col min="12036" max="12036" width="8.8984375" style="60" customWidth="1"/>
    <col min="12037" max="12037" width="17.69921875" style="60" customWidth="1"/>
    <col min="12038" max="12038" width="6.3984375" style="60" customWidth="1"/>
    <col min="12039" max="12039" width="8.8984375" style="60" customWidth="1"/>
    <col min="12040" max="12040" width="9.69921875" style="60" customWidth="1"/>
    <col min="12041" max="12041" width="17.5" style="60" bestFit="1" customWidth="1"/>
    <col min="12042" max="12042" width="15.59765625" style="60" customWidth="1"/>
    <col min="12043" max="12043" width="13.69921875" style="60" bestFit="1" customWidth="1"/>
    <col min="12044" max="12044" width="10.8984375" style="60" bestFit="1" customWidth="1"/>
    <col min="12045" max="12048" width="9" style="60"/>
    <col min="12049" max="12054" width="15.59765625" style="60" customWidth="1"/>
    <col min="12055" max="12288" width="9" style="60"/>
    <col min="12289" max="12289" width="0.5" style="60" customWidth="1"/>
    <col min="12290" max="12290" width="5.19921875" style="60" bestFit="1" customWidth="1"/>
    <col min="12291" max="12291" width="7.3984375" style="60" customWidth="1"/>
    <col min="12292" max="12292" width="8.8984375" style="60" customWidth="1"/>
    <col min="12293" max="12293" width="17.69921875" style="60" customWidth="1"/>
    <col min="12294" max="12294" width="6.3984375" style="60" customWidth="1"/>
    <col min="12295" max="12295" width="8.8984375" style="60" customWidth="1"/>
    <col min="12296" max="12296" width="9.69921875" style="60" customWidth="1"/>
    <col min="12297" max="12297" width="17.5" style="60" bestFit="1" customWidth="1"/>
    <col min="12298" max="12298" width="15.59765625" style="60" customWidth="1"/>
    <col min="12299" max="12299" width="13.69921875" style="60" bestFit="1" customWidth="1"/>
    <col min="12300" max="12300" width="10.8984375" style="60" bestFit="1" customWidth="1"/>
    <col min="12301" max="12304" width="9" style="60"/>
    <col min="12305" max="12310" width="15.59765625" style="60" customWidth="1"/>
    <col min="12311" max="12544" width="9" style="60"/>
    <col min="12545" max="12545" width="0.5" style="60" customWidth="1"/>
    <col min="12546" max="12546" width="5.19921875" style="60" bestFit="1" customWidth="1"/>
    <col min="12547" max="12547" width="7.3984375" style="60" customWidth="1"/>
    <col min="12548" max="12548" width="8.8984375" style="60" customWidth="1"/>
    <col min="12549" max="12549" width="17.69921875" style="60" customWidth="1"/>
    <col min="12550" max="12550" width="6.3984375" style="60" customWidth="1"/>
    <col min="12551" max="12551" width="8.8984375" style="60" customWidth="1"/>
    <col min="12552" max="12552" width="9.69921875" style="60" customWidth="1"/>
    <col min="12553" max="12553" width="17.5" style="60" bestFit="1" customWidth="1"/>
    <col min="12554" max="12554" width="15.59765625" style="60" customWidth="1"/>
    <col min="12555" max="12555" width="13.69921875" style="60" bestFit="1" customWidth="1"/>
    <col min="12556" max="12556" width="10.8984375" style="60" bestFit="1" customWidth="1"/>
    <col min="12557" max="12560" width="9" style="60"/>
    <col min="12561" max="12566" width="15.59765625" style="60" customWidth="1"/>
    <col min="12567" max="12800" width="9" style="60"/>
    <col min="12801" max="12801" width="0.5" style="60" customWidth="1"/>
    <col min="12802" max="12802" width="5.19921875" style="60" bestFit="1" customWidth="1"/>
    <col min="12803" max="12803" width="7.3984375" style="60" customWidth="1"/>
    <col min="12804" max="12804" width="8.8984375" style="60" customWidth="1"/>
    <col min="12805" max="12805" width="17.69921875" style="60" customWidth="1"/>
    <col min="12806" max="12806" width="6.3984375" style="60" customWidth="1"/>
    <col min="12807" max="12807" width="8.8984375" style="60" customWidth="1"/>
    <col min="12808" max="12808" width="9.69921875" style="60" customWidth="1"/>
    <col min="12809" max="12809" width="17.5" style="60" bestFit="1" customWidth="1"/>
    <col min="12810" max="12810" width="15.59765625" style="60" customWidth="1"/>
    <col min="12811" max="12811" width="13.69921875" style="60" bestFit="1" customWidth="1"/>
    <col min="12812" max="12812" width="10.8984375" style="60" bestFit="1" customWidth="1"/>
    <col min="12813" max="12816" width="9" style="60"/>
    <col min="12817" max="12822" width="15.59765625" style="60" customWidth="1"/>
    <col min="12823" max="13056" width="9" style="60"/>
    <col min="13057" max="13057" width="0.5" style="60" customWidth="1"/>
    <col min="13058" max="13058" width="5.19921875" style="60" bestFit="1" customWidth="1"/>
    <col min="13059" max="13059" width="7.3984375" style="60" customWidth="1"/>
    <col min="13060" max="13060" width="8.8984375" style="60" customWidth="1"/>
    <col min="13061" max="13061" width="17.69921875" style="60" customWidth="1"/>
    <col min="13062" max="13062" width="6.3984375" style="60" customWidth="1"/>
    <col min="13063" max="13063" width="8.8984375" style="60" customWidth="1"/>
    <col min="13064" max="13064" width="9.69921875" style="60" customWidth="1"/>
    <col min="13065" max="13065" width="17.5" style="60" bestFit="1" customWidth="1"/>
    <col min="13066" max="13066" width="15.59765625" style="60" customWidth="1"/>
    <col min="13067" max="13067" width="13.69921875" style="60" bestFit="1" customWidth="1"/>
    <col min="13068" max="13068" width="10.8984375" style="60" bestFit="1" customWidth="1"/>
    <col min="13069" max="13072" width="9" style="60"/>
    <col min="13073" max="13078" width="15.59765625" style="60" customWidth="1"/>
    <col min="13079" max="13312" width="9" style="60"/>
    <col min="13313" max="13313" width="0.5" style="60" customWidth="1"/>
    <col min="13314" max="13314" width="5.19921875" style="60" bestFit="1" customWidth="1"/>
    <col min="13315" max="13315" width="7.3984375" style="60" customWidth="1"/>
    <col min="13316" max="13316" width="8.8984375" style="60" customWidth="1"/>
    <col min="13317" max="13317" width="17.69921875" style="60" customWidth="1"/>
    <col min="13318" max="13318" width="6.3984375" style="60" customWidth="1"/>
    <col min="13319" max="13319" width="8.8984375" style="60" customWidth="1"/>
    <col min="13320" max="13320" width="9.69921875" style="60" customWidth="1"/>
    <col min="13321" max="13321" width="17.5" style="60" bestFit="1" customWidth="1"/>
    <col min="13322" max="13322" width="15.59765625" style="60" customWidth="1"/>
    <col min="13323" max="13323" width="13.69921875" style="60" bestFit="1" customWidth="1"/>
    <col min="13324" max="13324" width="10.8984375" style="60" bestFit="1" customWidth="1"/>
    <col min="13325" max="13328" width="9" style="60"/>
    <col min="13329" max="13334" width="15.59765625" style="60" customWidth="1"/>
    <col min="13335" max="13568" width="9" style="60"/>
    <col min="13569" max="13569" width="0.5" style="60" customWidth="1"/>
    <col min="13570" max="13570" width="5.19921875" style="60" bestFit="1" customWidth="1"/>
    <col min="13571" max="13571" width="7.3984375" style="60" customWidth="1"/>
    <col min="13572" max="13572" width="8.8984375" style="60" customWidth="1"/>
    <col min="13573" max="13573" width="17.69921875" style="60" customWidth="1"/>
    <col min="13574" max="13574" width="6.3984375" style="60" customWidth="1"/>
    <col min="13575" max="13575" width="8.8984375" style="60" customWidth="1"/>
    <col min="13576" max="13576" width="9.69921875" style="60" customWidth="1"/>
    <col min="13577" max="13577" width="17.5" style="60" bestFit="1" customWidth="1"/>
    <col min="13578" max="13578" width="15.59765625" style="60" customWidth="1"/>
    <col min="13579" max="13579" width="13.69921875" style="60" bestFit="1" customWidth="1"/>
    <col min="13580" max="13580" width="10.8984375" style="60" bestFit="1" customWidth="1"/>
    <col min="13581" max="13584" width="9" style="60"/>
    <col min="13585" max="13590" width="15.59765625" style="60" customWidth="1"/>
    <col min="13591" max="13824" width="9" style="60"/>
    <col min="13825" max="13825" width="0.5" style="60" customWidth="1"/>
    <col min="13826" max="13826" width="5.19921875" style="60" bestFit="1" customWidth="1"/>
    <col min="13827" max="13827" width="7.3984375" style="60" customWidth="1"/>
    <col min="13828" max="13828" width="8.8984375" style="60" customWidth="1"/>
    <col min="13829" max="13829" width="17.69921875" style="60" customWidth="1"/>
    <col min="13830" max="13830" width="6.3984375" style="60" customWidth="1"/>
    <col min="13831" max="13831" width="8.8984375" style="60" customWidth="1"/>
    <col min="13832" max="13832" width="9.69921875" style="60" customWidth="1"/>
    <col min="13833" max="13833" width="17.5" style="60" bestFit="1" customWidth="1"/>
    <col min="13834" max="13834" width="15.59765625" style="60" customWidth="1"/>
    <col min="13835" max="13835" width="13.69921875" style="60" bestFit="1" customWidth="1"/>
    <col min="13836" max="13836" width="10.8984375" style="60" bestFit="1" customWidth="1"/>
    <col min="13837" max="13840" width="9" style="60"/>
    <col min="13841" max="13846" width="15.59765625" style="60" customWidth="1"/>
    <col min="13847" max="14080" width="9" style="60"/>
    <col min="14081" max="14081" width="0.5" style="60" customWidth="1"/>
    <col min="14082" max="14082" width="5.19921875" style="60" bestFit="1" customWidth="1"/>
    <col min="14083" max="14083" width="7.3984375" style="60" customWidth="1"/>
    <col min="14084" max="14084" width="8.8984375" style="60" customWidth="1"/>
    <col min="14085" max="14085" width="17.69921875" style="60" customWidth="1"/>
    <col min="14086" max="14086" width="6.3984375" style="60" customWidth="1"/>
    <col min="14087" max="14087" width="8.8984375" style="60" customWidth="1"/>
    <col min="14088" max="14088" width="9.69921875" style="60" customWidth="1"/>
    <col min="14089" max="14089" width="17.5" style="60" bestFit="1" customWidth="1"/>
    <col min="14090" max="14090" width="15.59765625" style="60" customWidth="1"/>
    <col min="14091" max="14091" width="13.69921875" style="60" bestFit="1" customWidth="1"/>
    <col min="14092" max="14092" width="10.8984375" style="60" bestFit="1" customWidth="1"/>
    <col min="14093" max="14096" width="9" style="60"/>
    <col min="14097" max="14102" width="15.59765625" style="60" customWidth="1"/>
    <col min="14103" max="14336" width="9" style="60"/>
    <col min="14337" max="14337" width="0.5" style="60" customWidth="1"/>
    <col min="14338" max="14338" width="5.19921875" style="60" bestFit="1" customWidth="1"/>
    <col min="14339" max="14339" width="7.3984375" style="60" customWidth="1"/>
    <col min="14340" max="14340" width="8.8984375" style="60" customWidth="1"/>
    <col min="14341" max="14341" width="17.69921875" style="60" customWidth="1"/>
    <col min="14342" max="14342" width="6.3984375" style="60" customWidth="1"/>
    <col min="14343" max="14343" width="8.8984375" style="60" customWidth="1"/>
    <col min="14344" max="14344" width="9.69921875" style="60" customWidth="1"/>
    <col min="14345" max="14345" width="17.5" style="60" bestFit="1" customWidth="1"/>
    <col min="14346" max="14346" width="15.59765625" style="60" customWidth="1"/>
    <col min="14347" max="14347" width="13.69921875" style="60" bestFit="1" customWidth="1"/>
    <col min="14348" max="14348" width="10.8984375" style="60" bestFit="1" customWidth="1"/>
    <col min="14349" max="14352" width="9" style="60"/>
    <col min="14353" max="14358" width="15.59765625" style="60" customWidth="1"/>
    <col min="14359" max="14592" width="9" style="60"/>
    <col min="14593" max="14593" width="0.5" style="60" customWidth="1"/>
    <col min="14594" max="14594" width="5.19921875" style="60" bestFit="1" customWidth="1"/>
    <col min="14595" max="14595" width="7.3984375" style="60" customWidth="1"/>
    <col min="14596" max="14596" width="8.8984375" style="60" customWidth="1"/>
    <col min="14597" max="14597" width="17.69921875" style="60" customWidth="1"/>
    <col min="14598" max="14598" width="6.3984375" style="60" customWidth="1"/>
    <col min="14599" max="14599" width="8.8984375" style="60" customWidth="1"/>
    <col min="14600" max="14600" width="9.69921875" style="60" customWidth="1"/>
    <col min="14601" max="14601" width="17.5" style="60" bestFit="1" customWidth="1"/>
    <col min="14602" max="14602" width="15.59765625" style="60" customWidth="1"/>
    <col min="14603" max="14603" width="13.69921875" style="60" bestFit="1" customWidth="1"/>
    <col min="14604" max="14604" width="10.8984375" style="60" bestFit="1" customWidth="1"/>
    <col min="14605" max="14608" width="9" style="60"/>
    <col min="14609" max="14614" width="15.59765625" style="60" customWidth="1"/>
    <col min="14615" max="14848" width="9" style="60"/>
    <col min="14849" max="14849" width="0.5" style="60" customWidth="1"/>
    <col min="14850" max="14850" width="5.19921875" style="60" bestFit="1" customWidth="1"/>
    <col min="14851" max="14851" width="7.3984375" style="60" customWidth="1"/>
    <col min="14852" max="14852" width="8.8984375" style="60" customWidth="1"/>
    <col min="14853" max="14853" width="17.69921875" style="60" customWidth="1"/>
    <col min="14854" max="14854" width="6.3984375" style="60" customWidth="1"/>
    <col min="14855" max="14855" width="8.8984375" style="60" customWidth="1"/>
    <col min="14856" max="14856" width="9.69921875" style="60" customWidth="1"/>
    <col min="14857" max="14857" width="17.5" style="60" bestFit="1" customWidth="1"/>
    <col min="14858" max="14858" width="15.59765625" style="60" customWidth="1"/>
    <col min="14859" max="14859" width="13.69921875" style="60" bestFit="1" customWidth="1"/>
    <col min="14860" max="14860" width="10.8984375" style="60" bestFit="1" customWidth="1"/>
    <col min="14861" max="14864" width="9" style="60"/>
    <col min="14865" max="14870" width="15.59765625" style="60" customWidth="1"/>
    <col min="14871" max="15104" width="9" style="60"/>
    <col min="15105" max="15105" width="0.5" style="60" customWidth="1"/>
    <col min="15106" max="15106" width="5.19921875" style="60" bestFit="1" customWidth="1"/>
    <col min="15107" max="15107" width="7.3984375" style="60" customWidth="1"/>
    <col min="15108" max="15108" width="8.8984375" style="60" customWidth="1"/>
    <col min="15109" max="15109" width="17.69921875" style="60" customWidth="1"/>
    <col min="15110" max="15110" width="6.3984375" style="60" customWidth="1"/>
    <col min="15111" max="15111" width="8.8984375" style="60" customWidth="1"/>
    <col min="15112" max="15112" width="9.69921875" style="60" customWidth="1"/>
    <col min="15113" max="15113" width="17.5" style="60" bestFit="1" customWidth="1"/>
    <col min="15114" max="15114" width="15.59765625" style="60" customWidth="1"/>
    <col min="15115" max="15115" width="13.69921875" style="60" bestFit="1" customWidth="1"/>
    <col min="15116" max="15116" width="10.8984375" style="60" bestFit="1" customWidth="1"/>
    <col min="15117" max="15120" width="9" style="60"/>
    <col min="15121" max="15126" width="15.59765625" style="60" customWidth="1"/>
    <col min="15127" max="15360" width="9" style="60"/>
    <col min="15361" max="15361" width="0.5" style="60" customWidth="1"/>
    <col min="15362" max="15362" width="5.19921875" style="60" bestFit="1" customWidth="1"/>
    <col min="15363" max="15363" width="7.3984375" style="60" customWidth="1"/>
    <col min="15364" max="15364" width="8.8984375" style="60" customWidth="1"/>
    <col min="15365" max="15365" width="17.69921875" style="60" customWidth="1"/>
    <col min="15366" max="15366" width="6.3984375" style="60" customWidth="1"/>
    <col min="15367" max="15367" width="8.8984375" style="60" customWidth="1"/>
    <col min="15368" max="15368" width="9.69921875" style="60" customWidth="1"/>
    <col min="15369" max="15369" width="17.5" style="60" bestFit="1" customWidth="1"/>
    <col min="15370" max="15370" width="15.59765625" style="60" customWidth="1"/>
    <col min="15371" max="15371" width="13.69921875" style="60" bestFit="1" customWidth="1"/>
    <col min="15372" max="15372" width="10.8984375" style="60" bestFit="1" customWidth="1"/>
    <col min="15373" max="15376" width="9" style="60"/>
    <col min="15377" max="15382" width="15.59765625" style="60" customWidth="1"/>
    <col min="15383" max="15616" width="9" style="60"/>
    <col min="15617" max="15617" width="0.5" style="60" customWidth="1"/>
    <col min="15618" max="15618" width="5.19921875" style="60" bestFit="1" customWidth="1"/>
    <col min="15619" max="15619" width="7.3984375" style="60" customWidth="1"/>
    <col min="15620" max="15620" width="8.8984375" style="60" customWidth="1"/>
    <col min="15621" max="15621" width="17.69921875" style="60" customWidth="1"/>
    <col min="15622" max="15622" width="6.3984375" style="60" customWidth="1"/>
    <col min="15623" max="15623" width="8.8984375" style="60" customWidth="1"/>
    <col min="15624" max="15624" width="9.69921875" style="60" customWidth="1"/>
    <col min="15625" max="15625" width="17.5" style="60" bestFit="1" customWidth="1"/>
    <col min="15626" max="15626" width="15.59765625" style="60" customWidth="1"/>
    <col min="15627" max="15627" width="13.69921875" style="60" bestFit="1" customWidth="1"/>
    <col min="15628" max="15628" width="10.8984375" style="60" bestFit="1" customWidth="1"/>
    <col min="15629" max="15632" width="9" style="60"/>
    <col min="15633" max="15638" width="15.59765625" style="60" customWidth="1"/>
    <col min="15639" max="15872" width="9" style="60"/>
    <col min="15873" max="15873" width="0.5" style="60" customWidth="1"/>
    <col min="15874" max="15874" width="5.19921875" style="60" bestFit="1" customWidth="1"/>
    <col min="15875" max="15875" width="7.3984375" style="60" customWidth="1"/>
    <col min="15876" max="15876" width="8.8984375" style="60" customWidth="1"/>
    <col min="15877" max="15877" width="17.69921875" style="60" customWidth="1"/>
    <col min="15878" max="15878" width="6.3984375" style="60" customWidth="1"/>
    <col min="15879" max="15879" width="8.8984375" style="60" customWidth="1"/>
    <col min="15880" max="15880" width="9.69921875" style="60" customWidth="1"/>
    <col min="15881" max="15881" width="17.5" style="60" bestFit="1" customWidth="1"/>
    <col min="15882" max="15882" width="15.59765625" style="60" customWidth="1"/>
    <col min="15883" max="15883" width="13.69921875" style="60" bestFit="1" customWidth="1"/>
    <col min="15884" max="15884" width="10.8984375" style="60" bestFit="1" customWidth="1"/>
    <col min="15885" max="15888" width="9" style="60"/>
    <col min="15889" max="15894" width="15.59765625" style="60" customWidth="1"/>
    <col min="15895" max="16128" width="9" style="60"/>
    <col min="16129" max="16129" width="0.5" style="60" customWidth="1"/>
    <col min="16130" max="16130" width="5.19921875" style="60" bestFit="1" customWidth="1"/>
    <col min="16131" max="16131" width="7.3984375" style="60" customWidth="1"/>
    <col min="16132" max="16132" width="8.8984375" style="60" customWidth="1"/>
    <col min="16133" max="16133" width="17.69921875" style="60" customWidth="1"/>
    <col min="16134" max="16134" width="6.3984375" style="60" customWidth="1"/>
    <col min="16135" max="16135" width="8.8984375" style="60" customWidth="1"/>
    <col min="16136" max="16136" width="9.69921875" style="60" customWidth="1"/>
    <col min="16137" max="16137" width="17.5" style="60" bestFit="1" customWidth="1"/>
    <col min="16138" max="16138" width="15.59765625" style="60" customWidth="1"/>
    <col min="16139" max="16139" width="13.69921875" style="60" bestFit="1" customWidth="1"/>
    <col min="16140" max="16140" width="10.8984375" style="60" bestFit="1" customWidth="1"/>
    <col min="16141" max="16144" width="9" style="60"/>
    <col min="16145" max="16150" width="15.59765625" style="60" customWidth="1"/>
    <col min="16151" max="16384" width="9" style="60"/>
  </cols>
  <sheetData>
    <row r="2" spans="2:24" s="72" customFormat="1" ht="26.25" customHeight="1" x14ac:dyDescent="0.4">
      <c r="B2" s="65"/>
      <c r="C2" s="66" t="s">
        <v>51</v>
      </c>
      <c r="D2" s="67"/>
      <c r="E2" s="67"/>
      <c r="F2" s="68"/>
      <c r="G2" s="69"/>
      <c r="H2" s="70"/>
      <c r="I2" s="70"/>
      <c r="J2" s="67"/>
      <c r="K2" s="71"/>
    </row>
    <row r="3" spans="2:24" s="72" customFormat="1" ht="19.5" customHeight="1" x14ac:dyDescent="0.4">
      <c r="B3" s="65"/>
      <c r="C3" s="66"/>
      <c r="D3" s="67"/>
      <c r="E3" s="67"/>
      <c r="F3" s="68"/>
      <c r="G3" s="69"/>
      <c r="H3" s="70"/>
      <c r="I3" s="70"/>
      <c r="J3" s="67"/>
      <c r="K3" s="71"/>
    </row>
    <row r="4" spans="2:24" ht="30" customHeight="1" x14ac:dyDescent="0.4">
      <c r="B4" s="73" t="s">
        <v>52</v>
      </c>
      <c r="D4" s="74"/>
      <c r="J4" s="61"/>
    </row>
    <row r="5" spans="2:24" s="61" customFormat="1" ht="8.25" customHeight="1" x14ac:dyDescent="0.4">
      <c r="B5" s="75"/>
      <c r="C5" s="318"/>
      <c r="D5" s="319"/>
      <c r="E5" s="320"/>
      <c r="F5" s="76"/>
      <c r="G5" s="77"/>
      <c r="H5" s="77"/>
      <c r="I5" s="77"/>
      <c r="J5" s="78"/>
      <c r="K5" s="79"/>
    </row>
    <row r="6" spans="2:24" s="61" customFormat="1" ht="22.5" customHeight="1" thickBot="1" x14ac:dyDescent="0.45">
      <c r="B6" s="80" t="s">
        <v>53</v>
      </c>
      <c r="C6" s="321" t="s">
        <v>54</v>
      </c>
      <c r="D6" s="322"/>
      <c r="E6" s="323"/>
      <c r="F6" s="81" t="s">
        <v>55</v>
      </c>
      <c r="G6" s="82" t="s">
        <v>56</v>
      </c>
      <c r="H6" s="82" t="s">
        <v>57</v>
      </c>
      <c r="I6" s="82" t="s">
        <v>58</v>
      </c>
      <c r="J6" s="83" t="s">
        <v>59</v>
      </c>
      <c r="K6" s="79"/>
      <c r="Q6" s="61" t="s">
        <v>60</v>
      </c>
      <c r="R6" s="61" t="s">
        <v>61</v>
      </c>
      <c r="S6" s="61" t="s">
        <v>62</v>
      </c>
      <c r="T6" s="61" t="s">
        <v>63</v>
      </c>
    </row>
    <row r="7" spans="2:24" ht="19.5" customHeight="1" thickTop="1" x14ac:dyDescent="0.4">
      <c r="B7" s="310">
        <v>1</v>
      </c>
      <c r="C7" s="324" t="s">
        <v>64</v>
      </c>
      <c r="D7" s="314" t="s">
        <v>65</v>
      </c>
      <c r="E7" s="84" t="s">
        <v>66</v>
      </c>
      <c r="F7" s="85" t="s">
        <v>67</v>
      </c>
      <c r="G7" s="86" t="s">
        <v>68</v>
      </c>
      <c r="H7" s="87"/>
      <c r="I7" s="87">
        <f>SUM(Q7:T7)</f>
        <v>138200000</v>
      </c>
      <c r="J7" s="88" t="s">
        <v>69</v>
      </c>
      <c r="Q7" s="60">
        <v>20500000</v>
      </c>
      <c r="R7" s="60">
        <v>49000000</v>
      </c>
      <c r="S7" s="60">
        <v>32100000</v>
      </c>
      <c r="T7" s="60">
        <v>36600000</v>
      </c>
    </row>
    <row r="8" spans="2:24" ht="19.5" customHeight="1" x14ac:dyDescent="0.4">
      <c r="B8" s="310"/>
      <c r="C8" s="314"/>
      <c r="D8" s="314"/>
      <c r="E8" s="89" t="s">
        <v>70</v>
      </c>
      <c r="F8" s="90" t="s">
        <v>71</v>
      </c>
      <c r="G8" s="91">
        <v>1</v>
      </c>
      <c r="H8" s="92"/>
      <c r="I8" s="92">
        <f>SUM(Q8:T8)</f>
        <v>468474800</v>
      </c>
      <c r="J8" s="93" t="s">
        <v>72</v>
      </c>
      <c r="Q8" s="60">
        <v>101984000</v>
      </c>
      <c r="R8" s="60">
        <v>200320800</v>
      </c>
      <c r="S8" s="60">
        <v>110152000</v>
      </c>
      <c r="T8" s="60">
        <v>56018000</v>
      </c>
    </row>
    <row r="9" spans="2:24" ht="19.5" customHeight="1" x14ac:dyDescent="0.4">
      <c r="B9" s="310"/>
      <c r="C9" s="314"/>
      <c r="D9" s="314"/>
      <c r="E9" s="89" t="s">
        <v>73</v>
      </c>
      <c r="F9" s="90" t="s">
        <v>71</v>
      </c>
      <c r="G9" s="94">
        <v>1</v>
      </c>
      <c r="H9" s="92"/>
      <c r="I9" s="92">
        <f>SUM(Q9:T9)</f>
        <v>1025177000</v>
      </c>
      <c r="J9" s="93" t="s">
        <v>74</v>
      </c>
      <c r="Q9" s="60">
        <v>256782000</v>
      </c>
      <c r="R9" s="60">
        <v>444730000</v>
      </c>
      <c r="S9" s="60">
        <v>176850000</v>
      </c>
      <c r="T9" s="60">
        <v>146815000</v>
      </c>
    </row>
    <row r="10" spans="2:24" ht="19.5" customHeight="1" x14ac:dyDescent="0.4">
      <c r="B10" s="310"/>
      <c r="C10" s="314"/>
      <c r="D10" s="314"/>
      <c r="E10" s="95" t="s">
        <v>75</v>
      </c>
      <c r="F10" s="96" t="s">
        <v>71</v>
      </c>
      <c r="G10" s="97">
        <v>1</v>
      </c>
      <c r="H10" s="98"/>
      <c r="I10" s="98">
        <v>0</v>
      </c>
      <c r="J10" s="93" t="s">
        <v>76</v>
      </c>
    </row>
    <row r="11" spans="2:24" ht="19.5" customHeight="1" x14ac:dyDescent="0.4">
      <c r="B11" s="310"/>
      <c r="C11" s="314"/>
      <c r="D11" s="285"/>
      <c r="E11" s="99" t="s">
        <v>77</v>
      </c>
      <c r="F11" s="291"/>
      <c r="G11" s="292"/>
      <c r="H11" s="293"/>
      <c r="I11" s="100">
        <f>SUM(I7:I10)</f>
        <v>1631851800</v>
      </c>
      <c r="J11" s="93"/>
      <c r="Q11" s="60">
        <v>379266000</v>
      </c>
      <c r="R11" s="60">
        <v>694050800</v>
      </c>
      <c r="S11" s="60">
        <v>319102000</v>
      </c>
      <c r="T11" s="60">
        <v>239433000</v>
      </c>
    </row>
    <row r="12" spans="2:24" ht="19.5" customHeight="1" x14ac:dyDescent="0.4">
      <c r="B12" s="310"/>
      <c r="C12" s="314"/>
      <c r="D12" s="317" t="s">
        <v>78</v>
      </c>
      <c r="E12" s="95" t="s">
        <v>79</v>
      </c>
      <c r="F12" s="96" t="s">
        <v>80</v>
      </c>
      <c r="G12" s="98">
        <v>0</v>
      </c>
      <c r="H12" s="98">
        <v>0</v>
      </c>
      <c r="I12" s="98">
        <v>0</v>
      </c>
      <c r="J12" s="93" t="s">
        <v>81</v>
      </c>
    </row>
    <row r="13" spans="2:24" ht="19.5" customHeight="1" x14ac:dyDescent="0.4">
      <c r="B13" s="310"/>
      <c r="C13" s="314"/>
      <c r="D13" s="314"/>
      <c r="E13" s="89" t="s">
        <v>82</v>
      </c>
      <c r="F13" s="90" t="s">
        <v>80</v>
      </c>
      <c r="G13" s="92">
        <f>SUM(U13:X13)</f>
        <v>60</v>
      </c>
      <c r="H13" s="92">
        <v>200000</v>
      </c>
      <c r="I13" s="92">
        <f>H13*G13</f>
        <v>12000000</v>
      </c>
      <c r="J13" s="93"/>
      <c r="Q13" s="60">
        <v>2200000</v>
      </c>
      <c r="R13" s="60">
        <v>2200000</v>
      </c>
      <c r="S13" s="60">
        <v>4200000</v>
      </c>
      <c r="T13" s="60">
        <v>3400000</v>
      </c>
      <c r="U13" s="60">
        <v>11</v>
      </c>
      <c r="V13" s="60">
        <v>11</v>
      </c>
      <c r="W13" s="60">
        <v>21</v>
      </c>
      <c r="X13" s="60">
        <v>17</v>
      </c>
    </row>
    <row r="14" spans="2:24" ht="19.5" customHeight="1" x14ac:dyDescent="0.4">
      <c r="B14" s="310"/>
      <c r="C14" s="314"/>
      <c r="D14" s="314"/>
      <c r="E14" s="89" t="s">
        <v>83</v>
      </c>
      <c r="F14" s="90" t="s">
        <v>80</v>
      </c>
      <c r="G14" s="92">
        <v>0</v>
      </c>
      <c r="H14" s="92">
        <v>0</v>
      </c>
      <c r="I14" s="92">
        <v>0</v>
      </c>
      <c r="J14" s="93"/>
    </row>
    <row r="15" spans="2:24" ht="19.5" customHeight="1" x14ac:dyDescent="0.4">
      <c r="B15" s="310"/>
      <c r="C15" s="314"/>
      <c r="D15" s="314"/>
      <c r="E15" s="89" t="s">
        <v>84</v>
      </c>
      <c r="F15" s="90" t="s">
        <v>80</v>
      </c>
      <c r="G15" s="92">
        <f>SUM(U15:X15)</f>
        <v>131</v>
      </c>
      <c r="H15" s="92">
        <v>200000</v>
      </c>
      <c r="I15" s="92">
        <f>H15*G15</f>
        <v>26200000</v>
      </c>
      <c r="J15" s="93" t="s">
        <v>85</v>
      </c>
      <c r="Q15" s="60">
        <v>4200000</v>
      </c>
      <c r="R15" s="60">
        <v>8400000</v>
      </c>
      <c r="S15" s="60">
        <v>7400000</v>
      </c>
      <c r="T15" s="60">
        <v>6200000</v>
      </c>
      <c r="U15" s="60">
        <v>21</v>
      </c>
      <c r="V15" s="60">
        <v>42</v>
      </c>
      <c r="W15" s="60">
        <v>37</v>
      </c>
      <c r="X15" s="60">
        <v>31</v>
      </c>
    </row>
    <row r="16" spans="2:24" ht="19.5" customHeight="1" x14ac:dyDescent="0.4">
      <c r="B16" s="310"/>
      <c r="C16" s="314"/>
      <c r="D16" s="314"/>
      <c r="E16" s="95" t="s">
        <v>86</v>
      </c>
      <c r="F16" s="96" t="s">
        <v>80</v>
      </c>
      <c r="G16" s="98">
        <f>SUM(U16:X16)</f>
        <v>174</v>
      </c>
      <c r="H16" s="98">
        <v>600000</v>
      </c>
      <c r="I16" s="98">
        <f>H16*G16</f>
        <v>104400000</v>
      </c>
      <c r="J16" s="93"/>
      <c r="Q16" s="60">
        <v>18000000</v>
      </c>
      <c r="R16" s="60">
        <v>25200000</v>
      </c>
      <c r="S16" s="60">
        <v>25200000</v>
      </c>
      <c r="T16" s="60">
        <v>36000000</v>
      </c>
      <c r="U16" s="60">
        <v>30</v>
      </c>
      <c r="V16" s="60">
        <v>42</v>
      </c>
      <c r="W16" s="60">
        <v>42</v>
      </c>
      <c r="X16" s="60">
        <v>60</v>
      </c>
    </row>
    <row r="17" spans="2:24" ht="19.5" customHeight="1" x14ac:dyDescent="0.4">
      <c r="B17" s="310"/>
      <c r="C17" s="314"/>
      <c r="D17" s="314"/>
      <c r="E17" s="95" t="s">
        <v>87</v>
      </c>
      <c r="F17" s="96" t="s">
        <v>80</v>
      </c>
      <c r="G17" s="98">
        <f>SUM(U17:X17)</f>
        <v>16</v>
      </c>
      <c r="H17" s="98">
        <v>600000</v>
      </c>
      <c r="I17" s="98">
        <f>H17*G17</f>
        <v>9600000</v>
      </c>
      <c r="J17" s="93"/>
      <c r="Q17" s="60">
        <v>2400000</v>
      </c>
      <c r="R17" s="60">
        <v>2400000</v>
      </c>
      <c r="S17" s="60">
        <v>2400000</v>
      </c>
      <c r="T17" s="60">
        <v>2400000</v>
      </c>
      <c r="U17" s="60">
        <v>4</v>
      </c>
      <c r="V17" s="60">
        <v>4</v>
      </c>
      <c r="W17" s="60">
        <v>4</v>
      </c>
      <c r="X17" s="60">
        <v>4</v>
      </c>
    </row>
    <row r="18" spans="2:24" ht="19.5" customHeight="1" x14ac:dyDescent="0.4">
      <c r="B18" s="310"/>
      <c r="C18" s="314"/>
      <c r="D18" s="314"/>
      <c r="E18" s="89" t="s">
        <v>88</v>
      </c>
      <c r="F18" s="90" t="s">
        <v>80</v>
      </c>
      <c r="G18" s="92">
        <f>SUM(U18:X18)</f>
        <v>175</v>
      </c>
      <c r="H18" s="92">
        <v>600000</v>
      </c>
      <c r="I18" s="92">
        <f>H18*G18</f>
        <v>105000000</v>
      </c>
      <c r="J18" s="93" t="s">
        <v>89</v>
      </c>
      <c r="Q18" s="60">
        <v>16800000</v>
      </c>
      <c r="R18" s="60">
        <v>25200000</v>
      </c>
      <c r="S18" s="60">
        <v>25200000</v>
      </c>
      <c r="T18" s="60">
        <v>37800000</v>
      </c>
      <c r="U18" s="60">
        <v>28</v>
      </c>
      <c r="V18" s="60">
        <v>42</v>
      </c>
      <c r="W18" s="60">
        <v>42</v>
      </c>
      <c r="X18" s="60">
        <v>63</v>
      </c>
    </row>
    <row r="19" spans="2:24" ht="19.5" customHeight="1" x14ac:dyDescent="0.4">
      <c r="B19" s="310"/>
      <c r="C19" s="314"/>
      <c r="D19" s="314"/>
      <c r="E19" s="89" t="s">
        <v>90</v>
      </c>
      <c r="F19" s="90" t="s">
        <v>80</v>
      </c>
      <c r="G19" s="92">
        <f>SUM(U19:X19)</f>
        <v>45</v>
      </c>
      <c r="H19" s="92">
        <v>2500000</v>
      </c>
      <c r="I19" s="92">
        <f>H19*G19</f>
        <v>112500000</v>
      </c>
      <c r="J19" s="93"/>
      <c r="Q19" s="60">
        <v>22500000</v>
      </c>
      <c r="R19" s="60">
        <v>27500000</v>
      </c>
      <c r="S19" s="60">
        <v>27500000</v>
      </c>
      <c r="T19" s="60">
        <v>35000000</v>
      </c>
      <c r="U19" s="60">
        <v>9</v>
      </c>
      <c r="V19" s="60">
        <v>11</v>
      </c>
      <c r="W19" s="60">
        <v>11</v>
      </c>
      <c r="X19" s="60">
        <v>14</v>
      </c>
    </row>
    <row r="20" spans="2:24" ht="19.5" customHeight="1" x14ac:dyDescent="0.4">
      <c r="B20" s="310"/>
      <c r="C20" s="314"/>
      <c r="D20" s="285"/>
      <c r="E20" s="99" t="s">
        <v>77</v>
      </c>
      <c r="F20" s="291"/>
      <c r="G20" s="292"/>
      <c r="H20" s="293"/>
      <c r="I20" s="100">
        <f>SUM(I12:I19)</f>
        <v>369700000</v>
      </c>
      <c r="J20" s="93"/>
      <c r="Q20" s="60">
        <v>66100000</v>
      </c>
      <c r="R20" s="60">
        <v>90900000</v>
      </c>
      <c r="S20" s="60">
        <v>91900000</v>
      </c>
      <c r="T20" s="60">
        <v>120800000</v>
      </c>
    </row>
    <row r="21" spans="2:24" ht="19.5" customHeight="1" x14ac:dyDescent="0.4">
      <c r="B21" s="310"/>
      <c r="C21" s="314"/>
      <c r="D21" s="101" t="s">
        <v>91</v>
      </c>
      <c r="E21" s="102"/>
      <c r="F21" s="291"/>
      <c r="G21" s="292"/>
      <c r="H21" s="293"/>
      <c r="I21" s="103">
        <f>SUM(Q21:T21)</f>
        <v>200155180</v>
      </c>
      <c r="J21" s="104"/>
      <c r="Q21" s="60">
        <v>44536600</v>
      </c>
      <c r="R21" s="60">
        <v>78495080</v>
      </c>
      <c r="S21" s="60">
        <v>41100200</v>
      </c>
      <c r="T21" s="60">
        <v>36023300</v>
      </c>
    </row>
    <row r="22" spans="2:24" ht="19.5" customHeight="1" x14ac:dyDescent="0.4">
      <c r="B22" s="311"/>
      <c r="C22" s="315"/>
      <c r="D22" s="105"/>
      <c r="E22" s="106" t="s">
        <v>92</v>
      </c>
      <c r="F22" s="268"/>
      <c r="G22" s="269"/>
      <c r="H22" s="270"/>
      <c r="I22" s="107">
        <f>I20+I11+I21</f>
        <v>2201706980</v>
      </c>
      <c r="J22" s="108"/>
      <c r="Q22" s="60">
        <v>489902600</v>
      </c>
      <c r="R22" s="60">
        <v>863445880</v>
      </c>
      <c r="S22" s="60">
        <v>452102200</v>
      </c>
      <c r="T22" s="60">
        <v>396256300</v>
      </c>
    </row>
    <row r="23" spans="2:24" ht="19.5" customHeight="1" x14ac:dyDescent="0.4">
      <c r="B23" s="309">
        <v>2</v>
      </c>
      <c r="C23" s="312" t="s">
        <v>93</v>
      </c>
      <c r="D23" s="316" t="s">
        <v>65</v>
      </c>
      <c r="E23" s="109" t="s">
        <v>94</v>
      </c>
      <c r="F23" s="110" t="s">
        <v>71</v>
      </c>
      <c r="G23" s="111">
        <v>1</v>
      </c>
      <c r="H23" s="111"/>
      <c r="I23" s="111">
        <f>SUM(Q23:T23)</f>
        <v>295794000</v>
      </c>
      <c r="J23" s="112"/>
      <c r="Q23" s="60">
        <v>59852000</v>
      </c>
      <c r="R23" s="60">
        <v>119704000</v>
      </c>
      <c r="S23" s="60">
        <v>59489000</v>
      </c>
      <c r="T23" s="60">
        <v>56749000</v>
      </c>
    </row>
    <row r="24" spans="2:24" ht="19.5" customHeight="1" x14ac:dyDescent="0.4">
      <c r="B24" s="310"/>
      <c r="C24" s="313"/>
      <c r="D24" s="280"/>
      <c r="E24" s="95" t="s">
        <v>75</v>
      </c>
      <c r="F24" s="113" t="s">
        <v>71</v>
      </c>
      <c r="G24" s="114">
        <v>1</v>
      </c>
      <c r="H24" s="114"/>
      <c r="I24" s="114">
        <v>0</v>
      </c>
      <c r="J24" s="93" t="s">
        <v>76</v>
      </c>
    </row>
    <row r="25" spans="2:24" ht="19.5" customHeight="1" x14ac:dyDescent="0.4">
      <c r="B25" s="310"/>
      <c r="C25" s="279"/>
      <c r="D25" s="317" t="s">
        <v>78</v>
      </c>
      <c r="E25" s="95" t="s">
        <v>95</v>
      </c>
      <c r="F25" s="96" t="s">
        <v>80</v>
      </c>
      <c r="G25" s="98">
        <v>0</v>
      </c>
      <c r="H25" s="98">
        <v>0</v>
      </c>
      <c r="I25" s="98">
        <v>0</v>
      </c>
      <c r="J25" s="93"/>
    </row>
    <row r="26" spans="2:24" ht="19.5" customHeight="1" x14ac:dyDescent="0.4">
      <c r="B26" s="310"/>
      <c r="C26" s="279"/>
      <c r="D26" s="314"/>
      <c r="E26" s="89" t="s">
        <v>96</v>
      </c>
      <c r="F26" s="90" t="s">
        <v>80</v>
      </c>
      <c r="G26" s="92">
        <f>SUM(U26:X26)</f>
        <v>100</v>
      </c>
      <c r="H26" s="92">
        <v>200000</v>
      </c>
      <c r="I26" s="92">
        <f>H26*G26</f>
        <v>20000000</v>
      </c>
      <c r="J26" s="93"/>
      <c r="Q26" s="60">
        <v>4000000</v>
      </c>
      <c r="R26" s="60">
        <v>6000000</v>
      </c>
      <c r="S26" s="60">
        <v>6000000</v>
      </c>
      <c r="T26" s="60">
        <v>4000000</v>
      </c>
      <c r="U26" s="60">
        <v>20</v>
      </c>
      <c r="V26" s="60">
        <v>30</v>
      </c>
      <c r="W26" s="60">
        <v>30</v>
      </c>
      <c r="X26" s="60">
        <v>20</v>
      </c>
    </row>
    <row r="27" spans="2:24" ht="19.5" customHeight="1" x14ac:dyDescent="0.4">
      <c r="B27" s="310"/>
      <c r="C27" s="279"/>
      <c r="D27" s="314"/>
      <c r="E27" s="89" t="s">
        <v>97</v>
      </c>
      <c r="F27" s="90" t="s">
        <v>80</v>
      </c>
      <c r="G27" s="92">
        <f>SUM(U27:X27)</f>
        <v>160</v>
      </c>
      <c r="H27" s="92">
        <v>200000</v>
      </c>
      <c r="I27" s="92">
        <f>H27*G27</f>
        <v>32000000</v>
      </c>
      <c r="J27" s="93"/>
      <c r="Q27" s="60">
        <v>6000000</v>
      </c>
      <c r="R27" s="60">
        <v>12000000</v>
      </c>
      <c r="S27" s="60">
        <v>8000000</v>
      </c>
      <c r="T27" s="60">
        <v>6000000</v>
      </c>
      <c r="U27" s="60">
        <v>30</v>
      </c>
      <c r="V27" s="60">
        <v>60</v>
      </c>
      <c r="W27" s="60">
        <v>40</v>
      </c>
      <c r="X27" s="60">
        <v>30</v>
      </c>
    </row>
    <row r="28" spans="2:24" ht="19.5" customHeight="1" x14ac:dyDescent="0.4">
      <c r="B28" s="310"/>
      <c r="C28" s="279"/>
      <c r="D28" s="314"/>
      <c r="E28" s="89" t="s">
        <v>84</v>
      </c>
      <c r="F28" s="90" t="s">
        <v>80</v>
      </c>
      <c r="G28" s="92">
        <v>0</v>
      </c>
      <c r="H28" s="92">
        <v>200000</v>
      </c>
      <c r="I28" s="92">
        <v>0</v>
      </c>
      <c r="J28" s="93"/>
    </row>
    <row r="29" spans="2:24" ht="19.5" customHeight="1" x14ac:dyDescent="0.4">
      <c r="B29" s="310"/>
      <c r="C29" s="279"/>
      <c r="D29" s="314"/>
      <c r="E29" s="95" t="s">
        <v>86</v>
      </c>
      <c r="F29" s="96" t="s">
        <v>80</v>
      </c>
      <c r="G29" s="98">
        <f>SUM(U29:X29)</f>
        <v>151</v>
      </c>
      <c r="H29" s="98">
        <v>600000</v>
      </c>
      <c r="I29" s="98">
        <f>H29*G29</f>
        <v>90600000</v>
      </c>
      <c r="J29" s="93"/>
      <c r="Q29" s="60">
        <v>17400000</v>
      </c>
      <c r="R29" s="60">
        <v>25200000</v>
      </c>
      <c r="S29" s="60">
        <v>27000000</v>
      </c>
      <c r="T29" s="60">
        <v>21000000</v>
      </c>
      <c r="U29" s="60">
        <v>29</v>
      </c>
      <c r="V29" s="60">
        <v>42</v>
      </c>
      <c r="W29" s="60">
        <v>45</v>
      </c>
      <c r="X29" s="60">
        <v>35</v>
      </c>
    </row>
    <row r="30" spans="2:24" ht="19.5" customHeight="1" x14ac:dyDescent="0.4">
      <c r="B30" s="310"/>
      <c r="C30" s="279"/>
      <c r="D30" s="314"/>
      <c r="E30" s="95" t="s">
        <v>87</v>
      </c>
      <c r="F30" s="96" t="s">
        <v>80</v>
      </c>
      <c r="G30" s="98">
        <f>SUM(U30:X30)</f>
        <v>16</v>
      </c>
      <c r="H30" s="98">
        <v>600000</v>
      </c>
      <c r="I30" s="98">
        <f>H30*G30</f>
        <v>9600000</v>
      </c>
      <c r="J30" s="93"/>
      <c r="Q30" s="60">
        <v>2400000</v>
      </c>
      <c r="R30" s="60">
        <v>2400000</v>
      </c>
      <c r="S30" s="60">
        <v>2400000</v>
      </c>
      <c r="T30" s="60">
        <v>2400000</v>
      </c>
      <c r="U30" s="60">
        <v>4</v>
      </c>
      <c r="V30" s="60">
        <v>4</v>
      </c>
      <c r="W30" s="60">
        <v>4</v>
      </c>
      <c r="X30" s="60">
        <v>4</v>
      </c>
    </row>
    <row r="31" spans="2:24" ht="19.5" customHeight="1" x14ac:dyDescent="0.4">
      <c r="B31" s="310"/>
      <c r="C31" s="279"/>
      <c r="D31" s="314"/>
      <c r="E31" s="89" t="s">
        <v>88</v>
      </c>
      <c r="F31" s="90" t="s">
        <v>80</v>
      </c>
      <c r="G31" s="92">
        <f>SUM(U31:X31)</f>
        <v>175</v>
      </c>
      <c r="H31" s="92">
        <v>600000</v>
      </c>
      <c r="I31" s="92">
        <f>H31*G31</f>
        <v>105000000</v>
      </c>
      <c r="J31" s="93"/>
      <c r="Q31" s="60">
        <v>16800000</v>
      </c>
      <c r="R31" s="60">
        <v>25200000</v>
      </c>
      <c r="S31" s="60">
        <v>25200000</v>
      </c>
      <c r="T31" s="60">
        <v>37800000</v>
      </c>
      <c r="U31" s="60">
        <v>28</v>
      </c>
      <c r="V31" s="60">
        <v>42</v>
      </c>
      <c r="W31" s="60">
        <v>42</v>
      </c>
      <c r="X31" s="60">
        <v>63</v>
      </c>
    </row>
    <row r="32" spans="2:24" ht="19.5" customHeight="1" x14ac:dyDescent="0.4">
      <c r="B32" s="310"/>
      <c r="C32" s="279"/>
      <c r="D32" s="285"/>
      <c r="E32" s="99" t="s">
        <v>35</v>
      </c>
      <c r="F32" s="291"/>
      <c r="G32" s="292"/>
      <c r="H32" s="293"/>
      <c r="I32" s="100">
        <f>SUM(I25:I31)</f>
        <v>257200000</v>
      </c>
      <c r="J32" s="93"/>
      <c r="Q32" s="60">
        <v>46600000</v>
      </c>
      <c r="R32" s="60">
        <v>70800000</v>
      </c>
      <c r="S32" s="60">
        <v>68600000</v>
      </c>
      <c r="T32" s="60">
        <v>71200000</v>
      </c>
    </row>
    <row r="33" spans="2:20" ht="19.5" customHeight="1" x14ac:dyDescent="0.4">
      <c r="B33" s="310"/>
      <c r="C33" s="314"/>
      <c r="D33" s="101" t="s">
        <v>91</v>
      </c>
      <c r="E33" s="102"/>
      <c r="F33" s="291"/>
      <c r="G33" s="292"/>
      <c r="H33" s="293"/>
      <c r="I33" s="103">
        <f>SUM(Q33:T33)</f>
        <v>55299400</v>
      </c>
      <c r="J33" s="104"/>
      <c r="Q33" s="60">
        <v>10645200</v>
      </c>
      <c r="R33" s="60">
        <v>19050400</v>
      </c>
      <c r="S33" s="60">
        <v>12808900</v>
      </c>
      <c r="T33" s="60">
        <v>12794900</v>
      </c>
    </row>
    <row r="34" spans="2:20" ht="19.5" customHeight="1" x14ac:dyDescent="0.4">
      <c r="B34" s="311"/>
      <c r="C34" s="315"/>
      <c r="D34" s="105"/>
      <c r="E34" s="106" t="s">
        <v>98</v>
      </c>
      <c r="F34" s="268"/>
      <c r="G34" s="269"/>
      <c r="H34" s="270"/>
      <c r="I34" s="107">
        <f>I32+I23+I33+I24</f>
        <v>608293400</v>
      </c>
      <c r="J34" s="108"/>
      <c r="Q34" s="60">
        <v>117097200</v>
      </c>
      <c r="R34" s="60">
        <v>209554400</v>
      </c>
      <c r="S34" s="60">
        <v>140897900</v>
      </c>
      <c r="T34" s="60">
        <v>140743900</v>
      </c>
    </row>
    <row r="35" spans="2:20" ht="19.5" customHeight="1" x14ac:dyDescent="0.4">
      <c r="B35" s="300">
        <v>3</v>
      </c>
      <c r="C35" s="303" t="s">
        <v>99</v>
      </c>
      <c r="D35" s="304"/>
      <c r="E35" s="305"/>
      <c r="F35" s="303"/>
      <c r="G35" s="304"/>
      <c r="H35" s="305"/>
      <c r="I35" s="115">
        <f>I23+I11+I24</f>
        <v>1927645800</v>
      </c>
      <c r="J35" s="112"/>
      <c r="Q35" s="60">
        <v>439118000</v>
      </c>
      <c r="R35" s="60">
        <v>813754800</v>
      </c>
      <c r="S35" s="60">
        <v>378591000</v>
      </c>
      <c r="T35" s="60">
        <v>296182000</v>
      </c>
    </row>
    <row r="36" spans="2:20" ht="19.5" customHeight="1" x14ac:dyDescent="0.4">
      <c r="B36" s="301"/>
      <c r="C36" s="291" t="s">
        <v>100</v>
      </c>
      <c r="D36" s="292"/>
      <c r="E36" s="293"/>
      <c r="F36" s="291"/>
      <c r="G36" s="292"/>
      <c r="H36" s="293"/>
      <c r="I36" s="100">
        <f>I32+I20</f>
        <v>626900000</v>
      </c>
      <c r="J36" s="93"/>
      <c r="Q36" s="60">
        <v>112700000</v>
      </c>
      <c r="R36" s="60">
        <v>161700000</v>
      </c>
      <c r="S36" s="60">
        <v>160500000</v>
      </c>
      <c r="T36" s="60">
        <v>192000000</v>
      </c>
    </row>
    <row r="37" spans="2:20" ht="19.5" customHeight="1" thickBot="1" x14ac:dyDescent="0.45">
      <c r="B37" s="302"/>
      <c r="C37" s="306" t="s">
        <v>101</v>
      </c>
      <c r="D37" s="306"/>
      <c r="E37" s="307"/>
      <c r="F37" s="308"/>
      <c r="G37" s="306"/>
      <c r="H37" s="307"/>
      <c r="I37" s="116">
        <f>I36+I35</f>
        <v>2554545800</v>
      </c>
      <c r="J37" s="117"/>
      <c r="Q37" s="60">
        <v>551818000</v>
      </c>
      <c r="R37" s="60">
        <v>975454800</v>
      </c>
      <c r="S37" s="60">
        <v>539091000</v>
      </c>
      <c r="T37" s="60">
        <v>488182000</v>
      </c>
    </row>
    <row r="38" spans="2:20" ht="20.25" customHeight="1" x14ac:dyDescent="0.4">
      <c r="B38" s="118">
        <v>4</v>
      </c>
      <c r="C38" s="285" t="s">
        <v>102</v>
      </c>
      <c r="D38" s="286"/>
      <c r="E38" s="287"/>
      <c r="F38" s="288"/>
      <c r="G38" s="289"/>
      <c r="H38" s="290"/>
      <c r="I38" s="119"/>
      <c r="J38" s="120"/>
    </row>
    <row r="39" spans="2:20" ht="22.5" customHeight="1" x14ac:dyDescent="0.4">
      <c r="B39" s="121">
        <v>5</v>
      </c>
      <c r="C39" s="291" t="s">
        <v>103</v>
      </c>
      <c r="D39" s="292"/>
      <c r="E39" s="293"/>
      <c r="F39" s="294" t="s">
        <v>104</v>
      </c>
      <c r="G39" s="295"/>
      <c r="H39" s="296"/>
      <c r="I39" s="122"/>
      <c r="J39" s="123">
        <f>I30+I29+I25+I24+I17+I16+I12+I10</f>
        <v>214200000</v>
      </c>
      <c r="K39" s="124"/>
      <c r="M39" s="124"/>
    </row>
    <row r="40" spans="2:20" ht="20.25" customHeight="1" x14ac:dyDescent="0.4">
      <c r="B40" s="121">
        <v>6</v>
      </c>
      <c r="C40" s="291" t="s">
        <v>105</v>
      </c>
      <c r="D40" s="292"/>
      <c r="E40" s="293"/>
      <c r="F40" s="297"/>
      <c r="G40" s="298"/>
      <c r="H40" s="299"/>
      <c r="I40" s="100">
        <f>SUM(Q40:T40)</f>
        <v>127727290</v>
      </c>
      <c r="J40" s="93"/>
      <c r="Q40" s="60">
        <v>27590900</v>
      </c>
      <c r="R40" s="60">
        <v>48772740</v>
      </c>
      <c r="S40" s="60">
        <v>26954550</v>
      </c>
      <c r="T40" s="60">
        <v>24409100</v>
      </c>
    </row>
    <row r="41" spans="2:20" ht="20.25" customHeight="1" x14ac:dyDescent="0.4">
      <c r="B41" s="125">
        <v>7</v>
      </c>
      <c r="C41" s="268" t="s">
        <v>106</v>
      </c>
      <c r="D41" s="269"/>
      <c r="E41" s="270"/>
      <c r="F41" s="271"/>
      <c r="G41" s="272"/>
      <c r="H41" s="273"/>
      <c r="I41" s="103">
        <f>SUM(Q41:T41)</f>
        <v>127727290</v>
      </c>
      <c r="J41" s="104"/>
      <c r="K41" s="60"/>
      <c r="Q41" s="60">
        <v>27590900</v>
      </c>
      <c r="R41" s="60">
        <v>48772740</v>
      </c>
      <c r="S41" s="60">
        <v>26954550</v>
      </c>
      <c r="T41" s="60">
        <v>24409100</v>
      </c>
    </row>
    <row r="42" spans="2:20" ht="28.5" customHeight="1" thickBot="1" x14ac:dyDescent="0.45">
      <c r="B42" s="126"/>
      <c r="C42" s="274" t="s">
        <v>107</v>
      </c>
      <c r="D42" s="274"/>
      <c r="E42" s="274"/>
      <c r="F42" s="275" t="s">
        <v>108</v>
      </c>
      <c r="G42" s="276"/>
      <c r="H42" s="277"/>
      <c r="I42" s="127">
        <f>I22+I34+I38+I39</f>
        <v>2810000380</v>
      </c>
      <c r="J42" s="128"/>
      <c r="K42" s="60"/>
      <c r="Q42" s="60">
        <v>606999800</v>
      </c>
      <c r="R42" s="60">
        <v>1073000280</v>
      </c>
      <c r="S42" s="60">
        <v>593000100</v>
      </c>
      <c r="T42" s="60">
        <v>537000200</v>
      </c>
    </row>
    <row r="43" spans="2:20" ht="19.5" customHeight="1" x14ac:dyDescent="0.4">
      <c r="B43" s="60" t="s">
        <v>109</v>
      </c>
      <c r="C43" s="61"/>
      <c r="D43" s="61"/>
      <c r="E43" s="61"/>
    </row>
    <row r="44" spans="2:20" ht="19.5" customHeight="1" x14ac:dyDescent="0.4">
      <c r="B44" s="60" t="s">
        <v>110</v>
      </c>
      <c r="C44" s="61"/>
      <c r="D44" s="61"/>
      <c r="E44" s="61"/>
    </row>
    <row r="45" spans="2:20" ht="19.5" customHeight="1" x14ac:dyDescent="0.4">
      <c r="B45" s="60" t="s">
        <v>111</v>
      </c>
      <c r="C45" s="61"/>
      <c r="D45" s="61"/>
      <c r="E45" s="61"/>
    </row>
    <row r="46" spans="2:20" ht="19.5" customHeight="1" x14ac:dyDescent="0.4">
      <c r="C46" s="61"/>
      <c r="D46" s="61"/>
      <c r="E46" s="61"/>
    </row>
    <row r="47" spans="2:20" ht="19.5" customHeight="1" x14ac:dyDescent="0.4">
      <c r="C47" s="61"/>
      <c r="D47" s="61"/>
      <c r="E47" s="278" t="s">
        <v>112</v>
      </c>
      <c r="F47" s="281" t="s">
        <v>113</v>
      </c>
      <c r="G47" s="282"/>
      <c r="H47" s="283"/>
      <c r="I47" s="129" t="s">
        <v>114</v>
      </c>
      <c r="J47" s="89" t="s">
        <v>115</v>
      </c>
      <c r="K47" s="130" t="s">
        <v>116</v>
      </c>
    </row>
    <row r="48" spans="2:20" ht="19.5" customHeight="1" x14ac:dyDescent="0.4">
      <c r="C48" s="61"/>
      <c r="D48" s="61"/>
      <c r="E48" s="279"/>
      <c r="F48" s="284" t="s">
        <v>117</v>
      </c>
      <c r="G48" s="284"/>
      <c r="H48" s="284"/>
      <c r="I48" s="100">
        <f>IF(J48&lt;500000000,J48*0.0315,1)+IF(J48&gt;500000000,J48*0.0253+3300000)*IF(J48&gt;5000000000,0,1)+IF(J48&gt;5000000000,J48*0.026,0)</f>
        <v>67930009.74000001</v>
      </c>
      <c r="J48" s="131">
        <f>SUM(I7:I10,I12:I19,I23:I31,I38)</f>
        <v>2554545800</v>
      </c>
      <c r="K48" s="131" t="s">
        <v>118</v>
      </c>
    </row>
    <row r="49" spans="5:11" ht="19.5" customHeight="1" x14ac:dyDescent="0.4">
      <c r="E49" s="280"/>
      <c r="F49" s="284" t="s">
        <v>119</v>
      </c>
      <c r="G49" s="284"/>
      <c r="H49" s="284"/>
      <c r="I49" s="100">
        <f>(IF(J49&lt;500000000,J49*0.0315,1)+IF(J49&gt;500000000,J49*0.0253+3300000)*IF(J49&gt;5000000000,0,1)+IF(J49&gt;5000000000,J49*0.026,0))*1.2</f>
        <v>8096760</v>
      </c>
      <c r="J49" s="132">
        <f>SUM(I10,I24,I12,I16:I17,I25,I29:I30)</f>
        <v>214200000</v>
      </c>
      <c r="K49" s="131" t="s">
        <v>120</v>
      </c>
    </row>
    <row r="50" spans="5:11" ht="19.5" customHeight="1" x14ac:dyDescent="0.4">
      <c r="G50" s="133" t="s">
        <v>121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7:E49"/>
    <mergeCell ref="F47:H47"/>
    <mergeCell ref="F48:H48"/>
    <mergeCell ref="F49:H49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2026-07-07T13:18:18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58A0-08EC-4CC4-9FCC-B2BAEB8A77D6}">
  <sheetPr>
    <pageSetUpPr fitToPage="1"/>
  </sheetPr>
  <dimension ref="A2:P22"/>
  <sheetViews>
    <sheetView zoomScale="74" zoomScaleNormal="74" workbookViewId="0">
      <selection activeCell="E20" sqref="E20"/>
    </sheetView>
  </sheetViews>
  <sheetFormatPr defaultColWidth="9" defaultRowHeight="17.25" customHeight="1" x14ac:dyDescent="0.4"/>
  <cols>
    <col min="1" max="1" width="5" style="1" customWidth="1"/>
    <col min="2" max="2" width="25.09765625" style="1" bestFit="1" customWidth="1"/>
    <col min="3" max="3" width="6.19921875" style="1" customWidth="1"/>
    <col min="4" max="4" width="14.8984375" style="1" bestFit="1" customWidth="1"/>
    <col min="5" max="8" width="11.8984375" style="1" customWidth="1"/>
    <col min="9" max="9" width="13" style="1" customWidth="1"/>
    <col min="10" max="10" width="17.5" style="1" bestFit="1" customWidth="1"/>
    <col min="11" max="11" width="13.8984375" style="1" customWidth="1"/>
    <col min="12" max="12" width="12.5" style="1" bestFit="1" customWidth="1"/>
    <col min="13" max="13" width="15" style="1" bestFit="1" customWidth="1"/>
    <col min="14" max="14" width="17.5" style="1" bestFit="1" customWidth="1"/>
    <col min="15" max="15" width="9.59765625" style="1" customWidth="1"/>
    <col min="16" max="16" width="12.59765625" style="1" hidden="1" customWidth="1"/>
    <col min="17" max="17" width="10" style="1" customWidth="1"/>
    <col min="18" max="256" width="9" style="1"/>
    <col min="257" max="257" width="5" style="1" customWidth="1"/>
    <col min="258" max="258" width="25.09765625" style="1" bestFit="1" customWidth="1"/>
    <col min="259" max="259" width="6.19921875" style="1" customWidth="1"/>
    <col min="260" max="260" width="14.8984375" style="1" bestFit="1" customWidth="1"/>
    <col min="261" max="264" width="11.8984375" style="1" customWidth="1"/>
    <col min="265" max="265" width="13" style="1" customWidth="1"/>
    <col min="266" max="266" width="17.5" style="1" bestFit="1" customWidth="1"/>
    <col min="267" max="267" width="13.8984375" style="1" customWidth="1"/>
    <col min="268" max="268" width="12.5" style="1" bestFit="1" customWidth="1"/>
    <col min="269" max="269" width="15" style="1" bestFit="1" customWidth="1"/>
    <col min="270" max="270" width="17.5" style="1" bestFit="1" customWidth="1"/>
    <col min="271" max="271" width="9.59765625" style="1" customWidth="1"/>
    <col min="272" max="272" width="0" style="1" hidden="1" customWidth="1"/>
    <col min="273" max="273" width="10" style="1" customWidth="1"/>
    <col min="274" max="512" width="9" style="1"/>
    <col min="513" max="513" width="5" style="1" customWidth="1"/>
    <col min="514" max="514" width="25.09765625" style="1" bestFit="1" customWidth="1"/>
    <col min="515" max="515" width="6.19921875" style="1" customWidth="1"/>
    <col min="516" max="516" width="14.8984375" style="1" bestFit="1" customWidth="1"/>
    <col min="517" max="520" width="11.8984375" style="1" customWidth="1"/>
    <col min="521" max="521" width="13" style="1" customWidth="1"/>
    <col min="522" max="522" width="17.5" style="1" bestFit="1" customWidth="1"/>
    <col min="523" max="523" width="13.8984375" style="1" customWidth="1"/>
    <col min="524" max="524" width="12.5" style="1" bestFit="1" customWidth="1"/>
    <col min="525" max="525" width="15" style="1" bestFit="1" customWidth="1"/>
    <col min="526" max="526" width="17.5" style="1" bestFit="1" customWidth="1"/>
    <col min="527" max="527" width="9.59765625" style="1" customWidth="1"/>
    <col min="528" max="528" width="0" style="1" hidden="1" customWidth="1"/>
    <col min="529" max="529" width="10" style="1" customWidth="1"/>
    <col min="530" max="768" width="9" style="1"/>
    <col min="769" max="769" width="5" style="1" customWidth="1"/>
    <col min="770" max="770" width="25.09765625" style="1" bestFit="1" customWidth="1"/>
    <col min="771" max="771" width="6.19921875" style="1" customWidth="1"/>
    <col min="772" max="772" width="14.8984375" style="1" bestFit="1" customWidth="1"/>
    <col min="773" max="776" width="11.8984375" style="1" customWidth="1"/>
    <col min="777" max="777" width="13" style="1" customWidth="1"/>
    <col min="778" max="778" width="17.5" style="1" bestFit="1" customWidth="1"/>
    <col min="779" max="779" width="13.8984375" style="1" customWidth="1"/>
    <col min="780" max="780" width="12.5" style="1" bestFit="1" customWidth="1"/>
    <col min="781" max="781" width="15" style="1" bestFit="1" customWidth="1"/>
    <col min="782" max="782" width="17.5" style="1" bestFit="1" customWidth="1"/>
    <col min="783" max="783" width="9.59765625" style="1" customWidth="1"/>
    <col min="784" max="784" width="0" style="1" hidden="1" customWidth="1"/>
    <col min="785" max="785" width="10" style="1" customWidth="1"/>
    <col min="786" max="1024" width="9" style="1"/>
    <col min="1025" max="1025" width="5" style="1" customWidth="1"/>
    <col min="1026" max="1026" width="25.09765625" style="1" bestFit="1" customWidth="1"/>
    <col min="1027" max="1027" width="6.19921875" style="1" customWidth="1"/>
    <col min="1028" max="1028" width="14.8984375" style="1" bestFit="1" customWidth="1"/>
    <col min="1029" max="1032" width="11.8984375" style="1" customWidth="1"/>
    <col min="1033" max="1033" width="13" style="1" customWidth="1"/>
    <col min="1034" max="1034" width="17.5" style="1" bestFit="1" customWidth="1"/>
    <col min="1035" max="1035" width="13.8984375" style="1" customWidth="1"/>
    <col min="1036" max="1036" width="12.5" style="1" bestFit="1" customWidth="1"/>
    <col min="1037" max="1037" width="15" style="1" bestFit="1" customWidth="1"/>
    <col min="1038" max="1038" width="17.5" style="1" bestFit="1" customWidth="1"/>
    <col min="1039" max="1039" width="9.59765625" style="1" customWidth="1"/>
    <col min="1040" max="1040" width="0" style="1" hidden="1" customWidth="1"/>
    <col min="1041" max="1041" width="10" style="1" customWidth="1"/>
    <col min="1042" max="1280" width="9" style="1"/>
    <col min="1281" max="1281" width="5" style="1" customWidth="1"/>
    <col min="1282" max="1282" width="25.09765625" style="1" bestFit="1" customWidth="1"/>
    <col min="1283" max="1283" width="6.19921875" style="1" customWidth="1"/>
    <col min="1284" max="1284" width="14.8984375" style="1" bestFit="1" customWidth="1"/>
    <col min="1285" max="1288" width="11.8984375" style="1" customWidth="1"/>
    <col min="1289" max="1289" width="13" style="1" customWidth="1"/>
    <col min="1290" max="1290" width="17.5" style="1" bestFit="1" customWidth="1"/>
    <col min="1291" max="1291" width="13.8984375" style="1" customWidth="1"/>
    <col min="1292" max="1292" width="12.5" style="1" bestFit="1" customWidth="1"/>
    <col min="1293" max="1293" width="15" style="1" bestFit="1" customWidth="1"/>
    <col min="1294" max="1294" width="17.5" style="1" bestFit="1" customWidth="1"/>
    <col min="1295" max="1295" width="9.59765625" style="1" customWidth="1"/>
    <col min="1296" max="1296" width="0" style="1" hidden="1" customWidth="1"/>
    <col min="1297" max="1297" width="10" style="1" customWidth="1"/>
    <col min="1298" max="1536" width="9" style="1"/>
    <col min="1537" max="1537" width="5" style="1" customWidth="1"/>
    <col min="1538" max="1538" width="25.09765625" style="1" bestFit="1" customWidth="1"/>
    <col min="1539" max="1539" width="6.19921875" style="1" customWidth="1"/>
    <col min="1540" max="1540" width="14.8984375" style="1" bestFit="1" customWidth="1"/>
    <col min="1541" max="1544" width="11.8984375" style="1" customWidth="1"/>
    <col min="1545" max="1545" width="13" style="1" customWidth="1"/>
    <col min="1546" max="1546" width="17.5" style="1" bestFit="1" customWidth="1"/>
    <col min="1547" max="1547" width="13.8984375" style="1" customWidth="1"/>
    <col min="1548" max="1548" width="12.5" style="1" bestFit="1" customWidth="1"/>
    <col min="1549" max="1549" width="15" style="1" bestFit="1" customWidth="1"/>
    <col min="1550" max="1550" width="17.5" style="1" bestFit="1" customWidth="1"/>
    <col min="1551" max="1551" width="9.59765625" style="1" customWidth="1"/>
    <col min="1552" max="1552" width="0" style="1" hidden="1" customWidth="1"/>
    <col min="1553" max="1553" width="10" style="1" customWidth="1"/>
    <col min="1554" max="1792" width="9" style="1"/>
    <col min="1793" max="1793" width="5" style="1" customWidth="1"/>
    <col min="1794" max="1794" width="25.09765625" style="1" bestFit="1" customWidth="1"/>
    <col min="1795" max="1795" width="6.19921875" style="1" customWidth="1"/>
    <col min="1796" max="1796" width="14.8984375" style="1" bestFit="1" customWidth="1"/>
    <col min="1797" max="1800" width="11.8984375" style="1" customWidth="1"/>
    <col min="1801" max="1801" width="13" style="1" customWidth="1"/>
    <col min="1802" max="1802" width="17.5" style="1" bestFit="1" customWidth="1"/>
    <col min="1803" max="1803" width="13.8984375" style="1" customWidth="1"/>
    <col min="1804" max="1804" width="12.5" style="1" bestFit="1" customWidth="1"/>
    <col min="1805" max="1805" width="15" style="1" bestFit="1" customWidth="1"/>
    <col min="1806" max="1806" width="17.5" style="1" bestFit="1" customWidth="1"/>
    <col min="1807" max="1807" width="9.59765625" style="1" customWidth="1"/>
    <col min="1808" max="1808" width="0" style="1" hidden="1" customWidth="1"/>
    <col min="1809" max="1809" width="10" style="1" customWidth="1"/>
    <col min="1810" max="2048" width="9" style="1"/>
    <col min="2049" max="2049" width="5" style="1" customWidth="1"/>
    <col min="2050" max="2050" width="25.09765625" style="1" bestFit="1" customWidth="1"/>
    <col min="2051" max="2051" width="6.19921875" style="1" customWidth="1"/>
    <col min="2052" max="2052" width="14.8984375" style="1" bestFit="1" customWidth="1"/>
    <col min="2053" max="2056" width="11.8984375" style="1" customWidth="1"/>
    <col min="2057" max="2057" width="13" style="1" customWidth="1"/>
    <col min="2058" max="2058" width="17.5" style="1" bestFit="1" customWidth="1"/>
    <col min="2059" max="2059" width="13.8984375" style="1" customWidth="1"/>
    <col min="2060" max="2060" width="12.5" style="1" bestFit="1" customWidth="1"/>
    <col min="2061" max="2061" width="15" style="1" bestFit="1" customWidth="1"/>
    <col min="2062" max="2062" width="17.5" style="1" bestFit="1" customWidth="1"/>
    <col min="2063" max="2063" width="9.59765625" style="1" customWidth="1"/>
    <col min="2064" max="2064" width="0" style="1" hidden="1" customWidth="1"/>
    <col min="2065" max="2065" width="10" style="1" customWidth="1"/>
    <col min="2066" max="2304" width="9" style="1"/>
    <col min="2305" max="2305" width="5" style="1" customWidth="1"/>
    <col min="2306" max="2306" width="25.09765625" style="1" bestFit="1" customWidth="1"/>
    <col min="2307" max="2307" width="6.19921875" style="1" customWidth="1"/>
    <col min="2308" max="2308" width="14.8984375" style="1" bestFit="1" customWidth="1"/>
    <col min="2309" max="2312" width="11.8984375" style="1" customWidth="1"/>
    <col min="2313" max="2313" width="13" style="1" customWidth="1"/>
    <col min="2314" max="2314" width="17.5" style="1" bestFit="1" customWidth="1"/>
    <col min="2315" max="2315" width="13.8984375" style="1" customWidth="1"/>
    <col min="2316" max="2316" width="12.5" style="1" bestFit="1" customWidth="1"/>
    <col min="2317" max="2317" width="15" style="1" bestFit="1" customWidth="1"/>
    <col min="2318" max="2318" width="17.5" style="1" bestFit="1" customWidth="1"/>
    <col min="2319" max="2319" width="9.59765625" style="1" customWidth="1"/>
    <col min="2320" max="2320" width="0" style="1" hidden="1" customWidth="1"/>
    <col min="2321" max="2321" width="10" style="1" customWidth="1"/>
    <col min="2322" max="2560" width="9" style="1"/>
    <col min="2561" max="2561" width="5" style="1" customWidth="1"/>
    <col min="2562" max="2562" width="25.09765625" style="1" bestFit="1" customWidth="1"/>
    <col min="2563" max="2563" width="6.19921875" style="1" customWidth="1"/>
    <col min="2564" max="2564" width="14.8984375" style="1" bestFit="1" customWidth="1"/>
    <col min="2565" max="2568" width="11.8984375" style="1" customWidth="1"/>
    <col min="2569" max="2569" width="13" style="1" customWidth="1"/>
    <col min="2570" max="2570" width="17.5" style="1" bestFit="1" customWidth="1"/>
    <col min="2571" max="2571" width="13.8984375" style="1" customWidth="1"/>
    <col min="2572" max="2572" width="12.5" style="1" bestFit="1" customWidth="1"/>
    <col min="2573" max="2573" width="15" style="1" bestFit="1" customWidth="1"/>
    <col min="2574" max="2574" width="17.5" style="1" bestFit="1" customWidth="1"/>
    <col min="2575" max="2575" width="9.59765625" style="1" customWidth="1"/>
    <col min="2576" max="2576" width="0" style="1" hidden="1" customWidth="1"/>
    <col min="2577" max="2577" width="10" style="1" customWidth="1"/>
    <col min="2578" max="2816" width="9" style="1"/>
    <col min="2817" max="2817" width="5" style="1" customWidth="1"/>
    <col min="2818" max="2818" width="25.09765625" style="1" bestFit="1" customWidth="1"/>
    <col min="2819" max="2819" width="6.19921875" style="1" customWidth="1"/>
    <col min="2820" max="2820" width="14.8984375" style="1" bestFit="1" customWidth="1"/>
    <col min="2821" max="2824" width="11.8984375" style="1" customWidth="1"/>
    <col min="2825" max="2825" width="13" style="1" customWidth="1"/>
    <col min="2826" max="2826" width="17.5" style="1" bestFit="1" customWidth="1"/>
    <col min="2827" max="2827" width="13.8984375" style="1" customWidth="1"/>
    <col min="2828" max="2828" width="12.5" style="1" bestFit="1" customWidth="1"/>
    <col min="2829" max="2829" width="15" style="1" bestFit="1" customWidth="1"/>
    <col min="2830" max="2830" width="17.5" style="1" bestFit="1" customWidth="1"/>
    <col min="2831" max="2831" width="9.59765625" style="1" customWidth="1"/>
    <col min="2832" max="2832" width="0" style="1" hidden="1" customWidth="1"/>
    <col min="2833" max="2833" width="10" style="1" customWidth="1"/>
    <col min="2834" max="3072" width="9" style="1"/>
    <col min="3073" max="3073" width="5" style="1" customWidth="1"/>
    <col min="3074" max="3074" width="25.09765625" style="1" bestFit="1" customWidth="1"/>
    <col min="3075" max="3075" width="6.19921875" style="1" customWidth="1"/>
    <col min="3076" max="3076" width="14.8984375" style="1" bestFit="1" customWidth="1"/>
    <col min="3077" max="3080" width="11.8984375" style="1" customWidth="1"/>
    <col min="3081" max="3081" width="13" style="1" customWidth="1"/>
    <col min="3082" max="3082" width="17.5" style="1" bestFit="1" customWidth="1"/>
    <col min="3083" max="3083" width="13.8984375" style="1" customWidth="1"/>
    <col min="3084" max="3084" width="12.5" style="1" bestFit="1" customWidth="1"/>
    <col min="3085" max="3085" width="15" style="1" bestFit="1" customWidth="1"/>
    <col min="3086" max="3086" width="17.5" style="1" bestFit="1" customWidth="1"/>
    <col min="3087" max="3087" width="9.59765625" style="1" customWidth="1"/>
    <col min="3088" max="3088" width="0" style="1" hidden="1" customWidth="1"/>
    <col min="3089" max="3089" width="10" style="1" customWidth="1"/>
    <col min="3090" max="3328" width="9" style="1"/>
    <col min="3329" max="3329" width="5" style="1" customWidth="1"/>
    <col min="3330" max="3330" width="25.09765625" style="1" bestFit="1" customWidth="1"/>
    <col min="3331" max="3331" width="6.19921875" style="1" customWidth="1"/>
    <col min="3332" max="3332" width="14.8984375" style="1" bestFit="1" customWidth="1"/>
    <col min="3333" max="3336" width="11.8984375" style="1" customWidth="1"/>
    <col min="3337" max="3337" width="13" style="1" customWidth="1"/>
    <col min="3338" max="3338" width="17.5" style="1" bestFit="1" customWidth="1"/>
    <col min="3339" max="3339" width="13.8984375" style="1" customWidth="1"/>
    <col min="3340" max="3340" width="12.5" style="1" bestFit="1" customWidth="1"/>
    <col min="3341" max="3341" width="15" style="1" bestFit="1" customWidth="1"/>
    <col min="3342" max="3342" width="17.5" style="1" bestFit="1" customWidth="1"/>
    <col min="3343" max="3343" width="9.59765625" style="1" customWidth="1"/>
    <col min="3344" max="3344" width="0" style="1" hidden="1" customWidth="1"/>
    <col min="3345" max="3345" width="10" style="1" customWidth="1"/>
    <col min="3346" max="3584" width="9" style="1"/>
    <col min="3585" max="3585" width="5" style="1" customWidth="1"/>
    <col min="3586" max="3586" width="25.09765625" style="1" bestFit="1" customWidth="1"/>
    <col min="3587" max="3587" width="6.19921875" style="1" customWidth="1"/>
    <col min="3588" max="3588" width="14.8984375" style="1" bestFit="1" customWidth="1"/>
    <col min="3589" max="3592" width="11.8984375" style="1" customWidth="1"/>
    <col min="3593" max="3593" width="13" style="1" customWidth="1"/>
    <col min="3594" max="3594" width="17.5" style="1" bestFit="1" customWidth="1"/>
    <col min="3595" max="3595" width="13.8984375" style="1" customWidth="1"/>
    <col min="3596" max="3596" width="12.5" style="1" bestFit="1" customWidth="1"/>
    <col min="3597" max="3597" width="15" style="1" bestFit="1" customWidth="1"/>
    <col min="3598" max="3598" width="17.5" style="1" bestFit="1" customWidth="1"/>
    <col min="3599" max="3599" width="9.59765625" style="1" customWidth="1"/>
    <col min="3600" max="3600" width="0" style="1" hidden="1" customWidth="1"/>
    <col min="3601" max="3601" width="10" style="1" customWidth="1"/>
    <col min="3602" max="3840" width="9" style="1"/>
    <col min="3841" max="3841" width="5" style="1" customWidth="1"/>
    <col min="3842" max="3842" width="25.09765625" style="1" bestFit="1" customWidth="1"/>
    <col min="3843" max="3843" width="6.19921875" style="1" customWidth="1"/>
    <col min="3844" max="3844" width="14.8984375" style="1" bestFit="1" customWidth="1"/>
    <col min="3845" max="3848" width="11.8984375" style="1" customWidth="1"/>
    <col min="3849" max="3849" width="13" style="1" customWidth="1"/>
    <col min="3850" max="3850" width="17.5" style="1" bestFit="1" customWidth="1"/>
    <col min="3851" max="3851" width="13.8984375" style="1" customWidth="1"/>
    <col min="3852" max="3852" width="12.5" style="1" bestFit="1" customWidth="1"/>
    <col min="3853" max="3853" width="15" style="1" bestFit="1" customWidth="1"/>
    <col min="3854" max="3854" width="17.5" style="1" bestFit="1" customWidth="1"/>
    <col min="3855" max="3855" width="9.59765625" style="1" customWidth="1"/>
    <col min="3856" max="3856" width="0" style="1" hidden="1" customWidth="1"/>
    <col min="3857" max="3857" width="10" style="1" customWidth="1"/>
    <col min="3858" max="4096" width="9" style="1"/>
    <col min="4097" max="4097" width="5" style="1" customWidth="1"/>
    <col min="4098" max="4098" width="25.09765625" style="1" bestFit="1" customWidth="1"/>
    <col min="4099" max="4099" width="6.19921875" style="1" customWidth="1"/>
    <col min="4100" max="4100" width="14.8984375" style="1" bestFit="1" customWidth="1"/>
    <col min="4101" max="4104" width="11.8984375" style="1" customWidth="1"/>
    <col min="4105" max="4105" width="13" style="1" customWidth="1"/>
    <col min="4106" max="4106" width="17.5" style="1" bestFit="1" customWidth="1"/>
    <col min="4107" max="4107" width="13.8984375" style="1" customWidth="1"/>
    <col min="4108" max="4108" width="12.5" style="1" bestFit="1" customWidth="1"/>
    <col min="4109" max="4109" width="15" style="1" bestFit="1" customWidth="1"/>
    <col min="4110" max="4110" width="17.5" style="1" bestFit="1" customWidth="1"/>
    <col min="4111" max="4111" width="9.59765625" style="1" customWidth="1"/>
    <col min="4112" max="4112" width="0" style="1" hidden="1" customWidth="1"/>
    <col min="4113" max="4113" width="10" style="1" customWidth="1"/>
    <col min="4114" max="4352" width="9" style="1"/>
    <col min="4353" max="4353" width="5" style="1" customWidth="1"/>
    <col min="4354" max="4354" width="25.09765625" style="1" bestFit="1" customWidth="1"/>
    <col min="4355" max="4355" width="6.19921875" style="1" customWidth="1"/>
    <col min="4356" max="4356" width="14.8984375" style="1" bestFit="1" customWidth="1"/>
    <col min="4357" max="4360" width="11.8984375" style="1" customWidth="1"/>
    <col min="4361" max="4361" width="13" style="1" customWidth="1"/>
    <col min="4362" max="4362" width="17.5" style="1" bestFit="1" customWidth="1"/>
    <col min="4363" max="4363" width="13.8984375" style="1" customWidth="1"/>
    <col min="4364" max="4364" width="12.5" style="1" bestFit="1" customWidth="1"/>
    <col min="4365" max="4365" width="15" style="1" bestFit="1" customWidth="1"/>
    <col min="4366" max="4366" width="17.5" style="1" bestFit="1" customWidth="1"/>
    <col min="4367" max="4367" width="9.59765625" style="1" customWidth="1"/>
    <col min="4368" max="4368" width="0" style="1" hidden="1" customWidth="1"/>
    <col min="4369" max="4369" width="10" style="1" customWidth="1"/>
    <col min="4370" max="4608" width="9" style="1"/>
    <col min="4609" max="4609" width="5" style="1" customWidth="1"/>
    <col min="4610" max="4610" width="25.09765625" style="1" bestFit="1" customWidth="1"/>
    <col min="4611" max="4611" width="6.19921875" style="1" customWidth="1"/>
    <col min="4612" max="4612" width="14.8984375" style="1" bestFit="1" customWidth="1"/>
    <col min="4613" max="4616" width="11.8984375" style="1" customWidth="1"/>
    <col min="4617" max="4617" width="13" style="1" customWidth="1"/>
    <col min="4618" max="4618" width="17.5" style="1" bestFit="1" customWidth="1"/>
    <col min="4619" max="4619" width="13.8984375" style="1" customWidth="1"/>
    <col min="4620" max="4620" width="12.5" style="1" bestFit="1" customWidth="1"/>
    <col min="4621" max="4621" width="15" style="1" bestFit="1" customWidth="1"/>
    <col min="4622" max="4622" width="17.5" style="1" bestFit="1" customWidth="1"/>
    <col min="4623" max="4623" width="9.59765625" style="1" customWidth="1"/>
    <col min="4624" max="4624" width="0" style="1" hidden="1" customWidth="1"/>
    <col min="4625" max="4625" width="10" style="1" customWidth="1"/>
    <col min="4626" max="4864" width="9" style="1"/>
    <col min="4865" max="4865" width="5" style="1" customWidth="1"/>
    <col min="4866" max="4866" width="25.09765625" style="1" bestFit="1" customWidth="1"/>
    <col min="4867" max="4867" width="6.19921875" style="1" customWidth="1"/>
    <col min="4868" max="4868" width="14.8984375" style="1" bestFit="1" customWidth="1"/>
    <col min="4869" max="4872" width="11.8984375" style="1" customWidth="1"/>
    <col min="4873" max="4873" width="13" style="1" customWidth="1"/>
    <col min="4874" max="4874" width="17.5" style="1" bestFit="1" customWidth="1"/>
    <col min="4875" max="4875" width="13.8984375" style="1" customWidth="1"/>
    <col min="4876" max="4876" width="12.5" style="1" bestFit="1" customWidth="1"/>
    <col min="4877" max="4877" width="15" style="1" bestFit="1" customWidth="1"/>
    <col min="4878" max="4878" width="17.5" style="1" bestFit="1" customWidth="1"/>
    <col min="4879" max="4879" width="9.59765625" style="1" customWidth="1"/>
    <col min="4880" max="4880" width="0" style="1" hidden="1" customWidth="1"/>
    <col min="4881" max="4881" width="10" style="1" customWidth="1"/>
    <col min="4882" max="5120" width="9" style="1"/>
    <col min="5121" max="5121" width="5" style="1" customWidth="1"/>
    <col min="5122" max="5122" width="25.09765625" style="1" bestFit="1" customWidth="1"/>
    <col min="5123" max="5123" width="6.19921875" style="1" customWidth="1"/>
    <col min="5124" max="5124" width="14.8984375" style="1" bestFit="1" customWidth="1"/>
    <col min="5125" max="5128" width="11.8984375" style="1" customWidth="1"/>
    <col min="5129" max="5129" width="13" style="1" customWidth="1"/>
    <col min="5130" max="5130" width="17.5" style="1" bestFit="1" customWidth="1"/>
    <col min="5131" max="5131" width="13.8984375" style="1" customWidth="1"/>
    <col min="5132" max="5132" width="12.5" style="1" bestFit="1" customWidth="1"/>
    <col min="5133" max="5133" width="15" style="1" bestFit="1" customWidth="1"/>
    <col min="5134" max="5134" width="17.5" style="1" bestFit="1" customWidth="1"/>
    <col min="5135" max="5135" width="9.59765625" style="1" customWidth="1"/>
    <col min="5136" max="5136" width="0" style="1" hidden="1" customWidth="1"/>
    <col min="5137" max="5137" width="10" style="1" customWidth="1"/>
    <col min="5138" max="5376" width="9" style="1"/>
    <col min="5377" max="5377" width="5" style="1" customWidth="1"/>
    <col min="5378" max="5378" width="25.09765625" style="1" bestFit="1" customWidth="1"/>
    <col min="5379" max="5379" width="6.19921875" style="1" customWidth="1"/>
    <col min="5380" max="5380" width="14.8984375" style="1" bestFit="1" customWidth="1"/>
    <col min="5381" max="5384" width="11.8984375" style="1" customWidth="1"/>
    <col min="5385" max="5385" width="13" style="1" customWidth="1"/>
    <col min="5386" max="5386" width="17.5" style="1" bestFit="1" customWidth="1"/>
    <col min="5387" max="5387" width="13.8984375" style="1" customWidth="1"/>
    <col min="5388" max="5388" width="12.5" style="1" bestFit="1" customWidth="1"/>
    <col min="5389" max="5389" width="15" style="1" bestFit="1" customWidth="1"/>
    <col min="5390" max="5390" width="17.5" style="1" bestFit="1" customWidth="1"/>
    <col min="5391" max="5391" width="9.59765625" style="1" customWidth="1"/>
    <col min="5392" max="5392" width="0" style="1" hidden="1" customWidth="1"/>
    <col min="5393" max="5393" width="10" style="1" customWidth="1"/>
    <col min="5394" max="5632" width="9" style="1"/>
    <col min="5633" max="5633" width="5" style="1" customWidth="1"/>
    <col min="5634" max="5634" width="25.09765625" style="1" bestFit="1" customWidth="1"/>
    <col min="5635" max="5635" width="6.19921875" style="1" customWidth="1"/>
    <col min="5636" max="5636" width="14.8984375" style="1" bestFit="1" customWidth="1"/>
    <col min="5637" max="5640" width="11.8984375" style="1" customWidth="1"/>
    <col min="5641" max="5641" width="13" style="1" customWidth="1"/>
    <col min="5642" max="5642" width="17.5" style="1" bestFit="1" customWidth="1"/>
    <col min="5643" max="5643" width="13.8984375" style="1" customWidth="1"/>
    <col min="5644" max="5644" width="12.5" style="1" bestFit="1" customWidth="1"/>
    <col min="5645" max="5645" width="15" style="1" bestFit="1" customWidth="1"/>
    <col min="5646" max="5646" width="17.5" style="1" bestFit="1" customWidth="1"/>
    <col min="5647" max="5647" width="9.59765625" style="1" customWidth="1"/>
    <col min="5648" max="5648" width="0" style="1" hidden="1" customWidth="1"/>
    <col min="5649" max="5649" width="10" style="1" customWidth="1"/>
    <col min="5650" max="5888" width="9" style="1"/>
    <col min="5889" max="5889" width="5" style="1" customWidth="1"/>
    <col min="5890" max="5890" width="25.09765625" style="1" bestFit="1" customWidth="1"/>
    <col min="5891" max="5891" width="6.19921875" style="1" customWidth="1"/>
    <col min="5892" max="5892" width="14.8984375" style="1" bestFit="1" customWidth="1"/>
    <col min="5893" max="5896" width="11.8984375" style="1" customWidth="1"/>
    <col min="5897" max="5897" width="13" style="1" customWidth="1"/>
    <col min="5898" max="5898" width="17.5" style="1" bestFit="1" customWidth="1"/>
    <col min="5899" max="5899" width="13.8984375" style="1" customWidth="1"/>
    <col min="5900" max="5900" width="12.5" style="1" bestFit="1" customWidth="1"/>
    <col min="5901" max="5901" width="15" style="1" bestFit="1" customWidth="1"/>
    <col min="5902" max="5902" width="17.5" style="1" bestFit="1" customWidth="1"/>
    <col min="5903" max="5903" width="9.59765625" style="1" customWidth="1"/>
    <col min="5904" max="5904" width="0" style="1" hidden="1" customWidth="1"/>
    <col min="5905" max="5905" width="10" style="1" customWidth="1"/>
    <col min="5906" max="6144" width="9" style="1"/>
    <col min="6145" max="6145" width="5" style="1" customWidth="1"/>
    <col min="6146" max="6146" width="25.09765625" style="1" bestFit="1" customWidth="1"/>
    <col min="6147" max="6147" width="6.19921875" style="1" customWidth="1"/>
    <col min="6148" max="6148" width="14.8984375" style="1" bestFit="1" customWidth="1"/>
    <col min="6149" max="6152" width="11.8984375" style="1" customWidth="1"/>
    <col min="6153" max="6153" width="13" style="1" customWidth="1"/>
    <col min="6154" max="6154" width="17.5" style="1" bestFit="1" customWidth="1"/>
    <col min="6155" max="6155" width="13.8984375" style="1" customWidth="1"/>
    <col min="6156" max="6156" width="12.5" style="1" bestFit="1" customWidth="1"/>
    <col min="6157" max="6157" width="15" style="1" bestFit="1" customWidth="1"/>
    <col min="6158" max="6158" width="17.5" style="1" bestFit="1" customWidth="1"/>
    <col min="6159" max="6159" width="9.59765625" style="1" customWidth="1"/>
    <col min="6160" max="6160" width="0" style="1" hidden="1" customWidth="1"/>
    <col min="6161" max="6161" width="10" style="1" customWidth="1"/>
    <col min="6162" max="6400" width="9" style="1"/>
    <col min="6401" max="6401" width="5" style="1" customWidth="1"/>
    <col min="6402" max="6402" width="25.09765625" style="1" bestFit="1" customWidth="1"/>
    <col min="6403" max="6403" width="6.19921875" style="1" customWidth="1"/>
    <col min="6404" max="6404" width="14.8984375" style="1" bestFit="1" customWidth="1"/>
    <col min="6405" max="6408" width="11.8984375" style="1" customWidth="1"/>
    <col min="6409" max="6409" width="13" style="1" customWidth="1"/>
    <col min="6410" max="6410" width="17.5" style="1" bestFit="1" customWidth="1"/>
    <col min="6411" max="6411" width="13.8984375" style="1" customWidth="1"/>
    <col min="6412" max="6412" width="12.5" style="1" bestFit="1" customWidth="1"/>
    <col min="6413" max="6413" width="15" style="1" bestFit="1" customWidth="1"/>
    <col min="6414" max="6414" width="17.5" style="1" bestFit="1" customWidth="1"/>
    <col min="6415" max="6415" width="9.59765625" style="1" customWidth="1"/>
    <col min="6416" max="6416" width="0" style="1" hidden="1" customWidth="1"/>
    <col min="6417" max="6417" width="10" style="1" customWidth="1"/>
    <col min="6418" max="6656" width="9" style="1"/>
    <col min="6657" max="6657" width="5" style="1" customWidth="1"/>
    <col min="6658" max="6658" width="25.09765625" style="1" bestFit="1" customWidth="1"/>
    <col min="6659" max="6659" width="6.19921875" style="1" customWidth="1"/>
    <col min="6660" max="6660" width="14.8984375" style="1" bestFit="1" customWidth="1"/>
    <col min="6661" max="6664" width="11.8984375" style="1" customWidth="1"/>
    <col min="6665" max="6665" width="13" style="1" customWidth="1"/>
    <col min="6666" max="6666" width="17.5" style="1" bestFit="1" customWidth="1"/>
    <col min="6667" max="6667" width="13.8984375" style="1" customWidth="1"/>
    <col min="6668" max="6668" width="12.5" style="1" bestFit="1" customWidth="1"/>
    <col min="6669" max="6669" width="15" style="1" bestFit="1" customWidth="1"/>
    <col min="6670" max="6670" width="17.5" style="1" bestFit="1" customWidth="1"/>
    <col min="6671" max="6671" width="9.59765625" style="1" customWidth="1"/>
    <col min="6672" max="6672" width="0" style="1" hidden="1" customWidth="1"/>
    <col min="6673" max="6673" width="10" style="1" customWidth="1"/>
    <col min="6674" max="6912" width="9" style="1"/>
    <col min="6913" max="6913" width="5" style="1" customWidth="1"/>
    <col min="6914" max="6914" width="25.09765625" style="1" bestFit="1" customWidth="1"/>
    <col min="6915" max="6915" width="6.19921875" style="1" customWidth="1"/>
    <col min="6916" max="6916" width="14.8984375" style="1" bestFit="1" customWidth="1"/>
    <col min="6917" max="6920" width="11.8984375" style="1" customWidth="1"/>
    <col min="6921" max="6921" width="13" style="1" customWidth="1"/>
    <col min="6922" max="6922" width="17.5" style="1" bestFit="1" customWidth="1"/>
    <col min="6923" max="6923" width="13.8984375" style="1" customWidth="1"/>
    <col min="6924" max="6924" width="12.5" style="1" bestFit="1" customWidth="1"/>
    <col min="6925" max="6925" width="15" style="1" bestFit="1" customWidth="1"/>
    <col min="6926" max="6926" width="17.5" style="1" bestFit="1" customWidth="1"/>
    <col min="6927" max="6927" width="9.59765625" style="1" customWidth="1"/>
    <col min="6928" max="6928" width="0" style="1" hidden="1" customWidth="1"/>
    <col min="6929" max="6929" width="10" style="1" customWidth="1"/>
    <col min="6930" max="7168" width="9" style="1"/>
    <col min="7169" max="7169" width="5" style="1" customWidth="1"/>
    <col min="7170" max="7170" width="25.09765625" style="1" bestFit="1" customWidth="1"/>
    <col min="7171" max="7171" width="6.19921875" style="1" customWidth="1"/>
    <col min="7172" max="7172" width="14.8984375" style="1" bestFit="1" customWidth="1"/>
    <col min="7173" max="7176" width="11.8984375" style="1" customWidth="1"/>
    <col min="7177" max="7177" width="13" style="1" customWidth="1"/>
    <col min="7178" max="7178" width="17.5" style="1" bestFit="1" customWidth="1"/>
    <col min="7179" max="7179" width="13.8984375" style="1" customWidth="1"/>
    <col min="7180" max="7180" width="12.5" style="1" bestFit="1" customWidth="1"/>
    <col min="7181" max="7181" width="15" style="1" bestFit="1" customWidth="1"/>
    <col min="7182" max="7182" width="17.5" style="1" bestFit="1" customWidth="1"/>
    <col min="7183" max="7183" width="9.59765625" style="1" customWidth="1"/>
    <col min="7184" max="7184" width="0" style="1" hidden="1" customWidth="1"/>
    <col min="7185" max="7185" width="10" style="1" customWidth="1"/>
    <col min="7186" max="7424" width="9" style="1"/>
    <col min="7425" max="7425" width="5" style="1" customWidth="1"/>
    <col min="7426" max="7426" width="25.09765625" style="1" bestFit="1" customWidth="1"/>
    <col min="7427" max="7427" width="6.19921875" style="1" customWidth="1"/>
    <col min="7428" max="7428" width="14.8984375" style="1" bestFit="1" customWidth="1"/>
    <col min="7429" max="7432" width="11.8984375" style="1" customWidth="1"/>
    <col min="7433" max="7433" width="13" style="1" customWidth="1"/>
    <col min="7434" max="7434" width="17.5" style="1" bestFit="1" customWidth="1"/>
    <col min="7435" max="7435" width="13.8984375" style="1" customWidth="1"/>
    <col min="7436" max="7436" width="12.5" style="1" bestFit="1" customWidth="1"/>
    <col min="7437" max="7437" width="15" style="1" bestFit="1" customWidth="1"/>
    <col min="7438" max="7438" width="17.5" style="1" bestFit="1" customWidth="1"/>
    <col min="7439" max="7439" width="9.59765625" style="1" customWidth="1"/>
    <col min="7440" max="7440" width="0" style="1" hidden="1" customWidth="1"/>
    <col min="7441" max="7441" width="10" style="1" customWidth="1"/>
    <col min="7442" max="7680" width="9" style="1"/>
    <col min="7681" max="7681" width="5" style="1" customWidth="1"/>
    <col min="7682" max="7682" width="25.09765625" style="1" bestFit="1" customWidth="1"/>
    <col min="7683" max="7683" width="6.19921875" style="1" customWidth="1"/>
    <col min="7684" max="7684" width="14.8984375" style="1" bestFit="1" customWidth="1"/>
    <col min="7685" max="7688" width="11.8984375" style="1" customWidth="1"/>
    <col min="7689" max="7689" width="13" style="1" customWidth="1"/>
    <col min="7690" max="7690" width="17.5" style="1" bestFit="1" customWidth="1"/>
    <col min="7691" max="7691" width="13.8984375" style="1" customWidth="1"/>
    <col min="7692" max="7692" width="12.5" style="1" bestFit="1" customWidth="1"/>
    <col min="7693" max="7693" width="15" style="1" bestFit="1" customWidth="1"/>
    <col min="7694" max="7694" width="17.5" style="1" bestFit="1" customWidth="1"/>
    <col min="7695" max="7695" width="9.59765625" style="1" customWidth="1"/>
    <col min="7696" max="7696" width="0" style="1" hidden="1" customWidth="1"/>
    <col min="7697" max="7697" width="10" style="1" customWidth="1"/>
    <col min="7698" max="7936" width="9" style="1"/>
    <col min="7937" max="7937" width="5" style="1" customWidth="1"/>
    <col min="7938" max="7938" width="25.09765625" style="1" bestFit="1" customWidth="1"/>
    <col min="7939" max="7939" width="6.19921875" style="1" customWidth="1"/>
    <col min="7940" max="7940" width="14.8984375" style="1" bestFit="1" customWidth="1"/>
    <col min="7941" max="7944" width="11.8984375" style="1" customWidth="1"/>
    <col min="7945" max="7945" width="13" style="1" customWidth="1"/>
    <col min="7946" max="7946" width="17.5" style="1" bestFit="1" customWidth="1"/>
    <col min="7947" max="7947" width="13.8984375" style="1" customWidth="1"/>
    <col min="7948" max="7948" width="12.5" style="1" bestFit="1" customWidth="1"/>
    <col min="7949" max="7949" width="15" style="1" bestFit="1" customWidth="1"/>
    <col min="7950" max="7950" width="17.5" style="1" bestFit="1" customWidth="1"/>
    <col min="7951" max="7951" width="9.59765625" style="1" customWidth="1"/>
    <col min="7952" max="7952" width="0" style="1" hidden="1" customWidth="1"/>
    <col min="7953" max="7953" width="10" style="1" customWidth="1"/>
    <col min="7954" max="8192" width="9" style="1"/>
    <col min="8193" max="8193" width="5" style="1" customWidth="1"/>
    <col min="8194" max="8194" width="25.09765625" style="1" bestFit="1" customWidth="1"/>
    <col min="8195" max="8195" width="6.19921875" style="1" customWidth="1"/>
    <col min="8196" max="8196" width="14.8984375" style="1" bestFit="1" customWidth="1"/>
    <col min="8197" max="8200" width="11.8984375" style="1" customWidth="1"/>
    <col min="8201" max="8201" width="13" style="1" customWidth="1"/>
    <col min="8202" max="8202" width="17.5" style="1" bestFit="1" customWidth="1"/>
    <col min="8203" max="8203" width="13.8984375" style="1" customWidth="1"/>
    <col min="8204" max="8204" width="12.5" style="1" bestFit="1" customWidth="1"/>
    <col min="8205" max="8205" width="15" style="1" bestFit="1" customWidth="1"/>
    <col min="8206" max="8206" width="17.5" style="1" bestFit="1" customWidth="1"/>
    <col min="8207" max="8207" width="9.59765625" style="1" customWidth="1"/>
    <col min="8208" max="8208" width="0" style="1" hidden="1" customWidth="1"/>
    <col min="8209" max="8209" width="10" style="1" customWidth="1"/>
    <col min="8210" max="8448" width="9" style="1"/>
    <col min="8449" max="8449" width="5" style="1" customWidth="1"/>
    <col min="8450" max="8450" width="25.09765625" style="1" bestFit="1" customWidth="1"/>
    <col min="8451" max="8451" width="6.19921875" style="1" customWidth="1"/>
    <col min="8452" max="8452" width="14.8984375" style="1" bestFit="1" customWidth="1"/>
    <col min="8453" max="8456" width="11.8984375" style="1" customWidth="1"/>
    <col min="8457" max="8457" width="13" style="1" customWidth="1"/>
    <col min="8458" max="8458" width="17.5" style="1" bestFit="1" customWidth="1"/>
    <col min="8459" max="8459" width="13.8984375" style="1" customWidth="1"/>
    <col min="8460" max="8460" width="12.5" style="1" bestFit="1" customWidth="1"/>
    <col min="8461" max="8461" width="15" style="1" bestFit="1" customWidth="1"/>
    <col min="8462" max="8462" width="17.5" style="1" bestFit="1" customWidth="1"/>
    <col min="8463" max="8463" width="9.59765625" style="1" customWidth="1"/>
    <col min="8464" max="8464" width="0" style="1" hidden="1" customWidth="1"/>
    <col min="8465" max="8465" width="10" style="1" customWidth="1"/>
    <col min="8466" max="8704" width="9" style="1"/>
    <col min="8705" max="8705" width="5" style="1" customWidth="1"/>
    <col min="8706" max="8706" width="25.09765625" style="1" bestFit="1" customWidth="1"/>
    <col min="8707" max="8707" width="6.19921875" style="1" customWidth="1"/>
    <col min="8708" max="8708" width="14.8984375" style="1" bestFit="1" customWidth="1"/>
    <col min="8709" max="8712" width="11.8984375" style="1" customWidth="1"/>
    <col min="8713" max="8713" width="13" style="1" customWidth="1"/>
    <col min="8714" max="8714" width="17.5" style="1" bestFit="1" customWidth="1"/>
    <col min="8715" max="8715" width="13.8984375" style="1" customWidth="1"/>
    <col min="8716" max="8716" width="12.5" style="1" bestFit="1" customWidth="1"/>
    <col min="8717" max="8717" width="15" style="1" bestFit="1" customWidth="1"/>
    <col min="8718" max="8718" width="17.5" style="1" bestFit="1" customWidth="1"/>
    <col min="8719" max="8719" width="9.59765625" style="1" customWidth="1"/>
    <col min="8720" max="8720" width="0" style="1" hidden="1" customWidth="1"/>
    <col min="8721" max="8721" width="10" style="1" customWidth="1"/>
    <col min="8722" max="8960" width="9" style="1"/>
    <col min="8961" max="8961" width="5" style="1" customWidth="1"/>
    <col min="8962" max="8962" width="25.09765625" style="1" bestFit="1" customWidth="1"/>
    <col min="8963" max="8963" width="6.19921875" style="1" customWidth="1"/>
    <col min="8964" max="8964" width="14.8984375" style="1" bestFit="1" customWidth="1"/>
    <col min="8965" max="8968" width="11.8984375" style="1" customWidth="1"/>
    <col min="8969" max="8969" width="13" style="1" customWidth="1"/>
    <col min="8970" max="8970" width="17.5" style="1" bestFit="1" customWidth="1"/>
    <col min="8971" max="8971" width="13.8984375" style="1" customWidth="1"/>
    <col min="8972" max="8972" width="12.5" style="1" bestFit="1" customWidth="1"/>
    <col min="8973" max="8973" width="15" style="1" bestFit="1" customWidth="1"/>
    <col min="8974" max="8974" width="17.5" style="1" bestFit="1" customWidth="1"/>
    <col min="8975" max="8975" width="9.59765625" style="1" customWidth="1"/>
    <col min="8976" max="8976" width="0" style="1" hidden="1" customWidth="1"/>
    <col min="8977" max="8977" width="10" style="1" customWidth="1"/>
    <col min="8978" max="9216" width="9" style="1"/>
    <col min="9217" max="9217" width="5" style="1" customWidth="1"/>
    <col min="9218" max="9218" width="25.09765625" style="1" bestFit="1" customWidth="1"/>
    <col min="9219" max="9219" width="6.19921875" style="1" customWidth="1"/>
    <col min="9220" max="9220" width="14.8984375" style="1" bestFit="1" customWidth="1"/>
    <col min="9221" max="9224" width="11.8984375" style="1" customWidth="1"/>
    <col min="9225" max="9225" width="13" style="1" customWidth="1"/>
    <col min="9226" max="9226" width="17.5" style="1" bestFit="1" customWidth="1"/>
    <col min="9227" max="9227" width="13.8984375" style="1" customWidth="1"/>
    <col min="9228" max="9228" width="12.5" style="1" bestFit="1" customWidth="1"/>
    <col min="9229" max="9229" width="15" style="1" bestFit="1" customWidth="1"/>
    <col min="9230" max="9230" width="17.5" style="1" bestFit="1" customWidth="1"/>
    <col min="9231" max="9231" width="9.59765625" style="1" customWidth="1"/>
    <col min="9232" max="9232" width="0" style="1" hidden="1" customWidth="1"/>
    <col min="9233" max="9233" width="10" style="1" customWidth="1"/>
    <col min="9234" max="9472" width="9" style="1"/>
    <col min="9473" max="9473" width="5" style="1" customWidth="1"/>
    <col min="9474" max="9474" width="25.09765625" style="1" bestFit="1" customWidth="1"/>
    <col min="9475" max="9475" width="6.19921875" style="1" customWidth="1"/>
    <col min="9476" max="9476" width="14.8984375" style="1" bestFit="1" customWidth="1"/>
    <col min="9477" max="9480" width="11.8984375" style="1" customWidth="1"/>
    <col min="9481" max="9481" width="13" style="1" customWidth="1"/>
    <col min="9482" max="9482" width="17.5" style="1" bestFit="1" customWidth="1"/>
    <col min="9483" max="9483" width="13.8984375" style="1" customWidth="1"/>
    <col min="9484" max="9484" width="12.5" style="1" bestFit="1" customWidth="1"/>
    <col min="9485" max="9485" width="15" style="1" bestFit="1" customWidth="1"/>
    <col min="9486" max="9486" width="17.5" style="1" bestFit="1" customWidth="1"/>
    <col min="9487" max="9487" width="9.59765625" style="1" customWidth="1"/>
    <col min="9488" max="9488" width="0" style="1" hidden="1" customWidth="1"/>
    <col min="9489" max="9489" width="10" style="1" customWidth="1"/>
    <col min="9490" max="9728" width="9" style="1"/>
    <col min="9729" max="9729" width="5" style="1" customWidth="1"/>
    <col min="9730" max="9730" width="25.09765625" style="1" bestFit="1" customWidth="1"/>
    <col min="9731" max="9731" width="6.19921875" style="1" customWidth="1"/>
    <col min="9732" max="9732" width="14.8984375" style="1" bestFit="1" customWidth="1"/>
    <col min="9733" max="9736" width="11.8984375" style="1" customWidth="1"/>
    <col min="9737" max="9737" width="13" style="1" customWidth="1"/>
    <col min="9738" max="9738" width="17.5" style="1" bestFit="1" customWidth="1"/>
    <col min="9739" max="9739" width="13.8984375" style="1" customWidth="1"/>
    <col min="9740" max="9740" width="12.5" style="1" bestFit="1" customWidth="1"/>
    <col min="9741" max="9741" width="15" style="1" bestFit="1" customWidth="1"/>
    <col min="9742" max="9742" width="17.5" style="1" bestFit="1" customWidth="1"/>
    <col min="9743" max="9743" width="9.59765625" style="1" customWidth="1"/>
    <col min="9744" max="9744" width="0" style="1" hidden="1" customWidth="1"/>
    <col min="9745" max="9745" width="10" style="1" customWidth="1"/>
    <col min="9746" max="9984" width="9" style="1"/>
    <col min="9985" max="9985" width="5" style="1" customWidth="1"/>
    <col min="9986" max="9986" width="25.09765625" style="1" bestFit="1" customWidth="1"/>
    <col min="9987" max="9987" width="6.19921875" style="1" customWidth="1"/>
    <col min="9988" max="9988" width="14.8984375" style="1" bestFit="1" customWidth="1"/>
    <col min="9989" max="9992" width="11.8984375" style="1" customWidth="1"/>
    <col min="9993" max="9993" width="13" style="1" customWidth="1"/>
    <col min="9994" max="9994" width="17.5" style="1" bestFit="1" customWidth="1"/>
    <col min="9995" max="9995" width="13.8984375" style="1" customWidth="1"/>
    <col min="9996" max="9996" width="12.5" style="1" bestFit="1" customWidth="1"/>
    <col min="9997" max="9997" width="15" style="1" bestFit="1" customWidth="1"/>
    <col min="9998" max="9998" width="17.5" style="1" bestFit="1" customWidth="1"/>
    <col min="9999" max="9999" width="9.59765625" style="1" customWidth="1"/>
    <col min="10000" max="10000" width="0" style="1" hidden="1" customWidth="1"/>
    <col min="10001" max="10001" width="10" style="1" customWidth="1"/>
    <col min="10002" max="10240" width="9" style="1"/>
    <col min="10241" max="10241" width="5" style="1" customWidth="1"/>
    <col min="10242" max="10242" width="25.09765625" style="1" bestFit="1" customWidth="1"/>
    <col min="10243" max="10243" width="6.19921875" style="1" customWidth="1"/>
    <col min="10244" max="10244" width="14.8984375" style="1" bestFit="1" customWidth="1"/>
    <col min="10245" max="10248" width="11.8984375" style="1" customWidth="1"/>
    <col min="10249" max="10249" width="13" style="1" customWidth="1"/>
    <col min="10250" max="10250" width="17.5" style="1" bestFit="1" customWidth="1"/>
    <col min="10251" max="10251" width="13.8984375" style="1" customWidth="1"/>
    <col min="10252" max="10252" width="12.5" style="1" bestFit="1" customWidth="1"/>
    <col min="10253" max="10253" width="15" style="1" bestFit="1" customWidth="1"/>
    <col min="10254" max="10254" width="17.5" style="1" bestFit="1" customWidth="1"/>
    <col min="10255" max="10255" width="9.59765625" style="1" customWidth="1"/>
    <col min="10256" max="10256" width="0" style="1" hidden="1" customWidth="1"/>
    <col min="10257" max="10257" width="10" style="1" customWidth="1"/>
    <col min="10258" max="10496" width="9" style="1"/>
    <col min="10497" max="10497" width="5" style="1" customWidth="1"/>
    <col min="10498" max="10498" width="25.09765625" style="1" bestFit="1" customWidth="1"/>
    <col min="10499" max="10499" width="6.19921875" style="1" customWidth="1"/>
    <col min="10500" max="10500" width="14.8984375" style="1" bestFit="1" customWidth="1"/>
    <col min="10501" max="10504" width="11.8984375" style="1" customWidth="1"/>
    <col min="10505" max="10505" width="13" style="1" customWidth="1"/>
    <col min="10506" max="10506" width="17.5" style="1" bestFit="1" customWidth="1"/>
    <col min="10507" max="10507" width="13.8984375" style="1" customWidth="1"/>
    <col min="10508" max="10508" width="12.5" style="1" bestFit="1" customWidth="1"/>
    <col min="10509" max="10509" width="15" style="1" bestFit="1" customWidth="1"/>
    <col min="10510" max="10510" width="17.5" style="1" bestFit="1" customWidth="1"/>
    <col min="10511" max="10511" width="9.59765625" style="1" customWidth="1"/>
    <col min="10512" max="10512" width="0" style="1" hidden="1" customWidth="1"/>
    <col min="10513" max="10513" width="10" style="1" customWidth="1"/>
    <col min="10514" max="10752" width="9" style="1"/>
    <col min="10753" max="10753" width="5" style="1" customWidth="1"/>
    <col min="10754" max="10754" width="25.09765625" style="1" bestFit="1" customWidth="1"/>
    <col min="10755" max="10755" width="6.19921875" style="1" customWidth="1"/>
    <col min="10756" max="10756" width="14.8984375" style="1" bestFit="1" customWidth="1"/>
    <col min="10757" max="10760" width="11.8984375" style="1" customWidth="1"/>
    <col min="10761" max="10761" width="13" style="1" customWidth="1"/>
    <col min="10762" max="10762" width="17.5" style="1" bestFit="1" customWidth="1"/>
    <col min="10763" max="10763" width="13.8984375" style="1" customWidth="1"/>
    <col min="10764" max="10764" width="12.5" style="1" bestFit="1" customWidth="1"/>
    <col min="10765" max="10765" width="15" style="1" bestFit="1" customWidth="1"/>
    <col min="10766" max="10766" width="17.5" style="1" bestFit="1" customWidth="1"/>
    <col min="10767" max="10767" width="9.59765625" style="1" customWidth="1"/>
    <col min="10768" max="10768" width="0" style="1" hidden="1" customWidth="1"/>
    <col min="10769" max="10769" width="10" style="1" customWidth="1"/>
    <col min="10770" max="11008" width="9" style="1"/>
    <col min="11009" max="11009" width="5" style="1" customWidth="1"/>
    <col min="11010" max="11010" width="25.09765625" style="1" bestFit="1" customWidth="1"/>
    <col min="11011" max="11011" width="6.19921875" style="1" customWidth="1"/>
    <col min="11012" max="11012" width="14.8984375" style="1" bestFit="1" customWidth="1"/>
    <col min="11013" max="11016" width="11.8984375" style="1" customWidth="1"/>
    <col min="11017" max="11017" width="13" style="1" customWidth="1"/>
    <col min="11018" max="11018" width="17.5" style="1" bestFit="1" customWidth="1"/>
    <col min="11019" max="11019" width="13.8984375" style="1" customWidth="1"/>
    <col min="11020" max="11020" width="12.5" style="1" bestFit="1" customWidth="1"/>
    <col min="11021" max="11021" width="15" style="1" bestFit="1" customWidth="1"/>
    <col min="11022" max="11022" width="17.5" style="1" bestFit="1" customWidth="1"/>
    <col min="11023" max="11023" width="9.59765625" style="1" customWidth="1"/>
    <col min="11024" max="11024" width="0" style="1" hidden="1" customWidth="1"/>
    <col min="11025" max="11025" width="10" style="1" customWidth="1"/>
    <col min="11026" max="11264" width="9" style="1"/>
    <col min="11265" max="11265" width="5" style="1" customWidth="1"/>
    <col min="11266" max="11266" width="25.09765625" style="1" bestFit="1" customWidth="1"/>
    <col min="11267" max="11267" width="6.19921875" style="1" customWidth="1"/>
    <col min="11268" max="11268" width="14.8984375" style="1" bestFit="1" customWidth="1"/>
    <col min="11269" max="11272" width="11.8984375" style="1" customWidth="1"/>
    <col min="11273" max="11273" width="13" style="1" customWidth="1"/>
    <col min="11274" max="11274" width="17.5" style="1" bestFit="1" customWidth="1"/>
    <col min="11275" max="11275" width="13.8984375" style="1" customWidth="1"/>
    <col min="11276" max="11276" width="12.5" style="1" bestFit="1" customWidth="1"/>
    <col min="11277" max="11277" width="15" style="1" bestFit="1" customWidth="1"/>
    <col min="11278" max="11278" width="17.5" style="1" bestFit="1" customWidth="1"/>
    <col min="11279" max="11279" width="9.59765625" style="1" customWidth="1"/>
    <col min="11280" max="11280" width="0" style="1" hidden="1" customWidth="1"/>
    <col min="11281" max="11281" width="10" style="1" customWidth="1"/>
    <col min="11282" max="11520" width="9" style="1"/>
    <col min="11521" max="11521" width="5" style="1" customWidth="1"/>
    <col min="11522" max="11522" width="25.09765625" style="1" bestFit="1" customWidth="1"/>
    <col min="11523" max="11523" width="6.19921875" style="1" customWidth="1"/>
    <col min="11524" max="11524" width="14.8984375" style="1" bestFit="1" customWidth="1"/>
    <col min="11525" max="11528" width="11.8984375" style="1" customWidth="1"/>
    <col min="11529" max="11529" width="13" style="1" customWidth="1"/>
    <col min="11530" max="11530" width="17.5" style="1" bestFit="1" customWidth="1"/>
    <col min="11531" max="11531" width="13.8984375" style="1" customWidth="1"/>
    <col min="11532" max="11532" width="12.5" style="1" bestFit="1" customWidth="1"/>
    <col min="11533" max="11533" width="15" style="1" bestFit="1" customWidth="1"/>
    <col min="11534" max="11534" width="17.5" style="1" bestFit="1" customWidth="1"/>
    <col min="11535" max="11535" width="9.59765625" style="1" customWidth="1"/>
    <col min="11536" max="11536" width="0" style="1" hidden="1" customWidth="1"/>
    <col min="11537" max="11537" width="10" style="1" customWidth="1"/>
    <col min="11538" max="11776" width="9" style="1"/>
    <col min="11777" max="11777" width="5" style="1" customWidth="1"/>
    <col min="11778" max="11778" width="25.09765625" style="1" bestFit="1" customWidth="1"/>
    <col min="11779" max="11779" width="6.19921875" style="1" customWidth="1"/>
    <col min="11780" max="11780" width="14.8984375" style="1" bestFit="1" customWidth="1"/>
    <col min="11781" max="11784" width="11.8984375" style="1" customWidth="1"/>
    <col min="11785" max="11785" width="13" style="1" customWidth="1"/>
    <col min="11786" max="11786" width="17.5" style="1" bestFit="1" customWidth="1"/>
    <col min="11787" max="11787" width="13.8984375" style="1" customWidth="1"/>
    <col min="11788" max="11788" width="12.5" style="1" bestFit="1" customWidth="1"/>
    <col min="11789" max="11789" width="15" style="1" bestFit="1" customWidth="1"/>
    <col min="11790" max="11790" width="17.5" style="1" bestFit="1" customWidth="1"/>
    <col min="11791" max="11791" width="9.59765625" style="1" customWidth="1"/>
    <col min="11792" max="11792" width="0" style="1" hidden="1" customWidth="1"/>
    <col min="11793" max="11793" width="10" style="1" customWidth="1"/>
    <col min="11794" max="12032" width="9" style="1"/>
    <col min="12033" max="12033" width="5" style="1" customWidth="1"/>
    <col min="12034" max="12034" width="25.09765625" style="1" bestFit="1" customWidth="1"/>
    <col min="12035" max="12035" width="6.19921875" style="1" customWidth="1"/>
    <col min="12036" max="12036" width="14.8984375" style="1" bestFit="1" customWidth="1"/>
    <col min="12037" max="12040" width="11.8984375" style="1" customWidth="1"/>
    <col min="12041" max="12041" width="13" style="1" customWidth="1"/>
    <col min="12042" max="12042" width="17.5" style="1" bestFit="1" customWidth="1"/>
    <col min="12043" max="12043" width="13.8984375" style="1" customWidth="1"/>
    <col min="12044" max="12044" width="12.5" style="1" bestFit="1" customWidth="1"/>
    <col min="12045" max="12045" width="15" style="1" bestFit="1" customWidth="1"/>
    <col min="12046" max="12046" width="17.5" style="1" bestFit="1" customWidth="1"/>
    <col min="12047" max="12047" width="9.59765625" style="1" customWidth="1"/>
    <col min="12048" max="12048" width="0" style="1" hidden="1" customWidth="1"/>
    <col min="12049" max="12049" width="10" style="1" customWidth="1"/>
    <col min="12050" max="12288" width="9" style="1"/>
    <col min="12289" max="12289" width="5" style="1" customWidth="1"/>
    <col min="12290" max="12290" width="25.09765625" style="1" bestFit="1" customWidth="1"/>
    <col min="12291" max="12291" width="6.19921875" style="1" customWidth="1"/>
    <col min="12292" max="12292" width="14.8984375" style="1" bestFit="1" customWidth="1"/>
    <col min="12293" max="12296" width="11.8984375" style="1" customWidth="1"/>
    <col min="12297" max="12297" width="13" style="1" customWidth="1"/>
    <col min="12298" max="12298" width="17.5" style="1" bestFit="1" customWidth="1"/>
    <col min="12299" max="12299" width="13.8984375" style="1" customWidth="1"/>
    <col min="12300" max="12300" width="12.5" style="1" bestFit="1" customWidth="1"/>
    <col min="12301" max="12301" width="15" style="1" bestFit="1" customWidth="1"/>
    <col min="12302" max="12302" width="17.5" style="1" bestFit="1" customWidth="1"/>
    <col min="12303" max="12303" width="9.59765625" style="1" customWidth="1"/>
    <col min="12304" max="12304" width="0" style="1" hidden="1" customWidth="1"/>
    <col min="12305" max="12305" width="10" style="1" customWidth="1"/>
    <col min="12306" max="12544" width="9" style="1"/>
    <col min="12545" max="12545" width="5" style="1" customWidth="1"/>
    <col min="12546" max="12546" width="25.09765625" style="1" bestFit="1" customWidth="1"/>
    <col min="12547" max="12547" width="6.19921875" style="1" customWidth="1"/>
    <col min="12548" max="12548" width="14.8984375" style="1" bestFit="1" customWidth="1"/>
    <col min="12549" max="12552" width="11.8984375" style="1" customWidth="1"/>
    <col min="12553" max="12553" width="13" style="1" customWidth="1"/>
    <col min="12554" max="12554" width="17.5" style="1" bestFit="1" customWidth="1"/>
    <col min="12555" max="12555" width="13.8984375" style="1" customWidth="1"/>
    <col min="12556" max="12556" width="12.5" style="1" bestFit="1" customWidth="1"/>
    <col min="12557" max="12557" width="15" style="1" bestFit="1" customWidth="1"/>
    <col min="12558" max="12558" width="17.5" style="1" bestFit="1" customWidth="1"/>
    <col min="12559" max="12559" width="9.59765625" style="1" customWidth="1"/>
    <col min="12560" max="12560" width="0" style="1" hidden="1" customWidth="1"/>
    <col min="12561" max="12561" width="10" style="1" customWidth="1"/>
    <col min="12562" max="12800" width="9" style="1"/>
    <col min="12801" max="12801" width="5" style="1" customWidth="1"/>
    <col min="12802" max="12802" width="25.09765625" style="1" bestFit="1" customWidth="1"/>
    <col min="12803" max="12803" width="6.19921875" style="1" customWidth="1"/>
    <col min="12804" max="12804" width="14.8984375" style="1" bestFit="1" customWidth="1"/>
    <col min="12805" max="12808" width="11.8984375" style="1" customWidth="1"/>
    <col min="12809" max="12809" width="13" style="1" customWidth="1"/>
    <col min="12810" max="12810" width="17.5" style="1" bestFit="1" customWidth="1"/>
    <col min="12811" max="12811" width="13.8984375" style="1" customWidth="1"/>
    <col min="12812" max="12812" width="12.5" style="1" bestFit="1" customWidth="1"/>
    <col min="12813" max="12813" width="15" style="1" bestFit="1" customWidth="1"/>
    <col min="12814" max="12814" width="17.5" style="1" bestFit="1" customWidth="1"/>
    <col min="12815" max="12815" width="9.59765625" style="1" customWidth="1"/>
    <col min="12816" max="12816" width="0" style="1" hidden="1" customWidth="1"/>
    <col min="12817" max="12817" width="10" style="1" customWidth="1"/>
    <col min="12818" max="13056" width="9" style="1"/>
    <col min="13057" max="13057" width="5" style="1" customWidth="1"/>
    <col min="13058" max="13058" width="25.09765625" style="1" bestFit="1" customWidth="1"/>
    <col min="13059" max="13059" width="6.19921875" style="1" customWidth="1"/>
    <col min="13060" max="13060" width="14.8984375" style="1" bestFit="1" customWidth="1"/>
    <col min="13061" max="13064" width="11.8984375" style="1" customWidth="1"/>
    <col min="13065" max="13065" width="13" style="1" customWidth="1"/>
    <col min="13066" max="13066" width="17.5" style="1" bestFit="1" customWidth="1"/>
    <col min="13067" max="13067" width="13.8984375" style="1" customWidth="1"/>
    <col min="13068" max="13068" width="12.5" style="1" bestFit="1" customWidth="1"/>
    <col min="13069" max="13069" width="15" style="1" bestFit="1" customWidth="1"/>
    <col min="13070" max="13070" width="17.5" style="1" bestFit="1" customWidth="1"/>
    <col min="13071" max="13071" width="9.59765625" style="1" customWidth="1"/>
    <col min="13072" max="13072" width="0" style="1" hidden="1" customWidth="1"/>
    <col min="13073" max="13073" width="10" style="1" customWidth="1"/>
    <col min="13074" max="13312" width="9" style="1"/>
    <col min="13313" max="13313" width="5" style="1" customWidth="1"/>
    <col min="13314" max="13314" width="25.09765625" style="1" bestFit="1" customWidth="1"/>
    <col min="13315" max="13315" width="6.19921875" style="1" customWidth="1"/>
    <col min="13316" max="13316" width="14.8984375" style="1" bestFit="1" customWidth="1"/>
    <col min="13317" max="13320" width="11.8984375" style="1" customWidth="1"/>
    <col min="13321" max="13321" width="13" style="1" customWidth="1"/>
    <col min="13322" max="13322" width="17.5" style="1" bestFit="1" customWidth="1"/>
    <col min="13323" max="13323" width="13.8984375" style="1" customWidth="1"/>
    <col min="13324" max="13324" width="12.5" style="1" bestFit="1" customWidth="1"/>
    <col min="13325" max="13325" width="15" style="1" bestFit="1" customWidth="1"/>
    <col min="13326" max="13326" width="17.5" style="1" bestFit="1" customWidth="1"/>
    <col min="13327" max="13327" width="9.59765625" style="1" customWidth="1"/>
    <col min="13328" max="13328" width="0" style="1" hidden="1" customWidth="1"/>
    <col min="13329" max="13329" width="10" style="1" customWidth="1"/>
    <col min="13330" max="13568" width="9" style="1"/>
    <col min="13569" max="13569" width="5" style="1" customWidth="1"/>
    <col min="13570" max="13570" width="25.09765625" style="1" bestFit="1" customWidth="1"/>
    <col min="13571" max="13571" width="6.19921875" style="1" customWidth="1"/>
    <col min="13572" max="13572" width="14.8984375" style="1" bestFit="1" customWidth="1"/>
    <col min="13573" max="13576" width="11.8984375" style="1" customWidth="1"/>
    <col min="13577" max="13577" width="13" style="1" customWidth="1"/>
    <col min="13578" max="13578" width="17.5" style="1" bestFit="1" customWidth="1"/>
    <col min="13579" max="13579" width="13.8984375" style="1" customWidth="1"/>
    <col min="13580" max="13580" width="12.5" style="1" bestFit="1" customWidth="1"/>
    <col min="13581" max="13581" width="15" style="1" bestFit="1" customWidth="1"/>
    <col min="13582" max="13582" width="17.5" style="1" bestFit="1" customWidth="1"/>
    <col min="13583" max="13583" width="9.59765625" style="1" customWidth="1"/>
    <col min="13584" max="13584" width="0" style="1" hidden="1" customWidth="1"/>
    <col min="13585" max="13585" width="10" style="1" customWidth="1"/>
    <col min="13586" max="13824" width="9" style="1"/>
    <col min="13825" max="13825" width="5" style="1" customWidth="1"/>
    <col min="13826" max="13826" width="25.09765625" style="1" bestFit="1" customWidth="1"/>
    <col min="13827" max="13827" width="6.19921875" style="1" customWidth="1"/>
    <col min="13828" max="13828" width="14.8984375" style="1" bestFit="1" customWidth="1"/>
    <col min="13829" max="13832" width="11.8984375" style="1" customWidth="1"/>
    <col min="13833" max="13833" width="13" style="1" customWidth="1"/>
    <col min="13834" max="13834" width="17.5" style="1" bestFit="1" customWidth="1"/>
    <col min="13835" max="13835" width="13.8984375" style="1" customWidth="1"/>
    <col min="13836" max="13836" width="12.5" style="1" bestFit="1" customWidth="1"/>
    <col min="13837" max="13837" width="15" style="1" bestFit="1" customWidth="1"/>
    <col min="13838" max="13838" width="17.5" style="1" bestFit="1" customWidth="1"/>
    <col min="13839" max="13839" width="9.59765625" style="1" customWidth="1"/>
    <col min="13840" max="13840" width="0" style="1" hidden="1" customWidth="1"/>
    <col min="13841" max="13841" width="10" style="1" customWidth="1"/>
    <col min="13842" max="14080" width="9" style="1"/>
    <col min="14081" max="14081" width="5" style="1" customWidth="1"/>
    <col min="14082" max="14082" width="25.09765625" style="1" bestFit="1" customWidth="1"/>
    <col min="14083" max="14083" width="6.19921875" style="1" customWidth="1"/>
    <col min="14084" max="14084" width="14.8984375" style="1" bestFit="1" customWidth="1"/>
    <col min="14085" max="14088" width="11.8984375" style="1" customWidth="1"/>
    <col min="14089" max="14089" width="13" style="1" customWidth="1"/>
    <col min="14090" max="14090" width="17.5" style="1" bestFit="1" customWidth="1"/>
    <col min="14091" max="14091" width="13.8984375" style="1" customWidth="1"/>
    <col min="14092" max="14092" width="12.5" style="1" bestFit="1" customWidth="1"/>
    <col min="14093" max="14093" width="15" style="1" bestFit="1" customWidth="1"/>
    <col min="14094" max="14094" width="17.5" style="1" bestFit="1" customWidth="1"/>
    <col min="14095" max="14095" width="9.59765625" style="1" customWidth="1"/>
    <col min="14096" max="14096" width="0" style="1" hidden="1" customWidth="1"/>
    <col min="14097" max="14097" width="10" style="1" customWidth="1"/>
    <col min="14098" max="14336" width="9" style="1"/>
    <col min="14337" max="14337" width="5" style="1" customWidth="1"/>
    <col min="14338" max="14338" width="25.09765625" style="1" bestFit="1" customWidth="1"/>
    <col min="14339" max="14339" width="6.19921875" style="1" customWidth="1"/>
    <col min="14340" max="14340" width="14.8984375" style="1" bestFit="1" customWidth="1"/>
    <col min="14341" max="14344" width="11.8984375" style="1" customWidth="1"/>
    <col min="14345" max="14345" width="13" style="1" customWidth="1"/>
    <col min="14346" max="14346" width="17.5" style="1" bestFit="1" customWidth="1"/>
    <col min="14347" max="14347" width="13.8984375" style="1" customWidth="1"/>
    <col min="14348" max="14348" width="12.5" style="1" bestFit="1" customWidth="1"/>
    <col min="14349" max="14349" width="15" style="1" bestFit="1" customWidth="1"/>
    <col min="14350" max="14350" width="17.5" style="1" bestFit="1" customWidth="1"/>
    <col min="14351" max="14351" width="9.59765625" style="1" customWidth="1"/>
    <col min="14352" max="14352" width="0" style="1" hidden="1" customWidth="1"/>
    <col min="14353" max="14353" width="10" style="1" customWidth="1"/>
    <col min="14354" max="14592" width="9" style="1"/>
    <col min="14593" max="14593" width="5" style="1" customWidth="1"/>
    <col min="14594" max="14594" width="25.09765625" style="1" bestFit="1" customWidth="1"/>
    <col min="14595" max="14595" width="6.19921875" style="1" customWidth="1"/>
    <col min="14596" max="14596" width="14.8984375" style="1" bestFit="1" customWidth="1"/>
    <col min="14597" max="14600" width="11.8984375" style="1" customWidth="1"/>
    <col min="14601" max="14601" width="13" style="1" customWidth="1"/>
    <col min="14602" max="14602" width="17.5" style="1" bestFit="1" customWidth="1"/>
    <col min="14603" max="14603" width="13.8984375" style="1" customWidth="1"/>
    <col min="14604" max="14604" width="12.5" style="1" bestFit="1" customWidth="1"/>
    <col min="14605" max="14605" width="15" style="1" bestFit="1" customWidth="1"/>
    <col min="14606" max="14606" width="17.5" style="1" bestFit="1" customWidth="1"/>
    <col min="14607" max="14607" width="9.59765625" style="1" customWidth="1"/>
    <col min="14608" max="14608" width="0" style="1" hidden="1" customWidth="1"/>
    <col min="14609" max="14609" width="10" style="1" customWidth="1"/>
    <col min="14610" max="14848" width="9" style="1"/>
    <col min="14849" max="14849" width="5" style="1" customWidth="1"/>
    <col min="14850" max="14850" width="25.09765625" style="1" bestFit="1" customWidth="1"/>
    <col min="14851" max="14851" width="6.19921875" style="1" customWidth="1"/>
    <col min="14852" max="14852" width="14.8984375" style="1" bestFit="1" customWidth="1"/>
    <col min="14853" max="14856" width="11.8984375" style="1" customWidth="1"/>
    <col min="14857" max="14857" width="13" style="1" customWidth="1"/>
    <col min="14858" max="14858" width="17.5" style="1" bestFit="1" customWidth="1"/>
    <col min="14859" max="14859" width="13.8984375" style="1" customWidth="1"/>
    <col min="14860" max="14860" width="12.5" style="1" bestFit="1" customWidth="1"/>
    <col min="14861" max="14861" width="15" style="1" bestFit="1" customWidth="1"/>
    <col min="14862" max="14862" width="17.5" style="1" bestFit="1" customWidth="1"/>
    <col min="14863" max="14863" width="9.59765625" style="1" customWidth="1"/>
    <col min="14864" max="14864" width="0" style="1" hidden="1" customWidth="1"/>
    <col min="14865" max="14865" width="10" style="1" customWidth="1"/>
    <col min="14866" max="15104" width="9" style="1"/>
    <col min="15105" max="15105" width="5" style="1" customWidth="1"/>
    <col min="15106" max="15106" width="25.09765625" style="1" bestFit="1" customWidth="1"/>
    <col min="15107" max="15107" width="6.19921875" style="1" customWidth="1"/>
    <col min="15108" max="15108" width="14.8984375" style="1" bestFit="1" customWidth="1"/>
    <col min="15109" max="15112" width="11.8984375" style="1" customWidth="1"/>
    <col min="15113" max="15113" width="13" style="1" customWidth="1"/>
    <col min="15114" max="15114" width="17.5" style="1" bestFit="1" customWidth="1"/>
    <col min="15115" max="15115" width="13.8984375" style="1" customWidth="1"/>
    <col min="15116" max="15116" width="12.5" style="1" bestFit="1" customWidth="1"/>
    <col min="15117" max="15117" width="15" style="1" bestFit="1" customWidth="1"/>
    <col min="15118" max="15118" width="17.5" style="1" bestFit="1" customWidth="1"/>
    <col min="15119" max="15119" width="9.59765625" style="1" customWidth="1"/>
    <col min="15120" max="15120" width="0" style="1" hidden="1" customWidth="1"/>
    <col min="15121" max="15121" width="10" style="1" customWidth="1"/>
    <col min="15122" max="15360" width="9" style="1"/>
    <col min="15361" max="15361" width="5" style="1" customWidth="1"/>
    <col min="15362" max="15362" width="25.09765625" style="1" bestFit="1" customWidth="1"/>
    <col min="15363" max="15363" width="6.19921875" style="1" customWidth="1"/>
    <col min="15364" max="15364" width="14.8984375" style="1" bestFit="1" customWidth="1"/>
    <col min="15365" max="15368" width="11.8984375" style="1" customWidth="1"/>
    <col min="15369" max="15369" width="13" style="1" customWidth="1"/>
    <col min="15370" max="15370" width="17.5" style="1" bestFit="1" customWidth="1"/>
    <col min="15371" max="15371" width="13.8984375" style="1" customWidth="1"/>
    <col min="15372" max="15372" width="12.5" style="1" bestFit="1" customWidth="1"/>
    <col min="15373" max="15373" width="15" style="1" bestFit="1" customWidth="1"/>
    <col min="15374" max="15374" width="17.5" style="1" bestFit="1" customWidth="1"/>
    <col min="15375" max="15375" width="9.59765625" style="1" customWidth="1"/>
    <col min="15376" max="15376" width="0" style="1" hidden="1" customWidth="1"/>
    <col min="15377" max="15377" width="10" style="1" customWidth="1"/>
    <col min="15378" max="15616" width="9" style="1"/>
    <col min="15617" max="15617" width="5" style="1" customWidth="1"/>
    <col min="15618" max="15618" width="25.09765625" style="1" bestFit="1" customWidth="1"/>
    <col min="15619" max="15619" width="6.19921875" style="1" customWidth="1"/>
    <col min="15620" max="15620" width="14.8984375" style="1" bestFit="1" customWidth="1"/>
    <col min="15621" max="15624" width="11.8984375" style="1" customWidth="1"/>
    <col min="15625" max="15625" width="13" style="1" customWidth="1"/>
    <col min="15626" max="15626" width="17.5" style="1" bestFit="1" customWidth="1"/>
    <col min="15627" max="15627" width="13.8984375" style="1" customWidth="1"/>
    <col min="15628" max="15628" width="12.5" style="1" bestFit="1" customWidth="1"/>
    <col min="15629" max="15629" width="15" style="1" bestFit="1" customWidth="1"/>
    <col min="15630" max="15630" width="17.5" style="1" bestFit="1" customWidth="1"/>
    <col min="15631" max="15631" width="9.59765625" style="1" customWidth="1"/>
    <col min="15632" max="15632" width="0" style="1" hidden="1" customWidth="1"/>
    <col min="15633" max="15633" width="10" style="1" customWidth="1"/>
    <col min="15634" max="15872" width="9" style="1"/>
    <col min="15873" max="15873" width="5" style="1" customWidth="1"/>
    <col min="15874" max="15874" width="25.09765625" style="1" bestFit="1" customWidth="1"/>
    <col min="15875" max="15875" width="6.19921875" style="1" customWidth="1"/>
    <col min="15876" max="15876" width="14.8984375" style="1" bestFit="1" customWidth="1"/>
    <col min="15877" max="15880" width="11.8984375" style="1" customWidth="1"/>
    <col min="15881" max="15881" width="13" style="1" customWidth="1"/>
    <col min="15882" max="15882" width="17.5" style="1" bestFit="1" customWidth="1"/>
    <col min="15883" max="15883" width="13.8984375" style="1" customWidth="1"/>
    <col min="15884" max="15884" width="12.5" style="1" bestFit="1" customWidth="1"/>
    <col min="15885" max="15885" width="15" style="1" bestFit="1" customWidth="1"/>
    <col min="15886" max="15886" width="17.5" style="1" bestFit="1" customWidth="1"/>
    <col min="15887" max="15887" width="9.59765625" style="1" customWidth="1"/>
    <col min="15888" max="15888" width="0" style="1" hidden="1" customWidth="1"/>
    <col min="15889" max="15889" width="10" style="1" customWidth="1"/>
    <col min="15890" max="16128" width="9" style="1"/>
    <col min="16129" max="16129" width="5" style="1" customWidth="1"/>
    <col min="16130" max="16130" width="25.09765625" style="1" bestFit="1" customWidth="1"/>
    <col min="16131" max="16131" width="6.19921875" style="1" customWidth="1"/>
    <col min="16132" max="16132" width="14.8984375" style="1" bestFit="1" customWidth="1"/>
    <col min="16133" max="16136" width="11.8984375" style="1" customWidth="1"/>
    <col min="16137" max="16137" width="13" style="1" customWidth="1"/>
    <col min="16138" max="16138" width="17.5" style="1" bestFit="1" customWidth="1"/>
    <col min="16139" max="16139" width="13.8984375" style="1" customWidth="1"/>
    <col min="16140" max="16140" width="12.5" style="1" bestFit="1" customWidth="1"/>
    <col min="16141" max="16141" width="15" style="1" bestFit="1" customWidth="1"/>
    <col min="16142" max="16142" width="17.5" style="1" bestFit="1" customWidth="1"/>
    <col min="16143" max="16143" width="9.59765625" style="1" customWidth="1"/>
    <col min="16144" max="16144" width="0" style="1" hidden="1" customWidth="1"/>
    <col min="16145" max="16145" width="10" style="1" customWidth="1"/>
    <col min="16146" max="16384" width="9" style="1"/>
  </cols>
  <sheetData>
    <row r="2" spans="1:16" ht="31.5" customHeight="1" x14ac:dyDescent="0.4">
      <c r="A2" s="66" t="s">
        <v>122</v>
      </c>
    </row>
    <row r="3" spans="1:16" ht="17.25" customHeight="1" thickBot="1" x14ac:dyDescent="0.45">
      <c r="N3" s="1" t="s">
        <v>123</v>
      </c>
    </row>
    <row r="4" spans="1:16" s="30" customFormat="1" ht="8.25" customHeight="1" x14ac:dyDescent="0.4">
      <c r="A4" s="134"/>
      <c r="B4" s="134"/>
      <c r="C4" s="134"/>
      <c r="D4" s="261"/>
      <c r="E4" s="325"/>
      <c r="F4" s="325"/>
      <c r="G4" s="325"/>
      <c r="H4" s="325"/>
      <c r="I4" s="325"/>
      <c r="J4" s="326"/>
      <c r="K4" s="135"/>
      <c r="L4" s="135"/>
      <c r="M4" s="136"/>
      <c r="N4" s="137"/>
      <c r="O4" s="138"/>
    </row>
    <row r="5" spans="1:16" s="30" customFormat="1" ht="25.5" customHeight="1" x14ac:dyDescent="0.4">
      <c r="A5" s="139"/>
      <c r="B5" s="139"/>
      <c r="C5" s="139"/>
      <c r="D5" s="140"/>
      <c r="E5" s="141"/>
      <c r="F5" s="141"/>
      <c r="G5" s="141"/>
      <c r="H5" s="141"/>
      <c r="I5" s="142" t="s">
        <v>124</v>
      </c>
      <c r="J5" s="143"/>
      <c r="K5" s="144"/>
      <c r="L5" s="144" t="s">
        <v>125</v>
      </c>
      <c r="M5" s="145" t="s">
        <v>105</v>
      </c>
      <c r="N5" s="146"/>
      <c r="O5" s="35"/>
    </row>
    <row r="6" spans="1:16" s="30" customFormat="1" ht="25.5" customHeight="1" thickBot="1" x14ac:dyDescent="0.45">
      <c r="A6" s="147" t="s">
        <v>53</v>
      </c>
      <c r="B6" s="147" t="s">
        <v>126</v>
      </c>
      <c r="C6" s="147" t="s">
        <v>56</v>
      </c>
      <c r="D6" s="148" t="s">
        <v>65</v>
      </c>
      <c r="E6" s="149" t="s">
        <v>127</v>
      </c>
      <c r="F6" s="149" t="s">
        <v>97</v>
      </c>
      <c r="G6" s="149" t="s">
        <v>128</v>
      </c>
      <c r="H6" s="149" t="s">
        <v>88</v>
      </c>
      <c r="I6" s="150" t="s">
        <v>129</v>
      </c>
      <c r="J6" s="151" t="s">
        <v>130</v>
      </c>
      <c r="K6" s="152" t="s">
        <v>131</v>
      </c>
      <c r="L6" s="152" t="s">
        <v>132</v>
      </c>
      <c r="M6" s="153" t="s">
        <v>133</v>
      </c>
      <c r="N6" s="154" t="s">
        <v>134</v>
      </c>
      <c r="O6" s="155" t="s">
        <v>29</v>
      </c>
    </row>
    <row r="7" spans="1:16" s="57" customFormat="1" ht="25.5" customHeight="1" thickTop="1" x14ac:dyDescent="0.4">
      <c r="A7" s="156">
        <f>IF(B7&gt;0,1,"")</f>
        <v>1</v>
      </c>
      <c r="B7" s="157" t="str">
        <f>갑지!C17</f>
        <v>COND. CORE BUILDER</v>
      </c>
      <c r="C7" s="156" t="s">
        <v>68</v>
      </c>
      <c r="D7" s="158">
        <v>379266000</v>
      </c>
      <c r="E7" s="159">
        <v>0</v>
      </c>
      <c r="F7" s="159">
        <v>6400000</v>
      </c>
      <c r="G7" s="159">
        <v>32900000</v>
      </c>
      <c r="H7" s="159">
        <v>26800000</v>
      </c>
      <c r="I7" s="160">
        <v>0</v>
      </c>
      <c r="J7" s="161">
        <v>445366000</v>
      </c>
      <c r="K7" s="162">
        <v>117097200.00000001</v>
      </c>
      <c r="L7" s="162">
        <v>0</v>
      </c>
      <c r="M7" s="163">
        <v>44536600</v>
      </c>
      <c r="N7" s="164">
        <f>SUM(J7:M7)</f>
        <v>606999800</v>
      </c>
      <c r="O7" s="165"/>
      <c r="P7" s="57">
        <f>D7+E7+F7+G7+H7+M7</f>
        <v>489902600</v>
      </c>
    </row>
    <row r="8" spans="1:16" s="57" customFormat="1" ht="25.5" customHeight="1" x14ac:dyDescent="0.4">
      <c r="A8" s="166">
        <f>IF(B8&gt;0,A7+1,"")</f>
        <v>2</v>
      </c>
      <c r="B8" s="167" t="str">
        <f>갑지!C18</f>
        <v>RAD. CORE BUUILDER</v>
      </c>
      <c r="C8" s="166" t="s">
        <v>68</v>
      </c>
      <c r="D8" s="168">
        <v>694050800</v>
      </c>
      <c r="E8" s="169">
        <v>0</v>
      </c>
      <c r="F8" s="169">
        <v>10600000</v>
      </c>
      <c r="G8" s="169">
        <v>40100000</v>
      </c>
      <c r="H8" s="169">
        <v>40200000</v>
      </c>
      <c r="I8" s="170">
        <v>0</v>
      </c>
      <c r="J8" s="171">
        <v>784950800</v>
      </c>
      <c r="K8" s="172">
        <v>209554399.99999997</v>
      </c>
      <c r="L8" s="172">
        <v>0</v>
      </c>
      <c r="M8" s="173">
        <v>78495080</v>
      </c>
      <c r="N8" s="174">
        <f>SUM(J8:M8)</f>
        <v>1073000280</v>
      </c>
      <c r="O8" s="175"/>
      <c r="P8" s="57">
        <f t="shared" ref="P8:P16" si="0">D8+E8+F8+G8+H8+M8</f>
        <v>863445880</v>
      </c>
    </row>
    <row r="9" spans="1:16" s="57" customFormat="1" ht="25.5" customHeight="1" x14ac:dyDescent="0.4">
      <c r="A9" s="166">
        <f>IF(B9&gt;0,A8+1,"")</f>
        <v>3</v>
      </c>
      <c r="B9" s="167" t="str">
        <f>갑지!C19</f>
        <v>EVAP. CORE BUILDER</v>
      </c>
      <c r="C9" s="166" t="s">
        <v>135</v>
      </c>
      <c r="D9" s="168">
        <v>319102000</v>
      </c>
      <c r="E9" s="169">
        <v>0</v>
      </c>
      <c r="F9" s="169">
        <v>11600000</v>
      </c>
      <c r="G9" s="169">
        <v>40100000</v>
      </c>
      <c r="H9" s="169">
        <v>40200000</v>
      </c>
      <c r="I9" s="170">
        <v>0</v>
      </c>
      <c r="J9" s="171">
        <v>411002000</v>
      </c>
      <c r="K9" s="172">
        <v>140897900</v>
      </c>
      <c r="L9" s="172">
        <v>0</v>
      </c>
      <c r="M9" s="173">
        <v>41100200</v>
      </c>
      <c r="N9" s="174">
        <f>SUM(J9:M9)</f>
        <v>593000100</v>
      </c>
      <c r="O9" s="175"/>
      <c r="P9" s="57">
        <f t="shared" si="0"/>
        <v>452102200</v>
      </c>
    </row>
    <row r="10" spans="1:16" s="57" customFormat="1" ht="25.5" customHeight="1" x14ac:dyDescent="0.4">
      <c r="A10" s="166">
        <f>IF(B10&gt;0,A9+1,"")</f>
        <v>4</v>
      </c>
      <c r="B10" s="167" t="str">
        <f>갑지!C20</f>
        <v>HTR. CORE BUILDER</v>
      </c>
      <c r="C10" s="166" t="s">
        <v>135</v>
      </c>
      <c r="D10" s="168">
        <v>239433000</v>
      </c>
      <c r="E10" s="169">
        <v>0</v>
      </c>
      <c r="F10" s="169">
        <v>9600000</v>
      </c>
      <c r="G10" s="169">
        <v>50900000</v>
      </c>
      <c r="H10" s="169">
        <v>60300000</v>
      </c>
      <c r="I10" s="170">
        <v>0</v>
      </c>
      <c r="J10" s="171">
        <v>360233000</v>
      </c>
      <c r="K10" s="172">
        <v>140743899.99999997</v>
      </c>
      <c r="L10" s="172">
        <v>0</v>
      </c>
      <c r="M10" s="173">
        <v>36023300</v>
      </c>
      <c r="N10" s="174">
        <f>SUM(J10:M10)</f>
        <v>537000200</v>
      </c>
      <c r="O10" s="175"/>
      <c r="P10" s="57">
        <f t="shared" si="0"/>
        <v>396256300</v>
      </c>
    </row>
    <row r="11" spans="1:16" s="57" customFormat="1" ht="25.5" customHeight="1" x14ac:dyDescent="0.4">
      <c r="A11" s="166"/>
      <c r="B11" s="167"/>
      <c r="C11" s="166"/>
      <c r="D11" s="168"/>
      <c r="E11" s="169"/>
      <c r="F11" s="169"/>
      <c r="G11" s="169"/>
      <c r="H11" s="169"/>
      <c r="I11" s="170"/>
      <c r="J11" s="171"/>
      <c r="K11" s="172"/>
      <c r="L11" s="172"/>
      <c r="M11" s="173"/>
      <c r="N11" s="174"/>
      <c r="O11" s="175"/>
      <c r="P11" s="57">
        <f t="shared" si="0"/>
        <v>0</v>
      </c>
    </row>
    <row r="12" spans="1:16" s="57" customFormat="1" ht="25.5" customHeight="1" x14ac:dyDescent="0.4">
      <c r="A12" s="166"/>
      <c r="B12" s="167"/>
      <c r="C12" s="166"/>
      <c r="D12" s="168"/>
      <c r="E12" s="169"/>
      <c r="F12" s="169"/>
      <c r="G12" s="169"/>
      <c r="H12" s="169"/>
      <c r="I12" s="170"/>
      <c r="J12" s="171"/>
      <c r="K12" s="172"/>
      <c r="L12" s="172"/>
      <c r="M12" s="173"/>
      <c r="N12" s="174"/>
      <c r="O12" s="175"/>
      <c r="P12" s="57">
        <f t="shared" si="0"/>
        <v>0</v>
      </c>
    </row>
    <row r="13" spans="1:16" s="57" customFormat="1" ht="25.5" customHeight="1" x14ac:dyDescent="0.4">
      <c r="A13" s="166"/>
      <c r="B13" s="167"/>
      <c r="C13" s="166"/>
      <c r="D13" s="168"/>
      <c r="E13" s="169"/>
      <c r="F13" s="169"/>
      <c r="G13" s="169"/>
      <c r="H13" s="169"/>
      <c r="I13" s="170"/>
      <c r="J13" s="171"/>
      <c r="K13" s="172"/>
      <c r="L13" s="172"/>
      <c r="M13" s="173"/>
      <c r="N13" s="174"/>
      <c r="O13" s="175"/>
      <c r="P13" s="57">
        <f t="shared" si="0"/>
        <v>0</v>
      </c>
    </row>
    <row r="14" spans="1:16" s="57" customFormat="1" ht="25.5" customHeight="1" x14ac:dyDescent="0.4">
      <c r="A14" s="166"/>
      <c r="B14" s="167"/>
      <c r="C14" s="166"/>
      <c r="D14" s="168"/>
      <c r="E14" s="169"/>
      <c r="F14" s="169"/>
      <c r="G14" s="169"/>
      <c r="H14" s="169"/>
      <c r="I14" s="170"/>
      <c r="J14" s="171"/>
      <c r="K14" s="172"/>
      <c r="L14" s="172"/>
      <c r="M14" s="173"/>
      <c r="N14" s="174"/>
      <c r="O14" s="175"/>
      <c r="P14" s="57">
        <f t="shared" si="0"/>
        <v>0</v>
      </c>
    </row>
    <row r="15" spans="1:16" s="57" customFormat="1" ht="25.5" customHeight="1" x14ac:dyDescent="0.4">
      <c r="A15" s="166"/>
      <c r="B15" s="167"/>
      <c r="C15" s="166"/>
      <c r="D15" s="168"/>
      <c r="E15" s="169"/>
      <c r="F15" s="169"/>
      <c r="G15" s="169"/>
      <c r="H15" s="169"/>
      <c r="I15" s="170"/>
      <c r="J15" s="171"/>
      <c r="K15" s="172"/>
      <c r="L15" s="172"/>
      <c r="M15" s="173"/>
      <c r="N15" s="174"/>
      <c r="O15" s="175"/>
      <c r="P15" s="57">
        <f t="shared" si="0"/>
        <v>0</v>
      </c>
    </row>
    <row r="16" spans="1:16" s="57" customFormat="1" ht="25.5" customHeight="1" x14ac:dyDescent="0.4">
      <c r="A16" s="176"/>
      <c r="B16" s="177"/>
      <c r="C16" s="176"/>
      <c r="D16" s="178"/>
      <c r="E16" s="179"/>
      <c r="F16" s="179"/>
      <c r="G16" s="179"/>
      <c r="H16" s="179"/>
      <c r="I16" s="180"/>
      <c r="J16" s="181"/>
      <c r="K16" s="182"/>
      <c r="L16" s="182"/>
      <c r="M16" s="183"/>
      <c r="N16" s="184"/>
      <c r="O16" s="185"/>
      <c r="P16" s="57">
        <f t="shared" si="0"/>
        <v>0</v>
      </c>
    </row>
    <row r="17" spans="1:16" s="57" customFormat="1" ht="33" customHeight="1" x14ac:dyDescent="0.4">
      <c r="A17" s="327" t="s">
        <v>136</v>
      </c>
      <c r="B17" s="328"/>
      <c r="C17" s="329"/>
      <c r="D17" s="186">
        <f t="shared" ref="D17:M17" si="1">SUM(D7:D16)</f>
        <v>1631851800</v>
      </c>
      <c r="E17" s="187">
        <f t="shared" si="1"/>
        <v>0</v>
      </c>
      <c r="F17" s="187">
        <f t="shared" si="1"/>
        <v>38200000</v>
      </c>
      <c r="G17" s="187">
        <f t="shared" si="1"/>
        <v>164000000</v>
      </c>
      <c r="H17" s="187">
        <f t="shared" si="1"/>
        <v>167500000</v>
      </c>
      <c r="I17" s="188">
        <f t="shared" si="1"/>
        <v>0</v>
      </c>
      <c r="J17" s="189">
        <f>SUM(D17:I17)</f>
        <v>2001551800</v>
      </c>
      <c r="K17" s="190">
        <f>SUM(K7:K16)</f>
        <v>608293400</v>
      </c>
      <c r="L17" s="190">
        <f t="shared" si="1"/>
        <v>0</v>
      </c>
      <c r="M17" s="191">
        <f t="shared" si="1"/>
        <v>200155180</v>
      </c>
      <c r="N17" s="192">
        <f>SUM(N7:N14)</f>
        <v>2810000380</v>
      </c>
      <c r="O17" s="193"/>
      <c r="P17" s="57">
        <f>SUM(P7:P16)</f>
        <v>2201706980</v>
      </c>
    </row>
    <row r="18" spans="1:16" s="206" customFormat="1" ht="18.75" customHeight="1" x14ac:dyDescent="0.4">
      <c r="A18" s="194"/>
      <c r="B18" s="195"/>
      <c r="C18" s="196"/>
      <c r="D18" s="197">
        <f t="shared" ref="D18:N18" si="2">IF(D17=0,"",D17/$N17)</f>
        <v>0.5807300994030471</v>
      </c>
      <c r="E18" s="198" t="str">
        <f t="shared" si="2"/>
        <v/>
      </c>
      <c r="F18" s="198">
        <f t="shared" si="2"/>
        <v>1.3594304211446405E-2</v>
      </c>
      <c r="G18" s="198">
        <f t="shared" si="2"/>
        <v>5.836298143134059E-2</v>
      </c>
      <c r="H18" s="198">
        <f t="shared" si="2"/>
        <v>5.9608532864326519E-2</v>
      </c>
      <c r="I18" s="199" t="str">
        <f t="shared" si="2"/>
        <v/>
      </c>
      <c r="J18" s="200">
        <f t="shared" si="2"/>
        <v>0.71229591791016056</v>
      </c>
      <c r="K18" s="201">
        <f t="shared" si="2"/>
        <v>0.21647449029882337</v>
      </c>
      <c r="L18" s="202" t="str">
        <f t="shared" si="2"/>
        <v/>
      </c>
      <c r="M18" s="203">
        <f t="shared" si="2"/>
        <v>7.1229591791016053E-2</v>
      </c>
      <c r="N18" s="204">
        <f t="shared" si="2"/>
        <v>1</v>
      </c>
      <c r="O18" s="205"/>
    </row>
    <row r="19" spans="1:16" ht="28.5" customHeight="1" x14ac:dyDescent="0.4">
      <c r="A19" s="1" t="s">
        <v>137</v>
      </c>
      <c r="H19" s="62"/>
      <c r="I19" s="62"/>
      <c r="J19" s="62"/>
      <c r="K19" s="62"/>
      <c r="L19" s="62"/>
    </row>
    <row r="20" spans="1:16" ht="17.25" customHeight="1" x14ac:dyDescent="0.4">
      <c r="H20" s="63"/>
      <c r="I20" s="63"/>
      <c r="J20" s="63"/>
      <c r="K20" s="63"/>
      <c r="L20" s="63"/>
      <c r="M20" s="207"/>
      <c r="N20" s="208" t="str">
        <f>IF('원가항목별(집계)'!I42='단위공사별(집계)'!N17,"","DATA오류입니다!")</f>
        <v/>
      </c>
    </row>
    <row r="21" spans="1:16" ht="17.25" customHeight="1" x14ac:dyDescent="0.4">
      <c r="H21" s="209"/>
      <c r="I21" s="209"/>
      <c r="J21" s="209"/>
      <c r="K21" s="209"/>
      <c r="L21" s="209"/>
      <c r="N21" s="209"/>
    </row>
    <row r="22" spans="1:16" ht="17.25" customHeight="1" x14ac:dyDescent="0.4">
      <c r="H22" s="57">
        <f>SUM(G17:H17)</f>
        <v>331500000</v>
      </c>
      <c r="I22" s="57"/>
      <c r="J22" s="63">
        <f>SUM(J17,M17)</f>
        <v>2201706980</v>
      </c>
      <c r="L22" s="57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2026-07-07T13:18:18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손철호 책임매니저 통합구매팀 son@hyundai-wia.com 2026-07-07T13:18:18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갑지</vt:lpstr>
      <vt:lpstr>원가항목별(집계)</vt:lpstr>
      <vt:lpstr>단위공사별(집계)</vt:lpstr>
      <vt:lpstr>Sheet1</vt:lpstr>
      <vt:lpstr>갑지!Print_Area</vt:lpstr>
      <vt:lpstr>'단위공사별(집계)'!Print_Area</vt:lpstr>
      <vt:lpstr>'원가항목별(집계)'!Print_Area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손철호 책임매니저 통합구매팀</cp:lastModifiedBy>
  <dcterms:created xsi:type="dcterms:W3CDTF">2015-06-05T18:17:20Z</dcterms:created>
  <dcterms:modified xsi:type="dcterms:W3CDTF">2026-07-07T04:18:20Z</dcterms:modified>
</cp:coreProperties>
</file>