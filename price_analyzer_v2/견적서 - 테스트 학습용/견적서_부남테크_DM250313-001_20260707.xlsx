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A\Desktop\260707 러닝랩 신규과제\견적서\"/>
    </mc:Choice>
  </mc:AlternateContent>
  <xr:revisionPtr revIDLastSave="0" documentId="8_{5F43EF0F-C9FE-456A-B796-42EDD4949A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갑지" sheetId="2" r:id="rId1"/>
    <sheet name="원가항목별(집계)" sheetId="3" r:id="rId2"/>
    <sheet name="단위공사별(집계)" sheetId="4" r:id="rId3"/>
    <sheet name="공사(라인)1" sheetId="5" r:id="rId4"/>
    <sheet name="공사(라인)2" sheetId="6" r:id="rId5"/>
    <sheet name="공사(라인)3" sheetId="7" r:id="rId6"/>
    <sheet name="공사(라인)4" sheetId="8" r:id="rId7"/>
    <sheet name="공사(라인)5" sheetId="9" r:id="rId8"/>
    <sheet name="공사(라인)6" sheetId="10" r:id="rId9"/>
    <sheet name="공사(라인)7" sheetId="11" r:id="rId10"/>
    <sheet name="공사(라인)8" sheetId="12" r:id="rId11"/>
    <sheet name="공사(라인)9" sheetId="13" r:id="rId12"/>
    <sheet name="공사(라인)10" sheetId="14" r:id="rId13"/>
    <sheet name="첨부(견적조건차이내역)" sheetId="15" r:id="rId14"/>
    <sheet name="Sheet1" sheetId="1" r:id="rId15"/>
  </sheets>
  <definedNames>
    <definedName name="_xlnm._FilterDatabase" localSheetId="3" hidden="1">'공사(라인)1'!$A$2:$J$101</definedName>
    <definedName name="_xlnm._FilterDatabase" localSheetId="12" hidden="1">'공사(라인)10'!$A$2:$J$87</definedName>
    <definedName name="_xlnm._FilterDatabase" localSheetId="4" hidden="1">'공사(라인)2'!$A$2:$J$87</definedName>
    <definedName name="_xlnm._FilterDatabase" localSheetId="5" hidden="1">'공사(라인)3'!$A$2:$J$87</definedName>
    <definedName name="_xlnm._FilterDatabase" localSheetId="6" hidden="1">'공사(라인)4'!$A$2:$J$87</definedName>
    <definedName name="_xlnm._FilterDatabase" localSheetId="7" hidden="1">'공사(라인)5'!$A$2:$J$87</definedName>
    <definedName name="_xlnm._FilterDatabase" localSheetId="8" hidden="1">'공사(라인)6'!$A$2:$J$87</definedName>
    <definedName name="_xlnm._FilterDatabase" localSheetId="9" hidden="1">'공사(라인)7'!$A$2:$J$87</definedName>
    <definedName name="_xlnm._FilterDatabase" localSheetId="10" hidden="1">'공사(라인)8'!$A$2:$J$87</definedName>
    <definedName name="_xlnm._FilterDatabase" localSheetId="11" hidden="1">'공사(라인)9'!$A$2:$J$87</definedName>
    <definedName name="_xlnm.Print_Area" localSheetId="0">갑지!$B:$I</definedName>
    <definedName name="_xlnm.Print_Area" localSheetId="3">'공사(라인)1'!$A$1:$J$101</definedName>
    <definedName name="_xlnm.Print_Area" localSheetId="12">'공사(라인)10'!$A$1:$J$87</definedName>
    <definedName name="_xlnm.Print_Area" localSheetId="4">'공사(라인)2'!$A$1:$J$87</definedName>
    <definedName name="_xlnm.Print_Area" localSheetId="5">'공사(라인)3'!$A$1:$J$87</definedName>
    <definedName name="_xlnm.Print_Area" localSheetId="6">'공사(라인)4'!$A$1:$J$87</definedName>
    <definedName name="_xlnm.Print_Area" localSheetId="7">'공사(라인)5'!$A$1:$J$87</definedName>
    <definedName name="_xlnm.Print_Area" localSheetId="8">'공사(라인)6'!$A$1:$J$87</definedName>
    <definedName name="_xlnm.Print_Area" localSheetId="9">'공사(라인)7'!$A$1:$J$87</definedName>
    <definedName name="_xlnm.Print_Area" localSheetId="10">'공사(라인)8'!$A$1:$J$87</definedName>
    <definedName name="_xlnm.Print_Area" localSheetId="11">'공사(라인)9'!$A$1:$J$87</definedName>
    <definedName name="_xlnm.Print_Area" localSheetId="2">'단위공사별(집계)'!$A$1:$Q$20</definedName>
    <definedName name="_xlnm.Print_Area" localSheetId="1">'원가항목별(집계)'!$A$1:$J$24</definedName>
    <definedName name="_xlnm.Print_Area" localSheetId="13">'첨부(견적조건차이내역)'!$A$1:$D$36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4" l="1"/>
  <c r="I80" i="14"/>
  <c r="I82" i="14" s="1"/>
  <c r="I77" i="14"/>
  <c r="I76" i="14"/>
  <c r="I75" i="14"/>
  <c r="I74" i="14"/>
  <c r="I73" i="14"/>
  <c r="I72" i="14"/>
  <c r="I71" i="14"/>
  <c r="I70" i="14"/>
  <c r="I69" i="14"/>
  <c r="I68" i="14"/>
  <c r="I67" i="14"/>
  <c r="I78" i="14" s="1"/>
  <c r="J16" i="4" s="1"/>
  <c r="I65" i="14"/>
  <c r="I64" i="14"/>
  <c r="I63" i="14"/>
  <c r="I62" i="14"/>
  <c r="I66" i="14" s="1"/>
  <c r="I16" i="4" s="1"/>
  <c r="I60" i="14"/>
  <c r="I59" i="14"/>
  <c r="I58" i="14"/>
  <c r="I57" i="14"/>
  <c r="I56" i="14"/>
  <c r="I55" i="14"/>
  <c r="I54" i="14"/>
  <c r="I53" i="14"/>
  <c r="I52" i="14"/>
  <c r="I51" i="14"/>
  <c r="I61" i="14" s="1"/>
  <c r="H16" i="4" s="1"/>
  <c r="I50" i="14"/>
  <c r="I49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48" i="14" s="1"/>
  <c r="I11" i="14"/>
  <c r="F16" i="4" s="1"/>
  <c r="I10" i="14"/>
  <c r="I9" i="14"/>
  <c r="I7" i="14"/>
  <c r="I6" i="14"/>
  <c r="I8" i="14" s="1"/>
  <c r="E16" i="4" s="1"/>
  <c r="I5" i="14"/>
  <c r="I3" i="14"/>
  <c r="I81" i="13"/>
  <c r="I82" i="13" s="1"/>
  <c r="I80" i="13"/>
  <c r="I77" i="13"/>
  <c r="I76" i="13"/>
  <c r="I75" i="13"/>
  <c r="I74" i="13"/>
  <c r="I73" i="13"/>
  <c r="I72" i="13"/>
  <c r="I71" i="13"/>
  <c r="I70" i="13"/>
  <c r="I78" i="13" s="1"/>
  <c r="J15" i="4" s="1"/>
  <c r="I69" i="13"/>
  <c r="I68" i="13"/>
  <c r="I67" i="13"/>
  <c r="I65" i="13"/>
  <c r="I64" i="13"/>
  <c r="I63" i="13"/>
  <c r="I62" i="13"/>
  <c r="I66" i="13" s="1"/>
  <c r="I15" i="4" s="1"/>
  <c r="I60" i="13"/>
  <c r="I59" i="13"/>
  <c r="I58" i="13"/>
  <c r="I57" i="13"/>
  <c r="I56" i="13"/>
  <c r="I55" i="13"/>
  <c r="I54" i="13"/>
  <c r="I53" i="13"/>
  <c r="I52" i="13"/>
  <c r="I51" i="13"/>
  <c r="I50" i="13"/>
  <c r="I49" i="13"/>
  <c r="I61" i="13" s="1"/>
  <c r="H15" i="4" s="1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48" i="13" s="1"/>
  <c r="I11" i="13"/>
  <c r="F15" i="4" s="1"/>
  <c r="I10" i="13"/>
  <c r="I9" i="13"/>
  <c r="I7" i="13"/>
  <c r="I6" i="13"/>
  <c r="I8" i="13" s="1"/>
  <c r="E15" i="4" s="1"/>
  <c r="I5" i="13"/>
  <c r="I3" i="13"/>
  <c r="I81" i="12"/>
  <c r="I82" i="12" s="1"/>
  <c r="I80" i="12"/>
  <c r="I77" i="12"/>
  <c r="I76" i="12"/>
  <c r="I75" i="12"/>
  <c r="I74" i="12"/>
  <c r="I73" i="12"/>
  <c r="I72" i="12"/>
  <c r="I71" i="12"/>
  <c r="I70" i="12"/>
  <c r="I69" i="12"/>
  <c r="I68" i="12"/>
  <c r="I67" i="12"/>
  <c r="I78" i="12" s="1"/>
  <c r="J14" i="4" s="1"/>
  <c r="I65" i="12"/>
  <c r="I64" i="12"/>
  <c r="I63" i="12"/>
  <c r="I62" i="12"/>
  <c r="I66" i="12" s="1"/>
  <c r="I14" i="4" s="1"/>
  <c r="I60" i="12"/>
  <c r="I59" i="12"/>
  <c r="I58" i="12"/>
  <c r="I57" i="12"/>
  <c r="I56" i="12"/>
  <c r="I55" i="12"/>
  <c r="I54" i="12"/>
  <c r="I53" i="12"/>
  <c r="I52" i="12"/>
  <c r="I51" i="12"/>
  <c r="I50" i="12"/>
  <c r="I49" i="12"/>
  <c r="I61" i="12" s="1"/>
  <c r="H14" i="4" s="1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48" i="12" s="1"/>
  <c r="I11" i="12"/>
  <c r="I12" i="12" s="1"/>
  <c r="I10" i="12"/>
  <c r="I9" i="12"/>
  <c r="I7" i="12"/>
  <c r="I6" i="12"/>
  <c r="I8" i="12" s="1"/>
  <c r="E14" i="4" s="1"/>
  <c r="I5" i="12"/>
  <c r="I3" i="12"/>
  <c r="I81" i="11"/>
  <c r="I82" i="11" s="1"/>
  <c r="I80" i="11"/>
  <c r="I77" i="11"/>
  <c r="I76" i="11"/>
  <c r="I75" i="11"/>
  <c r="I74" i="11"/>
  <c r="I73" i="11"/>
  <c r="I72" i="11"/>
  <c r="I71" i="11"/>
  <c r="I70" i="11"/>
  <c r="I69" i="11"/>
  <c r="I68" i="11"/>
  <c r="I67" i="11"/>
  <c r="I78" i="11" s="1"/>
  <c r="J13" i="4" s="1"/>
  <c r="I65" i="11"/>
  <c r="I64" i="11"/>
  <c r="I63" i="11"/>
  <c r="I62" i="11"/>
  <c r="I66" i="11" s="1"/>
  <c r="I13" i="4" s="1"/>
  <c r="I60" i="11"/>
  <c r="I59" i="11"/>
  <c r="I58" i="11"/>
  <c r="I57" i="11"/>
  <c r="I56" i="11"/>
  <c r="I55" i="11"/>
  <c r="I54" i="11"/>
  <c r="I53" i="11"/>
  <c r="I52" i="11"/>
  <c r="I51" i="11"/>
  <c r="I50" i="11"/>
  <c r="I49" i="11"/>
  <c r="I61" i="11" s="1"/>
  <c r="H13" i="4" s="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48" i="11" s="1"/>
  <c r="I11" i="11"/>
  <c r="I12" i="11" s="1"/>
  <c r="I10" i="11"/>
  <c r="I9" i="11"/>
  <c r="I7" i="11"/>
  <c r="I6" i="11"/>
  <c r="I8" i="11" s="1"/>
  <c r="E13" i="4" s="1"/>
  <c r="I5" i="11"/>
  <c r="I3" i="11"/>
  <c r="I81" i="10"/>
  <c r="I82" i="10" s="1"/>
  <c r="I80" i="10"/>
  <c r="I77" i="10"/>
  <c r="I76" i="10"/>
  <c r="I75" i="10"/>
  <c r="I74" i="10"/>
  <c r="I73" i="10"/>
  <c r="I72" i="10"/>
  <c r="I71" i="10"/>
  <c r="I70" i="10"/>
  <c r="I69" i="10"/>
  <c r="I68" i="10"/>
  <c r="I67" i="10"/>
  <c r="I78" i="10" s="1"/>
  <c r="J12" i="4" s="1"/>
  <c r="I65" i="10"/>
  <c r="I64" i="10"/>
  <c r="I63" i="10"/>
  <c r="I62" i="10"/>
  <c r="I66" i="10" s="1"/>
  <c r="I12" i="4" s="1"/>
  <c r="I60" i="10"/>
  <c r="I59" i="10"/>
  <c r="I58" i="10"/>
  <c r="I57" i="10"/>
  <c r="I56" i="10"/>
  <c r="I55" i="10"/>
  <c r="I54" i="10"/>
  <c r="I53" i="10"/>
  <c r="I52" i="10"/>
  <c r="I51" i="10"/>
  <c r="I50" i="10"/>
  <c r="I49" i="10"/>
  <c r="I61" i="10" s="1"/>
  <c r="H12" i="4" s="1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48" i="10" s="1"/>
  <c r="I11" i="10"/>
  <c r="F12" i="4" s="1"/>
  <c r="I10" i="10"/>
  <c r="I9" i="10"/>
  <c r="I7" i="10"/>
  <c r="I6" i="10"/>
  <c r="I8" i="10" s="1"/>
  <c r="E12" i="4" s="1"/>
  <c r="I5" i="10"/>
  <c r="I3" i="10"/>
  <c r="I81" i="9"/>
  <c r="I82" i="9" s="1"/>
  <c r="I80" i="9"/>
  <c r="I77" i="9"/>
  <c r="I76" i="9"/>
  <c r="I75" i="9"/>
  <c r="I74" i="9"/>
  <c r="I73" i="9"/>
  <c r="I72" i="9"/>
  <c r="I71" i="9"/>
  <c r="I70" i="9"/>
  <c r="I69" i="9"/>
  <c r="I68" i="9"/>
  <c r="I67" i="9"/>
  <c r="I78" i="9" s="1"/>
  <c r="J11" i="4" s="1"/>
  <c r="I65" i="9"/>
  <c r="I64" i="9"/>
  <c r="I63" i="9"/>
  <c r="I62" i="9"/>
  <c r="I66" i="9" s="1"/>
  <c r="I11" i="4" s="1"/>
  <c r="I60" i="9"/>
  <c r="I59" i="9"/>
  <c r="I58" i="9"/>
  <c r="I57" i="9"/>
  <c r="I56" i="9"/>
  <c r="I55" i="9"/>
  <c r="I54" i="9"/>
  <c r="I53" i="9"/>
  <c r="I52" i="9"/>
  <c r="I51" i="9"/>
  <c r="I50" i="9"/>
  <c r="I49" i="9"/>
  <c r="I61" i="9" s="1"/>
  <c r="H11" i="4" s="1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Q92" i="9" s="1"/>
  <c r="P92" i="9" s="1"/>
  <c r="I18" i="9"/>
  <c r="I17" i="9"/>
  <c r="I16" i="9"/>
  <c r="I15" i="9"/>
  <c r="I14" i="9"/>
  <c r="I13" i="9"/>
  <c r="I48" i="9" s="1"/>
  <c r="I11" i="9"/>
  <c r="F11" i="4" s="1"/>
  <c r="I10" i="9"/>
  <c r="I9" i="9"/>
  <c r="I7" i="9"/>
  <c r="I6" i="9"/>
  <c r="I8" i="9" s="1"/>
  <c r="E11" i="4" s="1"/>
  <c r="I5" i="9"/>
  <c r="I3" i="9"/>
  <c r="I81" i="8"/>
  <c r="I82" i="8" s="1"/>
  <c r="I80" i="8"/>
  <c r="I77" i="8"/>
  <c r="I76" i="8"/>
  <c r="I75" i="8"/>
  <c r="I74" i="8"/>
  <c r="I73" i="8"/>
  <c r="I72" i="8"/>
  <c r="I71" i="8"/>
  <c r="I70" i="8"/>
  <c r="I69" i="8"/>
  <c r="I68" i="8"/>
  <c r="I67" i="8"/>
  <c r="I78" i="8" s="1"/>
  <c r="J10" i="4" s="1"/>
  <c r="I65" i="8"/>
  <c r="I64" i="8"/>
  <c r="I63" i="8"/>
  <c r="I62" i="8"/>
  <c r="I66" i="8" s="1"/>
  <c r="I10" i="4" s="1"/>
  <c r="I60" i="8"/>
  <c r="I59" i="8"/>
  <c r="I58" i="8"/>
  <c r="I57" i="8"/>
  <c r="I56" i="8"/>
  <c r="I55" i="8"/>
  <c r="I54" i="8"/>
  <c r="I53" i="8"/>
  <c r="I52" i="8"/>
  <c r="I51" i="8"/>
  <c r="I50" i="8"/>
  <c r="I49" i="8"/>
  <c r="I61" i="8" s="1"/>
  <c r="H10" i="4" s="1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48" i="8" s="1"/>
  <c r="I11" i="8"/>
  <c r="F10" i="4" s="1"/>
  <c r="I10" i="8"/>
  <c r="I9" i="8"/>
  <c r="I7" i="8"/>
  <c r="I6" i="8"/>
  <c r="I8" i="8" s="1"/>
  <c r="E10" i="4" s="1"/>
  <c r="I5" i="8"/>
  <c r="I3" i="8"/>
  <c r="I81" i="7"/>
  <c r="I82" i="7" s="1"/>
  <c r="I80" i="7"/>
  <c r="I77" i="7"/>
  <c r="I76" i="7"/>
  <c r="I75" i="7"/>
  <c r="I74" i="7"/>
  <c r="I73" i="7"/>
  <c r="I72" i="7"/>
  <c r="I71" i="7"/>
  <c r="I70" i="7"/>
  <c r="I69" i="7"/>
  <c r="I68" i="7"/>
  <c r="I67" i="7"/>
  <c r="I78" i="7" s="1"/>
  <c r="J9" i="4" s="1"/>
  <c r="I65" i="7"/>
  <c r="I64" i="7"/>
  <c r="I63" i="7"/>
  <c r="I62" i="7"/>
  <c r="I66" i="7" s="1"/>
  <c r="I9" i="4" s="1"/>
  <c r="I60" i="7"/>
  <c r="I59" i="7"/>
  <c r="I58" i="7"/>
  <c r="I57" i="7"/>
  <c r="I56" i="7"/>
  <c r="I55" i="7"/>
  <c r="I54" i="7"/>
  <c r="I53" i="7"/>
  <c r="I52" i="7"/>
  <c r="I51" i="7"/>
  <c r="I50" i="7"/>
  <c r="I49" i="7"/>
  <c r="I61" i="7" s="1"/>
  <c r="H9" i="4" s="1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48" i="7" s="1"/>
  <c r="I11" i="7"/>
  <c r="F9" i="4" s="1"/>
  <c r="I10" i="7"/>
  <c r="I9" i="7"/>
  <c r="I7" i="7"/>
  <c r="I6" i="7"/>
  <c r="I8" i="7" s="1"/>
  <c r="E9" i="4" s="1"/>
  <c r="I5" i="7"/>
  <c r="I3" i="7"/>
  <c r="I81" i="6"/>
  <c r="I82" i="6" s="1"/>
  <c r="I80" i="6"/>
  <c r="I77" i="6"/>
  <c r="I76" i="6"/>
  <c r="I75" i="6"/>
  <c r="I74" i="6"/>
  <c r="I73" i="6"/>
  <c r="I72" i="6"/>
  <c r="I71" i="6"/>
  <c r="I70" i="6"/>
  <c r="I69" i="6"/>
  <c r="I68" i="6"/>
  <c r="I67" i="6"/>
  <c r="I78" i="6" s="1"/>
  <c r="J8" i="4" s="1"/>
  <c r="I65" i="6"/>
  <c r="I64" i="6"/>
  <c r="I63" i="6"/>
  <c r="I62" i="6"/>
  <c r="I66" i="6" s="1"/>
  <c r="I8" i="4" s="1"/>
  <c r="I60" i="6"/>
  <c r="I59" i="6"/>
  <c r="I58" i="6"/>
  <c r="I57" i="6"/>
  <c r="I56" i="6"/>
  <c r="I55" i="6"/>
  <c r="I54" i="6"/>
  <c r="I53" i="6"/>
  <c r="I52" i="6"/>
  <c r="I51" i="6"/>
  <c r="I50" i="6"/>
  <c r="I49" i="6"/>
  <c r="I61" i="6" s="1"/>
  <c r="H8" i="4" s="1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48" i="6" s="1"/>
  <c r="I11" i="6"/>
  <c r="F8" i="4" s="1"/>
  <c r="I10" i="6"/>
  <c r="I9" i="6"/>
  <c r="I7" i="6"/>
  <c r="I6" i="6"/>
  <c r="I8" i="6" s="1"/>
  <c r="E8" i="4" s="1"/>
  <c r="I5" i="6"/>
  <c r="I3" i="6"/>
  <c r="I96" i="5"/>
  <c r="K7" i="4" s="1"/>
  <c r="I95" i="5"/>
  <c r="I94" i="5"/>
  <c r="I93" i="5"/>
  <c r="I92" i="5"/>
  <c r="I91" i="5"/>
  <c r="I88" i="5"/>
  <c r="I87" i="5"/>
  <c r="I86" i="5"/>
  <c r="I85" i="5"/>
  <c r="I84" i="5"/>
  <c r="I83" i="5"/>
  <c r="I82" i="5"/>
  <c r="I81" i="5"/>
  <c r="I80" i="5"/>
  <c r="I79" i="5"/>
  <c r="I78" i="5"/>
  <c r="I89" i="5" s="1"/>
  <c r="J7" i="4" s="1"/>
  <c r="I76" i="5"/>
  <c r="I75" i="5"/>
  <c r="I74" i="5"/>
  <c r="I73" i="5"/>
  <c r="I77" i="5" s="1"/>
  <c r="I7" i="4" s="1"/>
  <c r="I72" i="5"/>
  <c r="H7" i="4" s="1"/>
  <c r="I71" i="5"/>
  <c r="I70" i="5"/>
  <c r="I69" i="5"/>
  <c r="I68" i="5"/>
  <c r="I67" i="5"/>
  <c r="I66" i="5"/>
  <c r="I65" i="5"/>
  <c r="I64" i="5"/>
  <c r="I63" i="5"/>
  <c r="I62" i="5"/>
  <c r="I61" i="5"/>
  <c r="I60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59" i="5" s="1"/>
  <c r="I34" i="5"/>
  <c r="I33" i="5"/>
  <c r="I30" i="5"/>
  <c r="I31" i="5" s="1"/>
  <c r="I29" i="5"/>
  <c r="I27" i="5"/>
  <c r="I28" i="5" s="1"/>
  <c r="E7" i="4" s="1"/>
  <c r="I26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5" i="5" s="1"/>
  <c r="D7" i="4" s="1"/>
  <c r="D16" i="4"/>
  <c r="B16" i="4"/>
  <c r="A16" i="4" s="1"/>
  <c r="D15" i="4"/>
  <c r="B15" i="4"/>
  <c r="A15" i="4"/>
  <c r="F14" i="4"/>
  <c r="D14" i="4"/>
  <c r="B14" i="4"/>
  <c r="A14" i="4"/>
  <c r="D13" i="4"/>
  <c r="B13" i="4"/>
  <c r="A13" i="4" s="1"/>
  <c r="D12" i="4"/>
  <c r="B12" i="4"/>
  <c r="A12" i="4" s="1"/>
  <c r="D11" i="4"/>
  <c r="B11" i="4"/>
  <c r="A11" i="4" s="1"/>
  <c r="D10" i="4"/>
  <c r="B10" i="4"/>
  <c r="A10" i="4"/>
  <c r="D9" i="4"/>
  <c r="B9" i="4"/>
  <c r="A9" i="4" s="1"/>
  <c r="D8" i="4"/>
  <c r="B8" i="4"/>
  <c r="A8" i="4" s="1"/>
  <c r="M7" i="4"/>
  <c r="B7" i="4"/>
  <c r="A7" i="4"/>
  <c r="K44" i="2"/>
  <c r="C26" i="2"/>
  <c r="C25" i="2"/>
  <c r="C24" i="2"/>
  <c r="C23" i="2"/>
  <c r="C22" i="2"/>
  <c r="C21" i="2"/>
  <c r="C20" i="2"/>
  <c r="C19" i="2"/>
  <c r="C18" i="2"/>
  <c r="C17" i="2"/>
  <c r="D5" i="2"/>
  <c r="Q106" i="5" l="1"/>
  <c r="P106" i="5" s="1"/>
  <c r="G7" i="4"/>
  <c r="I90" i="5"/>
  <c r="G9" i="4"/>
  <c r="L9" i="4" s="1"/>
  <c r="I79" i="7"/>
  <c r="Q92" i="7"/>
  <c r="P92" i="7" s="1"/>
  <c r="L12" i="4"/>
  <c r="J17" i="4"/>
  <c r="G8" i="4"/>
  <c r="I79" i="6"/>
  <c r="K15" i="4"/>
  <c r="I83" i="13"/>
  <c r="Q92" i="14"/>
  <c r="P92" i="14" s="1"/>
  <c r="G16" i="4"/>
  <c r="L16" i="4" s="1"/>
  <c r="I79" i="14"/>
  <c r="E17" i="4"/>
  <c r="H17" i="4"/>
  <c r="K12" i="4"/>
  <c r="I83" i="10"/>
  <c r="Q92" i="11"/>
  <c r="P92" i="11" s="1"/>
  <c r="I79" i="11"/>
  <c r="Q91" i="11" s="1"/>
  <c r="P91" i="11" s="1"/>
  <c r="I84" i="11" s="1"/>
  <c r="G13" i="4"/>
  <c r="K14" i="4"/>
  <c r="L14" i="4" s="1"/>
  <c r="I83" i="12"/>
  <c r="I79" i="12"/>
  <c r="G14" i="4"/>
  <c r="Q92" i="12"/>
  <c r="P92" i="12" s="1"/>
  <c r="D17" i="4"/>
  <c r="F7" i="4"/>
  <c r="L7" i="4" s="1"/>
  <c r="I32" i="5"/>
  <c r="I17" i="4"/>
  <c r="Q92" i="8"/>
  <c r="P92" i="8" s="1"/>
  <c r="I83" i="9"/>
  <c r="K11" i="4"/>
  <c r="Q92" i="10"/>
  <c r="P92" i="10" s="1"/>
  <c r="G12" i="4"/>
  <c r="I79" i="10"/>
  <c r="I83" i="8"/>
  <c r="K10" i="4"/>
  <c r="I79" i="9"/>
  <c r="G11" i="4"/>
  <c r="I79" i="13"/>
  <c r="Q92" i="13"/>
  <c r="P92" i="13" s="1"/>
  <c r="G15" i="4"/>
  <c r="L15" i="4" s="1"/>
  <c r="I83" i="11"/>
  <c r="K13" i="4"/>
  <c r="L11" i="4"/>
  <c r="Q92" i="6"/>
  <c r="P92" i="6" s="1"/>
  <c r="I83" i="7"/>
  <c r="K9" i="4"/>
  <c r="K17" i="4" s="1"/>
  <c r="G10" i="4"/>
  <c r="L10" i="4" s="1"/>
  <c r="I79" i="8"/>
  <c r="K16" i="4"/>
  <c r="I83" i="14"/>
  <c r="L8" i="4"/>
  <c r="I83" i="6"/>
  <c r="K8" i="4"/>
  <c r="F13" i="4"/>
  <c r="L13" i="4" s="1"/>
  <c r="I97" i="5"/>
  <c r="I12" i="6"/>
  <c r="I12" i="7"/>
  <c r="I12" i="8"/>
  <c r="I12" i="9"/>
  <c r="I12" i="10"/>
  <c r="I12" i="13"/>
  <c r="I12" i="14"/>
  <c r="M13" i="4" l="1"/>
  <c r="L17" i="4"/>
  <c r="H16" i="3"/>
  <c r="I16" i="3" s="1"/>
  <c r="I17" i="3" s="1"/>
  <c r="Q91" i="13"/>
  <c r="P91" i="13" s="1"/>
  <c r="I84" i="13" s="1"/>
  <c r="M15" i="4" s="1"/>
  <c r="P15" i="4" s="1"/>
  <c r="I87" i="13"/>
  <c r="I85" i="13"/>
  <c r="N15" i="4" s="1"/>
  <c r="Q105" i="5"/>
  <c r="P105" i="5" s="1"/>
  <c r="I99" i="5"/>
  <c r="N7" i="4" s="1"/>
  <c r="P7" i="4" s="1"/>
  <c r="H14" i="3"/>
  <c r="I14" i="3" s="1"/>
  <c r="Q91" i="10"/>
  <c r="P91" i="10" s="1"/>
  <c r="I84" i="10" s="1"/>
  <c r="M12" i="4" s="1"/>
  <c r="I85" i="10"/>
  <c r="N12" i="4" s="1"/>
  <c r="Q91" i="8"/>
  <c r="P91" i="8" s="1"/>
  <c r="I84" i="8" s="1"/>
  <c r="M10" i="4" s="1"/>
  <c r="I85" i="8"/>
  <c r="N10" i="4" s="1"/>
  <c r="H12" i="3"/>
  <c r="I12" i="3" s="1"/>
  <c r="I86" i="10"/>
  <c r="O12" i="4" s="1"/>
  <c r="Q91" i="9"/>
  <c r="P91" i="9" s="1"/>
  <c r="I84" i="9" s="1"/>
  <c r="M11" i="4" s="1"/>
  <c r="I85" i="9"/>
  <c r="N11" i="4" s="1"/>
  <c r="Q91" i="7"/>
  <c r="P91" i="7" s="1"/>
  <c r="I84" i="7" s="1"/>
  <c r="M9" i="4" s="1"/>
  <c r="I85" i="7"/>
  <c r="N9" i="4" s="1"/>
  <c r="Q91" i="12"/>
  <c r="P91" i="12" s="1"/>
  <c r="I84" i="12" s="1"/>
  <c r="M14" i="4" s="1"/>
  <c r="H7" i="3"/>
  <c r="I7" i="3" s="1"/>
  <c r="I85" i="12"/>
  <c r="N14" i="4" s="1"/>
  <c r="Q91" i="6"/>
  <c r="P91" i="6" s="1"/>
  <c r="I84" i="6" s="1"/>
  <c r="M8" i="4" s="1"/>
  <c r="I85" i="6"/>
  <c r="N8" i="4" s="1"/>
  <c r="E18" i="4"/>
  <c r="H8" i="3"/>
  <c r="I8" i="3" s="1"/>
  <c r="I100" i="5"/>
  <c r="O7" i="4" s="1"/>
  <c r="Q91" i="14"/>
  <c r="P91" i="14" s="1"/>
  <c r="I84" i="14" s="1"/>
  <c r="M16" i="4" s="1"/>
  <c r="I85" i="14"/>
  <c r="N16" i="4" s="1"/>
  <c r="I86" i="13"/>
  <c r="O15" i="4" s="1"/>
  <c r="H13" i="3"/>
  <c r="I13" i="3" s="1"/>
  <c r="F17" i="4"/>
  <c r="P12" i="4"/>
  <c r="I85" i="11"/>
  <c r="N13" i="4" s="1"/>
  <c r="G17" i="4"/>
  <c r="E17" i="2" l="1"/>
  <c r="H17" i="2"/>
  <c r="G17" i="2"/>
  <c r="P13" i="4"/>
  <c r="E25" i="2"/>
  <c r="H25" i="2"/>
  <c r="G25" i="2"/>
  <c r="I86" i="7"/>
  <c r="H22" i="2"/>
  <c r="E22" i="2"/>
  <c r="G22" i="2"/>
  <c r="F18" i="4"/>
  <c r="H9" i="3"/>
  <c r="I9" i="3" s="1"/>
  <c r="I86" i="9"/>
  <c r="O11" i="4" s="1"/>
  <c r="P11" i="4" s="1"/>
  <c r="I87" i="9"/>
  <c r="I87" i="8"/>
  <c r="I86" i="14"/>
  <c r="I86" i="11"/>
  <c r="O13" i="4" s="1"/>
  <c r="N17" i="4"/>
  <c r="I86" i="6"/>
  <c r="I10" i="3"/>
  <c r="I101" i="5"/>
  <c r="I87" i="11"/>
  <c r="M17" i="4"/>
  <c r="H11" i="3"/>
  <c r="I11" i="3" s="1"/>
  <c r="I15" i="3" s="1"/>
  <c r="I86" i="8"/>
  <c r="O10" i="4" s="1"/>
  <c r="P10" i="4" s="1"/>
  <c r="I86" i="12"/>
  <c r="O14" i="4" s="1"/>
  <c r="P14" i="4" s="1"/>
  <c r="I87" i="10"/>
  <c r="E24" i="2" l="1"/>
  <c r="H24" i="2"/>
  <c r="G24" i="2"/>
  <c r="H20" i="2"/>
  <c r="G20" i="2"/>
  <c r="E20" i="2"/>
  <c r="E21" i="2"/>
  <c r="H21" i="2"/>
  <c r="G21" i="2"/>
  <c r="O9" i="4"/>
  <c r="P9" i="4" s="1"/>
  <c r="I87" i="7"/>
  <c r="H23" i="2"/>
  <c r="G23" i="2"/>
  <c r="E23" i="2"/>
  <c r="I87" i="12"/>
  <c r="O8" i="4"/>
  <c r="I87" i="6"/>
  <c r="N18" i="4"/>
  <c r="I19" i="3"/>
  <c r="M18" i="4"/>
  <c r="I18" i="3"/>
  <c r="C33" i="2" s="1"/>
  <c r="O16" i="4"/>
  <c r="P16" i="4" s="1"/>
  <c r="I87" i="14"/>
  <c r="P8" i="4" l="1"/>
  <c r="O17" i="4"/>
  <c r="H26" i="2"/>
  <c r="G26" i="2"/>
  <c r="E26" i="2"/>
  <c r="E19" i="2"/>
  <c r="H19" i="2"/>
  <c r="G19" i="2"/>
  <c r="I20" i="3" l="1"/>
  <c r="I21" i="3" s="1"/>
  <c r="E18" i="2"/>
  <c r="E27" i="2" s="1"/>
  <c r="H18" i="2"/>
  <c r="H27" i="2" s="1"/>
  <c r="G18" i="2"/>
  <c r="G27" i="2" s="1"/>
  <c r="P17" i="4"/>
  <c r="P18" i="4" l="1"/>
  <c r="I18" i="4"/>
  <c r="H18" i="4"/>
  <c r="K18" i="4"/>
  <c r="D18" i="4"/>
  <c r="J18" i="4"/>
  <c r="G18" i="4"/>
  <c r="L18" i="4"/>
  <c r="G13" i="2"/>
  <c r="D13" i="2"/>
  <c r="P20" i="4"/>
  <c r="O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26EC36B3-5952-4F86-97B4-ECFF8E1318A5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26" authorId="0" shapeId="0" xr:uid="{12EB3364-9729-4909-8FD1-61B4B5B7803D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29" authorId="0" shapeId="0" xr:uid="{2EC70E14-BBBB-4FB7-BA57-59F97FEA16BE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C1329F77-B67B-4D67-B1F5-13EACB0D0D11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5AA011C5-5E48-4B29-990E-1E1147662921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D3336C97-8923-45CB-BC03-0D25305C7FD1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26F67587-BDD9-4E23-95E2-D0A7999BD0C0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4CD9DBC7-F546-45E8-8B56-288CEFDD4C25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3CF41962-2363-4AE7-860F-A4E7F73226AB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89E36C00-D5F2-495A-9FAD-5661F2749819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0F5AF8AC-2841-4B32-BA16-09C5CE6E7D0D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7F490D49-1D39-49C1-9AF2-8E59B4587CFD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0827A606-0146-4498-AA8E-A357A544FB50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B6C3061E-1985-479A-A3D6-3B0D5374BEF7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99351156-693E-4214-8885-CBC2D99B7B56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CA75747B-18E1-4312-AB76-2E1B1C8AAC4F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D8432B4E-7854-4606-99F3-37FB99556375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87D6ED15-5037-4423-BE2B-6DEED67E2F69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EDFB9F32-B113-4F4C-AF86-4A8437C226AF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A47D82A5-C872-47E9-B895-613DADD12A19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5F4AF82B-076E-4F2F-BBB0-1B44868709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6E5325EC-8EDE-467F-98E2-5A32F52D8418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664D853D-CFEF-409D-9967-E812CF89F4ED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39B84FE7-20B7-460B-B9B3-6B8C1E8D0485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C08B152A-8A29-4DE7-AA18-3C23467825D4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BE54E2BA-F630-44D6-ABD2-BE0828CFEB0F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9E23F3D0-2495-42C9-ACFC-27580FCEE6E5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김형석</author>
  </authors>
  <commentList>
    <comment ref="B3" authorId="0" shapeId="0" xr:uid="{0A1B4709-B711-429D-A978-3F944E9EF497}">
      <text>
        <r>
          <rPr>
            <b/>
            <sz val="9"/>
            <color indexed="81"/>
            <rFont val="돋움"/>
            <family val="3"/>
            <charset val="129"/>
          </rPr>
          <t>(관련 항목)
주요구매품 구입비
1. PLC
2. 인버터
3. 비젼
4. 광통신유니트
5. 서보 부품 등
.
.</t>
        </r>
      </text>
    </comment>
    <comment ref="B6" authorId="0" shapeId="0" xr:uid="{4AB8E3CB-EE04-49D4-907D-12874B17CF4F}">
      <text>
        <r>
          <rPr>
            <b/>
            <sz val="9"/>
            <color indexed="81"/>
            <rFont val="돋움"/>
            <family val="3"/>
            <charset val="129"/>
          </rPr>
          <t>(관련 항목)
각 판넬이 조립 완료된 단가
조립인건비 포함 
1. 제어반
2. PC반
3. 동력반
4. 라인 현황판
5. PLC박스
6. 게이트 박스
.</t>
        </r>
      </text>
    </comment>
    <comment ref="B9" authorId="0" shapeId="0" xr:uid="{835F8A30-27F9-43BA-B80A-39FEDA435BAC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자재비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 xml:space="preserve">케이블류
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 xml:space="preserve">통신선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 xml:space="preserve">츄레이
</t>
        </r>
        <r>
          <rPr>
            <b/>
            <sz val="9"/>
            <color indexed="81"/>
            <rFont val="Tahoma"/>
            <family val="2"/>
          </rPr>
          <t xml:space="preserve">4. </t>
        </r>
        <r>
          <rPr>
            <b/>
            <sz val="9"/>
            <color indexed="81"/>
            <rFont val="돋움"/>
            <family val="3"/>
            <charset val="129"/>
          </rPr>
          <t xml:space="preserve">명판
</t>
        </r>
        <r>
          <rPr>
            <b/>
            <sz val="9"/>
            <color indexed="81"/>
            <rFont val="Tahoma"/>
            <family val="2"/>
          </rPr>
          <t>.
.</t>
        </r>
      </text>
    </comment>
  </commentList>
</comments>
</file>

<file path=xl/sharedStrings.xml><?xml version="1.0" encoding="utf-8"?>
<sst xmlns="http://schemas.openxmlformats.org/spreadsheetml/2006/main" count="2819" uniqueCount="282">
  <si>
    <t>(현대/기아차 설비협력업체 견적통일양식)</t>
    <phoneticPr fontId="3" type="noConversion"/>
  </si>
  <si>
    <t xml:space="preserve">見  積  書   </t>
    <phoneticPr fontId="3" type="noConversion"/>
  </si>
  <si>
    <t>현대 위아 貴下</t>
    <phoneticPr fontId="3" type="noConversion"/>
  </si>
  <si>
    <t>㈜부남테크</t>
    <phoneticPr fontId="3" type="noConversion"/>
  </si>
  <si>
    <t>견적일자</t>
    <phoneticPr fontId="3" type="noConversion"/>
  </si>
  <si>
    <t>대표 : 김기효</t>
    <phoneticPr fontId="3" type="noConversion"/>
  </si>
  <si>
    <t>견적번호</t>
    <phoneticPr fontId="3" type="noConversion"/>
  </si>
  <si>
    <t>DM250313-001</t>
    <phoneticPr fontId="3" type="noConversion"/>
  </si>
  <si>
    <t>주소 : 경기도 안산시 상록구 담원안길 25</t>
    <phoneticPr fontId="3" type="noConversion"/>
  </si>
  <si>
    <t>납기</t>
    <phoneticPr fontId="3" type="noConversion"/>
  </si>
  <si>
    <t>입하</t>
    <phoneticPr fontId="3" type="noConversion"/>
  </si>
  <si>
    <t>2025 년   월   일</t>
    <phoneticPr fontId="3" type="noConversion"/>
  </si>
  <si>
    <t>최종검수</t>
    <phoneticPr fontId="3" type="noConversion"/>
  </si>
  <si>
    <t>전화: 031-409-5421</t>
    <phoneticPr fontId="3" type="noConversion"/>
  </si>
  <si>
    <t>견적유효기간</t>
    <phoneticPr fontId="3" type="noConversion"/>
  </si>
  <si>
    <t>제출후 30 일</t>
    <phoneticPr fontId="3" type="noConversion"/>
  </si>
  <si>
    <t>Fax: 031-409-5420</t>
    <phoneticPr fontId="3" type="noConversion"/>
  </si>
  <si>
    <t>인도장소</t>
    <phoneticPr fontId="3" type="noConversion"/>
  </si>
  <si>
    <t>귀사 지정장소</t>
    <phoneticPr fontId="3" type="noConversion"/>
  </si>
  <si>
    <t>견적담당:</t>
  </si>
  <si>
    <t>지정도</t>
    <phoneticPr fontId="3" type="noConversion"/>
  </si>
  <si>
    <t>지불조건</t>
    <phoneticPr fontId="3" type="noConversion"/>
  </si>
  <si>
    <t>협의사항</t>
    <phoneticPr fontId="3" type="noConversion"/>
  </si>
  <si>
    <t>연 락 처 :</t>
  </si>
  <si>
    <t>010-3624-2351</t>
    <phoneticPr fontId="3" type="noConversion"/>
  </si>
  <si>
    <t>견적금액</t>
    <phoneticPr fontId="3" type="noConversion"/>
  </si>
  <si>
    <t>)</t>
    <phoneticPr fontId="3" type="noConversion"/>
  </si>
  <si>
    <t>번호</t>
    <phoneticPr fontId="3" type="noConversion"/>
  </si>
  <si>
    <t>상세품목내역</t>
    <phoneticPr fontId="3" type="noConversion"/>
  </si>
  <si>
    <r>
      <t xml:space="preserve">견적금액 </t>
    </r>
    <r>
      <rPr>
        <sz val="11"/>
        <color theme="1"/>
        <rFont val="맑은 고딕"/>
        <family val="2"/>
        <scheme val="minor"/>
      </rPr>
      <t>(천원)</t>
    </r>
    <phoneticPr fontId="3" type="noConversion"/>
  </si>
  <si>
    <t>비  고</t>
    <phoneticPr fontId="3" type="noConversion"/>
  </si>
  <si>
    <t>설치/시운전</t>
    <phoneticPr fontId="3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</si>
  <si>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</si>
  <si>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r>
      <t xml:space="preserve">합 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rFont val="굴림"/>
        <family val="3"/>
        <charset val="129"/>
      </rPr>
      <t>계</t>
    </r>
    <phoneticPr fontId="3" type="noConversion"/>
  </si>
  <si>
    <r>
      <t>견적 합</t>
    </r>
    <r>
      <rPr>
        <sz val="11"/>
        <rFont val="굴림"/>
        <family val="3"/>
        <charset val="129"/>
      </rPr>
      <t>계</t>
    </r>
    <phoneticPr fontId="3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</si>
  <si>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3" type="noConversion"/>
  </si>
  <si>
    <t>특기사항</t>
    <phoneticPr fontId="3" type="noConversion"/>
  </si>
  <si>
    <t>1. VAT 제외</t>
    <phoneticPr fontId="3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</si>
  <si>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3" type="noConversion"/>
  </si>
  <si>
    <t>2. 기본 유틸리티공사 제외</t>
    <phoneticPr fontId="3" type="noConversion"/>
  </si>
  <si>
    <t>설계외주</t>
    <phoneticPr fontId="3" type="noConversion"/>
  </si>
  <si>
    <t>제작외주</t>
    <phoneticPr fontId="3" type="noConversion"/>
  </si>
  <si>
    <t>공사외주</t>
    <phoneticPr fontId="3" type="noConversion"/>
  </si>
  <si>
    <t>시운전외주</t>
    <phoneticPr fontId="3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</si>
  <si>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</si>
  <si>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3" type="noConversion"/>
  </si>
  <si>
    <t>순번</t>
    <phoneticPr fontId="3" type="noConversion"/>
  </si>
  <si>
    <t>원가구분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</si>
  <si>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</si>
  <si>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</si>
  <si>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</si>
  <si>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r>
      <t>금  액</t>
    </r>
    <r>
      <rPr>
        <sz val="11"/>
        <color theme="1"/>
        <rFont val="맑은 고딕"/>
        <family val="2"/>
        <scheme val="minor"/>
      </rPr>
      <t>(원)</t>
    </r>
    <phoneticPr fontId="3" type="noConversion"/>
  </si>
  <si>
    <r>
      <t xml:space="preserve">비 </t>
    </r>
    <r>
      <rPr>
        <sz val="11"/>
        <color theme="1"/>
        <rFont val="맑은 고딕"/>
        <family val="2"/>
        <scheme val="minor"/>
      </rPr>
      <t xml:space="preserve"> 고</t>
    </r>
    <phoneticPr fontId="3" type="noConversion"/>
  </si>
  <si>
    <t>직접비</t>
    <phoneticPr fontId="3" type="noConversion"/>
  </si>
  <si>
    <t>자재비</t>
    <phoneticPr fontId="3" type="noConversion"/>
  </si>
  <si>
    <t>설치자재비</t>
    <phoneticPr fontId="3" type="noConversion"/>
  </si>
  <si>
    <t>식</t>
    <phoneticPr fontId="3" type="noConversion"/>
  </si>
  <si>
    <t>일반구매품</t>
    <phoneticPr fontId="3" type="noConversion"/>
  </si>
  <si>
    <t>외주제작품</t>
    <phoneticPr fontId="3" type="noConversion"/>
  </si>
  <si>
    <r>
      <t>소</t>
    </r>
    <r>
      <rPr>
        <sz val="11"/>
        <color theme="1"/>
        <rFont val="맑은 고딕"/>
        <family val="2"/>
        <scheme val="minor"/>
      </rPr>
      <t>계</t>
    </r>
    <phoneticPr fontId="3" type="noConversion"/>
  </si>
  <si>
    <t>노무비</t>
    <phoneticPr fontId="3" type="noConversion"/>
  </si>
  <si>
    <t xml:space="preserve">설치  </t>
    <phoneticPr fontId="3" type="noConversion"/>
  </si>
  <si>
    <t>티칭/시운전</t>
    <phoneticPr fontId="3" type="noConversion"/>
  </si>
  <si>
    <t>품확/이벤트/생산대응</t>
    <phoneticPr fontId="3" type="noConversion"/>
  </si>
  <si>
    <t>추가공사 및 기타</t>
  </si>
  <si>
    <t>경비</t>
    <phoneticPr fontId="3" type="noConversion"/>
  </si>
  <si>
    <t>소 계</t>
    <phoneticPr fontId="3" type="noConversion"/>
  </si>
  <si>
    <t>표준안전관리비</t>
  </si>
  <si>
    <t>설치/철거/수리금액 기준</t>
    <phoneticPr fontId="3" type="noConversion"/>
  </si>
  <si>
    <t>일반관리비</t>
    <phoneticPr fontId="3" type="noConversion"/>
  </si>
  <si>
    <r>
      <t xml:space="preserve">이 </t>
    </r>
    <r>
      <rPr>
        <sz val="11"/>
        <color theme="1"/>
        <rFont val="맑은 고딕"/>
        <family val="2"/>
        <scheme val="minor"/>
      </rPr>
      <t xml:space="preserve">        </t>
    </r>
    <r>
      <rPr>
        <sz val="11"/>
        <rFont val="굴림"/>
        <family val="3"/>
        <charset val="129"/>
      </rPr>
      <t>윤</t>
    </r>
    <phoneticPr fontId="3" type="noConversion"/>
  </si>
  <si>
    <r>
      <t xml:space="preserve">합 </t>
    </r>
    <r>
      <rPr>
        <sz val="11"/>
        <color theme="1"/>
        <rFont val="맑은 고딕"/>
        <family val="2"/>
        <scheme val="minor"/>
      </rPr>
      <t xml:space="preserve">        </t>
    </r>
    <r>
      <rPr>
        <sz val="11"/>
        <rFont val="굴림"/>
        <family val="3"/>
        <charset val="129"/>
      </rPr>
      <t>계</t>
    </r>
    <phoneticPr fontId="3" type="noConversion"/>
  </si>
  <si>
    <t>1~4항 합계</t>
    <phoneticPr fontId="3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</si>
  <si>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color theme="1"/>
        <rFont val="맑은 고딕"/>
        <family val="2"/>
        <scheme val="minor"/>
      </rPr>
      <t>(설치/철거/시운전 공사 관련 금액)의</t>
    </r>
    <phoneticPr fontId="3" type="noConversion"/>
  </si>
  <si>
    <t xml:space="preserve">        ⓐ3.15%(5억원미만),ⓑ2.53%+기초액(5억원 이상 ~ 50억원 미만),ⓒ2.60%(50억 이상일경우)</t>
    <phoneticPr fontId="3" type="noConversion"/>
  </si>
  <si>
    <r>
      <t>주2</t>
    </r>
    <r>
      <rPr>
        <sz val="11"/>
        <color theme="1"/>
        <rFont val="맑은 고딕"/>
        <family val="2"/>
        <scheme val="minor"/>
      </rPr>
      <t>. 제작을 전량 외주할경우 자재비중 [외주제작품] 항목은 삭제함</t>
    </r>
    <phoneticPr fontId="3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</si>
  <si>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</si>
  <si>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t>단위:원</t>
    <phoneticPr fontId="3" type="noConversion"/>
  </si>
  <si>
    <t>재료비</t>
    <phoneticPr fontId="3" type="noConversion"/>
  </si>
  <si>
    <t>단위장비명</t>
    <phoneticPr fontId="3" type="noConversion"/>
  </si>
  <si>
    <t>설치</t>
    <phoneticPr fontId="3" type="noConversion"/>
  </si>
  <si>
    <t>추가공사 및 기타</t>
    <phoneticPr fontId="3" type="noConversion"/>
  </si>
  <si>
    <t>소계</t>
    <phoneticPr fontId="3" type="noConversion"/>
  </si>
  <si>
    <t>표준안전관리비</t>
    <phoneticPr fontId="3" type="noConversion"/>
  </si>
  <si>
    <t>이윤</t>
    <phoneticPr fontId="3" type="noConversion"/>
  </si>
  <si>
    <t>합  계</t>
    <phoneticPr fontId="3" type="noConversion"/>
  </si>
  <si>
    <t>1식</t>
    <phoneticPr fontId="3" type="noConversion"/>
  </si>
  <si>
    <t>1식</t>
  </si>
  <si>
    <t>합   계</t>
    <phoneticPr fontId="3" type="noConversion"/>
  </si>
  <si>
    <t xml:space="preserve"> </t>
    <phoneticPr fontId="3" type="noConversion"/>
  </si>
  <si>
    <t>□ 단위공사명:</t>
    <phoneticPr fontId="3" type="noConversion"/>
  </si>
  <si>
    <t>KMX SVM 차종설치 시운전</t>
    <phoneticPr fontId="3" type="noConversion"/>
  </si>
  <si>
    <t>(첨부)</t>
    <phoneticPr fontId="3" type="noConversion"/>
  </si>
  <si>
    <t>구분</t>
    <phoneticPr fontId="3" type="noConversion"/>
  </si>
  <si>
    <t>품  명</t>
    <phoneticPr fontId="3" type="noConversion"/>
  </si>
  <si>
    <t>규격</t>
    <phoneticPr fontId="3" type="noConversion"/>
  </si>
  <si>
    <t>단가(원)</t>
    <phoneticPr fontId="3" type="noConversion"/>
  </si>
  <si>
    <t>금액(원)</t>
    <phoneticPr fontId="3" type="noConversion"/>
  </si>
  <si>
    <t>原MAKER</t>
    <phoneticPr fontId="3" type="noConversion"/>
  </si>
  <si>
    <t>냉각수 호수</t>
    <phoneticPr fontId="26" type="noConversion"/>
  </si>
  <si>
    <t>Coolant Hose</t>
  </si>
  <si>
    <t>19Ø(적색)</t>
    <phoneticPr fontId="26" type="noConversion"/>
  </si>
  <si>
    <t>M</t>
    <phoneticPr fontId="26" type="noConversion"/>
  </si>
  <si>
    <t>야성</t>
    <phoneticPr fontId="26" type="noConversion"/>
  </si>
  <si>
    <t>19Ø(녹색)</t>
    <phoneticPr fontId="26" type="noConversion"/>
  </si>
  <si>
    <t>에어호수</t>
    <phoneticPr fontId="26" type="noConversion"/>
  </si>
  <si>
    <t>12Ø(흑색)</t>
    <phoneticPr fontId="26" type="noConversion"/>
  </si>
  <si>
    <t>CNU</t>
    <phoneticPr fontId="26" type="noConversion"/>
  </si>
  <si>
    <t>16x12(녹색)</t>
    <phoneticPr fontId="26" type="noConversion"/>
  </si>
  <si>
    <t>NITTA</t>
    <phoneticPr fontId="26" type="noConversion"/>
  </si>
  <si>
    <t>12*8(적색)</t>
    <phoneticPr fontId="26" type="noConversion"/>
  </si>
  <si>
    <t>에어 호수</t>
    <phoneticPr fontId="26" type="noConversion"/>
  </si>
  <si>
    <t>U2</t>
    <phoneticPr fontId="26" type="noConversion"/>
  </si>
  <si>
    <t>12*8(흑색)</t>
    <phoneticPr fontId="26" type="noConversion"/>
  </si>
  <si>
    <t>용접케이블 (무빙용)</t>
    <phoneticPr fontId="26" type="noConversion"/>
  </si>
  <si>
    <t>ROEEU</t>
    <phoneticPr fontId="26" type="noConversion"/>
  </si>
  <si>
    <t>1G25(노랑)</t>
    <phoneticPr fontId="26" type="noConversion"/>
  </si>
  <si>
    <t>경신</t>
  </si>
  <si>
    <t>1G25(녹)</t>
    <phoneticPr fontId="26" type="noConversion"/>
  </si>
  <si>
    <t>통신케이블 (고정형)</t>
    <phoneticPr fontId="26" type="noConversion"/>
  </si>
  <si>
    <t>Profibus L2 indoor</t>
    <phoneticPr fontId="26" type="noConversion"/>
  </si>
  <si>
    <t>1X2X0.64</t>
    <phoneticPr fontId="26" type="noConversion"/>
  </si>
  <si>
    <t>HELU</t>
    <phoneticPr fontId="26" type="noConversion"/>
  </si>
  <si>
    <t>통신케이블 (무빙형)</t>
    <phoneticPr fontId="26" type="noConversion"/>
  </si>
  <si>
    <t>Profibus L2 Torsion</t>
    <phoneticPr fontId="26" type="noConversion"/>
  </si>
  <si>
    <t>1X2X0.8</t>
    <phoneticPr fontId="26" type="noConversion"/>
  </si>
  <si>
    <t>신호 케이블 (고정용)</t>
    <phoneticPr fontId="26" type="noConversion"/>
  </si>
  <si>
    <t>PCVV</t>
  </si>
  <si>
    <t>4G 0.75</t>
    <phoneticPr fontId="26" type="noConversion"/>
  </si>
  <si>
    <t>신호 케이블 (무빙용)</t>
    <phoneticPr fontId="26" type="noConversion"/>
  </si>
  <si>
    <t>4G 1</t>
    <phoneticPr fontId="26" type="noConversion"/>
  </si>
  <si>
    <t>경신</t>
    <phoneticPr fontId="26" type="noConversion"/>
  </si>
  <si>
    <t>TC신호 케이블 (고정용)</t>
  </si>
  <si>
    <t>25G 0.75</t>
    <phoneticPr fontId="26" type="noConversion"/>
  </si>
  <si>
    <t>ATE 신호케이블 (고정용)</t>
  </si>
  <si>
    <t>15G 0.75</t>
    <phoneticPr fontId="26" type="noConversion"/>
  </si>
  <si>
    <t>ATD 신호 케이블 (고정용)</t>
  </si>
  <si>
    <t>12G 0.75</t>
    <phoneticPr fontId="26" type="noConversion"/>
  </si>
  <si>
    <t>ATD 전원 케이블 (고정용)</t>
  </si>
  <si>
    <t>4G 2.5</t>
    <phoneticPr fontId="26" type="noConversion"/>
  </si>
  <si>
    <t>용접전압검출케이블 (고정용)</t>
  </si>
  <si>
    <t>PCVV-AMSB</t>
    <phoneticPr fontId="26" type="noConversion"/>
  </si>
  <si>
    <t>7G 1</t>
    <phoneticPr fontId="26" type="noConversion"/>
  </si>
  <si>
    <t>용접전압검출케이블 (무빙용)</t>
  </si>
  <si>
    <t>ROEEU-SB</t>
    <phoneticPr fontId="26" type="noConversion"/>
  </si>
  <si>
    <t>3G 25</t>
    <phoneticPr fontId="26" type="noConversion"/>
  </si>
  <si>
    <t>용접케이블 (고정용)</t>
    <phoneticPr fontId="26" type="noConversion"/>
  </si>
  <si>
    <t xml:space="preserve">H07RNF </t>
    <phoneticPr fontId="3" type="noConversion"/>
  </si>
  <si>
    <t>M</t>
    <phoneticPr fontId="3" type="noConversion"/>
  </si>
  <si>
    <t>기계</t>
  </si>
  <si>
    <t>SET</t>
  </si>
  <si>
    <t>(유공압품 등)</t>
    <phoneticPr fontId="3" type="noConversion"/>
  </si>
  <si>
    <t>SET</t>
    <phoneticPr fontId="3" type="noConversion"/>
  </si>
  <si>
    <t>자재비 소계</t>
    <phoneticPr fontId="3" type="noConversion"/>
  </si>
  <si>
    <t>노
무
비</t>
    <phoneticPr fontId="3" type="noConversion"/>
  </si>
  <si>
    <t>로봇 설치(철거/설치 포함)</t>
    <phoneticPr fontId="28" type="noConversion"/>
  </si>
  <si>
    <t>100kg급 이상</t>
  </si>
  <si>
    <t>중장비 포함</t>
    <phoneticPr fontId="3" type="noConversion"/>
  </si>
  <si>
    <t>30 ~ 100kg급 미만</t>
  </si>
  <si>
    <t>30kg급 미만</t>
  </si>
  <si>
    <t>로봇 설치(가설 미포함)</t>
    <phoneticPr fontId="28" type="noConversion"/>
  </si>
  <si>
    <t>로봇 철거</t>
    <phoneticPr fontId="28" type="noConversion"/>
  </si>
  <si>
    <t>배관/배선(가설 포함)</t>
    <phoneticPr fontId="28" type="noConversion"/>
  </si>
  <si>
    <t>SPOT용접</t>
  </si>
  <si>
    <t>HANDLING/SEALING</t>
  </si>
  <si>
    <t>ARC용접</t>
  </si>
  <si>
    <t>배관/배선(가설 미포함)</t>
    <phoneticPr fontId="28" type="noConversion"/>
  </si>
  <si>
    <t>안전펜스 철거/개조/설치</t>
    <phoneticPr fontId="28" type="noConversion"/>
  </si>
  <si>
    <t>20 M 미만</t>
  </si>
  <si>
    <t>20 ~ 50 M 미만</t>
  </si>
  <si>
    <t>50 M 이상</t>
  </si>
  <si>
    <t>GUN 신작</t>
    <phoneticPr fontId="28" type="noConversion"/>
  </si>
  <si>
    <t>캐리지 설치</t>
    <phoneticPr fontId="28" type="noConversion"/>
  </si>
  <si>
    <t>기계부설치</t>
    <phoneticPr fontId="28" type="noConversion"/>
  </si>
  <si>
    <t>툴 신작 개조</t>
    <phoneticPr fontId="28" type="noConversion"/>
  </si>
  <si>
    <t>설치/배선/배관</t>
    <phoneticPr fontId="28" type="noConversion"/>
  </si>
  <si>
    <t>ATD 철거</t>
    <phoneticPr fontId="28" type="noConversion"/>
  </si>
  <si>
    <t>배선/배관</t>
    <phoneticPr fontId="28" type="noConversion"/>
  </si>
  <si>
    <t>T/C 철거/설치</t>
    <phoneticPr fontId="28" type="noConversion"/>
  </si>
  <si>
    <t>제어반 이설</t>
    <phoneticPr fontId="28" type="noConversion"/>
  </si>
  <si>
    <t xml:space="preserve">축 개조 </t>
    <phoneticPr fontId="28" type="noConversion"/>
  </si>
  <si>
    <t>가와사키 케이블교체</t>
    <phoneticPr fontId="28" type="noConversion"/>
  </si>
  <si>
    <t>롤러 헤밍 베드 철거</t>
    <phoneticPr fontId="28" type="noConversion"/>
  </si>
  <si>
    <t>설치 소계</t>
    <phoneticPr fontId="3" type="noConversion"/>
  </si>
  <si>
    <t>티칭/시운전(외주,가설 미포함)</t>
    <phoneticPr fontId="28" type="noConversion"/>
  </si>
  <si>
    <t>신차 티칭</t>
    <phoneticPr fontId="3" type="noConversion"/>
  </si>
  <si>
    <t>기존차 티칭</t>
    <phoneticPr fontId="3" type="noConversion"/>
  </si>
  <si>
    <t>사이크 타임 개선</t>
    <phoneticPr fontId="3" type="noConversion"/>
  </si>
  <si>
    <t>RACK PALLETIZE</t>
  </si>
  <si>
    <t>롤러헤밍</t>
    <phoneticPr fontId="28" type="noConversion"/>
  </si>
  <si>
    <t>티칭/시운전(외주,CAL,가설 미포함)</t>
  </si>
  <si>
    <t>티칭/시운전(외주,가설 포함)</t>
  </si>
  <si>
    <t>티칭/시운전 소계</t>
    <phoneticPr fontId="3" type="noConversion"/>
  </si>
  <si>
    <t>품확대응(국내)</t>
    <phoneticPr fontId="3" type="noConversion"/>
  </si>
  <si>
    <t>(0명 x 0일)</t>
    <phoneticPr fontId="3" type="noConversion"/>
  </si>
  <si>
    <t>M/D</t>
  </si>
  <si>
    <t>공사대응(해외))</t>
    <phoneticPr fontId="3" type="noConversion"/>
  </si>
  <si>
    <t>스팩터 개선 대응</t>
    <phoneticPr fontId="3" type="noConversion"/>
  </si>
  <si>
    <t>이벤트대응(해외)</t>
    <phoneticPr fontId="3" type="noConversion"/>
  </si>
  <si>
    <t>품확/이벤트/생산대응 소계</t>
    <phoneticPr fontId="3" type="noConversion"/>
  </si>
  <si>
    <t>라인 내 PIPE 공사</t>
  </si>
  <si>
    <t>1차 배관 ASSY, SPOT</t>
  </si>
  <si>
    <t>PIPE ~ ESS</t>
  </si>
  <si>
    <t>1차 배관 ASSY, HAND</t>
  </si>
  <si>
    <t>1차 배선 공사, SPOT</t>
  </si>
  <si>
    <t>공장 ~ 제어반, T/C</t>
  </si>
  <si>
    <t>1차 배선 공사, HAND</t>
    <phoneticPr fontId="28" type="noConversion"/>
  </si>
  <si>
    <t>1차 연결작업</t>
    <phoneticPr fontId="28" type="noConversion"/>
  </si>
  <si>
    <t>1 MD</t>
    <phoneticPr fontId="28" type="noConversion"/>
  </si>
  <si>
    <t>2차 배관</t>
    <phoneticPr fontId="3" type="noConversion"/>
  </si>
  <si>
    <t>취급설명서</t>
    <phoneticPr fontId="3" type="noConversion"/>
  </si>
  <si>
    <t>도면제작</t>
    <phoneticPr fontId="3" type="noConversion"/>
  </si>
  <si>
    <t>중장비대여</t>
    <phoneticPr fontId="3" type="noConversion"/>
  </si>
  <si>
    <t>물류하차/폐기물처리</t>
    <phoneticPr fontId="3" type="noConversion"/>
  </si>
  <si>
    <t>추가공사 및 기타 소계</t>
    <phoneticPr fontId="3" type="noConversion"/>
  </si>
  <si>
    <t>노무비 소계</t>
    <phoneticPr fontId="3" type="noConversion"/>
  </si>
  <si>
    <t>항공료</t>
    <phoneticPr fontId="3" type="noConversion"/>
  </si>
  <si>
    <t>M/D</t>
    <phoneticPr fontId="3" type="noConversion"/>
  </si>
  <si>
    <t>체류비</t>
    <phoneticPr fontId="3" type="noConversion"/>
  </si>
  <si>
    <t>숙박비(조,석식 포함)</t>
    <phoneticPr fontId="3" type="noConversion"/>
  </si>
  <si>
    <t>(티칭인원Working Day 기준임)_(1명기준 US 110)</t>
    <phoneticPr fontId="3" type="noConversion"/>
  </si>
  <si>
    <t>차량 유지비</t>
    <phoneticPr fontId="3" type="noConversion"/>
  </si>
  <si>
    <t>렌트비(55$)+주유비</t>
    <phoneticPr fontId="3" type="noConversion"/>
  </si>
  <si>
    <t>식대</t>
    <phoneticPr fontId="3" type="noConversion"/>
  </si>
  <si>
    <t>점심식대(한식당 기준_250 페소)</t>
    <phoneticPr fontId="3" type="noConversion"/>
  </si>
  <si>
    <t>이동경비</t>
    <phoneticPr fontId="3" type="noConversion"/>
  </si>
  <si>
    <t>항공권당 2MD+교통비</t>
    <phoneticPr fontId="3" type="noConversion"/>
  </si>
  <si>
    <t>경비 소계</t>
    <phoneticPr fontId="3" type="noConversion"/>
  </si>
  <si>
    <t>(재+노+경)×요율</t>
    <phoneticPr fontId="3" type="noConversion"/>
  </si>
  <si>
    <t>이         윤</t>
    <phoneticPr fontId="3" type="noConversion"/>
  </si>
  <si>
    <t>(노+경+일)×요율</t>
    <phoneticPr fontId="3" type="noConversion"/>
  </si>
  <si>
    <t>합         계</t>
    <phoneticPr fontId="3" type="noConversion"/>
  </si>
  <si>
    <t>산업안전관리비
[일반건설공사(을)]</t>
    <phoneticPr fontId="3" type="noConversion"/>
  </si>
  <si>
    <t>기준</t>
    <phoneticPr fontId="3" type="noConversion"/>
  </si>
  <si>
    <t>안전관리비</t>
    <phoneticPr fontId="3" type="noConversion"/>
  </si>
  <si>
    <t>대상액</t>
    <phoneticPr fontId="3" type="noConversion"/>
  </si>
  <si>
    <t>비고</t>
    <phoneticPr fontId="3" type="noConversion"/>
  </si>
  <si>
    <t>계상기준1</t>
    <phoneticPr fontId="3" type="noConversion"/>
  </si>
  <si>
    <t>제작/설치 전체</t>
    <phoneticPr fontId="3" type="noConversion"/>
  </si>
  <si>
    <t>계상기준2</t>
    <phoneticPr fontId="3" type="noConversion"/>
  </si>
  <si>
    <t>당사/원청 설치비限</t>
    <phoneticPr fontId="3" type="noConversion"/>
  </si>
  <si>
    <t>※ 계상기준1 : 대상액*요율 / 계상기준2 : 대상액*요율*1.2</t>
    <phoneticPr fontId="3" type="noConversion"/>
  </si>
  <si>
    <t>※ 노무비 비고란에 (안전관리비 제외) 라고 쓰면 항목 제외됨</t>
    <phoneticPr fontId="3" type="noConversion"/>
  </si>
  <si>
    <t>※ 실제 안전관리자가 필요 없는 설계및 해외공사는 안전관리비를 제외 할것</t>
    <phoneticPr fontId="3" type="noConversion"/>
  </si>
  <si>
    <t>자
재
비</t>
    <phoneticPr fontId="3" type="noConversion"/>
  </si>
  <si>
    <t>볼트</t>
    <phoneticPr fontId="3" type="noConversion"/>
  </si>
  <si>
    <t>MAIN PANEL</t>
    <phoneticPr fontId="3" type="noConversion"/>
  </si>
  <si>
    <t>W600*H2000*D500</t>
    <phoneticPr fontId="3" type="noConversion"/>
  </si>
  <si>
    <t>RITTAL</t>
    <phoneticPr fontId="3" type="noConversion"/>
  </si>
  <si>
    <t>← 예시</t>
    <phoneticPr fontId="3" type="noConversion"/>
  </si>
  <si>
    <t>앙카</t>
    <phoneticPr fontId="3" type="noConversion"/>
  </si>
  <si>
    <t>행거 신작</t>
    <phoneticPr fontId="28" type="noConversion"/>
  </si>
  <si>
    <t>작업발판&amp;안전팬스</t>
    <phoneticPr fontId="28" type="noConversion"/>
  </si>
  <si>
    <t>ATD 신규</t>
    <phoneticPr fontId="28" type="noConversion"/>
  </si>
  <si>
    <t>T/C 신규</t>
    <phoneticPr fontId="28" type="noConversion"/>
  </si>
  <si>
    <t>ESS 이설</t>
    <phoneticPr fontId="28" type="noConversion"/>
  </si>
  <si>
    <t>배선/배관 정리포함</t>
    <phoneticPr fontId="28" type="noConversion"/>
  </si>
  <si>
    <t>제어반 이동</t>
    <phoneticPr fontId="28" type="noConversion"/>
  </si>
  <si>
    <t>변위센서 제품교체</t>
    <phoneticPr fontId="28" type="noConversion"/>
  </si>
  <si>
    <t>제품교체(보전사급)</t>
    <phoneticPr fontId="28" type="noConversion"/>
  </si>
  <si>
    <t>주행하네스 V3교체</t>
    <phoneticPr fontId="28" type="noConversion"/>
  </si>
  <si>
    <t>가스바란스 적용</t>
    <phoneticPr fontId="28" type="noConversion"/>
  </si>
  <si>
    <t>사이드 익스텐션 비젼 L/R</t>
    <phoneticPr fontId="28" type="noConversion"/>
  </si>
  <si>
    <t>차종추가</t>
    <phoneticPr fontId="28" type="noConversion"/>
  </si>
  <si>
    <t>라인 PLC 대응</t>
    <phoneticPr fontId="28" type="noConversion"/>
  </si>
  <si>
    <t>하기휴가/추석/구정/품확</t>
    <phoneticPr fontId="28" type="noConversion"/>
  </si>
  <si>
    <t>그리퍼 로보트 멀티OX적용</t>
    <phoneticPr fontId="28" type="noConversion"/>
  </si>
  <si>
    <t>1식</t>
    <phoneticPr fontId="28" type="noConversion"/>
  </si>
  <si>
    <t>신규로봇 작화구성</t>
    <phoneticPr fontId="28" type="noConversion"/>
  </si>
  <si>
    <t>용접카운트 검증 기능적용</t>
    <phoneticPr fontId="28" type="noConversion"/>
  </si>
  <si>
    <t>기존차 단산철거</t>
    <phoneticPr fontId="3" type="noConversion"/>
  </si>
  <si>
    <t>기존차 티칭</t>
    <phoneticPr fontId="28" type="noConversion"/>
  </si>
  <si>
    <t>대 기준</t>
    <phoneticPr fontId="28" type="noConversion"/>
  </si>
  <si>
    <t>품확대응(해외))</t>
    <phoneticPr fontId="3" type="noConversion"/>
  </si>
  <si>
    <t>양산대응(국내</t>
    <phoneticPr fontId="3" type="noConversion"/>
  </si>
  <si>
    <t>양산대응(해외)</t>
    <phoneticPr fontId="3" type="noConversion"/>
  </si>
  <si>
    <t>비자, 이동경비</t>
    <phoneticPr fontId="3" type="noConversion"/>
  </si>
  <si>
    <t>※ 현대/기아차의 요구사양과 업체견적사양이 다른경우만 작성</t>
    <phoneticPr fontId="3" type="noConversion"/>
  </si>
  <si>
    <t>현대/기아차 요구사양대비 견적조건 상이내역</t>
    <phoneticPr fontId="3" type="noConversion"/>
  </si>
  <si>
    <t>항   목</t>
    <phoneticPr fontId="3" type="noConversion"/>
  </si>
  <si>
    <t>현대/기아차 요구사양</t>
    <phoneticPr fontId="3" type="noConversion"/>
  </si>
  <si>
    <t>업체 견적기준 사양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</si>
</sst>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&quot;3. 산업안전관리비&quot;\ #,##0_ \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  <numFmt numFmtId="182" formatCode="0_);[Red]\(0\)"/>
  </numFmts>
  <fonts count="37" x14ac:knownFonts="1">
    <font>
      <sz val="11"/>
      <color theme="1"/>
      <name val="맑은 고딕"/>
      <family val="2"/>
      <scheme val="minor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8"/>
      <name val="맑은 고딕"/>
      <family val="3"/>
      <charset val="129"/>
    </font>
    <font>
      <sz val="9.5"/>
      <name val="굴림"/>
      <family val="3"/>
      <charset val="129"/>
    </font>
    <font>
      <sz val="8"/>
      <name val="돋움"/>
      <family val="3"/>
      <charset val="129"/>
    </font>
    <font>
      <b/>
      <sz val="8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rgb="FFFF0000"/>
      <name val="굴림"/>
      <family val="3"/>
      <charset val="129"/>
    </font>
    <font>
      <sz val="11"/>
      <color theme="0" tint="-0.499984740745262"/>
      <name val="굴림"/>
      <family val="3"/>
      <charset val="129"/>
    </font>
    <font>
      <sz val="14"/>
      <name val="HY헤드라인M"/>
      <family val="1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1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14">
    <xf numFmtId="0" fontId="0" fillId="0" borderId="0" xfId="0"/>
    <xf numFmtId="0" fontId="1" fillId="0" borderId="0" xfId="1" applyAlignment="1">
      <alignment vertical="center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vertical="center"/>
    </xf>
    <xf numFmtId="14" fontId="1" fillId="2" borderId="6" xfId="1" applyNumberFormat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2" borderId="7" xfId="1" applyFill="1" applyBorder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0" fontId="1" fillId="2" borderId="6" xfId="1" applyFill="1" applyBorder="1" applyAlignment="1">
      <alignment horizontal="left" vertical="center"/>
    </xf>
    <xf numFmtId="0" fontId="1" fillId="2" borderId="0" xfId="1" applyFill="1" applyAlignment="1">
      <alignment horizontal="left" vertical="center"/>
    </xf>
    <xf numFmtId="0" fontId="1" fillId="2" borderId="8" xfId="1" applyFill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2" borderId="7" xfId="1" applyFill="1" applyBorder="1" applyAlignment="1">
      <alignment vertical="center"/>
    </xf>
    <xf numFmtId="0" fontId="8" fillId="2" borderId="7" xfId="1" applyFont="1" applyFill="1" applyBorder="1" applyAlignment="1">
      <alignment horizontal="right" vertical="center"/>
    </xf>
    <xf numFmtId="0" fontId="9" fillId="2" borderId="0" xfId="1" applyFont="1" applyFill="1" applyAlignment="1">
      <alignment vertical="center"/>
    </xf>
    <xf numFmtId="0" fontId="8" fillId="2" borderId="8" xfId="1" applyFont="1" applyFill="1" applyBorder="1" applyAlignment="1">
      <alignment horizontal="left" vertical="center"/>
    </xf>
    <xf numFmtId="0" fontId="8" fillId="2" borderId="9" xfId="1" applyFont="1" applyFill="1" applyBorder="1" applyAlignment="1">
      <alignment horizontal="right" vertical="center"/>
    </xf>
    <xf numFmtId="0" fontId="9" fillId="2" borderId="10" xfId="1" applyFont="1" applyFill="1" applyBorder="1" applyAlignment="1">
      <alignment vertical="center"/>
    </xf>
    <xf numFmtId="0" fontId="8" fillId="2" borderId="11" xfId="1" applyFont="1" applyFill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0" fontId="6" fillId="3" borderId="0" xfId="1" applyFont="1" applyFill="1" applyAlignment="1">
      <alignment vertical="center"/>
    </xf>
    <xf numFmtId="0" fontId="1" fillId="0" borderId="0" xfId="1" applyAlignment="1">
      <alignment horizontal="center" vertical="center"/>
    </xf>
    <xf numFmtId="0" fontId="1" fillId="0" borderId="20" xfId="1" applyBorder="1" applyAlignment="1">
      <alignment horizontal="center" vertical="center" wrapText="1"/>
    </xf>
    <xf numFmtId="0" fontId="1" fillId="0" borderId="17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176" fontId="1" fillId="0" borderId="25" xfId="1" applyNumberForma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0" fontId="1" fillId="0" borderId="27" xfId="1" applyBorder="1" applyAlignment="1">
      <alignment horizontal="center" vertical="center"/>
    </xf>
    <xf numFmtId="176" fontId="1" fillId="0" borderId="6" xfId="1" applyNumberFormat="1" applyBorder="1" applyAlignment="1">
      <alignment horizontal="right" vertical="center"/>
    </xf>
    <xf numFmtId="176" fontId="1" fillId="0" borderId="31" xfId="1" applyNumberFormat="1" applyBorder="1" applyAlignment="1">
      <alignment horizontal="right"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32" xfId="1" applyBorder="1" applyAlignment="1">
      <alignment vertical="center"/>
    </xf>
    <xf numFmtId="176" fontId="1" fillId="0" borderId="37" xfId="1" applyNumberFormat="1" applyBorder="1" applyAlignment="1">
      <alignment vertical="center"/>
    </xf>
    <xf numFmtId="176" fontId="16" fillId="4" borderId="35" xfId="1" applyNumberFormat="1" applyFont="1" applyFill="1" applyBorder="1" applyAlignment="1">
      <alignment vertical="center"/>
    </xf>
    <xf numFmtId="0" fontId="1" fillId="0" borderId="12" xfId="1" applyBorder="1" applyAlignment="1">
      <alignment vertical="center"/>
    </xf>
    <xf numFmtId="176" fontId="1" fillId="0" borderId="38" xfId="1" applyNumberFormat="1" applyBorder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176" fontId="1" fillId="0" borderId="0" xfId="1" applyNumberFormat="1" applyAlignment="1">
      <alignment vertical="center"/>
    </xf>
    <xf numFmtId="176" fontId="1" fillId="0" borderId="12" xfId="1" applyNumberFormat="1" applyBorder="1" applyAlignment="1">
      <alignment vertical="center"/>
    </xf>
    <xf numFmtId="0" fontId="1" fillId="0" borderId="22" xfId="1" applyBorder="1" applyAlignment="1">
      <alignment horizontal="center" vertical="center"/>
    </xf>
    <xf numFmtId="3" fontId="1" fillId="0" borderId="0" xfId="1" applyNumberFormat="1" applyAlignment="1">
      <alignment vertical="center"/>
    </xf>
    <xf numFmtId="3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horizontal="right" vertical="center"/>
    </xf>
    <xf numFmtId="179" fontId="1" fillId="0" borderId="0" xfId="1" applyNumberFormat="1" applyAlignment="1">
      <alignment vertical="center"/>
    </xf>
    <xf numFmtId="4" fontId="1" fillId="0" borderId="0" xfId="1" applyNumberFormat="1" applyAlignment="1">
      <alignment vertical="center"/>
    </xf>
    <xf numFmtId="3" fontId="18" fillId="0" borderId="0" xfId="1" applyNumberFormat="1" applyFont="1" applyAlignment="1">
      <alignment vertical="center"/>
    </xf>
    <xf numFmtId="3" fontId="19" fillId="0" borderId="0" xfId="1" applyNumberFormat="1" applyFont="1" applyAlignment="1">
      <alignment vertical="center"/>
    </xf>
    <xf numFmtId="3" fontId="21" fillId="0" borderId="0" xfId="1" applyNumberFormat="1" applyFont="1" applyAlignment="1">
      <alignment vertical="center"/>
    </xf>
    <xf numFmtId="3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horizontal="right" vertical="center"/>
    </xf>
    <xf numFmtId="179" fontId="21" fillId="0" borderId="0" xfId="1" applyNumberFormat="1" applyFont="1" applyAlignment="1">
      <alignment vertical="center"/>
    </xf>
    <xf numFmtId="4" fontId="22" fillId="0" borderId="0" xfId="1" applyNumberFormat="1" applyFont="1" applyAlignment="1">
      <alignment vertical="center"/>
    </xf>
    <xf numFmtId="3" fontId="22" fillId="0" borderId="0" xfId="1" applyNumberFormat="1" applyFont="1" applyAlignment="1">
      <alignment vertical="center"/>
    </xf>
    <xf numFmtId="3" fontId="11" fillId="0" borderId="0" xfId="1" applyNumberFormat="1" applyFont="1" applyAlignment="1">
      <alignment vertical="center"/>
    </xf>
    <xf numFmtId="3" fontId="6" fillId="0" borderId="0" xfId="1" applyNumberFormat="1" applyFont="1" applyAlignment="1">
      <alignment vertical="center"/>
    </xf>
    <xf numFmtId="3" fontId="1" fillId="0" borderId="49" xfId="1" applyNumberFormat="1" applyBorder="1" applyAlignment="1">
      <alignment horizontal="center" vertical="center"/>
    </xf>
    <xf numFmtId="3" fontId="1" fillId="0" borderId="52" xfId="1" applyNumberFormat="1" applyBorder="1" applyAlignment="1">
      <alignment horizontal="center" vertical="center"/>
    </xf>
    <xf numFmtId="179" fontId="1" fillId="0" borderId="52" xfId="1" applyNumberFormat="1" applyBorder="1" applyAlignment="1">
      <alignment horizontal="center" vertical="center"/>
    </xf>
    <xf numFmtId="179" fontId="1" fillId="0" borderId="52" xfId="1" applyNumberFormat="1" applyBorder="1" applyAlignment="1">
      <alignment horizontal="right" vertical="center"/>
    </xf>
    <xf numFmtId="3" fontId="1" fillId="0" borderId="53" xfId="1" applyNumberFormat="1" applyBorder="1" applyAlignment="1">
      <alignment horizontal="center" vertical="center"/>
    </xf>
    <xf numFmtId="4" fontId="1" fillId="0" borderId="0" xfId="1" applyNumberFormat="1" applyAlignment="1">
      <alignment horizontal="center" vertical="center"/>
    </xf>
    <xf numFmtId="3" fontId="1" fillId="0" borderId="54" xfId="1" applyNumberFormat="1" applyBorder="1" applyAlignment="1">
      <alignment horizontal="center" vertical="center"/>
    </xf>
    <xf numFmtId="3" fontId="1" fillId="0" borderId="58" xfId="1" applyNumberFormat="1" applyBorder="1" applyAlignment="1">
      <alignment horizontal="center" vertical="center"/>
    </xf>
    <xf numFmtId="179" fontId="1" fillId="0" borderId="58" xfId="1" applyNumberFormat="1" applyBorder="1" applyAlignment="1">
      <alignment horizontal="center" vertical="center"/>
    </xf>
    <xf numFmtId="179" fontId="1" fillId="0" borderId="58" xfId="1" applyNumberFormat="1" applyBorder="1" applyAlignment="1">
      <alignment horizontal="right" vertical="center"/>
    </xf>
    <xf numFmtId="3" fontId="1" fillId="0" borderId="59" xfId="1" applyNumberFormat="1" applyBorder="1" applyAlignment="1">
      <alignment horizontal="center" vertical="center"/>
    </xf>
    <xf numFmtId="3" fontId="1" fillId="0" borderId="61" xfId="1" applyNumberFormat="1" applyBorder="1" applyAlignment="1">
      <alignment horizontal="center" vertical="center"/>
    </xf>
    <xf numFmtId="3" fontId="17" fillId="0" borderId="61" xfId="1" applyNumberFormat="1" applyFont="1" applyBorder="1" applyAlignment="1">
      <alignment horizontal="center" vertical="center"/>
    </xf>
    <xf numFmtId="179" fontId="1" fillId="0" borderId="61" xfId="1" applyNumberFormat="1" applyBorder="1" applyAlignment="1">
      <alignment horizontal="right" vertical="center"/>
    </xf>
    <xf numFmtId="179" fontId="1" fillId="0" borderId="61" xfId="1" applyNumberFormat="1" applyBorder="1" applyAlignment="1">
      <alignment vertical="center"/>
    </xf>
    <xf numFmtId="3" fontId="1" fillId="0" borderId="62" xfId="1" applyNumberFormat="1" applyBorder="1" applyAlignment="1">
      <alignment vertical="center"/>
    </xf>
    <xf numFmtId="3" fontId="1" fillId="0" borderId="6" xfId="1" applyNumberFormat="1" applyBorder="1" applyAlignment="1">
      <alignment horizontal="center" vertical="center"/>
    </xf>
    <xf numFmtId="3" fontId="17" fillId="0" borderId="6" xfId="1" applyNumberFormat="1" applyFont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1" applyNumberFormat="1" applyBorder="1" applyAlignment="1">
      <alignment horizontal="right" vertical="center"/>
    </xf>
    <xf numFmtId="3" fontId="1" fillId="0" borderId="31" xfId="1" applyNumberFormat="1" applyBorder="1" applyAlignment="1">
      <alignment vertical="center"/>
    </xf>
    <xf numFmtId="0" fontId="1" fillId="0" borderId="58" xfId="1" applyBorder="1" applyAlignment="1">
      <alignment horizontal="center" vertical="center" shrinkToFit="1"/>
    </xf>
    <xf numFmtId="3" fontId="1" fillId="0" borderId="30" xfId="1" applyNumberFormat="1" applyBorder="1" applyAlignment="1">
      <alignment horizontal="center" vertical="center"/>
    </xf>
    <xf numFmtId="179" fontId="6" fillId="0" borderId="6" xfId="1" applyNumberFormat="1" applyFont="1" applyBorder="1" applyAlignment="1">
      <alignment vertical="center"/>
    </xf>
    <xf numFmtId="179" fontId="1" fillId="0" borderId="6" xfId="1" applyNumberFormat="1" applyBorder="1" applyAlignment="1">
      <alignment vertical="center"/>
    </xf>
    <xf numFmtId="0" fontId="1" fillId="0" borderId="6" xfId="1" applyBorder="1" applyAlignment="1">
      <alignment horizontal="center" vertical="center" shrinkToFit="1"/>
    </xf>
    <xf numFmtId="3" fontId="1" fillId="0" borderId="1" xfId="1" applyNumberFormat="1" applyBorder="1" applyAlignment="1">
      <alignment horizontal="center" vertical="center"/>
    </xf>
    <xf numFmtId="3" fontId="1" fillId="0" borderId="3" xfId="1" applyNumberFormat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1" fillId="0" borderId="6" xfId="1" applyNumberFormat="1" applyBorder="1" applyAlignment="1">
      <alignment horizontal="right" vertical="center"/>
    </xf>
    <xf numFmtId="3" fontId="1" fillId="0" borderId="30" xfId="1" applyNumberFormat="1" applyBorder="1" applyAlignment="1">
      <alignment horizontal="right" vertical="center"/>
    </xf>
    <xf numFmtId="179" fontId="6" fillId="0" borderId="20" xfId="1" applyNumberFormat="1" applyFont="1" applyBorder="1" applyAlignment="1">
      <alignment vertical="center"/>
    </xf>
    <xf numFmtId="3" fontId="1" fillId="0" borderId="63" xfId="1" applyNumberFormat="1" applyBorder="1" applyAlignment="1">
      <alignment vertical="center"/>
    </xf>
    <xf numFmtId="3" fontId="1" fillId="0" borderId="47" xfId="1" applyNumberFormat="1" applyBorder="1" applyAlignment="1">
      <alignment horizontal="center" vertical="center"/>
    </xf>
    <xf numFmtId="3" fontId="1" fillId="0" borderId="19" xfId="1" applyNumberFormat="1" applyBorder="1" applyAlignment="1">
      <alignment horizontal="center" vertical="center"/>
    </xf>
    <xf numFmtId="179" fontId="6" fillId="0" borderId="66" xfId="1" applyNumberFormat="1" applyFont="1" applyBorder="1" applyAlignment="1">
      <alignment vertical="center"/>
    </xf>
    <xf numFmtId="3" fontId="1" fillId="0" borderId="67" xfId="1" applyNumberFormat="1" applyBorder="1" applyAlignment="1">
      <alignment vertical="center"/>
    </xf>
    <xf numFmtId="3" fontId="1" fillId="0" borderId="68" xfId="1" applyNumberFormat="1" applyBorder="1" applyAlignment="1">
      <alignment horizontal="center" vertical="center"/>
    </xf>
    <xf numFmtId="179" fontId="6" fillId="0" borderId="61" xfId="1" applyNumberFormat="1" applyFont="1" applyBorder="1" applyAlignment="1">
      <alignment vertical="center"/>
    </xf>
    <xf numFmtId="3" fontId="17" fillId="0" borderId="31" xfId="1" applyNumberFormat="1" applyFont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69" xfId="1" applyNumberFormat="1" applyBorder="1" applyAlignment="1">
      <alignment horizontal="center" vertical="center"/>
    </xf>
    <xf numFmtId="3" fontId="1" fillId="0" borderId="70" xfId="1" applyNumberFormat="1" applyBorder="1" applyAlignment="1">
      <alignment horizontal="left" vertical="center"/>
    </xf>
    <xf numFmtId="179" fontId="6" fillId="0" borderId="72" xfId="1" applyNumberFormat="1" applyFont="1" applyBorder="1" applyAlignment="1">
      <alignment vertical="center"/>
    </xf>
    <xf numFmtId="3" fontId="1" fillId="0" borderId="74" xfId="1" applyNumberFormat="1" applyBorder="1" applyAlignment="1">
      <alignment vertical="center"/>
    </xf>
    <xf numFmtId="0" fontId="1" fillId="0" borderId="0" xfId="1" applyAlignment="1">
      <alignment horizontal="right" vertical="center"/>
    </xf>
    <xf numFmtId="0" fontId="1" fillId="0" borderId="15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0" fontId="1" fillId="0" borderId="75" xfId="1" applyBorder="1" applyAlignment="1">
      <alignment horizontal="center" vertical="center"/>
    </xf>
    <xf numFmtId="0" fontId="1" fillId="0" borderId="76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77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78" xfId="1" applyBorder="1" applyAlignment="1">
      <alignment horizontal="center" vertical="center"/>
    </xf>
    <xf numFmtId="0" fontId="1" fillId="0" borderId="79" xfId="1" applyBorder="1" applyAlignment="1">
      <alignment horizontal="center" vertical="center"/>
    </xf>
    <xf numFmtId="0" fontId="1" fillId="0" borderId="80" xfId="1" applyBorder="1" applyAlignment="1">
      <alignment horizontal="center" vertical="center"/>
    </xf>
    <xf numFmtId="0" fontId="1" fillId="0" borderId="54" xfId="1" applyBorder="1" applyAlignment="1">
      <alignment horizontal="center" vertical="center" shrinkToFit="1"/>
    </xf>
    <xf numFmtId="0" fontId="1" fillId="0" borderId="59" xfId="1" applyBorder="1" applyAlignment="1">
      <alignment horizontal="center" vertical="center" shrinkToFit="1"/>
    </xf>
    <xf numFmtId="0" fontId="1" fillId="0" borderId="57" xfId="1" applyBorder="1" applyAlignment="1">
      <alignment horizontal="center" vertical="center"/>
    </xf>
    <xf numFmtId="0" fontId="1" fillId="0" borderId="55" xfId="1" applyBorder="1" applyAlignment="1">
      <alignment horizontal="center" vertical="center" shrinkToFit="1"/>
    </xf>
    <xf numFmtId="0" fontId="1" fillId="0" borderId="81" xfId="1" applyBorder="1" applyAlignment="1">
      <alignment horizontal="center" vertical="center" shrinkToFit="1"/>
    </xf>
    <xf numFmtId="0" fontId="1" fillId="0" borderId="82" xfId="1" applyBorder="1" applyAlignment="1">
      <alignment horizontal="center" vertical="center"/>
    </xf>
    <xf numFmtId="0" fontId="1" fillId="0" borderId="83" xfId="1" applyBorder="1" applyAlignment="1">
      <alignment horizontal="center" vertical="center"/>
    </xf>
    <xf numFmtId="176" fontId="1" fillId="0" borderId="84" xfId="1" applyNumberFormat="1" applyBorder="1" applyAlignment="1">
      <alignment horizontal="center" vertical="center"/>
    </xf>
    <xf numFmtId="176" fontId="1" fillId="0" borderId="84" xfId="1" applyNumberFormat="1" applyBorder="1" applyAlignment="1">
      <alignment horizontal="left" vertical="center"/>
    </xf>
    <xf numFmtId="176" fontId="1" fillId="0" borderId="85" xfId="1" applyNumberFormat="1" applyBorder="1" applyAlignment="1">
      <alignment vertical="center"/>
    </xf>
    <xf numFmtId="176" fontId="1" fillId="0" borderId="86" xfId="1" applyNumberFormat="1" applyBorder="1" applyAlignment="1">
      <alignment vertical="center"/>
    </xf>
    <xf numFmtId="176" fontId="1" fillId="0" borderId="87" xfId="1" applyNumberFormat="1" applyBorder="1" applyAlignment="1">
      <alignment vertical="center"/>
    </xf>
    <xf numFmtId="176" fontId="1" fillId="0" borderId="88" xfId="1" applyNumberFormat="1" applyBorder="1" applyAlignment="1">
      <alignment vertical="center"/>
    </xf>
    <xf numFmtId="176" fontId="1" fillId="0" borderId="89" xfId="1" applyNumberFormat="1" applyBorder="1" applyAlignment="1">
      <alignment vertical="center"/>
    </xf>
    <xf numFmtId="176" fontId="1" fillId="0" borderId="90" xfId="1" applyNumberFormat="1" applyBorder="1" applyAlignment="1">
      <alignment vertical="center"/>
    </xf>
    <xf numFmtId="176" fontId="1" fillId="0" borderId="91" xfId="1" applyNumberFormat="1" applyBorder="1" applyAlignment="1">
      <alignment vertical="center"/>
    </xf>
    <xf numFmtId="176" fontId="1" fillId="0" borderId="92" xfId="1" applyNumberFormat="1" applyBorder="1" applyAlignment="1">
      <alignment vertical="center"/>
    </xf>
    <xf numFmtId="176" fontId="1" fillId="0" borderId="27" xfId="1" applyNumberFormat="1" applyBorder="1" applyAlignment="1">
      <alignment horizontal="center" vertical="center"/>
    </xf>
    <xf numFmtId="176" fontId="1" fillId="0" borderId="27" xfId="1" applyNumberFormat="1" applyBorder="1" applyAlignment="1">
      <alignment horizontal="left" vertical="center"/>
    </xf>
    <xf numFmtId="176" fontId="1" fillId="0" borderId="68" xfId="1" applyNumberFormat="1" applyBorder="1" applyAlignment="1">
      <alignment vertical="center"/>
    </xf>
    <xf numFmtId="176" fontId="1" fillId="0" borderId="6" xfId="1" applyNumberFormat="1" applyBorder="1" applyAlignment="1">
      <alignment vertical="center"/>
    </xf>
    <xf numFmtId="176" fontId="1" fillId="0" borderId="31" xfId="1" applyNumberFormat="1" applyBorder="1" applyAlignment="1">
      <alignment vertical="center"/>
    </xf>
    <xf numFmtId="176" fontId="1" fillId="0" borderId="30" xfId="1" applyNumberFormat="1" applyBorder="1" applyAlignment="1">
      <alignment vertical="center"/>
    </xf>
    <xf numFmtId="176" fontId="1" fillId="0" borderId="4" xfId="1" applyNumberFormat="1" applyBorder="1" applyAlignment="1">
      <alignment vertical="center"/>
    </xf>
    <xf numFmtId="176" fontId="1" fillId="0" borderId="93" xfId="1" applyNumberFormat="1" applyBorder="1" applyAlignment="1">
      <alignment vertical="center"/>
    </xf>
    <xf numFmtId="176" fontId="1" fillId="0" borderId="94" xfId="1" applyNumberFormat="1" applyBorder="1" applyAlignment="1">
      <alignment vertical="center"/>
    </xf>
    <xf numFmtId="176" fontId="1" fillId="0" borderId="29" xfId="1" applyNumberFormat="1" applyBorder="1" applyAlignment="1">
      <alignment vertical="center"/>
    </xf>
    <xf numFmtId="176" fontId="1" fillId="0" borderId="32" xfId="1" applyNumberFormat="1" applyBorder="1" applyAlignment="1">
      <alignment horizontal="center" vertical="center"/>
    </xf>
    <xf numFmtId="176" fontId="1" fillId="0" borderId="95" xfId="1" applyNumberFormat="1" applyBorder="1" applyAlignment="1">
      <alignment vertical="center"/>
    </xf>
    <xf numFmtId="176" fontId="1" fillId="0" borderId="66" xfId="1" applyNumberFormat="1" applyBorder="1" applyAlignment="1">
      <alignment vertical="center"/>
    </xf>
    <xf numFmtId="176" fontId="1" fillId="0" borderId="67" xfId="1" applyNumberFormat="1" applyBorder="1" applyAlignment="1">
      <alignment vertical="center"/>
    </xf>
    <xf numFmtId="176" fontId="1" fillId="0" borderId="19" xfId="1" applyNumberFormat="1" applyBorder="1" applyAlignment="1">
      <alignment vertical="center"/>
    </xf>
    <xf numFmtId="176" fontId="1" fillId="0" borderId="46" xfId="1" applyNumberFormat="1" applyBorder="1" applyAlignment="1">
      <alignment vertical="center"/>
    </xf>
    <xf numFmtId="176" fontId="1" fillId="0" borderId="96" xfId="1" applyNumberFormat="1" applyBorder="1" applyAlignment="1">
      <alignment vertical="center"/>
    </xf>
    <xf numFmtId="176" fontId="1" fillId="0" borderId="97" xfId="1" applyNumberFormat="1" applyBorder="1" applyAlignment="1">
      <alignment vertical="center"/>
    </xf>
    <xf numFmtId="176" fontId="1" fillId="0" borderId="48" xfId="1" applyNumberFormat="1" applyBorder="1" applyAlignment="1">
      <alignment vertical="center"/>
    </xf>
    <xf numFmtId="176" fontId="6" fillId="0" borderId="49" xfId="1" applyNumberFormat="1" applyFont="1" applyBorder="1" applyAlignment="1">
      <alignment vertical="center"/>
    </xf>
    <xf numFmtId="176" fontId="6" fillId="0" borderId="52" xfId="1" applyNumberFormat="1" applyFont="1" applyBorder="1" applyAlignment="1">
      <alignment vertical="center"/>
    </xf>
    <xf numFmtId="176" fontId="6" fillId="0" borderId="53" xfId="1" applyNumberFormat="1" applyFont="1" applyBorder="1" applyAlignment="1">
      <alignment vertical="center"/>
    </xf>
    <xf numFmtId="176" fontId="6" fillId="0" borderId="51" xfId="1" applyNumberFormat="1" applyFont="1" applyBorder="1" applyAlignment="1">
      <alignment vertical="center"/>
    </xf>
    <xf numFmtId="176" fontId="6" fillId="0" borderId="79" xfId="1" applyNumberFormat="1" applyFont="1" applyBorder="1" applyAlignment="1">
      <alignment vertical="center"/>
    </xf>
    <xf numFmtId="176" fontId="1" fillId="0" borderId="14" xfId="1" applyNumberFormat="1" applyBorder="1" applyAlignment="1">
      <alignment vertical="center"/>
    </xf>
    <xf numFmtId="176" fontId="17" fillId="0" borderId="43" xfId="1" applyNumberFormat="1" applyFont="1" applyBorder="1" applyAlignment="1">
      <alignment horizontal="center" vertical="center"/>
    </xf>
    <xf numFmtId="176" fontId="17" fillId="0" borderId="44" xfId="1" applyNumberFormat="1" applyFont="1" applyBorder="1" applyAlignment="1">
      <alignment horizontal="center" vertical="center"/>
    </xf>
    <xf numFmtId="176" fontId="17" fillId="0" borderId="45" xfId="1" applyNumberFormat="1" applyFont="1" applyBorder="1" applyAlignment="1">
      <alignment horizontal="center" vertical="center"/>
    </xf>
    <xf numFmtId="9" fontId="17" fillId="0" borderId="64" xfId="2" applyFont="1" applyBorder="1" applyAlignment="1">
      <alignment vertical="center"/>
    </xf>
    <xf numFmtId="9" fontId="17" fillId="0" borderId="98" xfId="2" applyFont="1" applyBorder="1" applyAlignment="1">
      <alignment vertical="center"/>
    </xf>
    <xf numFmtId="9" fontId="17" fillId="0" borderId="99" xfId="2" applyFont="1" applyBorder="1" applyAlignment="1">
      <alignment vertical="center"/>
    </xf>
    <xf numFmtId="9" fontId="17" fillId="0" borderId="100" xfId="2" applyFont="1" applyBorder="1" applyAlignment="1">
      <alignment vertical="center"/>
    </xf>
    <xf numFmtId="9" fontId="17" fillId="0" borderId="101" xfId="2" applyFont="1" applyBorder="1" applyAlignment="1">
      <alignment vertical="center"/>
    </xf>
    <xf numFmtId="176" fontId="17" fillId="0" borderId="45" xfId="1" applyNumberFormat="1" applyFont="1" applyBorder="1" applyAlignment="1">
      <alignment vertical="center"/>
    </xf>
    <xf numFmtId="176" fontId="17" fillId="0" borderId="0" xfId="1" applyNumberFormat="1" applyFont="1" applyAlignment="1">
      <alignment vertical="center"/>
    </xf>
    <xf numFmtId="0" fontId="24" fillId="0" borderId="0" xfId="1" applyFont="1" applyAlignment="1">
      <alignment vertical="center"/>
    </xf>
    <xf numFmtId="41" fontId="24" fillId="0" borderId="0" xfId="3" applyFont="1" applyAlignment="1">
      <alignment vertical="center"/>
    </xf>
    <xf numFmtId="179" fontId="25" fillId="0" borderId="0" xfId="1" applyNumberFormat="1" applyFont="1" applyAlignment="1">
      <alignment vertical="center"/>
    </xf>
    <xf numFmtId="0" fontId="11" fillId="0" borderId="0" xfId="1" applyFont="1" applyAlignment="1">
      <alignment horizontal="center" vertical="center"/>
    </xf>
    <xf numFmtId="180" fontId="11" fillId="5" borderId="44" xfId="1" applyNumberFormat="1" applyFont="1" applyFill="1" applyBorder="1" applyAlignment="1">
      <alignment vertical="center"/>
    </xf>
    <xf numFmtId="180" fontId="11" fillId="5" borderId="0" xfId="1" applyNumberFormat="1" applyFont="1" applyFill="1" applyAlignment="1">
      <alignment vertical="center"/>
    </xf>
    <xf numFmtId="0" fontId="1" fillId="0" borderId="12" xfId="1" applyBorder="1" applyAlignment="1">
      <alignment horizontal="center" vertical="center"/>
    </xf>
    <xf numFmtId="176" fontId="1" fillId="0" borderId="12" xfId="1" applyNumberForma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5" borderId="27" xfId="1" applyFill="1" applyBorder="1" applyAlignment="1">
      <alignment horizontal="left" vertical="center"/>
    </xf>
    <xf numFmtId="0" fontId="1" fillId="5" borderId="28" xfId="1" applyFill="1" applyBorder="1" applyAlignment="1">
      <alignment horizontal="left" vertical="center"/>
    </xf>
    <xf numFmtId="0" fontId="1" fillId="5" borderId="27" xfId="1" applyFill="1" applyBorder="1" applyAlignment="1">
      <alignment horizontal="center" vertical="center"/>
    </xf>
    <xf numFmtId="176" fontId="1" fillId="5" borderId="27" xfId="1" applyNumberFormat="1" applyFill="1" applyBorder="1" applyAlignment="1">
      <alignment horizontal="center" vertical="center"/>
    </xf>
    <xf numFmtId="176" fontId="1" fillId="5" borderId="27" xfId="1" applyNumberFormat="1" applyFill="1" applyBorder="1" applyAlignment="1">
      <alignment vertical="center"/>
    </xf>
    <xf numFmtId="176" fontId="1" fillId="0" borderId="102" xfId="1" applyNumberFormat="1" applyBorder="1" applyAlignment="1">
      <alignment vertical="center"/>
    </xf>
    <xf numFmtId="0" fontId="1" fillId="5" borderId="27" xfId="1" applyFill="1" applyBorder="1" applyAlignment="1">
      <alignment vertical="center"/>
    </xf>
    <xf numFmtId="0" fontId="1" fillId="5" borderId="103" xfId="1" applyFill="1" applyBorder="1" applyAlignment="1">
      <alignment vertical="center"/>
    </xf>
    <xf numFmtId="0" fontId="1" fillId="5" borderId="103" xfId="1" applyFill="1" applyBorder="1" applyAlignment="1">
      <alignment horizontal="left" vertical="center"/>
    </xf>
    <xf numFmtId="0" fontId="1" fillId="5" borderId="104" xfId="1" applyFill="1" applyBorder="1" applyAlignment="1">
      <alignment horizontal="left" vertical="center"/>
    </xf>
    <xf numFmtId="0" fontId="1" fillId="5" borderId="104" xfId="1" applyFill="1" applyBorder="1" applyAlignment="1">
      <alignment horizontal="center" vertical="center"/>
    </xf>
    <xf numFmtId="176" fontId="1" fillId="5" borderId="104" xfId="1" applyNumberFormat="1" applyFill="1" applyBorder="1" applyAlignment="1">
      <alignment horizontal="center" vertical="center"/>
    </xf>
    <xf numFmtId="176" fontId="1" fillId="5" borderId="104" xfId="1" applyNumberFormat="1" applyFill="1" applyBorder="1" applyAlignment="1">
      <alignment vertical="center"/>
    </xf>
    <xf numFmtId="176" fontId="1" fillId="0" borderId="17" xfId="1" applyNumberFormat="1" applyBorder="1" applyAlignment="1">
      <alignment vertical="center"/>
    </xf>
    <xf numFmtId="0" fontId="1" fillId="0" borderId="43" xfId="1" applyBorder="1" applyAlignment="1">
      <alignment horizontal="center" vertical="center"/>
    </xf>
    <xf numFmtId="0" fontId="1" fillId="6" borderId="18" xfId="1" applyFill="1" applyBorder="1" applyAlignment="1">
      <alignment vertical="center"/>
    </xf>
    <xf numFmtId="0" fontId="1" fillId="6" borderId="32" xfId="1" applyFill="1" applyBorder="1" applyAlignment="1">
      <alignment vertical="center"/>
    </xf>
    <xf numFmtId="176" fontId="1" fillId="6" borderId="32" xfId="1" applyNumberFormat="1" applyFill="1" applyBorder="1" applyAlignment="1">
      <alignment vertical="center"/>
    </xf>
    <xf numFmtId="176" fontId="1" fillId="7" borderId="42" xfId="1" applyNumberFormat="1" applyFill="1" applyBorder="1" applyAlignment="1">
      <alignment vertical="center"/>
    </xf>
    <xf numFmtId="0" fontId="1" fillId="6" borderId="42" xfId="1" applyFill="1" applyBorder="1" applyAlignment="1">
      <alignment horizontal="center" vertical="center"/>
    </xf>
    <xf numFmtId="0" fontId="1" fillId="5" borderId="105" xfId="1" applyFill="1" applyBorder="1" applyAlignment="1">
      <alignment horizontal="left" vertical="center"/>
    </xf>
    <xf numFmtId="0" fontId="1" fillId="5" borderId="106" xfId="1" applyFill="1" applyBorder="1" applyAlignment="1">
      <alignment horizontal="left" vertical="center"/>
    </xf>
    <xf numFmtId="0" fontId="1" fillId="5" borderId="106" xfId="1" applyFill="1" applyBorder="1" applyAlignment="1">
      <alignment horizontal="center" vertical="center"/>
    </xf>
    <xf numFmtId="176" fontId="1" fillId="5" borderId="106" xfId="1" applyNumberFormat="1" applyFill="1" applyBorder="1" applyAlignment="1">
      <alignment horizontal="center" vertical="center"/>
    </xf>
    <xf numFmtId="176" fontId="1" fillId="5" borderId="106" xfId="1" applyNumberFormat="1" applyFill="1" applyBorder="1" applyAlignment="1">
      <alignment vertical="center"/>
    </xf>
    <xf numFmtId="176" fontId="1" fillId="0" borderId="106" xfId="1" applyNumberFormat="1" applyBorder="1" applyAlignment="1">
      <alignment vertical="center"/>
    </xf>
    <xf numFmtId="0" fontId="1" fillId="0" borderId="106" xfId="1" applyBorder="1" applyAlignment="1">
      <alignment horizontal="center" vertical="center"/>
    </xf>
    <xf numFmtId="0" fontId="1" fillId="0" borderId="45" xfId="1" applyBorder="1" applyAlignment="1">
      <alignment vertical="center"/>
    </xf>
    <xf numFmtId="0" fontId="1" fillId="0" borderId="42" xfId="1" applyBorder="1" applyAlignment="1">
      <alignment vertical="center"/>
    </xf>
    <xf numFmtId="181" fontId="1" fillId="0" borderId="42" xfId="1" applyNumberFormat="1" applyBorder="1" applyAlignment="1">
      <alignment vertical="center"/>
    </xf>
    <xf numFmtId="176" fontId="1" fillId="0" borderId="42" xfId="1" applyNumberFormat="1" applyBorder="1" applyAlignment="1">
      <alignment vertical="center"/>
    </xf>
    <xf numFmtId="0" fontId="1" fillId="0" borderId="4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182" fontId="1" fillId="5" borderId="27" xfId="1" applyNumberFormat="1" applyFill="1" applyBorder="1" applyAlignment="1">
      <alignment horizontal="center" vertical="center"/>
    </xf>
    <xf numFmtId="176" fontId="1" fillId="8" borderId="12" xfId="1" applyNumberFormat="1" applyFill="1" applyBorder="1" applyAlignment="1">
      <alignment vertical="center"/>
    </xf>
    <xf numFmtId="0" fontId="27" fillId="0" borderId="49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176" fontId="1" fillId="5" borderId="21" xfId="1" applyNumberFormat="1" applyFill="1" applyBorder="1" applyAlignment="1">
      <alignment horizontal="center" vertical="center"/>
    </xf>
    <xf numFmtId="176" fontId="1" fillId="5" borderId="21" xfId="1" applyNumberFormat="1" applyFill="1" applyBorder="1" applyAlignment="1">
      <alignment vertical="center"/>
    </xf>
    <xf numFmtId="176" fontId="1" fillId="0" borderId="23" xfId="1" applyNumberFormat="1" applyBorder="1" applyAlignment="1">
      <alignment vertical="center"/>
    </xf>
    <xf numFmtId="0" fontId="27" fillId="0" borderId="60" xfId="1" applyFont="1" applyBorder="1" applyAlignment="1">
      <alignment vertical="center"/>
    </xf>
    <xf numFmtId="0" fontId="1" fillId="0" borderId="105" xfId="1" applyBorder="1" applyAlignment="1">
      <alignment horizontal="center" vertical="center"/>
    </xf>
    <xf numFmtId="0" fontId="27" fillId="0" borderId="107" xfId="1" applyFont="1" applyBorder="1" applyAlignment="1">
      <alignment vertical="center"/>
    </xf>
    <xf numFmtId="0" fontId="27" fillId="0" borderId="69" xfId="1" applyFont="1" applyBorder="1" applyAlignment="1">
      <alignment vertical="center"/>
    </xf>
    <xf numFmtId="0" fontId="27" fillId="0" borderId="68" xfId="1" applyFont="1" applyBorder="1" applyAlignment="1">
      <alignment vertical="center"/>
    </xf>
    <xf numFmtId="0" fontId="29" fillId="0" borderId="6" xfId="1" applyFont="1" applyBorder="1" applyAlignment="1">
      <alignment vertical="center"/>
    </xf>
    <xf numFmtId="0" fontId="17" fillId="0" borderId="68" xfId="1" applyFont="1" applyBorder="1" applyAlignment="1">
      <alignment vertical="center"/>
    </xf>
    <xf numFmtId="0" fontId="17" fillId="0" borderId="6" xfId="1" applyFont="1" applyBorder="1" applyAlignment="1">
      <alignment vertical="center"/>
    </xf>
    <xf numFmtId="0" fontId="17" fillId="0" borderId="69" xfId="1" applyFont="1" applyBorder="1" applyAlignment="1">
      <alignment vertical="center"/>
    </xf>
    <xf numFmtId="0" fontId="17" fillId="0" borderId="20" xfId="1" applyFont="1" applyBorder="1" applyAlignment="1">
      <alignment vertical="center"/>
    </xf>
    <xf numFmtId="0" fontId="17" fillId="6" borderId="69" xfId="1" applyFont="1" applyFill="1" applyBorder="1" applyAlignment="1">
      <alignment vertical="center"/>
    </xf>
    <xf numFmtId="0" fontId="17" fillId="6" borderId="20" xfId="1" applyFont="1" applyFill="1" applyBorder="1" applyAlignment="1">
      <alignment vertical="center"/>
    </xf>
    <xf numFmtId="0" fontId="3" fillId="0" borderId="20" xfId="1" applyFont="1" applyBorder="1" applyAlignment="1">
      <alignment vertical="center"/>
    </xf>
    <xf numFmtId="176" fontId="1" fillId="7" borderId="102" xfId="1" applyNumberFormat="1" applyFill="1" applyBorder="1" applyAlignment="1">
      <alignment vertical="center"/>
    </xf>
    <xf numFmtId="0" fontId="30" fillId="0" borderId="49" xfId="1" applyFont="1" applyBorder="1" applyAlignment="1">
      <alignment vertical="center"/>
    </xf>
    <xf numFmtId="0" fontId="30" fillId="0" borderId="60" xfId="1" applyFont="1" applyBorder="1" applyAlignment="1">
      <alignment vertical="center"/>
    </xf>
    <xf numFmtId="0" fontId="3" fillId="0" borderId="20" xfId="1" applyFont="1" applyBorder="1" applyAlignment="1">
      <alignment horizontal="left" vertical="center"/>
    </xf>
    <xf numFmtId="0" fontId="30" fillId="0" borderId="107" xfId="1" applyFont="1" applyBorder="1" applyAlignment="1">
      <alignment vertical="center"/>
    </xf>
    <xf numFmtId="0" fontId="30" fillId="0" borderId="69" xfId="1" applyFont="1" applyBorder="1" applyAlignment="1">
      <alignment vertical="center"/>
    </xf>
    <xf numFmtId="0" fontId="31" fillId="0" borderId="107" xfId="1" applyFont="1" applyBorder="1" applyAlignment="1">
      <alignment vertical="center"/>
    </xf>
    <xf numFmtId="0" fontId="1" fillId="0" borderId="108" xfId="1" applyBorder="1" applyAlignment="1">
      <alignment vertical="center"/>
    </xf>
    <xf numFmtId="0" fontId="1" fillId="0" borderId="23" xfId="1" applyBorder="1" applyAlignment="1">
      <alignment vertical="center"/>
    </xf>
    <xf numFmtId="0" fontId="1" fillId="0" borderId="21" xfId="1" applyBorder="1" applyAlignment="1">
      <alignment horizontal="center" vertical="center" shrinkToFit="1"/>
    </xf>
    <xf numFmtId="0" fontId="1" fillId="0" borderId="68" xfId="1" applyBorder="1" applyAlignment="1">
      <alignment vertical="center"/>
    </xf>
    <xf numFmtId="0" fontId="1" fillId="0" borderId="102" xfId="1" applyBorder="1" applyAlignment="1">
      <alignment vertical="center"/>
    </xf>
    <xf numFmtId="0" fontId="1" fillId="0" borderId="107" xfId="1" applyBorder="1" applyAlignment="1">
      <alignment vertical="center"/>
    </xf>
    <xf numFmtId="176" fontId="1" fillId="7" borderId="45" xfId="1" applyNumberFormat="1" applyFill="1" applyBorder="1" applyAlignment="1">
      <alignment vertical="center"/>
    </xf>
    <xf numFmtId="0" fontId="27" fillId="0" borderId="108" xfId="1" applyFont="1" applyBorder="1" applyAlignment="1">
      <alignment vertical="center"/>
    </xf>
    <xf numFmtId="0" fontId="3" fillId="0" borderId="30" xfId="1" applyFont="1" applyBorder="1" applyAlignment="1">
      <alignment vertical="center"/>
    </xf>
    <xf numFmtId="0" fontId="1" fillId="0" borderId="29" xfId="1" applyBorder="1" applyAlignment="1">
      <alignment vertical="center"/>
    </xf>
    <xf numFmtId="0" fontId="1" fillId="0" borderId="104" xfId="1" applyBorder="1" applyAlignment="1">
      <alignment horizontal="center" vertical="center"/>
    </xf>
    <xf numFmtId="176" fontId="1" fillId="7" borderId="109" xfId="1" applyNumberFormat="1" applyFill="1" applyBorder="1" applyAlignment="1">
      <alignment vertical="center"/>
    </xf>
    <xf numFmtId="0" fontId="1" fillId="0" borderId="34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1" fillId="0" borderId="35" xfId="1" applyBorder="1" applyAlignment="1">
      <alignment vertical="center"/>
    </xf>
    <xf numFmtId="9" fontId="1" fillId="5" borderId="12" xfId="2" applyFont="1" applyFill="1" applyBorder="1" applyAlignment="1">
      <alignment horizontal="center" vertical="center"/>
    </xf>
    <xf numFmtId="176" fontId="1" fillId="0" borderId="33" xfId="1" applyNumberFormat="1" applyBorder="1" applyAlignment="1">
      <alignment vertical="center"/>
    </xf>
    <xf numFmtId="176" fontId="1" fillId="8" borderId="42" xfId="1" applyNumberFormat="1" applyFill="1" applyBorder="1" applyAlignment="1">
      <alignment vertical="center"/>
    </xf>
    <xf numFmtId="179" fontId="1" fillId="9" borderId="12" xfId="1" applyNumberFormat="1" applyFill="1" applyBorder="1" applyAlignment="1">
      <alignment horizontal="center" vertical="center"/>
    </xf>
    <xf numFmtId="3" fontId="1" fillId="9" borderId="12" xfId="1" applyNumberFormat="1" applyFill="1" applyBorder="1" applyAlignment="1">
      <alignment horizontal="center" vertical="center"/>
    </xf>
    <xf numFmtId="4" fontId="1" fillId="9" borderId="12" xfId="1" applyNumberFormat="1" applyFill="1" applyBorder="1" applyAlignment="1">
      <alignment horizontal="center" vertical="center"/>
    </xf>
    <xf numFmtId="179" fontId="6" fillId="0" borderId="12" xfId="1" applyNumberFormat="1" applyFont="1" applyBorder="1" applyAlignment="1">
      <alignment horizontal="right" vertical="center"/>
    </xf>
    <xf numFmtId="179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left" vertical="center"/>
    </xf>
    <xf numFmtId="179" fontId="1" fillId="0" borderId="0" xfId="1" applyNumberFormat="1" applyAlignment="1">
      <alignment horizontal="left" vertical="center"/>
    </xf>
    <xf numFmtId="176" fontId="25" fillId="0" borderId="0" xfId="1" applyNumberFormat="1" applyFont="1" applyAlignment="1">
      <alignment vertical="center"/>
    </xf>
    <xf numFmtId="0" fontId="1" fillId="0" borderId="39" xfId="1" applyBorder="1" applyAlignment="1">
      <alignment vertical="center"/>
    </xf>
    <xf numFmtId="0" fontId="34" fillId="10" borderId="0" xfId="1" applyFont="1" applyFill="1" applyAlignment="1">
      <alignment vertical="center"/>
    </xf>
    <xf numFmtId="0" fontId="1" fillId="6" borderId="43" xfId="1" applyFill="1" applyBorder="1" applyAlignment="1">
      <alignment vertical="center"/>
    </xf>
    <xf numFmtId="0" fontId="1" fillId="6" borderId="42" xfId="1" applyFill="1" applyBorder="1" applyAlignment="1">
      <alignment vertical="center"/>
    </xf>
    <xf numFmtId="176" fontId="1" fillId="6" borderId="42" xfId="1" applyNumberFormat="1" applyFill="1" applyBorder="1" applyAlignment="1">
      <alignment vertical="center"/>
    </xf>
    <xf numFmtId="0" fontId="1" fillId="0" borderId="106" xfId="1" applyBorder="1" applyAlignment="1">
      <alignment vertical="center"/>
    </xf>
    <xf numFmtId="0" fontId="1" fillId="0" borderId="21" xfId="1" applyBorder="1" applyAlignment="1">
      <alignment vertical="center"/>
    </xf>
    <xf numFmtId="0" fontId="35" fillId="0" borderId="21" xfId="1" applyFont="1" applyBorder="1" applyAlignment="1">
      <alignment vertical="center"/>
    </xf>
    <xf numFmtId="0" fontId="35" fillId="0" borderId="106" xfId="1" applyFont="1" applyBorder="1" applyAlignment="1">
      <alignment vertical="center"/>
    </xf>
    <xf numFmtId="0" fontId="35" fillId="0" borderId="21" xfId="1" applyFont="1" applyBorder="1" applyAlignment="1">
      <alignment vertical="center" shrinkToFit="1"/>
    </xf>
    <xf numFmtId="0" fontId="35" fillId="0" borderId="42" xfId="1" applyFont="1" applyBorder="1" applyAlignment="1">
      <alignment vertical="center"/>
    </xf>
    <xf numFmtId="0" fontId="35" fillId="0" borderId="27" xfId="1" applyFont="1" applyBorder="1" applyAlignment="1">
      <alignment vertical="center"/>
    </xf>
    <xf numFmtId="0" fontId="35" fillId="0" borderId="104" xfId="1" applyFont="1" applyBorder="1" applyAlignment="1">
      <alignment vertical="center"/>
    </xf>
    <xf numFmtId="0" fontId="1" fillId="0" borderId="104" xfId="1" applyBorder="1" applyAlignment="1">
      <alignment vertical="center"/>
    </xf>
    <xf numFmtId="0" fontId="1" fillId="0" borderId="49" xfId="1" applyBorder="1" applyAlignment="1">
      <alignment horizontal="center" vertical="center"/>
    </xf>
    <xf numFmtId="0" fontId="1" fillId="0" borderId="25" xfId="1" applyBorder="1" applyAlignment="1">
      <alignment vertical="center"/>
    </xf>
    <xf numFmtId="0" fontId="1" fillId="0" borderId="26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31" xfId="1" applyBorder="1" applyAlignment="1">
      <alignment vertical="center"/>
    </xf>
    <xf numFmtId="0" fontId="1" fillId="0" borderId="66" xfId="1" applyBorder="1" applyAlignment="1">
      <alignment vertical="center"/>
    </xf>
    <xf numFmtId="0" fontId="36" fillId="0" borderId="0" xfId="1" applyFont="1" applyAlignment="1">
      <alignment vertical="center"/>
    </xf>
    <xf numFmtId="0" fontId="6" fillId="0" borderId="11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2" borderId="43" xfId="1" applyFill="1" applyBorder="1" applyAlignment="1">
      <alignment vertical="center"/>
    </xf>
    <xf numFmtId="0" fontId="1" fillId="2" borderId="44" xfId="1" applyFill="1" applyBorder="1" applyAlignment="1">
      <alignment vertical="center"/>
    </xf>
    <xf numFmtId="0" fontId="1" fillId="2" borderId="45" xfId="1" applyFill="1" applyBorder="1" applyAlignment="1">
      <alignment vertical="center"/>
    </xf>
    <xf numFmtId="0" fontId="1" fillId="2" borderId="46" xfId="1" applyFill="1" applyBorder="1" applyAlignment="1">
      <alignment vertical="center"/>
    </xf>
    <xf numFmtId="0" fontId="1" fillId="2" borderId="47" xfId="1" applyFill="1" applyBorder="1" applyAlignment="1">
      <alignment vertical="center"/>
    </xf>
    <xf numFmtId="0" fontId="1" fillId="2" borderId="48" xfId="1" applyFill="1" applyBorder="1" applyAlignment="1">
      <alignment vertical="center"/>
    </xf>
    <xf numFmtId="176" fontId="1" fillId="0" borderId="33" xfId="1" applyNumberFormat="1" applyBorder="1" applyAlignment="1">
      <alignment horizontal="center" vertical="center" wrapText="1"/>
    </xf>
    <xf numFmtId="176" fontId="1" fillId="0" borderId="35" xfId="1" applyNumberFormat="1" applyBorder="1" applyAlignment="1">
      <alignment horizontal="center" vertical="center" wrapText="1"/>
    </xf>
    <xf numFmtId="0" fontId="1" fillId="0" borderId="15" xfId="1" applyBorder="1" applyAlignment="1">
      <alignment horizontal="center" vertical="center" textRotation="255"/>
    </xf>
    <xf numFmtId="0" fontId="1" fillId="0" borderId="39" xfId="1" applyBorder="1" applyAlignment="1">
      <alignment horizontal="center" vertical="center" textRotation="255"/>
    </xf>
    <xf numFmtId="0" fontId="1" fillId="0" borderId="42" xfId="1" applyBorder="1" applyAlignment="1">
      <alignment horizontal="center" vertical="center" textRotation="255"/>
    </xf>
    <xf numFmtId="0" fontId="1" fillId="2" borderId="13" xfId="1" applyFill="1" applyBorder="1" applyAlignment="1">
      <alignment vertical="center"/>
    </xf>
    <xf numFmtId="0" fontId="1" fillId="2" borderId="38" xfId="1" applyFill="1" applyBorder="1" applyAlignment="1">
      <alignment vertical="center"/>
    </xf>
    <xf numFmtId="0" fontId="1" fillId="2" borderId="14" xfId="1" applyFill="1" applyBorder="1" applyAlignment="1">
      <alignment vertical="center"/>
    </xf>
    <xf numFmtId="0" fontId="1" fillId="0" borderId="33" xfId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2" borderId="16" xfId="1" applyFill="1" applyBorder="1" applyAlignment="1">
      <alignment vertical="center"/>
    </xf>
    <xf numFmtId="0" fontId="1" fillId="2" borderId="0" xfId="1" applyFill="1" applyAlignment="1">
      <alignment vertical="center"/>
    </xf>
    <xf numFmtId="0" fontId="1" fillId="2" borderId="17" xfId="1" applyFill="1" applyBorder="1" applyAlignment="1">
      <alignment vertical="center"/>
    </xf>
    <xf numFmtId="0" fontId="1" fillId="2" borderId="40" xfId="1" applyFill="1" applyBorder="1" applyAlignment="1">
      <alignment vertical="center"/>
    </xf>
    <xf numFmtId="0" fontId="1" fillId="2" borderId="41" xfId="1" applyFill="1" applyBorder="1" applyAlignment="1">
      <alignment vertical="center"/>
    </xf>
    <xf numFmtId="0" fontId="1" fillId="2" borderId="23" xfId="1" applyFill="1" applyBorder="1" applyAlignment="1">
      <alignment vertical="center"/>
    </xf>
    <xf numFmtId="177" fontId="1" fillId="2" borderId="16" xfId="1" applyNumberFormat="1" applyFill="1" applyBorder="1" applyAlignment="1">
      <alignment horizontal="left" vertical="center"/>
    </xf>
    <xf numFmtId="177" fontId="1" fillId="2" borderId="0" xfId="1" applyNumberFormat="1" applyFill="1" applyAlignment="1">
      <alignment horizontal="left" vertical="center"/>
    </xf>
    <xf numFmtId="177" fontId="1" fillId="2" borderId="17" xfId="1" applyNumberFormat="1" applyFill="1" applyBorder="1" applyAlignment="1">
      <alignment horizontal="left"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29" xfId="1" applyFill="1" applyBorder="1" applyAlignment="1">
      <alignment vertical="center"/>
    </xf>
    <xf numFmtId="178" fontId="1" fillId="2" borderId="16" xfId="1" applyNumberFormat="1" applyFill="1" applyBorder="1" applyAlignment="1">
      <alignment vertical="center"/>
    </xf>
    <xf numFmtId="178" fontId="1" fillId="2" borderId="0" xfId="1" applyNumberFormat="1" applyFill="1" applyAlignment="1">
      <alignment vertical="center"/>
    </xf>
    <xf numFmtId="178" fontId="1" fillId="2" borderId="17" xfId="1" applyNumberFormat="1" applyFill="1" applyBorder="1" applyAlignment="1">
      <alignment vertical="center"/>
    </xf>
    <xf numFmtId="0" fontId="1" fillId="0" borderId="28" xfId="1" applyBorder="1" applyAlignment="1">
      <alignment horizontal="left" vertical="center"/>
    </xf>
    <xf numFmtId="0" fontId="1" fillId="0" borderId="29" xfId="1" applyBorder="1" applyAlignment="1">
      <alignment horizontal="left" vertical="center"/>
    </xf>
    <xf numFmtId="176" fontId="1" fillId="0" borderId="28" xfId="1" applyNumberFormat="1" applyBorder="1" applyAlignment="1">
      <alignment horizontal="center" vertical="center"/>
    </xf>
    <xf numFmtId="176" fontId="1" fillId="0" borderId="30" xfId="1" applyNumberFormat="1" applyBorder="1" applyAlignment="1">
      <alignment horizontal="center" vertical="center"/>
    </xf>
    <xf numFmtId="176" fontId="1" fillId="0" borderId="18" xfId="1" applyNumberFormat="1" applyBorder="1" applyAlignment="1">
      <alignment horizontal="center" vertical="center"/>
    </xf>
    <xf numFmtId="176" fontId="1" fillId="0" borderId="19" xfId="1" applyNumberFormat="1" applyBorder="1" applyAlignment="1">
      <alignment horizontal="center" vertical="center"/>
    </xf>
    <xf numFmtId="176" fontId="1" fillId="0" borderId="33" xfId="1" applyNumberFormat="1" applyBorder="1" applyAlignment="1">
      <alignment horizontal="center" vertical="center"/>
    </xf>
    <xf numFmtId="176" fontId="1" fillId="0" borderId="34" xfId="1" applyNumberFormat="1" applyBorder="1" applyAlignment="1">
      <alignment horizontal="center" vertical="center"/>
    </xf>
    <xf numFmtId="176" fontId="1" fillId="0" borderId="35" xfId="1" applyNumberFormat="1" applyBorder="1" applyAlignment="1">
      <alignment horizontal="center" vertical="center"/>
    </xf>
    <xf numFmtId="176" fontId="1" fillId="0" borderId="36" xfId="1" applyNumberForma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22" xfId="1" applyBorder="1" applyAlignment="1">
      <alignment horizontal="left" vertical="center"/>
    </xf>
    <xf numFmtId="0" fontId="1" fillId="0" borderId="23" xfId="1" applyBorder="1" applyAlignment="1">
      <alignment horizontal="left" vertical="center"/>
    </xf>
    <xf numFmtId="176" fontId="1" fillId="0" borderId="22" xfId="1" applyNumberFormat="1" applyBorder="1" applyAlignment="1">
      <alignment horizontal="center" vertical="center"/>
    </xf>
    <xf numFmtId="176" fontId="1" fillId="0" borderId="24" xfId="1" applyNumberForma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0" xfId="1" applyFont="1" applyFill="1" applyAlignment="1">
      <alignment horizontal="left" vertical="center"/>
    </xf>
    <xf numFmtId="0" fontId="1" fillId="0" borderId="0" xfId="1" applyAlignment="1">
      <alignment vertical="center"/>
    </xf>
    <xf numFmtId="176" fontId="6" fillId="3" borderId="0" xfId="1" applyNumberFormat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4" xfId="1" applyBorder="1" applyAlignment="1">
      <alignment horizontal="center" vertical="center" textRotation="255"/>
    </xf>
    <xf numFmtId="3" fontId="1" fillId="0" borderId="71" xfId="1" applyNumberFormat="1" applyBorder="1" applyAlignment="1">
      <alignment horizontal="center" vertical="center"/>
    </xf>
    <xf numFmtId="3" fontId="17" fillId="0" borderId="72" xfId="1" quotePrefix="1" applyNumberFormat="1" applyFont="1" applyBorder="1" applyAlignment="1">
      <alignment horizontal="left" vertical="center"/>
    </xf>
    <xf numFmtId="3" fontId="17" fillId="0" borderId="71" xfId="1" quotePrefix="1" applyNumberFormat="1" applyFont="1" applyBorder="1" applyAlignment="1">
      <alignment horizontal="left" vertical="center"/>
    </xf>
    <xf numFmtId="3" fontId="17" fillId="0" borderId="73" xfId="1" quotePrefix="1" applyNumberFormat="1" applyFont="1" applyBorder="1" applyAlignment="1">
      <alignment horizontal="left" vertical="center"/>
    </xf>
    <xf numFmtId="3" fontId="1" fillId="0" borderId="4" xfId="1" applyNumberFormat="1" applyBorder="1" applyAlignment="1">
      <alignment horizontal="center" vertical="center"/>
    </xf>
    <xf numFmtId="3" fontId="1" fillId="0" borderId="5" xfId="1" applyNumberFormat="1" applyBorder="1" applyAlignment="1">
      <alignment horizontal="center" vertical="center"/>
    </xf>
    <xf numFmtId="3" fontId="1" fillId="0" borderId="30" xfId="1" applyNumberFormat="1" applyBorder="1" applyAlignment="1">
      <alignment horizontal="center" vertical="center"/>
    </xf>
    <xf numFmtId="3" fontId="17" fillId="0" borderId="4" xfId="1" applyNumberFormat="1" applyFont="1" applyBorder="1" applyAlignment="1">
      <alignment horizontal="left" vertical="center"/>
    </xf>
    <xf numFmtId="3" fontId="17" fillId="0" borderId="5" xfId="1" applyNumberFormat="1" applyFont="1" applyBorder="1" applyAlignment="1">
      <alignment horizontal="left" vertical="center"/>
    </xf>
    <xf numFmtId="3" fontId="17" fillId="0" borderId="30" xfId="1" applyNumberFormat="1" applyFont="1" applyBorder="1" applyAlignment="1">
      <alignment horizontal="left" vertical="center"/>
    </xf>
    <xf numFmtId="3" fontId="1" fillId="0" borderId="46" xfId="1" applyNumberFormat="1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1" fillId="0" borderId="19" xfId="1" applyNumberFormat="1" applyBorder="1" applyAlignment="1">
      <alignment horizontal="center" vertical="center"/>
    </xf>
    <xf numFmtId="3" fontId="1" fillId="0" borderId="46" xfId="1" quotePrefix="1" applyNumberFormat="1" applyBorder="1" applyAlignment="1">
      <alignment horizontal="left" vertical="center"/>
    </xf>
    <xf numFmtId="3" fontId="1" fillId="0" borderId="47" xfId="1" quotePrefix="1" applyNumberFormat="1" applyBorder="1" applyAlignment="1">
      <alignment horizontal="left" vertical="center"/>
    </xf>
    <xf numFmtId="3" fontId="1" fillId="0" borderId="19" xfId="1" quotePrefix="1" applyNumberFormat="1" applyBorder="1" applyAlignment="1">
      <alignment horizontal="left" vertical="center"/>
    </xf>
    <xf numFmtId="3" fontId="1" fillId="0" borderId="50" xfId="1" applyNumberFormat="1" applyBorder="1" applyAlignment="1">
      <alignment horizontal="center" vertical="center"/>
    </xf>
    <xf numFmtId="3" fontId="1" fillId="0" borderId="38" xfId="1" applyNumberFormat="1" applyBorder="1" applyAlignment="1">
      <alignment horizontal="center" vertical="center"/>
    </xf>
    <xf numFmtId="3" fontId="1" fillId="0" borderId="51" xfId="1" applyNumberFormat="1" applyBorder="1" applyAlignment="1">
      <alignment horizontal="center" vertical="center"/>
    </xf>
    <xf numFmtId="3" fontId="1" fillId="0" borderId="55" xfId="1" applyNumberFormat="1" applyBorder="1" applyAlignment="1">
      <alignment horizontal="center" vertical="center"/>
    </xf>
    <xf numFmtId="3" fontId="1" fillId="0" borderId="56" xfId="1" applyNumberFormat="1" applyBorder="1" applyAlignment="1">
      <alignment horizontal="center" vertical="center"/>
    </xf>
    <xf numFmtId="3" fontId="1" fillId="0" borderId="57" xfId="1" applyNumberFormat="1" applyBorder="1" applyAlignment="1">
      <alignment horizontal="center" vertical="center"/>
    </xf>
    <xf numFmtId="3" fontId="1" fillId="0" borderId="60" xfId="1" applyNumberFormat="1" applyBorder="1" applyAlignment="1">
      <alignment horizontal="center" vertical="center"/>
    </xf>
    <xf numFmtId="3" fontId="1" fillId="0" borderId="64" xfId="1" applyNumberFormat="1" applyBorder="1" applyAlignment="1">
      <alignment horizontal="center" vertical="center"/>
    </xf>
    <xf numFmtId="3" fontId="1" fillId="0" borderId="7" xfId="1" applyNumberFormat="1" applyBorder="1" applyAlignment="1">
      <alignment horizontal="center" vertical="center" wrapText="1"/>
    </xf>
    <xf numFmtId="3" fontId="1" fillId="0" borderId="7" xfId="1" applyNumberFormat="1" applyBorder="1" applyAlignment="1">
      <alignment horizontal="center" vertical="center"/>
    </xf>
    <xf numFmtId="3" fontId="1" fillId="0" borderId="65" xfId="1" applyNumberFormat="1" applyBorder="1" applyAlignment="1">
      <alignment horizontal="center" vertical="center"/>
    </xf>
    <xf numFmtId="3" fontId="1" fillId="0" borderId="9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3" fontId="1" fillId="0" borderId="4" xfId="1" applyNumberFormat="1" applyBorder="1" applyAlignment="1">
      <alignment horizontal="right" vertical="center"/>
    </xf>
    <xf numFmtId="3" fontId="1" fillId="0" borderId="5" xfId="1" applyNumberFormat="1" applyBorder="1" applyAlignment="1">
      <alignment horizontal="right" vertical="center"/>
    </xf>
    <xf numFmtId="3" fontId="1" fillId="0" borderId="30" xfId="1" applyNumberFormat="1" applyBorder="1" applyAlignment="1">
      <alignment horizontal="right" vertical="center"/>
    </xf>
    <xf numFmtId="0" fontId="1" fillId="0" borderId="38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176" fontId="1" fillId="0" borderId="13" xfId="1" applyNumberFormat="1" applyBorder="1" applyAlignment="1">
      <alignment horizontal="center" vertical="center"/>
    </xf>
    <xf numFmtId="176" fontId="1" fillId="0" borderId="38" xfId="1" applyNumberFormat="1" applyBorder="1" applyAlignment="1">
      <alignment horizontal="center" vertical="center"/>
    </xf>
    <xf numFmtId="176" fontId="1" fillId="0" borderId="14" xfId="1" applyNumberFormat="1" applyBorder="1" applyAlignment="1">
      <alignment horizontal="center" vertical="center"/>
    </xf>
    <xf numFmtId="0" fontId="1" fillId="0" borderId="15" xfId="1" applyBorder="1" applyAlignment="1">
      <alignment horizontal="center" vertical="center" wrapText="1"/>
    </xf>
    <xf numFmtId="0" fontId="1" fillId="0" borderId="39" xfId="1" applyBorder="1" applyAlignment="1">
      <alignment horizontal="center" vertical="center" wrapText="1"/>
    </xf>
    <xf numFmtId="0" fontId="1" fillId="0" borderId="39" xfId="1" applyBorder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7" borderId="16" xfId="1" applyFill="1" applyBorder="1" applyAlignment="1">
      <alignment horizontal="center" vertical="center"/>
    </xf>
    <xf numFmtId="0" fontId="1" fillId="7" borderId="0" xfId="1" applyFill="1" applyAlignment="1">
      <alignment horizontal="center" vertical="center"/>
    </xf>
    <xf numFmtId="0" fontId="1" fillId="7" borderId="17" xfId="1" applyFill="1" applyBorder="1" applyAlignment="1">
      <alignment horizontal="center" vertical="center"/>
    </xf>
    <xf numFmtId="3" fontId="1" fillId="9" borderId="15" xfId="1" applyNumberFormat="1" applyFill="1" applyBorder="1" applyAlignment="1">
      <alignment horizontal="center" vertical="center" wrapText="1"/>
    </xf>
    <xf numFmtId="3" fontId="1" fillId="9" borderId="39" xfId="1" applyNumberFormat="1" applyFill="1" applyBorder="1" applyAlignment="1">
      <alignment horizontal="center" vertical="center" wrapText="1"/>
    </xf>
    <xf numFmtId="3" fontId="1" fillId="9" borderId="42" xfId="1" applyNumberFormat="1" applyFill="1" applyBorder="1" applyAlignment="1">
      <alignment horizontal="center" vertical="center" wrapText="1"/>
    </xf>
    <xf numFmtId="179" fontId="1" fillId="9" borderId="33" xfId="1" applyNumberFormat="1" applyFill="1" applyBorder="1" applyAlignment="1">
      <alignment horizontal="center" vertical="center"/>
    </xf>
    <xf numFmtId="179" fontId="1" fillId="9" borderId="34" xfId="1" applyNumberFormat="1" applyFill="1" applyBorder="1" applyAlignment="1">
      <alignment horizontal="center" vertical="center"/>
    </xf>
    <xf numFmtId="179" fontId="1" fillId="9" borderId="35" xfId="1" applyNumberFormat="1" applyFill="1" applyBorder="1" applyAlignment="1">
      <alignment horizontal="center" vertical="center"/>
    </xf>
    <xf numFmtId="3" fontId="1" fillId="0" borderId="33" xfId="1" applyNumberFormat="1" applyBorder="1" applyAlignment="1">
      <alignment horizontal="center" vertical="center"/>
    </xf>
    <xf numFmtId="3" fontId="1" fillId="0" borderId="34" xfId="1" applyNumberFormat="1" applyBorder="1" applyAlignment="1">
      <alignment horizontal="center" vertical="center"/>
    </xf>
    <xf numFmtId="3" fontId="1" fillId="0" borderId="35" xfId="1" applyNumberFormat="1" applyBorder="1" applyAlignment="1">
      <alignment horizontal="center" vertical="center"/>
    </xf>
    <xf numFmtId="0" fontId="1" fillId="0" borderId="16" xfId="1" applyBorder="1" applyAlignment="1">
      <alignment horizontal="center" vertical="center" wrapText="1"/>
    </xf>
  </cellXfs>
  <cellStyles count="4">
    <cellStyle name="백분율 2" xfId="2" xr:uid="{56E48663-A92D-41A0-810B-61F04CD79A15}"/>
    <cellStyle name="쉼표 [0] 2" xfId="3" xr:uid="{1875D085-0A21-4DB0-BF19-B43A177069AF}"/>
    <cellStyle name="표준" xfId="0" builtinId="0"/>
    <cellStyle name="표준 2" xfId="1" xr:uid="{32A7AAD7-224F-4649-A334-EBCB3EA83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213360</xdr:colOff>
      <xdr:row>24</xdr:row>
      <xdr:rowOff>22860</xdr:rowOff>
    </xdr:from>
    <xdr:to>
      <xdr:col>7</xdr:col>
      <xdr:colOff>617220</xdr:colOff>
      <xdr:row>29</xdr:row>
      <xdr:rowOff>228600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DEDC618-9738-4E97-B00F-4B86DAEF0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8580120"/>
          <a:ext cx="4556760" cy="2110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1F332BB-5944-4873-904A-E7F566B9575F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0</xdr:row>
      <xdr:rowOff>0</xdr:rowOff>
    </xdr:from>
    <xdr:to>
      <xdr:col>9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4990361-C3CD-48F8-89FF-D9ADD1D7E0DC}"/>
            </a:ext>
          </a:extLst>
        </xdr:cNvPr>
        <xdr:cNvSpPr>
          <a:spLocks noChangeArrowheads="1"/>
        </xdr:cNvSpPr>
      </xdr:nvSpPr>
      <xdr:spPr bwMode="auto">
        <a:xfrm>
          <a:off x="748665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72073B7-A0F4-4F09-9F6F-D59B3DC6D897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46F020F-C077-484C-900E-758FB0EE7F92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EB7B91-E4FC-48FF-9D87-CE9994CEB1AD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F589EEB-3117-4987-9B0A-238A6933ADF0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AE5C50D-8EED-425B-9792-A5EBF6431F10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FAFB47-A414-4990-9D6F-57AE9D80DEFA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C3C6C63-94C6-4455-A651-63A2ABA6FA5D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</xdr:colOff>
      <xdr:row>0</xdr:row>
      <xdr:rowOff>0</xdr:rowOff>
    </xdr:from>
    <xdr:to>
      <xdr:col>9</xdr:col>
      <xdr:colOff>954405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59CBDB4-7B44-49DF-AABD-615F9D1841F0}"/>
            </a:ext>
          </a:extLst>
        </xdr:cNvPr>
        <xdr:cNvSpPr>
          <a:spLocks noChangeArrowheads="1"/>
        </xdr:cNvSpPr>
      </xdr:nvSpPr>
      <xdr:spPr bwMode="auto">
        <a:xfrm>
          <a:off x="7479030" y="0"/>
          <a:ext cx="353377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5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7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9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1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1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15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17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8.xml"/><Relationship Id="rId4" Type="http://schemas.openxmlformats.org/officeDocument/2006/relationships/vmlDrawing" Target="../drawings/vmlDrawing19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5" Type="http://schemas.openxmlformats.org/officeDocument/2006/relationships/comments" Target="../comments9.xml"/><Relationship Id="rId4" Type="http://schemas.openxmlformats.org/officeDocument/2006/relationships/vmlDrawing" Target="../drawings/vmlDrawing2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10.xml"/><Relationship Id="rId4" Type="http://schemas.openxmlformats.org/officeDocument/2006/relationships/vmlDrawing" Target="../drawings/vmlDrawing2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8712-C715-4FD7-8A3D-7A21E5A10B53}">
  <sheetPr>
    <tabColor theme="1" tint="4.9989318521683403E-2"/>
    <pageSetUpPr fitToPage="1"/>
  </sheetPr>
  <dimension ref="B1:K44"/>
  <sheetViews>
    <sheetView tabSelected="1" zoomScale="90" zoomScaleNormal="90" zoomScaleSheetLayoutView="90" workbookViewId="0">
      <selection activeCell="K4" sqref="K4"/>
    </sheetView>
  </sheetViews>
  <sheetFormatPr defaultColWidth="9" defaultRowHeight="14.4" x14ac:dyDescent="0.4"/>
  <cols>
    <col min="1" max="1" width="2" style="1" customWidth="1"/>
    <col min="2" max="2" width="4.8984375" style="1" customWidth="1"/>
    <col min="3" max="3" width="8.5" style="1" customWidth="1"/>
    <col min="4" max="4" width="14.69921875" style="1" customWidth="1"/>
    <col min="5" max="5" width="10" style="1" customWidth="1"/>
    <col min="6" max="6" width="13" style="1" customWidth="1"/>
    <col min="7" max="7" width="16" style="1" customWidth="1"/>
    <col min="8" max="8" width="16.09765625" style="1" customWidth="1"/>
    <col min="9" max="9" width="8.69921875" style="1" customWidth="1"/>
    <col min="10" max="10" width="9" style="1"/>
    <col min="11" max="11" width="33.19921875" style="1" customWidth="1"/>
    <col min="12" max="256" width="9" style="1"/>
    <col min="257" max="257" width="2" style="1" customWidth="1"/>
    <col min="258" max="258" width="4.8984375" style="1" customWidth="1"/>
    <col min="259" max="259" width="8.5" style="1" customWidth="1"/>
    <col min="260" max="260" width="14.69921875" style="1" customWidth="1"/>
    <col min="261" max="261" width="10" style="1" customWidth="1"/>
    <col min="262" max="262" width="13" style="1" customWidth="1"/>
    <col min="263" max="263" width="16" style="1" customWidth="1"/>
    <col min="264" max="264" width="16.09765625" style="1" customWidth="1"/>
    <col min="265" max="265" width="8.69921875" style="1" customWidth="1"/>
    <col min="266" max="266" width="9" style="1"/>
    <col min="267" max="267" width="33.19921875" style="1" customWidth="1"/>
    <col min="268" max="512" width="9" style="1"/>
    <col min="513" max="513" width="2" style="1" customWidth="1"/>
    <col min="514" max="514" width="4.8984375" style="1" customWidth="1"/>
    <col min="515" max="515" width="8.5" style="1" customWidth="1"/>
    <col min="516" max="516" width="14.69921875" style="1" customWidth="1"/>
    <col min="517" max="517" width="10" style="1" customWidth="1"/>
    <col min="518" max="518" width="13" style="1" customWidth="1"/>
    <col min="519" max="519" width="16" style="1" customWidth="1"/>
    <col min="520" max="520" width="16.09765625" style="1" customWidth="1"/>
    <col min="521" max="521" width="8.69921875" style="1" customWidth="1"/>
    <col min="522" max="522" width="9" style="1"/>
    <col min="523" max="523" width="33.19921875" style="1" customWidth="1"/>
    <col min="524" max="768" width="9" style="1"/>
    <col min="769" max="769" width="2" style="1" customWidth="1"/>
    <col min="770" max="770" width="4.8984375" style="1" customWidth="1"/>
    <col min="771" max="771" width="8.5" style="1" customWidth="1"/>
    <col min="772" max="772" width="14.69921875" style="1" customWidth="1"/>
    <col min="773" max="773" width="10" style="1" customWidth="1"/>
    <col min="774" max="774" width="13" style="1" customWidth="1"/>
    <col min="775" max="775" width="16" style="1" customWidth="1"/>
    <col min="776" max="776" width="16.09765625" style="1" customWidth="1"/>
    <col min="777" max="777" width="8.69921875" style="1" customWidth="1"/>
    <col min="778" max="778" width="9" style="1"/>
    <col min="779" max="779" width="33.19921875" style="1" customWidth="1"/>
    <col min="780" max="1024" width="9" style="1"/>
    <col min="1025" max="1025" width="2" style="1" customWidth="1"/>
    <col min="1026" max="1026" width="4.8984375" style="1" customWidth="1"/>
    <col min="1027" max="1027" width="8.5" style="1" customWidth="1"/>
    <col min="1028" max="1028" width="14.69921875" style="1" customWidth="1"/>
    <col min="1029" max="1029" width="10" style="1" customWidth="1"/>
    <col min="1030" max="1030" width="13" style="1" customWidth="1"/>
    <col min="1031" max="1031" width="16" style="1" customWidth="1"/>
    <col min="1032" max="1032" width="16.09765625" style="1" customWidth="1"/>
    <col min="1033" max="1033" width="8.69921875" style="1" customWidth="1"/>
    <col min="1034" max="1034" width="9" style="1"/>
    <col min="1035" max="1035" width="33.19921875" style="1" customWidth="1"/>
    <col min="1036" max="1280" width="9" style="1"/>
    <col min="1281" max="1281" width="2" style="1" customWidth="1"/>
    <col min="1282" max="1282" width="4.8984375" style="1" customWidth="1"/>
    <col min="1283" max="1283" width="8.5" style="1" customWidth="1"/>
    <col min="1284" max="1284" width="14.69921875" style="1" customWidth="1"/>
    <col min="1285" max="1285" width="10" style="1" customWidth="1"/>
    <col min="1286" max="1286" width="13" style="1" customWidth="1"/>
    <col min="1287" max="1287" width="16" style="1" customWidth="1"/>
    <col min="1288" max="1288" width="16.09765625" style="1" customWidth="1"/>
    <col min="1289" max="1289" width="8.69921875" style="1" customWidth="1"/>
    <col min="1290" max="1290" width="9" style="1"/>
    <col min="1291" max="1291" width="33.19921875" style="1" customWidth="1"/>
    <col min="1292" max="1536" width="9" style="1"/>
    <col min="1537" max="1537" width="2" style="1" customWidth="1"/>
    <col min="1538" max="1538" width="4.8984375" style="1" customWidth="1"/>
    <col min="1539" max="1539" width="8.5" style="1" customWidth="1"/>
    <col min="1540" max="1540" width="14.69921875" style="1" customWidth="1"/>
    <col min="1541" max="1541" width="10" style="1" customWidth="1"/>
    <col min="1542" max="1542" width="13" style="1" customWidth="1"/>
    <col min="1543" max="1543" width="16" style="1" customWidth="1"/>
    <col min="1544" max="1544" width="16.09765625" style="1" customWidth="1"/>
    <col min="1545" max="1545" width="8.69921875" style="1" customWidth="1"/>
    <col min="1546" max="1546" width="9" style="1"/>
    <col min="1547" max="1547" width="33.19921875" style="1" customWidth="1"/>
    <col min="1548" max="1792" width="9" style="1"/>
    <col min="1793" max="1793" width="2" style="1" customWidth="1"/>
    <col min="1794" max="1794" width="4.8984375" style="1" customWidth="1"/>
    <col min="1795" max="1795" width="8.5" style="1" customWidth="1"/>
    <col min="1796" max="1796" width="14.69921875" style="1" customWidth="1"/>
    <col min="1797" max="1797" width="10" style="1" customWidth="1"/>
    <col min="1798" max="1798" width="13" style="1" customWidth="1"/>
    <col min="1799" max="1799" width="16" style="1" customWidth="1"/>
    <col min="1800" max="1800" width="16.09765625" style="1" customWidth="1"/>
    <col min="1801" max="1801" width="8.69921875" style="1" customWidth="1"/>
    <col min="1802" max="1802" width="9" style="1"/>
    <col min="1803" max="1803" width="33.19921875" style="1" customWidth="1"/>
    <col min="1804" max="2048" width="9" style="1"/>
    <col min="2049" max="2049" width="2" style="1" customWidth="1"/>
    <col min="2050" max="2050" width="4.8984375" style="1" customWidth="1"/>
    <col min="2051" max="2051" width="8.5" style="1" customWidth="1"/>
    <col min="2052" max="2052" width="14.69921875" style="1" customWidth="1"/>
    <col min="2053" max="2053" width="10" style="1" customWidth="1"/>
    <col min="2054" max="2054" width="13" style="1" customWidth="1"/>
    <col min="2055" max="2055" width="16" style="1" customWidth="1"/>
    <col min="2056" max="2056" width="16.09765625" style="1" customWidth="1"/>
    <col min="2057" max="2057" width="8.69921875" style="1" customWidth="1"/>
    <col min="2058" max="2058" width="9" style="1"/>
    <col min="2059" max="2059" width="33.19921875" style="1" customWidth="1"/>
    <col min="2060" max="2304" width="9" style="1"/>
    <col min="2305" max="2305" width="2" style="1" customWidth="1"/>
    <col min="2306" max="2306" width="4.8984375" style="1" customWidth="1"/>
    <col min="2307" max="2307" width="8.5" style="1" customWidth="1"/>
    <col min="2308" max="2308" width="14.69921875" style="1" customWidth="1"/>
    <col min="2309" max="2309" width="10" style="1" customWidth="1"/>
    <col min="2310" max="2310" width="13" style="1" customWidth="1"/>
    <col min="2311" max="2311" width="16" style="1" customWidth="1"/>
    <col min="2312" max="2312" width="16.09765625" style="1" customWidth="1"/>
    <col min="2313" max="2313" width="8.69921875" style="1" customWidth="1"/>
    <col min="2314" max="2314" width="9" style="1"/>
    <col min="2315" max="2315" width="33.19921875" style="1" customWidth="1"/>
    <col min="2316" max="2560" width="9" style="1"/>
    <col min="2561" max="2561" width="2" style="1" customWidth="1"/>
    <col min="2562" max="2562" width="4.8984375" style="1" customWidth="1"/>
    <col min="2563" max="2563" width="8.5" style="1" customWidth="1"/>
    <col min="2564" max="2564" width="14.69921875" style="1" customWidth="1"/>
    <col min="2565" max="2565" width="10" style="1" customWidth="1"/>
    <col min="2566" max="2566" width="13" style="1" customWidth="1"/>
    <col min="2567" max="2567" width="16" style="1" customWidth="1"/>
    <col min="2568" max="2568" width="16.09765625" style="1" customWidth="1"/>
    <col min="2569" max="2569" width="8.69921875" style="1" customWidth="1"/>
    <col min="2570" max="2570" width="9" style="1"/>
    <col min="2571" max="2571" width="33.19921875" style="1" customWidth="1"/>
    <col min="2572" max="2816" width="9" style="1"/>
    <col min="2817" max="2817" width="2" style="1" customWidth="1"/>
    <col min="2818" max="2818" width="4.8984375" style="1" customWidth="1"/>
    <col min="2819" max="2819" width="8.5" style="1" customWidth="1"/>
    <col min="2820" max="2820" width="14.69921875" style="1" customWidth="1"/>
    <col min="2821" max="2821" width="10" style="1" customWidth="1"/>
    <col min="2822" max="2822" width="13" style="1" customWidth="1"/>
    <col min="2823" max="2823" width="16" style="1" customWidth="1"/>
    <col min="2824" max="2824" width="16.09765625" style="1" customWidth="1"/>
    <col min="2825" max="2825" width="8.69921875" style="1" customWidth="1"/>
    <col min="2826" max="2826" width="9" style="1"/>
    <col min="2827" max="2827" width="33.19921875" style="1" customWidth="1"/>
    <col min="2828" max="3072" width="9" style="1"/>
    <col min="3073" max="3073" width="2" style="1" customWidth="1"/>
    <col min="3074" max="3074" width="4.8984375" style="1" customWidth="1"/>
    <col min="3075" max="3075" width="8.5" style="1" customWidth="1"/>
    <col min="3076" max="3076" width="14.69921875" style="1" customWidth="1"/>
    <col min="3077" max="3077" width="10" style="1" customWidth="1"/>
    <col min="3078" max="3078" width="13" style="1" customWidth="1"/>
    <col min="3079" max="3079" width="16" style="1" customWidth="1"/>
    <col min="3080" max="3080" width="16.09765625" style="1" customWidth="1"/>
    <col min="3081" max="3081" width="8.69921875" style="1" customWidth="1"/>
    <col min="3082" max="3082" width="9" style="1"/>
    <col min="3083" max="3083" width="33.19921875" style="1" customWidth="1"/>
    <col min="3084" max="3328" width="9" style="1"/>
    <col min="3329" max="3329" width="2" style="1" customWidth="1"/>
    <col min="3330" max="3330" width="4.8984375" style="1" customWidth="1"/>
    <col min="3331" max="3331" width="8.5" style="1" customWidth="1"/>
    <col min="3332" max="3332" width="14.69921875" style="1" customWidth="1"/>
    <col min="3333" max="3333" width="10" style="1" customWidth="1"/>
    <col min="3334" max="3334" width="13" style="1" customWidth="1"/>
    <col min="3335" max="3335" width="16" style="1" customWidth="1"/>
    <col min="3336" max="3336" width="16.09765625" style="1" customWidth="1"/>
    <col min="3337" max="3337" width="8.69921875" style="1" customWidth="1"/>
    <col min="3338" max="3338" width="9" style="1"/>
    <col min="3339" max="3339" width="33.19921875" style="1" customWidth="1"/>
    <col min="3340" max="3584" width="9" style="1"/>
    <col min="3585" max="3585" width="2" style="1" customWidth="1"/>
    <col min="3586" max="3586" width="4.8984375" style="1" customWidth="1"/>
    <col min="3587" max="3587" width="8.5" style="1" customWidth="1"/>
    <col min="3588" max="3588" width="14.69921875" style="1" customWidth="1"/>
    <col min="3589" max="3589" width="10" style="1" customWidth="1"/>
    <col min="3590" max="3590" width="13" style="1" customWidth="1"/>
    <col min="3591" max="3591" width="16" style="1" customWidth="1"/>
    <col min="3592" max="3592" width="16.09765625" style="1" customWidth="1"/>
    <col min="3593" max="3593" width="8.69921875" style="1" customWidth="1"/>
    <col min="3594" max="3594" width="9" style="1"/>
    <col min="3595" max="3595" width="33.19921875" style="1" customWidth="1"/>
    <col min="3596" max="3840" width="9" style="1"/>
    <col min="3841" max="3841" width="2" style="1" customWidth="1"/>
    <col min="3842" max="3842" width="4.8984375" style="1" customWidth="1"/>
    <col min="3843" max="3843" width="8.5" style="1" customWidth="1"/>
    <col min="3844" max="3844" width="14.69921875" style="1" customWidth="1"/>
    <col min="3845" max="3845" width="10" style="1" customWidth="1"/>
    <col min="3846" max="3846" width="13" style="1" customWidth="1"/>
    <col min="3847" max="3847" width="16" style="1" customWidth="1"/>
    <col min="3848" max="3848" width="16.09765625" style="1" customWidth="1"/>
    <col min="3849" max="3849" width="8.69921875" style="1" customWidth="1"/>
    <col min="3850" max="3850" width="9" style="1"/>
    <col min="3851" max="3851" width="33.19921875" style="1" customWidth="1"/>
    <col min="3852" max="4096" width="9" style="1"/>
    <col min="4097" max="4097" width="2" style="1" customWidth="1"/>
    <col min="4098" max="4098" width="4.8984375" style="1" customWidth="1"/>
    <col min="4099" max="4099" width="8.5" style="1" customWidth="1"/>
    <col min="4100" max="4100" width="14.69921875" style="1" customWidth="1"/>
    <col min="4101" max="4101" width="10" style="1" customWidth="1"/>
    <col min="4102" max="4102" width="13" style="1" customWidth="1"/>
    <col min="4103" max="4103" width="16" style="1" customWidth="1"/>
    <col min="4104" max="4104" width="16.09765625" style="1" customWidth="1"/>
    <col min="4105" max="4105" width="8.69921875" style="1" customWidth="1"/>
    <col min="4106" max="4106" width="9" style="1"/>
    <col min="4107" max="4107" width="33.19921875" style="1" customWidth="1"/>
    <col min="4108" max="4352" width="9" style="1"/>
    <col min="4353" max="4353" width="2" style="1" customWidth="1"/>
    <col min="4354" max="4354" width="4.8984375" style="1" customWidth="1"/>
    <col min="4355" max="4355" width="8.5" style="1" customWidth="1"/>
    <col min="4356" max="4356" width="14.69921875" style="1" customWidth="1"/>
    <col min="4357" max="4357" width="10" style="1" customWidth="1"/>
    <col min="4358" max="4358" width="13" style="1" customWidth="1"/>
    <col min="4359" max="4359" width="16" style="1" customWidth="1"/>
    <col min="4360" max="4360" width="16.09765625" style="1" customWidth="1"/>
    <col min="4361" max="4361" width="8.69921875" style="1" customWidth="1"/>
    <col min="4362" max="4362" width="9" style="1"/>
    <col min="4363" max="4363" width="33.19921875" style="1" customWidth="1"/>
    <col min="4364" max="4608" width="9" style="1"/>
    <col min="4609" max="4609" width="2" style="1" customWidth="1"/>
    <col min="4610" max="4610" width="4.8984375" style="1" customWidth="1"/>
    <col min="4611" max="4611" width="8.5" style="1" customWidth="1"/>
    <col min="4612" max="4612" width="14.69921875" style="1" customWidth="1"/>
    <col min="4613" max="4613" width="10" style="1" customWidth="1"/>
    <col min="4614" max="4614" width="13" style="1" customWidth="1"/>
    <col min="4615" max="4615" width="16" style="1" customWidth="1"/>
    <col min="4616" max="4616" width="16.09765625" style="1" customWidth="1"/>
    <col min="4617" max="4617" width="8.69921875" style="1" customWidth="1"/>
    <col min="4618" max="4618" width="9" style="1"/>
    <col min="4619" max="4619" width="33.19921875" style="1" customWidth="1"/>
    <col min="4620" max="4864" width="9" style="1"/>
    <col min="4865" max="4865" width="2" style="1" customWidth="1"/>
    <col min="4866" max="4866" width="4.8984375" style="1" customWidth="1"/>
    <col min="4867" max="4867" width="8.5" style="1" customWidth="1"/>
    <col min="4868" max="4868" width="14.69921875" style="1" customWidth="1"/>
    <col min="4869" max="4869" width="10" style="1" customWidth="1"/>
    <col min="4870" max="4870" width="13" style="1" customWidth="1"/>
    <col min="4871" max="4871" width="16" style="1" customWidth="1"/>
    <col min="4872" max="4872" width="16.09765625" style="1" customWidth="1"/>
    <col min="4873" max="4873" width="8.69921875" style="1" customWidth="1"/>
    <col min="4874" max="4874" width="9" style="1"/>
    <col min="4875" max="4875" width="33.19921875" style="1" customWidth="1"/>
    <col min="4876" max="5120" width="9" style="1"/>
    <col min="5121" max="5121" width="2" style="1" customWidth="1"/>
    <col min="5122" max="5122" width="4.8984375" style="1" customWidth="1"/>
    <col min="5123" max="5123" width="8.5" style="1" customWidth="1"/>
    <col min="5124" max="5124" width="14.69921875" style="1" customWidth="1"/>
    <col min="5125" max="5125" width="10" style="1" customWidth="1"/>
    <col min="5126" max="5126" width="13" style="1" customWidth="1"/>
    <col min="5127" max="5127" width="16" style="1" customWidth="1"/>
    <col min="5128" max="5128" width="16.09765625" style="1" customWidth="1"/>
    <col min="5129" max="5129" width="8.69921875" style="1" customWidth="1"/>
    <col min="5130" max="5130" width="9" style="1"/>
    <col min="5131" max="5131" width="33.19921875" style="1" customWidth="1"/>
    <col min="5132" max="5376" width="9" style="1"/>
    <col min="5377" max="5377" width="2" style="1" customWidth="1"/>
    <col min="5378" max="5378" width="4.8984375" style="1" customWidth="1"/>
    <col min="5379" max="5379" width="8.5" style="1" customWidth="1"/>
    <col min="5380" max="5380" width="14.69921875" style="1" customWidth="1"/>
    <col min="5381" max="5381" width="10" style="1" customWidth="1"/>
    <col min="5382" max="5382" width="13" style="1" customWidth="1"/>
    <col min="5383" max="5383" width="16" style="1" customWidth="1"/>
    <col min="5384" max="5384" width="16.09765625" style="1" customWidth="1"/>
    <col min="5385" max="5385" width="8.69921875" style="1" customWidth="1"/>
    <col min="5386" max="5386" width="9" style="1"/>
    <col min="5387" max="5387" width="33.19921875" style="1" customWidth="1"/>
    <col min="5388" max="5632" width="9" style="1"/>
    <col min="5633" max="5633" width="2" style="1" customWidth="1"/>
    <col min="5634" max="5634" width="4.8984375" style="1" customWidth="1"/>
    <col min="5635" max="5635" width="8.5" style="1" customWidth="1"/>
    <col min="5636" max="5636" width="14.69921875" style="1" customWidth="1"/>
    <col min="5637" max="5637" width="10" style="1" customWidth="1"/>
    <col min="5638" max="5638" width="13" style="1" customWidth="1"/>
    <col min="5639" max="5639" width="16" style="1" customWidth="1"/>
    <col min="5640" max="5640" width="16.09765625" style="1" customWidth="1"/>
    <col min="5641" max="5641" width="8.69921875" style="1" customWidth="1"/>
    <col min="5642" max="5642" width="9" style="1"/>
    <col min="5643" max="5643" width="33.19921875" style="1" customWidth="1"/>
    <col min="5644" max="5888" width="9" style="1"/>
    <col min="5889" max="5889" width="2" style="1" customWidth="1"/>
    <col min="5890" max="5890" width="4.8984375" style="1" customWidth="1"/>
    <col min="5891" max="5891" width="8.5" style="1" customWidth="1"/>
    <col min="5892" max="5892" width="14.69921875" style="1" customWidth="1"/>
    <col min="5893" max="5893" width="10" style="1" customWidth="1"/>
    <col min="5894" max="5894" width="13" style="1" customWidth="1"/>
    <col min="5895" max="5895" width="16" style="1" customWidth="1"/>
    <col min="5896" max="5896" width="16.09765625" style="1" customWidth="1"/>
    <col min="5897" max="5897" width="8.69921875" style="1" customWidth="1"/>
    <col min="5898" max="5898" width="9" style="1"/>
    <col min="5899" max="5899" width="33.19921875" style="1" customWidth="1"/>
    <col min="5900" max="6144" width="9" style="1"/>
    <col min="6145" max="6145" width="2" style="1" customWidth="1"/>
    <col min="6146" max="6146" width="4.8984375" style="1" customWidth="1"/>
    <col min="6147" max="6147" width="8.5" style="1" customWidth="1"/>
    <col min="6148" max="6148" width="14.69921875" style="1" customWidth="1"/>
    <col min="6149" max="6149" width="10" style="1" customWidth="1"/>
    <col min="6150" max="6150" width="13" style="1" customWidth="1"/>
    <col min="6151" max="6151" width="16" style="1" customWidth="1"/>
    <col min="6152" max="6152" width="16.09765625" style="1" customWidth="1"/>
    <col min="6153" max="6153" width="8.69921875" style="1" customWidth="1"/>
    <col min="6154" max="6154" width="9" style="1"/>
    <col min="6155" max="6155" width="33.19921875" style="1" customWidth="1"/>
    <col min="6156" max="6400" width="9" style="1"/>
    <col min="6401" max="6401" width="2" style="1" customWidth="1"/>
    <col min="6402" max="6402" width="4.8984375" style="1" customWidth="1"/>
    <col min="6403" max="6403" width="8.5" style="1" customWidth="1"/>
    <col min="6404" max="6404" width="14.69921875" style="1" customWidth="1"/>
    <col min="6405" max="6405" width="10" style="1" customWidth="1"/>
    <col min="6406" max="6406" width="13" style="1" customWidth="1"/>
    <col min="6407" max="6407" width="16" style="1" customWidth="1"/>
    <col min="6408" max="6408" width="16.09765625" style="1" customWidth="1"/>
    <col min="6409" max="6409" width="8.69921875" style="1" customWidth="1"/>
    <col min="6410" max="6410" width="9" style="1"/>
    <col min="6411" max="6411" width="33.19921875" style="1" customWidth="1"/>
    <col min="6412" max="6656" width="9" style="1"/>
    <col min="6657" max="6657" width="2" style="1" customWidth="1"/>
    <col min="6658" max="6658" width="4.8984375" style="1" customWidth="1"/>
    <col min="6659" max="6659" width="8.5" style="1" customWidth="1"/>
    <col min="6660" max="6660" width="14.69921875" style="1" customWidth="1"/>
    <col min="6661" max="6661" width="10" style="1" customWidth="1"/>
    <col min="6662" max="6662" width="13" style="1" customWidth="1"/>
    <col min="6663" max="6663" width="16" style="1" customWidth="1"/>
    <col min="6664" max="6664" width="16.09765625" style="1" customWidth="1"/>
    <col min="6665" max="6665" width="8.69921875" style="1" customWidth="1"/>
    <col min="6666" max="6666" width="9" style="1"/>
    <col min="6667" max="6667" width="33.19921875" style="1" customWidth="1"/>
    <col min="6668" max="6912" width="9" style="1"/>
    <col min="6913" max="6913" width="2" style="1" customWidth="1"/>
    <col min="6914" max="6914" width="4.8984375" style="1" customWidth="1"/>
    <col min="6915" max="6915" width="8.5" style="1" customWidth="1"/>
    <col min="6916" max="6916" width="14.69921875" style="1" customWidth="1"/>
    <col min="6917" max="6917" width="10" style="1" customWidth="1"/>
    <col min="6918" max="6918" width="13" style="1" customWidth="1"/>
    <col min="6919" max="6919" width="16" style="1" customWidth="1"/>
    <col min="6920" max="6920" width="16.09765625" style="1" customWidth="1"/>
    <col min="6921" max="6921" width="8.69921875" style="1" customWidth="1"/>
    <col min="6922" max="6922" width="9" style="1"/>
    <col min="6923" max="6923" width="33.19921875" style="1" customWidth="1"/>
    <col min="6924" max="7168" width="9" style="1"/>
    <col min="7169" max="7169" width="2" style="1" customWidth="1"/>
    <col min="7170" max="7170" width="4.8984375" style="1" customWidth="1"/>
    <col min="7171" max="7171" width="8.5" style="1" customWidth="1"/>
    <col min="7172" max="7172" width="14.69921875" style="1" customWidth="1"/>
    <col min="7173" max="7173" width="10" style="1" customWidth="1"/>
    <col min="7174" max="7174" width="13" style="1" customWidth="1"/>
    <col min="7175" max="7175" width="16" style="1" customWidth="1"/>
    <col min="7176" max="7176" width="16.09765625" style="1" customWidth="1"/>
    <col min="7177" max="7177" width="8.69921875" style="1" customWidth="1"/>
    <col min="7178" max="7178" width="9" style="1"/>
    <col min="7179" max="7179" width="33.19921875" style="1" customWidth="1"/>
    <col min="7180" max="7424" width="9" style="1"/>
    <col min="7425" max="7425" width="2" style="1" customWidth="1"/>
    <col min="7426" max="7426" width="4.8984375" style="1" customWidth="1"/>
    <col min="7427" max="7427" width="8.5" style="1" customWidth="1"/>
    <col min="7428" max="7428" width="14.69921875" style="1" customWidth="1"/>
    <col min="7429" max="7429" width="10" style="1" customWidth="1"/>
    <col min="7430" max="7430" width="13" style="1" customWidth="1"/>
    <col min="7431" max="7431" width="16" style="1" customWidth="1"/>
    <col min="7432" max="7432" width="16.09765625" style="1" customWidth="1"/>
    <col min="7433" max="7433" width="8.69921875" style="1" customWidth="1"/>
    <col min="7434" max="7434" width="9" style="1"/>
    <col min="7435" max="7435" width="33.19921875" style="1" customWidth="1"/>
    <col min="7436" max="7680" width="9" style="1"/>
    <col min="7681" max="7681" width="2" style="1" customWidth="1"/>
    <col min="7682" max="7682" width="4.8984375" style="1" customWidth="1"/>
    <col min="7683" max="7683" width="8.5" style="1" customWidth="1"/>
    <col min="7684" max="7684" width="14.69921875" style="1" customWidth="1"/>
    <col min="7685" max="7685" width="10" style="1" customWidth="1"/>
    <col min="7686" max="7686" width="13" style="1" customWidth="1"/>
    <col min="7687" max="7687" width="16" style="1" customWidth="1"/>
    <col min="7688" max="7688" width="16.09765625" style="1" customWidth="1"/>
    <col min="7689" max="7689" width="8.69921875" style="1" customWidth="1"/>
    <col min="7690" max="7690" width="9" style="1"/>
    <col min="7691" max="7691" width="33.19921875" style="1" customWidth="1"/>
    <col min="7692" max="7936" width="9" style="1"/>
    <col min="7937" max="7937" width="2" style="1" customWidth="1"/>
    <col min="7938" max="7938" width="4.8984375" style="1" customWidth="1"/>
    <col min="7939" max="7939" width="8.5" style="1" customWidth="1"/>
    <col min="7940" max="7940" width="14.69921875" style="1" customWidth="1"/>
    <col min="7941" max="7941" width="10" style="1" customWidth="1"/>
    <col min="7942" max="7942" width="13" style="1" customWidth="1"/>
    <col min="7943" max="7943" width="16" style="1" customWidth="1"/>
    <col min="7944" max="7944" width="16.09765625" style="1" customWidth="1"/>
    <col min="7945" max="7945" width="8.69921875" style="1" customWidth="1"/>
    <col min="7946" max="7946" width="9" style="1"/>
    <col min="7947" max="7947" width="33.19921875" style="1" customWidth="1"/>
    <col min="7948" max="8192" width="9" style="1"/>
    <col min="8193" max="8193" width="2" style="1" customWidth="1"/>
    <col min="8194" max="8194" width="4.8984375" style="1" customWidth="1"/>
    <col min="8195" max="8195" width="8.5" style="1" customWidth="1"/>
    <col min="8196" max="8196" width="14.69921875" style="1" customWidth="1"/>
    <col min="8197" max="8197" width="10" style="1" customWidth="1"/>
    <col min="8198" max="8198" width="13" style="1" customWidth="1"/>
    <col min="8199" max="8199" width="16" style="1" customWidth="1"/>
    <col min="8200" max="8200" width="16.09765625" style="1" customWidth="1"/>
    <col min="8201" max="8201" width="8.69921875" style="1" customWidth="1"/>
    <col min="8202" max="8202" width="9" style="1"/>
    <col min="8203" max="8203" width="33.19921875" style="1" customWidth="1"/>
    <col min="8204" max="8448" width="9" style="1"/>
    <col min="8449" max="8449" width="2" style="1" customWidth="1"/>
    <col min="8450" max="8450" width="4.8984375" style="1" customWidth="1"/>
    <col min="8451" max="8451" width="8.5" style="1" customWidth="1"/>
    <col min="8452" max="8452" width="14.69921875" style="1" customWidth="1"/>
    <col min="8453" max="8453" width="10" style="1" customWidth="1"/>
    <col min="8454" max="8454" width="13" style="1" customWidth="1"/>
    <col min="8455" max="8455" width="16" style="1" customWidth="1"/>
    <col min="8456" max="8456" width="16.09765625" style="1" customWidth="1"/>
    <col min="8457" max="8457" width="8.69921875" style="1" customWidth="1"/>
    <col min="8458" max="8458" width="9" style="1"/>
    <col min="8459" max="8459" width="33.19921875" style="1" customWidth="1"/>
    <col min="8460" max="8704" width="9" style="1"/>
    <col min="8705" max="8705" width="2" style="1" customWidth="1"/>
    <col min="8706" max="8706" width="4.8984375" style="1" customWidth="1"/>
    <col min="8707" max="8707" width="8.5" style="1" customWidth="1"/>
    <col min="8708" max="8708" width="14.69921875" style="1" customWidth="1"/>
    <col min="8709" max="8709" width="10" style="1" customWidth="1"/>
    <col min="8710" max="8710" width="13" style="1" customWidth="1"/>
    <col min="8711" max="8711" width="16" style="1" customWidth="1"/>
    <col min="8712" max="8712" width="16.09765625" style="1" customWidth="1"/>
    <col min="8713" max="8713" width="8.69921875" style="1" customWidth="1"/>
    <col min="8714" max="8714" width="9" style="1"/>
    <col min="8715" max="8715" width="33.19921875" style="1" customWidth="1"/>
    <col min="8716" max="8960" width="9" style="1"/>
    <col min="8961" max="8961" width="2" style="1" customWidth="1"/>
    <col min="8962" max="8962" width="4.8984375" style="1" customWidth="1"/>
    <col min="8963" max="8963" width="8.5" style="1" customWidth="1"/>
    <col min="8964" max="8964" width="14.69921875" style="1" customWidth="1"/>
    <col min="8965" max="8965" width="10" style="1" customWidth="1"/>
    <col min="8966" max="8966" width="13" style="1" customWidth="1"/>
    <col min="8967" max="8967" width="16" style="1" customWidth="1"/>
    <col min="8968" max="8968" width="16.09765625" style="1" customWidth="1"/>
    <col min="8969" max="8969" width="8.69921875" style="1" customWidth="1"/>
    <col min="8970" max="8970" width="9" style="1"/>
    <col min="8971" max="8971" width="33.19921875" style="1" customWidth="1"/>
    <col min="8972" max="9216" width="9" style="1"/>
    <col min="9217" max="9217" width="2" style="1" customWidth="1"/>
    <col min="9218" max="9218" width="4.8984375" style="1" customWidth="1"/>
    <col min="9219" max="9219" width="8.5" style="1" customWidth="1"/>
    <col min="9220" max="9220" width="14.69921875" style="1" customWidth="1"/>
    <col min="9221" max="9221" width="10" style="1" customWidth="1"/>
    <col min="9222" max="9222" width="13" style="1" customWidth="1"/>
    <col min="9223" max="9223" width="16" style="1" customWidth="1"/>
    <col min="9224" max="9224" width="16.09765625" style="1" customWidth="1"/>
    <col min="9225" max="9225" width="8.69921875" style="1" customWidth="1"/>
    <col min="9226" max="9226" width="9" style="1"/>
    <col min="9227" max="9227" width="33.19921875" style="1" customWidth="1"/>
    <col min="9228" max="9472" width="9" style="1"/>
    <col min="9473" max="9473" width="2" style="1" customWidth="1"/>
    <col min="9474" max="9474" width="4.8984375" style="1" customWidth="1"/>
    <col min="9475" max="9475" width="8.5" style="1" customWidth="1"/>
    <col min="9476" max="9476" width="14.69921875" style="1" customWidth="1"/>
    <col min="9477" max="9477" width="10" style="1" customWidth="1"/>
    <col min="9478" max="9478" width="13" style="1" customWidth="1"/>
    <col min="9479" max="9479" width="16" style="1" customWidth="1"/>
    <col min="9480" max="9480" width="16.09765625" style="1" customWidth="1"/>
    <col min="9481" max="9481" width="8.69921875" style="1" customWidth="1"/>
    <col min="9482" max="9482" width="9" style="1"/>
    <col min="9483" max="9483" width="33.19921875" style="1" customWidth="1"/>
    <col min="9484" max="9728" width="9" style="1"/>
    <col min="9729" max="9729" width="2" style="1" customWidth="1"/>
    <col min="9730" max="9730" width="4.8984375" style="1" customWidth="1"/>
    <col min="9731" max="9731" width="8.5" style="1" customWidth="1"/>
    <col min="9732" max="9732" width="14.69921875" style="1" customWidth="1"/>
    <col min="9733" max="9733" width="10" style="1" customWidth="1"/>
    <col min="9734" max="9734" width="13" style="1" customWidth="1"/>
    <col min="9735" max="9735" width="16" style="1" customWidth="1"/>
    <col min="9736" max="9736" width="16.09765625" style="1" customWidth="1"/>
    <col min="9737" max="9737" width="8.69921875" style="1" customWidth="1"/>
    <col min="9738" max="9738" width="9" style="1"/>
    <col min="9739" max="9739" width="33.19921875" style="1" customWidth="1"/>
    <col min="9740" max="9984" width="9" style="1"/>
    <col min="9985" max="9985" width="2" style="1" customWidth="1"/>
    <col min="9986" max="9986" width="4.8984375" style="1" customWidth="1"/>
    <col min="9987" max="9987" width="8.5" style="1" customWidth="1"/>
    <col min="9988" max="9988" width="14.69921875" style="1" customWidth="1"/>
    <col min="9989" max="9989" width="10" style="1" customWidth="1"/>
    <col min="9990" max="9990" width="13" style="1" customWidth="1"/>
    <col min="9991" max="9991" width="16" style="1" customWidth="1"/>
    <col min="9992" max="9992" width="16.09765625" style="1" customWidth="1"/>
    <col min="9993" max="9993" width="8.69921875" style="1" customWidth="1"/>
    <col min="9994" max="9994" width="9" style="1"/>
    <col min="9995" max="9995" width="33.19921875" style="1" customWidth="1"/>
    <col min="9996" max="10240" width="9" style="1"/>
    <col min="10241" max="10241" width="2" style="1" customWidth="1"/>
    <col min="10242" max="10242" width="4.8984375" style="1" customWidth="1"/>
    <col min="10243" max="10243" width="8.5" style="1" customWidth="1"/>
    <col min="10244" max="10244" width="14.69921875" style="1" customWidth="1"/>
    <col min="10245" max="10245" width="10" style="1" customWidth="1"/>
    <col min="10246" max="10246" width="13" style="1" customWidth="1"/>
    <col min="10247" max="10247" width="16" style="1" customWidth="1"/>
    <col min="10248" max="10248" width="16.09765625" style="1" customWidth="1"/>
    <col min="10249" max="10249" width="8.69921875" style="1" customWidth="1"/>
    <col min="10250" max="10250" width="9" style="1"/>
    <col min="10251" max="10251" width="33.19921875" style="1" customWidth="1"/>
    <col min="10252" max="10496" width="9" style="1"/>
    <col min="10497" max="10497" width="2" style="1" customWidth="1"/>
    <col min="10498" max="10498" width="4.8984375" style="1" customWidth="1"/>
    <col min="10499" max="10499" width="8.5" style="1" customWidth="1"/>
    <col min="10500" max="10500" width="14.69921875" style="1" customWidth="1"/>
    <col min="10501" max="10501" width="10" style="1" customWidth="1"/>
    <col min="10502" max="10502" width="13" style="1" customWidth="1"/>
    <col min="10503" max="10503" width="16" style="1" customWidth="1"/>
    <col min="10504" max="10504" width="16.09765625" style="1" customWidth="1"/>
    <col min="10505" max="10505" width="8.69921875" style="1" customWidth="1"/>
    <col min="10506" max="10506" width="9" style="1"/>
    <col min="10507" max="10507" width="33.19921875" style="1" customWidth="1"/>
    <col min="10508" max="10752" width="9" style="1"/>
    <col min="10753" max="10753" width="2" style="1" customWidth="1"/>
    <col min="10754" max="10754" width="4.8984375" style="1" customWidth="1"/>
    <col min="10755" max="10755" width="8.5" style="1" customWidth="1"/>
    <col min="10756" max="10756" width="14.69921875" style="1" customWidth="1"/>
    <col min="10757" max="10757" width="10" style="1" customWidth="1"/>
    <col min="10758" max="10758" width="13" style="1" customWidth="1"/>
    <col min="10759" max="10759" width="16" style="1" customWidth="1"/>
    <col min="10760" max="10760" width="16.09765625" style="1" customWidth="1"/>
    <col min="10761" max="10761" width="8.69921875" style="1" customWidth="1"/>
    <col min="10762" max="10762" width="9" style="1"/>
    <col min="10763" max="10763" width="33.19921875" style="1" customWidth="1"/>
    <col min="10764" max="11008" width="9" style="1"/>
    <col min="11009" max="11009" width="2" style="1" customWidth="1"/>
    <col min="11010" max="11010" width="4.8984375" style="1" customWidth="1"/>
    <col min="11011" max="11011" width="8.5" style="1" customWidth="1"/>
    <col min="11012" max="11012" width="14.69921875" style="1" customWidth="1"/>
    <col min="11013" max="11013" width="10" style="1" customWidth="1"/>
    <col min="11014" max="11014" width="13" style="1" customWidth="1"/>
    <col min="11015" max="11015" width="16" style="1" customWidth="1"/>
    <col min="11016" max="11016" width="16.09765625" style="1" customWidth="1"/>
    <col min="11017" max="11017" width="8.69921875" style="1" customWidth="1"/>
    <col min="11018" max="11018" width="9" style="1"/>
    <col min="11019" max="11019" width="33.19921875" style="1" customWidth="1"/>
    <col min="11020" max="11264" width="9" style="1"/>
    <col min="11265" max="11265" width="2" style="1" customWidth="1"/>
    <col min="11266" max="11266" width="4.8984375" style="1" customWidth="1"/>
    <col min="11267" max="11267" width="8.5" style="1" customWidth="1"/>
    <col min="11268" max="11268" width="14.69921875" style="1" customWidth="1"/>
    <col min="11269" max="11269" width="10" style="1" customWidth="1"/>
    <col min="11270" max="11270" width="13" style="1" customWidth="1"/>
    <col min="11271" max="11271" width="16" style="1" customWidth="1"/>
    <col min="11272" max="11272" width="16.09765625" style="1" customWidth="1"/>
    <col min="11273" max="11273" width="8.69921875" style="1" customWidth="1"/>
    <col min="11274" max="11274" width="9" style="1"/>
    <col min="11275" max="11275" width="33.19921875" style="1" customWidth="1"/>
    <col min="11276" max="11520" width="9" style="1"/>
    <col min="11521" max="11521" width="2" style="1" customWidth="1"/>
    <col min="11522" max="11522" width="4.8984375" style="1" customWidth="1"/>
    <col min="11523" max="11523" width="8.5" style="1" customWidth="1"/>
    <col min="11524" max="11524" width="14.69921875" style="1" customWidth="1"/>
    <col min="11525" max="11525" width="10" style="1" customWidth="1"/>
    <col min="11526" max="11526" width="13" style="1" customWidth="1"/>
    <col min="11527" max="11527" width="16" style="1" customWidth="1"/>
    <col min="11528" max="11528" width="16.09765625" style="1" customWidth="1"/>
    <col min="11529" max="11529" width="8.69921875" style="1" customWidth="1"/>
    <col min="11530" max="11530" width="9" style="1"/>
    <col min="11531" max="11531" width="33.19921875" style="1" customWidth="1"/>
    <col min="11532" max="11776" width="9" style="1"/>
    <col min="11777" max="11777" width="2" style="1" customWidth="1"/>
    <col min="11778" max="11778" width="4.8984375" style="1" customWidth="1"/>
    <col min="11779" max="11779" width="8.5" style="1" customWidth="1"/>
    <col min="11780" max="11780" width="14.69921875" style="1" customWidth="1"/>
    <col min="11781" max="11781" width="10" style="1" customWidth="1"/>
    <col min="11782" max="11782" width="13" style="1" customWidth="1"/>
    <col min="11783" max="11783" width="16" style="1" customWidth="1"/>
    <col min="11784" max="11784" width="16.09765625" style="1" customWidth="1"/>
    <col min="11785" max="11785" width="8.69921875" style="1" customWidth="1"/>
    <col min="11786" max="11786" width="9" style="1"/>
    <col min="11787" max="11787" width="33.19921875" style="1" customWidth="1"/>
    <col min="11788" max="12032" width="9" style="1"/>
    <col min="12033" max="12033" width="2" style="1" customWidth="1"/>
    <col min="12034" max="12034" width="4.8984375" style="1" customWidth="1"/>
    <col min="12035" max="12035" width="8.5" style="1" customWidth="1"/>
    <col min="12036" max="12036" width="14.69921875" style="1" customWidth="1"/>
    <col min="12037" max="12037" width="10" style="1" customWidth="1"/>
    <col min="12038" max="12038" width="13" style="1" customWidth="1"/>
    <col min="12039" max="12039" width="16" style="1" customWidth="1"/>
    <col min="12040" max="12040" width="16.09765625" style="1" customWidth="1"/>
    <col min="12041" max="12041" width="8.69921875" style="1" customWidth="1"/>
    <col min="12042" max="12042" width="9" style="1"/>
    <col min="12043" max="12043" width="33.19921875" style="1" customWidth="1"/>
    <col min="12044" max="12288" width="9" style="1"/>
    <col min="12289" max="12289" width="2" style="1" customWidth="1"/>
    <col min="12290" max="12290" width="4.8984375" style="1" customWidth="1"/>
    <col min="12291" max="12291" width="8.5" style="1" customWidth="1"/>
    <col min="12292" max="12292" width="14.69921875" style="1" customWidth="1"/>
    <col min="12293" max="12293" width="10" style="1" customWidth="1"/>
    <col min="12294" max="12294" width="13" style="1" customWidth="1"/>
    <col min="12295" max="12295" width="16" style="1" customWidth="1"/>
    <col min="12296" max="12296" width="16.09765625" style="1" customWidth="1"/>
    <col min="12297" max="12297" width="8.69921875" style="1" customWidth="1"/>
    <col min="12298" max="12298" width="9" style="1"/>
    <col min="12299" max="12299" width="33.19921875" style="1" customWidth="1"/>
    <col min="12300" max="12544" width="9" style="1"/>
    <col min="12545" max="12545" width="2" style="1" customWidth="1"/>
    <col min="12546" max="12546" width="4.8984375" style="1" customWidth="1"/>
    <col min="12547" max="12547" width="8.5" style="1" customWidth="1"/>
    <col min="12548" max="12548" width="14.69921875" style="1" customWidth="1"/>
    <col min="12549" max="12549" width="10" style="1" customWidth="1"/>
    <col min="12550" max="12550" width="13" style="1" customWidth="1"/>
    <col min="12551" max="12551" width="16" style="1" customWidth="1"/>
    <col min="12552" max="12552" width="16.09765625" style="1" customWidth="1"/>
    <col min="12553" max="12553" width="8.69921875" style="1" customWidth="1"/>
    <col min="12554" max="12554" width="9" style="1"/>
    <col min="12555" max="12555" width="33.19921875" style="1" customWidth="1"/>
    <col min="12556" max="12800" width="9" style="1"/>
    <col min="12801" max="12801" width="2" style="1" customWidth="1"/>
    <col min="12802" max="12802" width="4.8984375" style="1" customWidth="1"/>
    <col min="12803" max="12803" width="8.5" style="1" customWidth="1"/>
    <col min="12804" max="12804" width="14.69921875" style="1" customWidth="1"/>
    <col min="12805" max="12805" width="10" style="1" customWidth="1"/>
    <col min="12806" max="12806" width="13" style="1" customWidth="1"/>
    <col min="12807" max="12807" width="16" style="1" customWidth="1"/>
    <col min="12808" max="12808" width="16.09765625" style="1" customWidth="1"/>
    <col min="12809" max="12809" width="8.69921875" style="1" customWidth="1"/>
    <col min="12810" max="12810" width="9" style="1"/>
    <col min="12811" max="12811" width="33.19921875" style="1" customWidth="1"/>
    <col min="12812" max="13056" width="9" style="1"/>
    <col min="13057" max="13057" width="2" style="1" customWidth="1"/>
    <col min="13058" max="13058" width="4.8984375" style="1" customWidth="1"/>
    <col min="13059" max="13059" width="8.5" style="1" customWidth="1"/>
    <col min="13060" max="13060" width="14.69921875" style="1" customWidth="1"/>
    <col min="13061" max="13061" width="10" style="1" customWidth="1"/>
    <col min="13062" max="13062" width="13" style="1" customWidth="1"/>
    <col min="13063" max="13063" width="16" style="1" customWidth="1"/>
    <col min="13064" max="13064" width="16.09765625" style="1" customWidth="1"/>
    <col min="13065" max="13065" width="8.69921875" style="1" customWidth="1"/>
    <col min="13066" max="13066" width="9" style="1"/>
    <col min="13067" max="13067" width="33.19921875" style="1" customWidth="1"/>
    <col min="13068" max="13312" width="9" style="1"/>
    <col min="13313" max="13313" width="2" style="1" customWidth="1"/>
    <col min="13314" max="13314" width="4.8984375" style="1" customWidth="1"/>
    <col min="13315" max="13315" width="8.5" style="1" customWidth="1"/>
    <col min="13316" max="13316" width="14.69921875" style="1" customWidth="1"/>
    <col min="13317" max="13317" width="10" style="1" customWidth="1"/>
    <col min="13318" max="13318" width="13" style="1" customWidth="1"/>
    <col min="13319" max="13319" width="16" style="1" customWidth="1"/>
    <col min="13320" max="13320" width="16.09765625" style="1" customWidth="1"/>
    <col min="13321" max="13321" width="8.69921875" style="1" customWidth="1"/>
    <col min="13322" max="13322" width="9" style="1"/>
    <col min="13323" max="13323" width="33.19921875" style="1" customWidth="1"/>
    <col min="13324" max="13568" width="9" style="1"/>
    <col min="13569" max="13569" width="2" style="1" customWidth="1"/>
    <col min="13570" max="13570" width="4.8984375" style="1" customWidth="1"/>
    <col min="13571" max="13571" width="8.5" style="1" customWidth="1"/>
    <col min="13572" max="13572" width="14.69921875" style="1" customWidth="1"/>
    <col min="13573" max="13573" width="10" style="1" customWidth="1"/>
    <col min="13574" max="13574" width="13" style="1" customWidth="1"/>
    <col min="13575" max="13575" width="16" style="1" customWidth="1"/>
    <col min="13576" max="13576" width="16.09765625" style="1" customWidth="1"/>
    <col min="13577" max="13577" width="8.69921875" style="1" customWidth="1"/>
    <col min="13578" max="13578" width="9" style="1"/>
    <col min="13579" max="13579" width="33.19921875" style="1" customWidth="1"/>
    <col min="13580" max="13824" width="9" style="1"/>
    <col min="13825" max="13825" width="2" style="1" customWidth="1"/>
    <col min="13826" max="13826" width="4.8984375" style="1" customWidth="1"/>
    <col min="13827" max="13827" width="8.5" style="1" customWidth="1"/>
    <col min="13828" max="13828" width="14.69921875" style="1" customWidth="1"/>
    <col min="13829" max="13829" width="10" style="1" customWidth="1"/>
    <col min="13830" max="13830" width="13" style="1" customWidth="1"/>
    <col min="13831" max="13831" width="16" style="1" customWidth="1"/>
    <col min="13832" max="13832" width="16.09765625" style="1" customWidth="1"/>
    <col min="13833" max="13833" width="8.69921875" style="1" customWidth="1"/>
    <col min="13834" max="13834" width="9" style="1"/>
    <col min="13835" max="13835" width="33.19921875" style="1" customWidth="1"/>
    <col min="13836" max="14080" width="9" style="1"/>
    <col min="14081" max="14081" width="2" style="1" customWidth="1"/>
    <col min="14082" max="14082" width="4.8984375" style="1" customWidth="1"/>
    <col min="14083" max="14083" width="8.5" style="1" customWidth="1"/>
    <col min="14084" max="14084" width="14.69921875" style="1" customWidth="1"/>
    <col min="14085" max="14085" width="10" style="1" customWidth="1"/>
    <col min="14086" max="14086" width="13" style="1" customWidth="1"/>
    <col min="14087" max="14087" width="16" style="1" customWidth="1"/>
    <col min="14088" max="14088" width="16.09765625" style="1" customWidth="1"/>
    <col min="14089" max="14089" width="8.69921875" style="1" customWidth="1"/>
    <col min="14090" max="14090" width="9" style="1"/>
    <col min="14091" max="14091" width="33.19921875" style="1" customWidth="1"/>
    <col min="14092" max="14336" width="9" style="1"/>
    <col min="14337" max="14337" width="2" style="1" customWidth="1"/>
    <col min="14338" max="14338" width="4.8984375" style="1" customWidth="1"/>
    <col min="14339" max="14339" width="8.5" style="1" customWidth="1"/>
    <col min="14340" max="14340" width="14.69921875" style="1" customWidth="1"/>
    <col min="14341" max="14341" width="10" style="1" customWidth="1"/>
    <col min="14342" max="14342" width="13" style="1" customWidth="1"/>
    <col min="14343" max="14343" width="16" style="1" customWidth="1"/>
    <col min="14344" max="14344" width="16.09765625" style="1" customWidth="1"/>
    <col min="14345" max="14345" width="8.69921875" style="1" customWidth="1"/>
    <col min="14346" max="14346" width="9" style="1"/>
    <col min="14347" max="14347" width="33.19921875" style="1" customWidth="1"/>
    <col min="14348" max="14592" width="9" style="1"/>
    <col min="14593" max="14593" width="2" style="1" customWidth="1"/>
    <col min="14594" max="14594" width="4.8984375" style="1" customWidth="1"/>
    <col min="14595" max="14595" width="8.5" style="1" customWidth="1"/>
    <col min="14596" max="14596" width="14.69921875" style="1" customWidth="1"/>
    <col min="14597" max="14597" width="10" style="1" customWidth="1"/>
    <col min="14598" max="14598" width="13" style="1" customWidth="1"/>
    <col min="14599" max="14599" width="16" style="1" customWidth="1"/>
    <col min="14600" max="14600" width="16.09765625" style="1" customWidth="1"/>
    <col min="14601" max="14601" width="8.69921875" style="1" customWidth="1"/>
    <col min="14602" max="14602" width="9" style="1"/>
    <col min="14603" max="14603" width="33.19921875" style="1" customWidth="1"/>
    <col min="14604" max="14848" width="9" style="1"/>
    <col min="14849" max="14849" width="2" style="1" customWidth="1"/>
    <col min="14850" max="14850" width="4.8984375" style="1" customWidth="1"/>
    <col min="14851" max="14851" width="8.5" style="1" customWidth="1"/>
    <col min="14852" max="14852" width="14.69921875" style="1" customWidth="1"/>
    <col min="14853" max="14853" width="10" style="1" customWidth="1"/>
    <col min="14854" max="14854" width="13" style="1" customWidth="1"/>
    <col min="14855" max="14855" width="16" style="1" customWidth="1"/>
    <col min="14856" max="14856" width="16.09765625" style="1" customWidth="1"/>
    <col min="14857" max="14857" width="8.69921875" style="1" customWidth="1"/>
    <col min="14858" max="14858" width="9" style="1"/>
    <col min="14859" max="14859" width="33.19921875" style="1" customWidth="1"/>
    <col min="14860" max="15104" width="9" style="1"/>
    <col min="15105" max="15105" width="2" style="1" customWidth="1"/>
    <col min="15106" max="15106" width="4.8984375" style="1" customWidth="1"/>
    <col min="15107" max="15107" width="8.5" style="1" customWidth="1"/>
    <col min="15108" max="15108" width="14.69921875" style="1" customWidth="1"/>
    <col min="15109" max="15109" width="10" style="1" customWidth="1"/>
    <col min="15110" max="15110" width="13" style="1" customWidth="1"/>
    <col min="15111" max="15111" width="16" style="1" customWidth="1"/>
    <col min="15112" max="15112" width="16.09765625" style="1" customWidth="1"/>
    <col min="15113" max="15113" width="8.69921875" style="1" customWidth="1"/>
    <col min="15114" max="15114" width="9" style="1"/>
    <col min="15115" max="15115" width="33.19921875" style="1" customWidth="1"/>
    <col min="15116" max="15360" width="9" style="1"/>
    <col min="15361" max="15361" width="2" style="1" customWidth="1"/>
    <col min="15362" max="15362" width="4.8984375" style="1" customWidth="1"/>
    <col min="15363" max="15363" width="8.5" style="1" customWidth="1"/>
    <col min="15364" max="15364" width="14.69921875" style="1" customWidth="1"/>
    <col min="15365" max="15365" width="10" style="1" customWidth="1"/>
    <col min="15366" max="15366" width="13" style="1" customWidth="1"/>
    <col min="15367" max="15367" width="16" style="1" customWidth="1"/>
    <col min="15368" max="15368" width="16.09765625" style="1" customWidth="1"/>
    <col min="15369" max="15369" width="8.69921875" style="1" customWidth="1"/>
    <col min="15370" max="15370" width="9" style="1"/>
    <col min="15371" max="15371" width="33.19921875" style="1" customWidth="1"/>
    <col min="15372" max="15616" width="9" style="1"/>
    <col min="15617" max="15617" width="2" style="1" customWidth="1"/>
    <col min="15618" max="15618" width="4.8984375" style="1" customWidth="1"/>
    <col min="15619" max="15619" width="8.5" style="1" customWidth="1"/>
    <col min="15620" max="15620" width="14.69921875" style="1" customWidth="1"/>
    <col min="15621" max="15621" width="10" style="1" customWidth="1"/>
    <col min="15622" max="15622" width="13" style="1" customWidth="1"/>
    <col min="15623" max="15623" width="16" style="1" customWidth="1"/>
    <col min="15624" max="15624" width="16.09765625" style="1" customWidth="1"/>
    <col min="15625" max="15625" width="8.69921875" style="1" customWidth="1"/>
    <col min="15626" max="15626" width="9" style="1"/>
    <col min="15627" max="15627" width="33.19921875" style="1" customWidth="1"/>
    <col min="15628" max="15872" width="9" style="1"/>
    <col min="15873" max="15873" width="2" style="1" customWidth="1"/>
    <col min="15874" max="15874" width="4.8984375" style="1" customWidth="1"/>
    <col min="15875" max="15875" width="8.5" style="1" customWidth="1"/>
    <col min="15876" max="15876" width="14.69921875" style="1" customWidth="1"/>
    <col min="15877" max="15877" width="10" style="1" customWidth="1"/>
    <col min="15878" max="15878" width="13" style="1" customWidth="1"/>
    <col min="15879" max="15879" width="16" style="1" customWidth="1"/>
    <col min="15880" max="15880" width="16.09765625" style="1" customWidth="1"/>
    <col min="15881" max="15881" width="8.69921875" style="1" customWidth="1"/>
    <col min="15882" max="15882" width="9" style="1"/>
    <col min="15883" max="15883" width="33.19921875" style="1" customWidth="1"/>
    <col min="15884" max="16128" width="9" style="1"/>
    <col min="16129" max="16129" width="2" style="1" customWidth="1"/>
    <col min="16130" max="16130" width="4.8984375" style="1" customWidth="1"/>
    <col min="16131" max="16131" width="8.5" style="1" customWidth="1"/>
    <col min="16132" max="16132" width="14.69921875" style="1" customWidth="1"/>
    <col min="16133" max="16133" width="10" style="1" customWidth="1"/>
    <col min="16134" max="16134" width="13" style="1" customWidth="1"/>
    <col min="16135" max="16135" width="16" style="1" customWidth="1"/>
    <col min="16136" max="16136" width="16.09765625" style="1" customWidth="1"/>
    <col min="16137" max="16137" width="8.69921875" style="1" customWidth="1"/>
    <col min="16138" max="16138" width="9" style="1"/>
    <col min="16139" max="16139" width="33.19921875" style="1" customWidth="1"/>
    <col min="16140" max="16384" width="9" style="1"/>
  </cols>
  <sheetData>
    <row r="1" spans="2:9" x14ac:dyDescent="0.4">
      <c r="B1" s="1" t="s">
        <v>0</v>
      </c>
    </row>
    <row r="2" spans="2:9" ht="38.4" x14ac:dyDescent="0.4">
      <c r="B2" s="356" t="s">
        <v>1</v>
      </c>
      <c r="C2" s="356"/>
      <c r="D2" s="356"/>
      <c r="E2" s="356"/>
      <c r="F2" s="356"/>
      <c r="G2" s="356"/>
      <c r="H2" s="356"/>
      <c r="I2" s="356"/>
    </row>
    <row r="4" spans="2:9" s="2" customFormat="1" ht="24" customHeight="1" x14ac:dyDescent="0.4">
      <c r="B4" s="357" t="s">
        <v>2</v>
      </c>
      <c r="C4" s="357"/>
      <c r="D4" s="357"/>
      <c r="G4" s="3" t="s">
        <v>3</v>
      </c>
      <c r="H4" s="4"/>
      <c r="I4" s="5"/>
    </row>
    <row r="5" spans="2:9" s="2" customFormat="1" ht="21.75" customHeight="1" x14ac:dyDescent="0.4">
      <c r="B5" s="345" t="s">
        <v>4</v>
      </c>
      <c r="C5" s="346"/>
      <c r="D5" s="6">
        <f ca="1">TODAY()</f>
        <v>46210</v>
      </c>
      <c r="E5" s="7"/>
      <c r="G5" s="8" t="s">
        <v>5</v>
      </c>
      <c r="H5" s="9"/>
      <c r="I5" s="10"/>
    </row>
    <row r="6" spans="2:9" s="2" customFormat="1" ht="21.75" customHeight="1" x14ac:dyDescent="0.4">
      <c r="B6" s="345" t="s">
        <v>6</v>
      </c>
      <c r="C6" s="346"/>
      <c r="D6" s="11" t="s">
        <v>7</v>
      </c>
      <c r="E6" s="7"/>
      <c r="G6" s="8" t="s">
        <v>8</v>
      </c>
      <c r="H6" s="12"/>
      <c r="I6" s="13"/>
    </row>
    <row r="7" spans="2:9" s="2" customFormat="1" ht="21.75" customHeight="1" x14ac:dyDescent="0.4">
      <c r="B7" s="358" t="s">
        <v>9</v>
      </c>
      <c r="C7" s="14" t="s">
        <v>10</v>
      </c>
      <c r="D7" s="11" t="s">
        <v>11</v>
      </c>
      <c r="E7" s="7"/>
      <c r="G7" s="15"/>
      <c r="H7" s="12"/>
      <c r="I7" s="13"/>
    </row>
    <row r="8" spans="2:9" s="2" customFormat="1" ht="21.75" customHeight="1" x14ac:dyDescent="0.4">
      <c r="B8" s="358"/>
      <c r="C8" s="14" t="s">
        <v>12</v>
      </c>
      <c r="D8" s="11" t="s">
        <v>11</v>
      </c>
      <c r="E8" s="7"/>
      <c r="G8" s="15" t="s">
        <v>13</v>
      </c>
      <c r="H8" s="12"/>
      <c r="I8" s="13"/>
    </row>
    <row r="9" spans="2:9" s="2" customFormat="1" ht="21.75" customHeight="1" x14ac:dyDescent="0.4">
      <c r="B9" s="345" t="s">
        <v>14</v>
      </c>
      <c r="C9" s="346"/>
      <c r="D9" s="11" t="s">
        <v>15</v>
      </c>
      <c r="E9" s="7"/>
      <c r="G9" s="8" t="s">
        <v>16</v>
      </c>
      <c r="H9" s="12"/>
      <c r="I9" s="13"/>
    </row>
    <row r="10" spans="2:9" s="2" customFormat="1" ht="21.75" customHeight="1" x14ac:dyDescent="0.4">
      <c r="B10" s="345" t="s">
        <v>17</v>
      </c>
      <c r="C10" s="346"/>
      <c r="D10" s="11" t="s">
        <v>18</v>
      </c>
      <c r="E10" s="7"/>
      <c r="G10" s="16" t="s">
        <v>19</v>
      </c>
      <c r="H10" s="17" t="s">
        <v>20</v>
      </c>
      <c r="I10" s="18"/>
    </row>
    <row r="11" spans="2:9" s="2" customFormat="1" ht="21.75" customHeight="1" x14ac:dyDescent="0.4">
      <c r="B11" s="345" t="s">
        <v>21</v>
      </c>
      <c r="C11" s="346"/>
      <c r="D11" s="11" t="s">
        <v>22</v>
      </c>
      <c r="E11" s="7"/>
      <c r="G11" s="19" t="s">
        <v>23</v>
      </c>
      <c r="H11" s="20" t="s">
        <v>24</v>
      </c>
      <c r="I11" s="21"/>
    </row>
    <row r="12" spans="2:9" s="23" customFormat="1" ht="10.5" customHeight="1" x14ac:dyDescent="0.4">
      <c r="B12" s="22"/>
      <c r="I12" s="24"/>
    </row>
    <row r="13" spans="2:9" s="23" customFormat="1" ht="24.9" customHeight="1" x14ac:dyDescent="0.4">
      <c r="B13" s="347" t="s">
        <v>25</v>
      </c>
      <c r="C13" s="347"/>
      <c r="D13" s="348" t="str">
        <f>"一金"&amp;NUMBERSTRING(H27,1)&amp;"천원整"</f>
        <v>一金일백칠십삼만오천이백구천원整</v>
      </c>
      <c r="E13" s="349"/>
      <c r="F13" s="349"/>
      <c r="G13" s="350">
        <f>H27</f>
        <v>1735209</v>
      </c>
      <c r="H13" s="351"/>
      <c r="I13" s="25" t="s">
        <v>26</v>
      </c>
    </row>
    <row r="14" spans="2:9" s="2" customFormat="1" ht="8.25" customHeight="1" x14ac:dyDescent="0.4"/>
    <row r="15" spans="2:9" s="26" customFormat="1" ht="24.9" customHeight="1" x14ac:dyDescent="0.4">
      <c r="B15" s="337" t="s">
        <v>27</v>
      </c>
      <c r="C15" s="352" t="s">
        <v>28</v>
      </c>
      <c r="D15" s="353"/>
      <c r="E15" s="338" t="s">
        <v>29</v>
      </c>
      <c r="F15" s="338"/>
      <c r="G15" s="338"/>
      <c r="H15" s="338"/>
      <c r="I15" s="337" t="s">
        <v>30</v>
      </c>
    </row>
    <row r="16" spans="2:9" s="26" customFormat="1" ht="29.25" customHeight="1" x14ac:dyDescent="0.4">
      <c r="B16" s="338"/>
      <c r="C16" s="354"/>
      <c r="D16" s="355"/>
      <c r="E16" s="339" t="s">
        <v>31</v>
      </c>
      <c r="F16" s="340"/>
      <c r="G16" s="27" t="s">
        <v>32</v>
      </c>
      <c r="H16" s="28" t="s">
        <v>33</v>
      </c>
      <c r="I16" s="338"/>
    </row>
    <row r="17" spans="2:9" ht="24.9" customHeight="1" x14ac:dyDescent="0.4">
      <c r="B17" s="29">
        <v>1</v>
      </c>
      <c r="C17" s="341" t="str">
        <f>'공사(라인)1'!C1</f>
        <v>KMX SVM 차종설치 시운전</v>
      </c>
      <c r="D17" s="342"/>
      <c r="E17" s="343">
        <f>IF('단위공사별(집계)'!P7&gt;1,('단위공사별(집계)'!D7+'단위공사별(집계)'!E7+'단위공사별(집계)'!F7+'단위공사별(집계)'!G7+'단위공사별(집계)'!I7+'단위공사별(집계)'!K7)/1000," ")</f>
        <v>1466073</v>
      </c>
      <c r="F17" s="344"/>
      <c r="G17" s="30">
        <f>IF('단위공사별(집계)'!P7&gt;0,('단위공사별(집계)'!M7+'단위공사별(집계)'!N7+'단위공사별(집계)'!O7)/1000,"")</f>
        <v>66486</v>
      </c>
      <c r="H17" s="31">
        <f>IF('단위공사별(집계)'!P7&gt;0,'단위공사별(집계)'!P7/1000,"")</f>
        <v>1735209</v>
      </c>
      <c r="I17" s="29"/>
    </row>
    <row r="18" spans="2:9" ht="24.9" customHeight="1" x14ac:dyDescent="0.4">
      <c r="B18" s="32">
        <v>2</v>
      </c>
      <c r="C18" s="327">
        <f>'공사(라인)2'!C1</f>
        <v>0</v>
      </c>
      <c r="D18" s="328"/>
      <c r="E18" s="329" t="str">
        <f>IF('단위공사별(집계)'!P8&gt;1,('단위공사별(집계)'!D8+'단위공사별(집계)'!E8+'단위공사별(집계)'!F8+'단위공사별(집계)'!G8+'단위공사별(집계)'!I8+'단위공사별(집계)'!K8)/1000," ")</f>
        <v xml:space="preserve"> </v>
      </c>
      <c r="F18" s="330"/>
      <c r="G18" s="33" t="str">
        <f>IF('단위공사별(집계)'!P8&gt;0,('단위공사별(집계)'!M8+'단위공사별(집계)'!N8+'단위공사별(집계)'!O8)/1000,"")</f>
        <v/>
      </c>
      <c r="H18" s="34" t="str">
        <f>IF('단위공사별(집계)'!P8&gt;0,'단위공사별(집계)'!P8/1000,"")</f>
        <v/>
      </c>
      <c r="I18" s="35"/>
    </row>
    <row r="19" spans="2:9" ht="24.9" customHeight="1" x14ac:dyDescent="0.4">
      <c r="B19" s="32">
        <v>3</v>
      </c>
      <c r="C19" s="327">
        <f>'공사(라인)3'!C1</f>
        <v>0</v>
      </c>
      <c r="D19" s="328"/>
      <c r="E19" s="329" t="str">
        <f>IF('단위공사별(집계)'!P9&gt;1,('단위공사별(집계)'!D9+'단위공사별(집계)'!E9+'단위공사별(집계)'!F9+'단위공사별(집계)'!G9+'단위공사별(집계)'!I9+'단위공사별(집계)'!K9)/1000," ")</f>
        <v xml:space="preserve"> </v>
      </c>
      <c r="F19" s="330"/>
      <c r="G19" s="33" t="str">
        <f>IF('단위공사별(집계)'!P9&gt;0,('단위공사별(집계)'!M9+'단위공사별(집계)'!N9+'단위공사별(집계)'!O9)/1000,"")</f>
        <v/>
      </c>
      <c r="H19" s="34" t="str">
        <f>IF('단위공사별(집계)'!P9&gt;0,'단위공사별(집계)'!P9/1000,"")</f>
        <v/>
      </c>
      <c r="I19" s="35"/>
    </row>
    <row r="20" spans="2:9" ht="24.9" customHeight="1" x14ac:dyDescent="0.4">
      <c r="B20" s="32">
        <v>4</v>
      </c>
      <c r="C20" s="327">
        <f>'공사(라인)4'!C1</f>
        <v>0</v>
      </c>
      <c r="D20" s="328"/>
      <c r="E20" s="329" t="str">
        <f>IF('단위공사별(집계)'!P10&gt;1,('단위공사별(집계)'!D10+'단위공사별(집계)'!E10+'단위공사별(집계)'!F10+'단위공사별(집계)'!G10+'단위공사별(집계)'!I10+'단위공사별(집계)'!K10)/1000," ")</f>
        <v xml:space="preserve"> </v>
      </c>
      <c r="F20" s="330"/>
      <c r="G20" s="33" t="str">
        <f>IF('단위공사별(집계)'!P10&gt;0,('단위공사별(집계)'!M10+'단위공사별(집계)'!N10+'단위공사별(집계)'!O10)/1000,"")</f>
        <v/>
      </c>
      <c r="H20" s="34" t="str">
        <f>IF('단위공사별(집계)'!P10&gt;0,'단위공사별(집계)'!P10/1000,"")</f>
        <v/>
      </c>
      <c r="I20" s="35"/>
    </row>
    <row r="21" spans="2:9" ht="24.9" customHeight="1" x14ac:dyDescent="0.4">
      <c r="B21" s="32">
        <v>5</v>
      </c>
      <c r="C21" s="327">
        <f>'공사(라인)5'!C1</f>
        <v>0</v>
      </c>
      <c r="D21" s="328"/>
      <c r="E21" s="329" t="str">
        <f>IF('단위공사별(집계)'!P11&gt;1,('단위공사별(집계)'!D11+'단위공사별(집계)'!E11+'단위공사별(집계)'!F11+'단위공사별(집계)'!G11+'단위공사별(집계)'!I11+'단위공사별(집계)'!K11)/1000," ")</f>
        <v xml:space="preserve"> </v>
      </c>
      <c r="F21" s="330"/>
      <c r="G21" s="33" t="str">
        <f>IF('단위공사별(집계)'!P11&gt;0,('단위공사별(집계)'!M11+'단위공사별(집계)'!N11+'단위공사별(집계)'!O11)/1000,"")</f>
        <v/>
      </c>
      <c r="H21" s="34" t="str">
        <f>IF('단위공사별(집계)'!P11&gt;0,'단위공사별(집계)'!P11/1000,"")</f>
        <v/>
      </c>
      <c r="I21" s="35"/>
    </row>
    <row r="22" spans="2:9" ht="24.9" customHeight="1" x14ac:dyDescent="0.4">
      <c r="B22" s="32">
        <v>6</v>
      </c>
      <c r="C22" s="327">
        <f>'공사(라인)6'!C1</f>
        <v>0</v>
      </c>
      <c r="D22" s="328"/>
      <c r="E22" s="329" t="str">
        <f>IF('단위공사별(집계)'!P12&gt;1,('단위공사별(집계)'!D12+'단위공사별(집계)'!E12+'단위공사별(집계)'!F12+'단위공사별(집계)'!G12+'단위공사별(집계)'!I12+'단위공사별(집계)'!K12)/1000," ")</f>
        <v xml:space="preserve"> </v>
      </c>
      <c r="F22" s="330"/>
      <c r="G22" s="33" t="str">
        <f>IF('단위공사별(집계)'!P12&gt;0,('단위공사별(집계)'!M12+'단위공사별(집계)'!N12+'단위공사별(집계)'!O12)/1000,"")</f>
        <v/>
      </c>
      <c r="H22" s="34" t="str">
        <f>IF('단위공사별(집계)'!P12&gt;0,'단위공사별(집계)'!P12/1000,"")</f>
        <v/>
      </c>
      <c r="I22" s="35"/>
    </row>
    <row r="23" spans="2:9" ht="24.9" customHeight="1" x14ac:dyDescent="0.4">
      <c r="B23" s="32">
        <v>7</v>
      </c>
      <c r="C23" s="327">
        <f>'공사(라인)7'!C1</f>
        <v>0</v>
      </c>
      <c r="D23" s="328"/>
      <c r="E23" s="329" t="str">
        <f>IF('단위공사별(집계)'!P13&gt;1,('단위공사별(집계)'!D13+'단위공사별(집계)'!E13+'단위공사별(집계)'!F13+'단위공사별(집계)'!G13+'단위공사별(집계)'!I13+'단위공사별(집계)'!K13)/1000," ")</f>
        <v xml:space="preserve"> </v>
      </c>
      <c r="F23" s="330"/>
      <c r="G23" s="33" t="str">
        <f>IF('단위공사별(집계)'!P13&gt;0,('단위공사별(집계)'!M13+'단위공사별(집계)'!N13+'단위공사별(집계)'!O13)/1000,"")</f>
        <v/>
      </c>
      <c r="H23" s="34" t="str">
        <f>IF('단위공사별(집계)'!P13&gt;0,'단위공사별(집계)'!P13/1000,"")</f>
        <v/>
      </c>
      <c r="I23" s="35"/>
    </row>
    <row r="24" spans="2:9" ht="24.9" customHeight="1" x14ac:dyDescent="0.4">
      <c r="B24" s="36">
        <v>8</v>
      </c>
      <c r="C24" s="327">
        <f>'공사(라인)8'!C1</f>
        <v>0</v>
      </c>
      <c r="D24" s="328"/>
      <c r="E24" s="329" t="str">
        <f>IF('단위공사별(집계)'!P14&gt;1,('단위공사별(집계)'!D14+'단위공사별(집계)'!E14+'단위공사별(집계)'!F14+'단위공사별(집계)'!G14+'단위공사별(집계)'!I14+'단위공사별(집계)'!K14)/1000," ")</f>
        <v xml:space="preserve"> </v>
      </c>
      <c r="F24" s="330"/>
      <c r="G24" s="33" t="str">
        <f>IF('단위공사별(집계)'!P14&gt;0,('단위공사별(집계)'!M14+'단위공사별(집계)'!N14+'단위공사별(집계)'!O14)/1000,"")</f>
        <v/>
      </c>
      <c r="H24" s="34" t="str">
        <f>IF('단위공사별(집계)'!P14&gt;0,'단위공사별(집계)'!P14/1000,"")</f>
        <v/>
      </c>
      <c r="I24" s="35"/>
    </row>
    <row r="25" spans="2:9" ht="24.9" customHeight="1" x14ac:dyDescent="0.4">
      <c r="B25" s="36">
        <v>9</v>
      </c>
      <c r="C25" s="327">
        <f>'공사(라인)9'!C1</f>
        <v>0</v>
      </c>
      <c r="D25" s="328"/>
      <c r="E25" s="329" t="str">
        <f>IF('단위공사별(집계)'!P15&gt;1,('단위공사별(집계)'!D15+'단위공사별(집계)'!E15+'단위공사별(집계)'!F15+'단위공사별(집계)'!G15+'단위공사별(집계)'!I15+'단위공사별(집계)'!K15)/1000," ")</f>
        <v xml:space="preserve"> </v>
      </c>
      <c r="F25" s="330"/>
      <c r="G25" s="33" t="str">
        <f>IF('단위공사별(집계)'!P15&gt;0,('단위공사별(집계)'!M15+'단위공사별(집계)'!N15+'단위공사별(집계)'!O15)/1000,"")</f>
        <v/>
      </c>
      <c r="H25" s="34" t="str">
        <f>IF('단위공사별(집계)'!P15&gt;0,'단위공사별(집계)'!P15/1000,"")</f>
        <v/>
      </c>
      <c r="I25" s="35"/>
    </row>
    <row r="26" spans="2:9" ht="24.9" customHeight="1" x14ac:dyDescent="0.4">
      <c r="B26" s="37">
        <v>10</v>
      </c>
      <c r="C26" s="327">
        <f>'공사(라인)10'!C1</f>
        <v>0</v>
      </c>
      <c r="D26" s="328"/>
      <c r="E26" s="331" t="str">
        <f>IF('단위공사별(집계)'!P16&gt;1,('단위공사별(집계)'!D16+'단위공사별(집계)'!E16+'단위공사별(집계)'!F16+'단위공사별(집계)'!G16+'단위공사별(집계)'!I16+'단위공사별(집계)'!K16)/1000," ")</f>
        <v xml:space="preserve"> </v>
      </c>
      <c r="F26" s="332"/>
      <c r="G26" s="33" t="str">
        <f>IF('단위공사별(집계)'!P16&gt;0,('단위공사별(집계)'!M16+'단위공사별(집계)'!N16+'단위공사별(집계)'!O16)/1000,"")</f>
        <v/>
      </c>
      <c r="H26" s="34" t="str">
        <f>IF('단위공사별(집계)'!P16&gt;0,'단위공사별(집계)'!P16/1000,"")</f>
        <v/>
      </c>
      <c r="I26" s="38"/>
    </row>
    <row r="27" spans="2:9" ht="24.9" customHeight="1" x14ac:dyDescent="0.4">
      <c r="B27" s="333" t="s">
        <v>34</v>
      </c>
      <c r="C27" s="334"/>
      <c r="D27" s="335"/>
      <c r="E27" s="333">
        <f>SUM(E17:F26)</f>
        <v>1466073</v>
      </c>
      <c r="F27" s="336"/>
      <c r="G27" s="39">
        <f>SUM(G17:G26)</f>
        <v>66486</v>
      </c>
      <c r="H27" s="40">
        <f>SUM(H17:H26)</f>
        <v>1735209</v>
      </c>
      <c r="I27" s="41"/>
    </row>
    <row r="28" spans="2:9" ht="4.5" customHeight="1" x14ac:dyDescent="0.4">
      <c r="B28" s="42"/>
      <c r="C28" s="43"/>
      <c r="D28" s="43"/>
      <c r="E28" s="44"/>
      <c r="F28" s="44"/>
      <c r="G28" s="44"/>
      <c r="H28" s="44"/>
    </row>
    <row r="29" spans="2:9" ht="24" customHeight="1" x14ac:dyDescent="0.4">
      <c r="B29" s="43"/>
      <c r="C29" s="43"/>
      <c r="D29" s="43"/>
      <c r="E29" s="44"/>
      <c r="F29" s="301" t="s">
        <v>35</v>
      </c>
      <c r="G29" s="302"/>
      <c r="H29" s="45">
        <v>1712850</v>
      </c>
    </row>
    <row r="30" spans="2:9" ht="15" customHeight="1" x14ac:dyDescent="0.4">
      <c r="B30" s="43"/>
      <c r="C30" s="43"/>
      <c r="D30" s="43"/>
      <c r="E30" s="44"/>
      <c r="F30" s="44"/>
      <c r="G30" s="44"/>
      <c r="H30" s="44"/>
    </row>
    <row r="31" spans="2:9" ht="22.5" customHeight="1" x14ac:dyDescent="0.4">
      <c r="B31" s="303" t="s">
        <v>36</v>
      </c>
      <c r="C31" s="306" t="s">
        <v>37</v>
      </c>
      <c r="D31" s="307"/>
      <c r="E31" s="308"/>
      <c r="F31" s="309" t="s">
        <v>38</v>
      </c>
      <c r="G31" s="310"/>
      <c r="H31" s="310"/>
      <c r="I31" s="311"/>
    </row>
    <row r="32" spans="2:9" ht="22.5" customHeight="1" x14ac:dyDescent="0.4">
      <c r="B32" s="304"/>
      <c r="C32" s="312" t="s">
        <v>39</v>
      </c>
      <c r="D32" s="313"/>
      <c r="E32" s="314"/>
      <c r="F32" s="46" t="s">
        <v>40</v>
      </c>
      <c r="G32" s="315"/>
      <c r="H32" s="316"/>
      <c r="I32" s="317"/>
    </row>
    <row r="33" spans="2:11" ht="22.5" customHeight="1" x14ac:dyDescent="0.4">
      <c r="B33" s="304"/>
      <c r="C33" s="318">
        <f>'원가항목별(집계)'!I18</f>
        <v>0</v>
      </c>
      <c r="D33" s="319"/>
      <c r="E33" s="320"/>
      <c r="F33" s="36" t="s">
        <v>41</v>
      </c>
      <c r="G33" s="321"/>
      <c r="H33" s="322"/>
      <c r="I33" s="323"/>
    </row>
    <row r="34" spans="2:11" ht="22.5" customHeight="1" x14ac:dyDescent="0.4">
      <c r="B34" s="304"/>
      <c r="C34" s="324"/>
      <c r="D34" s="325"/>
      <c r="E34" s="326"/>
      <c r="F34" s="36" t="s">
        <v>42</v>
      </c>
      <c r="G34" s="321"/>
      <c r="H34" s="322"/>
      <c r="I34" s="323"/>
    </row>
    <row r="35" spans="2:11" ht="22.5" customHeight="1" x14ac:dyDescent="0.4">
      <c r="B35" s="305"/>
      <c r="C35" s="295"/>
      <c r="D35" s="296"/>
      <c r="E35" s="297"/>
      <c r="F35" s="37" t="s">
        <v>43</v>
      </c>
      <c r="G35" s="298"/>
      <c r="H35" s="299"/>
      <c r="I35" s="300"/>
    </row>
    <row r="44" spans="2:11" x14ac:dyDescent="0.4">
      <c r="K44" s="1" t="e">
        <f>#REF!+#REF!+#REF!+#REF!+#REF!+#REF!+#REF!+#REF!+#REF!+#REF!+#REF!</f>
        <v>#REF!</v>
      </c>
    </row>
  </sheetData>
  <mergeCells count="50">
    <mergeCell ref="B15:B16"/>
    <mergeCell ref="C15:D16"/>
    <mergeCell ref="E15:H15"/>
    <mergeCell ref="B2:I2"/>
    <mergeCell ref="B4:D4"/>
    <mergeCell ref="B5:C5"/>
    <mergeCell ref="B6:C6"/>
    <mergeCell ref="B7:B8"/>
    <mergeCell ref="B9:C9"/>
    <mergeCell ref="B10:C10"/>
    <mergeCell ref="B11:C11"/>
    <mergeCell ref="B13:C13"/>
    <mergeCell ref="D13:F13"/>
    <mergeCell ref="G13:H13"/>
    <mergeCell ref="I15:I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B27:D27"/>
    <mergeCell ref="E27:F27"/>
    <mergeCell ref="C35:E35"/>
    <mergeCell ref="G35:I35"/>
    <mergeCell ref="F29:G29"/>
    <mergeCell ref="B31:B35"/>
    <mergeCell ref="C31:E31"/>
    <mergeCell ref="F31:I31"/>
    <mergeCell ref="C32:E32"/>
    <mergeCell ref="G32:I32"/>
    <mergeCell ref="C33:E33"/>
    <mergeCell ref="G33:I33"/>
    <mergeCell ref="C34:E34"/>
    <mergeCell ref="G34:I34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1" orientation="portrait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B9ED-00DC-470F-89E1-4C76908EA2CA}">
  <sheetPr>
    <tabColor theme="1" tint="4.9989318521683403E-2"/>
    <pageSetUpPr fitToPage="1"/>
  </sheetPr>
  <dimension ref="B2:O37"/>
  <sheetViews>
    <sheetView showGridLines="0" zoomScaleNormal="100" workbookViewId="0">
      <pane ySplit="6" topLeftCell="A12" activePane="bottomLeft" state="frozen"/>
      <selection activeCell="K19" sqref="K19"/>
      <selection pane="bottomLeft" activeCell="K19" sqref="K19"/>
    </sheetView>
  </sheetViews>
  <sheetFormatPr defaultColWidth="9" defaultRowHeight="19.5" customHeight="1" x14ac:dyDescent="0.4"/>
  <cols>
    <col min="1" max="1" width="0.5" style="47" customWidth="1"/>
    <col min="2" max="2" width="5.19921875" style="47" bestFit="1" customWidth="1"/>
    <col min="3" max="3" width="7.3984375" style="47" customWidth="1"/>
    <col min="4" max="4" width="8.8984375" style="47" customWidth="1"/>
    <col min="5" max="5" width="17.69921875" style="47" customWidth="1"/>
    <col min="6" max="6" width="6.3984375" style="48" customWidth="1"/>
    <col min="7" max="7" width="8.8984375" style="49" customWidth="1"/>
    <col min="8" max="8" width="13.19921875" style="50" customWidth="1"/>
    <col min="9" max="9" width="18.19921875" style="51" bestFit="1" customWidth="1"/>
    <col min="10" max="10" width="15.59765625" style="47" customWidth="1"/>
    <col min="11" max="11" width="13.69921875" style="52" bestFit="1" customWidth="1"/>
    <col min="12" max="12" width="10.8984375" style="47" bestFit="1" customWidth="1"/>
    <col min="13" max="256" width="9" style="47"/>
    <col min="257" max="257" width="0.5" style="47" customWidth="1"/>
    <col min="258" max="258" width="5.19921875" style="47" bestFit="1" customWidth="1"/>
    <col min="259" max="259" width="7.3984375" style="47" customWidth="1"/>
    <col min="260" max="260" width="8.8984375" style="47" customWidth="1"/>
    <col min="261" max="261" width="17.69921875" style="47" customWidth="1"/>
    <col min="262" max="262" width="6.3984375" style="47" customWidth="1"/>
    <col min="263" max="263" width="8.8984375" style="47" customWidth="1"/>
    <col min="264" max="264" width="13.19921875" style="47" customWidth="1"/>
    <col min="265" max="265" width="18.19921875" style="47" bestFit="1" customWidth="1"/>
    <col min="266" max="266" width="15.59765625" style="47" customWidth="1"/>
    <col min="267" max="267" width="13.69921875" style="47" bestFit="1" customWidth="1"/>
    <col min="268" max="268" width="10.8984375" style="47" bestFit="1" customWidth="1"/>
    <col min="269" max="512" width="9" style="47"/>
    <col min="513" max="513" width="0.5" style="47" customWidth="1"/>
    <col min="514" max="514" width="5.19921875" style="47" bestFit="1" customWidth="1"/>
    <col min="515" max="515" width="7.3984375" style="47" customWidth="1"/>
    <col min="516" max="516" width="8.8984375" style="47" customWidth="1"/>
    <col min="517" max="517" width="17.69921875" style="47" customWidth="1"/>
    <col min="518" max="518" width="6.3984375" style="47" customWidth="1"/>
    <col min="519" max="519" width="8.8984375" style="47" customWidth="1"/>
    <col min="520" max="520" width="13.19921875" style="47" customWidth="1"/>
    <col min="521" max="521" width="18.19921875" style="47" bestFit="1" customWidth="1"/>
    <col min="522" max="522" width="15.59765625" style="47" customWidth="1"/>
    <col min="523" max="523" width="13.69921875" style="47" bestFit="1" customWidth="1"/>
    <col min="524" max="524" width="10.8984375" style="47" bestFit="1" customWidth="1"/>
    <col min="525" max="768" width="9" style="47"/>
    <col min="769" max="769" width="0.5" style="47" customWidth="1"/>
    <col min="770" max="770" width="5.19921875" style="47" bestFit="1" customWidth="1"/>
    <col min="771" max="771" width="7.3984375" style="47" customWidth="1"/>
    <col min="772" max="772" width="8.8984375" style="47" customWidth="1"/>
    <col min="773" max="773" width="17.69921875" style="47" customWidth="1"/>
    <col min="774" max="774" width="6.3984375" style="47" customWidth="1"/>
    <col min="775" max="775" width="8.8984375" style="47" customWidth="1"/>
    <col min="776" max="776" width="13.19921875" style="47" customWidth="1"/>
    <col min="777" max="777" width="18.19921875" style="47" bestFit="1" customWidth="1"/>
    <col min="778" max="778" width="15.59765625" style="47" customWidth="1"/>
    <col min="779" max="779" width="13.69921875" style="47" bestFit="1" customWidth="1"/>
    <col min="780" max="780" width="10.8984375" style="47" bestFit="1" customWidth="1"/>
    <col min="781" max="1024" width="9" style="47"/>
    <col min="1025" max="1025" width="0.5" style="47" customWidth="1"/>
    <col min="1026" max="1026" width="5.19921875" style="47" bestFit="1" customWidth="1"/>
    <col min="1027" max="1027" width="7.3984375" style="47" customWidth="1"/>
    <col min="1028" max="1028" width="8.8984375" style="47" customWidth="1"/>
    <col min="1029" max="1029" width="17.69921875" style="47" customWidth="1"/>
    <col min="1030" max="1030" width="6.3984375" style="47" customWidth="1"/>
    <col min="1031" max="1031" width="8.8984375" style="47" customWidth="1"/>
    <col min="1032" max="1032" width="13.19921875" style="47" customWidth="1"/>
    <col min="1033" max="1033" width="18.19921875" style="47" bestFit="1" customWidth="1"/>
    <col min="1034" max="1034" width="15.59765625" style="47" customWidth="1"/>
    <col min="1035" max="1035" width="13.69921875" style="47" bestFit="1" customWidth="1"/>
    <col min="1036" max="1036" width="10.8984375" style="47" bestFit="1" customWidth="1"/>
    <col min="1037" max="1280" width="9" style="47"/>
    <col min="1281" max="1281" width="0.5" style="47" customWidth="1"/>
    <col min="1282" max="1282" width="5.19921875" style="47" bestFit="1" customWidth="1"/>
    <col min="1283" max="1283" width="7.3984375" style="47" customWidth="1"/>
    <col min="1284" max="1284" width="8.8984375" style="47" customWidth="1"/>
    <col min="1285" max="1285" width="17.69921875" style="47" customWidth="1"/>
    <col min="1286" max="1286" width="6.3984375" style="47" customWidth="1"/>
    <col min="1287" max="1287" width="8.8984375" style="47" customWidth="1"/>
    <col min="1288" max="1288" width="13.19921875" style="47" customWidth="1"/>
    <col min="1289" max="1289" width="18.19921875" style="47" bestFit="1" customWidth="1"/>
    <col min="1290" max="1290" width="15.59765625" style="47" customWidth="1"/>
    <col min="1291" max="1291" width="13.69921875" style="47" bestFit="1" customWidth="1"/>
    <col min="1292" max="1292" width="10.8984375" style="47" bestFit="1" customWidth="1"/>
    <col min="1293" max="1536" width="9" style="47"/>
    <col min="1537" max="1537" width="0.5" style="47" customWidth="1"/>
    <col min="1538" max="1538" width="5.19921875" style="47" bestFit="1" customWidth="1"/>
    <col min="1539" max="1539" width="7.3984375" style="47" customWidth="1"/>
    <col min="1540" max="1540" width="8.8984375" style="47" customWidth="1"/>
    <col min="1541" max="1541" width="17.69921875" style="47" customWidth="1"/>
    <col min="1542" max="1542" width="6.3984375" style="47" customWidth="1"/>
    <col min="1543" max="1543" width="8.8984375" style="47" customWidth="1"/>
    <col min="1544" max="1544" width="13.19921875" style="47" customWidth="1"/>
    <col min="1545" max="1545" width="18.19921875" style="47" bestFit="1" customWidth="1"/>
    <col min="1546" max="1546" width="15.59765625" style="47" customWidth="1"/>
    <col min="1547" max="1547" width="13.69921875" style="47" bestFit="1" customWidth="1"/>
    <col min="1548" max="1548" width="10.8984375" style="47" bestFit="1" customWidth="1"/>
    <col min="1549" max="1792" width="9" style="47"/>
    <col min="1793" max="1793" width="0.5" style="47" customWidth="1"/>
    <col min="1794" max="1794" width="5.19921875" style="47" bestFit="1" customWidth="1"/>
    <col min="1795" max="1795" width="7.3984375" style="47" customWidth="1"/>
    <col min="1796" max="1796" width="8.8984375" style="47" customWidth="1"/>
    <col min="1797" max="1797" width="17.69921875" style="47" customWidth="1"/>
    <col min="1798" max="1798" width="6.3984375" style="47" customWidth="1"/>
    <col min="1799" max="1799" width="8.8984375" style="47" customWidth="1"/>
    <col min="1800" max="1800" width="13.19921875" style="47" customWidth="1"/>
    <col min="1801" max="1801" width="18.19921875" style="47" bestFit="1" customWidth="1"/>
    <col min="1802" max="1802" width="15.59765625" style="47" customWidth="1"/>
    <col min="1803" max="1803" width="13.69921875" style="47" bestFit="1" customWidth="1"/>
    <col min="1804" max="1804" width="10.8984375" style="47" bestFit="1" customWidth="1"/>
    <col min="1805" max="2048" width="9" style="47"/>
    <col min="2049" max="2049" width="0.5" style="47" customWidth="1"/>
    <col min="2050" max="2050" width="5.19921875" style="47" bestFit="1" customWidth="1"/>
    <col min="2051" max="2051" width="7.3984375" style="47" customWidth="1"/>
    <col min="2052" max="2052" width="8.8984375" style="47" customWidth="1"/>
    <col min="2053" max="2053" width="17.69921875" style="47" customWidth="1"/>
    <col min="2054" max="2054" width="6.3984375" style="47" customWidth="1"/>
    <col min="2055" max="2055" width="8.8984375" style="47" customWidth="1"/>
    <col min="2056" max="2056" width="13.19921875" style="47" customWidth="1"/>
    <col min="2057" max="2057" width="18.19921875" style="47" bestFit="1" customWidth="1"/>
    <col min="2058" max="2058" width="15.59765625" style="47" customWidth="1"/>
    <col min="2059" max="2059" width="13.69921875" style="47" bestFit="1" customWidth="1"/>
    <col min="2060" max="2060" width="10.8984375" style="47" bestFit="1" customWidth="1"/>
    <col min="2061" max="2304" width="9" style="47"/>
    <col min="2305" max="2305" width="0.5" style="47" customWidth="1"/>
    <col min="2306" max="2306" width="5.19921875" style="47" bestFit="1" customWidth="1"/>
    <col min="2307" max="2307" width="7.3984375" style="47" customWidth="1"/>
    <col min="2308" max="2308" width="8.8984375" style="47" customWidth="1"/>
    <col min="2309" max="2309" width="17.69921875" style="47" customWidth="1"/>
    <col min="2310" max="2310" width="6.3984375" style="47" customWidth="1"/>
    <col min="2311" max="2311" width="8.8984375" style="47" customWidth="1"/>
    <col min="2312" max="2312" width="13.19921875" style="47" customWidth="1"/>
    <col min="2313" max="2313" width="18.19921875" style="47" bestFit="1" customWidth="1"/>
    <col min="2314" max="2314" width="15.59765625" style="47" customWidth="1"/>
    <col min="2315" max="2315" width="13.69921875" style="47" bestFit="1" customWidth="1"/>
    <col min="2316" max="2316" width="10.8984375" style="47" bestFit="1" customWidth="1"/>
    <col min="2317" max="2560" width="9" style="47"/>
    <col min="2561" max="2561" width="0.5" style="47" customWidth="1"/>
    <col min="2562" max="2562" width="5.19921875" style="47" bestFit="1" customWidth="1"/>
    <col min="2563" max="2563" width="7.3984375" style="47" customWidth="1"/>
    <col min="2564" max="2564" width="8.8984375" style="47" customWidth="1"/>
    <col min="2565" max="2565" width="17.69921875" style="47" customWidth="1"/>
    <col min="2566" max="2566" width="6.3984375" style="47" customWidth="1"/>
    <col min="2567" max="2567" width="8.8984375" style="47" customWidth="1"/>
    <col min="2568" max="2568" width="13.19921875" style="47" customWidth="1"/>
    <col min="2569" max="2569" width="18.19921875" style="47" bestFit="1" customWidth="1"/>
    <col min="2570" max="2570" width="15.59765625" style="47" customWidth="1"/>
    <col min="2571" max="2571" width="13.69921875" style="47" bestFit="1" customWidth="1"/>
    <col min="2572" max="2572" width="10.8984375" style="47" bestFit="1" customWidth="1"/>
    <col min="2573" max="2816" width="9" style="47"/>
    <col min="2817" max="2817" width="0.5" style="47" customWidth="1"/>
    <col min="2818" max="2818" width="5.19921875" style="47" bestFit="1" customWidth="1"/>
    <col min="2819" max="2819" width="7.3984375" style="47" customWidth="1"/>
    <col min="2820" max="2820" width="8.8984375" style="47" customWidth="1"/>
    <col min="2821" max="2821" width="17.69921875" style="47" customWidth="1"/>
    <col min="2822" max="2822" width="6.3984375" style="47" customWidth="1"/>
    <col min="2823" max="2823" width="8.8984375" style="47" customWidth="1"/>
    <col min="2824" max="2824" width="13.19921875" style="47" customWidth="1"/>
    <col min="2825" max="2825" width="18.19921875" style="47" bestFit="1" customWidth="1"/>
    <col min="2826" max="2826" width="15.59765625" style="47" customWidth="1"/>
    <col min="2827" max="2827" width="13.69921875" style="47" bestFit="1" customWidth="1"/>
    <col min="2828" max="2828" width="10.8984375" style="47" bestFit="1" customWidth="1"/>
    <col min="2829" max="3072" width="9" style="47"/>
    <col min="3073" max="3073" width="0.5" style="47" customWidth="1"/>
    <col min="3074" max="3074" width="5.19921875" style="47" bestFit="1" customWidth="1"/>
    <col min="3075" max="3075" width="7.3984375" style="47" customWidth="1"/>
    <col min="3076" max="3076" width="8.8984375" style="47" customWidth="1"/>
    <col min="3077" max="3077" width="17.69921875" style="47" customWidth="1"/>
    <col min="3078" max="3078" width="6.3984375" style="47" customWidth="1"/>
    <col min="3079" max="3079" width="8.8984375" style="47" customWidth="1"/>
    <col min="3080" max="3080" width="13.19921875" style="47" customWidth="1"/>
    <col min="3081" max="3081" width="18.19921875" style="47" bestFit="1" customWidth="1"/>
    <col min="3082" max="3082" width="15.59765625" style="47" customWidth="1"/>
    <col min="3083" max="3083" width="13.69921875" style="47" bestFit="1" customWidth="1"/>
    <col min="3084" max="3084" width="10.8984375" style="47" bestFit="1" customWidth="1"/>
    <col min="3085" max="3328" width="9" style="47"/>
    <col min="3329" max="3329" width="0.5" style="47" customWidth="1"/>
    <col min="3330" max="3330" width="5.19921875" style="47" bestFit="1" customWidth="1"/>
    <col min="3331" max="3331" width="7.3984375" style="47" customWidth="1"/>
    <col min="3332" max="3332" width="8.8984375" style="47" customWidth="1"/>
    <col min="3333" max="3333" width="17.69921875" style="47" customWidth="1"/>
    <col min="3334" max="3334" width="6.3984375" style="47" customWidth="1"/>
    <col min="3335" max="3335" width="8.8984375" style="47" customWidth="1"/>
    <col min="3336" max="3336" width="13.19921875" style="47" customWidth="1"/>
    <col min="3337" max="3337" width="18.19921875" style="47" bestFit="1" customWidth="1"/>
    <col min="3338" max="3338" width="15.59765625" style="47" customWidth="1"/>
    <col min="3339" max="3339" width="13.69921875" style="47" bestFit="1" customWidth="1"/>
    <col min="3340" max="3340" width="10.8984375" style="47" bestFit="1" customWidth="1"/>
    <col min="3341" max="3584" width="9" style="47"/>
    <col min="3585" max="3585" width="0.5" style="47" customWidth="1"/>
    <col min="3586" max="3586" width="5.19921875" style="47" bestFit="1" customWidth="1"/>
    <col min="3587" max="3587" width="7.3984375" style="47" customWidth="1"/>
    <col min="3588" max="3588" width="8.8984375" style="47" customWidth="1"/>
    <col min="3589" max="3589" width="17.69921875" style="47" customWidth="1"/>
    <col min="3590" max="3590" width="6.3984375" style="47" customWidth="1"/>
    <col min="3591" max="3591" width="8.8984375" style="47" customWidth="1"/>
    <col min="3592" max="3592" width="13.19921875" style="47" customWidth="1"/>
    <col min="3593" max="3593" width="18.19921875" style="47" bestFit="1" customWidth="1"/>
    <col min="3594" max="3594" width="15.59765625" style="47" customWidth="1"/>
    <col min="3595" max="3595" width="13.69921875" style="47" bestFit="1" customWidth="1"/>
    <col min="3596" max="3596" width="10.8984375" style="47" bestFit="1" customWidth="1"/>
    <col min="3597" max="3840" width="9" style="47"/>
    <col min="3841" max="3841" width="0.5" style="47" customWidth="1"/>
    <col min="3842" max="3842" width="5.19921875" style="47" bestFit="1" customWidth="1"/>
    <col min="3843" max="3843" width="7.3984375" style="47" customWidth="1"/>
    <col min="3844" max="3844" width="8.8984375" style="47" customWidth="1"/>
    <col min="3845" max="3845" width="17.69921875" style="47" customWidth="1"/>
    <col min="3846" max="3846" width="6.3984375" style="47" customWidth="1"/>
    <col min="3847" max="3847" width="8.8984375" style="47" customWidth="1"/>
    <col min="3848" max="3848" width="13.19921875" style="47" customWidth="1"/>
    <col min="3849" max="3849" width="18.19921875" style="47" bestFit="1" customWidth="1"/>
    <col min="3850" max="3850" width="15.59765625" style="47" customWidth="1"/>
    <col min="3851" max="3851" width="13.69921875" style="47" bestFit="1" customWidth="1"/>
    <col min="3852" max="3852" width="10.8984375" style="47" bestFit="1" customWidth="1"/>
    <col min="3853" max="4096" width="9" style="47"/>
    <col min="4097" max="4097" width="0.5" style="47" customWidth="1"/>
    <col min="4098" max="4098" width="5.19921875" style="47" bestFit="1" customWidth="1"/>
    <col min="4099" max="4099" width="7.3984375" style="47" customWidth="1"/>
    <col min="4100" max="4100" width="8.8984375" style="47" customWidth="1"/>
    <col min="4101" max="4101" width="17.69921875" style="47" customWidth="1"/>
    <col min="4102" max="4102" width="6.3984375" style="47" customWidth="1"/>
    <col min="4103" max="4103" width="8.8984375" style="47" customWidth="1"/>
    <col min="4104" max="4104" width="13.19921875" style="47" customWidth="1"/>
    <col min="4105" max="4105" width="18.19921875" style="47" bestFit="1" customWidth="1"/>
    <col min="4106" max="4106" width="15.59765625" style="47" customWidth="1"/>
    <col min="4107" max="4107" width="13.69921875" style="47" bestFit="1" customWidth="1"/>
    <col min="4108" max="4108" width="10.8984375" style="47" bestFit="1" customWidth="1"/>
    <col min="4109" max="4352" width="9" style="47"/>
    <col min="4353" max="4353" width="0.5" style="47" customWidth="1"/>
    <col min="4354" max="4354" width="5.19921875" style="47" bestFit="1" customWidth="1"/>
    <col min="4355" max="4355" width="7.3984375" style="47" customWidth="1"/>
    <col min="4356" max="4356" width="8.8984375" style="47" customWidth="1"/>
    <col min="4357" max="4357" width="17.69921875" style="47" customWidth="1"/>
    <col min="4358" max="4358" width="6.3984375" style="47" customWidth="1"/>
    <col min="4359" max="4359" width="8.8984375" style="47" customWidth="1"/>
    <col min="4360" max="4360" width="13.19921875" style="47" customWidth="1"/>
    <col min="4361" max="4361" width="18.19921875" style="47" bestFit="1" customWidth="1"/>
    <col min="4362" max="4362" width="15.59765625" style="47" customWidth="1"/>
    <col min="4363" max="4363" width="13.69921875" style="47" bestFit="1" customWidth="1"/>
    <col min="4364" max="4364" width="10.8984375" style="47" bestFit="1" customWidth="1"/>
    <col min="4365" max="4608" width="9" style="47"/>
    <col min="4609" max="4609" width="0.5" style="47" customWidth="1"/>
    <col min="4610" max="4610" width="5.19921875" style="47" bestFit="1" customWidth="1"/>
    <col min="4611" max="4611" width="7.3984375" style="47" customWidth="1"/>
    <col min="4612" max="4612" width="8.8984375" style="47" customWidth="1"/>
    <col min="4613" max="4613" width="17.69921875" style="47" customWidth="1"/>
    <col min="4614" max="4614" width="6.3984375" style="47" customWidth="1"/>
    <col min="4615" max="4615" width="8.8984375" style="47" customWidth="1"/>
    <col min="4616" max="4616" width="13.19921875" style="47" customWidth="1"/>
    <col min="4617" max="4617" width="18.19921875" style="47" bestFit="1" customWidth="1"/>
    <col min="4618" max="4618" width="15.59765625" style="47" customWidth="1"/>
    <col min="4619" max="4619" width="13.69921875" style="47" bestFit="1" customWidth="1"/>
    <col min="4620" max="4620" width="10.8984375" style="47" bestFit="1" customWidth="1"/>
    <col min="4621" max="4864" width="9" style="47"/>
    <col min="4865" max="4865" width="0.5" style="47" customWidth="1"/>
    <col min="4866" max="4866" width="5.19921875" style="47" bestFit="1" customWidth="1"/>
    <col min="4867" max="4867" width="7.3984375" style="47" customWidth="1"/>
    <col min="4868" max="4868" width="8.8984375" style="47" customWidth="1"/>
    <col min="4869" max="4869" width="17.69921875" style="47" customWidth="1"/>
    <col min="4870" max="4870" width="6.3984375" style="47" customWidth="1"/>
    <col min="4871" max="4871" width="8.8984375" style="47" customWidth="1"/>
    <col min="4872" max="4872" width="13.19921875" style="47" customWidth="1"/>
    <col min="4873" max="4873" width="18.19921875" style="47" bestFit="1" customWidth="1"/>
    <col min="4874" max="4874" width="15.59765625" style="47" customWidth="1"/>
    <col min="4875" max="4875" width="13.69921875" style="47" bestFit="1" customWidth="1"/>
    <col min="4876" max="4876" width="10.8984375" style="47" bestFit="1" customWidth="1"/>
    <col min="4877" max="5120" width="9" style="47"/>
    <col min="5121" max="5121" width="0.5" style="47" customWidth="1"/>
    <col min="5122" max="5122" width="5.19921875" style="47" bestFit="1" customWidth="1"/>
    <col min="5123" max="5123" width="7.3984375" style="47" customWidth="1"/>
    <col min="5124" max="5124" width="8.8984375" style="47" customWidth="1"/>
    <col min="5125" max="5125" width="17.69921875" style="47" customWidth="1"/>
    <col min="5126" max="5126" width="6.3984375" style="47" customWidth="1"/>
    <col min="5127" max="5127" width="8.8984375" style="47" customWidth="1"/>
    <col min="5128" max="5128" width="13.19921875" style="47" customWidth="1"/>
    <col min="5129" max="5129" width="18.19921875" style="47" bestFit="1" customWidth="1"/>
    <col min="5130" max="5130" width="15.59765625" style="47" customWidth="1"/>
    <col min="5131" max="5131" width="13.69921875" style="47" bestFit="1" customWidth="1"/>
    <col min="5132" max="5132" width="10.8984375" style="47" bestFit="1" customWidth="1"/>
    <col min="5133" max="5376" width="9" style="47"/>
    <col min="5377" max="5377" width="0.5" style="47" customWidth="1"/>
    <col min="5378" max="5378" width="5.19921875" style="47" bestFit="1" customWidth="1"/>
    <col min="5379" max="5379" width="7.3984375" style="47" customWidth="1"/>
    <col min="5380" max="5380" width="8.8984375" style="47" customWidth="1"/>
    <col min="5381" max="5381" width="17.69921875" style="47" customWidth="1"/>
    <col min="5382" max="5382" width="6.3984375" style="47" customWidth="1"/>
    <col min="5383" max="5383" width="8.8984375" style="47" customWidth="1"/>
    <col min="5384" max="5384" width="13.19921875" style="47" customWidth="1"/>
    <col min="5385" max="5385" width="18.19921875" style="47" bestFit="1" customWidth="1"/>
    <col min="5386" max="5386" width="15.59765625" style="47" customWidth="1"/>
    <col min="5387" max="5387" width="13.69921875" style="47" bestFit="1" customWidth="1"/>
    <col min="5388" max="5388" width="10.8984375" style="47" bestFit="1" customWidth="1"/>
    <col min="5389" max="5632" width="9" style="47"/>
    <col min="5633" max="5633" width="0.5" style="47" customWidth="1"/>
    <col min="5634" max="5634" width="5.19921875" style="47" bestFit="1" customWidth="1"/>
    <col min="5635" max="5635" width="7.3984375" style="47" customWidth="1"/>
    <col min="5636" max="5636" width="8.8984375" style="47" customWidth="1"/>
    <col min="5637" max="5637" width="17.69921875" style="47" customWidth="1"/>
    <col min="5638" max="5638" width="6.3984375" style="47" customWidth="1"/>
    <col min="5639" max="5639" width="8.8984375" style="47" customWidth="1"/>
    <col min="5640" max="5640" width="13.19921875" style="47" customWidth="1"/>
    <col min="5641" max="5641" width="18.19921875" style="47" bestFit="1" customWidth="1"/>
    <col min="5642" max="5642" width="15.59765625" style="47" customWidth="1"/>
    <col min="5643" max="5643" width="13.69921875" style="47" bestFit="1" customWidth="1"/>
    <col min="5644" max="5644" width="10.8984375" style="47" bestFit="1" customWidth="1"/>
    <col min="5645" max="5888" width="9" style="47"/>
    <col min="5889" max="5889" width="0.5" style="47" customWidth="1"/>
    <col min="5890" max="5890" width="5.19921875" style="47" bestFit="1" customWidth="1"/>
    <col min="5891" max="5891" width="7.3984375" style="47" customWidth="1"/>
    <col min="5892" max="5892" width="8.8984375" style="47" customWidth="1"/>
    <col min="5893" max="5893" width="17.69921875" style="47" customWidth="1"/>
    <col min="5894" max="5894" width="6.3984375" style="47" customWidth="1"/>
    <col min="5895" max="5895" width="8.8984375" style="47" customWidth="1"/>
    <col min="5896" max="5896" width="13.19921875" style="47" customWidth="1"/>
    <col min="5897" max="5897" width="18.19921875" style="47" bestFit="1" customWidth="1"/>
    <col min="5898" max="5898" width="15.59765625" style="47" customWidth="1"/>
    <col min="5899" max="5899" width="13.69921875" style="47" bestFit="1" customWidth="1"/>
    <col min="5900" max="5900" width="10.8984375" style="47" bestFit="1" customWidth="1"/>
    <col min="5901" max="6144" width="9" style="47"/>
    <col min="6145" max="6145" width="0.5" style="47" customWidth="1"/>
    <col min="6146" max="6146" width="5.19921875" style="47" bestFit="1" customWidth="1"/>
    <col min="6147" max="6147" width="7.3984375" style="47" customWidth="1"/>
    <col min="6148" max="6148" width="8.8984375" style="47" customWidth="1"/>
    <col min="6149" max="6149" width="17.69921875" style="47" customWidth="1"/>
    <col min="6150" max="6150" width="6.3984375" style="47" customWidth="1"/>
    <col min="6151" max="6151" width="8.8984375" style="47" customWidth="1"/>
    <col min="6152" max="6152" width="13.19921875" style="47" customWidth="1"/>
    <col min="6153" max="6153" width="18.19921875" style="47" bestFit="1" customWidth="1"/>
    <col min="6154" max="6154" width="15.59765625" style="47" customWidth="1"/>
    <col min="6155" max="6155" width="13.69921875" style="47" bestFit="1" customWidth="1"/>
    <col min="6156" max="6156" width="10.8984375" style="47" bestFit="1" customWidth="1"/>
    <col min="6157" max="6400" width="9" style="47"/>
    <col min="6401" max="6401" width="0.5" style="47" customWidth="1"/>
    <col min="6402" max="6402" width="5.19921875" style="47" bestFit="1" customWidth="1"/>
    <col min="6403" max="6403" width="7.3984375" style="47" customWidth="1"/>
    <col min="6404" max="6404" width="8.8984375" style="47" customWidth="1"/>
    <col min="6405" max="6405" width="17.69921875" style="47" customWidth="1"/>
    <col min="6406" max="6406" width="6.3984375" style="47" customWidth="1"/>
    <col min="6407" max="6407" width="8.8984375" style="47" customWidth="1"/>
    <col min="6408" max="6408" width="13.19921875" style="47" customWidth="1"/>
    <col min="6409" max="6409" width="18.19921875" style="47" bestFit="1" customWidth="1"/>
    <col min="6410" max="6410" width="15.59765625" style="47" customWidth="1"/>
    <col min="6411" max="6411" width="13.69921875" style="47" bestFit="1" customWidth="1"/>
    <col min="6412" max="6412" width="10.8984375" style="47" bestFit="1" customWidth="1"/>
    <col min="6413" max="6656" width="9" style="47"/>
    <col min="6657" max="6657" width="0.5" style="47" customWidth="1"/>
    <col min="6658" max="6658" width="5.19921875" style="47" bestFit="1" customWidth="1"/>
    <col min="6659" max="6659" width="7.3984375" style="47" customWidth="1"/>
    <col min="6660" max="6660" width="8.8984375" style="47" customWidth="1"/>
    <col min="6661" max="6661" width="17.69921875" style="47" customWidth="1"/>
    <col min="6662" max="6662" width="6.3984375" style="47" customWidth="1"/>
    <col min="6663" max="6663" width="8.8984375" style="47" customWidth="1"/>
    <col min="6664" max="6664" width="13.19921875" style="47" customWidth="1"/>
    <col min="6665" max="6665" width="18.19921875" style="47" bestFit="1" customWidth="1"/>
    <col min="6666" max="6666" width="15.59765625" style="47" customWidth="1"/>
    <col min="6667" max="6667" width="13.69921875" style="47" bestFit="1" customWidth="1"/>
    <col min="6668" max="6668" width="10.8984375" style="47" bestFit="1" customWidth="1"/>
    <col min="6669" max="6912" width="9" style="47"/>
    <col min="6913" max="6913" width="0.5" style="47" customWidth="1"/>
    <col min="6914" max="6914" width="5.19921875" style="47" bestFit="1" customWidth="1"/>
    <col min="6915" max="6915" width="7.3984375" style="47" customWidth="1"/>
    <col min="6916" max="6916" width="8.8984375" style="47" customWidth="1"/>
    <col min="6917" max="6917" width="17.69921875" style="47" customWidth="1"/>
    <col min="6918" max="6918" width="6.3984375" style="47" customWidth="1"/>
    <col min="6919" max="6919" width="8.8984375" style="47" customWidth="1"/>
    <col min="6920" max="6920" width="13.19921875" style="47" customWidth="1"/>
    <col min="6921" max="6921" width="18.19921875" style="47" bestFit="1" customWidth="1"/>
    <col min="6922" max="6922" width="15.59765625" style="47" customWidth="1"/>
    <col min="6923" max="6923" width="13.69921875" style="47" bestFit="1" customWidth="1"/>
    <col min="6924" max="6924" width="10.8984375" style="47" bestFit="1" customWidth="1"/>
    <col min="6925" max="7168" width="9" style="47"/>
    <col min="7169" max="7169" width="0.5" style="47" customWidth="1"/>
    <col min="7170" max="7170" width="5.19921875" style="47" bestFit="1" customWidth="1"/>
    <col min="7171" max="7171" width="7.3984375" style="47" customWidth="1"/>
    <col min="7172" max="7172" width="8.8984375" style="47" customWidth="1"/>
    <col min="7173" max="7173" width="17.69921875" style="47" customWidth="1"/>
    <col min="7174" max="7174" width="6.3984375" style="47" customWidth="1"/>
    <col min="7175" max="7175" width="8.8984375" style="47" customWidth="1"/>
    <col min="7176" max="7176" width="13.19921875" style="47" customWidth="1"/>
    <col min="7177" max="7177" width="18.19921875" style="47" bestFit="1" customWidth="1"/>
    <col min="7178" max="7178" width="15.59765625" style="47" customWidth="1"/>
    <col min="7179" max="7179" width="13.69921875" style="47" bestFit="1" customWidth="1"/>
    <col min="7180" max="7180" width="10.8984375" style="47" bestFit="1" customWidth="1"/>
    <col min="7181" max="7424" width="9" style="47"/>
    <col min="7425" max="7425" width="0.5" style="47" customWidth="1"/>
    <col min="7426" max="7426" width="5.19921875" style="47" bestFit="1" customWidth="1"/>
    <col min="7427" max="7427" width="7.3984375" style="47" customWidth="1"/>
    <col min="7428" max="7428" width="8.8984375" style="47" customWidth="1"/>
    <col min="7429" max="7429" width="17.69921875" style="47" customWidth="1"/>
    <col min="7430" max="7430" width="6.3984375" style="47" customWidth="1"/>
    <col min="7431" max="7431" width="8.8984375" style="47" customWidth="1"/>
    <col min="7432" max="7432" width="13.19921875" style="47" customWidth="1"/>
    <col min="7433" max="7433" width="18.19921875" style="47" bestFit="1" customWidth="1"/>
    <col min="7434" max="7434" width="15.59765625" style="47" customWidth="1"/>
    <col min="7435" max="7435" width="13.69921875" style="47" bestFit="1" customWidth="1"/>
    <col min="7436" max="7436" width="10.8984375" style="47" bestFit="1" customWidth="1"/>
    <col min="7437" max="7680" width="9" style="47"/>
    <col min="7681" max="7681" width="0.5" style="47" customWidth="1"/>
    <col min="7682" max="7682" width="5.19921875" style="47" bestFit="1" customWidth="1"/>
    <col min="7683" max="7683" width="7.3984375" style="47" customWidth="1"/>
    <col min="7684" max="7684" width="8.8984375" style="47" customWidth="1"/>
    <col min="7685" max="7685" width="17.69921875" style="47" customWidth="1"/>
    <col min="7686" max="7686" width="6.3984375" style="47" customWidth="1"/>
    <col min="7687" max="7687" width="8.8984375" style="47" customWidth="1"/>
    <col min="7688" max="7688" width="13.19921875" style="47" customWidth="1"/>
    <col min="7689" max="7689" width="18.19921875" style="47" bestFit="1" customWidth="1"/>
    <col min="7690" max="7690" width="15.59765625" style="47" customWidth="1"/>
    <col min="7691" max="7691" width="13.69921875" style="47" bestFit="1" customWidth="1"/>
    <col min="7692" max="7692" width="10.8984375" style="47" bestFit="1" customWidth="1"/>
    <col min="7693" max="7936" width="9" style="47"/>
    <col min="7937" max="7937" width="0.5" style="47" customWidth="1"/>
    <col min="7938" max="7938" width="5.19921875" style="47" bestFit="1" customWidth="1"/>
    <col min="7939" max="7939" width="7.3984375" style="47" customWidth="1"/>
    <col min="7940" max="7940" width="8.8984375" style="47" customWidth="1"/>
    <col min="7941" max="7941" width="17.69921875" style="47" customWidth="1"/>
    <col min="7942" max="7942" width="6.3984375" style="47" customWidth="1"/>
    <col min="7943" max="7943" width="8.8984375" style="47" customWidth="1"/>
    <col min="7944" max="7944" width="13.19921875" style="47" customWidth="1"/>
    <col min="7945" max="7945" width="18.19921875" style="47" bestFit="1" customWidth="1"/>
    <col min="7946" max="7946" width="15.59765625" style="47" customWidth="1"/>
    <col min="7947" max="7947" width="13.69921875" style="47" bestFit="1" customWidth="1"/>
    <col min="7948" max="7948" width="10.8984375" style="47" bestFit="1" customWidth="1"/>
    <col min="7949" max="8192" width="9" style="47"/>
    <col min="8193" max="8193" width="0.5" style="47" customWidth="1"/>
    <col min="8194" max="8194" width="5.19921875" style="47" bestFit="1" customWidth="1"/>
    <col min="8195" max="8195" width="7.3984375" style="47" customWidth="1"/>
    <col min="8196" max="8196" width="8.8984375" style="47" customWidth="1"/>
    <col min="8197" max="8197" width="17.69921875" style="47" customWidth="1"/>
    <col min="8198" max="8198" width="6.3984375" style="47" customWidth="1"/>
    <col min="8199" max="8199" width="8.8984375" style="47" customWidth="1"/>
    <col min="8200" max="8200" width="13.19921875" style="47" customWidth="1"/>
    <col min="8201" max="8201" width="18.19921875" style="47" bestFit="1" customWidth="1"/>
    <col min="8202" max="8202" width="15.59765625" style="47" customWidth="1"/>
    <col min="8203" max="8203" width="13.69921875" style="47" bestFit="1" customWidth="1"/>
    <col min="8204" max="8204" width="10.8984375" style="47" bestFit="1" customWidth="1"/>
    <col min="8205" max="8448" width="9" style="47"/>
    <col min="8449" max="8449" width="0.5" style="47" customWidth="1"/>
    <col min="8450" max="8450" width="5.19921875" style="47" bestFit="1" customWidth="1"/>
    <col min="8451" max="8451" width="7.3984375" style="47" customWidth="1"/>
    <col min="8452" max="8452" width="8.8984375" style="47" customWidth="1"/>
    <col min="8453" max="8453" width="17.69921875" style="47" customWidth="1"/>
    <col min="8454" max="8454" width="6.3984375" style="47" customWidth="1"/>
    <col min="8455" max="8455" width="8.8984375" style="47" customWidth="1"/>
    <col min="8456" max="8456" width="13.19921875" style="47" customWidth="1"/>
    <col min="8457" max="8457" width="18.19921875" style="47" bestFit="1" customWidth="1"/>
    <col min="8458" max="8458" width="15.59765625" style="47" customWidth="1"/>
    <col min="8459" max="8459" width="13.69921875" style="47" bestFit="1" customWidth="1"/>
    <col min="8460" max="8460" width="10.8984375" style="47" bestFit="1" customWidth="1"/>
    <col min="8461" max="8704" width="9" style="47"/>
    <col min="8705" max="8705" width="0.5" style="47" customWidth="1"/>
    <col min="8706" max="8706" width="5.19921875" style="47" bestFit="1" customWidth="1"/>
    <col min="8707" max="8707" width="7.3984375" style="47" customWidth="1"/>
    <col min="8708" max="8708" width="8.8984375" style="47" customWidth="1"/>
    <col min="8709" max="8709" width="17.69921875" style="47" customWidth="1"/>
    <col min="8710" max="8710" width="6.3984375" style="47" customWidth="1"/>
    <col min="8711" max="8711" width="8.8984375" style="47" customWidth="1"/>
    <col min="8712" max="8712" width="13.19921875" style="47" customWidth="1"/>
    <col min="8713" max="8713" width="18.19921875" style="47" bestFit="1" customWidth="1"/>
    <col min="8714" max="8714" width="15.59765625" style="47" customWidth="1"/>
    <col min="8715" max="8715" width="13.69921875" style="47" bestFit="1" customWidth="1"/>
    <col min="8716" max="8716" width="10.8984375" style="47" bestFit="1" customWidth="1"/>
    <col min="8717" max="8960" width="9" style="47"/>
    <col min="8961" max="8961" width="0.5" style="47" customWidth="1"/>
    <col min="8962" max="8962" width="5.19921875" style="47" bestFit="1" customWidth="1"/>
    <col min="8963" max="8963" width="7.3984375" style="47" customWidth="1"/>
    <col min="8964" max="8964" width="8.8984375" style="47" customWidth="1"/>
    <col min="8965" max="8965" width="17.69921875" style="47" customWidth="1"/>
    <col min="8966" max="8966" width="6.3984375" style="47" customWidth="1"/>
    <col min="8967" max="8967" width="8.8984375" style="47" customWidth="1"/>
    <col min="8968" max="8968" width="13.19921875" style="47" customWidth="1"/>
    <col min="8969" max="8969" width="18.19921875" style="47" bestFit="1" customWidth="1"/>
    <col min="8970" max="8970" width="15.59765625" style="47" customWidth="1"/>
    <col min="8971" max="8971" width="13.69921875" style="47" bestFit="1" customWidth="1"/>
    <col min="8972" max="8972" width="10.8984375" style="47" bestFit="1" customWidth="1"/>
    <col min="8973" max="9216" width="9" style="47"/>
    <col min="9217" max="9217" width="0.5" style="47" customWidth="1"/>
    <col min="9218" max="9218" width="5.19921875" style="47" bestFit="1" customWidth="1"/>
    <col min="9219" max="9219" width="7.3984375" style="47" customWidth="1"/>
    <col min="9220" max="9220" width="8.8984375" style="47" customWidth="1"/>
    <col min="9221" max="9221" width="17.69921875" style="47" customWidth="1"/>
    <col min="9222" max="9222" width="6.3984375" style="47" customWidth="1"/>
    <col min="9223" max="9223" width="8.8984375" style="47" customWidth="1"/>
    <col min="9224" max="9224" width="13.19921875" style="47" customWidth="1"/>
    <col min="9225" max="9225" width="18.19921875" style="47" bestFit="1" customWidth="1"/>
    <col min="9226" max="9226" width="15.59765625" style="47" customWidth="1"/>
    <col min="9227" max="9227" width="13.69921875" style="47" bestFit="1" customWidth="1"/>
    <col min="9228" max="9228" width="10.8984375" style="47" bestFit="1" customWidth="1"/>
    <col min="9229" max="9472" width="9" style="47"/>
    <col min="9473" max="9473" width="0.5" style="47" customWidth="1"/>
    <col min="9474" max="9474" width="5.19921875" style="47" bestFit="1" customWidth="1"/>
    <col min="9475" max="9475" width="7.3984375" style="47" customWidth="1"/>
    <col min="9476" max="9476" width="8.8984375" style="47" customWidth="1"/>
    <col min="9477" max="9477" width="17.69921875" style="47" customWidth="1"/>
    <col min="9478" max="9478" width="6.3984375" style="47" customWidth="1"/>
    <col min="9479" max="9479" width="8.8984375" style="47" customWidth="1"/>
    <col min="9480" max="9480" width="13.19921875" style="47" customWidth="1"/>
    <col min="9481" max="9481" width="18.19921875" style="47" bestFit="1" customWidth="1"/>
    <col min="9482" max="9482" width="15.59765625" style="47" customWidth="1"/>
    <col min="9483" max="9483" width="13.69921875" style="47" bestFit="1" customWidth="1"/>
    <col min="9484" max="9484" width="10.8984375" style="47" bestFit="1" customWidth="1"/>
    <col min="9485" max="9728" width="9" style="47"/>
    <col min="9729" max="9729" width="0.5" style="47" customWidth="1"/>
    <col min="9730" max="9730" width="5.19921875" style="47" bestFit="1" customWidth="1"/>
    <col min="9731" max="9731" width="7.3984375" style="47" customWidth="1"/>
    <col min="9732" max="9732" width="8.8984375" style="47" customWidth="1"/>
    <col min="9733" max="9733" width="17.69921875" style="47" customWidth="1"/>
    <col min="9734" max="9734" width="6.3984375" style="47" customWidth="1"/>
    <col min="9735" max="9735" width="8.8984375" style="47" customWidth="1"/>
    <col min="9736" max="9736" width="13.19921875" style="47" customWidth="1"/>
    <col min="9737" max="9737" width="18.19921875" style="47" bestFit="1" customWidth="1"/>
    <col min="9738" max="9738" width="15.59765625" style="47" customWidth="1"/>
    <col min="9739" max="9739" width="13.69921875" style="47" bestFit="1" customWidth="1"/>
    <col min="9740" max="9740" width="10.8984375" style="47" bestFit="1" customWidth="1"/>
    <col min="9741" max="9984" width="9" style="47"/>
    <col min="9985" max="9985" width="0.5" style="47" customWidth="1"/>
    <col min="9986" max="9986" width="5.19921875" style="47" bestFit="1" customWidth="1"/>
    <col min="9987" max="9987" width="7.3984375" style="47" customWidth="1"/>
    <col min="9988" max="9988" width="8.8984375" style="47" customWidth="1"/>
    <col min="9989" max="9989" width="17.69921875" style="47" customWidth="1"/>
    <col min="9990" max="9990" width="6.3984375" style="47" customWidth="1"/>
    <col min="9991" max="9991" width="8.8984375" style="47" customWidth="1"/>
    <col min="9992" max="9992" width="13.19921875" style="47" customWidth="1"/>
    <col min="9993" max="9993" width="18.19921875" style="47" bestFit="1" customWidth="1"/>
    <col min="9994" max="9994" width="15.59765625" style="47" customWidth="1"/>
    <col min="9995" max="9995" width="13.69921875" style="47" bestFit="1" customWidth="1"/>
    <col min="9996" max="9996" width="10.8984375" style="47" bestFit="1" customWidth="1"/>
    <col min="9997" max="10240" width="9" style="47"/>
    <col min="10241" max="10241" width="0.5" style="47" customWidth="1"/>
    <col min="10242" max="10242" width="5.19921875" style="47" bestFit="1" customWidth="1"/>
    <col min="10243" max="10243" width="7.3984375" style="47" customWidth="1"/>
    <col min="10244" max="10244" width="8.8984375" style="47" customWidth="1"/>
    <col min="10245" max="10245" width="17.69921875" style="47" customWidth="1"/>
    <col min="10246" max="10246" width="6.3984375" style="47" customWidth="1"/>
    <col min="10247" max="10247" width="8.8984375" style="47" customWidth="1"/>
    <col min="10248" max="10248" width="13.19921875" style="47" customWidth="1"/>
    <col min="10249" max="10249" width="18.19921875" style="47" bestFit="1" customWidth="1"/>
    <col min="10250" max="10250" width="15.59765625" style="47" customWidth="1"/>
    <col min="10251" max="10251" width="13.69921875" style="47" bestFit="1" customWidth="1"/>
    <col min="10252" max="10252" width="10.8984375" style="47" bestFit="1" customWidth="1"/>
    <col min="10253" max="10496" width="9" style="47"/>
    <col min="10497" max="10497" width="0.5" style="47" customWidth="1"/>
    <col min="10498" max="10498" width="5.19921875" style="47" bestFit="1" customWidth="1"/>
    <col min="10499" max="10499" width="7.3984375" style="47" customWidth="1"/>
    <col min="10500" max="10500" width="8.8984375" style="47" customWidth="1"/>
    <col min="10501" max="10501" width="17.69921875" style="47" customWidth="1"/>
    <col min="10502" max="10502" width="6.3984375" style="47" customWidth="1"/>
    <col min="10503" max="10503" width="8.8984375" style="47" customWidth="1"/>
    <col min="10504" max="10504" width="13.19921875" style="47" customWidth="1"/>
    <col min="10505" max="10505" width="18.19921875" style="47" bestFit="1" customWidth="1"/>
    <col min="10506" max="10506" width="15.59765625" style="47" customWidth="1"/>
    <col min="10507" max="10507" width="13.69921875" style="47" bestFit="1" customWidth="1"/>
    <col min="10508" max="10508" width="10.8984375" style="47" bestFit="1" customWidth="1"/>
    <col min="10509" max="10752" width="9" style="47"/>
    <col min="10753" max="10753" width="0.5" style="47" customWidth="1"/>
    <col min="10754" max="10754" width="5.19921875" style="47" bestFit="1" customWidth="1"/>
    <col min="10755" max="10755" width="7.3984375" style="47" customWidth="1"/>
    <col min="10756" max="10756" width="8.8984375" style="47" customWidth="1"/>
    <col min="10757" max="10757" width="17.69921875" style="47" customWidth="1"/>
    <col min="10758" max="10758" width="6.3984375" style="47" customWidth="1"/>
    <col min="10759" max="10759" width="8.8984375" style="47" customWidth="1"/>
    <col min="10760" max="10760" width="13.19921875" style="47" customWidth="1"/>
    <col min="10761" max="10761" width="18.19921875" style="47" bestFit="1" customWidth="1"/>
    <col min="10762" max="10762" width="15.59765625" style="47" customWidth="1"/>
    <col min="10763" max="10763" width="13.69921875" style="47" bestFit="1" customWidth="1"/>
    <col min="10764" max="10764" width="10.8984375" style="47" bestFit="1" customWidth="1"/>
    <col min="10765" max="11008" width="9" style="47"/>
    <col min="11009" max="11009" width="0.5" style="47" customWidth="1"/>
    <col min="11010" max="11010" width="5.19921875" style="47" bestFit="1" customWidth="1"/>
    <col min="11011" max="11011" width="7.3984375" style="47" customWidth="1"/>
    <col min="11012" max="11012" width="8.8984375" style="47" customWidth="1"/>
    <col min="11013" max="11013" width="17.69921875" style="47" customWidth="1"/>
    <col min="11014" max="11014" width="6.3984375" style="47" customWidth="1"/>
    <col min="11015" max="11015" width="8.8984375" style="47" customWidth="1"/>
    <col min="11016" max="11016" width="13.19921875" style="47" customWidth="1"/>
    <col min="11017" max="11017" width="18.19921875" style="47" bestFit="1" customWidth="1"/>
    <col min="11018" max="11018" width="15.59765625" style="47" customWidth="1"/>
    <col min="11019" max="11019" width="13.69921875" style="47" bestFit="1" customWidth="1"/>
    <col min="11020" max="11020" width="10.8984375" style="47" bestFit="1" customWidth="1"/>
    <col min="11021" max="11264" width="9" style="47"/>
    <col min="11265" max="11265" width="0.5" style="47" customWidth="1"/>
    <col min="11266" max="11266" width="5.19921875" style="47" bestFit="1" customWidth="1"/>
    <col min="11267" max="11267" width="7.3984375" style="47" customWidth="1"/>
    <col min="11268" max="11268" width="8.8984375" style="47" customWidth="1"/>
    <col min="11269" max="11269" width="17.69921875" style="47" customWidth="1"/>
    <col min="11270" max="11270" width="6.3984375" style="47" customWidth="1"/>
    <col min="11271" max="11271" width="8.8984375" style="47" customWidth="1"/>
    <col min="11272" max="11272" width="13.19921875" style="47" customWidth="1"/>
    <col min="11273" max="11273" width="18.19921875" style="47" bestFit="1" customWidth="1"/>
    <col min="11274" max="11274" width="15.59765625" style="47" customWidth="1"/>
    <col min="11275" max="11275" width="13.69921875" style="47" bestFit="1" customWidth="1"/>
    <col min="11276" max="11276" width="10.8984375" style="47" bestFit="1" customWidth="1"/>
    <col min="11277" max="11520" width="9" style="47"/>
    <col min="11521" max="11521" width="0.5" style="47" customWidth="1"/>
    <col min="11522" max="11522" width="5.19921875" style="47" bestFit="1" customWidth="1"/>
    <col min="11523" max="11523" width="7.3984375" style="47" customWidth="1"/>
    <col min="11524" max="11524" width="8.8984375" style="47" customWidth="1"/>
    <col min="11525" max="11525" width="17.69921875" style="47" customWidth="1"/>
    <col min="11526" max="11526" width="6.3984375" style="47" customWidth="1"/>
    <col min="11527" max="11527" width="8.8984375" style="47" customWidth="1"/>
    <col min="11528" max="11528" width="13.19921875" style="47" customWidth="1"/>
    <col min="11529" max="11529" width="18.19921875" style="47" bestFit="1" customWidth="1"/>
    <col min="11530" max="11530" width="15.59765625" style="47" customWidth="1"/>
    <col min="11531" max="11531" width="13.69921875" style="47" bestFit="1" customWidth="1"/>
    <col min="11532" max="11532" width="10.8984375" style="47" bestFit="1" customWidth="1"/>
    <col min="11533" max="11776" width="9" style="47"/>
    <col min="11777" max="11777" width="0.5" style="47" customWidth="1"/>
    <col min="11778" max="11778" width="5.19921875" style="47" bestFit="1" customWidth="1"/>
    <col min="11779" max="11779" width="7.3984375" style="47" customWidth="1"/>
    <col min="11780" max="11780" width="8.8984375" style="47" customWidth="1"/>
    <col min="11781" max="11781" width="17.69921875" style="47" customWidth="1"/>
    <col min="11782" max="11782" width="6.3984375" style="47" customWidth="1"/>
    <col min="11783" max="11783" width="8.8984375" style="47" customWidth="1"/>
    <col min="11784" max="11784" width="13.19921875" style="47" customWidth="1"/>
    <col min="11785" max="11785" width="18.19921875" style="47" bestFit="1" customWidth="1"/>
    <col min="11786" max="11786" width="15.59765625" style="47" customWidth="1"/>
    <col min="11787" max="11787" width="13.69921875" style="47" bestFit="1" customWidth="1"/>
    <col min="11788" max="11788" width="10.8984375" style="47" bestFit="1" customWidth="1"/>
    <col min="11789" max="12032" width="9" style="47"/>
    <col min="12033" max="12033" width="0.5" style="47" customWidth="1"/>
    <col min="12034" max="12034" width="5.19921875" style="47" bestFit="1" customWidth="1"/>
    <col min="12035" max="12035" width="7.3984375" style="47" customWidth="1"/>
    <col min="12036" max="12036" width="8.8984375" style="47" customWidth="1"/>
    <col min="12037" max="12037" width="17.69921875" style="47" customWidth="1"/>
    <col min="12038" max="12038" width="6.3984375" style="47" customWidth="1"/>
    <col min="12039" max="12039" width="8.8984375" style="47" customWidth="1"/>
    <col min="12040" max="12040" width="13.19921875" style="47" customWidth="1"/>
    <col min="12041" max="12041" width="18.19921875" style="47" bestFit="1" customWidth="1"/>
    <col min="12042" max="12042" width="15.59765625" style="47" customWidth="1"/>
    <col min="12043" max="12043" width="13.69921875" style="47" bestFit="1" customWidth="1"/>
    <col min="12044" max="12044" width="10.8984375" style="47" bestFit="1" customWidth="1"/>
    <col min="12045" max="12288" width="9" style="47"/>
    <col min="12289" max="12289" width="0.5" style="47" customWidth="1"/>
    <col min="12290" max="12290" width="5.19921875" style="47" bestFit="1" customWidth="1"/>
    <col min="12291" max="12291" width="7.3984375" style="47" customWidth="1"/>
    <col min="12292" max="12292" width="8.8984375" style="47" customWidth="1"/>
    <col min="12293" max="12293" width="17.69921875" style="47" customWidth="1"/>
    <col min="12294" max="12294" width="6.3984375" style="47" customWidth="1"/>
    <col min="12295" max="12295" width="8.8984375" style="47" customWidth="1"/>
    <col min="12296" max="12296" width="13.19921875" style="47" customWidth="1"/>
    <col min="12297" max="12297" width="18.19921875" style="47" bestFit="1" customWidth="1"/>
    <col min="12298" max="12298" width="15.59765625" style="47" customWidth="1"/>
    <col min="12299" max="12299" width="13.69921875" style="47" bestFit="1" customWidth="1"/>
    <col min="12300" max="12300" width="10.8984375" style="47" bestFit="1" customWidth="1"/>
    <col min="12301" max="12544" width="9" style="47"/>
    <col min="12545" max="12545" width="0.5" style="47" customWidth="1"/>
    <col min="12546" max="12546" width="5.19921875" style="47" bestFit="1" customWidth="1"/>
    <col min="12547" max="12547" width="7.3984375" style="47" customWidth="1"/>
    <col min="12548" max="12548" width="8.8984375" style="47" customWidth="1"/>
    <col min="12549" max="12549" width="17.69921875" style="47" customWidth="1"/>
    <col min="12550" max="12550" width="6.3984375" style="47" customWidth="1"/>
    <col min="12551" max="12551" width="8.8984375" style="47" customWidth="1"/>
    <col min="12552" max="12552" width="13.19921875" style="47" customWidth="1"/>
    <col min="12553" max="12553" width="18.19921875" style="47" bestFit="1" customWidth="1"/>
    <col min="12554" max="12554" width="15.59765625" style="47" customWidth="1"/>
    <col min="12555" max="12555" width="13.69921875" style="47" bestFit="1" customWidth="1"/>
    <col min="12556" max="12556" width="10.8984375" style="47" bestFit="1" customWidth="1"/>
    <col min="12557" max="12800" width="9" style="47"/>
    <col min="12801" max="12801" width="0.5" style="47" customWidth="1"/>
    <col min="12802" max="12802" width="5.19921875" style="47" bestFit="1" customWidth="1"/>
    <col min="12803" max="12803" width="7.3984375" style="47" customWidth="1"/>
    <col min="12804" max="12804" width="8.8984375" style="47" customWidth="1"/>
    <col min="12805" max="12805" width="17.69921875" style="47" customWidth="1"/>
    <col min="12806" max="12806" width="6.3984375" style="47" customWidth="1"/>
    <col min="12807" max="12807" width="8.8984375" style="47" customWidth="1"/>
    <col min="12808" max="12808" width="13.19921875" style="47" customWidth="1"/>
    <col min="12809" max="12809" width="18.19921875" style="47" bestFit="1" customWidth="1"/>
    <col min="12810" max="12810" width="15.59765625" style="47" customWidth="1"/>
    <col min="12811" max="12811" width="13.69921875" style="47" bestFit="1" customWidth="1"/>
    <col min="12812" max="12812" width="10.8984375" style="47" bestFit="1" customWidth="1"/>
    <col min="12813" max="13056" width="9" style="47"/>
    <col min="13057" max="13057" width="0.5" style="47" customWidth="1"/>
    <col min="13058" max="13058" width="5.19921875" style="47" bestFit="1" customWidth="1"/>
    <col min="13059" max="13059" width="7.3984375" style="47" customWidth="1"/>
    <col min="13060" max="13060" width="8.8984375" style="47" customWidth="1"/>
    <col min="13061" max="13061" width="17.69921875" style="47" customWidth="1"/>
    <col min="13062" max="13062" width="6.3984375" style="47" customWidth="1"/>
    <col min="13063" max="13063" width="8.8984375" style="47" customWidth="1"/>
    <col min="13064" max="13064" width="13.19921875" style="47" customWidth="1"/>
    <col min="13065" max="13065" width="18.19921875" style="47" bestFit="1" customWidth="1"/>
    <col min="13066" max="13066" width="15.59765625" style="47" customWidth="1"/>
    <col min="13067" max="13067" width="13.69921875" style="47" bestFit="1" customWidth="1"/>
    <col min="13068" max="13068" width="10.8984375" style="47" bestFit="1" customWidth="1"/>
    <col min="13069" max="13312" width="9" style="47"/>
    <col min="13313" max="13313" width="0.5" style="47" customWidth="1"/>
    <col min="13314" max="13314" width="5.19921875" style="47" bestFit="1" customWidth="1"/>
    <col min="13315" max="13315" width="7.3984375" style="47" customWidth="1"/>
    <col min="13316" max="13316" width="8.8984375" style="47" customWidth="1"/>
    <col min="13317" max="13317" width="17.69921875" style="47" customWidth="1"/>
    <col min="13318" max="13318" width="6.3984375" style="47" customWidth="1"/>
    <col min="13319" max="13319" width="8.8984375" style="47" customWidth="1"/>
    <col min="13320" max="13320" width="13.19921875" style="47" customWidth="1"/>
    <col min="13321" max="13321" width="18.19921875" style="47" bestFit="1" customWidth="1"/>
    <col min="13322" max="13322" width="15.59765625" style="47" customWidth="1"/>
    <col min="13323" max="13323" width="13.69921875" style="47" bestFit="1" customWidth="1"/>
    <col min="13324" max="13324" width="10.8984375" style="47" bestFit="1" customWidth="1"/>
    <col min="13325" max="13568" width="9" style="47"/>
    <col min="13569" max="13569" width="0.5" style="47" customWidth="1"/>
    <col min="13570" max="13570" width="5.19921875" style="47" bestFit="1" customWidth="1"/>
    <col min="13571" max="13571" width="7.3984375" style="47" customWidth="1"/>
    <col min="13572" max="13572" width="8.8984375" style="47" customWidth="1"/>
    <col min="13573" max="13573" width="17.69921875" style="47" customWidth="1"/>
    <col min="13574" max="13574" width="6.3984375" style="47" customWidth="1"/>
    <col min="13575" max="13575" width="8.8984375" style="47" customWidth="1"/>
    <col min="13576" max="13576" width="13.19921875" style="47" customWidth="1"/>
    <col min="13577" max="13577" width="18.19921875" style="47" bestFit="1" customWidth="1"/>
    <col min="13578" max="13578" width="15.59765625" style="47" customWidth="1"/>
    <col min="13579" max="13579" width="13.69921875" style="47" bestFit="1" customWidth="1"/>
    <col min="13580" max="13580" width="10.8984375" style="47" bestFit="1" customWidth="1"/>
    <col min="13581" max="13824" width="9" style="47"/>
    <col min="13825" max="13825" width="0.5" style="47" customWidth="1"/>
    <col min="13826" max="13826" width="5.19921875" style="47" bestFit="1" customWidth="1"/>
    <col min="13827" max="13827" width="7.3984375" style="47" customWidth="1"/>
    <col min="13828" max="13828" width="8.8984375" style="47" customWidth="1"/>
    <col min="13829" max="13829" width="17.69921875" style="47" customWidth="1"/>
    <col min="13830" max="13830" width="6.3984375" style="47" customWidth="1"/>
    <col min="13831" max="13831" width="8.8984375" style="47" customWidth="1"/>
    <col min="13832" max="13832" width="13.19921875" style="47" customWidth="1"/>
    <col min="13833" max="13833" width="18.19921875" style="47" bestFit="1" customWidth="1"/>
    <col min="13834" max="13834" width="15.59765625" style="47" customWidth="1"/>
    <col min="13835" max="13835" width="13.69921875" style="47" bestFit="1" customWidth="1"/>
    <col min="13836" max="13836" width="10.8984375" style="47" bestFit="1" customWidth="1"/>
    <col min="13837" max="14080" width="9" style="47"/>
    <col min="14081" max="14081" width="0.5" style="47" customWidth="1"/>
    <col min="14082" max="14082" width="5.19921875" style="47" bestFit="1" customWidth="1"/>
    <col min="14083" max="14083" width="7.3984375" style="47" customWidth="1"/>
    <col min="14084" max="14084" width="8.8984375" style="47" customWidth="1"/>
    <col min="14085" max="14085" width="17.69921875" style="47" customWidth="1"/>
    <col min="14086" max="14086" width="6.3984375" style="47" customWidth="1"/>
    <col min="14087" max="14087" width="8.8984375" style="47" customWidth="1"/>
    <col min="14088" max="14088" width="13.19921875" style="47" customWidth="1"/>
    <col min="14089" max="14089" width="18.19921875" style="47" bestFit="1" customWidth="1"/>
    <col min="14090" max="14090" width="15.59765625" style="47" customWidth="1"/>
    <col min="14091" max="14091" width="13.69921875" style="47" bestFit="1" customWidth="1"/>
    <col min="14092" max="14092" width="10.8984375" style="47" bestFit="1" customWidth="1"/>
    <col min="14093" max="14336" width="9" style="47"/>
    <col min="14337" max="14337" width="0.5" style="47" customWidth="1"/>
    <col min="14338" max="14338" width="5.19921875" style="47" bestFit="1" customWidth="1"/>
    <col min="14339" max="14339" width="7.3984375" style="47" customWidth="1"/>
    <col min="14340" max="14340" width="8.8984375" style="47" customWidth="1"/>
    <col min="14341" max="14341" width="17.69921875" style="47" customWidth="1"/>
    <col min="14342" max="14342" width="6.3984375" style="47" customWidth="1"/>
    <col min="14343" max="14343" width="8.8984375" style="47" customWidth="1"/>
    <col min="14344" max="14344" width="13.19921875" style="47" customWidth="1"/>
    <col min="14345" max="14345" width="18.19921875" style="47" bestFit="1" customWidth="1"/>
    <col min="14346" max="14346" width="15.59765625" style="47" customWidth="1"/>
    <col min="14347" max="14347" width="13.69921875" style="47" bestFit="1" customWidth="1"/>
    <col min="14348" max="14348" width="10.8984375" style="47" bestFit="1" customWidth="1"/>
    <col min="14349" max="14592" width="9" style="47"/>
    <col min="14593" max="14593" width="0.5" style="47" customWidth="1"/>
    <col min="14594" max="14594" width="5.19921875" style="47" bestFit="1" customWidth="1"/>
    <col min="14595" max="14595" width="7.3984375" style="47" customWidth="1"/>
    <col min="14596" max="14596" width="8.8984375" style="47" customWidth="1"/>
    <col min="14597" max="14597" width="17.69921875" style="47" customWidth="1"/>
    <col min="14598" max="14598" width="6.3984375" style="47" customWidth="1"/>
    <col min="14599" max="14599" width="8.8984375" style="47" customWidth="1"/>
    <col min="14600" max="14600" width="13.19921875" style="47" customWidth="1"/>
    <col min="14601" max="14601" width="18.19921875" style="47" bestFit="1" customWidth="1"/>
    <col min="14602" max="14602" width="15.59765625" style="47" customWidth="1"/>
    <col min="14603" max="14603" width="13.69921875" style="47" bestFit="1" customWidth="1"/>
    <col min="14604" max="14604" width="10.8984375" style="47" bestFit="1" customWidth="1"/>
    <col min="14605" max="14848" width="9" style="47"/>
    <col min="14849" max="14849" width="0.5" style="47" customWidth="1"/>
    <col min="14850" max="14850" width="5.19921875" style="47" bestFit="1" customWidth="1"/>
    <col min="14851" max="14851" width="7.3984375" style="47" customWidth="1"/>
    <col min="14852" max="14852" width="8.8984375" style="47" customWidth="1"/>
    <col min="14853" max="14853" width="17.69921875" style="47" customWidth="1"/>
    <col min="14854" max="14854" width="6.3984375" style="47" customWidth="1"/>
    <col min="14855" max="14855" width="8.8984375" style="47" customWidth="1"/>
    <col min="14856" max="14856" width="13.19921875" style="47" customWidth="1"/>
    <col min="14857" max="14857" width="18.19921875" style="47" bestFit="1" customWidth="1"/>
    <col min="14858" max="14858" width="15.59765625" style="47" customWidth="1"/>
    <col min="14859" max="14859" width="13.69921875" style="47" bestFit="1" customWidth="1"/>
    <col min="14860" max="14860" width="10.8984375" style="47" bestFit="1" customWidth="1"/>
    <col min="14861" max="15104" width="9" style="47"/>
    <col min="15105" max="15105" width="0.5" style="47" customWidth="1"/>
    <col min="15106" max="15106" width="5.19921875" style="47" bestFit="1" customWidth="1"/>
    <col min="15107" max="15107" width="7.3984375" style="47" customWidth="1"/>
    <col min="15108" max="15108" width="8.8984375" style="47" customWidth="1"/>
    <col min="15109" max="15109" width="17.69921875" style="47" customWidth="1"/>
    <col min="15110" max="15110" width="6.3984375" style="47" customWidth="1"/>
    <col min="15111" max="15111" width="8.8984375" style="47" customWidth="1"/>
    <col min="15112" max="15112" width="13.19921875" style="47" customWidth="1"/>
    <col min="15113" max="15113" width="18.19921875" style="47" bestFit="1" customWidth="1"/>
    <col min="15114" max="15114" width="15.59765625" style="47" customWidth="1"/>
    <col min="15115" max="15115" width="13.69921875" style="47" bestFit="1" customWidth="1"/>
    <col min="15116" max="15116" width="10.8984375" style="47" bestFit="1" customWidth="1"/>
    <col min="15117" max="15360" width="9" style="47"/>
    <col min="15361" max="15361" width="0.5" style="47" customWidth="1"/>
    <col min="15362" max="15362" width="5.19921875" style="47" bestFit="1" customWidth="1"/>
    <col min="15363" max="15363" width="7.3984375" style="47" customWidth="1"/>
    <col min="15364" max="15364" width="8.8984375" style="47" customWidth="1"/>
    <col min="15365" max="15365" width="17.69921875" style="47" customWidth="1"/>
    <col min="15366" max="15366" width="6.3984375" style="47" customWidth="1"/>
    <col min="15367" max="15367" width="8.8984375" style="47" customWidth="1"/>
    <col min="15368" max="15368" width="13.19921875" style="47" customWidth="1"/>
    <col min="15369" max="15369" width="18.19921875" style="47" bestFit="1" customWidth="1"/>
    <col min="15370" max="15370" width="15.59765625" style="47" customWidth="1"/>
    <col min="15371" max="15371" width="13.69921875" style="47" bestFit="1" customWidth="1"/>
    <col min="15372" max="15372" width="10.8984375" style="47" bestFit="1" customWidth="1"/>
    <col min="15373" max="15616" width="9" style="47"/>
    <col min="15617" max="15617" width="0.5" style="47" customWidth="1"/>
    <col min="15618" max="15618" width="5.19921875" style="47" bestFit="1" customWidth="1"/>
    <col min="15619" max="15619" width="7.3984375" style="47" customWidth="1"/>
    <col min="15620" max="15620" width="8.8984375" style="47" customWidth="1"/>
    <col min="15621" max="15621" width="17.69921875" style="47" customWidth="1"/>
    <col min="15622" max="15622" width="6.3984375" style="47" customWidth="1"/>
    <col min="15623" max="15623" width="8.8984375" style="47" customWidth="1"/>
    <col min="15624" max="15624" width="13.19921875" style="47" customWidth="1"/>
    <col min="15625" max="15625" width="18.19921875" style="47" bestFit="1" customWidth="1"/>
    <col min="15626" max="15626" width="15.59765625" style="47" customWidth="1"/>
    <col min="15627" max="15627" width="13.69921875" style="47" bestFit="1" customWidth="1"/>
    <col min="15628" max="15628" width="10.8984375" style="47" bestFit="1" customWidth="1"/>
    <col min="15629" max="15872" width="9" style="47"/>
    <col min="15873" max="15873" width="0.5" style="47" customWidth="1"/>
    <col min="15874" max="15874" width="5.19921875" style="47" bestFit="1" customWidth="1"/>
    <col min="15875" max="15875" width="7.3984375" style="47" customWidth="1"/>
    <col min="15876" max="15876" width="8.8984375" style="47" customWidth="1"/>
    <col min="15877" max="15877" width="17.69921875" style="47" customWidth="1"/>
    <col min="15878" max="15878" width="6.3984375" style="47" customWidth="1"/>
    <col min="15879" max="15879" width="8.8984375" style="47" customWidth="1"/>
    <col min="15880" max="15880" width="13.19921875" style="47" customWidth="1"/>
    <col min="15881" max="15881" width="18.19921875" style="47" bestFit="1" customWidth="1"/>
    <col min="15882" max="15882" width="15.59765625" style="47" customWidth="1"/>
    <col min="15883" max="15883" width="13.69921875" style="47" bestFit="1" customWidth="1"/>
    <col min="15884" max="15884" width="10.8984375" style="47" bestFit="1" customWidth="1"/>
    <col min="15885" max="16128" width="9" style="47"/>
    <col min="16129" max="16129" width="0.5" style="47" customWidth="1"/>
    <col min="16130" max="16130" width="5.19921875" style="47" bestFit="1" customWidth="1"/>
    <col min="16131" max="16131" width="7.3984375" style="47" customWidth="1"/>
    <col min="16132" max="16132" width="8.8984375" style="47" customWidth="1"/>
    <col min="16133" max="16133" width="17.69921875" style="47" customWidth="1"/>
    <col min="16134" max="16134" width="6.3984375" style="47" customWidth="1"/>
    <col min="16135" max="16135" width="8.8984375" style="47" customWidth="1"/>
    <col min="16136" max="16136" width="13.19921875" style="47" customWidth="1"/>
    <col min="16137" max="16137" width="18.19921875" style="47" bestFit="1" customWidth="1"/>
    <col min="16138" max="16138" width="15.59765625" style="47" customWidth="1"/>
    <col min="16139" max="16139" width="13.69921875" style="47" bestFit="1" customWidth="1"/>
    <col min="16140" max="16140" width="10.8984375" style="47" bestFit="1" customWidth="1"/>
    <col min="16141" max="16384" width="9" style="47"/>
  </cols>
  <sheetData>
    <row r="2" spans="2:15" s="61" customFormat="1" ht="26.25" customHeight="1" x14ac:dyDescent="0.4">
      <c r="B2" s="53"/>
      <c r="C2" s="54" t="s">
        <v>44</v>
      </c>
      <c r="D2" s="55"/>
      <c r="E2" s="55"/>
      <c r="F2" s="56"/>
      <c r="G2" s="57"/>
      <c r="H2" s="58"/>
      <c r="I2" s="59"/>
      <c r="J2" s="55"/>
      <c r="K2" s="60"/>
    </row>
    <row r="3" spans="2:15" s="61" customFormat="1" ht="19.5" customHeight="1" x14ac:dyDescent="0.4">
      <c r="B3" s="53"/>
      <c r="C3" s="54"/>
      <c r="D3" s="55"/>
      <c r="E3" s="55"/>
      <c r="F3" s="56"/>
      <c r="G3" s="57"/>
      <c r="H3" s="58"/>
      <c r="I3" s="59"/>
      <c r="J3" s="55"/>
      <c r="K3" s="60"/>
    </row>
    <row r="4" spans="2:15" ht="30" customHeight="1" x14ac:dyDescent="0.4">
      <c r="B4" s="62" t="s">
        <v>45</v>
      </c>
      <c r="D4" s="63"/>
      <c r="J4" s="48"/>
    </row>
    <row r="5" spans="2:15" s="48" customFormat="1" ht="9.75" customHeight="1" x14ac:dyDescent="0.4">
      <c r="B5" s="64"/>
      <c r="C5" s="375"/>
      <c r="D5" s="376"/>
      <c r="E5" s="377"/>
      <c r="F5" s="65"/>
      <c r="G5" s="66"/>
      <c r="H5" s="67"/>
      <c r="I5" s="66"/>
      <c r="J5" s="68"/>
      <c r="K5" s="69"/>
    </row>
    <row r="6" spans="2:15" s="48" customFormat="1" ht="30" customHeight="1" thickBot="1" x14ac:dyDescent="0.45">
      <c r="B6" s="70" t="s">
        <v>46</v>
      </c>
      <c r="C6" s="378" t="s">
        <v>47</v>
      </c>
      <c r="D6" s="379"/>
      <c r="E6" s="380"/>
      <c r="F6" s="71" t="s">
        <v>48</v>
      </c>
      <c r="G6" s="72" t="s">
        <v>49</v>
      </c>
      <c r="H6" s="73" t="s">
        <v>50</v>
      </c>
      <c r="I6" s="72" t="s">
        <v>51</v>
      </c>
      <c r="J6" s="74" t="s">
        <v>52</v>
      </c>
      <c r="K6" s="69"/>
    </row>
    <row r="7" spans="2:15" ht="30" customHeight="1" thickTop="1" x14ac:dyDescent="0.4">
      <c r="B7" s="381">
        <v>1</v>
      </c>
      <c r="C7" s="383" t="s">
        <v>53</v>
      </c>
      <c r="D7" s="384" t="s">
        <v>54</v>
      </c>
      <c r="E7" s="75" t="s">
        <v>55</v>
      </c>
      <c r="F7" s="76" t="s">
        <v>56</v>
      </c>
      <c r="G7" s="77">
        <v>1</v>
      </c>
      <c r="H7" s="77">
        <f>'단위공사별(집계)'!D17</f>
        <v>6573000</v>
      </c>
      <c r="I7" s="78">
        <f>SUM(G7*H7)</f>
        <v>6573000</v>
      </c>
      <c r="J7" s="79"/>
    </row>
    <row r="8" spans="2:15" ht="30" customHeight="1" thickBot="1" x14ac:dyDescent="0.45">
      <c r="B8" s="381"/>
      <c r="C8" s="384"/>
      <c r="D8" s="384"/>
      <c r="E8" s="80" t="s">
        <v>57</v>
      </c>
      <c r="F8" s="81" t="s">
        <v>56</v>
      </c>
      <c r="G8" s="82">
        <v>1</v>
      </c>
      <c r="H8" s="83">
        <f>'단위공사별(집계)'!E17</f>
        <v>0</v>
      </c>
      <c r="I8" s="78">
        <f>SUM(G8*H8)</f>
        <v>0</v>
      </c>
      <c r="J8" s="84"/>
      <c r="L8" s="85"/>
      <c r="M8" s="85"/>
      <c r="N8" s="85"/>
      <c r="O8" s="85"/>
    </row>
    <row r="9" spans="2:15" ht="30" customHeight="1" thickTop="1" x14ac:dyDescent="0.4">
      <c r="B9" s="381"/>
      <c r="C9" s="384"/>
      <c r="D9" s="384"/>
      <c r="E9" s="80" t="s">
        <v>58</v>
      </c>
      <c r="F9" s="81" t="s">
        <v>56</v>
      </c>
      <c r="G9" s="83">
        <v>1</v>
      </c>
      <c r="H9" s="83">
        <f>'단위공사별(집계)'!F17</f>
        <v>0</v>
      </c>
      <c r="I9" s="78">
        <f>SUM(G9*H9)</f>
        <v>0</v>
      </c>
      <c r="J9" s="84"/>
    </row>
    <row r="10" spans="2:15" ht="30" customHeight="1" x14ac:dyDescent="0.4">
      <c r="B10" s="381"/>
      <c r="C10" s="384"/>
      <c r="D10" s="386"/>
      <c r="E10" s="86" t="s">
        <v>59</v>
      </c>
      <c r="F10" s="363"/>
      <c r="G10" s="364"/>
      <c r="H10" s="365"/>
      <c r="I10" s="87">
        <f>SUM(I7:I9)</f>
        <v>6573000</v>
      </c>
      <c r="J10" s="84"/>
    </row>
    <row r="11" spans="2:15" ht="30" customHeight="1" x14ac:dyDescent="0.4">
      <c r="B11" s="381"/>
      <c r="C11" s="384"/>
      <c r="D11" s="387" t="s">
        <v>60</v>
      </c>
      <c r="E11" s="80" t="s">
        <v>61</v>
      </c>
      <c r="F11" s="81" t="s">
        <v>56</v>
      </c>
      <c r="G11" s="88">
        <v>1</v>
      </c>
      <c r="H11" s="83">
        <f>'단위공사별(집계)'!G17</f>
        <v>58200000</v>
      </c>
      <c r="I11" s="88">
        <f>SUM(G11*H11)</f>
        <v>58200000</v>
      </c>
      <c r="J11" s="84"/>
    </row>
    <row r="12" spans="2:15" ht="30" customHeight="1" x14ac:dyDescent="0.4">
      <c r="B12" s="381"/>
      <c r="C12" s="384"/>
      <c r="D12" s="384"/>
      <c r="E12" s="80" t="s">
        <v>62</v>
      </c>
      <c r="F12" s="81" t="s">
        <v>56</v>
      </c>
      <c r="G12" s="88">
        <v>1</v>
      </c>
      <c r="H12" s="83">
        <f>'단위공사별(집계)'!H17</f>
        <v>181400000</v>
      </c>
      <c r="I12" s="88">
        <f>SUM(G12*H12)</f>
        <v>181400000</v>
      </c>
      <c r="J12" s="84"/>
    </row>
    <row r="13" spans="2:15" ht="30" customHeight="1" x14ac:dyDescent="0.4">
      <c r="B13" s="381"/>
      <c r="C13" s="384"/>
      <c r="D13" s="384"/>
      <c r="E13" s="89" t="s">
        <v>63</v>
      </c>
      <c r="F13" s="81" t="s">
        <v>56</v>
      </c>
      <c r="G13" s="88">
        <v>1</v>
      </c>
      <c r="H13" s="83">
        <f>'단위공사별(집계)'!I17</f>
        <v>714000000</v>
      </c>
      <c r="I13" s="88">
        <f>SUM(G13*H13)</f>
        <v>714000000</v>
      </c>
      <c r="J13" s="84"/>
    </row>
    <row r="14" spans="2:15" ht="30" customHeight="1" x14ac:dyDescent="0.4">
      <c r="B14" s="381"/>
      <c r="C14" s="384"/>
      <c r="D14" s="384"/>
      <c r="E14" s="75" t="s">
        <v>64</v>
      </c>
      <c r="F14" s="81" t="s">
        <v>56</v>
      </c>
      <c r="G14" s="88">
        <v>1</v>
      </c>
      <c r="H14" s="83">
        <f>'단위공사별(집계)'!J17</f>
        <v>21250000</v>
      </c>
      <c r="I14" s="88">
        <f>SUM(G14*H14)</f>
        <v>21250000</v>
      </c>
      <c r="J14" s="84"/>
    </row>
    <row r="15" spans="2:15" ht="30" customHeight="1" x14ac:dyDescent="0.4">
      <c r="B15" s="381"/>
      <c r="C15" s="384"/>
      <c r="D15" s="386"/>
      <c r="E15" s="86" t="s">
        <v>59</v>
      </c>
      <c r="F15" s="388"/>
      <c r="G15" s="389"/>
      <c r="H15" s="390"/>
      <c r="I15" s="87">
        <f>SUM(I11:I14)</f>
        <v>974850000</v>
      </c>
      <c r="J15" s="84"/>
    </row>
    <row r="16" spans="2:15" ht="30" customHeight="1" x14ac:dyDescent="0.4">
      <c r="B16" s="381"/>
      <c r="C16" s="384"/>
      <c r="D16" s="90" t="s">
        <v>65</v>
      </c>
      <c r="E16" s="91"/>
      <c r="F16" s="92" t="s">
        <v>56</v>
      </c>
      <c r="G16" s="93">
        <v>1</v>
      </c>
      <c r="H16" s="94">
        <f>'단위공사별(집계)'!K17</f>
        <v>687300000</v>
      </c>
      <c r="I16" s="95">
        <f>SUM(G16*H16)</f>
        <v>687300000</v>
      </c>
      <c r="J16" s="96"/>
    </row>
    <row r="17" spans="2:13" ht="30" customHeight="1" x14ac:dyDescent="0.4">
      <c r="B17" s="382"/>
      <c r="C17" s="385"/>
      <c r="D17" s="97"/>
      <c r="E17" s="98" t="s">
        <v>66</v>
      </c>
      <c r="F17" s="369"/>
      <c r="G17" s="370"/>
      <c r="H17" s="371"/>
      <c r="I17" s="99">
        <f>SUM(I16)</f>
        <v>687300000</v>
      </c>
      <c r="J17" s="100"/>
    </row>
    <row r="18" spans="2:13" ht="30" customHeight="1" x14ac:dyDescent="0.4">
      <c r="B18" s="101">
        <v>2</v>
      </c>
      <c r="C18" s="363" t="s">
        <v>67</v>
      </c>
      <c r="D18" s="364"/>
      <c r="E18" s="365"/>
      <c r="F18" s="366" t="s">
        <v>68</v>
      </c>
      <c r="G18" s="367"/>
      <c r="H18" s="368"/>
      <c r="I18" s="102">
        <f>'단위공사별(집계)'!M17</f>
        <v>0</v>
      </c>
      <c r="J18" s="103"/>
      <c r="K18" s="104"/>
      <c r="M18" s="104"/>
    </row>
    <row r="19" spans="2:13" ht="30" customHeight="1" x14ac:dyDescent="0.4">
      <c r="B19" s="101">
        <v>3</v>
      </c>
      <c r="C19" s="363" t="s">
        <v>69</v>
      </c>
      <c r="D19" s="364"/>
      <c r="E19" s="365"/>
      <c r="F19" s="366"/>
      <c r="G19" s="367"/>
      <c r="H19" s="368"/>
      <c r="I19" s="87">
        <f>'단위공사별(집계)'!N17</f>
        <v>0</v>
      </c>
      <c r="J19" s="84"/>
    </row>
    <row r="20" spans="2:13" ht="30" customHeight="1" x14ac:dyDescent="0.4">
      <c r="B20" s="105">
        <v>4</v>
      </c>
      <c r="C20" s="369" t="s">
        <v>70</v>
      </c>
      <c r="D20" s="370"/>
      <c r="E20" s="371"/>
      <c r="F20" s="372"/>
      <c r="G20" s="373"/>
      <c r="H20" s="374"/>
      <c r="I20" s="95">
        <f>'단위공사별(집계)'!O17</f>
        <v>66486000</v>
      </c>
      <c r="J20" s="96"/>
      <c r="K20" s="47"/>
    </row>
    <row r="21" spans="2:13" ht="30" customHeight="1" thickBot="1" x14ac:dyDescent="0.45">
      <c r="B21" s="106"/>
      <c r="C21" s="359" t="s">
        <v>71</v>
      </c>
      <c r="D21" s="359"/>
      <c r="E21" s="359"/>
      <c r="F21" s="360" t="s">
        <v>72</v>
      </c>
      <c r="G21" s="361"/>
      <c r="H21" s="362"/>
      <c r="I21" s="107">
        <f>SUM(I10,I15,I17,I18,I19,I20)</f>
        <v>1735209000</v>
      </c>
      <c r="J21" s="108"/>
      <c r="K21" s="47"/>
    </row>
    <row r="22" spans="2:13" ht="30" customHeight="1" x14ac:dyDescent="0.4">
      <c r="B22" s="47" t="s">
        <v>73</v>
      </c>
      <c r="C22" s="48"/>
      <c r="D22" s="48"/>
      <c r="E22" s="48"/>
    </row>
    <row r="23" spans="2:13" ht="30" customHeight="1" x14ac:dyDescent="0.4">
      <c r="B23" s="47" t="s">
        <v>74</v>
      </c>
      <c r="C23" s="48"/>
      <c r="D23" s="48"/>
      <c r="E23" s="48"/>
    </row>
    <row r="24" spans="2:13" ht="30" customHeight="1" x14ac:dyDescent="0.4">
      <c r="B24" s="47" t="s">
        <v>75</v>
      </c>
      <c r="C24" s="48"/>
      <c r="D24" s="48"/>
      <c r="E24" s="48"/>
    </row>
    <row r="25" spans="2:13" ht="30" customHeight="1" x14ac:dyDescent="0.4"/>
    <row r="26" spans="2:13" ht="30" customHeight="1" x14ac:dyDescent="0.4"/>
    <row r="27" spans="2:13" ht="30" customHeight="1" x14ac:dyDescent="0.4"/>
    <row r="28" spans="2:13" ht="30" customHeight="1" x14ac:dyDescent="0.4"/>
    <row r="29" spans="2:13" ht="30" customHeight="1" x14ac:dyDescent="0.4"/>
    <row r="30" spans="2:13" ht="30" customHeight="1" x14ac:dyDescent="0.4"/>
    <row r="31" spans="2:13" ht="30" customHeight="1" x14ac:dyDescent="0.4"/>
    <row r="32" spans="2:13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</sheetData>
  <mergeCells count="17">
    <mergeCell ref="F10:H10"/>
    <mergeCell ref="D11:D15"/>
    <mergeCell ref="F15:H15"/>
    <mergeCell ref="F17:H17"/>
    <mergeCell ref="C5:E5"/>
    <mergeCell ref="C6:E6"/>
    <mergeCell ref="B7:B17"/>
    <mergeCell ref="C7:C17"/>
    <mergeCell ref="D7:D10"/>
    <mergeCell ref="C21:E21"/>
    <mergeCell ref="F21:H21"/>
    <mergeCell ref="C18:E18"/>
    <mergeCell ref="F18:H18"/>
    <mergeCell ref="C19:E19"/>
    <mergeCell ref="F19:H19"/>
    <mergeCell ref="C20:E20"/>
    <mergeCell ref="F20:H20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2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1B9A-72FE-4392-A71D-8848A06C54E0}">
  <sheetPr>
    <tabColor theme="1" tint="4.9989318521683403E-2"/>
    <pageSetUpPr fitToPage="1"/>
  </sheetPr>
  <dimension ref="A2:Q23"/>
  <sheetViews>
    <sheetView zoomScale="85" zoomScaleNormal="85" workbookViewId="0">
      <selection activeCell="K19" sqref="K19"/>
    </sheetView>
  </sheetViews>
  <sheetFormatPr defaultColWidth="9" defaultRowHeight="17.25" customHeight="1" x14ac:dyDescent="0.4"/>
  <cols>
    <col min="1" max="1" width="10.5" style="1" customWidth="1"/>
    <col min="2" max="2" width="27.5" style="1" customWidth="1"/>
    <col min="3" max="3" width="6.19921875" style="1" customWidth="1"/>
    <col min="4" max="16" width="16" style="1" customWidth="1"/>
    <col min="17" max="17" width="9.59765625" style="1" customWidth="1"/>
    <col min="18" max="18" width="12.59765625" style="1" customWidth="1"/>
    <col min="19" max="19" width="10" style="1" customWidth="1"/>
    <col min="20" max="256" width="9" style="1"/>
    <col min="257" max="257" width="10.5" style="1" customWidth="1"/>
    <col min="258" max="258" width="27.5" style="1" customWidth="1"/>
    <col min="259" max="259" width="6.19921875" style="1" customWidth="1"/>
    <col min="260" max="272" width="16" style="1" customWidth="1"/>
    <col min="273" max="273" width="9.59765625" style="1" customWidth="1"/>
    <col min="274" max="274" width="12.59765625" style="1" customWidth="1"/>
    <col min="275" max="275" width="10" style="1" customWidth="1"/>
    <col min="276" max="512" width="9" style="1"/>
    <col min="513" max="513" width="10.5" style="1" customWidth="1"/>
    <col min="514" max="514" width="27.5" style="1" customWidth="1"/>
    <col min="515" max="515" width="6.19921875" style="1" customWidth="1"/>
    <col min="516" max="528" width="16" style="1" customWidth="1"/>
    <col min="529" max="529" width="9.59765625" style="1" customWidth="1"/>
    <col min="530" max="530" width="12.59765625" style="1" customWidth="1"/>
    <col min="531" max="531" width="10" style="1" customWidth="1"/>
    <col min="532" max="768" width="9" style="1"/>
    <col min="769" max="769" width="10.5" style="1" customWidth="1"/>
    <col min="770" max="770" width="27.5" style="1" customWidth="1"/>
    <col min="771" max="771" width="6.19921875" style="1" customWidth="1"/>
    <col min="772" max="784" width="16" style="1" customWidth="1"/>
    <col min="785" max="785" width="9.59765625" style="1" customWidth="1"/>
    <col min="786" max="786" width="12.59765625" style="1" customWidth="1"/>
    <col min="787" max="787" width="10" style="1" customWidth="1"/>
    <col min="788" max="1024" width="9" style="1"/>
    <col min="1025" max="1025" width="10.5" style="1" customWidth="1"/>
    <col min="1026" max="1026" width="27.5" style="1" customWidth="1"/>
    <col min="1027" max="1027" width="6.19921875" style="1" customWidth="1"/>
    <col min="1028" max="1040" width="16" style="1" customWidth="1"/>
    <col min="1041" max="1041" width="9.59765625" style="1" customWidth="1"/>
    <col min="1042" max="1042" width="12.59765625" style="1" customWidth="1"/>
    <col min="1043" max="1043" width="10" style="1" customWidth="1"/>
    <col min="1044" max="1280" width="9" style="1"/>
    <col min="1281" max="1281" width="10.5" style="1" customWidth="1"/>
    <col min="1282" max="1282" width="27.5" style="1" customWidth="1"/>
    <col min="1283" max="1283" width="6.19921875" style="1" customWidth="1"/>
    <col min="1284" max="1296" width="16" style="1" customWidth="1"/>
    <col min="1297" max="1297" width="9.59765625" style="1" customWidth="1"/>
    <col min="1298" max="1298" width="12.59765625" style="1" customWidth="1"/>
    <col min="1299" max="1299" width="10" style="1" customWidth="1"/>
    <col min="1300" max="1536" width="9" style="1"/>
    <col min="1537" max="1537" width="10.5" style="1" customWidth="1"/>
    <col min="1538" max="1538" width="27.5" style="1" customWidth="1"/>
    <col min="1539" max="1539" width="6.19921875" style="1" customWidth="1"/>
    <col min="1540" max="1552" width="16" style="1" customWidth="1"/>
    <col min="1553" max="1553" width="9.59765625" style="1" customWidth="1"/>
    <col min="1554" max="1554" width="12.59765625" style="1" customWidth="1"/>
    <col min="1555" max="1555" width="10" style="1" customWidth="1"/>
    <col min="1556" max="1792" width="9" style="1"/>
    <col min="1793" max="1793" width="10.5" style="1" customWidth="1"/>
    <col min="1794" max="1794" width="27.5" style="1" customWidth="1"/>
    <col min="1795" max="1795" width="6.19921875" style="1" customWidth="1"/>
    <col min="1796" max="1808" width="16" style="1" customWidth="1"/>
    <col min="1809" max="1809" width="9.59765625" style="1" customWidth="1"/>
    <col min="1810" max="1810" width="12.59765625" style="1" customWidth="1"/>
    <col min="1811" max="1811" width="10" style="1" customWidth="1"/>
    <col min="1812" max="2048" width="9" style="1"/>
    <col min="2049" max="2049" width="10.5" style="1" customWidth="1"/>
    <col min="2050" max="2050" width="27.5" style="1" customWidth="1"/>
    <col min="2051" max="2051" width="6.19921875" style="1" customWidth="1"/>
    <col min="2052" max="2064" width="16" style="1" customWidth="1"/>
    <col min="2065" max="2065" width="9.59765625" style="1" customWidth="1"/>
    <col min="2066" max="2066" width="12.59765625" style="1" customWidth="1"/>
    <col min="2067" max="2067" width="10" style="1" customWidth="1"/>
    <col min="2068" max="2304" width="9" style="1"/>
    <col min="2305" max="2305" width="10.5" style="1" customWidth="1"/>
    <col min="2306" max="2306" width="27.5" style="1" customWidth="1"/>
    <col min="2307" max="2307" width="6.19921875" style="1" customWidth="1"/>
    <col min="2308" max="2320" width="16" style="1" customWidth="1"/>
    <col min="2321" max="2321" width="9.59765625" style="1" customWidth="1"/>
    <col min="2322" max="2322" width="12.59765625" style="1" customWidth="1"/>
    <col min="2323" max="2323" width="10" style="1" customWidth="1"/>
    <col min="2324" max="2560" width="9" style="1"/>
    <col min="2561" max="2561" width="10.5" style="1" customWidth="1"/>
    <col min="2562" max="2562" width="27.5" style="1" customWidth="1"/>
    <col min="2563" max="2563" width="6.19921875" style="1" customWidth="1"/>
    <col min="2564" max="2576" width="16" style="1" customWidth="1"/>
    <col min="2577" max="2577" width="9.59765625" style="1" customWidth="1"/>
    <col min="2578" max="2578" width="12.59765625" style="1" customWidth="1"/>
    <col min="2579" max="2579" width="10" style="1" customWidth="1"/>
    <col min="2580" max="2816" width="9" style="1"/>
    <col min="2817" max="2817" width="10.5" style="1" customWidth="1"/>
    <col min="2818" max="2818" width="27.5" style="1" customWidth="1"/>
    <col min="2819" max="2819" width="6.19921875" style="1" customWidth="1"/>
    <col min="2820" max="2832" width="16" style="1" customWidth="1"/>
    <col min="2833" max="2833" width="9.59765625" style="1" customWidth="1"/>
    <col min="2834" max="2834" width="12.59765625" style="1" customWidth="1"/>
    <col min="2835" max="2835" width="10" style="1" customWidth="1"/>
    <col min="2836" max="3072" width="9" style="1"/>
    <col min="3073" max="3073" width="10.5" style="1" customWidth="1"/>
    <col min="3074" max="3074" width="27.5" style="1" customWidth="1"/>
    <col min="3075" max="3075" width="6.19921875" style="1" customWidth="1"/>
    <col min="3076" max="3088" width="16" style="1" customWidth="1"/>
    <col min="3089" max="3089" width="9.59765625" style="1" customWidth="1"/>
    <col min="3090" max="3090" width="12.59765625" style="1" customWidth="1"/>
    <col min="3091" max="3091" width="10" style="1" customWidth="1"/>
    <col min="3092" max="3328" width="9" style="1"/>
    <col min="3329" max="3329" width="10.5" style="1" customWidth="1"/>
    <col min="3330" max="3330" width="27.5" style="1" customWidth="1"/>
    <col min="3331" max="3331" width="6.19921875" style="1" customWidth="1"/>
    <col min="3332" max="3344" width="16" style="1" customWidth="1"/>
    <col min="3345" max="3345" width="9.59765625" style="1" customWidth="1"/>
    <col min="3346" max="3346" width="12.59765625" style="1" customWidth="1"/>
    <col min="3347" max="3347" width="10" style="1" customWidth="1"/>
    <col min="3348" max="3584" width="9" style="1"/>
    <col min="3585" max="3585" width="10.5" style="1" customWidth="1"/>
    <col min="3586" max="3586" width="27.5" style="1" customWidth="1"/>
    <col min="3587" max="3587" width="6.19921875" style="1" customWidth="1"/>
    <col min="3588" max="3600" width="16" style="1" customWidth="1"/>
    <col min="3601" max="3601" width="9.59765625" style="1" customWidth="1"/>
    <col min="3602" max="3602" width="12.59765625" style="1" customWidth="1"/>
    <col min="3603" max="3603" width="10" style="1" customWidth="1"/>
    <col min="3604" max="3840" width="9" style="1"/>
    <col min="3841" max="3841" width="10.5" style="1" customWidth="1"/>
    <col min="3842" max="3842" width="27.5" style="1" customWidth="1"/>
    <col min="3843" max="3843" width="6.19921875" style="1" customWidth="1"/>
    <col min="3844" max="3856" width="16" style="1" customWidth="1"/>
    <col min="3857" max="3857" width="9.59765625" style="1" customWidth="1"/>
    <col min="3858" max="3858" width="12.59765625" style="1" customWidth="1"/>
    <col min="3859" max="3859" width="10" style="1" customWidth="1"/>
    <col min="3860" max="4096" width="9" style="1"/>
    <col min="4097" max="4097" width="10.5" style="1" customWidth="1"/>
    <col min="4098" max="4098" width="27.5" style="1" customWidth="1"/>
    <col min="4099" max="4099" width="6.19921875" style="1" customWidth="1"/>
    <col min="4100" max="4112" width="16" style="1" customWidth="1"/>
    <col min="4113" max="4113" width="9.59765625" style="1" customWidth="1"/>
    <col min="4114" max="4114" width="12.59765625" style="1" customWidth="1"/>
    <col min="4115" max="4115" width="10" style="1" customWidth="1"/>
    <col min="4116" max="4352" width="9" style="1"/>
    <col min="4353" max="4353" width="10.5" style="1" customWidth="1"/>
    <col min="4354" max="4354" width="27.5" style="1" customWidth="1"/>
    <col min="4355" max="4355" width="6.19921875" style="1" customWidth="1"/>
    <col min="4356" max="4368" width="16" style="1" customWidth="1"/>
    <col min="4369" max="4369" width="9.59765625" style="1" customWidth="1"/>
    <col min="4370" max="4370" width="12.59765625" style="1" customWidth="1"/>
    <col min="4371" max="4371" width="10" style="1" customWidth="1"/>
    <col min="4372" max="4608" width="9" style="1"/>
    <col min="4609" max="4609" width="10.5" style="1" customWidth="1"/>
    <col min="4610" max="4610" width="27.5" style="1" customWidth="1"/>
    <col min="4611" max="4611" width="6.19921875" style="1" customWidth="1"/>
    <col min="4612" max="4624" width="16" style="1" customWidth="1"/>
    <col min="4625" max="4625" width="9.59765625" style="1" customWidth="1"/>
    <col min="4626" max="4626" width="12.59765625" style="1" customWidth="1"/>
    <col min="4627" max="4627" width="10" style="1" customWidth="1"/>
    <col min="4628" max="4864" width="9" style="1"/>
    <col min="4865" max="4865" width="10.5" style="1" customWidth="1"/>
    <col min="4866" max="4866" width="27.5" style="1" customWidth="1"/>
    <col min="4867" max="4867" width="6.19921875" style="1" customWidth="1"/>
    <col min="4868" max="4880" width="16" style="1" customWidth="1"/>
    <col min="4881" max="4881" width="9.59765625" style="1" customWidth="1"/>
    <col min="4882" max="4882" width="12.59765625" style="1" customWidth="1"/>
    <col min="4883" max="4883" width="10" style="1" customWidth="1"/>
    <col min="4884" max="5120" width="9" style="1"/>
    <col min="5121" max="5121" width="10.5" style="1" customWidth="1"/>
    <col min="5122" max="5122" width="27.5" style="1" customWidth="1"/>
    <col min="5123" max="5123" width="6.19921875" style="1" customWidth="1"/>
    <col min="5124" max="5136" width="16" style="1" customWidth="1"/>
    <col min="5137" max="5137" width="9.59765625" style="1" customWidth="1"/>
    <col min="5138" max="5138" width="12.59765625" style="1" customWidth="1"/>
    <col min="5139" max="5139" width="10" style="1" customWidth="1"/>
    <col min="5140" max="5376" width="9" style="1"/>
    <col min="5377" max="5377" width="10.5" style="1" customWidth="1"/>
    <col min="5378" max="5378" width="27.5" style="1" customWidth="1"/>
    <col min="5379" max="5379" width="6.19921875" style="1" customWidth="1"/>
    <col min="5380" max="5392" width="16" style="1" customWidth="1"/>
    <col min="5393" max="5393" width="9.59765625" style="1" customWidth="1"/>
    <col min="5394" max="5394" width="12.59765625" style="1" customWidth="1"/>
    <col min="5395" max="5395" width="10" style="1" customWidth="1"/>
    <col min="5396" max="5632" width="9" style="1"/>
    <col min="5633" max="5633" width="10.5" style="1" customWidth="1"/>
    <col min="5634" max="5634" width="27.5" style="1" customWidth="1"/>
    <col min="5635" max="5635" width="6.19921875" style="1" customWidth="1"/>
    <col min="5636" max="5648" width="16" style="1" customWidth="1"/>
    <col min="5649" max="5649" width="9.59765625" style="1" customWidth="1"/>
    <col min="5650" max="5650" width="12.59765625" style="1" customWidth="1"/>
    <col min="5651" max="5651" width="10" style="1" customWidth="1"/>
    <col min="5652" max="5888" width="9" style="1"/>
    <col min="5889" max="5889" width="10.5" style="1" customWidth="1"/>
    <col min="5890" max="5890" width="27.5" style="1" customWidth="1"/>
    <col min="5891" max="5891" width="6.19921875" style="1" customWidth="1"/>
    <col min="5892" max="5904" width="16" style="1" customWidth="1"/>
    <col min="5905" max="5905" width="9.59765625" style="1" customWidth="1"/>
    <col min="5906" max="5906" width="12.59765625" style="1" customWidth="1"/>
    <col min="5907" max="5907" width="10" style="1" customWidth="1"/>
    <col min="5908" max="6144" width="9" style="1"/>
    <col min="6145" max="6145" width="10.5" style="1" customWidth="1"/>
    <col min="6146" max="6146" width="27.5" style="1" customWidth="1"/>
    <col min="6147" max="6147" width="6.19921875" style="1" customWidth="1"/>
    <col min="6148" max="6160" width="16" style="1" customWidth="1"/>
    <col min="6161" max="6161" width="9.59765625" style="1" customWidth="1"/>
    <col min="6162" max="6162" width="12.59765625" style="1" customWidth="1"/>
    <col min="6163" max="6163" width="10" style="1" customWidth="1"/>
    <col min="6164" max="6400" width="9" style="1"/>
    <col min="6401" max="6401" width="10.5" style="1" customWidth="1"/>
    <col min="6402" max="6402" width="27.5" style="1" customWidth="1"/>
    <col min="6403" max="6403" width="6.19921875" style="1" customWidth="1"/>
    <col min="6404" max="6416" width="16" style="1" customWidth="1"/>
    <col min="6417" max="6417" width="9.59765625" style="1" customWidth="1"/>
    <col min="6418" max="6418" width="12.59765625" style="1" customWidth="1"/>
    <col min="6419" max="6419" width="10" style="1" customWidth="1"/>
    <col min="6420" max="6656" width="9" style="1"/>
    <col min="6657" max="6657" width="10.5" style="1" customWidth="1"/>
    <col min="6658" max="6658" width="27.5" style="1" customWidth="1"/>
    <col min="6659" max="6659" width="6.19921875" style="1" customWidth="1"/>
    <col min="6660" max="6672" width="16" style="1" customWidth="1"/>
    <col min="6673" max="6673" width="9.59765625" style="1" customWidth="1"/>
    <col min="6674" max="6674" width="12.59765625" style="1" customWidth="1"/>
    <col min="6675" max="6675" width="10" style="1" customWidth="1"/>
    <col min="6676" max="6912" width="9" style="1"/>
    <col min="6913" max="6913" width="10.5" style="1" customWidth="1"/>
    <col min="6914" max="6914" width="27.5" style="1" customWidth="1"/>
    <col min="6915" max="6915" width="6.19921875" style="1" customWidth="1"/>
    <col min="6916" max="6928" width="16" style="1" customWidth="1"/>
    <col min="6929" max="6929" width="9.59765625" style="1" customWidth="1"/>
    <col min="6930" max="6930" width="12.59765625" style="1" customWidth="1"/>
    <col min="6931" max="6931" width="10" style="1" customWidth="1"/>
    <col min="6932" max="7168" width="9" style="1"/>
    <col min="7169" max="7169" width="10.5" style="1" customWidth="1"/>
    <col min="7170" max="7170" width="27.5" style="1" customWidth="1"/>
    <col min="7171" max="7171" width="6.19921875" style="1" customWidth="1"/>
    <col min="7172" max="7184" width="16" style="1" customWidth="1"/>
    <col min="7185" max="7185" width="9.59765625" style="1" customWidth="1"/>
    <col min="7186" max="7186" width="12.59765625" style="1" customWidth="1"/>
    <col min="7187" max="7187" width="10" style="1" customWidth="1"/>
    <col min="7188" max="7424" width="9" style="1"/>
    <col min="7425" max="7425" width="10.5" style="1" customWidth="1"/>
    <col min="7426" max="7426" width="27.5" style="1" customWidth="1"/>
    <col min="7427" max="7427" width="6.19921875" style="1" customWidth="1"/>
    <col min="7428" max="7440" width="16" style="1" customWidth="1"/>
    <col min="7441" max="7441" width="9.59765625" style="1" customWidth="1"/>
    <col min="7442" max="7442" width="12.59765625" style="1" customWidth="1"/>
    <col min="7443" max="7443" width="10" style="1" customWidth="1"/>
    <col min="7444" max="7680" width="9" style="1"/>
    <col min="7681" max="7681" width="10.5" style="1" customWidth="1"/>
    <col min="7682" max="7682" width="27.5" style="1" customWidth="1"/>
    <col min="7683" max="7683" width="6.19921875" style="1" customWidth="1"/>
    <col min="7684" max="7696" width="16" style="1" customWidth="1"/>
    <col min="7697" max="7697" width="9.59765625" style="1" customWidth="1"/>
    <col min="7698" max="7698" width="12.59765625" style="1" customWidth="1"/>
    <col min="7699" max="7699" width="10" style="1" customWidth="1"/>
    <col min="7700" max="7936" width="9" style="1"/>
    <col min="7937" max="7937" width="10.5" style="1" customWidth="1"/>
    <col min="7938" max="7938" width="27.5" style="1" customWidth="1"/>
    <col min="7939" max="7939" width="6.19921875" style="1" customWidth="1"/>
    <col min="7940" max="7952" width="16" style="1" customWidth="1"/>
    <col min="7953" max="7953" width="9.59765625" style="1" customWidth="1"/>
    <col min="7954" max="7954" width="12.59765625" style="1" customWidth="1"/>
    <col min="7955" max="7955" width="10" style="1" customWidth="1"/>
    <col min="7956" max="8192" width="9" style="1"/>
    <col min="8193" max="8193" width="10.5" style="1" customWidth="1"/>
    <col min="8194" max="8194" width="27.5" style="1" customWidth="1"/>
    <col min="8195" max="8195" width="6.19921875" style="1" customWidth="1"/>
    <col min="8196" max="8208" width="16" style="1" customWidth="1"/>
    <col min="8209" max="8209" width="9.59765625" style="1" customWidth="1"/>
    <col min="8210" max="8210" width="12.59765625" style="1" customWidth="1"/>
    <col min="8211" max="8211" width="10" style="1" customWidth="1"/>
    <col min="8212" max="8448" width="9" style="1"/>
    <col min="8449" max="8449" width="10.5" style="1" customWidth="1"/>
    <col min="8450" max="8450" width="27.5" style="1" customWidth="1"/>
    <col min="8451" max="8451" width="6.19921875" style="1" customWidth="1"/>
    <col min="8452" max="8464" width="16" style="1" customWidth="1"/>
    <col min="8465" max="8465" width="9.59765625" style="1" customWidth="1"/>
    <col min="8466" max="8466" width="12.59765625" style="1" customWidth="1"/>
    <col min="8467" max="8467" width="10" style="1" customWidth="1"/>
    <col min="8468" max="8704" width="9" style="1"/>
    <col min="8705" max="8705" width="10.5" style="1" customWidth="1"/>
    <col min="8706" max="8706" width="27.5" style="1" customWidth="1"/>
    <col min="8707" max="8707" width="6.19921875" style="1" customWidth="1"/>
    <col min="8708" max="8720" width="16" style="1" customWidth="1"/>
    <col min="8721" max="8721" width="9.59765625" style="1" customWidth="1"/>
    <col min="8722" max="8722" width="12.59765625" style="1" customWidth="1"/>
    <col min="8723" max="8723" width="10" style="1" customWidth="1"/>
    <col min="8724" max="8960" width="9" style="1"/>
    <col min="8961" max="8961" width="10.5" style="1" customWidth="1"/>
    <col min="8962" max="8962" width="27.5" style="1" customWidth="1"/>
    <col min="8963" max="8963" width="6.19921875" style="1" customWidth="1"/>
    <col min="8964" max="8976" width="16" style="1" customWidth="1"/>
    <col min="8977" max="8977" width="9.59765625" style="1" customWidth="1"/>
    <col min="8978" max="8978" width="12.59765625" style="1" customWidth="1"/>
    <col min="8979" max="8979" width="10" style="1" customWidth="1"/>
    <col min="8980" max="9216" width="9" style="1"/>
    <col min="9217" max="9217" width="10.5" style="1" customWidth="1"/>
    <col min="9218" max="9218" width="27.5" style="1" customWidth="1"/>
    <col min="9219" max="9219" width="6.19921875" style="1" customWidth="1"/>
    <col min="9220" max="9232" width="16" style="1" customWidth="1"/>
    <col min="9233" max="9233" width="9.59765625" style="1" customWidth="1"/>
    <col min="9234" max="9234" width="12.59765625" style="1" customWidth="1"/>
    <col min="9235" max="9235" width="10" style="1" customWidth="1"/>
    <col min="9236" max="9472" width="9" style="1"/>
    <col min="9473" max="9473" width="10.5" style="1" customWidth="1"/>
    <col min="9474" max="9474" width="27.5" style="1" customWidth="1"/>
    <col min="9475" max="9475" width="6.19921875" style="1" customWidth="1"/>
    <col min="9476" max="9488" width="16" style="1" customWidth="1"/>
    <col min="9489" max="9489" width="9.59765625" style="1" customWidth="1"/>
    <col min="9490" max="9490" width="12.59765625" style="1" customWidth="1"/>
    <col min="9491" max="9491" width="10" style="1" customWidth="1"/>
    <col min="9492" max="9728" width="9" style="1"/>
    <col min="9729" max="9729" width="10.5" style="1" customWidth="1"/>
    <col min="9730" max="9730" width="27.5" style="1" customWidth="1"/>
    <col min="9731" max="9731" width="6.19921875" style="1" customWidth="1"/>
    <col min="9732" max="9744" width="16" style="1" customWidth="1"/>
    <col min="9745" max="9745" width="9.59765625" style="1" customWidth="1"/>
    <col min="9746" max="9746" width="12.59765625" style="1" customWidth="1"/>
    <col min="9747" max="9747" width="10" style="1" customWidth="1"/>
    <col min="9748" max="9984" width="9" style="1"/>
    <col min="9985" max="9985" width="10.5" style="1" customWidth="1"/>
    <col min="9986" max="9986" width="27.5" style="1" customWidth="1"/>
    <col min="9987" max="9987" width="6.19921875" style="1" customWidth="1"/>
    <col min="9988" max="10000" width="16" style="1" customWidth="1"/>
    <col min="10001" max="10001" width="9.59765625" style="1" customWidth="1"/>
    <col min="10002" max="10002" width="12.59765625" style="1" customWidth="1"/>
    <col min="10003" max="10003" width="10" style="1" customWidth="1"/>
    <col min="10004" max="10240" width="9" style="1"/>
    <col min="10241" max="10241" width="10.5" style="1" customWidth="1"/>
    <col min="10242" max="10242" width="27.5" style="1" customWidth="1"/>
    <col min="10243" max="10243" width="6.19921875" style="1" customWidth="1"/>
    <col min="10244" max="10256" width="16" style="1" customWidth="1"/>
    <col min="10257" max="10257" width="9.59765625" style="1" customWidth="1"/>
    <col min="10258" max="10258" width="12.59765625" style="1" customWidth="1"/>
    <col min="10259" max="10259" width="10" style="1" customWidth="1"/>
    <col min="10260" max="10496" width="9" style="1"/>
    <col min="10497" max="10497" width="10.5" style="1" customWidth="1"/>
    <col min="10498" max="10498" width="27.5" style="1" customWidth="1"/>
    <col min="10499" max="10499" width="6.19921875" style="1" customWidth="1"/>
    <col min="10500" max="10512" width="16" style="1" customWidth="1"/>
    <col min="10513" max="10513" width="9.59765625" style="1" customWidth="1"/>
    <col min="10514" max="10514" width="12.59765625" style="1" customWidth="1"/>
    <col min="10515" max="10515" width="10" style="1" customWidth="1"/>
    <col min="10516" max="10752" width="9" style="1"/>
    <col min="10753" max="10753" width="10.5" style="1" customWidth="1"/>
    <col min="10754" max="10754" width="27.5" style="1" customWidth="1"/>
    <col min="10755" max="10755" width="6.19921875" style="1" customWidth="1"/>
    <col min="10756" max="10768" width="16" style="1" customWidth="1"/>
    <col min="10769" max="10769" width="9.59765625" style="1" customWidth="1"/>
    <col min="10770" max="10770" width="12.59765625" style="1" customWidth="1"/>
    <col min="10771" max="10771" width="10" style="1" customWidth="1"/>
    <col min="10772" max="11008" width="9" style="1"/>
    <col min="11009" max="11009" width="10.5" style="1" customWidth="1"/>
    <col min="11010" max="11010" width="27.5" style="1" customWidth="1"/>
    <col min="11011" max="11011" width="6.19921875" style="1" customWidth="1"/>
    <col min="11012" max="11024" width="16" style="1" customWidth="1"/>
    <col min="11025" max="11025" width="9.59765625" style="1" customWidth="1"/>
    <col min="11026" max="11026" width="12.59765625" style="1" customWidth="1"/>
    <col min="11027" max="11027" width="10" style="1" customWidth="1"/>
    <col min="11028" max="11264" width="9" style="1"/>
    <col min="11265" max="11265" width="10.5" style="1" customWidth="1"/>
    <col min="11266" max="11266" width="27.5" style="1" customWidth="1"/>
    <col min="11267" max="11267" width="6.19921875" style="1" customWidth="1"/>
    <col min="11268" max="11280" width="16" style="1" customWidth="1"/>
    <col min="11281" max="11281" width="9.59765625" style="1" customWidth="1"/>
    <col min="11282" max="11282" width="12.59765625" style="1" customWidth="1"/>
    <col min="11283" max="11283" width="10" style="1" customWidth="1"/>
    <col min="11284" max="11520" width="9" style="1"/>
    <col min="11521" max="11521" width="10.5" style="1" customWidth="1"/>
    <col min="11522" max="11522" width="27.5" style="1" customWidth="1"/>
    <col min="11523" max="11523" width="6.19921875" style="1" customWidth="1"/>
    <col min="11524" max="11536" width="16" style="1" customWidth="1"/>
    <col min="11537" max="11537" width="9.59765625" style="1" customWidth="1"/>
    <col min="11538" max="11538" width="12.59765625" style="1" customWidth="1"/>
    <col min="11539" max="11539" width="10" style="1" customWidth="1"/>
    <col min="11540" max="11776" width="9" style="1"/>
    <col min="11777" max="11777" width="10.5" style="1" customWidth="1"/>
    <col min="11778" max="11778" width="27.5" style="1" customWidth="1"/>
    <col min="11779" max="11779" width="6.19921875" style="1" customWidth="1"/>
    <col min="11780" max="11792" width="16" style="1" customWidth="1"/>
    <col min="11793" max="11793" width="9.59765625" style="1" customWidth="1"/>
    <col min="11794" max="11794" width="12.59765625" style="1" customWidth="1"/>
    <col min="11795" max="11795" width="10" style="1" customWidth="1"/>
    <col min="11796" max="12032" width="9" style="1"/>
    <col min="12033" max="12033" width="10.5" style="1" customWidth="1"/>
    <col min="12034" max="12034" width="27.5" style="1" customWidth="1"/>
    <col min="12035" max="12035" width="6.19921875" style="1" customWidth="1"/>
    <col min="12036" max="12048" width="16" style="1" customWidth="1"/>
    <col min="12049" max="12049" width="9.59765625" style="1" customWidth="1"/>
    <col min="12050" max="12050" width="12.59765625" style="1" customWidth="1"/>
    <col min="12051" max="12051" width="10" style="1" customWidth="1"/>
    <col min="12052" max="12288" width="9" style="1"/>
    <col min="12289" max="12289" width="10.5" style="1" customWidth="1"/>
    <col min="12290" max="12290" width="27.5" style="1" customWidth="1"/>
    <col min="12291" max="12291" width="6.19921875" style="1" customWidth="1"/>
    <col min="12292" max="12304" width="16" style="1" customWidth="1"/>
    <col min="12305" max="12305" width="9.59765625" style="1" customWidth="1"/>
    <col min="12306" max="12306" width="12.59765625" style="1" customWidth="1"/>
    <col min="12307" max="12307" width="10" style="1" customWidth="1"/>
    <col min="12308" max="12544" width="9" style="1"/>
    <col min="12545" max="12545" width="10.5" style="1" customWidth="1"/>
    <col min="12546" max="12546" width="27.5" style="1" customWidth="1"/>
    <col min="12547" max="12547" width="6.19921875" style="1" customWidth="1"/>
    <col min="12548" max="12560" width="16" style="1" customWidth="1"/>
    <col min="12561" max="12561" width="9.59765625" style="1" customWidth="1"/>
    <col min="12562" max="12562" width="12.59765625" style="1" customWidth="1"/>
    <col min="12563" max="12563" width="10" style="1" customWidth="1"/>
    <col min="12564" max="12800" width="9" style="1"/>
    <col min="12801" max="12801" width="10.5" style="1" customWidth="1"/>
    <col min="12802" max="12802" width="27.5" style="1" customWidth="1"/>
    <col min="12803" max="12803" width="6.19921875" style="1" customWidth="1"/>
    <col min="12804" max="12816" width="16" style="1" customWidth="1"/>
    <col min="12817" max="12817" width="9.59765625" style="1" customWidth="1"/>
    <col min="12818" max="12818" width="12.59765625" style="1" customWidth="1"/>
    <col min="12819" max="12819" width="10" style="1" customWidth="1"/>
    <col min="12820" max="13056" width="9" style="1"/>
    <col min="13057" max="13057" width="10.5" style="1" customWidth="1"/>
    <col min="13058" max="13058" width="27.5" style="1" customWidth="1"/>
    <col min="13059" max="13059" width="6.19921875" style="1" customWidth="1"/>
    <col min="13060" max="13072" width="16" style="1" customWidth="1"/>
    <col min="13073" max="13073" width="9.59765625" style="1" customWidth="1"/>
    <col min="13074" max="13074" width="12.59765625" style="1" customWidth="1"/>
    <col min="13075" max="13075" width="10" style="1" customWidth="1"/>
    <col min="13076" max="13312" width="9" style="1"/>
    <col min="13313" max="13313" width="10.5" style="1" customWidth="1"/>
    <col min="13314" max="13314" width="27.5" style="1" customWidth="1"/>
    <col min="13315" max="13315" width="6.19921875" style="1" customWidth="1"/>
    <col min="13316" max="13328" width="16" style="1" customWidth="1"/>
    <col min="13329" max="13329" width="9.59765625" style="1" customWidth="1"/>
    <col min="13330" max="13330" width="12.59765625" style="1" customWidth="1"/>
    <col min="13331" max="13331" width="10" style="1" customWidth="1"/>
    <col min="13332" max="13568" width="9" style="1"/>
    <col min="13569" max="13569" width="10.5" style="1" customWidth="1"/>
    <col min="13570" max="13570" width="27.5" style="1" customWidth="1"/>
    <col min="13571" max="13571" width="6.19921875" style="1" customWidth="1"/>
    <col min="13572" max="13584" width="16" style="1" customWidth="1"/>
    <col min="13585" max="13585" width="9.59765625" style="1" customWidth="1"/>
    <col min="13586" max="13586" width="12.59765625" style="1" customWidth="1"/>
    <col min="13587" max="13587" width="10" style="1" customWidth="1"/>
    <col min="13588" max="13824" width="9" style="1"/>
    <col min="13825" max="13825" width="10.5" style="1" customWidth="1"/>
    <col min="13826" max="13826" width="27.5" style="1" customWidth="1"/>
    <col min="13827" max="13827" width="6.19921875" style="1" customWidth="1"/>
    <col min="13828" max="13840" width="16" style="1" customWidth="1"/>
    <col min="13841" max="13841" width="9.59765625" style="1" customWidth="1"/>
    <col min="13842" max="13842" width="12.59765625" style="1" customWidth="1"/>
    <col min="13843" max="13843" width="10" style="1" customWidth="1"/>
    <col min="13844" max="14080" width="9" style="1"/>
    <col min="14081" max="14081" width="10.5" style="1" customWidth="1"/>
    <col min="14082" max="14082" width="27.5" style="1" customWidth="1"/>
    <col min="14083" max="14083" width="6.19921875" style="1" customWidth="1"/>
    <col min="14084" max="14096" width="16" style="1" customWidth="1"/>
    <col min="14097" max="14097" width="9.59765625" style="1" customWidth="1"/>
    <col min="14098" max="14098" width="12.59765625" style="1" customWidth="1"/>
    <col min="14099" max="14099" width="10" style="1" customWidth="1"/>
    <col min="14100" max="14336" width="9" style="1"/>
    <col min="14337" max="14337" width="10.5" style="1" customWidth="1"/>
    <col min="14338" max="14338" width="27.5" style="1" customWidth="1"/>
    <col min="14339" max="14339" width="6.19921875" style="1" customWidth="1"/>
    <col min="14340" max="14352" width="16" style="1" customWidth="1"/>
    <col min="14353" max="14353" width="9.59765625" style="1" customWidth="1"/>
    <col min="14354" max="14354" width="12.59765625" style="1" customWidth="1"/>
    <col min="14355" max="14355" width="10" style="1" customWidth="1"/>
    <col min="14356" max="14592" width="9" style="1"/>
    <col min="14593" max="14593" width="10.5" style="1" customWidth="1"/>
    <col min="14594" max="14594" width="27.5" style="1" customWidth="1"/>
    <col min="14595" max="14595" width="6.19921875" style="1" customWidth="1"/>
    <col min="14596" max="14608" width="16" style="1" customWidth="1"/>
    <col min="14609" max="14609" width="9.59765625" style="1" customWidth="1"/>
    <col min="14610" max="14610" width="12.59765625" style="1" customWidth="1"/>
    <col min="14611" max="14611" width="10" style="1" customWidth="1"/>
    <col min="14612" max="14848" width="9" style="1"/>
    <col min="14849" max="14849" width="10.5" style="1" customWidth="1"/>
    <col min="14850" max="14850" width="27.5" style="1" customWidth="1"/>
    <col min="14851" max="14851" width="6.19921875" style="1" customWidth="1"/>
    <col min="14852" max="14864" width="16" style="1" customWidth="1"/>
    <col min="14865" max="14865" width="9.59765625" style="1" customWidth="1"/>
    <col min="14866" max="14866" width="12.59765625" style="1" customWidth="1"/>
    <col min="14867" max="14867" width="10" style="1" customWidth="1"/>
    <col min="14868" max="15104" width="9" style="1"/>
    <col min="15105" max="15105" width="10.5" style="1" customWidth="1"/>
    <col min="15106" max="15106" width="27.5" style="1" customWidth="1"/>
    <col min="15107" max="15107" width="6.19921875" style="1" customWidth="1"/>
    <col min="15108" max="15120" width="16" style="1" customWidth="1"/>
    <col min="15121" max="15121" width="9.59765625" style="1" customWidth="1"/>
    <col min="15122" max="15122" width="12.59765625" style="1" customWidth="1"/>
    <col min="15123" max="15123" width="10" style="1" customWidth="1"/>
    <col min="15124" max="15360" width="9" style="1"/>
    <col min="15361" max="15361" width="10.5" style="1" customWidth="1"/>
    <col min="15362" max="15362" width="27.5" style="1" customWidth="1"/>
    <col min="15363" max="15363" width="6.19921875" style="1" customWidth="1"/>
    <col min="15364" max="15376" width="16" style="1" customWidth="1"/>
    <col min="15377" max="15377" width="9.59765625" style="1" customWidth="1"/>
    <col min="15378" max="15378" width="12.59765625" style="1" customWidth="1"/>
    <col min="15379" max="15379" width="10" style="1" customWidth="1"/>
    <col min="15380" max="15616" width="9" style="1"/>
    <col min="15617" max="15617" width="10.5" style="1" customWidth="1"/>
    <col min="15618" max="15618" width="27.5" style="1" customWidth="1"/>
    <col min="15619" max="15619" width="6.19921875" style="1" customWidth="1"/>
    <col min="15620" max="15632" width="16" style="1" customWidth="1"/>
    <col min="15633" max="15633" width="9.59765625" style="1" customWidth="1"/>
    <col min="15634" max="15634" width="12.59765625" style="1" customWidth="1"/>
    <col min="15635" max="15635" width="10" style="1" customWidth="1"/>
    <col min="15636" max="15872" width="9" style="1"/>
    <col min="15873" max="15873" width="10.5" style="1" customWidth="1"/>
    <col min="15874" max="15874" width="27.5" style="1" customWidth="1"/>
    <col min="15875" max="15875" width="6.19921875" style="1" customWidth="1"/>
    <col min="15876" max="15888" width="16" style="1" customWidth="1"/>
    <col min="15889" max="15889" width="9.59765625" style="1" customWidth="1"/>
    <col min="15890" max="15890" width="12.59765625" style="1" customWidth="1"/>
    <col min="15891" max="15891" width="10" style="1" customWidth="1"/>
    <col min="15892" max="16128" width="9" style="1"/>
    <col min="16129" max="16129" width="10.5" style="1" customWidth="1"/>
    <col min="16130" max="16130" width="27.5" style="1" customWidth="1"/>
    <col min="16131" max="16131" width="6.19921875" style="1" customWidth="1"/>
    <col min="16132" max="16144" width="16" style="1" customWidth="1"/>
    <col min="16145" max="16145" width="9.59765625" style="1" customWidth="1"/>
    <col min="16146" max="16146" width="12.59765625" style="1" customWidth="1"/>
    <col min="16147" max="16147" width="10" style="1" customWidth="1"/>
    <col min="16148" max="16384" width="9" style="1"/>
  </cols>
  <sheetData>
    <row r="2" spans="1:17" ht="31.5" customHeight="1" x14ac:dyDescent="0.4">
      <c r="A2" s="54" t="s">
        <v>76</v>
      </c>
    </row>
    <row r="3" spans="1:17" ht="17.25" customHeight="1" thickBot="1" x14ac:dyDescent="0.45">
      <c r="P3" s="109" t="s">
        <v>77</v>
      </c>
    </row>
    <row r="4" spans="1:17" s="26" customFormat="1" ht="17.25" customHeight="1" x14ac:dyDescent="0.4">
      <c r="A4" s="110"/>
      <c r="B4" s="110"/>
      <c r="C4" s="110"/>
      <c r="D4" s="352"/>
      <c r="E4" s="391"/>
      <c r="F4" s="391"/>
      <c r="G4" s="391"/>
      <c r="H4" s="391"/>
      <c r="I4" s="391"/>
      <c r="J4" s="391"/>
      <c r="K4" s="391"/>
      <c r="L4" s="392"/>
      <c r="M4" s="111"/>
      <c r="N4" s="112"/>
      <c r="O4" s="113"/>
      <c r="P4" s="114"/>
      <c r="Q4" s="115"/>
    </row>
    <row r="5" spans="1:17" s="26" customFormat="1" ht="15.75" customHeight="1" x14ac:dyDescent="0.4">
      <c r="A5" s="116"/>
      <c r="B5" s="116"/>
      <c r="C5" s="116"/>
      <c r="D5" s="352" t="s">
        <v>78</v>
      </c>
      <c r="E5" s="391"/>
      <c r="F5" s="392"/>
      <c r="G5" s="393" t="s">
        <v>60</v>
      </c>
      <c r="H5" s="391"/>
      <c r="I5" s="391"/>
      <c r="J5" s="392"/>
      <c r="K5" s="117" t="s">
        <v>65</v>
      </c>
      <c r="L5" s="118"/>
      <c r="M5" s="119"/>
      <c r="N5" s="120"/>
      <c r="O5" s="121"/>
      <c r="P5" s="122"/>
      <c r="Q5" s="28"/>
    </row>
    <row r="6" spans="1:17" s="26" customFormat="1" ht="25.5" customHeight="1" thickBot="1" x14ac:dyDescent="0.45">
      <c r="A6" s="123" t="s">
        <v>46</v>
      </c>
      <c r="B6" s="123" t="s">
        <v>79</v>
      </c>
      <c r="C6" s="123" t="s">
        <v>49</v>
      </c>
      <c r="D6" s="124" t="s">
        <v>55</v>
      </c>
      <c r="E6" s="85" t="s">
        <v>57</v>
      </c>
      <c r="F6" s="85" t="s">
        <v>58</v>
      </c>
      <c r="G6" s="85" t="s">
        <v>80</v>
      </c>
      <c r="H6" s="85" t="s">
        <v>62</v>
      </c>
      <c r="I6" s="85" t="s">
        <v>63</v>
      </c>
      <c r="J6" s="85" t="s">
        <v>81</v>
      </c>
      <c r="K6" s="125" t="s">
        <v>65</v>
      </c>
      <c r="L6" s="126" t="s">
        <v>82</v>
      </c>
      <c r="M6" s="85" t="s">
        <v>83</v>
      </c>
      <c r="N6" s="127" t="s">
        <v>69</v>
      </c>
      <c r="O6" s="128" t="s">
        <v>84</v>
      </c>
      <c r="P6" s="129" t="s">
        <v>85</v>
      </c>
      <c r="Q6" s="130" t="s">
        <v>30</v>
      </c>
    </row>
    <row r="7" spans="1:17" s="44" customFormat="1" ht="25.5" customHeight="1" thickTop="1" x14ac:dyDescent="0.4">
      <c r="A7" s="131">
        <f>IF(B7&gt;0,1,"")</f>
        <v>1</v>
      </c>
      <c r="B7" s="132" t="str">
        <f>'공사(라인)1'!C$1</f>
        <v>KMX SVM 차종설치 시운전</v>
      </c>
      <c r="C7" s="131" t="s">
        <v>86</v>
      </c>
      <c r="D7" s="133">
        <f>'공사(라인)1'!I25</f>
        <v>6573000</v>
      </c>
      <c r="E7" s="134">
        <f>'공사(라인)1'!I28</f>
        <v>0</v>
      </c>
      <c r="F7" s="134">
        <f>'공사(라인)1'!I31</f>
        <v>0</v>
      </c>
      <c r="G7" s="134">
        <f>'공사(라인)1'!I59</f>
        <v>58200000</v>
      </c>
      <c r="H7" s="134">
        <f>'공사(라인)1'!I72</f>
        <v>181400000</v>
      </c>
      <c r="I7" s="134">
        <f>'공사(라인)1'!I77</f>
        <v>714000000</v>
      </c>
      <c r="J7" s="134">
        <f>'공사(라인)1'!I89</f>
        <v>21250000</v>
      </c>
      <c r="K7" s="135">
        <f>'공사(라인)1'!I96</f>
        <v>687300000</v>
      </c>
      <c r="L7" s="136">
        <f>SUM(D7:K7)</f>
        <v>1668723000</v>
      </c>
      <c r="M7" s="134">
        <f>'공사(라인)1'!I98</f>
        <v>0</v>
      </c>
      <c r="N7" s="137">
        <f>'공사(라인)1'!I99</f>
        <v>0</v>
      </c>
      <c r="O7" s="138">
        <f>'공사(라인)1'!I100</f>
        <v>66486000</v>
      </c>
      <c r="P7" s="139">
        <f>SUM(L7:O7)</f>
        <v>1735209000</v>
      </c>
      <c r="Q7" s="140"/>
    </row>
    <row r="8" spans="1:17" s="44" customFormat="1" ht="25.5" customHeight="1" x14ac:dyDescent="0.4">
      <c r="A8" s="141" t="str">
        <f>IF(B8&gt;0,1,"")</f>
        <v/>
      </c>
      <c r="B8" s="142">
        <f>'공사(라인)2'!C1</f>
        <v>0</v>
      </c>
      <c r="C8" s="141" t="s">
        <v>86</v>
      </c>
      <c r="D8" s="143">
        <f>'공사(라인)2'!I5</f>
        <v>0</v>
      </c>
      <c r="E8" s="144">
        <f>'공사(라인)2'!I8</f>
        <v>0</v>
      </c>
      <c r="F8" s="144">
        <f>'공사(라인)2'!I11</f>
        <v>0</v>
      </c>
      <c r="G8" s="144">
        <f>'공사(라인)2'!I48</f>
        <v>0</v>
      </c>
      <c r="H8" s="144">
        <f>'공사(라인)2'!I61</f>
        <v>0</v>
      </c>
      <c r="I8" s="144">
        <f>'공사(라인)2'!I66</f>
        <v>0</v>
      </c>
      <c r="J8" s="144">
        <f>'공사(라인)2'!I78</f>
        <v>0</v>
      </c>
      <c r="K8" s="145">
        <f>'공사(라인)2'!I82</f>
        <v>0</v>
      </c>
      <c r="L8" s="146">
        <f>SUM(D8:K8)</f>
        <v>0</v>
      </c>
      <c r="M8" s="144">
        <f>'공사(라인)2'!I84</f>
        <v>0</v>
      </c>
      <c r="N8" s="147">
        <f>'공사(라인)2'!I85</f>
        <v>0</v>
      </c>
      <c r="O8" s="148">
        <f>'공사(라인)2'!I86</f>
        <v>0</v>
      </c>
      <c r="P8" s="149">
        <f>SUM(L8:O8)</f>
        <v>0</v>
      </c>
      <c r="Q8" s="150"/>
    </row>
    <row r="9" spans="1:17" s="44" customFormat="1" ht="25.5" customHeight="1" x14ac:dyDescent="0.4">
      <c r="A9" s="141" t="str">
        <f t="shared" ref="A9:A16" si="0">IF(B9&gt;0,1,"")</f>
        <v/>
      </c>
      <c r="B9" s="142">
        <f>'공사(라인)3'!C$1</f>
        <v>0</v>
      </c>
      <c r="C9" s="141" t="s">
        <v>87</v>
      </c>
      <c r="D9" s="143">
        <f>'공사(라인)3'!I5</f>
        <v>0</v>
      </c>
      <c r="E9" s="144">
        <f>'공사(라인)3'!I8</f>
        <v>0</v>
      </c>
      <c r="F9" s="144">
        <f>'공사(라인)3'!I11</f>
        <v>0</v>
      </c>
      <c r="G9" s="144">
        <f>'공사(라인)3'!I48</f>
        <v>0</v>
      </c>
      <c r="H9" s="144">
        <f>'공사(라인)3'!I61</f>
        <v>0</v>
      </c>
      <c r="I9" s="144">
        <f>'공사(라인)3'!I66</f>
        <v>0</v>
      </c>
      <c r="J9" s="144">
        <f>'공사(라인)3'!I78</f>
        <v>0</v>
      </c>
      <c r="K9" s="145">
        <f>'공사(라인)3'!I82</f>
        <v>0</v>
      </c>
      <c r="L9" s="146">
        <f t="shared" ref="L9:L16" si="1">SUM(D9:K9)</f>
        <v>0</v>
      </c>
      <c r="M9" s="144">
        <f>'공사(라인)3'!I84</f>
        <v>0</v>
      </c>
      <c r="N9" s="147">
        <f>'공사(라인)3'!I85</f>
        <v>0</v>
      </c>
      <c r="O9" s="148">
        <f>'공사(라인)3'!I86</f>
        <v>0</v>
      </c>
      <c r="P9" s="149">
        <f t="shared" ref="P9:P16" si="2">SUM(L9:O9)</f>
        <v>0</v>
      </c>
      <c r="Q9" s="150"/>
    </row>
    <row r="10" spans="1:17" s="44" customFormat="1" ht="25.5" customHeight="1" x14ac:dyDescent="0.4">
      <c r="A10" s="141" t="str">
        <f t="shared" si="0"/>
        <v/>
      </c>
      <c r="B10" s="142">
        <f>'공사(라인)4'!C$1</f>
        <v>0</v>
      </c>
      <c r="C10" s="141" t="s">
        <v>87</v>
      </c>
      <c r="D10" s="143">
        <f>'공사(라인)4'!I5</f>
        <v>0</v>
      </c>
      <c r="E10" s="144">
        <f>'공사(라인)4'!I8</f>
        <v>0</v>
      </c>
      <c r="F10" s="144">
        <f>'공사(라인)4'!I11</f>
        <v>0</v>
      </c>
      <c r="G10" s="144">
        <f>'공사(라인)4'!I48</f>
        <v>0</v>
      </c>
      <c r="H10" s="144">
        <f>'공사(라인)4'!I61</f>
        <v>0</v>
      </c>
      <c r="I10" s="144">
        <f>'공사(라인)4'!I66</f>
        <v>0</v>
      </c>
      <c r="J10" s="144">
        <f>'공사(라인)4'!I78</f>
        <v>0</v>
      </c>
      <c r="K10" s="145">
        <f>'공사(라인)4'!I82</f>
        <v>0</v>
      </c>
      <c r="L10" s="146">
        <f t="shared" si="1"/>
        <v>0</v>
      </c>
      <c r="M10" s="144">
        <f>'공사(라인)4'!I84</f>
        <v>0</v>
      </c>
      <c r="N10" s="147">
        <f>'공사(라인)4'!I85</f>
        <v>0</v>
      </c>
      <c r="O10" s="148">
        <f>'공사(라인)4'!I86</f>
        <v>0</v>
      </c>
      <c r="P10" s="149">
        <f t="shared" si="2"/>
        <v>0</v>
      </c>
      <c r="Q10" s="150"/>
    </row>
    <row r="11" spans="1:17" s="44" customFormat="1" ht="25.5" customHeight="1" x14ac:dyDescent="0.4">
      <c r="A11" s="141" t="str">
        <f t="shared" si="0"/>
        <v/>
      </c>
      <c r="B11" s="142">
        <f>'공사(라인)5'!C$1</f>
        <v>0</v>
      </c>
      <c r="C11" s="141" t="s">
        <v>87</v>
      </c>
      <c r="D11" s="143">
        <f>'공사(라인)5'!I5</f>
        <v>0</v>
      </c>
      <c r="E11" s="144">
        <f>'공사(라인)5'!I8</f>
        <v>0</v>
      </c>
      <c r="F11" s="144">
        <f>'공사(라인)5'!I11</f>
        <v>0</v>
      </c>
      <c r="G11" s="144">
        <f>'공사(라인)5'!I48</f>
        <v>0</v>
      </c>
      <c r="H11" s="144">
        <f>'공사(라인)5'!I61</f>
        <v>0</v>
      </c>
      <c r="I11" s="144">
        <f>'공사(라인)5'!I66</f>
        <v>0</v>
      </c>
      <c r="J11" s="144">
        <f>'공사(라인)5'!I78</f>
        <v>0</v>
      </c>
      <c r="K11" s="145">
        <f>'공사(라인)5'!I82</f>
        <v>0</v>
      </c>
      <c r="L11" s="146">
        <f t="shared" si="1"/>
        <v>0</v>
      </c>
      <c r="M11" s="144">
        <f>'공사(라인)5'!I84</f>
        <v>0</v>
      </c>
      <c r="N11" s="147">
        <f>'공사(라인)5'!I85</f>
        <v>0</v>
      </c>
      <c r="O11" s="148">
        <f>'공사(라인)5'!I86</f>
        <v>0</v>
      </c>
      <c r="P11" s="149">
        <f t="shared" si="2"/>
        <v>0</v>
      </c>
      <c r="Q11" s="150"/>
    </row>
    <row r="12" spans="1:17" s="44" customFormat="1" ht="25.5" customHeight="1" x14ac:dyDescent="0.4">
      <c r="A12" s="141" t="str">
        <f t="shared" si="0"/>
        <v/>
      </c>
      <c r="B12" s="142">
        <f>'공사(라인)6'!C$1</f>
        <v>0</v>
      </c>
      <c r="C12" s="141" t="s">
        <v>87</v>
      </c>
      <c r="D12" s="143">
        <f>'공사(라인)6'!I5</f>
        <v>0</v>
      </c>
      <c r="E12" s="144">
        <f>'공사(라인)6'!I8</f>
        <v>0</v>
      </c>
      <c r="F12" s="144">
        <f>'공사(라인)6'!I11</f>
        <v>0</v>
      </c>
      <c r="G12" s="144">
        <f>'공사(라인)6'!I48</f>
        <v>0</v>
      </c>
      <c r="H12" s="144">
        <f>'공사(라인)6'!I61</f>
        <v>0</v>
      </c>
      <c r="I12" s="144">
        <f>'공사(라인)6'!I66</f>
        <v>0</v>
      </c>
      <c r="J12" s="144">
        <f>'공사(라인)6'!I78</f>
        <v>0</v>
      </c>
      <c r="K12" s="145">
        <f>'공사(라인)6'!I82</f>
        <v>0</v>
      </c>
      <c r="L12" s="146">
        <f t="shared" si="1"/>
        <v>0</v>
      </c>
      <c r="M12" s="144">
        <f>'공사(라인)6'!I84</f>
        <v>0</v>
      </c>
      <c r="N12" s="147">
        <f>'공사(라인)6'!I85</f>
        <v>0</v>
      </c>
      <c r="O12" s="148">
        <f>'공사(라인)6'!I86</f>
        <v>0</v>
      </c>
      <c r="P12" s="149">
        <f t="shared" si="2"/>
        <v>0</v>
      </c>
      <c r="Q12" s="150"/>
    </row>
    <row r="13" spans="1:17" s="44" customFormat="1" ht="25.5" customHeight="1" x14ac:dyDescent="0.4">
      <c r="A13" s="141" t="str">
        <f t="shared" si="0"/>
        <v/>
      </c>
      <c r="B13" s="142">
        <f>'공사(라인)7'!C$1</f>
        <v>0</v>
      </c>
      <c r="C13" s="141" t="s">
        <v>87</v>
      </c>
      <c r="D13" s="143">
        <f>'공사(라인)7'!I5</f>
        <v>0</v>
      </c>
      <c r="E13" s="144">
        <f>'공사(라인)7'!I8</f>
        <v>0</v>
      </c>
      <c r="F13" s="144">
        <f>'공사(라인)7'!I11</f>
        <v>0</v>
      </c>
      <c r="G13" s="144">
        <f>'공사(라인)7'!I48</f>
        <v>0</v>
      </c>
      <c r="H13" s="144">
        <f>'공사(라인)7'!I61</f>
        <v>0</v>
      </c>
      <c r="I13" s="144">
        <f>'공사(라인)7'!I66</f>
        <v>0</v>
      </c>
      <c r="J13" s="144">
        <f>'공사(라인)7'!I78</f>
        <v>0</v>
      </c>
      <c r="K13" s="145">
        <f>'공사(라인)7'!I82</f>
        <v>0</v>
      </c>
      <c r="L13" s="146">
        <f t="shared" si="1"/>
        <v>0</v>
      </c>
      <c r="M13" s="144">
        <f>'공사(라인)7'!I84</f>
        <v>0</v>
      </c>
      <c r="N13" s="147">
        <f>'공사(라인)7'!I85</f>
        <v>0</v>
      </c>
      <c r="O13" s="148">
        <f>'공사(라인)7'!I86</f>
        <v>0</v>
      </c>
      <c r="P13" s="149">
        <f t="shared" si="2"/>
        <v>0</v>
      </c>
      <c r="Q13" s="150"/>
    </row>
    <row r="14" spans="1:17" s="44" customFormat="1" ht="25.5" customHeight="1" x14ac:dyDescent="0.4">
      <c r="A14" s="141" t="str">
        <f t="shared" si="0"/>
        <v/>
      </c>
      <c r="B14" s="142">
        <f>'공사(라인)8'!C$1</f>
        <v>0</v>
      </c>
      <c r="C14" s="141" t="s">
        <v>87</v>
      </c>
      <c r="D14" s="143">
        <f>'공사(라인)8'!I5</f>
        <v>0</v>
      </c>
      <c r="E14" s="144">
        <f>'공사(라인)8'!I8</f>
        <v>0</v>
      </c>
      <c r="F14" s="144">
        <f>'공사(라인)8'!I11</f>
        <v>0</v>
      </c>
      <c r="G14" s="144">
        <f>'공사(라인)8'!I48</f>
        <v>0</v>
      </c>
      <c r="H14" s="144">
        <f>'공사(라인)8'!I61</f>
        <v>0</v>
      </c>
      <c r="I14" s="144">
        <f>'공사(라인)8'!I66</f>
        <v>0</v>
      </c>
      <c r="J14" s="144">
        <f>'공사(라인)8'!I78</f>
        <v>0</v>
      </c>
      <c r="K14" s="145">
        <f>'공사(라인)8'!I82</f>
        <v>0</v>
      </c>
      <c r="L14" s="146">
        <f t="shared" si="1"/>
        <v>0</v>
      </c>
      <c r="M14" s="144">
        <f>'공사(라인)8'!I84</f>
        <v>0</v>
      </c>
      <c r="N14" s="147">
        <f>'공사(라인)8'!I85</f>
        <v>0</v>
      </c>
      <c r="O14" s="148">
        <f>'공사(라인)8'!I86</f>
        <v>0</v>
      </c>
      <c r="P14" s="149">
        <f t="shared" si="2"/>
        <v>0</v>
      </c>
      <c r="Q14" s="150"/>
    </row>
    <row r="15" spans="1:17" s="44" customFormat="1" ht="25.5" customHeight="1" x14ac:dyDescent="0.4">
      <c r="A15" s="141" t="str">
        <f t="shared" si="0"/>
        <v/>
      </c>
      <c r="B15" s="142">
        <f>'공사(라인)9'!C$1</f>
        <v>0</v>
      </c>
      <c r="C15" s="141" t="s">
        <v>87</v>
      </c>
      <c r="D15" s="143">
        <f>'공사(라인)9'!I5</f>
        <v>0</v>
      </c>
      <c r="E15" s="144">
        <f>'공사(라인)9'!I8</f>
        <v>0</v>
      </c>
      <c r="F15" s="144">
        <f>'공사(라인)9'!I11</f>
        <v>0</v>
      </c>
      <c r="G15" s="144">
        <f>'공사(라인)9'!I48</f>
        <v>0</v>
      </c>
      <c r="H15" s="144">
        <f>'공사(라인)9'!I61</f>
        <v>0</v>
      </c>
      <c r="I15" s="144">
        <f>'공사(라인)9'!I66</f>
        <v>0</v>
      </c>
      <c r="J15" s="144">
        <f>'공사(라인)9'!I78</f>
        <v>0</v>
      </c>
      <c r="K15" s="145">
        <f>'공사(라인)9'!I82</f>
        <v>0</v>
      </c>
      <c r="L15" s="146">
        <f t="shared" si="1"/>
        <v>0</v>
      </c>
      <c r="M15" s="144">
        <f>'공사(라인)9'!I84</f>
        <v>0</v>
      </c>
      <c r="N15" s="147">
        <f>'공사(라인)9'!I85</f>
        <v>0</v>
      </c>
      <c r="O15" s="148">
        <f>'공사(라인)9'!I86</f>
        <v>0</v>
      </c>
      <c r="P15" s="149">
        <f t="shared" si="2"/>
        <v>0</v>
      </c>
      <c r="Q15" s="150"/>
    </row>
    <row r="16" spans="1:17" s="44" customFormat="1" ht="25.5" customHeight="1" thickBot="1" x14ac:dyDescent="0.45">
      <c r="A16" s="141" t="str">
        <f t="shared" si="0"/>
        <v/>
      </c>
      <c r="B16" s="142">
        <f>'공사(라인)10'!C$1</f>
        <v>0</v>
      </c>
      <c r="C16" s="151" t="s">
        <v>87</v>
      </c>
      <c r="D16" s="152">
        <f>'공사(라인)10'!I5</f>
        <v>0</v>
      </c>
      <c r="E16" s="153">
        <f>'공사(라인)10'!I8</f>
        <v>0</v>
      </c>
      <c r="F16" s="153">
        <f>'공사(라인)10'!I11</f>
        <v>0</v>
      </c>
      <c r="G16" s="153">
        <f>'공사(라인)10'!I48</f>
        <v>0</v>
      </c>
      <c r="H16" s="153">
        <f>'공사(라인)10'!I61</f>
        <v>0</v>
      </c>
      <c r="I16" s="153">
        <f>'공사(라인)10'!I66</f>
        <v>0</v>
      </c>
      <c r="J16" s="153">
        <f>'공사(라인)10'!I78</f>
        <v>0</v>
      </c>
      <c r="K16" s="154">
        <f>'공사(라인)10'!I82</f>
        <v>0</v>
      </c>
      <c r="L16" s="155">
        <f t="shared" si="1"/>
        <v>0</v>
      </c>
      <c r="M16" s="153">
        <f>'공사(라인)10'!I84</f>
        <v>0</v>
      </c>
      <c r="N16" s="156">
        <f>'공사(라인)10'!I85</f>
        <v>0</v>
      </c>
      <c r="O16" s="157">
        <f>'공사(라인)10'!I86</f>
        <v>0</v>
      </c>
      <c r="P16" s="158">
        <f t="shared" si="2"/>
        <v>0</v>
      </c>
      <c r="Q16" s="159"/>
    </row>
    <row r="17" spans="1:17" s="44" customFormat="1" ht="33" customHeight="1" x14ac:dyDescent="0.4">
      <c r="A17" s="394" t="s">
        <v>88</v>
      </c>
      <c r="B17" s="395"/>
      <c r="C17" s="396"/>
      <c r="D17" s="160">
        <f t="shared" ref="D17:P17" si="3">SUM(D7:D16)</f>
        <v>6573000</v>
      </c>
      <c r="E17" s="161">
        <f t="shared" si="3"/>
        <v>0</v>
      </c>
      <c r="F17" s="161">
        <f t="shared" si="3"/>
        <v>0</v>
      </c>
      <c r="G17" s="161">
        <f t="shared" si="3"/>
        <v>58200000</v>
      </c>
      <c r="H17" s="161">
        <f>SUM(H7:H16)</f>
        <v>181400000</v>
      </c>
      <c r="I17" s="161">
        <f t="shared" si="3"/>
        <v>714000000</v>
      </c>
      <c r="J17" s="161">
        <f t="shared" ref="J17:O17" si="4">SUM(J7:J16)</f>
        <v>21250000</v>
      </c>
      <c r="K17" s="162">
        <f t="shared" si="4"/>
        <v>687300000</v>
      </c>
      <c r="L17" s="163">
        <f t="shared" si="4"/>
        <v>1668723000</v>
      </c>
      <c r="M17" s="161">
        <f t="shared" si="4"/>
        <v>0</v>
      </c>
      <c r="N17" s="161">
        <f t="shared" si="4"/>
        <v>0</v>
      </c>
      <c r="O17" s="161">
        <f t="shared" si="4"/>
        <v>66486000</v>
      </c>
      <c r="P17" s="164">
        <f t="shared" si="3"/>
        <v>1735209000</v>
      </c>
      <c r="Q17" s="165"/>
    </row>
    <row r="18" spans="1:17" s="175" customFormat="1" ht="18.75" customHeight="1" x14ac:dyDescent="0.4">
      <c r="A18" s="166"/>
      <c r="B18" s="167"/>
      <c r="C18" s="168"/>
      <c r="D18" s="169">
        <f t="shared" ref="D18:P18" si="5">IF(D17=0,"",D17/$P17)</f>
        <v>3.7880163138849557E-3</v>
      </c>
      <c r="E18" s="170" t="str">
        <f t="shared" si="5"/>
        <v/>
      </c>
      <c r="F18" s="170" t="str">
        <f t="shared" si="5"/>
        <v/>
      </c>
      <c r="G18" s="170">
        <f t="shared" si="5"/>
        <v>3.3540628247087236E-2</v>
      </c>
      <c r="H18" s="170">
        <f>IF(H17=0,"",H17/$P17)</f>
        <v>0.1045407210312994</v>
      </c>
      <c r="I18" s="170">
        <f t="shared" si="5"/>
        <v>0.41147781045395682</v>
      </c>
      <c r="J18" s="170">
        <f>IF(J17=0,"",J17/$P17)</f>
        <v>1.2246363406367764E-2</v>
      </c>
      <c r="K18" s="171">
        <f t="shared" si="5"/>
        <v>0.39609061502101478</v>
      </c>
      <c r="L18" s="172">
        <f t="shared" si="5"/>
        <v>0.961684154473611</v>
      </c>
      <c r="M18" s="170" t="str">
        <f t="shared" si="5"/>
        <v/>
      </c>
      <c r="N18" s="170" t="str">
        <f t="shared" si="5"/>
        <v/>
      </c>
      <c r="O18" s="170">
        <f t="shared" si="5"/>
        <v>3.8315845526389038E-2</v>
      </c>
      <c r="P18" s="173">
        <f t="shared" si="5"/>
        <v>1</v>
      </c>
      <c r="Q18" s="174"/>
    </row>
    <row r="19" spans="1:17" ht="28.5" customHeight="1" x14ac:dyDescent="0.4">
      <c r="I19" s="49"/>
      <c r="J19" s="49"/>
      <c r="K19" s="49"/>
      <c r="L19" s="49"/>
      <c r="M19" s="49"/>
      <c r="N19" s="49"/>
    </row>
    <row r="20" spans="1:17" ht="17.25" customHeight="1" x14ac:dyDescent="0.4">
      <c r="I20" s="51"/>
      <c r="J20" s="51"/>
      <c r="K20" s="51"/>
      <c r="L20" s="51"/>
      <c r="M20" s="51"/>
      <c r="N20" s="51"/>
      <c r="O20" s="176"/>
      <c r="P20" s="177" t="str">
        <f>IF('원가항목별(집계)'!I21='단위공사별(집계)'!P17,"","DATA오류입니다!")</f>
        <v/>
      </c>
    </row>
    <row r="21" spans="1:17" ht="17.25" customHeight="1" x14ac:dyDescent="0.4">
      <c r="I21" s="178"/>
      <c r="J21" s="178"/>
      <c r="K21" s="178"/>
      <c r="L21" s="178"/>
      <c r="M21" s="178"/>
      <c r="N21" s="178"/>
      <c r="P21" s="178"/>
    </row>
    <row r="22" spans="1:17" ht="17.25" customHeight="1" x14ac:dyDescent="0.4">
      <c r="I22" s="44"/>
      <c r="J22" s="44"/>
      <c r="K22" s="44"/>
      <c r="L22" s="44"/>
      <c r="M22" s="44"/>
      <c r="N22" s="44"/>
    </row>
    <row r="23" spans="1:17" ht="17.25" customHeight="1" x14ac:dyDescent="0.4">
      <c r="I23" s="1" t="s">
        <v>89</v>
      </c>
      <c r="J23" s="1" t="s">
        <v>89</v>
      </c>
    </row>
  </sheetData>
  <mergeCells count="4">
    <mergeCell ref="D4:L4"/>
    <mergeCell ref="D5:F5"/>
    <mergeCell ref="G5:J5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A42D-5D3D-4B53-88C8-1D15573B6A8A}">
  <sheetPr>
    <tabColor rgb="FF00B050"/>
    <pageSetUpPr fitToPage="1"/>
  </sheetPr>
  <dimension ref="A1:R109"/>
  <sheetViews>
    <sheetView zoomScale="85" zoomScaleNormal="85" workbookViewId="0">
      <pane xSplit="2" ySplit="2" topLeftCell="C3" activePane="bottomRight" state="frozen"/>
      <selection activeCell="K19" sqref="K19"/>
      <selection pane="topRight" activeCell="K19" sqref="K19"/>
      <selection pane="bottomLeft" activeCell="K19" sqref="K19"/>
      <selection pane="bottomRight" activeCell="K19" sqref="K19"/>
    </sheetView>
  </sheetViews>
  <sheetFormatPr defaultColWidth="9" defaultRowHeight="14.4" x14ac:dyDescent="0.4"/>
  <cols>
    <col min="1" max="1" width="5" style="1" customWidth="1"/>
    <col min="2" max="2" width="21.8984375" style="26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4"/>
    <col min="8" max="8" width="11.8984375" style="44" customWidth="1"/>
    <col min="9" max="9" width="13.59765625" style="44" customWidth="1"/>
    <col min="10" max="10" width="13.59765625" style="26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9" t="s">
        <v>90</v>
      </c>
      <c r="C1" s="180" t="s">
        <v>91</v>
      </c>
      <c r="D1" s="181"/>
      <c r="J1" s="26" t="s">
        <v>92</v>
      </c>
    </row>
    <row r="2" spans="1:11" s="26" customFormat="1" ht="16.5" customHeight="1" x14ac:dyDescent="0.4">
      <c r="A2" s="309" t="s">
        <v>93</v>
      </c>
      <c r="B2" s="311"/>
      <c r="C2" s="182" t="s">
        <v>94</v>
      </c>
      <c r="D2" s="182"/>
      <c r="E2" s="182" t="s">
        <v>95</v>
      </c>
      <c r="F2" s="182" t="s">
        <v>48</v>
      </c>
      <c r="G2" s="183" t="s">
        <v>49</v>
      </c>
      <c r="H2" s="183" t="s">
        <v>96</v>
      </c>
      <c r="I2" s="183" t="s">
        <v>97</v>
      </c>
      <c r="J2" s="182" t="s">
        <v>98</v>
      </c>
    </row>
    <row r="3" spans="1:11" ht="15.9" customHeight="1" x14ac:dyDescent="0.4">
      <c r="A3" s="398"/>
      <c r="B3" s="184" t="s">
        <v>55</v>
      </c>
      <c r="C3" s="185" t="s">
        <v>99</v>
      </c>
      <c r="D3" s="186" t="s">
        <v>100</v>
      </c>
      <c r="E3" s="185" t="s">
        <v>101</v>
      </c>
      <c r="F3" s="187" t="s">
        <v>102</v>
      </c>
      <c r="G3" s="188">
        <v>50</v>
      </c>
      <c r="H3" s="189">
        <v>5100</v>
      </c>
      <c r="I3" s="190">
        <f t="shared" ref="I3:I22" si="0">IF(G3=0,H3,H3*G3)</f>
        <v>255000</v>
      </c>
      <c r="J3" s="116" t="s">
        <v>103</v>
      </c>
      <c r="K3" s="2"/>
    </row>
    <row r="4" spans="1:11" ht="15.9" customHeight="1" x14ac:dyDescent="0.4">
      <c r="A4" s="398"/>
      <c r="B4" s="184"/>
      <c r="C4" s="185" t="s">
        <v>99</v>
      </c>
      <c r="D4" s="186" t="s">
        <v>100</v>
      </c>
      <c r="E4" s="185" t="s">
        <v>104</v>
      </c>
      <c r="F4" s="187" t="s">
        <v>102</v>
      </c>
      <c r="G4" s="188">
        <v>25</v>
      </c>
      <c r="H4" s="189">
        <v>5100</v>
      </c>
      <c r="I4" s="190">
        <f t="shared" si="0"/>
        <v>127500</v>
      </c>
      <c r="J4" s="116" t="s">
        <v>103</v>
      </c>
      <c r="K4" s="2"/>
    </row>
    <row r="5" spans="1:11" ht="15.9" customHeight="1" x14ac:dyDescent="0.4">
      <c r="A5" s="398"/>
      <c r="B5" s="184"/>
      <c r="C5" s="185" t="s">
        <v>105</v>
      </c>
      <c r="D5" s="186" t="s">
        <v>100</v>
      </c>
      <c r="E5" s="185" t="s">
        <v>106</v>
      </c>
      <c r="F5" s="187" t="s">
        <v>102</v>
      </c>
      <c r="G5" s="188">
        <v>100</v>
      </c>
      <c r="H5" s="189">
        <v>2410</v>
      </c>
      <c r="I5" s="190">
        <f t="shared" si="0"/>
        <v>241000</v>
      </c>
      <c r="J5" s="116" t="s">
        <v>103</v>
      </c>
      <c r="K5" s="2"/>
    </row>
    <row r="6" spans="1:11" ht="15.9" customHeight="1" x14ac:dyDescent="0.4">
      <c r="A6" s="398"/>
      <c r="B6" s="184"/>
      <c r="C6" s="185" t="s">
        <v>99</v>
      </c>
      <c r="D6" s="186" t="s">
        <v>107</v>
      </c>
      <c r="E6" s="185" t="s">
        <v>108</v>
      </c>
      <c r="F6" s="187" t="s">
        <v>102</v>
      </c>
      <c r="G6" s="188">
        <v>50</v>
      </c>
      <c r="H6" s="189">
        <v>3000</v>
      </c>
      <c r="I6" s="190">
        <f t="shared" si="0"/>
        <v>150000</v>
      </c>
      <c r="J6" s="116" t="s">
        <v>109</v>
      </c>
      <c r="K6" s="2"/>
    </row>
    <row r="7" spans="1:11" ht="15.9" customHeight="1" x14ac:dyDescent="0.4">
      <c r="A7" s="398"/>
      <c r="B7" s="184"/>
      <c r="C7" s="185" t="s">
        <v>99</v>
      </c>
      <c r="D7" s="186" t="s">
        <v>107</v>
      </c>
      <c r="E7" s="185" t="s">
        <v>110</v>
      </c>
      <c r="F7" s="187" t="s">
        <v>102</v>
      </c>
      <c r="G7" s="188">
        <v>200</v>
      </c>
      <c r="H7" s="189">
        <v>3000</v>
      </c>
      <c r="I7" s="190">
        <f t="shared" si="0"/>
        <v>600000</v>
      </c>
      <c r="J7" s="116" t="s">
        <v>109</v>
      </c>
      <c r="K7" s="2"/>
    </row>
    <row r="8" spans="1:11" ht="15.9" customHeight="1" x14ac:dyDescent="0.4">
      <c r="A8" s="398"/>
      <c r="B8" s="184"/>
      <c r="C8" s="185" t="s">
        <v>99</v>
      </c>
      <c r="D8" s="186" t="s">
        <v>107</v>
      </c>
      <c r="E8" s="185" t="s">
        <v>110</v>
      </c>
      <c r="F8" s="187" t="s">
        <v>102</v>
      </c>
      <c r="G8" s="188">
        <v>200</v>
      </c>
      <c r="H8" s="189">
        <v>3000</v>
      </c>
      <c r="I8" s="190">
        <f t="shared" si="0"/>
        <v>600000</v>
      </c>
      <c r="J8" s="116" t="s">
        <v>109</v>
      </c>
      <c r="K8" s="2"/>
    </row>
    <row r="9" spans="1:11" ht="15.9" customHeight="1" x14ac:dyDescent="0.4">
      <c r="A9" s="398"/>
      <c r="B9" s="184"/>
      <c r="C9" s="185" t="s">
        <v>111</v>
      </c>
      <c r="D9" s="186" t="s">
        <v>112</v>
      </c>
      <c r="E9" s="185" t="s">
        <v>113</v>
      </c>
      <c r="F9" s="187" t="s">
        <v>102</v>
      </c>
      <c r="G9" s="188">
        <v>100</v>
      </c>
      <c r="H9" s="189">
        <v>1400</v>
      </c>
      <c r="I9" s="190">
        <f t="shared" si="0"/>
        <v>140000</v>
      </c>
      <c r="J9" s="116" t="s">
        <v>109</v>
      </c>
      <c r="K9" s="2"/>
    </row>
    <row r="10" spans="1:11" ht="15.9" customHeight="1" x14ac:dyDescent="0.4">
      <c r="A10" s="398"/>
      <c r="B10" s="184"/>
      <c r="C10" s="186" t="s">
        <v>114</v>
      </c>
      <c r="D10" s="186" t="s">
        <v>115</v>
      </c>
      <c r="E10" s="185" t="s">
        <v>116</v>
      </c>
      <c r="F10" s="187" t="s">
        <v>102</v>
      </c>
      <c r="G10" s="187">
        <v>50</v>
      </c>
      <c r="H10" s="189">
        <v>9000</v>
      </c>
      <c r="I10" s="190">
        <f t="shared" si="0"/>
        <v>450000</v>
      </c>
      <c r="J10" s="116" t="s">
        <v>117</v>
      </c>
      <c r="K10" s="2"/>
    </row>
    <row r="11" spans="1:11" ht="15.9" customHeight="1" x14ac:dyDescent="0.4">
      <c r="A11" s="398"/>
      <c r="B11" s="184"/>
      <c r="C11" s="186" t="s">
        <v>114</v>
      </c>
      <c r="D11" s="186" t="s">
        <v>115</v>
      </c>
      <c r="E11" s="185" t="s">
        <v>118</v>
      </c>
      <c r="F11" s="187" t="s">
        <v>102</v>
      </c>
      <c r="G11" s="187">
        <v>25</v>
      </c>
      <c r="H11" s="189">
        <v>9000</v>
      </c>
      <c r="I11" s="190">
        <f t="shared" si="0"/>
        <v>225000</v>
      </c>
      <c r="J11" s="116" t="s">
        <v>117</v>
      </c>
      <c r="K11" s="2"/>
    </row>
    <row r="12" spans="1:11" ht="15.9" customHeight="1" x14ac:dyDescent="0.4">
      <c r="A12" s="398"/>
      <c r="B12" s="184"/>
      <c r="C12" s="185" t="s">
        <v>119</v>
      </c>
      <c r="D12" s="186" t="s">
        <v>120</v>
      </c>
      <c r="E12" s="185" t="s">
        <v>121</v>
      </c>
      <c r="F12" s="187" t="s">
        <v>102</v>
      </c>
      <c r="G12" s="188">
        <v>200</v>
      </c>
      <c r="H12" s="189">
        <v>2300</v>
      </c>
      <c r="I12" s="190">
        <f t="shared" si="0"/>
        <v>460000</v>
      </c>
      <c r="J12" s="116" t="s">
        <v>122</v>
      </c>
      <c r="K12" s="2"/>
    </row>
    <row r="13" spans="1:11" ht="15.9" customHeight="1" x14ac:dyDescent="0.4">
      <c r="A13" s="398"/>
      <c r="B13" s="184"/>
      <c r="C13" s="185" t="s">
        <v>123</v>
      </c>
      <c r="D13" s="186" t="s">
        <v>124</v>
      </c>
      <c r="E13" s="185" t="s">
        <v>125</v>
      </c>
      <c r="F13" s="187" t="s">
        <v>102</v>
      </c>
      <c r="G13" s="188">
        <v>30</v>
      </c>
      <c r="H13" s="189">
        <v>8800</v>
      </c>
      <c r="I13" s="190">
        <f t="shared" si="0"/>
        <v>264000</v>
      </c>
      <c r="J13" s="116" t="s">
        <v>122</v>
      </c>
      <c r="K13" s="2"/>
    </row>
    <row r="14" spans="1:11" ht="15.9" customHeight="1" x14ac:dyDescent="0.4">
      <c r="A14" s="398"/>
      <c r="B14" s="184"/>
      <c r="C14" s="191" t="s">
        <v>126</v>
      </c>
      <c r="D14" s="186" t="s">
        <v>127</v>
      </c>
      <c r="E14" s="185" t="s">
        <v>128</v>
      </c>
      <c r="F14" s="187" t="s">
        <v>102</v>
      </c>
      <c r="G14" s="188">
        <v>50</v>
      </c>
      <c r="H14" s="189">
        <v>900</v>
      </c>
      <c r="I14" s="190">
        <f t="shared" si="0"/>
        <v>45000</v>
      </c>
      <c r="J14" s="116" t="s">
        <v>117</v>
      </c>
      <c r="K14" s="2"/>
    </row>
    <row r="15" spans="1:11" ht="15.9" customHeight="1" x14ac:dyDescent="0.4">
      <c r="A15" s="398"/>
      <c r="B15" s="184"/>
      <c r="C15" s="191" t="s">
        <v>129</v>
      </c>
      <c r="D15" s="186" t="s">
        <v>115</v>
      </c>
      <c r="E15" s="185" t="s">
        <v>130</v>
      </c>
      <c r="F15" s="187" t="s">
        <v>102</v>
      </c>
      <c r="G15" s="188">
        <v>50</v>
      </c>
      <c r="H15" s="189">
        <v>3500</v>
      </c>
      <c r="I15" s="190">
        <f t="shared" si="0"/>
        <v>175000</v>
      </c>
      <c r="J15" s="116" t="s">
        <v>131</v>
      </c>
      <c r="K15" s="2"/>
    </row>
    <row r="16" spans="1:11" ht="15.9" customHeight="1" x14ac:dyDescent="0.4">
      <c r="A16" s="398"/>
      <c r="B16" s="184"/>
      <c r="C16" s="191" t="s">
        <v>132</v>
      </c>
      <c r="D16" s="186" t="s">
        <v>127</v>
      </c>
      <c r="E16" s="185" t="s">
        <v>133</v>
      </c>
      <c r="F16" s="187" t="s">
        <v>102</v>
      </c>
      <c r="G16" s="188">
        <v>60</v>
      </c>
      <c r="H16" s="189">
        <v>4400</v>
      </c>
      <c r="I16" s="190">
        <f t="shared" si="0"/>
        <v>264000</v>
      </c>
      <c r="J16" s="116" t="s">
        <v>117</v>
      </c>
      <c r="K16" s="2"/>
    </row>
    <row r="17" spans="1:11" ht="15.9" customHeight="1" x14ac:dyDescent="0.4">
      <c r="A17" s="398"/>
      <c r="B17" s="184"/>
      <c r="C17" s="191" t="s">
        <v>134</v>
      </c>
      <c r="D17" s="186" t="s">
        <v>127</v>
      </c>
      <c r="E17" s="185" t="s">
        <v>135</v>
      </c>
      <c r="F17" s="187" t="s">
        <v>102</v>
      </c>
      <c r="G17" s="188">
        <v>20</v>
      </c>
      <c r="H17" s="189">
        <v>2900</v>
      </c>
      <c r="I17" s="190">
        <f t="shared" si="0"/>
        <v>58000</v>
      </c>
      <c r="J17" s="116" t="s">
        <v>117</v>
      </c>
      <c r="K17" s="2"/>
    </row>
    <row r="18" spans="1:11" ht="15.9" customHeight="1" x14ac:dyDescent="0.4">
      <c r="A18" s="398"/>
      <c r="B18" s="184"/>
      <c r="C18" s="191" t="s">
        <v>136</v>
      </c>
      <c r="D18" s="186" t="s">
        <v>127</v>
      </c>
      <c r="E18" s="185" t="s">
        <v>137</v>
      </c>
      <c r="F18" s="187" t="s">
        <v>102</v>
      </c>
      <c r="G18" s="188">
        <v>20</v>
      </c>
      <c r="H18" s="189">
        <v>2500</v>
      </c>
      <c r="I18" s="190">
        <f t="shared" si="0"/>
        <v>50000</v>
      </c>
      <c r="J18" s="116" t="s">
        <v>117</v>
      </c>
      <c r="K18" s="2"/>
    </row>
    <row r="19" spans="1:11" ht="15.9" customHeight="1" x14ac:dyDescent="0.4">
      <c r="A19" s="398"/>
      <c r="B19" s="184"/>
      <c r="C19" s="191" t="s">
        <v>138</v>
      </c>
      <c r="D19" s="186" t="s">
        <v>127</v>
      </c>
      <c r="E19" s="185" t="s">
        <v>139</v>
      </c>
      <c r="F19" s="187" t="s">
        <v>102</v>
      </c>
      <c r="G19" s="188">
        <v>20</v>
      </c>
      <c r="H19" s="189">
        <v>2300</v>
      </c>
      <c r="I19" s="190">
        <f t="shared" si="0"/>
        <v>46000</v>
      </c>
      <c r="J19" s="116" t="s">
        <v>117</v>
      </c>
      <c r="K19" s="2"/>
    </row>
    <row r="20" spans="1:11" ht="15.9" customHeight="1" x14ac:dyDescent="0.4">
      <c r="A20" s="398"/>
      <c r="B20" s="184"/>
      <c r="C20" s="191" t="s">
        <v>140</v>
      </c>
      <c r="D20" s="186" t="s">
        <v>141</v>
      </c>
      <c r="E20" s="185" t="s">
        <v>142</v>
      </c>
      <c r="F20" s="187" t="s">
        <v>102</v>
      </c>
      <c r="G20" s="188">
        <v>25</v>
      </c>
      <c r="H20" s="189">
        <v>2300</v>
      </c>
      <c r="I20" s="190">
        <f t="shared" si="0"/>
        <v>57500</v>
      </c>
      <c r="J20" s="116" t="s">
        <v>117</v>
      </c>
      <c r="K20" s="2"/>
    </row>
    <row r="21" spans="1:11" ht="15.9" customHeight="1" x14ac:dyDescent="0.4">
      <c r="A21" s="398"/>
      <c r="B21" s="184"/>
      <c r="C21" s="191" t="s">
        <v>143</v>
      </c>
      <c r="D21" s="186" t="s">
        <v>144</v>
      </c>
      <c r="E21" s="185" t="s">
        <v>142</v>
      </c>
      <c r="F21" s="187" t="s">
        <v>102</v>
      </c>
      <c r="G21" s="188">
        <v>25</v>
      </c>
      <c r="H21" s="189">
        <v>4600</v>
      </c>
      <c r="I21" s="190">
        <f t="shared" si="0"/>
        <v>115000</v>
      </c>
      <c r="J21" s="116" t="s">
        <v>117</v>
      </c>
      <c r="K21" s="2"/>
    </row>
    <row r="22" spans="1:11" ht="15.9" customHeight="1" x14ac:dyDescent="0.4">
      <c r="A22" s="398"/>
      <c r="B22" s="184"/>
      <c r="C22" s="191" t="s">
        <v>114</v>
      </c>
      <c r="D22" s="186" t="s">
        <v>115</v>
      </c>
      <c r="E22" s="185" t="s">
        <v>145</v>
      </c>
      <c r="F22" s="187" t="s">
        <v>102</v>
      </c>
      <c r="G22" s="188">
        <v>25</v>
      </c>
      <c r="H22" s="189">
        <v>30000</v>
      </c>
      <c r="I22" s="190">
        <f t="shared" si="0"/>
        <v>750000</v>
      </c>
      <c r="J22" s="116" t="s">
        <v>131</v>
      </c>
      <c r="K22" s="2"/>
    </row>
    <row r="23" spans="1:11" ht="15.9" customHeight="1" x14ac:dyDescent="0.4">
      <c r="A23" s="398"/>
      <c r="B23" s="184"/>
      <c r="C23" s="191" t="s">
        <v>146</v>
      </c>
      <c r="D23" s="186" t="s">
        <v>147</v>
      </c>
      <c r="E23" s="185" t="s">
        <v>145</v>
      </c>
      <c r="F23" s="187" t="s">
        <v>148</v>
      </c>
      <c r="G23" s="188">
        <v>30</v>
      </c>
      <c r="H23" s="189">
        <v>30000</v>
      </c>
      <c r="I23" s="190">
        <f>IF(G23=0,H23,H23*G23)</f>
        <v>900000</v>
      </c>
      <c r="J23" s="116" t="s">
        <v>131</v>
      </c>
      <c r="K23" s="2"/>
    </row>
    <row r="24" spans="1:11" ht="15.9" customHeight="1" x14ac:dyDescent="0.4">
      <c r="A24" s="398"/>
      <c r="B24" s="184"/>
      <c r="C24" s="192" t="s">
        <v>149</v>
      </c>
      <c r="D24" s="193"/>
      <c r="E24" s="194"/>
      <c r="F24" s="195" t="s">
        <v>150</v>
      </c>
      <c r="G24" s="196">
        <v>2</v>
      </c>
      <c r="H24" s="197">
        <v>300000</v>
      </c>
      <c r="I24" s="198">
        <v>600000</v>
      </c>
      <c r="J24" s="116"/>
      <c r="K24" s="2"/>
    </row>
    <row r="25" spans="1:11" ht="15.9" customHeight="1" x14ac:dyDescent="0.4">
      <c r="A25" s="399"/>
      <c r="B25" s="199"/>
      <c r="C25" s="200"/>
      <c r="D25" s="200"/>
      <c r="E25" s="201"/>
      <c r="F25" s="201"/>
      <c r="G25" s="202"/>
      <c r="H25" s="202"/>
      <c r="I25" s="203">
        <f>SUM(I3:I24)</f>
        <v>6573000</v>
      </c>
      <c r="J25" s="204"/>
    </row>
    <row r="26" spans="1:11" ht="15.9" customHeight="1" x14ac:dyDescent="0.4">
      <c r="A26" s="399"/>
      <c r="B26" s="184" t="s">
        <v>57</v>
      </c>
      <c r="C26" s="205"/>
      <c r="D26" s="205"/>
      <c r="E26" s="206"/>
      <c r="F26" s="207"/>
      <c r="G26" s="208"/>
      <c r="H26" s="209"/>
      <c r="I26" s="210">
        <f>IF(G26=0,H26,H26*G26)</f>
        <v>0</v>
      </c>
      <c r="J26" s="211"/>
    </row>
    <row r="27" spans="1:11" ht="15.9" customHeight="1" x14ac:dyDescent="0.4">
      <c r="A27" s="399"/>
      <c r="B27" s="184" t="s">
        <v>151</v>
      </c>
      <c r="C27" s="205"/>
      <c r="D27" s="205"/>
      <c r="E27" s="206"/>
      <c r="F27" s="207"/>
      <c r="G27" s="208"/>
      <c r="H27" s="209"/>
      <c r="I27" s="150">
        <f>IF(G27=0,H27,H27*G27)</f>
        <v>0</v>
      </c>
      <c r="J27" s="211"/>
    </row>
    <row r="28" spans="1:11" ht="15.9" customHeight="1" x14ac:dyDescent="0.4">
      <c r="A28" s="399"/>
      <c r="B28" s="199"/>
      <c r="C28" s="212"/>
      <c r="D28" s="212"/>
      <c r="E28" s="213"/>
      <c r="F28" s="213"/>
      <c r="G28" s="214"/>
      <c r="H28" s="215"/>
      <c r="I28" s="203">
        <f>SUM(I26:I27)</f>
        <v>0</v>
      </c>
      <c r="J28" s="216"/>
    </row>
    <row r="29" spans="1:11" ht="15.9" customHeight="1" x14ac:dyDescent="0.4">
      <c r="A29" s="399"/>
      <c r="B29" s="217" t="s">
        <v>58</v>
      </c>
      <c r="C29" s="185"/>
      <c r="D29" s="185"/>
      <c r="E29" s="185"/>
      <c r="F29" s="207" t="s">
        <v>152</v>
      </c>
      <c r="G29" s="218"/>
      <c r="H29" s="189"/>
      <c r="I29" s="165">
        <f>IF(G29=0,H29,H29*G29)</f>
        <v>0</v>
      </c>
      <c r="J29" s="29"/>
    </row>
    <row r="30" spans="1:11" ht="15.9" customHeight="1" x14ac:dyDescent="0.4">
      <c r="A30" s="399"/>
      <c r="B30" s="184"/>
      <c r="C30" s="185"/>
      <c r="D30" s="185"/>
      <c r="E30" s="185"/>
      <c r="F30" s="187"/>
      <c r="G30" s="218"/>
      <c r="H30" s="189"/>
      <c r="I30" s="150">
        <f>IF(G30=0,H30,H30*G30)</f>
        <v>0</v>
      </c>
      <c r="J30" s="32"/>
    </row>
    <row r="31" spans="1:11" ht="15.9" customHeight="1" x14ac:dyDescent="0.4">
      <c r="A31" s="399"/>
      <c r="B31" s="199"/>
      <c r="C31" s="212"/>
      <c r="D31" s="212"/>
      <c r="E31" s="213"/>
      <c r="F31" s="213"/>
      <c r="G31" s="215"/>
      <c r="H31" s="215"/>
      <c r="I31" s="203">
        <f>SUM(I29:I30)</f>
        <v>0</v>
      </c>
      <c r="J31" s="216"/>
    </row>
    <row r="32" spans="1:11" ht="15.9" customHeight="1" x14ac:dyDescent="0.4">
      <c r="A32" s="199"/>
      <c r="B32" s="310" t="s">
        <v>153</v>
      </c>
      <c r="C32" s="310"/>
      <c r="D32" s="310"/>
      <c r="E32" s="310"/>
      <c r="F32" s="310"/>
      <c r="G32" s="310"/>
      <c r="H32" s="311"/>
      <c r="I32" s="219">
        <f>SUM(I31,I28,I25)</f>
        <v>6573000</v>
      </c>
      <c r="J32" s="182"/>
    </row>
    <row r="33" spans="1:10" ht="15.9" customHeight="1" x14ac:dyDescent="0.4">
      <c r="A33" s="397" t="s">
        <v>154</v>
      </c>
      <c r="B33" s="217" t="s">
        <v>80</v>
      </c>
      <c r="C33" s="220" t="s">
        <v>155</v>
      </c>
      <c r="D33" s="221" t="s">
        <v>156</v>
      </c>
      <c r="E33" s="110"/>
      <c r="F33" s="46" t="s">
        <v>56</v>
      </c>
      <c r="G33" s="222">
        <v>2</v>
      </c>
      <c r="H33" s="223">
        <v>4500000</v>
      </c>
      <c r="I33" s="224">
        <f t="shared" ref="I33:I57" si="1">G33*H33</f>
        <v>9000000</v>
      </c>
      <c r="J33" s="29" t="s">
        <v>157</v>
      </c>
    </row>
    <row r="34" spans="1:10" ht="15.9" customHeight="1" x14ac:dyDescent="0.4">
      <c r="A34" s="398"/>
      <c r="B34" s="184"/>
      <c r="C34" s="225"/>
      <c r="D34" s="221" t="s">
        <v>158</v>
      </c>
      <c r="E34" s="32"/>
      <c r="F34" s="226" t="s">
        <v>56</v>
      </c>
      <c r="G34" s="208"/>
      <c r="H34" s="209"/>
      <c r="I34" s="190">
        <f t="shared" si="1"/>
        <v>0</v>
      </c>
      <c r="J34" s="211"/>
    </row>
    <row r="35" spans="1:10" ht="15.9" customHeight="1" x14ac:dyDescent="0.4">
      <c r="A35" s="398"/>
      <c r="B35" s="184"/>
      <c r="C35" s="227"/>
      <c r="D35" s="221" t="s">
        <v>159</v>
      </c>
      <c r="E35" s="32"/>
      <c r="F35" s="226" t="s">
        <v>56</v>
      </c>
      <c r="G35" s="208"/>
      <c r="H35" s="209"/>
      <c r="I35" s="190">
        <f t="shared" si="1"/>
        <v>0</v>
      </c>
      <c r="J35" s="211"/>
    </row>
    <row r="36" spans="1:10" ht="15.9" customHeight="1" x14ac:dyDescent="0.4">
      <c r="A36" s="398"/>
      <c r="B36" s="184"/>
      <c r="C36" s="228" t="s">
        <v>160</v>
      </c>
      <c r="D36" s="221" t="s">
        <v>156</v>
      </c>
      <c r="E36" s="32"/>
      <c r="F36" s="226" t="s">
        <v>56</v>
      </c>
      <c r="G36" s="208"/>
      <c r="H36" s="209"/>
      <c r="I36" s="190">
        <f t="shared" si="1"/>
        <v>0</v>
      </c>
      <c r="J36" s="211"/>
    </row>
    <row r="37" spans="1:10" ht="15.9" customHeight="1" x14ac:dyDescent="0.4">
      <c r="A37" s="398"/>
      <c r="B37" s="184"/>
      <c r="C37" s="225"/>
      <c r="D37" s="221" t="s">
        <v>158</v>
      </c>
      <c r="E37" s="32"/>
      <c r="F37" s="226" t="s">
        <v>56</v>
      </c>
      <c r="G37" s="208"/>
      <c r="H37" s="209"/>
      <c r="I37" s="190">
        <f t="shared" si="1"/>
        <v>0</v>
      </c>
      <c r="J37" s="211"/>
    </row>
    <row r="38" spans="1:10" ht="15.9" customHeight="1" x14ac:dyDescent="0.4">
      <c r="A38" s="398"/>
      <c r="B38" s="184"/>
      <c r="C38" s="227"/>
      <c r="D38" s="221" t="s">
        <v>159</v>
      </c>
      <c r="E38" s="32"/>
      <c r="F38" s="226" t="s">
        <v>56</v>
      </c>
      <c r="G38" s="208"/>
      <c r="H38" s="209"/>
      <c r="I38" s="190">
        <f t="shared" si="1"/>
        <v>0</v>
      </c>
      <c r="J38" s="211"/>
    </row>
    <row r="39" spans="1:10" ht="15.9" customHeight="1" x14ac:dyDescent="0.4">
      <c r="A39" s="398"/>
      <c r="B39" s="184"/>
      <c r="C39" s="228" t="s">
        <v>161</v>
      </c>
      <c r="D39" s="221" t="s">
        <v>156</v>
      </c>
      <c r="E39" s="32"/>
      <c r="F39" s="226" t="s">
        <v>56</v>
      </c>
      <c r="G39" s="208"/>
      <c r="H39" s="209"/>
      <c r="I39" s="190">
        <f t="shared" si="1"/>
        <v>0</v>
      </c>
      <c r="J39" s="211"/>
    </row>
    <row r="40" spans="1:10" ht="15.9" customHeight="1" x14ac:dyDescent="0.4">
      <c r="A40" s="398"/>
      <c r="B40" s="184"/>
      <c r="C40" s="225"/>
      <c r="D40" s="221" t="s">
        <v>158</v>
      </c>
      <c r="E40" s="32"/>
      <c r="F40" s="226" t="s">
        <v>56</v>
      </c>
      <c r="G40" s="208"/>
      <c r="H40" s="209"/>
      <c r="I40" s="190">
        <f t="shared" si="1"/>
        <v>0</v>
      </c>
      <c r="J40" s="211"/>
    </row>
    <row r="41" spans="1:10" ht="15.9" customHeight="1" x14ac:dyDescent="0.4">
      <c r="A41" s="398"/>
      <c r="B41" s="184"/>
      <c r="C41" s="227"/>
      <c r="D41" s="221" t="s">
        <v>159</v>
      </c>
      <c r="E41" s="32"/>
      <c r="F41" s="226" t="s">
        <v>56</v>
      </c>
      <c r="G41" s="208"/>
      <c r="H41" s="209"/>
      <c r="I41" s="190">
        <f t="shared" si="1"/>
        <v>0</v>
      </c>
      <c r="J41" s="211"/>
    </row>
    <row r="42" spans="1:10" ht="15.9" customHeight="1" x14ac:dyDescent="0.4">
      <c r="A42" s="398"/>
      <c r="B42" s="184"/>
      <c r="C42" s="228" t="s">
        <v>162</v>
      </c>
      <c r="D42" s="221" t="s">
        <v>163</v>
      </c>
      <c r="E42" s="32"/>
      <c r="F42" s="226" t="s">
        <v>56</v>
      </c>
      <c r="G42" s="208"/>
      <c r="H42" s="209"/>
      <c r="I42" s="190">
        <f t="shared" si="1"/>
        <v>0</v>
      </c>
      <c r="J42" s="211"/>
    </row>
    <row r="43" spans="1:10" ht="15.9" customHeight="1" x14ac:dyDescent="0.4">
      <c r="A43" s="398"/>
      <c r="B43" s="184"/>
      <c r="C43" s="225"/>
      <c r="D43" s="221" t="s">
        <v>164</v>
      </c>
      <c r="E43" s="32"/>
      <c r="F43" s="226" t="s">
        <v>56</v>
      </c>
      <c r="G43" s="208"/>
      <c r="H43" s="209"/>
      <c r="I43" s="190">
        <f t="shared" si="1"/>
        <v>0</v>
      </c>
      <c r="J43" s="211"/>
    </row>
    <row r="44" spans="1:10" ht="15.9" customHeight="1" x14ac:dyDescent="0.4">
      <c r="A44" s="398"/>
      <c r="B44" s="184"/>
      <c r="C44" s="227"/>
      <c r="D44" s="221" t="s">
        <v>165</v>
      </c>
      <c r="E44" s="32"/>
      <c r="F44" s="226" t="s">
        <v>56</v>
      </c>
      <c r="G44" s="208"/>
      <c r="H44" s="209"/>
      <c r="I44" s="190">
        <f t="shared" si="1"/>
        <v>0</v>
      </c>
      <c r="J44" s="211"/>
    </row>
    <row r="45" spans="1:10" ht="15.9" customHeight="1" x14ac:dyDescent="0.4">
      <c r="A45" s="398"/>
      <c r="B45" s="184"/>
      <c r="C45" s="228" t="s">
        <v>166</v>
      </c>
      <c r="D45" s="221" t="s">
        <v>163</v>
      </c>
      <c r="E45" s="32"/>
      <c r="F45" s="226" t="s">
        <v>56</v>
      </c>
      <c r="G45" s="208">
        <v>2</v>
      </c>
      <c r="H45" s="209">
        <v>3500000</v>
      </c>
      <c r="I45" s="190">
        <f t="shared" si="1"/>
        <v>7000000</v>
      </c>
      <c r="J45" s="211"/>
    </row>
    <row r="46" spans="1:10" ht="15.9" customHeight="1" x14ac:dyDescent="0.4">
      <c r="A46" s="398"/>
      <c r="B46" s="184"/>
      <c r="C46" s="225"/>
      <c r="D46" s="221" t="s">
        <v>164</v>
      </c>
      <c r="E46" s="32"/>
      <c r="F46" s="226" t="s">
        <v>56</v>
      </c>
      <c r="G46" s="208"/>
      <c r="H46" s="209"/>
      <c r="I46" s="190">
        <f t="shared" si="1"/>
        <v>0</v>
      </c>
      <c r="J46" s="211"/>
    </row>
    <row r="47" spans="1:10" ht="15.9" customHeight="1" x14ac:dyDescent="0.4">
      <c r="A47" s="398"/>
      <c r="B47" s="184"/>
      <c r="C47" s="227"/>
      <c r="D47" s="221" t="s">
        <v>165</v>
      </c>
      <c r="E47" s="32"/>
      <c r="F47" s="226" t="s">
        <v>56</v>
      </c>
      <c r="G47" s="208"/>
      <c r="H47" s="209"/>
      <c r="I47" s="190">
        <f t="shared" si="1"/>
        <v>0</v>
      </c>
      <c r="J47" s="211"/>
    </row>
    <row r="48" spans="1:10" ht="15.9" customHeight="1" x14ac:dyDescent="0.4">
      <c r="A48" s="398"/>
      <c r="B48" s="184"/>
      <c r="C48" s="228" t="s">
        <v>167</v>
      </c>
      <c r="D48" s="221" t="s">
        <v>168</v>
      </c>
      <c r="E48" s="32"/>
      <c r="F48" s="226" t="s">
        <v>56</v>
      </c>
      <c r="G48" s="208"/>
      <c r="H48" s="209"/>
      <c r="I48" s="190">
        <f t="shared" si="1"/>
        <v>0</v>
      </c>
      <c r="J48" s="211"/>
    </row>
    <row r="49" spans="1:10" ht="15.9" customHeight="1" x14ac:dyDescent="0.4">
      <c r="A49" s="398"/>
      <c r="B49" s="184"/>
      <c r="C49" s="225"/>
      <c r="D49" s="221" t="s">
        <v>169</v>
      </c>
      <c r="E49" s="32"/>
      <c r="F49" s="226" t="s">
        <v>56</v>
      </c>
      <c r="G49" s="208"/>
      <c r="H49" s="209"/>
      <c r="I49" s="190">
        <f t="shared" si="1"/>
        <v>0</v>
      </c>
      <c r="J49" s="211"/>
    </row>
    <row r="50" spans="1:10" ht="15.9" customHeight="1" x14ac:dyDescent="0.4">
      <c r="A50" s="398"/>
      <c r="B50" s="184"/>
      <c r="C50" s="227"/>
      <c r="D50" s="221" t="s">
        <v>170</v>
      </c>
      <c r="E50" s="32"/>
      <c r="F50" s="226" t="s">
        <v>56</v>
      </c>
      <c r="G50" s="208"/>
      <c r="H50" s="209"/>
      <c r="I50" s="190">
        <f t="shared" si="1"/>
        <v>0</v>
      </c>
      <c r="J50" s="211"/>
    </row>
    <row r="51" spans="1:10" ht="15.9" customHeight="1" x14ac:dyDescent="0.4">
      <c r="A51" s="398"/>
      <c r="B51" s="184"/>
      <c r="C51" s="229" t="s">
        <v>171</v>
      </c>
      <c r="D51" s="230"/>
      <c r="E51" s="32"/>
      <c r="F51" s="226" t="s">
        <v>56</v>
      </c>
      <c r="G51" s="208"/>
      <c r="H51" s="209"/>
      <c r="I51" s="190">
        <f t="shared" si="1"/>
        <v>0</v>
      </c>
      <c r="J51" s="211"/>
    </row>
    <row r="52" spans="1:10" ht="15.9" customHeight="1" x14ac:dyDescent="0.4">
      <c r="A52" s="398"/>
      <c r="B52" s="184"/>
      <c r="C52" s="231" t="s">
        <v>172</v>
      </c>
      <c r="D52" s="232" t="s">
        <v>173</v>
      </c>
      <c r="E52" s="32"/>
      <c r="F52" s="226" t="s">
        <v>56</v>
      </c>
      <c r="G52" s="208"/>
      <c r="H52" s="209"/>
      <c r="I52" s="190">
        <f t="shared" si="1"/>
        <v>0</v>
      </c>
      <c r="J52" s="211"/>
    </row>
    <row r="53" spans="1:10" ht="15.9" customHeight="1" x14ac:dyDescent="0.4">
      <c r="A53" s="398"/>
      <c r="B53" s="184"/>
      <c r="C53" s="233" t="s">
        <v>174</v>
      </c>
      <c r="D53" s="234" t="s">
        <v>175</v>
      </c>
      <c r="E53" s="32"/>
      <c r="F53" s="226" t="s">
        <v>56</v>
      </c>
      <c r="G53" s="208">
        <v>12</v>
      </c>
      <c r="H53" s="209">
        <v>1500000</v>
      </c>
      <c r="I53" s="190">
        <f t="shared" si="1"/>
        <v>18000000</v>
      </c>
      <c r="J53" s="211"/>
    </row>
    <row r="54" spans="1:10" ht="15.9" customHeight="1" x14ac:dyDescent="0.4">
      <c r="A54" s="398"/>
      <c r="B54" s="184"/>
      <c r="C54" s="235" t="s">
        <v>176</v>
      </c>
      <c r="D54" s="236" t="s">
        <v>177</v>
      </c>
      <c r="E54" s="32"/>
      <c r="F54" s="226" t="s">
        <v>56</v>
      </c>
      <c r="G54" s="208">
        <v>1</v>
      </c>
      <c r="H54" s="209">
        <v>600000</v>
      </c>
      <c r="I54" s="190">
        <f t="shared" si="1"/>
        <v>600000</v>
      </c>
      <c r="J54" s="211"/>
    </row>
    <row r="55" spans="1:10" ht="15.9" customHeight="1" x14ac:dyDescent="0.4">
      <c r="A55" s="398"/>
      <c r="B55" s="184"/>
      <c r="C55" s="235" t="s">
        <v>178</v>
      </c>
      <c r="D55" s="236" t="s">
        <v>177</v>
      </c>
      <c r="E55" s="32"/>
      <c r="F55" s="226" t="s">
        <v>56</v>
      </c>
      <c r="G55" s="208">
        <v>3</v>
      </c>
      <c r="H55" s="209">
        <v>1000000</v>
      </c>
      <c r="I55" s="190">
        <f t="shared" si="1"/>
        <v>3000000</v>
      </c>
      <c r="J55" s="211"/>
    </row>
    <row r="56" spans="1:10" ht="15.9" customHeight="1" x14ac:dyDescent="0.4">
      <c r="A56" s="398"/>
      <c r="B56" s="184"/>
      <c r="C56" s="235" t="s">
        <v>179</v>
      </c>
      <c r="D56" s="236"/>
      <c r="E56" s="32"/>
      <c r="F56" s="226" t="s">
        <v>56</v>
      </c>
      <c r="G56" s="208">
        <v>8</v>
      </c>
      <c r="H56" s="209">
        <v>1200000</v>
      </c>
      <c r="I56" s="190">
        <f t="shared" si="1"/>
        <v>9600000</v>
      </c>
      <c r="J56" s="211"/>
    </row>
    <row r="57" spans="1:10" ht="15.9" customHeight="1" x14ac:dyDescent="0.4">
      <c r="A57" s="398"/>
      <c r="B57" s="184"/>
      <c r="C57" s="228" t="s">
        <v>180</v>
      </c>
      <c r="D57" s="237" t="s">
        <v>181</v>
      </c>
      <c r="E57" s="32"/>
      <c r="F57" s="226" t="s">
        <v>56</v>
      </c>
      <c r="G57" s="208">
        <v>1</v>
      </c>
      <c r="H57" s="209">
        <v>1000000</v>
      </c>
      <c r="I57" s="190">
        <f t="shared" si="1"/>
        <v>1000000</v>
      </c>
      <c r="J57" s="211"/>
    </row>
    <row r="58" spans="1:10" ht="15.9" customHeight="1" x14ac:dyDescent="0.4">
      <c r="A58" s="398"/>
      <c r="B58" s="184"/>
      <c r="C58" s="228" t="s">
        <v>182</v>
      </c>
      <c r="D58" s="237"/>
      <c r="E58" s="32"/>
      <c r="F58" s="226" t="s">
        <v>56</v>
      </c>
      <c r="G58" s="208">
        <v>2</v>
      </c>
      <c r="H58" s="209">
        <v>5000000</v>
      </c>
      <c r="I58" s="190">
        <f>G58*H58</f>
        <v>10000000</v>
      </c>
      <c r="J58" s="211"/>
    </row>
    <row r="59" spans="1:10" ht="15.9" customHeight="1" x14ac:dyDescent="0.4">
      <c r="A59" s="398"/>
      <c r="B59" s="401" t="s">
        <v>183</v>
      </c>
      <c r="C59" s="402"/>
      <c r="D59" s="402"/>
      <c r="E59" s="402"/>
      <c r="F59" s="402"/>
      <c r="G59" s="402"/>
      <c r="H59" s="403"/>
      <c r="I59" s="238">
        <f>SUM(I33:I58)</f>
        <v>58200000</v>
      </c>
      <c r="J59" s="211"/>
    </row>
    <row r="60" spans="1:10" ht="15.9" customHeight="1" x14ac:dyDescent="0.4">
      <c r="A60" s="398"/>
      <c r="B60" s="217" t="s">
        <v>62</v>
      </c>
      <c r="C60" s="239" t="s">
        <v>184</v>
      </c>
      <c r="D60" s="221" t="s">
        <v>185</v>
      </c>
      <c r="E60" s="29"/>
      <c r="F60" s="46" t="s">
        <v>56</v>
      </c>
      <c r="G60" s="222">
        <v>3</v>
      </c>
      <c r="H60" s="223">
        <v>1200000</v>
      </c>
      <c r="I60" s="224">
        <f t="shared" ref="I60:I88" si="2">G60*H60</f>
        <v>3600000</v>
      </c>
      <c r="J60" s="29"/>
    </row>
    <row r="61" spans="1:10" ht="15.9" customHeight="1" x14ac:dyDescent="0.4">
      <c r="A61" s="398"/>
      <c r="B61" s="184"/>
      <c r="C61" s="240"/>
      <c r="D61" s="221" t="s">
        <v>186</v>
      </c>
      <c r="E61" s="32"/>
      <c r="F61" s="226" t="s">
        <v>56</v>
      </c>
      <c r="G61" s="208">
        <v>66</v>
      </c>
      <c r="H61" s="209">
        <v>800000</v>
      </c>
      <c r="I61" s="190">
        <f t="shared" si="2"/>
        <v>52800000</v>
      </c>
      <c r="J61" s="211"/>
    </row>
    <row r="62" spans="1:10" ht="15.9" customHeight="1" x14ac:dyDescent="0.4">
      <c r="A62" s="398"/>
      <c r="B62" s="184"/>
      <c r="C62" s="240"/>
      <c r="D62" s="221" t="s">
        <v>187</v>
      </c>
      <c r="E62" s="32"/>
      <c r="F62" s="226" t="s">
        <v>56</v>
      </c>
      <c r="G62" s="208">
        <v>250</v>
      </c>
      <c r="H62" s="209">
        <v>500000</v>
      </c>
      <c r="I62" s="190">
        <f t="shared" si="2"/>
        <v>125000000</v>
      </c>
      <c r="J62" s="211"/>
    </row>
    <row r="63" spans="1:10" ht="15.9" customHeight="1" x14ac:dyDescent="0.4">
      <c r="A63" s="398"/>
      <c r="B63" s="184"/>
      <c r="C63" s="240"/>
      <c r="D63" s="241" t="s">
        <v>188</v>
      </c>
      <c r="E63" s="32"/>
      <c r="F63" s="226" t="s">
        <v>56</v>
      </c>
      <c r="G63" s="208"/>
      <c r="H63" s="209"/>
      <c r="I63" s="190">
        <f t="shared" si="2"/>
        <v>0</v>
      </c>
      <c r="J63" s="211"/>
    </row>
    <row r="64" spans="1:10" ht="15.9" customHeight="1" x14ac:dyDescent="0.4">
      <c r="A64" s="398"/>
      <c r="B64" s="184"/>
      <c r="C64" s="242"/>
      <c r="D64" s="221" t="s">
        <v>189</v>
      </c>
      <c r="E64" s="32"/>
      <c r="F64" s="226" t="s">
        <v>56</v>
      </c>
      <c r="G64" s="208"/>
      <c r="H64" s="209"/>
      <c r="I64" s="190">
        <f t="shared" si="2"/>
        <v>0</v>
      </c>
      <c r="J64" s="211"/>
    </row>
    <row r="65" spans="1:10" ht="15.9" customHeight="1" x14ac:dyDescent="0.4">
      <c r="A65" s="398"/>
      <c r="B65" s="184"/>
      <c r="C65" s="243" t="s">
        <v>190</v>
      </c>
      <c r="D65" s="221" t="s">
        <v>163</v>
      </c>
      <c r="E65" s="32"/>
      <c r="F65" s="226" t="s">
        <v>56</v>
      </c>
      <c r="G65" s="208"/>
      <c r="H65" s="209"/>
      <c r="I65" s="190">
        <f t="shared" si="2"/>
        <v>0</v>
      </c>
      <c r="J65" s="211"/>
    </row>
    <row r="66" spans="1:10" ht="15.9" customHeight="1" x14ac:dyDescent="0.4">
      <c r="A66" s="398"/>
      <c r="B66" s="184"/>
      <c r="C66" s="242"/>
      <c r="D66" s="221" t="s">
        <v>164</v>
      </c>
      <c r="E66" s="32"/>
      <c r="F66" s="226" t="s">
        <v>56</v>
      </c>
      <c r="G66" s="208"/>
      <c r="H66" s="209"/>
      <c r="I66" s="190">
        <f t="shared" si="2"/>
        <v>0</v>
      </c>
      <c r="J66" s="211"/>
    </row>
    <row r="67" spans="1:10" ht="15.9" customHeight="1" x14ac:dyDescent="0.4">
      <c r="A67" s="398"/>
      <c r="B67" s="184"/>
      <c r="C67" s="243" t="s">
        <v>191</v>
      </c>
      <c r="D67" s="221" t="s">
        <v>163</v>
      </c>
      <c r="E67" s="32"/>
      <c r="F67" s="226" t="s">
        <v>56</v>
      </c>
      <c r="G67" s="208"/>
      <c r="H67" s="209"/>
      <c r="I67" s="190">
        <f t="shared" si="2"/>
        <v>0</v>
      </c>
      <c r="J67" s="211"/>
    </row>
    <row r="68" spans="1:10" ht="15.9" customHeight="1" x14ac:dyDescent="0.4">
      <c r="A68" s="398"/>
      <c r="B68" s="184"/>
      <c r="C68" s="240"/>
      <c r="D68" s="221" t="s">
        <v>164</v>
      </c>
      <c r="E68" s="32"/>
      <c r="F68" s="226" t="s">
        <v>56</v>
      </c>
      <c r="G68" s="208"/>
      <c r="H68" s="209"/>
      <c r="I68" s="190">
        <f t="shared" si="2"/>
        <v>0</v>
      </c>
      <c r="J68" s="211"/>
    </row>
    <row r="69" spans="1:10" ht="15.9" customHeight="1" x14ac:dyDescent="0.4">
      <c r="A69" s="398"/>
      <c r="B69" s="184"/>
      <c r="C69" s="240"/>
      <c r="D69" s="221" t="s">
        <v>165</v>
      </c>
      <c r="E69" s="32"/>
      <c r="F69" s="226" t="s">
        <v>56</v>
      </c>
      <c r="G69" s="208"/>
      <c r="H69" s="209"/>
      <c r="I69" s="190">
        <f t="shared" si="2"/>
        <v>0</v>
      </c>
      <c r="J69" s="211"/>
    </row>
    <row r="70" spans="1:10" ht="15.9" customHeight="1" x14ac:dyDescent="0.4">
      <c r="A70" s="398"/>
      <c r="B70" s="184"/>
      <c r="C70" s="242"/>
      <c r="D70" s="221" t="s">
        <v>188</v>
      </c>
      <c r="E70" s="32"/>
      <c r="F70" s="226" t="s">
        <v>56</v>
      </c>
      <c r="G70" s="208"/>
      <c r="H70" s="209"/>
      <c r="I70" s="190">
        <f t="shared" si="2"/>
        <v>0</v>
      </c>
      <c r="J70" s="211"/>
    </row>
    <row r="71" spans="1:10" ht="15.9" customHeight="1" x14ac:dyDescent="0.4">
      <c r="A71" s="398"/>
      <c r="B71" s="184"/>
      <c r="C71" s="244"/>
      <c r="D71" s="237"/>
      <c r="E71" s="32"/>
      <c r="F71" s="226" t="s">
        <v>56</v>
      </c>
      <c r="G71" s="208"/>
      <c r="H71" s="209"/>
      <c r="I71" s="190">
        <f t="shared" si="2"/>
        <v>0</v>
      </c>
      <c r="J71" s="211"/>
    </row>
    <row r="72" spans="1:10" ht="15.9" customHeight="1" x14ac:dyDescent="0.4">
      <c r="A72" s="398"/>
      <c r="B72" s="401" t="s">
        <v>192</v>
      </c>
      <c r="C72" s="402"/>
      <c r="D72" s="402"/>
      <c r="E72" s="402"/>
      <c r="F72" s="402"/>
      <c r="G72" s="402"/>
      <c r="H72" s="403"/>
      <c r="I72" s="238">
        <f>SUM(I60:I71)</f>
        <v>181400000</v>
      </c>
      <c r="J72" s="211"/>
    </row>
    <row r="73" spans="1:10" ht="15.9" customHeight="1" x14ac:dyDescent="0.4">
      <c r="A73" s="398"/>
      <c r="B73" s="217" t="s">
        <v>63</v>
      </c>
      <c r="C73" s="245" t="s">
        <v>193</v>
      </c>
      <c r="D73" s="246"/>
      <c r="E73" s="29" t="s">
        <v>194</v>
      </c>
      <c r="F73" s="46" t="s">
        <v>195</v>
      </c>
      <c r="G73" s="222"/>
      <c r="H73" s="223"/>
      <c r="I73" s="224">
        <f t="shared" si="2"/>
        <v>0</v>
      </c>
      <c r="J73" s="247"/>
    </row>
    <row r="74" spans="1:10" ht="15.9" customHeight="1" x14ac:dyDescent="0.4">
      <c r="A74" s="398"/>
      <c r="B74" s="184"/>
      <c r="C74" s="248" t="s">
        <v>196</v>
      </c>
      <c r="D74" s="249"/>
      <c r="E74" s="32" t="s">
        <v>194</v>
      </c>
      <c r="F74" s="226" t="s">
        <v>195</v>
      </c>
      <c r="G74" s="208">
        <v>460</v>
      </c>
      <c r="H74" s="209">
        <v>350000</v>
      </c>
      <c r="I74" s="190">
        <f t="shared" si="2"/>
        <v>161000000</v>
      </c>
      <c r="J74" s="211"/>
    </row>
    <row r="75" spans="1:10" ht="15.9" customHeight="1" x14ac:dyDescent="0.4">
      <c r="A75" s="398"/>
      <c r="B75" s="184"/>
      <c r="C75" s="250" t="s">
        <v>197</v>
      </c>
      <c r="D75" s="249"/>
      <c r="E75" s="32" t="s">
        <v>194</v>
      </c>
      <c r="F75" s="226" t="s">
        <v>195</v>
      </c>
      <c r="G75" s="208">
        <v>300</v>
      </c>
      <c r="H75" s="209">
        <v>350000</v>
      </c>
      <c r="I75" s="190">
        <f t="shared" si="2"/>
        <v>105000000</v>
      </c>
      <c r="J75" s="211"/>
    </row>
    <row r="76" spans="1:10" ht="15.9" customHeight="1" x14ac:dyDescent="0.4">
      <c r="A76" s="398"/>
      <c r="B76" s="184"/>
      <c r="C76" s="250" t="s">
        <v>198</v>
      </c>
      <c r="D76" s="249"/>
      <c r="E76" s="32" t="s">
        <v>194</v>
      </c>
      <c r="F76" s="226" t="s">
        <v>195</v>
      </c>
      <c r="G76" s="208">
        <v>1280</v>
      </c>
      <c r="H76" s="209">
        <v>350000</v>
      </c>
      <c r="I76" s="190">
        <f t="shared" si="2"/>
        <v>448000000</v>
      </c>
      <c r="J76" s="211"/>
    </row>
    <row r="77" spans="1:10" ht="15.9" customHeight="1" x14ac:dyDescent="0.4">
      <c r="A77" s="398"/>
      <c r="B77" s="401" t="s">
        <v>199</v>
      </c>
      <c r="C77" s="402"/>
      <c r="D77" s="402"/>
      <c r="E77" s="402"/>
      <c r="F77" s="402"/>
      <c r="G77" s="402"/>
      <c r="H77" s="403"/>
      <c r="I77" s="251">
        <f>SUM(I73:I76)</f>
        <v>714000000</v>
      </c>
      <c r="J77" s="216"/>
    </row>
    <row r="78" spans="1:10" ht="15.9" customHeight="1" x14ac:dyDescent="0.4">
      <c r="A78" s="398"/>
      <c r="B78" s="184" t="s">
        <v>81</v>
      </c>
      <c r="C78" s="252" t="s">
        <v>200</v>
      </c>
      <c r="D78" s="253"/>
      <c r="E78" s="211" t="s">
        <v>194</v>
      </c>
      <c r="F78" s="226" t="s">
        <v>195</v>
      </c>
      <c r="G78" s="208"/>
      <c r="H78" s="209"/>
      <c r="I78" s="190">
        <f t="shared" si="2"/>
        <v>0</v>
      </c>
      <c r="J78" s="211"/>
    </row>
    <row r="79" spans="1:10" ht="15.9" customHeight="1" x14ac:dyDescent="0.4">
      <c r="A79" s="398"/>
      <c r="B79" s="184"/>
      <c r="C79" s="229" t="s">
        <v>201</v>
      </c>
      <c r="D79" s="253" t="s">
        <v>202</v>
      </c>
      <c r="E79" s="32" t="s">
        <v>194</v>
      </c>
      <c r="F79" s="226" t="s">
        <v>195</v>
      </c>
      <c r="G79" s="208"/>
      <c r="H79" s="209"/>
      <c r="I79" s="190">
        <f t="shared" si="2"/>
        <v>0</v>
      </c>
      <c r="J79" s="211"/>
    </row>
    <row r="80" spans="1:10" ht="15.9" customHeight="1" x14ac:dyDescent="0.4">
      <c r="A80" s="398"/>
      <c r="B80" s="184"/>
      <c r="C80" s="229" t="s">
        <v>203</v>
      </c>
      <c r="D80" s="253" t="s">
        <v>202</v>
      </c>
      <c r="E80" s="32" t="s">
        <v>194</v>
      </c>
      <c r="F80" s="226" t="s">
        <v>195</v>
      </c>
      <c r="G80" s="208"/>
      <c r="H80" s="209"/>
      <c r="I80" s="190">
        <f t="shared" si="2"/>
        <v>0</v>
      </c>
      <c r="J80" s="211"/>
    </row>
    <row r="81" spans="1:10" ht="15.9" customHeight="1" x14ac:dyDescent="0.4">
      <c r="A81" s="398"/>
      <c r="B81" s="184"/>
      <c r="C81" s="229" t="s">
        <v>204</v>
      </c>
      <c r="D81" s="253" t="s">
        <v>205</v>
      </c>
      <c r="E81" s="32" t="s">
        <v>194</v>
      </c>
      <c r="F81" s="226" t="s">
        <v>195</v>
      </c>
      <c r="G81" s="208"/>
      <c r="H81" s="209"/>
      <c r="I81" s="190">
        <f t="shared" si="2"/>
        <v>0</v>
      </c>
      <c r="J81" s="211"/>
    </row>
    <row r="82" spans="1:10" ht="15.9" customHeight="1" x14ac:dyDescent="0.4">
      <c r="A82" s="398"/>
      <c r="B82" s="184"/>
      <c r="C82" s="229" t="s">
        <v>206</v>
      </c>
      <c r="D82" s="253" t="s">
        <v>205</v>
      </c>
      <c r="E82" s="32" t="s">
        <v>194</v>
      </c>
      <c r="F82" s="226" t="s">
        <v>195</v>
      </c>
      <c r="G82" s="188"/>
      <c r="H82" s="189"/>
      <c r="I82" s="190">
        <f t="shared" si="2"/>
        <v>0</v>
      </c>
      <c r="J82" s="32"/>
    </row>
    <row r="83" spans="1:10" ht="15.9" customHeight="1" x14ac:dyDescent="0.4">
      <c r="A83" s="398"/>
      <c r="B83" s="184"/>
      <c r="C83" s="229" t="s">
        <v>207</v>
      </c>
      <c r="D83" s="253" t="s">
        <v>208</v>
      </c>
      <c r="E83" s="32" t="s">
        <v>194</v>
      </c>
      <c r="F83" s="226" t="s">
        <v>195</v>
      </c>
      <c r="G83" s="188"/>
      <c r="H83" s="189"/>
      <c r="I83" s="190">
        <f t="shared" si="2"/>
        <v>0</v>
      </c>
      <c r="J83" s="32"/>
    </row>
    <row r="84" spans="1:10" ht="15.9" customHeight="1" x14ac:dyDescent="0.4">
      <c r="A84" s="398"/>
      <c r="B84" s="184"/>
      <c r="C84" s="248" t="s">
        <v>209</v>
      </c>
      <c r="D84" s="254"/>
      <c r="E84" s="32" t="s">
        <v>194</v>
      </c>
      <c r="F84" s="226" t="s">
        <v>195</v>
      </c>
      <c r="G84" s="188"/>
      <c r="H84" s="189"/>
      <c r="I84" s="190">
        <f t="shared" si="2"/>
        <v>0</v>
      </c>
      <c r="J84" s="32"/>
    </row>
    <row r="85" spans="1:10" ht="15.9" customHeight="1" x14ac:dyDescent="0.4">
      <c r="A85" s="398"/>
      <c r="B85" s="184"/>
      <c r="C85" s="229" t="s">
        <v>210</v>
      </c>
      <c r="D85" s="253"/>
      <c r="E85" s="32"/>
      <c r="F85" s="226" t="s">
        <v>56</v>
      </c>
      <c r="G85" s="208">
        <v>325</v>
      </c>
      <c r="H85" s="209">
        <v>50000</v>
      </c>
      <c r="I85" s="190">
        <f t="shared" si="2"/>
        <v>16250000</v>
      </c>
      <c r="J85" s="211"/>
    </row>
    <row r="86" spans="1:10" ht="15.9" customHeight="1" x14ac:dyDescent="0.4">
      <c r="A86" s="398"/>
      <c r="B86" s="184"/>
      <c r="C86" s="229" t="s">
        <v>211</v>
      </c>
      <c r="D86" s="253"/>
      <c r="E86" s="32"/>
      <c r="F86" s="226" t="s">
        <v>56</v>
      </c>
      <c r="G86" s="188"/>
      <c r="H86" s="189"/>
      <c r="I86" s="190">
        <f t="shared" si="2"/>
        <v>0</v>
      </c>
      <c r="J86" s="32"/>
    </row>
    <row r="87" spans="1:10" ht="15.9" customHeight="1" x14ac:dyDescent="0.4">
      <c r="A87" s="398"/>
      <c r="B87" s="184"/>
      <c r="C87" s="229" t="s">
        <v>212</v>
      </c>
      <c r="D87" s="253"/>
      <c r="E87" s="32"/>
      <c r="F87" s="226" t="s">
        <v>56</v>
      </c>
      <c r="G87" s="188"/>
      <c r="H87" s="189"/>
      <c r="I87" s="190">
        <f t="shared" si="2"/>
        <v>0</v>
      </c>
      <c r="J87" s="32"/>
    </row>
    <row r="88" spans="1:10" ht="15.9" customHeight="1" x14ac:dyDescent="0.4">
      <c r="A88" s="398"/>
      <c r="B88" s="184"/>
      <c r="C88" s="248" t="s">
        <v>213</v>
      </c>
      <c r="D88" s="254"/>
      <c r="E88" s="32"/>
      <c r="F88" s="226" t="s">
        <v>56</v>
      </c>
      <c r="G88" s="188">
        <v>5</v>
      </c>
      <c r="H88" s="189">
        <v>1000000</v>
      </c>
      <c r="I88" s="190">
        <f t="shared" si="2"/>
        <v>5000000</v>
      </c>
      <c r="J88" s="32"/>
    </row>
    <row r="89" spans="1:10" ht="15.9" customHeight="1" x14ac:dyDescent="0.4">
      <c r="A89" s="398"/>
      <c r="B89" s="401" t="s">
        <v>214</v>
      </c>
      <c r="C89" s="402"/>
      <c r="D89" s="402"/>
      <c r="E89" s="402"/>
      <c r="F89" s="402"/>
      <c r="G89" s="402"/>
      <c r="H89" s="403"/>
      <c r="I89" s="238">
        <f>SUM(I78:I88)</f>
        <v>21250000</v>
      </c>
      <c r="J89" s="255"/>
    </row>
    <row r="90" spans="1:10" ht="15.9" customHeight="1" x14ac:dyDescent="0.4">
      <c r="A90" s="413"/>
      <c r="B90" s="310" t="s">
        <v>215</v>
      </c>
      <c r="C90" s="310"/>
      <c r="D90" s="310"/>
      <c r="E90" s="310"/>
      <c r="F90" s="310"/>
      <c r="G90" s="310"/>
      <c r="H90" s="311"/>
      <c r="I90" s="219">
        <f>SUM(I59,I72,I77,I89)</f>
        <v>974850000</v>
      </c>
      <c r="J90" s="182"/>
    </row>
    <row r="91" spans="1:10" ht="15.9" customHeight="1" x14ac:dyDescent="0.4">
      <c r="A91" s="397" t="s">
        <v>65</v>
      </c>
      <c r="B91" s="26" t="s">
        <v>65</v>
      </c>
      <c r="C91" s="254" t="s">
        <v>216</v>
      </c>
      <c r="D91" s="254"/>
      <c r="E91" s="32"/>
      <c r="F91" s="226" t="s">
        <v>217</v>
      </c>
      <c r="G91" s="188">
        <v>57</v>
      </c>
      <c r="H91" s="189">
        <v>4000000</v>
      </c>
      <c r="I91" s="150">
        <f>SUM(G91*H91)</f>
        <v>228000000</v>
      </c>
      <c r="J91" s="211"/>
    </row>
    <row r="92" spans="1:10" ht="15.9" customHeight="1" x14ac:dyDescent="0.4">
      <c r="A92" s="398"/>
      <c r="C92" s="254" t="s">
        <v>218</v>
      </c>
      <c r="D92" s="254" t="s">
        <v>219</v>
      </c>
      <c r="E92" s="32"/>
      <c r="F92" s="226" t="s">
        <v>217</v>
      </c>
      <c r="G92" s="188">
        <v>2040</v>
      </c>
      <c r="H92" s="189">
        <v>160000</v>
      </c>
      <c r="I92" s="150">
        <f>SUM(G92*H92)</f>
        <v>326400000</v>
      </c>
      <c r="J92" s="211" t="s">
        <v>220</v>
      </c>
    </row>
    <row r="93" spans="1:10" ht="15.9" customHeight="1" x14ac:dyDescent="0.4">
      <c r="A93" s="398"/>
      <c r="C93" s="254" t="s">
        <v>221</v>
      </c>
      <c r="D93" s="254" t="s">
        <v>222</v>
      </c>
      <c r="E93" s="32"/>
      <c r="F93" s="226" t="s">
        <v>217</v>
      </c>
      <c r="G93" s="188">
        <v>465</v>
      </c>
      <c r="H93" s="189">
        <v>100000</v>
      </c>
      <c r="I93" s="150">
        <f>SUM(G93*H93)</f>
        <v>46500000</v>
      </c>
      <c r="J93" s="211"/>
    </row>
    <row r="94" spans="1:10" ht="15.9" customHeight="1" x14ac:dyDescent="0.4">
      <c r="A94" s="398"/>
      <c r="C94" s="254" t="s">
        <v>223</v>
      </c>
      <c r="D94" s="254" t="s">
        <v>224</v>
      </c>
      <c r="E94" s="32"/>
      <c r="F94" s="226" t="s">
        <v>217</v>
      </c>
      <c r="G94" s="188">
        <v>2040</v>
      </c>
      <c r="H94" s="189">
        <v>20000</v>
      </c>
      <c r="I94" s="150">
        <f>SUM(G94*H94)</f>
        <v>40800000</v>
      </c>
      <c r="J94" s="211"/>
    </row>
    <row r="95" spans="1:10" ht="15.9" customHeight="1" x14ac:dyDescent="0.4">
      <c r="A95" s="399"/>
      <c r="C95" s="254" t="s">
        <v>225</v>
      </c>
      <c r="D95" s="254" t="s">
        <v>226</v>
      </c>
      <c r="E95" s="32"/>
      <c r="F95" s="226" t="s">
        <v>195</v>
      </c>
      <c r="G95" s="188">
        <v>114</v>
      </c>
      <c r="H95" s="189">
        <v>400000</v>
      </c>
      <c r="I95" s="150">
        <f>SUM(G95*H95)</f>
        <v>45600000</v>
      </c>
      <c r="J95" s="32"/>
    </row>
    <row r="96" spans="1:10" ht="15.9" customHeight="1" x14ac:dyDescent="0.4">
      <c r="A96" s="399"/>
      <c r="B96" s="401" t="s">
        <v>227</v>
      </c>
      <c r="C96" s="402"/>
      <c r="D96" s="402"/>
      <c r="E96" s="402"/>
      <c r="F96" s="402"/>
      <c r="G96" s="402"/>
      <c r="H96" s="403"/>
      <c r="I96" s="256">
        <f>SUM(I91:I95)</f>
        <v>687300000</v>
      </c>
      <c r="J96" s="255"/>
    </row>
    <row r="97" spans="1:18" ht="15.9" customHeight="1" x14ac:dyDescent="0.4">
      <c r="A97" s="400"/>
      <c r="B97" s="310" t="s">
        <v>227</v>
      </c>
      <c r="C97" s="310"/>
      <c r="D97" s="310"/>
      <c r="E97" s="310"/>
      <c r="F97" s="310"/>
      <c r="G97" s="310"/>
      <c r="H97" s="311"/>
      <c r="I97" s="219">
        <f>I96</f>
        <v>687300000</v>
      </c>
      <c r="J97" s="182"/>
      <c r="L97" s="44"/>
    </row>
    <row r="98" spans="1:18" ht="15.9" customHeight="1" x14ac:dyDescent="0.4">
      <c r="A98" s="199"/>
      <c r="B98" s="257" t="s">
        <v>83</v>
      </c>
      <c r="C98" s="257"/>
      <c r="D98" s="257"/>
      <c r="E98" s="257"/>
      <c r="F98" s="257"/>
      <c r="G98" s="257"/>
      <c r="H98" s="257"/>
      <c r="I98" s="219">
        <v>0</v>
      </c>
      <c r="J98" s="258"/>
    </row>
    <row r="99" spans="1:18" ht="15.9" customHeight="1" x14ac:dyDescent="0.4">
      <c r="A99" s="259"/>
      <c r="B99" s="257" t="s">
        <v>69</v>
      </c>
      <c r="C99" s="260" t="s">
        <v>228</v>
      </c>
      <c r="D99" s="260"/>
      <c r="E99" s="41"/>
      <c r="F99" s="182"/>
      <c r="G99" s="261">
        <v>0</v>
      </c>
      <c r="H99" s="262"/>
      <c r="I99" s="219">
        <f>SUM(I32,I90,I97)*G99</f>
        <v>0</v>
      </c>
      <c r="J99" s="258"/>
    </row>
    <row r="100" spans="1:18" ht="15.9" customHeight="1" x14ac:dyDescent="0.4">
      <c r="A100" s="259"/>
      <c r="B100" s="257" t="s">
        <v>229</v>
      </c>
      <c r="C100" s="260" t="s">
        <v>230</v>
      </c>
      <c r="D100" s="260"/>
      <c r="E100" s="41"/>
      <c r="F100" s="182"/>
      <c r="G100" s="261">
        <v>0.04</v>
      </c>
      <c r="H100" s="262"/>
      <c r="I100" s="219">
        <f>SUM(I90,I97,I99)*G100</f>
        <v>66486000</v>
      </c>
      <c r="J100" s="258"/>
    </row>
    <row r="101" spans="1:18" ht="15.9" customHeight="1" x14ac:dyDescent="0.4">
      <c r="A101" s="259"/>
      <c r="B101" s="257" t="s">
        <v>231</v>
      </c>
      <c r="C101" s="260"/>
      <c r="D101" s="260"/>
      <c r="E101" s="41"/>
      <c r="F101" s="41"/>
      <c r="G101" s="45"/>
      <c r="H101" s="45"/>
      <c r="I101" s="263">
        <f>SUM(I32,I90,I97,I98,I99,I100)</f>
        <v>1735209000</v>
      </c>
      <c r="J101" s="182"/>
    </row>
    <row r="102" spans="1:18" x14ac:dyDescent="0.4">
      <c r="A102" s="26"/>
    </row>
    <row r="104" spans="1:18" ht="13.5" customHeight="1" x14ac:dyDescent="0.4">
      <c r="L104" s="404" t="s">
        <v>232</v>
      </c>
      <c r="M104" s="407" t="s">
        <v>233</v>
      </c>
      <c r="N104" s="408"/>
      <c r="O104" s="409"/>
      <c r="P104" s="264" t="s">
        <v>234</v>
      </c>
      <c r="Q104" s="265" t="s">
        <v>235</v>
      </c>
      <c r="R104" s="266" t="s">
        <v>236</v>
      </c>
    </row>
    <row r="105" spans="1:18" x14ac:dyDescent="0.4">
      <c r="L105" s="405"/>
      <c r="M105" s="410" t="s">
        <v>237</v>
      </c>
      <c r="N105" s="411"/>
      <c r="O105" s="412"/>
      <c r="P105" s="267">
        <f>IF(Q105&lt;500000000,Q105*0.0315,1)+IF(Q105&gt;500000000,Q105*0.0253+2450000)*IF(Q105&gt;5000000000,0,1)+IF(Q105&gt;5000000000,Q105*0.026,0)</f>
        <v>27280002.899999999</v>
      </c>
      <c r="Q105" s="268">
        <f>SUM(I32,I90)</f>
        <v>981423000</v>
      </c>
      <c r="R105" s="269" t="s">
        <v>238</v>
      </c>
    </row>
    <row r="106" spans="1:18" x14ac:dyDescent="0.4">
      <c r="L106" s="406"/>
      <c r="M106" s="410" t="s">
        <v>239</v>
      </c>
      <c r="N106" s="411"/>
      <c r="O106" s="412"/>
      <c r="P106" s="267">
        <f>(IF(Q106&lt;500000000,Q106*0.0315,1)+IF(Q106&gt;500000000,Q106*0.0253+2450000)*IF(Q106&gt;5000000000,0,1)+IF(Q106&gt;5000000000,Q106*0.026,0))*1.2</f>
        <v>61859653.199999996</v>
      </c>
      <c r="Q106" s="268">
        <f>SUMIF(J33:J89,"",I33:I89)</f>
        <v>1940700000</v>
      </c>
      <c r="R106" s="269" t="s">
        <v>240</v>
      </c>
    </row>
    <row r="107" spans="1:18" x14ac:dyDescent="0.4">
      <c r="L107" s="270" t="s">
        <v>241</v>
      </c>
      <c r="M107" s="26"/>
      <c r="N107" s="26"/>
      <c r="O107" s="49"/>
      <c r="P107" s="49"/>
      <c r="Q107" s="48"/>
      <c r="R107" s="69"/>
    </row>
    <row r="108" spans="1:18" x14ac:dyDescent="0.4">
      <c r="L108" s="1" t="s">
        <v>242</v>
      </c>
    </row>
    <row r="109" spans="1:18" x14ac:dyDescent="0.4">
      <c r="L109" s="1" t="s">
        <v>243</v>
      </c>
    </row>
  </sheetData>
  <mergeCells count="16">
    <mergeCell ref="A2:B2"/>
    <mergeCell ref="A3:A31"/>
    <mergeCell ref="B32:H32"/>
    <mergeCell ref="A33:A90"/>
    <mergeCell ref="B59:H59"/>
    <mergeCell ref="B72:H72"/>
    <mergeCell ref="B77:H77"/>
    <mergeCell ref="B89:H89"/>
    <mergeCell ref="B90:H90"/>
    <mergeCell ref="A91:A97"/>
    <mergeCell ref="B96:H96"/>
    <mergeCell ref="B97:H97"/>
    <mergeCell ref="L104:L106"/>
    <mergeCell ref="M104:O104"/>
    <mergeCell ref="M105:O105"/>
    <mergeCell ref="M106:O10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23B2-5BBA-4554-8C61-72C383ED3FA3}">
  <sheetPr>
    <tabColor rgb="FF00B050"/>
    <pageSetUpPr fitToPage="1"/>
  </sheetPr>
  <dimension ref="A1:R95"/>
  <sheetViews>
    <sheetView zoomScale="106" zoomScaleNormal="106" workbookViewId="0">
      <pane xSplit="2" ySplit="2" topLeftCell="C15" activePane="bottomRight" state="frozen"/>
      <selection activeCell="K19" sqref="K19"/>
      <selection pane="topRight" activeCell="K19" sqref="K19"/>
      <selection pane="bottomLeft" activeCell="K19" sqref="K19"/>
      <selection pane="bottomRight" activeCell="K19" sqref="K19"/>
    </sheetView>
  </sheetViews>
  <sheetFormatPr defaultColWidth="9" defaultRowHeight="14.4" x14ac:dyDescent="0.4"/>
  <cols>
    <col min="1" max="1" width="5" style="1" customWidth="1"/>
    <col min="2" max="2" width="21.8984375" style="26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4"/>
    <col min="8" max="8" width="11.8984375" style="44" customWidth="1"/>
    <col min="9" max="9" width="13.59765625" style="44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9" t="s">
        <v>90</v>
      </c>
      <c r="C1" s="180"/>
      <c r="D1" s="181"/>
      <c r="G1" s="271"/>
      <c r="J1" s="1" t="s">
        <v>92</v>
      </c>
    </row>
    <row r="2" spans="1:11" s="26" customFormat="1" ht="16.5" customHeight="1" x14ac:dyDescent="0.4">
      <c r="A2" s="309" t="s">
        <v>93</v>
      </c>
      <c r="B2" s="311"/>
      <c r="C2" s="182" t="s">
        <v>94</v>
      </c>
      <c r="D2" s="182"/>
      <c r="E2" s="182" t="s">
        <v>95</v>
      </c>
      <c r="F2" s="182" t="s">
        <v>48</v>
      </c>
      <c r="G2" s="183" t="s">
        <v>49</v>
      </c>
      <c r="H2" s="183" t="s">
        <v>96</v>
      </c>
      <c r="I2" s="183" t="s">
        <v>97</v>
      </c>
      <c r="J2" s="182" t="s">
        <v>98</v>
      </c>
    </row>
    <row r="3" spans="1:11" ht="15.9" customHeight="1" x14ac:dyDescent="0.4">
      <c r="A3" s="398" t="s">
        <v>244</v>
      </c>
      <c r="B3" s="184" t="s">
        <v>55</v>
      </c>
      <c r="C3" s="206" t="s">
        <v>245</v>
      </c>
      <c r="D3" s="206" t="s">
        <v>246</v>
      </c>
      <c r="E3" s="206" t="s">
        <v>247</v>
      </c>
      <c r="F3" s="207">
        <v>1</v>
      </c>
      <c r="G3" s="208">
        <v>500</v>
      </c>
      <c r="H3" s="209"/>
      <c r="I3" s="190">
        <f>IF(G3=0,H3,H3*G3)</f>
        <v>0</v>
      </c>
      <c r="J3" s="272" t="s">
        <v>248</v>
      </c>
      <c r="K3" s="273" t="s">
        <v>249</v>
      </c>
    </row>
    <row r="4" spans="1:11" ht="15.9" customHeight="1" x14ac:dyDescent="0.4">
      <c r="A4" s="398"/>
      <c r="B4" s="184"/>
      <c r="C4" s="205" t="s">
        <v>250</v>
      </c>
      <c r="D4" s="205"/>
      <c r="E4" s="206"/>
      <c r="F4" s="207"/>
      <c r="G4" s="208"/>
      <c r="H4" s="209"/>
      <c r="I4" s="190"/>
      <c r="J4" s="272"/>
    </row>
    <row r="5" spans="1:11" ht="15.9" customHeight="1" x14ac:dyDescent="0.4">
      <c r="A5" s="399"/>
      <c r="B5" s="199"/>
      <c r="C5" s="274"/>
      <c r="D5" s="274"/>
      <c r="E5" s="275"/>
      <c r="F5" s="275"/>
      <c r="G5" s="276"/>
      <c r="H5" s="276"/>
      <c r="I5" s="203">
        <f>SUM(I3:I4)</f>
        <v>0</v>
      </c>
      <c r="J5" s="275"/>
    </row>
    <row r="6" spans="1:11" ht="15.9" customHeight="1" x14ac:dyDescent="0.4">
      <c r="A6" s="399"/>
      <c r="B6" s="184" t="s">
        <v>57</v>
      </c>
      <c r="C6" s="205"/>
      <c r="D6" s="205"/>
      <c r="E6" s="206"/>
      <c r="F6" s="207"/>
      <c r="G6" s="208"/>
      <c r="H6" s="209"/>
      <c r="I6" s="210">
        <f>IF(G6=0,H6,H6*G6)</f>
        <v>0</v>
      </c>
      <c r="J6" s="277"/>
    </row>
    <row r="7" spans="1:11" ht="15.9" customHeight="1" x14ac:dyDescent="0.4">
      <c r="A7" s="399"/>
      <c r="B7" s="184" t="s">
        <v>151</v>
      </c>
      <c r="C7" s="205"/>
      <c r="D7" s="205"/>
      <c r="E7" s="206"/>
      <c r="F7" s="207"/>
      <c r="G7" s="208"/>
      <c r="H7" s="209"/>
      <c r="I7" s="150">
        <f>IF(G7=0,H7,H7*G7)</f>
        <v>0</v>
      </c>
      <c r="J7" s="277"/>
    </row>
    <row r="8" spans="1:11" ht="15.9" customHeight="1" x14ac:dyDescent="0.4">
      <c r="A8" s="399"/>
      <c r="B8" s="199"/>
      <c r="C8" s="212"/>
      <c r="D8" s="212"/>
      <c r="E8" s="213"/>
      <c r="F8" s="213"/>
      <c r="G8" s="214"/>
      <c r="H8" s="215"/>
      <c r="I8" s="203">
        <f>SUM(I6:I7)</f>
        <v>0</v>
      </c>
      <c r="J8" s="213"/>
    </row>
    <row r="9" spans="1:11" ht="15.9" customHeight="1" x14ac:dyDescent="0.4">
      <c r="A9" s="399"/>
      <c r="B9" s="217" t="s">
        <v>58</v>
      </c>
      <c r="C9" s="185"/>
      <c r="D9" s="185"/>
      <c r="E9" s="185"/>
      <c r="F9" s="187"/>
      <c r="G9" s="218"/>
      <c r="H9" s="189"/>
      <c r="I9" s="165">
        <f>IF(G9=0,H9,H9*G9)</f>
        <v>0</v>
      </c>
      <c r="J9" s="278"/>
    </row>
    <row r="10" spans="1:11" ht="15.9" customHeight="1" x14ac:dyDescent="0.4">
      <c r="A10" s="399"/>
      <c r="B10" s="184"/>
      <c r="C10" s="185"/>
      <c r="D10" s="185"/>
      <c r="E10" s="185"/>
      <c r="F10" s="187"/>
      <c r="G10" s="218"/>
      <c r="H10" s="189"/>
      <c r="I10" s="150">
        <f>IF(G10=0,H10,H10*G10)</f>
        <v>0</v>
      </c>
      <c r="J10" s="32"/>
    </row>
    <row r="11" spans="1:11" ht="15.9" customHeight="1" x14ac:dyDescent="0.4">
      <c r="A11" s="399"/>
      <c r="B11" s="199"/>
      <c r="C11" s="212"/>
      <c r="D11" s="212"/>
      <c r="E11" s="213"/>
      <c r="F11" s="213"/>
      <c r="G11" s="215"/>
      <c r="H11" s="215"/>
      <c r="I11" s="203">
        <f>SUM(I9:I10)</f>
        <v>0</v>
      </c>
      <c r="J11" s="213"/>
    </row>
    <row r="12" spans="1:11" ht="15.9" customHeight="1" x14ac:dyDescent="0.4">
      <c r="A12" s="199"/>
      <c r="B12" s="310" t="s">
        <v>153</v>
      </c>
      <c r="C12" s="310"/>
      <c r="D12" s="310"/>
      <c r="E12" s="310"/>
      <c r="F12" s="310"/>
      <c r="G12" s="310"/>
      <c r="H12" s="311"/>
      <c r="I12" s="219">
        <f>SUM(I11,I8,I5)</f>
        <v>0</v>
      </c>
      <c r="J12" s="41"/>
    </row>
    <row r="13" spans="1:11" ht="15.9" customHeight="1" x14ac:dyDescent="0.4">
      <c r="A13" s="397" t="s">
        <v>154</v>
      </c>
      <c r="B13" s="217" t="s">
        <v>80</v>
      </c>
      <c r="C13" s="220" t="s">
        <v>155</v>
      </c>
      <c r="D13" s="221" t="s">
        <v>156</v>
      </c>
      <c r="E13" s="110" t="s">
        <v>194</v>
      </c>
      <c r="F13" s="46" t="s">
        <v>217</v>
      </c>
      <c r="G13" s="222"/>
      <c r="H13" s="223"/>
      <c r="I13" s="224">
        <f t="shared" ref="I13:I46" si="0">G13*H13</f>
        <v>0</v>
      </c>
      <c r="J13" s="279"/>
    </row>
    <row r="14" spans="1:11" ht="15.9" customHeight="1" x14ac:dyDescent="0.4">
      <c r="A14" s="398"/>
      <c r="B14" s="184"/>
      <c r="C14" s="225"/>
      <c r="D14" s="221" t="s">
        <v>158</v>
      </c>
      <c r="E14" s="32" t="s">
        <v>194</v>
      </c>
      <c r="F14" s="226" t="s">
        <v>195</v>
      </c>
      <c r="G14" s="208"/>
      <c r="H14" s="209"/>
      <c r="I14" s="190">
        <f t="shared" si="0"/>
        <v>0</v>
      </c>
      <c r="J14" s="280"/>
    </row>
    <row r="15" spans="1:11" ht="15.9" customHeight="1" x14ac:dyDescent="0.4">
      <c r="A15" s="398"/>
      <c r="B15" s="184"/>
      <c r="C15" s="227"/>
      <c r="D15" s="221" t="s">
        <v>159</v>
      </c>
      <c r="E15" s="32" t="s">
        <v>194</v>
      </c>
      <c r="F15" s="226" t="s">
        <v>195</v>
      </c>
      <c r="G15" s="208"/>
      <c r="H15" s="209"/>
      <c r="I15" s="190">
        <f t="shared" si="0"/>
        <v>0</v>
      </c>
      <c r="J15" s="280"/>
    </row>
    <row r="16" spans="1:11" ht="15.9" customHeight="1" x14ac:dyDescent="0.4">
      <c r="A16" s="398"/>
      <c r="B16" s="184"/>
      <c r="C16" s="228" t="s">
        <v>160</v>
      </c>
      <c r="D16" s="221" t="s">
        <v>156</v>
      </c>
      <c r="E16" s="32" t="s">
        <v>194</v>
      </c>
      <c r="F16" s="226" t="s">
        <v>195</v>
      </c>
      <c r="G16" s="208"/>
      <c r="H16" s="209"/>
      <c r="I16" s="190">
        <f t="shared" si="0"/>
        <v>0</v>
      </c>
      <c r="J16" s="280"/>
    </row>
    <row r="17" spans="1:10" ht="15.9" customHeight="1" x14ac:dyDescent="0.4">
      <c r="A17" s="398"/>
      <c r="B17" s="184"/>
      <c r="C17" s="225"/>
      <c r="D17" s="221" t="s">
        <v>158</v>
      </c>
      <c r="E17" s="32" t="s">
        <v>194</v>
      </c>
      <c r="F17" s="226" t="s">
        <v>195</v>
      </c>
      <c r="G17" s="208"/>
      <c r="H17" s="209"/>
      <c r="I17" s="190">
        <f t="shared" si="0"/>
        <v>0</v>
      </c>
      <c r="J17" s="280"/>
    </row>
    <row r="18" spans="1:10" ht="15.9" customHeight="1" x14ac:dyDescent="0.4">
      <c r="A18" s="398"/>
      <c r="B18" s="184"/>
      <c r="C18" s="227"/>
      <c r="D18" s="221" t="s">
        <v>159</v>
      </c>
      <c r="E18" s="32" t="s">
        <v>194</v>
      </c>
      <c r="F18" s="226" t="s">
        <v>195</v>
      </c>
      <c r="G18" s="208"/>
      <c r="H18" s="209"/>
      <c r="I18" s="190">
        <f t="shared" si="0"/>
        <v>0</v>
      </c>
      <c r="J18" s="280"/>
    </row>
    <row r="19" spans="1:10" ht="15.9" customHeight="1" x14ac:dyDescent="0.4">
      <c r="A19" s="398"/>
      <c r="B19" s="184"/>
      <c r="C19" s="228" t="s">
        <v>161</v>
      </c>
      <c r="D19" s="221" t="s">
        <v>156</v>
      </c>
      <c r="E19" s="32" t="s">
        <v>194</v>
      </c>
      <c r="F19" s="226" t="s">
        <v>195</v>
      </c>
      <c r="G19" s="208"/>
      <c r="H19" s="209"/>
      <c r="I19" s="190">
        <f t="shared" si="0"/>
        <v>0</v>
      </c>
      <c r="J19" s="280"/>
    </row>
    <row r="20" spans="1:10" ht="15.9" customHeight="1" x14ac:dyDescent="0.4">
      <c r="A20" s="398"/>
      <c r="B20" s="184"/>
      <c r="C20" s="225"/>
      <c r="D20" s="221" t="s">
        <v>158</v>
      </c>
      <c r="E20" s="32" t="s">
        <v>194</v>
      </c>
      <c r="F20" s="226" t="s">
        <v>195</v>
      </c>
      <c r="G20" s="208"/>
      <c r="H20" s="209"/>
      <c r="I20" s="190">
        <f t="shared" si="0"/>
        <v>0</v>
      </c>
      <c r="J20" s="280"/>
    </row>
    <row r="21" spans="1:10" ht="15.9" customHeight="1" x14ac:dyDescent="0.4">
      <c r="A21" s="398"/>
      <c r="B21" s="184"/>
      <c r="C21" s="227"/>
      <c r="D21" s="221" t="s">
        <v>159</v>
      </c>
      <c r="E21" s="32" t="s">
        <v>194</v>
      </c>
      <c r="F21" s="226" t="s">
        <v>195</v>
      </c>
      <c r="G21" s="208"/>
      <c r="H21" s="209"/>
      <c r="I21" s="190">
        <f t="shared" si="0"/>
        <v>0</v>
      </c>
      <c r="J21" s="280"/>
    </row>
    <row r="22" spans="1:10" ht="15.9" customHeight="1" x14ac:dyDescent="0.4">
      <c r="A22" s="398"/>
      <c r="B22" s="184"/>
      <c r="C22" s="228" t="s">
        <v>162</v>
      </c>
      <c r="D22" s="221" t="s">
        <v>163</v>
      </c>
      <c r="E22" s="32" t="s">
        <v>194</v>
      </c>
      <c r="F22" s="226" t="s">
        <v>195</v>
      </c>
      <c r="G22" s="208"/>
      <c r="H22" s="209"/>
      <c r="I22" s="190">
        <f t="shared" si="0"/>
        <v>0</v>
      </c>
      <c r="J22" s="280"/>
    </row>
    <row r="23" spans="1:10" ht="15.9" customHeight="1" x14ac:dyDescent="0.4">
      <c r="A23" s="398"/>
      <c r="B23" s="184"/>
      <c r="C23" s="225"/>
      <c r="D23" s="221" t="s">
        <v>164</v>
      </c>
      <c r="E23" s="32" t="s">
        <v>194</v>
      </c>
      <c r="F23" s="226" t="s">
        <v>195</v>
      </c>
      <c r="G23" s="208"/>
      <c r="H23" s="209"/>
      <c r="I23" s="190">
        <f t="shared" si="0"/>
        <v>0</v>
      </c>
      <c r="J23" s="280"/>
    </row>
    <row r="24" spans="1:10" ht="15.9" customHeight="1" x14ac:dyDescent="0.4">
      <c r="A24" s="398"/>
      <c r="B24" s="184"/>
      <c r="C24" s="227"/>
      <c r="D24" s="221" t="s">
        <v>165</v>
      </c>
      <c r="E24" s="32" t="s">
        <v>194</v>
      </c>
      <c r="F24" s="226" t="s">
        <v>195</v>
      </c>
      <c r="G24" s="208"/>
      <c r="H24" s="209"/>
      <c r="I24" s="190">
        <f t="shared" si="0"/>
        <v>0</v>
      </c>
      <c r="J24" s="280"/>
    </row>
    <row r="25" spans="1:10" ht="15.9" customHeight="1" x14ac:dyDescent="0.4">
      <c r="A25" s="398"/>
      <c r="B25" s="184"/>
      <c r="C25" s="228" t="s">
        <v>166</v>
      </c>
      <c r="D25" s="221" t="s">
        <v>163</v>
      </c>
      <c r="E25" s="32" t="s">
        <v>194</v>
      </c>
      <c r="F25" s="226" t="s">
        <v>195</v>
      </c>
      <c r="G25" s="208"/>
      <c r="H25" s="209"/>
      <c r="I25" s="190">
        <f t="shared" si="0"/>
        <v>0</v>
      </c>
      <c r="J25" s="280"/>
    </row>
    <row r="26" spans="1:10" ht="15.9" customHeight="1" x14ac:dyDescent="0.4">
      <c r="A26" s="398"/>
      <c r="B26" s="184"/>
      <c r="C26" s="225"/>
      <c r="D26" s="221" t="s">
        <v>164</v>
      </c>
      <c r="E26" s="32" t="s">
        <v>194</v>
      </c>
      <c r="F26" s="226" t="s">
        <v>195</v>
      </c>
      <c r="G26" s="208"/>
      <c r="H26" s="209"/>
      <c r="I26" s="190">
        <f t="shared" si="0"/>
        <v>0</v>
      </c>
      <c r="J26" s="280"/>
    </row>
    <row r="27" spans="1:10" ht="15.9" customHeight="1" x14ac:dyDescent="0.4">
      <c r="A27" s="398"/>
      <c r="B27" s="184"/>
      <c r="C27" s="227"/>
      <c r="D27" s="221" t="s">
        <v>165</v>
      </c>
      <c r="E27" s="32" t="s">
        <v>194</v>
      </c>
      <c r="F27" s="226" t="s">
        <v>195</v>
      </c>
      <c r="G27" s="208"/>
      <c r="H27" s="209"/>
      <c r="I27" s="190">
        <f t="shared" si="0"/>
        <v>0</v>
      </c>
      <c r="J27" s="280"/>
    </row>
    <row r="28" spans="1:10" ht="15.9" customHeight="1" x14ac:dyDescent="0.4">
      <c r="A28" s="398"/>
      <c r="B28" s="184"/>
      <c r="C28" s="228" t="s">
        <v>167</v>
      </c>
      <c r="D28" s="221" t="s">
        <v>168</v>
      </c>
      <c r="E28" s="32" t="s">
        <v>194</v>
      </c>
      <c r="F28" s="226" t="s">
        <v>195</v>
      </c>
      <c r="G28" s="208"/>
      <c r="H28" s="209"/>
      <c r="I28" s="190">
        <f t="shared" si="0"/>
        <v>0</v>
      </c>
      <c r="J28" s="280"/>
    </row>
    <row r="29" spans="1:10" ht="15.9" customHeight="1" x14ac:dyDescent="0.4">
      <c r="A29" s="398"/>
      <c r="B29" s="184"/>
      <c r="C29" s="225"/>
      <c r="D29" s="221" t="s">
        <v>169</v>
      </c>
      <c r="E29" s="32" t="s">
        <v>194</v>
      </c>
      <c r="F29" s="226" t="s">
        <v>195</v>
      </c>
      <c r="G29" s="208"/>
      <c r="H29" s="209"/>
      <c r="I29" s="190">
        <f t="shared" si="0"/>
        <v>0</v>
      </c>
      <c r="J29" s="280"/>
    </row>
    <row r="30" spans="1:10" ht="15.9" customHeight="1" x14ac:dyDescent="0.4">
      <c r="A30" s="398"/>
      <c r="B30" s="184"/>
      <c r="C30" s="227"/>
      <c r="D30" s="221" t="s">
        <v>170</v>
      </c>
      <c r="E30" s="32" t="s">
        <v>194</v>
      </c>
      <c r="F30" s="226" t="s">
        <v>195</v>
      </c>
      <c r="G30" s="208"/>
      <c r="H30" s="209"/>
      <c r="I30" s="190">
        <f t="shared" si="0"/>
        <v>0</v>
      </c>
      <c r="J30" s="280"/>
    </row>
    <row r="31" spans="1:10" ht="15.9" customHeight="1" x14ac:dyDescent="0.4">
      <c r="A31" s="398"/>
      <c r="B31" s="184"/>
      <c r="C31" s="229" t="s">
        <v>171</v>
      </c>
      <c r="D31" s="230"/>
      <c r="E31" s="32" t="s">
        <v>194</v>
      </c>
      <c r="F31" s="226" t="s">
        <v>195</v>
      </c>
      <c r="G31" s="208"/>
      <c r="H31" s="209"/>
      <c r="I31" s="190">
        <f t="shared" si="0"/>
        <v>0</v>
      </c>
      <c r="J31" s="280"/>
    </row>
    <row r="32" spans="1:10" ht="15.9" customHeight="1" x14ac:dyDescent="0.4">
      <c r="A32" s="398"/>
      <c r="B32" s="184"/>
      <c r="C32" s="231" t="s">
        <v>172</v>
      </c>
      <c r="D32" s="232" t="s">
        <v>173</v>
      </c>
      <c r="E32" s="32" t="s">
        <v>194</v>
      </c>
      <c r="F32" s="226" t="s">
        <v>195</v>
      </c>
      <c r="G32" s="208"/>
      <c r="H32" s="209"/>
      <c r="I32" s="190">
        <f t="shared" si="0"/>
        <v>0</v>
      </c>
      <c r="J32" s="280"/>
    </row>
    <row r="33" spans="1:10" ht="15.9" customHeight="1" x14ac:dyDescent="0.4">
      <c r="A33" s="398"/>
      <c r="B33" s="184"/>
      <c r="C33" s="233" t="s">
        <v>251</v>
      </c>
      <c r="D33" s="234" t="s">
        <v>175</v>
      </c>
      <c r="E33" s="32" t="s">
        <v>194</v>
      </c>
      <c r="F33" s="226" t="s">
        <v>195</v>
      </c>
      <c r="G33" s="208"/>
      <c r="H33" s="209"/>
      <c r="I33" s="190">
        <f t="shared" si="0"/>
        <v>0</v>
      </c>
      <c r="J33" s="280"/>
    </row>
    <row r="34" spans="1:10" ht="15.9" customHeight="1" x14ac:dyDescent="0.4">
      <c r="A34" s="398"/>
      <c r="B34" s="184"/>
      <c r="C34" s="235" t="s">
        <v>252</v>
      </c>
      <c r="D34" s="236"/>
      <c r="E34" s="32" t="s">
        <v>194</v>
      </c>
      <c r="F34" s="226" t="s">
        <v>195</v>
      </c>
      <c r="G34" s="208"/>
      <c r="H34" s="209"/>
      <c r="I34" s="190">
        <f t="shared" si="0"/>
        <v>0</v>
      </c>
      <c r="J34" s="280"/>
    </row>
    <row r="35" spans="1:10" ht="15.9" customHeight="1" x14ac:dyDescent="0.4">
      <c r="A35" s="398"/>
      <c r="B35" s="184"/>
      <c r="C35" s="235" t="s">
        <v>253</v>
      </c>
      <c r="D35" s="236" t="s">
        <v>177</v>
      </c>
      <c r="E35" s="32" t="s">
        <v>194</v>
      </c>
      <c r="F35" s="226" t="s">
        <v>195</v>
      </c>
      <c r="G35" s="208"/>
      <c r="H35" s="209"/>
      <c r="I35" s="190">
        <f t="shared" si="0"/>
        <v>0</v>
      </c>
      <c r="J35" s="280"/>
    </row>
    <row r="36" spans="1:10" ht="15.9" customHeight="1" x14ac:dyDescent="0.4">
      <c r="A36" s="398"/>
      <c r="B36" s="184"/>
      <c r="C36" s="235" t="s">
        <v>254</v>
      </c>
      <c r="D36" s="236" t="s">
        <v>177</v>
      </c>
      <c r="E36" s="32" t="s">
        <v>194</v>
      </c>
      <c r="F36" s="226" t="s">
        <v>195</v>
      </c>
      <c r="G36" s="208"/>
      <c r="H36" s="209"/>
      <c r="I36" s="190">
        <f t="shared" si="0"/>
        <v>0</v>
      </c>
      <c r="J36" s="280"/>
    </row>
    <row r="37" spans="1:10" ht="15.9" customHeight="1" x14ac:dyDescent="0.4">
      <c r="A37" s="398"/>
      <c r="B37" s="184"/>
      <c r="C37" s="231" t="s">
        <v>255</v>
      </c>
      <c r="D37" s="232" t="s">
        <v>256</v>
      </c>
      <c r="E37" s="32" t="s">
        <v>194</v>
      </c>
      <c r="F37" s="226" t="s">
        <v>195</v>
      </c>
      <c r="G37" s="208"/>
      <c r="H37" s="209"/>
      <c r="I37" s="190">
        <f t="shared" si="0"/>
        <v>0</v>
      </c>
      <c r="J37" s="280"/>
    </row>
    <row r="38" spans="1:10" ht="15.9" customHeight="1" x14ac:dyDescent="0.4">
      <c r="A38" s="398"/>
      <c r="B38" s="184"/>
      <c r="C38" s="235" t="s">
        <v>257</v>
      </c>
      <c r="D38" s="236"/>
      <c r="E38" s="32" t="s">
        <v>194</v>
      </c>
      <c r="F38" s="226" t="s">
        <v>195</v>
      </c>
      <c r="G38" s="208"/>
      <c r="H38" s="209"/>
      <c r="I38" s="190">
        <f t="shared" si="0"/>
        <v>0</v>
      </c>
      <c r="J38" s="280"/>
    </row>
    <row r="39" spans="1:10" ht="15.9" customHeight="1" x14ac:dyDescent="0.4">
      <c r="A39" s="398"/>
      <c r="B39" s="184"/>
      <c r="C39" s="235" t="s">
        <v>258</v>
      </c>
      <c r="D39" s="236" t="s">
        <v>259</v>
      </c>
      <c r="E39" s="32" t="s">
        <v>194</v>
      </c>
      <c r="F39" s="226" t="s">
        <v>195</v>
      </c>
      <c r="G39" s="208"/>
      <c r="H39" s="209"/>
      <c r="I39" s="190">
        <f t="shared" si="0"/>
        <v>0</v>
      </c>
      <c r="J39" s="280"/>
    </row>
    <row r="40" spans="1:10" ht="15.9" customHeight="1" x14ac:dyDescent="0.4">
      <c r="A40" s="398"/>
      <c r="B40" s="184"/>
      <c r="C40" s="228" t="s">
        <v>260</v>
      </c>
      <c r="D40" s="237" t="s">
        <v>181</v>
      </c>
      <c r="E40" s="32" t="s">
        <v>194</v>
      </c>
      <c r="F40" s="226" t="s">
        <v>195</v>
      </c>
      <c r="G40" s="208"/>
      <c r="H40" s="209"/>
      <c r="I40" s="190">
        <f t="shared" si="0"/>
        <v>0</v>
      </c>
      <c r="J40" s="280"/>
    </row>
    <row r="41" spans="1:10" ht="15.9" customHeight="1" x14ac:dyDescent="0.4">
      <c r="A41" s="398"/>
      <c r="B41" s="184"/>
      <c r="C41" s="228" t="s">
        <v>261</v>
      </c>
      <c r="D41" s="237"/>
      <c r="E41" s="32" t="s">
        <v>194</v>
      </c>
      <c r="F41" s="226" t="s">
        <v>195</v>
      </c>
      <c r="G41" s="208"/>
      <c r="H41" s="209"/>
      <c r="I41" s="190">
        <f t="shared" si="0"/>
        <v>0</v>
      </c>
      <c r="J41" s="280"/>
    </row>
    <row r="42" spans="1:10" ht="15.9" customHeight="1" x14ac:dyDescent="0.4">
      <c r="A42" s="398"/>
      <c r="B42" s="184"/>
      <c r="C42" s="235" t="s">
        <v>262</v>
      </c>
      <c r="D42" s="236" t="s">
        <v>263</v>
      </c>
      <c r="E42" s="32" t="s">
        <v>194</v>
      </c>
      <c r="F42" s="226" t="s">
        <v>195</v>
      </c>
      <c r="G42" s="208"/>
      <c r="H42" s="209"/>
      <c r="I42" s="190">
        <f t="shared" si="0"/>
        <v>0</v>
      </c>
      <c r="J42" s="280"/>
    </row>
    <row r="43" spans="1:10" ht="15.9" customHeight="1" x14ac:dyDescent="0.4">
      <c r="A43" s="398"/>
      <c r="B43" s="184"/>
      <c r="C43" s="228" t="s">
        <v>264</v>
      </c>
      <c r="D43" s="237" t="s">
        <v>265</v>
      </c>
      <c r="E43" s="32" t="s">
        <v>194</v>
      </c>
      <c r="F43" s="226" t="s">
        <v>195</v>
      </c>
      <c r="G43" s="208"/>
      <c r="H43" s="209"/>
      <c r="I43" s="190">
        <f t="shared" si="0"/>
        <v>0</v>
      </c>
      <c r="J43" s="280"/>
    </row>
    <row r="44" spans="1:10" ht="15.9" customHeight="1" x14ac:dyDescent="0.4">
      <c r="A44" s="398"/>
      <c r="B44" s="184"/>
      <c r="C44" s="235" t="s">
        <v>266</v>
      </c>
      <c r="D44" s="236" t="s">
        <v>267</v>
      </c>
      <c r="E44" s="32" t="s">
        <v>194</v>
      </c>
      <c r="F44" s="226" t="s">
        <v>195</v>
      </c>
      <c r="G44" s="208"/>
      <c r="H44" s="209"/>
      <c r="I44" s="190">
        <f t="shared" si="0"/>
        <v>0</v>
      </c>
      <c r="J44" s="280"/>
    </row>
    <row r="45" spans="1:10" ht="15.9" customHeight="1" x14ac:dyDescent="0.4">
      <c r="A45" s="398"/>
      <c r="B45" s="184"/>
      <c r="C45" s="235" t="s">
        <v>268</v>
      </c>
      <c r="D45" s="236"/>
      <c r="E45" s="32" t="s">
        <v>194</v>
      </c>
      <c r="F45" s="226" t="s">
        <v>195</v>
      </c>
      <c r="G45" s="208"/>
      <c r="H45" s="209"/>
      <c r="I45" s="190">
        <f t="shared" si="0"/>
        <v>0</v>
      </c>
      <c r="J45" s="280"/>
    </row>
    <row r="46" spans="1:10" ht="15.9" customHeight="1" x14ac:dyDescent="0.4">
      <c r="A46" s="398"/>
      <c r="B46" s="184"/>
      <c r="C46" s="228" t="s">
        <v>269</v>
      </c>
      <c r="D46" s="237"/>
      <c r="E46" s="32" t="s">
        <v>194</v>
      </c>
      <c r="F46" s="226" t="s">
        <v>195</v>
      </c>
      <c r="G46" s="208"/>
      <c r="H46" s="209"/>
      <c r="I46" s="190">
        <f t="shared" si="0"/>
        <v>0</v>
      </c>
      <c r="J46" s="280"/>
    </row>
    <row r="47" spans="1:10" ht="15.9" customHeight="1" x14ac:dyDescent="0.4">
      <c r="A47" s="398"/>
      <c r="B47" s="184"/>
      <c r="C47" s="229" t="s">
        <v>270</v>
      </c>
      <c r="D47" s="237"/>
      <c r="E47" s="32" t="s">
        <v>194</v>
      </c>
      <c r="F47" s="226" t="s">
        <v>195</v>
      </c>
      <c r="G47" s="208"/>
      <c r="H47" s="209"/>
      <c r="I47" s="190">
        <f>G47*H47</f>
        <v>0</v>
      </c>
      <c r="J47" s="280"/>
    </row>
    <row r="48" spans="1:10" ht="15.9" customHeight="1" x14ac:dyDescent="0.4">
      <c r="A48" s="398"/>
      <c r="B48" s="401" t="s">
        <v>183</v>
      </c>
      <c r="C48" s="402"/>
      <c r="D48" s="402"/>
      <c r="E48" s="402"/>
      <c r="F48" s="402"/>
      <c r="G48" s="402"/>
      <c r="H48" s="403"/>
      <c r="I48" s="238">
        <f>SUM(I13:I47)</f>
        <v>0</v>
      </c>
      <c r="J48" s="280"/>
    </row>
    <row r="49" spans="1:10" ht="15.9" customHeight="1" x14ac:dyDescent="0.4">
      <c r="A49" s="398"/>
      <c r="B49" s="217" t="s">
        <v>62</v>
      </c>
      <c r="C49" s="239" t="s">
        <v>184</v>
      </c>
      <c r="D49" s="221" t="s">
        <v>163</v>
      </c>
      <c r="E49" s="29" t="s">
        <v>194</v>
      </c>
      <c r="F49" s="46" t="s">
        <v>195</v>
      </c>
      <c r="G49" s="222"/>
      <c r="H49" s="223"/>
      <c r="I49" s="224">
        <f t="shared" ref="I49:I77" si="1">G49*H49</f>
        <v>0</v>
      </c>
      <c r="J49" s="279"/>
    </row>
    <row r="50" spans="1:10" ht="15.9" customHeight="1" x14ac:dyDescent="0.4">
      <c r="A50" s="398"/>
      <c r="B50" s="184"/>
      <c r="C50" s="240"/>
      <c r="D50" s="221" t="s">
        <v>164</v>
      </c>
      <c r="E50" s="32" t="s">
        <v>194</v>
      </c>
      <c r="F50" s="226" t="s">
        <v>195</v>
      </c>
      <c r="G50" s="208"/>
      <c r="H50" s="209"/>
      <c r="I50" s="190">
        <f t="shared" si="1"/>
        <v>0</v>
      </c>
      <c r="J50" s="280"/>
    </row>
    <row r="51" spans="1:10" ht="15.9" customHeight="1" x14ac:dyDescent="0.4">
      <c r="A51" s="398"/>
      <c r="B51" s="184"/>
      <c r="C51" s="240"/>
      <c r="D51" s="221" t="s">
        <v>165</v>
      </c>
      <c r="E51" s="32" t="s">
        <v>194</v>
      </c>
      <c r="F51" s="226" t="s">
        <v>195</v>
      </c>
      <c r="G51" s="208"/>
      <c r="H51" s="209"/>
      <c r="I51" s="190">
        <f t="shared" si="1"/>
        <v>0</v>
      </c>
      <c r="J51" s="280"/>
    </row>
    <row r="52" spans="1:10" ht="15.9" customHeight="1" x14ac:dyDescent="0.4">
      <c r="A52" s="398"/>
      <c r="B52" s="184"/>
      <c r="C52" s="240"/>
      <c r="D52" s="241" t="s">
        <v>188</v>
      </c>
      <c r="E52" s="32" t="s">
        <v>194</v>
      </c>
      <c r="F52" s="226" t="s">
        <v>195</v>
      </c>
      <c r="G52" s="208"/>
      <c r="H52" s="209"/>
      <c r="I52" s="190">
        <f t="shared" si="1"/>
        <v>0</v>
      </c>
      <c r="J52" s="280"/>
    </row>
    <row r="53" spans="1:10" ht="15.9" customHeight="1" x14ac:dyDescent="0.4">
      <c r="A53" s="398"/>
      <c r="B53" s="184"/>
      <c r="C53" s="242"/>
      <c r="D53" s="221" t="s">
        <v>189</v>
      </c>
      <c r="E53" s="32" t="s">
        <v>194</v>
      </c>
      <c r="F53" s="226" t="s">
        <v>195</v>
      </c>
      <c r="G53" s="208"/>
      <c r="H53" s="209"/>
      <c r="I53" s="190">
        <f t="shared" si="1"/>
        <v>0</v>
      </c>
      <c r="J53" s="280"/>
    </row>
    <row r="54" spans="1:10" ht="15.9" customHeight="1" x14ac:dyDescent="0.4">
      <c r="A54" s="398"/>
      <c r="B54" s="184"/>
      <c r="C54" s="243" t="s">
        <v>190</v>
      </c>
      <c r="D54" s="221" t="s">
        <v>163</v>
      </c>
      <c r="E54" s="32" t="s">
        <v>194</v>
      </c>
      <c r="F54" s="226" t="s">
        <v>195</v>
      </c>
      <c r="G54" s="208"/>
      <c r="H54" s="209"/>
      <c r="I54" s="190">
        <f t="shared" si="1"/>
        <v>0</v>
      </c>
      <c r="J54" s="280"/>
    </row>
    <row r="55" spans="1:10" ht="15.9" customHeight="1" x14ac:dyDescent="0.4">
      <c r="A55" s="398"/>
      <c r="B55" s="184"/>
      <c r="C55" s="242"/>
      <c r="D55" s="221" t="s">
        <v>164</v>
      </c>
      <c r="E55" s="32" t="s">
        <v>194</v>
      </c>
      <c r="F55" s="226" t="s">
        <v>195</v>
      </c>
      <c r="G55" s="208"/>
      <c r="H55" s="209"/>
      <c r="I55" s="190">
        <f t="shared" si="1"/>
        <v>0</v>
      </c>
      <c r="J55" s="280"/>
    </row>
    <row r="56" spans="1:10" ht="15.9" customHeight="1" x14ac:dyDescent="0.4">
      <c r="A56" s="398"/>
      <c r="B56" s="184"/>
      <c r="C56" s="243" t="s">
        <v>191</v>
      </c>
      <c r="D56" s="221" t="s">
        <v>163</v>
      </c>
      <c r="E56" s="32" t="s">
        <v>194</v>
      </c>
      <c r="F56" s="226" t="s">
        <v>195</v>
      </c>
      <c r="G56" s="208"/>
      <c r="H56" s="209"/>
      <c r="I56" s="190">
        <f t="shared" si="1"/>
        <v>0</v>
      </c>
      <c r="J56" s="280"/>
    </row>
    <row r="57" spans="1:10" ht="15.9" customHeight="1" x14ac:dyDescent="0.4">
      <c r="A57" s="398"/>
      <c r="B57" s="184"/>
      <c r="C57" s="240"/>
      <c r="D57" s="221" t="s">
        <v>164</v>
      </c>
      <c r="E57" s="32" t="s">
        <v>194</v>
      </c>
      <c r="F57" s="226" t="s">
        <v>195</v>
      </c>
      <c r="G57" s="208"/>
      <c r="H57" s="209"/>
      <c r="I57" s="190">
        <f t="shared" si="1"/>
        <v>0</v>
      </c>
      <c r="J57" s="280"/>
    </row>
    <row r="58" spans="1:10" ht="15.9" customHeight="1" x14ac:dyDescent="0.4">
      <c r="A58" s="398"/>
      <c r="B58" s="184"/>
      <c r="C58" s="240"/>
      <c r="D58" s="221" t="s">
        <v>165</v>
      </c>
      <c r="E58" s="32" t="s">
        <v>194</v>
      </c>
      <c r="F58" s="226" t="s">
        <v>195</v>
      </c>
      <c r="G58" s="208"/>
      <c r="H58" s="209"/>
      <c r="I58" s="190">
        <f t="shared" si="1"/>
        <v>0</v>
      </c>
      <c r="J58" s="280"/>
    </row>
    <row r="59" spans="1:10" ht="15.9" customHeight="1" x14ac:dyDescent="0.4">
      <c r="A59" s="398"/>
      <c r="B59" s="184"/>
      <c r="C59" s="242"/>
      <c r="D59" s="221" t="s">
        <v>188</v>
      </c>
      <c r="E59" s="32" t="s">
        <v>194</v>
      </c>
      <c r="F59" s="226" t="s">
        <v>195</v>
      </c>
      <c r="G59" s="208"/>
      <c r="H59" s="209"/>
      <c r="I59" s="190">
        <f t="shared" si="1"/>
        <v>0</v>
      </c>
      <c r="J59" s="280"/>
    </row>
    <row r="60" spans="1:10" ht="15.9" customHeight="1" x14ac:dyDescent="0.4">
      <c r="A60" s="398"/>
      <c r="B60" s="184"/>
      <c r="C60" s="242" t="s">
        <v>271</v>
      </c>
      <c r="D60" s="237" t="s">
        <v>272</v>
      </c>
      <c r="E60" s="32" t="s">
        <v>194</v>
      </c>
      <c r="F60" s="226" t="s">
        <v>195</v>
      </c>
      <c r="G60" s="208"/>
      <c r="H60" s="209"/>
      <c r="I60" s="190">
        <f t="shared" si="1"/>
        <v>0</v>
      </c>
      <c r="J60" s="280"/>
    </row>
    <row r="61" spans="1:10" ht="15.9" customHeight="1" x14ac:dyDescent="0.4">
      <c r="A61" s="398"/>
      <c r="B61" s="401" t="s">
        <v>192</v>
      </c>
      <c r="C61" s="402"/>
      <c r="D61" s="402"/>
      <c r="E61" s="402"/>
      <c r="F61" s="402"/>
      <c r="G61" s="402"/>
      <c r="H61" s="403"/>
      <c r="I61" s="238">
        <f>SUM(I49:I60)</f>
        <v>0</v>
      </c>
      <c r="J61" s="280"/>
    </row>
    <row r="62" spans="1:10" ht="15.9" customHeight="1" x14ac:dyDescent="0.4">
      <c r="A62" s="398"/>
      <c r="B62" s="217" t="s">
        <v>63</v>
      </c>
      <c r="C62" s="245" t="s">
        <v>193</v>
      </c>
      <c r="D62" s="246"/>
      <c r="E62" s="29" t="s">
        <v>194</v>
      </c>
      <c r="F62" s="46" t="s">
        <v>195</v>
      </c>
      <c r="G62" s="222"/>
      <c r="H62" s="223"/>
      <c r="I62" s="224">
        <f t="shared" si="1"/>
        <v>0</v>
      </c>
      <c r="J62" s="281"/>
    </row>
    <row r="63" spans="1:10" ht="15.9" customHeight="1" x14ac:dyDescent="0.4">
      <c r="A63" s="398"/>
      <c r="B63" s="184"/>
      <c r="C63" s="248" t="s">
        <v>273</v>
      </c>
      <c r="D63" s="249"/>
      <c r="E63" s="32" t="s">
        <v>194</v>
      </c>
      <c r="F63" s="226" t="s">
        <v>195</v>
      </c>
      <c r="G63" s="208"/>
      <c r="H63" s="209"/>
      <c r="I63" s="190">
        <f t="shared" si="1"/>
        <v>0</v>
      </c>
      <c r="J63" s="280"/>
    </row>
    <row r="64" spans="1:10" ht="15.9" customHeight="1" x14ac:dyDescent="0.4">
      <c r="A64" s="398"/>
      <c r="B64" s="184"/>
      <c r="C64" s="250" t="s">
        <v>274</v>
      </c>
      <c r="D64" s="249"/>
      <c r="E64" s="32" t="s">
        <v>194</v>
      </c>
      <c r="F64" s="226" t="s">
        <v>195</v>
      </c>
      <c r="G64" s="208"/>
      <c r="H64" s="209"/>
      <c r="I64" s="190">
        <f t="shared" si="1"/>
        <v>0</v>
      </c>
      <c r="J64" s="280"/>
    </row>
    <row r="65" spans="1:10" ht="15.9" customHeight="1" x14ac:dyDescent="0.4">
      <c r="A65" s="398"/>
      <c r="B65" s="184"/>
      <c r="C65" s="250" t="s">
        <v>275</v>
      </c>
      <c r="D65" s="249"/>
      <c r="E65" s="32" t="s">
        <v>194</v>
      </c>
      <c r="F65" s="226" t="s">
        <v>195</v>
      </c>
      <c r="G65" s="208"/>
      <c r="H65" s="209"/>
      <c r="I65" s="190">
        <f t="shared" si="1"/>
        <v>0</v>
      </c>
      <c r="J65" s="280"/>
    </row>
    <row r="66" spans="1:10" ht="15.9" customHeight="1" x14ac:dyDescent="0.4">
      <c r="A66" s="398"/>
      <c r="B66" s="401" t="s">
        <v>199</v>
      </c>
      <c r="C66" s="402"/>
      <c r="D66" s="402"/>
      <c r="E66" s="402"/>
      <c r="F66" s="402"/>
      <c r="G66" s="402"/>
      <c r="H66" s="403"/>
      <c r="I66" s="251">
        <f>SUM(I62:I65)</f>
        <v>0</v>
      </c>
      <c r="J66" s="282"/>
    </row>
    <row r="67" spans="1:10" ht="15.9" customHeight="1" x14ac:dyDescent="0.4">
      <c r="A67" s="398"/>
      <c r="B67" s="184" t="s">
        <v>81</v>
      </c>
      <c r="C67" s="252" t="s">
        <v>200</v>
      </c>
      <c r="D67" s="253"/>
      <c r="E67" s="211" t="s">
        <v>194</v>
      </c>
      <c r="F67" s="226" t="s">
        <v>195</v>
      </c>
      <c r="G67" s="208"/>
      <c r="H67" s="209"/>
      <c r="I67" s="190">
        <f t="shared" si="1"/>
        <v>0</v>
      </c>
      <c r="J67" s="280"/>
    </row>
    <row r="68" spans="1:10" ht="15.9" customHeight="1" x14ac:dyDescent="0.4">
      <c r="A68" s="398"/>
      <c r="B68" s="184"/>
      <c r="C68" s="229" t="s">
        <v>201</v>
      </c>
      <c r="D68" s="253" t="s">
        <v>202</v>
      </c>
      <c r="E68" s="32" t="s">
        <v>194</v>
      </c>
      <c r="F68" s="226" t="s">
        <v>195</v>
      </c>
      <c r="G68" s="208"/>
      <c r="H68" s="209"/>
      <c r="I68" s="190">
        <f t="shared" si="1"/>
        <v>0</v>
      </c>
      <c r="J68" s="280"/>
    </row>
    <row r="69" spans="1:10" ht="15.9" customHeight="1" x14ac:dyDescent="0.4">
      <c r="A69" s="398"/>
      <c r="B69" s="184"/>
      <c r="C69" s="229" t="s">
        <v>203</v>
      </c>
      <c r="D69" s="253" t="s">
        <v>202</v>
      </c>
      <c r="E69" s="32" t="s">
        <v>194</v>
      </c>
      <c r="F69" s="226" t="s">
        <v>195</v>
      </c>
      <c r="G69" s="208"/>
      <c r="H69" s="209"/>
      <c r="I69" s="190">
        <f t="shared" si="1"/>
        <v>0</v>
      </c>
      <c r="J69" s="280"/>
    </row>
    <row r="70" spans="1:10" ht="15.9" customHeight="1" x14ac:dyDescent="0.4">
      <c r="A70" s="398"/>
      <c r="B70" s="184"/>
      <c r="C70" s="229" t="s">
        <v>204</v>
      </c>
      <c r="D70" s="253" t="s">
        <v>205</v>
      </c>
      <c r="E70" s="32" t="s">
        <v>194</v>
      </c>
      <c r="F70" s="226" t="s">
        <v>195</v>
      </c>
      <c r="G70" s="208"/>
      <c r="H70" s="209"/>
      <c r="I70" s="190">
        <f t="shared" si="1"/>
        <v>0</v>
      </c>
      <c r="J70" s="280"/>
    </row>
    <row r="71" spans="1:10" ht="15.9" customHeight="1" x14ac:dyDescent="0.4">
      <c r="A71" s="398"/>
      <c r="B71" s="184"/>
      <c r="C71" s="229" t="s">
        <v>206</v>
      </c>
      <c r="D71" s="253" t="s">
        <v>205</v>
      </c>
      <c r="E71" s="32" t="s">
        <v>194</v>
      </c>
      <c r="F71" s="226" t="s">
        <v>195</v>
      </c>
      <c r="G71" s="188"/>
      <c r="H71" s="189"/>
      <c r="I71" s="190">
        <f t="shared" si="1"/>
        <v>0</v>
      </c>
      <c r="J71" s="283"/>
    </row>
    <row r="72" spans="1:10" ht="15.9" customHeight="1" x14ac:dyDescent="0.4">
      <c r="A72" s="398"/>
      <c r="B72" s="184"/>
      <c r="C72" s="229" t="s">
        <v>207</v>
      </c>
      <c r="D72" s="253" t="s">
        <v>208</v>
      </c>
      <c r="E72" s="32" t="s">
        <v>194</v>
      </c>
      <c r="F72" s="226" t="s">
        <v>195</v>
      </c>
      <c r="G72" s="188"/>
      <c r="H72" s="189"/>
      <c r="I72" s="190">
        <f t="shared" si="1"/>
        <v>0</v>
      </c>
      <c r="J72" s="283"/>
    </row>
    <row r="73" spans="1:10" ht="15.9" customHeight="1" x14ac:dyDescent="0.4">
      <c r="A73" s="398"/>
      <c r="B73" s="184"/>
      <c r="C73" s="248" t="s">
        <v>209</v>
      </c>
      <c r="D73" s="254"/>
      <c r="E73" s="32" t="s">
        <v>194</v>
      </c>
      <c r="F73" s="226" t="s">
        <v>195</v>
      </c>
      <c r="G73" s="188"/>
      <c r="H73" s="189"/>
      <c r="I73" s="190">
        <f t="shared" si="1"/>
        <v>0</v>
      </c>
      <c r="J73" s="283"/>
    </row>
    <row r="74" spans="1:10" ht="15.9" customHeight="1" x14ac:dyDescent="0.4">
      <c r="A74" s="398"/>
      <c r="B74" s="184"/>
      <c r="C74" s="229" t="s">
        <v>210</v>
      </c>
      <c r="D74" s="253"/>
      <c r="E74" s="32"/>
      <c r="F74" s="226" t="s">
        <v>56</v>
      </c>
      <c r="G74" s="208"/>
      <c r="H74" s="209"/>
      <c r="I74" s="190">
        <f t="shared" si="1"/>
        <v>0</v>
      </c>
      <c r="J74" s="280"/>
    </row>
    <row r="75" spans="1:10" ht="15.9" customHeight="1" x14ac:dyDescent="0.4">
      <c r="A75" s="398"/>
      <c r="B75" s="184"/>
      <c r="C75" s="229" t="s">
        <v>211</v>
      </c>
      <c r="D75" s="253"/>
      <c r="E75" s="32"/>
      <c r="F75" s="226" t="s">
        <v>56</v>
      </c>
      <c r="G75" s="188"/>
      <c r="H75" s="189"/>
      <c r="I75" s="190">
        <f t="shared" si="1"/>
        <v>0</v>
      </c>
      <c r="J75" s="283"/>
    </row>
    <row r="76" spans="1:10" ht="15.9" customHeight="1" x14ac:dyDescent="0.4">
      <c r="A76" s="398"/>
      <c r="B76" s="184"/>
      <c r="C76" s="229" t="s">
        <v>212</v>
      </c>
      <c r="D76" s="253"/>
      <c r="E76" s="32"/>
      <c r="F76" s="226" t="s">
        <v>56</v>
      </c>
      <c r="G76" s="188"/>
      <c r="H76" s="189"/>
      <c r="I76" s="190">
        <f t="shared" si="1"/>
        <v>0</v>
      </c>
      <c r="J76" s="283"/>
    </row>
    <row r="77" spans="1:10" ht="15.9" customHeight="1" x14ac:dyDescent="0.4">
      <c r="A77" s="398"/>
      <c r="B77" s="184"/>
      <c r="C77" s="248" t="s">
        <v>213</v>
      </c>
      <c r="D77" s="254"/>
      <c r="E77" s="32"/>
      <c r="F77" s="226" t="s">
        <v>56</v>
      </c>
      <c r="G77" s="188"/>
      <c r="H77" s="189"/>
      <c r="I77" s="190">
        <f t="shared" si="1"/>
        <v>0</v>
      </c>
      <c r="J77" s="283"/>
    </row>
    <row r="78" spans="1:10" ht="15.9" customHeight="1" x14ac:dyDescent="0.4">
      <c r="A78" s="398"/>
      <c r="B78" s="401" t="s">
        <v>214</v>
      </c>
      <c r="C78" s="402"/>
      <c r="D78" s="402"/>
      <c r="E78" s="402"/>
      <c r="F78" s="402"/>
      <c r="G78" s="402"/>
      <c r="H78" s="403"/>
      <c r="I78" s="238">
        <f>SUM(I67:I77)</f>
        <v>0</v>
      </c>
      <c r="J78" s="284"/>
    </row>
    <row r="79" spans="1:10" ht="15.9" customHeight="1" x14ac:dyDescent="0.4">
      <c r="A79" s="413"/>
      <c r="B79" s="310" t="s">
        <v>215</v>
      </c>
      <c r="C79" s="310"/>
      <c r="D79" s="310"/>
      <c r="E79" s="310"/>
      <c r="F79" s="310"/>
      <c r="G79" s="310"/>
      <c r="H79" s="311"/>
      <c r="I79" s="219">
        <f>SUM(I48,I61,I66,I78)</f>
        <v>0</v>
      </c>
      <c r="J79" s="41"/>
    </row>
    <row r="80" spans="1:10" ht="15.9" customHeight="1" x14ac:dyDescent="0.4">
      <c r="A80" s="397" t="s">
        <v>65</v>
      </c>
      <c r="B80" s="26" t="s">
        <v>65</v>
      </c>
      <c r="C80" s="254" t="s">
        <v>216</v>
      </c>
      <c r="D80" s="254"/>
      <c r="E80" s="32"/>
      <c r="F80" s="226" t="s">
        <v>195</v>
      </c>
      <c r="G80" s="188"/>
      <c r="H80" s="189"/>
      <c r="I80" s="150">
        <f>SUM(G80*H80)</f>
        <v>0</v>
      </c>
      <c r="J80" s="277"/>
    </row>
    <row r="81" spans="1:18" ht="15.9" customHeight="1" x14ac:dyDescent="0.4">
      <c r="A81" s="399"/>
      <c r="C81" s="254" t="s">
        <v>276</v>
      </c>
      <c r="D81" s="254"/>
      <c r="E81" s="32"/>
      <c r="F81" s="226" t="s">
        <v>195</v>
      </c>
      <c r="G81" s="188"/>
      <c r="H81" s="189"/>
      <c r="I81" s="150">
        <f>SUM(G81*H81)</f>
        <v>0</v>
      </c>
      <c r="J81" s="35"/>
    </row>
    <row r="82" spans="1:18" ht="15.9" customHeight="1" x14ac:dyDescent="0.4">
      <c r="A82" s="399"/>
      <c r="B82" s="401" t="s">
        <v>227</v>
      </c>
      <c r="C82" s="402"/>
      <c r="D82" s="402"/>
      <c r="E82" s="402"/>
      <c r="F82" s="402"/>
      <c r="G82" s="402"/>
      <c r="H82" s="403"/>
      <c r="I82" s="256">
        <f>SUM(I80:I81)</f>
        <v>0</v>
      </c>
      <c r="J82" s="285"/>
    </row>
    <row r="83" spans="1:18" ht="15.9" customHeight="1" x14ac:dyDescent="0.4">
      <c r="A83" s="400"/>
      <c r="B83" s="310" t="s">
        <v>227</v>
      </c>
      <c r="C83" s="310"/>
      <c r="D83" s="310"/>
      <c r="E83" s="310"/>
      <c r="F83" s="310"/>
      <c r="G83" s="310"/>
      <c r="H83" s="311"/>
      <c r="I83" s="219">
        <f>SUM(I80:I82)</f>
        <v>0</v>
      </c>
      <c r="J83" s="41"/>
      <c r="L83" s="44"/>
    </row>
    <row r="84" spans="1:18" ht="15.9" customHeight="1" x14ac:dyDescent="0.4">
      <c r="A84" s="199"/>
      <c r="B84" s="257" t="s">
        <v>83</v>
      </c>
      <c r="C84" s="257"/>
      <c r="D84" s="257"/>
      <c r="E84" s="257"/>
      <c r="F84" s="257"/>
      <c r="G84" s="257"/>
      <c r="H84" s="257"/>
      <c r="I84" s="219">
        <f>CEILING(MIN(P91:P92),1000)</f>
        <v>0</v>
      </c>
      <c r="J84" s="260"/>
    </row>
    <row r="85" spans="1:18" ht="15.9" customHeight="1" x14ac:dyDescent="0.4">
      <c r="A85" s="259"/>
      <c r="B85" s="257" t="s">
        <v>69</v>
      </c>
      <c r="C85" s="260" t="s">
        <v>228</v>
      </c>
      <c r="D85" s="260"/>
      <c r="E85" s="41"/>
      <c r="F85" s="182"/>
      <c r="G85" s="261">
        <v>0.05</v>
      </c>
      <c r="H85" s="262"/>
      <c r="I85" s="219">
        <f>SUM(I12,I79,I83)*G85</f>
        <v>0</v>
      </c>
      <c r="J85" s="260"/>
    </row>
    <row r="86" spans="1:18" ht="15.9" customHeight="1" x14ac:dyDescent="0.4">
      <c r="A86" s="259"/>
      <c r="B86" s="257" t="s">
        <v>229</v>
      </c>
      <c r="C86" s="260" t="s">
        <v>230</v>
      </c>
      <c r="D86" s="260"/>
      <c r="E86" s="41"/>
      <c r="F86" s="182"/>
      <c r="G86" s="261">
        <v>0.01</v>
      </c>
      <c r="H86" s="262"/>
      <c r="I86" s="219">
        <f>SUM(I79,I83,I85)*G86</f>
        <v>0</v>
      </c>
      <c r="J86" s="260"/>
    </row>
    <row r="87" spans="1:18" ht="15.9" customHeight="1" x14ac:dyDescent="0.4">
      <c r="A87" s="259"/>
      <c r="B87" s="257" t="s">
        <v>231</v>
      </c>
      <c r="C87" s="260"/>
      <c r="D87" s="260"/>
      <c r="E87" s="41"/>
      <c r="F87" s="41"/>
      <c r="G87" s="45"/>
      <c r="H87" s="45"/>
      <c r="I87" s="263">
        <f>SUM(I12,I79,I83,I84,I85,I86)</f>
        <v>0</v>
      </c>
      <c r="J87" s="41"/>
    </row>
    <row r="88" spans="1:18" x14ac:dyDescent="0.4">
      <c r="A88" s="26"/>
    </row>
    <row r="90" spans="1:18" ht="13.5" customHeight="1" x14ac:dyDescent="0.4">
      <c r="L90" s="404" t="s">
        <v>232</v>
      </c>
      <c r="M90" s="407" t="s">
        <v>233</v>
      </c>
      <c r="N90" s="408"/>
      <c r="O90" s="409"/>
      <c r="P90" s="264" t="s">
        <v>234</v>
      </c>
      <c r="Q90" s="265" t="s">
        <v>235</v>
      </c>
      <c r="R90" s="266" t="s">
        <v>236</v>
      </c>
    </row>
    <row r="91" spans="1:18" x14ac:dyDescent="0.4">
      <c r="L91" s="405"/>
      <c r="M91" s="410" t="s">
        <v>237</v>
      </c>
      <c r="N91" s="411"/>
      <c r="O91" s="412"/>
      <c r="P91" s="267">
        <f>IF(Q91&lt;500000000,Q91*0.0315,1)+IF(Q91&gt;500000000,Q91*0.0253+2450000)*IF(Q91&gt;5000000000,0,1)+IF(Q91&gt;5000000000,Q91*0.026,0)</f>
        <v>0</v>
      </c>
      <c r="Q91" s="268">
        <f>SUM(I12,I79)</f>
        <v>0</v>
      </c>
      <c r="R91" s="269" t="s">
        <v>238</v>
      </c>
    </row>
    <row r="92" spans="1:18" x14ac:dyDescent="0.4">
      <c r="L92" s="406"/>
      <c r="M92" s="410" t="s">
        <v>239</v>
      </c>
      <c r="N92" s="411"/>
      <c r="O92" s="412"/>
      <c r="P92" s="267">
        <f>(IF(Q92&lt;500000000,Q92*0.0315,1)+IF(Q92&gt;500000000,Q92*0.0253+2450000)*IF(Q92&gt;5000000000,0,1)+IF(Q92&gt;5000000000,Q92*0.026,0))*1.2</f>
        <v>0</v>
      </c>
      <c r="Q92" s="268">
        <f>SUMIF(J13:J78,"",I13:I78)</f>
        <v>0</v>
      </c>
      <c r="R92" s="269" t="s">
        <v>240</v>
      </c>
    </row>
    <row r="93" spans="1:18" x14ac:dyDescent="0.4">
      <c r="L93" s="270" t="s">
        <v>241</v>
      </c>
      <c r="M93" s="26"/>
      <c r="N93" s="26"/>
      <c r="O93" s="49"/>
      <c r="P93" s="49"/>
      <c r="Q93" s="48"/>
      <c r="R93" s="69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7487-C105-40FC-9BC3-A4452D2697B4}">
  <sheetPr>
    <tabColor rgb="FF00B050"/>
    <pageSetUpPr fitToPage="1"/>
  </sheetPr>
  <dimension ref="A1:R95"/>
  <sheetViews>
    <sheetView zoomScale="85" zoomScaleNormal="85" workbookViewId="0">
      <pane xSplit="2" ySplit="2" topLeftCell="C3" activePane="bottomRight" state="frozen"/>
      <selection activeCell="K19" sqref="K19"/>
      <selection pane="topRight" activeCell="K19" sqref="K19"/>
      <selection pane="bottomLeft" activeCell="K19" sqref="K19"/>
      <selection pane="bottomRight" activeCell="K19" sqref="K19"/>
    </sheetView>
  </sheetViews>
  <sheetFormatPr defaultColWidth="9" defaultRowHeight="14.4" x14ac:dyDescent="0.4"/>
  <cols>
    <col min="1" max="1" width="5" style="1" customWidth="1"/>
    <col min="2" max="2" width="21.8984375" style="26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4"/>
    <col min="8" max="8" width="11.8984375" style="44" customWidth="1"/>
    <col min="9" max="9" width="13.59765625" style="44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9" t="s">
        <v>90</v>
      </c>
      <c r="C1" s="180"/>
      <c r="D1" s="181"/>
      <c r="G1" s="271"/>
      <c r="J1" s="1" t="s">
        <v>92</v>
      </c>
    </row>
    <row r="2" spans="1:11" s="26" customFormat="1" ht="16.5" customHeight="1" x14ac:dyDescent="0.4">
      <c r="A2" s="309" t="s">
        <v>93</v>
      </c>
      <c r="B2" s="311"/>
      <c r="C2" s="182" t="s">
        <v>94</v>
      </c>
      <c r="D2" s="182"/>
      <c r="E2" s="182" t="s">
        <v>95</v>
      </c>
      <c r="F2" s="182" t="s">
        <v>48</v>
      </c>
      <c r="G2" s="183" t="s">
        <v>49</v>
      </c>
      <c r="H2" s="183" t="s">
        <v>96</v>
      </c>
      <c r="I2" s="183" t="s">
        <v>97</v>
      </c>
      <c r="J2" s="182" t="s">
        <v>98</v>
      </c>
    </row>
    <row r="3" spans="1:11" ht="15.9" customHeight="1" x14ac:dyDescent="0.4">
      <c r="A3" s="398" t="s">
        <v>244</v>
      </c>
      <c r="B3" s="184" t="s">
        <v>55</v>
      </c>
      <c r="C3" s="206" t="s">
        <v>245</v>
      </c>
      <c r="D3" s="206" t="s">
        <v>246</v>
      </c>
      <c r="E3" s="206" t="s">
        <v>247</v>
      </c>
      <c r="F3" s="207">
        <v>1</v>
      </c>
      <c r="G3" s="208">
        <v>1</v>
      </c>
      <c r="H3" s="209"/>
      <c r="I3" s="190">
        <f>IF(G3=0,H3,H3*G3)</f>
        <v>0</v>
      </c>
      <c r="J3" s="272" t="s">
        <v>248</v>
      </c>
      <c r="K3" s="273" t="s">
        <v>249</v>
      </c>
    </row>
    <row r="4" spans="1:11" ht="15.9" customHeight="1" x14ac:dyDescent="0.4">
      <c r="A4" s="398"/>
      <c r="B4" s="184"/>
      <c r="C4" s="205" t="s">
        <v>250</v>
      </c>
      <c r="D4" s="205"/>
      <c r="E4" s="206"/>
      <c r="F4" s="207"/>
      <c r="G4" s="208"/>
      <c r="H4" s="209"/>
      <c r="I4" s="190"/>
      <c r="J4" s="272"/>
    </row>
    <row r="5" spans="1:11" ht="15.9" customHeight="1" x14ac:dyDescent="0.4">
      <c r="A5" s="399"/>
      <c r="B5" s="199"/>
      <c r="C5" s="274"/>
      <c r="D5" s="274"/>
      <c r="E5" s="275"/>
      <c r="F5" s="275"/>
      <c r="G5" s="276"/>
      <c r="H5" s="276"/>
      <c r="I5" s="203">
        <f>SUM(I3:I4)</f>
        <v>0</v>
      </c>
      <c r="J5" s="275"/>
    </row>
    <row r="6" spans="1:11" ht="15.9" customHeight="1" x14ac:dyDescent="0.4">
      <c r="A6" s="399"/>
      <c r="B6" s="184" t="s">
        <v>57</v>
      </c>
      <c r="C6" s="205"/>
      <c r="D6" s="205"/>
      <c r="E6" s="206"/>
      <c r="F6" s="207"/>
      <c r="G6" s="208"/>
      <c r="H6" s="209"/>
      <c r="I6" s="210">
        <f>IF(G6=0,H6,H6*G6)</f>
        <v>0</v>
      </c>
      <c r="J6" s="277"/>
    </row>
    <row r="7" spans="1:11" ht="15.9" customHeight="1" x14ac:dyDescent="0.4">
      <c r="A7" s="399"/>
      <c r="B7" s="184" t="s">
        <v>151</v>
      </c>
      <c r="C7" s="205"/>
      <c r="D7" s="205"/>
      <c r="E7" s="206"/>
      <c r="F7" s="207"/>
      <c r="G7" s="208"/>
      <c r="H7" s="209"/>
      <c r="I7" s="150">
        <f>IF(G7=0,H7,H7*G7)</f>
        <v>0</v>
      </c>
      <c r="J7" s="277"/>
    </row>
    <row r="8" spans="1:11" ht="15.9" customHeight="1" x14ac:dyDescent="0.4">
      <c r="A8" s="399"/>
      <c r="B8" s="199"/>
      <c r="C8" s="212"/>
      <c r="D8" s="212"/>
      <c r="E8" s="213"/>
      <c r="F8" s="213"/>
      <c r="G8" s="214"/>
      <c r="H8" s="215"/>
      <c r="I8" s="203">
        <f>SUM(I6:I7)</f>
        <v>0</v>
      </c>
      <c r="J8" s="213"/>
    </row>
    <row r="9" spans="1:11" ht="15.9" customHeight="1" x14ac:dyDescent="0.4">
      <c r="A9" s="399"/>
      <c r="B9" s="217" t="s">
        <v>58</v>
      </c>
      <c r="C9" s="185"/>
      <c r="D9" s="185"/>
      <c r="E9" s="185"/>
      <c r="F9" s="187"/>
      <c r="G9" s="218"/>
      <c r="H9" s="189"/>
      <c r="I9" s="165">
        <f>IF(G9=0,H9,H9*G9)</f>
        <v>0</v>
      </c>
      <c r="J9" s="278"/>
    </row>
    <row r="10" spans="1:11" ht="15.9" customHeight="1" x14ac:dyDescent="0.4">
      <c r="A10" s="399"/>
      <c r="B10" s="184"/>
      <c r="C10" s="185"/>
      <c r="D10" s="185"/>
      <c r="E10" s="185"/>
      <c r="F10" s="187"/>
      <c r="G10" s="218"/>
      <c r="H10" s="189"/>
      <c r="I10" s="150">
        <f>IF(G10=0,H10,H10*G10)</f>
        <v>0</v>
      </c>
      <c r="J10" s="32"/>
    </row>
    <row r="11" spans="1:11" ht="15.9" customHeight="1" x14ac:dyDescent="0.4">
      <c r="A11" s="399"/>
      <c r="B11" s="199"/>
      <c r="C11" s="212"/>
      <c r="D11" s="212"/>
      <c r="E11" s="213"/>
      <c r="F11" s="213"/>
      <c r="G11" s="215"/>
      <c r="H11" s="215"/>
      <c r="I11" s="203">
        <f>SUM(I9:I10)</f>
        <v>0</v>
      </c>
      <c r="J11" s="213"/>
    </row>
    <row r="12" spans="1:11" ht="15.9" customHeight="1" x14ac:dyDescent="0.4">
      <c r="A12" s="199"/>
      <c r="B12" s="310" t="s">
        <v>153</v>
      </c>
      <c r="C12" s="310"/>
      <c r="D12" s="310"/>
      <c r="E12" s="310"/>
      <c r="F12" s="310"/>
      <c r="G12" s="310"/>
      <c r="H12" s="311"/>
      <c r="I12" s="219">
        <f>SUM(I11,I8,I5)</f>
        <v>0</v>
      </c>
      <c r="J12" s="41"/>
    </row>
    <row r="13" spans="1:11" ht="15.9" customHeight="1" x14ac:dyDescent="0.4">
      <c r="A13" s="397" t="s">
        <v>154</v>
      </c>
      <c r="B13" s="217" t="s">
        <v>80</v>
      </c>
      <c r="C13" s="220" t="s">
        <v>155</v>
      </c>
      <c r="D13" s="221" t="s">
        <v>156</v>
      </c>
      <c r="E13" s="110" t="s">
        <v>194</v>
      </c>
      <c r="F13" s="46" t="s">
        <v>217</v>
      </c>
      <c r="G13" s="222"/>
      <c r="H13" s="223"/>
      <c r="I13" s="224">
        <f t="shared" ref="I13:I46" si="0">G13*H13</f>
        <v>0</v>
      </c>
      <c r="J13" s="279"/>
    </row>
    <row r="14" spans="1:11" ht="15.9" customHeight="1" x14ac:dyDescent="0.4">
      <c r="A14" s="398"/>
      <c r="B14" s="184"/>
      <c r="C14" s="225"/>
      <c r="D14" s="221" t="s">
        <v>158</v>
      </c>
      <c r="E14" s="32" t="s">
        <v>194</v>
      </c>
      <c r="F14" s="226" t="s">
        <v>195</v>
      </c>
      <c r="G14" s="208"/>
      <c r="H14" s="209"/>
      <c r="I14" s="190">
        <f t="shared" si="0"/>
        <v>0</v>
      </c>
      <c r="J14" s="280"/>
    </row>
    <row r="15" spans="1:11" ht="15.9" customHeight="1" x14ac:dyDescent="0.4">
      <c r="A15" s="398"/>
      <c r="B15" s="184"/>
      <c r="C15" s="227"/>
      <c r="D15" s="221" t="s">
        <v>159</v>
      </c>
      <c r="E15" s="32" t="s">
        <v>194</v>
      </c>
      <c r="F15" s="226" t="s">
        <v>195</v>
      </c>
      <c r="G15" s="208"/>
      <c r="H15" s="209"/>
      <c r="I15" s="190">
        <f t="shared" si="0"/>
        <v>0</v>
      </c>
      <c r="J15" s="280"/>
    </row>
    <row r="16" spans="1:11" ht="15.9" customHeight="1" x14ac:dyDescent="0.4">
      <c r="A16" s="398"/>
      <c r="B16" s="184"/>
      <c r="C16" s="228" t="s">
        <v>160</v>
      </c>
      <c r="D16" s="221" t="s">
        <v>156</v>
      </c>
      <c r="E16" s="32" t="s">
        <v>194</v>
      </c>
      <c r="F16" s="226" t="s">
        <v>195</v>
      </c>
      <c r="G16" s="208"/>
      <c r="H16" s="209"/>
      <c r="I16" s="190">
        <f t="shared" si="0"/>
        <v>0</v>
      </c>
      <c r="J16" s="280"/>
    </row>
    <row r="17" spans="1:10" ht="15.9" customHeight="1" x14ac:dyDescent="0.4">
      <c r="A17" s="398"/>
      <c r="B17" s="184"/>
      <c r="C17" s="225"/>
      <c r="D17" s="221" t="s">
        <v>158</v>
      </c>
      <c r="E17" s="32" t="s">
        <v>194</v>
      </c>
      <c r="F17" s="226" t="s">
        <v>195</v>
      </c>
      <c r="G17" s="208"/>
      <c r="H17" s="209"/>
      <c r="I17" s="190">
        <f t="shared" si="0"/>
        <v>0</v>
      </c>
      <c r="J17" s="280"/>
    </row>
    <row r="18" spans="1:10" ht="15.9" customHeight="1" x14ac:dyDescent="0.4">
      <c r="A18" s="398"/>
      <c r="B18" s="184"/>
      <c r="C18" s="227"/>
      <c r="D18" s="221" t="s">
        <v>159</v>
      </c>
      <c r="E18" s="32" t="s">
        <v>194</v>
      </c>
      <c r="F18" s="226" t="s">
        <v>195</v>
      </c>
      <c r="G18" s="208"/>
      <c r="H18" s="209"/>
      <c r="I18" s="190">
        <f t="shared" si="0"/>
        <v>0</v>
      </c>
      <c r="J18" s="280"/>
    </row>
    <row r="19" spans="1:10" ht="15.9" customHeight="1" x14ac:dyDescent="0.4">
      <c r="A19" s="398"/>
      <c r="B19" s="184"/>
      <c r="C19" s="228" t="s">
        <v>161</v>
      </c>
      <c r="D19" s="221" t="s">
        <v>156</v>
      </c>
      <c r="E19" s="32" t="s">
        <v>194</v>
      </c>
      <c r="F19" s="226" t="s">
        <v>195</v>
      </c>
      <c r="G19" s="208"/>
      <c r="H19" s="209"/>
      <c r="I19" s="190">
        <f t="shared" si="0"/>
        <v>0</v>
      </c>
      <c r="J19" s="280"/>
    </row>
    <row r="20" spans="1:10" ht="15.9" customHeight="1" x14ac:dyDescent="0.4">
      <c r="A20" s="398"/>
      <c r="B20" s="184"/>
      <c r="C20" s="225"/>
      <c r="D20" s="221" t="s">
        <v>158</v>
      </c>
      <c r="E20" s="32" t="s">
        <v>194</v>
      </c>
      <c r="F20" s="226" t="s">
        <v>195</v>
      </c>
      <c r="G20" s="208"/>
      <c r="H20" s="209"/>
      <c r="I20" s="190">
        <f t="shared" si="0"/>
        <v>0</v>
      </c>
      <c r="J20" s="280"/>
    </row>
    <row r="21" spans="1:10" ht="15.9" customHeight="1" x14ac:dyDescent="0.4">
      <c r="A21" s="398"/>
      <c r="B21" s="184"/>
      <c r="C21" s="227"/>
      <c r="D21" s="221" t="s">
        <v>159</v>
      </c>
      <c r="E21" s="32" t="s">
        <v>194</v>
      </c>
      <c r="F21" s="226" t="s">
        <v>195</v>
      </c>
      <c r="G21" s="208"/>
      <c r="H21" s="209"/>
      <c r="I21" s="190">
        <f t="shared" si="0"/>
        <v>0</v>
      </c>
      <c r="J21" s="280"/>
    </row>
    <row r="22" spans="1:10" ht="15.9" customHeight="1" x14ac:dyDescent="0.4">
      <c r="A22" s="398"/>
      <c r="B22" s="184"/>
      <c r="C22" s="228" t="s">
        <v>162</v>
      </c>
      <c r="D22" s="221" t="s">
        <v>163</v>
      </c>
      <c r="E22" s="32" t="s">
        <v>194</v>
      </c>
      <c r="F22" s="226" t="s">
        <v>195</v>
      </c>
      <c r="G22" s="208"/>
      <c r="H22" s="209"/>
      <c r="I22" s="190">
        <f t="shared" si="0"/>
        <v>0</v>
      </c>
      <c r="J22" s="280"/>
    </row>
    <row r="23" spans="1:10" ht="15.9" customHeight="1" x14ac:dyDescent="0.4">
      <c r="A23" s="398"/>
      <c r="B23" s="184"/>
      <c r="C23" s="225"/>
      <c r="D23" s="221" t="s">
        <v>164</v>
      </c>
      <c r="E23" s="32" t="s">
        <v>194</v>
      </c>
      <c r="F23" s="226" t="s">
        <v>195</v>
      </c>
      <c r="G23" s="208"/>
      <c r="H23" s="209"/>
      <c r="I23" s="190">
        <f t="shared" si="0"/>
        <v>0</v>
      </c>
      <c r="J23" s="280"/>
    </row>
    <row r="24" spans="1:10" ht="15.9" customHeight="1" x14ac:dyDescent="0.4">
      <c r="A24" s="398"/>
      <c r="B24" s="184"/>
      <c r="C24" s="227"/>
      <c r="D24" s="221" t="s">
        <v>165</v>
      </c>
      <c r="E24" s="32" t="s">
        <v>194</v>
      </c>
      <c r="F24" s="226" t="s">
        <v>195</v>
      </c>
      <c r="G24" s="208"/>
      <c r="H24" s="209"/>
      <c r="I24" s="190">
        <f t="shared" si="0"/>
        <v>0</v>
      </c>
      <c r="J24" s="280"/>
    </row>
    <row r="25" spans="1:10" ht="15.9" customHeight="1" x14ac:dyDescent="0.4">
      <c r="A25" s="398"/>
      <c r="B25" s="184"/>
      <c r="C25" s="228" t="s">
        <v>166</v>
      </c>
      <c r="D25" s="221" t="s">
        <v>163</v>
      </c>
      <c r="E25" s="32" t="s">
        <v>194</v>
      </c>
      <c r="F25" s="226" t="s">
        <v>195</v>
      </c>
      <c r="G25" s="208"/>
      <c r="H25" s="209"/>
      <c r="I25" s="190">
        <f t="shared" si="0"/>
        <v>0</v>
      </c>
      <c r="J25" s="280"/>
    </row>
    <row r="26" spans="1:10" ht="15.9" customHeight="1" x14ac:dyDescent="0.4">
      <c r="A26" s="398"/>
      <c r="B26" s="184"/>
      <c r="C26" s="225"/>
      <c r="D26" s="221" t="s">
        <v>164</v>
      </c>
      <c r="E26" s="32" t="s">
        <v>194</v>
      </c>
      <c r="F26" s="226" t="s">
        <v>195</v>
      </c>
      <c r="G26" s="208"/>
      <c r="H26" s="209"/>
      <c r="I26" s="190">
        <f t="shared" si="0"/>
        <v>0</v>
      </c>
      <c r="J26" s="280"/>
    </row>
    <row r="27" spans="1:10" ht="15.9" customHeight="1" x14ac:dyDescent="0.4">
      <c r="A27" s="398"/>
      <c r="B27" s="184"/>
      <c r="C27" s="227"/>
      <c r="D27" s="221" t="s">
        <v>165</v>
      </c>
      <c r="E27" s="32" t="s">
        <v>194</v>
      </c>
      <c r="F27" s="226" t="s">
        <v>195</v>
      </c>
      <c r="G27" s="208"/>
      <c r="H27" s="209"/>
      <c r="I27" s="190">
        <f t="shared" si="0"/>
        <v>0</v>
      </c>
      <c r="J27" s="280"/>
    </row>
    <row r="28" spans="1:10" ht="15.9" customHeight="1" x14ac:dyDescent="0.4">
      <c r="A28" s="398"/>
      <c r="B28" s="184"/>
      <c r="C28" s="228" t="s">
        <v>167</v>
      </c>
      <c r="D28" s="221" t="s">
        <v>168</v>
      </c>
      <c r="E28" s="32" t="s">
        <v>194</v>
      </c>
      <c r="F28" s="226" t="s">
        <v>195</v>
      </c>
      <c r="G28" s="208"/>
      <c r="H28" s="209"/>
      <c r="I28" s="190">
        <f t="shared" si="0"/>
        <v>0</v>
      </c>
      <c r="J28" s="280"/>
    </row>
    <row r="29" spans="1:10" ht="15.9" customHeight="1" x14ac:dyDescent="0.4">
      <c r="A29" s="398"/>
      <c r="B29" s="184"/>
      <c r="C29" s="225"/>
      <c r="D29" s="221" t="s">
        <v>169</v>
      </c>
      <c r="E29" s="32" t="s">
        <v>194</v>
      </c>
      <c r="F29" s="226" t="s">
        <v>195</v>
      </c>
      <c r="G29" s="208"/>
      <c r="H29" s="209"/>
      <c r="I29" s="190">
        <f t="shared" si="0"/>
        <v>0</v>
      </c>
      <c r="J29" s="280"/>
    </row>
    <row r="30" spans="1:10" ht="15.9" customHeight="1" x14ac:dyDescent="0.4">
      <c r="A30" s="398"/>
      <c r="B30" s="184"/>
      <c r="C30" s="227"/>
      <c r="D30" s="221" t="s">
        <v>170</v>
      </c>
      <c r="E30" s="32" t="s">
        <v>194</v>
      </c>
      <c r="F30" s="226" t="s">
        <v>195</v>
      </c>
      <c r="G30" s="208"/>
      <c r="H30" s="209"/>
      <c r="I30" s="190">
        <f t="shared" si="0"/>
        <v>0</v>
      </c>
      <c r="J30" s="280"/>
    </row>
    <row r="31" spans="1:10" ht="15.9" customHeight="1" x14ac:dyDescent="0.4">
      <c r="A31" s="398"/>
      <c r="B31" s="184"/>
      <c r="C31" s="229" t="s">
        <v>171</v>
      </c>
      <c r="D31" s="230"/>
      <c r="E31" s="32" t="s">
        <v>194</v>
      </c>
      <c r="F31" s="226" t="s">
        <v>195</v>
      </c>
      <c r="G31" s="208"/>
      <c r="H31" s="209"/>
      <c r="I31" s="190">
        <f t="shared" si="0"/>
        <v>0</v>
      </c>
      <c r="J31" s="280"/>
    </row>
    <row r="32" spans="1:10" ht="15.9" customHeight="1" x14ac:dyDescent="0.4">
      <c r="A32" s="398"/>
      <c r="B32" s="184"/>
      <c r="C32" s="231" t="s">
        <v>172</v>
      </c>
      <c r="D32" s="232" t="s">
        <v>173</v>
      </c>
      <c r="E32" s="32" t="s">
        <v>194</v>
      </c>
      <c r="F32" s="226" t="s">
        <v>195</v>
      </c>
      <c r="G32" s="208"/>
      <c r="H32" s="209"/>
      <c r="I32" s="190">
        <f t="shared" si="0"/>
        <v>0</v>
      </c>
      <c r="J32" s="280"/>
    </row>
    <row r="33" spans="1:10" ht="15.9" customHeight="1" x14ac:dyDescent="0.4">
      <c r="A33" s="398"/>
      <c r="B33" s="184"/>
      <c r="C33" s="233" t="s">
        <v>251</v>
      </c>
      <c r="D33" s="234" t="s">
        <v>175</v>
      </c>
      <c r="E33" s="32" t="s">
        <v>194</v>
      </c>
      <c r="F33" s="226" t="s">
        <v>195</v>
      </c>
      <c r="G33" s="208"/>
      <c r="H33" s="209"/>
      <c r="I33" s="190">
        <f t="shared" si="0"/>
        <v>0</v>
      </c>
      <c r="J33" s="280"/>
    </row>
    <row r="34" spans="1:10" ht="15.9" customHeight="1" x14ac:dyDescent="0.4">
      <c r="A34" s="398"/>
      <c r="B34" s="184"/>
      <c r="C34" s="235" t="s">
        <v>252</v>
      </c>
      <c r="D34" s="236"/>
      <c r="E34" s="32" t="s">
        <v>194</v>
      </c>
      <c r="F34" s="226" t="s">
        <v>195</v>
      </c>
      <c r="G34" s="208"/>
      <c r="H34" s="209"/>
      <c r="I34" s="190">
        <f t="shared" si="0"/>
        <v>0</v>
      </c>
      <c r="J34" s="280"/>
    </row>
    <row r="35" spans="1:10" ht="15.9" customHeight="1" x14ac:dyDescent="0.4">
      <c r="A35" s="398"/>
      <c r="B35" s="184"/>
      <c r="C35" s="235" t="s">
        <v>253</v>
      </c>
      <c r="D35" s="236" t="s">
        <v>177</v>
      </c>
      <c r="E35" s="32" t="s">
        <v>194</v>
      </c>
      <c r="F35" s="226" t="s">
        <v>195</v>
      </c>
      <c r="G35" s="208"/>
      <c r="H35" s="209"/>
      <c r="I35" s="190">
        <f t="shared" si="0"/>
        <v>0</v>
      </c>
      <c r="J35" s="280"/>
    </row>
    <row r="36" spans="1:10" ht="15.9" customHeight="1" x14ac:dyDescent="0.4">
      <c r="A36" s="398"/>
      <c r="B36" s="184"/>
      <c r="C36" s="235" t="s">
        <v>254</v>
      </c>
      <c r="D36" s="236" t="s">
        <v>177</v>
      </c>
      <c r="E36" s="32" t="s">
        <v>194</v>
      </c>
      <c r="F36" s="226" t="s">
        <v>195</v>
      </c>
      <c r="G36" s="208"/>
      <c r="H36" s="209"/>
      <c r="I36" s="190">
        <f t="shared" si="0"/>
        <v>0</v>
      </c>
      <c r="J36" s="280"/>
    </row>
    <row r="37" spans="1:10" ht="15.9" customHeight="1" x14ac:dyDescent="0.4">
      <c r="A37" s="398"/>
      <c r="B37" s="184"/>
      <c r="C37" s="231" t="s">
        <v>255</v>
      </c>
      <c r="D37" s="232" t="s">
        <v>256</v>
      </c>
      <c r="E37" s="32" t="s">
        <v>194</v>
      </c>
      <c r="F37" s="226" t="s">
        <v>195</v>
      </c>
      <c r="G37" s="208"/>
      <c r="H37" s="209"/>
      <c r="I37" s="190">
        <f t="shared" si="0"/>
        <v>0</v>
      </c>
      <c r="J37" s="280"/>
    </row>
    <row r="38" spans="1:10" ht="15.9" customHeight="1" x14ac:dyDescent="0.4">
      <c r="A38" s="398"/>
      <c r="B38" s="184"/>
      <c r="C38" s="235" t="s">
        <v>257</v>
      </c>
      <c r="D38" s="236"/>
      <c r="E38" s="32" t="s">
        <v>194</v>
      </c>
      <c r="F38" s="226" t="s">
        <v>195</v>
      </c>
      <c r="G38" s="208"/>
      <c r="H38" s="209"/>
      <c r="I38" s="190">
        <f t="shared" si="0"/>
        <v>0</v>
      </c>
      <c r="J38" s="280"/>
    </row>
    <row r="39" spans="1:10" ht="15.9" customHeight="1" x14ac:dyDescent="0.4">
      <c r="A39" s="398"/>
      <c r="B39" s="184"/>
      <c r="C39" s="235" t="s">
        <v>258</v>
      </c>
      <c r="D39" s="236" t="s">
        <v>259</v>
      </c>
      <c r="E39" s="32" t="s">
        <v>194</v>
      </c>
      <c r="F39" s="226" t="s">
        <v>195</v>
      </c>
      <c r="G39" s="208"/>
      <c r="H39" s="209"/>
      <c r="I39" s="190">
        <f t="shared" si="0"/>
        <v>0</v>
      </c>
      <c r="J39" s="280"/>
    </row>
    <row r="40" spans="1:10" ht="15.9" customHeight="1" x14ac:dyDescent="0.4">
      <c r="A40" s="398"/>
      <c r="B40" s="184"/>
      <c r="C40" s="228" t="s">
        <v>260</v>
      </c>
      <c r="D40" s="237" t="s">
        <v>181</v>
      </c>
      <c r="E40" s="32" t="s">
        <v>194</v>
      </c>
      <c r="F40" s="226" t="s">
        <v>195</v>
      </c>
      <c r="G40" s="208"/>
      <c r="H40" s="209"/>
      <c r="I40" s="190">
        <f t="shared" si="0"/>
        <v>0</v>
      </c>
      <c r="J40" s="280"/>
    </row>
    <row r="41" spans="1:10" ht="15.9" customHeight="1" x14ac:dyDescent="0.4">
      <c r="A41" s="398"/>
      <c r="B41" s="184"/>
      <c r="C41" s="228" t="s">
        <v>261</v>
      </c>
      <c r="D41" s="237"/>
      <c r="E41" s="32" t="s">
        <v>194</v>
      </c>
      <c r="F41" s="226" t="s">
        <v>195</v>
      </c>
      <c r="G41" s="208"/>
      <c r="H41" s="209"/>
      <c r="I41" s="190">
        <f t="shared" si="0"/>
        <v>0</v>
      </c>
      <c r="J41" s="280"/>
    </row>
    <row r="42" spans="1:10" ht="15.9" customHeight="1" x14ac:dyDescent="0.4">
      <c r="A42" s="398"/>
      <c r="B42" s="184"/>
      <c r="C42" s="235" t="s">
        <v>262</v>
      </c>
      <c r="D42" s="236" t="s">
        <v>263</v>
      </c>
      <c r="E42" s="32" t="s">
        <v>194</v>
      </c>
      <c r="F42" s="226" t="s">
        <v>195</v>
      </c>
      <c r="G42" s="208"/>
      <c r="H42" s="209"/>
      <c r="I42" s="190">
        <f t="shared" si="0"/>
        <v>0</v>
      </c>
      <c r="J42" s="280"/>
    </row>
    <row r="43" spans="1:10" ht="15.9" customHeight="1" x14ac:dyDescent="0.4">
      <c r="A43" s="398"/>
      <c r="B43" s="184"/>
      <c r="C43" s="228" t="s">
        <v>264</v>
      </c>
      <c r="D43" s="237" t="s">
        <v>265</v>
      </c>
      <c r="E43" s="32" t="s">
        <v>194</v>
      </c>
      <c r="F43" s="226" t="s">
        <v>195</v>
      </c>
      <c r="G43" s="208"/>
      <c r="H43" s="209"/>
      <c r="I43" s="190">
        <f t="shared" si="0"/>
        <v>0</v>
      </c>
      <c r="J43" s="280"/>
    </row>
    <row r="44" spans="1:10" ht="15.9" customHeight="1" x14ac:dyDescent="0.4">
      <c r="A44" s="398"/>
      <c r="B44" s="184"/>
      <c r="C44" s="235" t="s">
        <v>266</v>
      </c>
      <c r="D44" s="236" t="s">
        <v>267</v>
      </c>
      <c r="E44" s="32" t="s">
        <v>194</v>
      </c>
      <c r="F44" s="226" t="s">
        <v>195</v>
      </c>
      <c r="G44" s="208"/>
      <c r="H44" s="209"/>
      <c r="I44" s="190">
        <f t="shared" si="0"/>
        <v>0</v>
      </c>
      <c r="J44" s="280"/>
    </row>
    <row r="45" spans="1:10" ht="15.9" customHeight="1" x14ac:dyDescent="0.4">
      <c r="A45" s="398"/>
      <c r="B45" s="184"/>
      <c r="C45" s="235" t="s">
        <v>268</v>
      </c>
      <c r="D45" s="236"/>
      <c r="E45" s="32" t="s">
        <v>194</v>
      </c>
      <c r="F45" s="226" t="s">
        <v>195</v>
      </c>
      <c r="G45" s="208"/>
      <c r="H45" s="209"/>
      <c r="I45" s="190">
        <f t="shared" si="0"/>
        <v>0</v>
      </c>
      <c r="J45" s="280"/>
    </row>
    <row r="46" spans="1:10" ht="15.9" customHeight="1" x14ac:dyDescent="0.4">
      <c r="A46" s="398"/>
      <c r="B46" s="184"/>
      <c r="C46" s="228" t="s">
        <v>269</v>
      </c>
      <c r="D46" s="237"/>
      <c r="E46" s="32" t="s">
        <v>194</v>
      </c>
      <c r="F46" s="226" t="s">
        <v>195</v>
      </c>
      <c r="G46" s="208"/>
      <c r="H46" s="209"/>
      <c r="I46" s="190">
        <f t="shared" si="0"/>
        <v>0</v>
      </c>
      <c r="J46" s="280"/>
    </row>
    <row r="47" spans="1:10" ht="15.9" customHeight="1" x14ac:dyDescent="0.4">
      <c r="A47" s="398"/>
      <c r="B47" s="184"/>
      <c r="C47" s="229" t="s">
        <v>270</v>
      </c>
      <c r="D47" s="237"/>
      <c r="E47" s="32" t="s">
        <v>194</v>
      </c>
      <c r="F47" s="226" t="s">
        <v>195</v>
      </c>
      <c r="G47" s="208"/>
      <c r="H47" s="209"/>
      <c r="I47" s="190">
        <f>G47*H47</f>
        <v>0</v>
      </c>
      <c r="J47" s="280"/>
    </row>
    <row r="48" spans="1:10" ht="15.9" customHeight="1" x14ac:dyDescent="0.4">
      <c r="A48" s="398"/>
      <c r="B48" s="401" t="s">
        <v>183</v>
      </c>
      <c r="C48" s="402"/>
      <c r="D48" s="402"/>
      <c r="E48" s="402"/>
      <c r="F48" s="402"/>
      <c r="G48" s="402"/>
      <c r="H48" s="403"/>
      <c r="I48" s="238">
        <f>SUM(I13:I47)</f>
        <v>0</v>
      </c>
      <c r="J48" s="280"/>
    </row>
    <row r="49" spans="1:10" ht="15.9" customHeight="1" x14ac:dyDescent="0.4">
      <c r="A49" s="398"/>
      <c r="B49" s="217" t="s">
        <v>62</v>
      </c>
      <c r="C49" s="239" t="s">
        <v>184</v>
      </c>
      <c r="D49" s="221" t="s">
        <v>163</v>
      </c>
      <c r="E49" s="29" t="s">
        <v>194</v>
      </c>
      <c r="F49" s="46" t="s">
        <v>195</v>
      </c>
      <c r="G49" s="222"/>
      <c r="H49" s="223"/>
      <c r="I49" s="224">
        <f t="shared" ref="I49:I77" si="1">G49*H49</f>
        <v>0</v>
      </c>
      <c r="J49" s="279"/>
    </row>
    <row r="50" spans="1:10" ht="15.9" customHeight="1" x14ac:dyDescent="0.4">
      <c r="A50" s="398"/>
      <c r="B50" s="184"/>
      <c r="C50" s="240"/>
      <c r="D50" s="221" t="s">
        <v>164</v>
      </c>
      <c r="E50" s="32" t="s">
        <v>194</v>
      </c>
      <c r="F50" s="226" t="s">
        <v>195</v>
      </c>
      <c r="G50" s="208"/>
      <c r="H50" s="209"/>
      <c r="I50" s="190">
        <f t="shared" si="1"/>
        <v>0</v>
      </c>
      <c r="J50" s="280"/>
    </row>
    <row r="51" spans="1:10" ht="15.9" customHeight="1" x14ac:dyDescent="0.4">
      <c r="A51" s="398"/>
      <c r="B51" s="184"/>
      <c r="C51" s="240"/>
      <c r="D51" s="221" t="s">
        <v>165</v>
      </c>
      <c r="E51" s="32" t="s">
        <v>194</v>
      </c>
      <c r="F51" s="226" t="s">
        <v>195</v>
      </c>
      <c r="G51" s="208"/>
      <c r="H51" s="209"/>
      <c r="I51" s="190">
        <f t="shared" si="1"/>
        <v>0</v>
      </c>
      <c r="J51" s="280"/>
    </row>
    <row r="52" spans="1:10" ht="15.9" customHeight="1" x14ac:dyDescent="0.4">
      <c r="A52" s="398"/>
      <c r="B52" s="184"/>
      <c r="C52" s="240"/>
      <c r="D52" s="241" t="s">
        <v>188</v>
      </c>
      <c r="E52" s="32" t="s">
        <v>194</v>
      </c>
      <c r="F52" s="226" t="s">
        <v>195</v>
      </c>
      <c r="G52" s="208"/>
      <c r="H52" s="209"/>
      <c r="I52" s="190">
        <f t="shared" si="1"/>
        <v>0</v>
      </c>
      <c r="J52" s="280"/>
    </row>
    <row r="53" spans="1:10" ht="15.9" customHeight="1" x14ac:dyDescent="0.4">
      <c r="A53" s="398"/>
      <c r="B53" s="184"/>
      <c r="C53" s="242"/>
      <c r="D53" s="221" t="s">
        <v>189</v>
      </c>
      <c r="E53" s="32" t="s">
        <v>194</v>
      </c>
      <c r="F53" s="226" t="s">
        <v>195</v>
      </c>
      <c r="G53" s="208"/>
      <c r="H53" s="209"/>
      <c r="I53" s="190">
        <f t="shared" si="1"/>
        <v>0</v>
      </c>
      <c r="J53" s="280"/>
    </row>
    <row r="54" spans="1:10" ht="15.9" customHeight="1" x14ac:dyDescent="0.4">
      <c r="A54" s="398"/>
      <c r="B54" s="184"/>
      <c r="C54" s="243" t="s">
        <v>190</v>
      </c>
      <c r="D54" s="221" t="s">
        <v>163</v>
      </c>
      <c r="E54" s="32" t="s">
        <v>194</v>
      </c>
      <c r="F54" s="226" t="s">
        <v>195</v>
      </c>
      <c r="G54" s="208"/>
      <c r="H54" s="209"/>
      <c r="I54" s="190">
        <f t="shared" si="1"/>
        <v>0</v>
      </c>
      <c r="J54" s="280"/>
    </row>
    <row r="55" spans="1:10" ht="15.9" customHeight="1" x14ac:dyDescent="0.4">
      <c r="A55" s="398"/>
      <c r="B55" s="184"/>
      <c r="C55" s="242"/>
      <c r="D55" s="221" t="s">
        <v>164</v>
      </c>
      <c r="E55" s="32" t="s">
        <v>194</v>
      </c>
      <c r="F55" s="226" t="s">
        <v>195</v>
      </c>
      <c r="G55" s="208"/>
      <c r="H55" s="209"/>
      <c r="I55" s="190">
        <f t="shared" si="1"/>
        <v>0</v>
      </c>
      <c r="J55" s="280"/>
    </row>
    <row r="56" spans="1:10" ht="15.9" customHeight="1" x14ac:dyDescent="0.4">
      <c r="A56" s="398"/>
      <c r="B56" s="184"/>
      <c r="C56" s="243" t="s">
        <v>191</v>
      </c>
      <c r="D56" s="221" t="s">
        <v>163</v>
      </c>
      <c r="E56" s="32" t="s">
        <v>194</v>
      </c>
      <c r="F56" s="226" t="s">
        <v>195</v>
      </c>
      <c r="G56" s="208"/>
      <c r="H56" s="209"/>
      <c r="I56" s="190">
        <f t="shared" si="1"/>
        <v>0</v>
      </c>
      <c r="J56" s="280"/>
    </row>
    <row r="57" spans="1:10" ht="15.9" customHeight="1" x14ac:dyDescent="0.4">
      <c r="A57" s="398"/>
      <c r="B57" s="184"/>
      <c r="C57" s="240"/>
      <c r="D57" s="221" t="s">
        <v>164</v>
      </c>
      <c r="E57" s="32" t="s">
        <v>194</v>
      </c>
      <c r="F57" s="226" t="s">
        <v>195</v>
      </c>
      <c r="G57" s="208"/>
      <c r="H57" s="209"/>
      <c r="I57" s="190">
        <f t="shared" si="1"/>
        <v>0</v>
      </c>
      <c r="J57" s="280"/>
    </row>
    <row r="58" spans="1:10" ht="15.9" customHeight="1" x14ac:dyDescent="0.4">
      <c r="A58" s="398"/>
      <c r="B58" s="184"/>
      <c r="C58" s="240"/>
      <c r="D58" s="221" t="s">
        <v>165</v>
      </c>
      <c r="E58" s="32" t="s">
        <v>194</v>
      </c>
      <c r="F58" s="226" t="s">
        <v>195</v>
      </c>
      <c r="G58" s="208"/>
      <c r="H58" s="209"/>
      <c r="I58" s="190">
        <f t="shared" si="1"/>
        <v>0</v>
      </c>
      <c r="J58" s="280"/>
    </row>
    <row r="59" spans="1:10" ht="15.9" customHeight="1" x14ac:dyDescent="0.4">
      <c r="A59" s="398"/>
      <c r="B59" s="184"/>
      <c r="C59" s="242"/>
      <c r="D59" s="221" t="s">
        <v>188</v>
      </c>
      <c r="E59" s="32" t="s">
        <v>194</v>
      </c>
      <c r="F59" s="226" t="s">
        <v>195</v>
      </c>
      <c r="G59" s="208"/>
      <c r="H59" s="209"/>
      <c r="I59" s="190">
        <f t="shared" si="1"/>
        <v>0</v>
      </c>
      <c r="J59" s="280"/>
    </row>
    <row r="60" spans="1:10" ht="15.9" customHeight="1" x14ac:dyDescent="0.4">
      <c r="A60" s="398"/>
      <c r="B60" s="184"/>
      <c r="C60" s="242" t="s">
        <v>271</v>
      </c>
      <c r="D60" s="237" t="s">
        <v>272</v>
      </c>
      <c r="E60" s="32" t="s">
        <v>194</v>
      </c>
      <c r="F60" s="226" t="s">
        <v>195</v>
      </c>
      <c r="G60" s="208"/>
      <c r="H60" s="209"/>
      <c r="I60" s="190">
        <f t="shared" si="1"/>
        <v>0</v>
      </c>
      <c r="J60" s="280"/>
    </row>
    <row r="61" spans="1:10" ht="15.9" customHeight="1" x14ac:dyDescent="0.4">
      <c r="A61" s="398"/>
      <c r="B61" s="401" t="s">
        <v>192</v>
      </c>
      <c r="C61" s="402"/>
      <c r="D61" s="402"/>
      <c r="E61" s="402"/>
      <c r="F61" s="402"/>
      <c r="G61" s="402"/>
      <c r="H61" s="403"/>
      <c r="I61" s="238">
        <f>SUM(I49:I60)</f>
        <v>0</v>
      </c>
      <c r="J61" s="280"/>
    </row>
    <row r="62" spans="1:10" ht="15.9" customHeight="1" x14ac:dyDescent="0.4">
      <c r="A62" s="398"/>
      <c r="B62" s="286" t="s">
        <v>63</v>
      </c>
      <c r="C62" s="287" t="s">
        <v>193</v>
      </c>
      <c r="D62" s="288"/>
      <c r="E62" s="29" t="s">
        <v>194</v>
      </c>
      <c r="F62" s="46" t="s">
        <v>195</v>
      </c>
      <c r="G62" s="222"/>
      <c r="H62" s="223"/>
      <c r="I62" s="224">
        <f t="shared" si="1"/>
        <v>0</v>
      </c>
      <c r="J62" s="281"/>
    </row>
    <row r="63" spans="1:10" ht="15.9" customHeight="1" x14ac:dyDescent="0.4">
      <c r="A63" s="398"/>
      <c r="B63" s="184"/>
      <c r="C63" s="289" t="s">
        <v>273</v>
      </c>
      <c r="D63" s="290"/>
      <c r="E63" s="32" t="s">
        <v>194</v>
      </c>
      <c r="F63" s="226" t="s">
        <v>195</v>
      </c>
      <c r="G63" s="208"/>
      <c r="H63" s="209"/>
      <c r="I63" s="190">
        <f t="shared" si="1"/>
        <v>0</v>
      </c>
      <c r="J63" s="280"/>
    </row>
    <row r="64" spans="1:10" ht="15.9" customHeight="1" x14ac:dyDescent="0.4">
      <c r="A64" s="398"/>
      <c r="B64" s="184"/>
      <c r="C64" s="289" t="s">
        <v>274</v>
      </c>
      <c r="D64" s="290"/>
      <c r="E64" s="32" t="s">
        <v>194</v>
      </c>
      <c r="F64" s="226" t="s">
        <v>195</v>
      </c>
      <c r="G64" s="208"/>
      <c r="H64" s="209"/>
      <c r="I64" s="190">
        <f t="shared" si="1"/>
        <v>0</v>
      </c>
      <c r="J64" s="280"/>
    </row>
    <row r="65" spans="1:10" ht="15.9" customHeight="1" x14ac:dyDescent="0.4">
      <c r="A65" s="398"/>
      <c r="B65" s="184"/>
      <c r="C65" s="291" t="s">
        <v>275</v>
      </c>
      <c r="D65" s="290"/>
      <c r="E65" s="32" t="s">
        <v>194</v>
      </c>
      <c r="F65" s="226" t="s">
        <v>195</v>
      </c>
      <c r="G65" s="208"/>
      <c r="H65" s="209"/>
      <c r="I65" s="190">
        <f t="shared" si="1"/>
        <v>0</v>
      </c>
      <c r="J65" s="280"/>
    </row>
    <row r="66" spans="1:10" ht="15.9" customHeight="1" x14ac:dyDescent="0.4">
      <c r="A66" s="398"/>
      <c r="B66" s="401" t="s">
        <v>199</v>
      </c>
      <c r="C66" s="402"/>
      <c r="D66" s="402"/>
      <c r="E66" s="402"/>
      <c r="F66" s="402"/>
      <c r="G66" s="402"/>
      <c r="H66" s="403"/>
      <c r="I66" s="251">
        <f>SUM(I62:I65)</f>
        <v>0</v>
      </c>
      <c r="J66" s="282"/>
    </row>
    <row r="67" spans="1:10" ht="15.9" customHeight="1" x14ac:dyDescent="0.4">
      <c r="A67" s="398"/>
      <c r="B67" s="184" t="s">
        <v>81</v>
      </c>
      <c r="C67" s="252" t="s">
        <v>200</v>
      </c>
      <c r="D67" s="253"/>
      <c r="E67" s="211" t="s">
        <v>194</v>
      </c>
      <c r="F67" s="226" t="s">
        <v>195</v>
      </c>
      <c r="G67" s="208"/>
      <c r="H67" s="209"/>
      <c r="I67" s="190">
        <f t="shared" si="1"/>
        <v>0</v>
      </c>
      <c r="J67" s="280"/>
    </row>
    <row r="68" spans="1:10" ht="15.9" customHeight="1" x14ac:dyDescent="0.4">
      <c r="A68" s="398"/>
      <c r="B68" s="184"/>
      <c r="C68" s="229" t="s">
        <v>201</v>
      </c>
      <c r="D68" s="253" t="s">
        <v>202</v>
      </c>
      <c r="E68" s="32" t="s">
        <v>194</v>
      </c>
      <c r="F68" s="226" t="s">
        <v>195</v>
      </c>
      <c r="G68" s="208"/>
      <c r="H68" s="209"/>
      <c r="I68" s="190">
        <f t="shared" si="1"/>
        <v>0</v>
      </c>
      <c r="J68" s="280"/>
    </row>
    <row r="69" spans="1:10" ht="15.9" customHeight="1" x14ac:dyDescent="0.4">
      <c r="A69" s="398"/>
      <c r="B69" s="184"/>
      <c r="C69" s="229" t="s">
        <v>203</v>
      </c>
      <c r="D69" s="253" t="s">
        <v>202</v>
      </c>
      <c r="E69" s="32" t="s">
        <v>194</v>
      </c>
      <c r="F69" s="226" t="s">
        <v>195</v>
      </c>
      <c r="G69" s="208"/>
      <c r="H69" s="209"/>
      <c r="I69" s="190">
        <f t="shared" si="1"/>
        <v>0</v>
      </c>
      <c r="J69" s="280"/>
    </row>
    <row r="70" spans="1:10" ht="15.9" customHeight="1" x14ac:dyDescent="0.4">
      <c r="A70" s="398"/>
      <c r="B70" s="184"/>
      <c r="C70" s="229" t="s">
        <v>204</v>
      </c>
      <c r="D70" s="253" t="s">
        <v>205</v>
      </c>
      <c r="E70" s="32" t="s">
        <v>194</v>
      </c>
      <c r="F70" s="226" t="s">
        <v>195</v>
      </c>
      <c r="G70" s="208"/>
      <c r="H70" s="209"/>
      <c r="I70" s="190">
        <f t="shared" si="1"/>
        <v>0</v>
      </c>
      <c r="J70" s="280"/>
    </row>
    <row r="71" spans="1:10" ht="15.9" customHeight="1" x14ac:dyDescent="0.4">
      <c r="A71" s="398"/>
      <c r="B71" s="184"/>
      <c r="C71" s="229" t="s">
        <v>206</v>
      </c>
      <c r="D71" s="253" t="s">
        <v>205</v>
      </c>
      <c r="E71" s="32" t="s">
        <v>194</v>
      </c>
      <c r="F71" s="226" t="s">
        <v>195</v>
      </c>
      <c r="G71" s="188"/>
      <c r="H71" s="189"/>
      <c r="I71" s="190">
        <f t="shared" si="1"/>
        <v>0</v>
      </c>
      <c r="J71" s="283"/>
    </row>
    <row r="72" spans="1:10" ht="15.9" customHeight="1" x14ac:dyDescent="0.4">
      <c r="A72" s="398"/>
      <c r="B72" s="184"/>
      <c r="C72" s="229" t="s">
        <v>207</v>
      </c>
      <c r="D72" s="253" t="s">
        <v>208</v>
      </c>
      <c r="E72" s="32" t="s">
        <v>194</v>
      </c>
      <c r="F72" s="226" t="s">
        <v>195</v>
      </c>
      <c r="G72" s="188"/>
      <c r="H72" s="189"/>
      <c r="I72" s="190">
        <f t="shared" si="1"/>
        <v>0</v>
      </c>
      <c r="J72" s="283"/>
    </row>
    <row r="73" spans="1:10" ht="15.9" customHeight="1" x14ac:dyDescent="0.4">
      <c r="A73" s="398"/>
      <c r="B73" s="184"/>
      <c r="C73" s="248" t="s">
        <v>209</v>
      </c>
      <c r="D73" s="254"/>
      <c r="E73" s="32" t="s">
        <v>194</v>
      </c>
      <c r="F73" s="226" t="s">
        <v>195</v>
      </c>
      <c r="G73" s="188"/>
      <c r="H73" s="189"/>
      <c r="I73" s="190">
        <f t="shared" si="1"/>
        <v>0</v>
      </c>
      <c r="J73" s="283"/>
    </row>
    <row r="74" spans="1:10" ht="15.9" customHeight="1" x14ac:dyDescent="0.4">
      <c r="A74" s="398"/>
      <c r="B74" s="184"/>
      <c r="C74" s="229" t="s">
        <v>210</v>
      </c>
      <c r="D74" s="253"/>
      <c r="E74" s="32"/>
      <c r="F74" s="226" t="s">
        <v>56</v>
      </c>
      <c r="G74" s="208"/>
      <c r="H74" s="209"/>
      <c r="I74" s="190">
        <f t="shared" si="1"/>
        <v>0</v>
      </c>
      <c r="J74" s="280"/>
    </row>
    <row r="75" spans="1:10" ht="15.9" customHeight="1" x14ac:dyDescent="0.4">
      <c r="A75" s="398"/>
      <c r="B75" s="184"/>
      <c r="C75" s="229" t="s">
        <v>211</v>
      </c>
      <c r="D75" s="253"/>
      <c r="E75" s="32"/>
      <c r="F75" s="226" t="s">
        <v>56</v>
      </c>
      <c r="G75" s="188"/>
      <c r="H75" s="189"/>
      <c r="I75" s="190">
        <f t="shared" si="1"/>
        <v>0</v>
      </c>
      <c r="J75" s="283"/>
    </row>
    <row r="76" spans="1:10" ht="15.9" customHeight="1" x14ac:dyDescent="0.4">
      <c r="A76" s="398"/>
      <c r="B76" s="184"/>
      <c r="C76" s="229" t="s">
        <v>212</v>
      </c>
      <c r="D76" s="253"/>
      <c r="E76" s="32"/>
      <c r="F76" s="226" t="s">
        <v>56</v>
      </c>
      <c r="G76" s="188"/>
      <c r="H76" s="189"/>
      <c r="I76" s="190">
        <f t="shared" si="1"/>
        <v>0</v>
      </c>
      <c r="J76" s="283"/>
    </row>
    <row r="77" spans="1:10" ht="15.9" customHeight="1" x14ac:dyDescent="0.4">
      <c r="A77" s="398"/>
      <c r="B77" s="184"/>
      <c r="C77" s="248" t="s">
        <v>213</v>
      </c>
      <c r="D77" s="254"/>
      <c r="E77" s="32"/>
      <c r="F77" s="226" t="s">
        <v>56</v>
      </c>
      <c r="G77" s="188"/>
      <c r="H77" s="189"/>
      <c r="I77" s="190">
        <f t="shared" si="1"/>
        <v>0</v>
      </c>
      <c r="J77" s="283"/>
    </row>
    <row r="78" spans="1:10" ht="15.9" customHeight="1" x14ac:dyDescent="0.4">
      <c r="A78" s="398"/>
      <c r="B78" s="401" t="s">
        <v>214</v>
      </c>
      <c r="C78" s="402"/>
      <c r="D78" s="402"/>
      <c r="E78" s="402"/>
      <c r="F78" s="402"/>
      <c r="G78" s="402"/>
      <c r="H78" s="403"/>
      <c r="I78" s="238">
        <f>SUM(I67:I77)</f>
        <v>0</v>
      </c>
      <c r="J78" s="284"/>
    </row>
    <row r="79" spans="1:10" ht="15.9" customHeight="1" x14ac:dyDescent="0.4">
      <c r="A79" s="413"/>
      <c r="B79" s="310" t="s">
        <v>215</v>
      </c>
      <c r="C79" s="310"/>
      <c r="D79" s="310"/>
      <c r="E79" s="310"/>
      <c r="F79" s="310"/>
      <c r="G79" s="310"/>
      <c r="H79" s="311"/>
      <c r="I79" s="219">
        <f>SUM(I48,I61,I66,I78)</f>
        <v>0</v>
      </c>
      <c r="J79" s="41"/>
    </row>
    <row r="80" spans="1:10" ht="15.9" customHeight="1" x14ac:dyDescent="0.4">
      <c r="A80" s="397" t="s">
        <v>65</v>
      </c>
      <c r="B80" s="26" t="s">
        <v>65</v>
      </c>
      <c r="C80" s="254" t="s">
        <v>216</v>
      </c>
      <c r="D80" s="254"/>
      <c r="E80" s="32"/>
      <c r="F80" s="226" t="s">
        <v>195</v>
      </c>
      <c r="G80" s="188"/>
      <c r="H80" s="189"/>
      <c r="I80" s="150">
        <f>SUM(G80*H80)</f>
        <v>0</v>
      </c>
      <c r="J80" s="277"/>
    </row>
    <row r="81" spans="1:18" ht="15.9" customHeight="1" x14ac:dyDescent="0.4">
      <c r="A81" s="399"/>
      <c r="C81" s="254" t="s">
        <v>276</v>
      </c>
      <c r="D81" s="254"/>
      <c r="E81" s="32"/>
      <c r="F81" s="226" t="s">
        <v>195</v>
      </c>
      <c r="G81" s="188"/>
      <c r="H81" s="189"/>
      <c r="I81" s="150">
        <f>SUM(G81*H81)</f>
        <v>0</v>
      </c>
      <c r="J81" s="35"/>
    </row>
    <row r="82" spans="1:18" ht="15.9" customHeight="1" x14ac:dyDescent="0.4">
      <c r="A82" s="399"/>
      <c r="B82" s="401" t="s">
        <v>227</v>
      </c>
      <c r="C82" s="402"/>
      <c r="D82" s="402"/>
      <c r="E82" s="402"/>
      <c r="F82" s="402"/>
      <c r="G82" s="402"/>
      <c r="H82" s="403"/>
      <c r="I82" s="256">
        <f>SUM(I80:I81)</f>
        <v>0</v>
      </c>
      <c r="J82" s="285"/>
    </row>
    <row r="83" spans="1:18" ht="15.9" customHeight="1" x14ac:dyDescent="0.4">
      <c r="A83" s="400"/>
      <c r="B83" s="310" t="s">
        <v>227</v>
      </c>
      <c r="C83" s="310"/>
      <c r="D83" s="310"/>
      <c r="E83" s="310"/>
      <c r="F83" s="310"/>
      <c r="G83" s="310"/>
      <c r="H83" s="311"/>
      <c r="I83" s="219">
        <f>SUM(I80:I82)</f>
        <v>0</v>
      </c>
      <c r="J83" s="41"/>
      <c r="L83" s="44"/>
    </row>
    <row r="84" spans="1:18" ht="15.9" customHeight="1" x14ac:dyDescent="0.4">
      <c r="A84" s="199"/>
      <c r="B84" s="257" t="s">
        <v>83</v>
      </c>
      <c r="C84" s="257"/>
      <c r="D84" s="257"/>
      <c r="E84" s="257"/>
      <c r="F84" s="257"/>
      <c r="G84" s="257"/>
      <c r="H84" s="257"/>
      <c r="I84" s="219">
        <f>CEILING(MIN(P91:P92),1000)</f>
        <v>0</v>
      </c>
      <c r="J84" s="260"/>
    </row>
    <row r="85" spans="1:18" ht="15.9" customHeight="1" x14ac:dyDescent="0.4">
      <c r="A85" s="259"/>
      <c r="B85" s="257" t="s">
        <v>69</v>
      </c>
      <c r="C85" s="260" t="s">
        <v>228</v>
      </c>
      <c r="D85" s="260"/>
      <c r="E85" s="41"/>
      <c r="F85" s="182"/>
      <c r="G85" s="261">
        <v>0.05</v>
      </c>
      <c r="H85" s="262"/>
      <c r="I85" s="219">
        <f>SUM(I12,I79,I83)*G85</f>
        <v>0</v>
      </c>
      <c r="J85" s="260"/>
    </row>
    <row r="86" spans="1:18" ht="15.9" customHeight="1" x14ac:dyDescent="0.4">
      <c r="A86" s="259"/>
      <c r="B86" s="257" t="s">
        <v>229</v>
      </c>
      <c r="C86" s="260" t="s">
        <v>230</v>
      </c>
      <c r="D86" s="260"/>
      <c r="E86" s="41"/>
      <c r="F86" s="182"/>
      <c r="G86" s="261">
        <v>0.01</v>
      </c>
      <c r="H86" s="262"/>
      <c r="I86" s="219">
        <f>SUM(I79,I83,I85)*G86</f>
        <v>0</v>
      </c>
      <c r="J86" s="260"/>
    </row>
    <row r="87" spans="1:18" ht="15.9" customHeight="1" x14ac:dyDescent="0.4">
      <c r="A87" s="259"/>
      <c r="B87" s="257" t="s">
        <v>231</v>
      </c>
      <c r="C87" s="260"/>
      <c r="D87" s="260"/>
      <c r="E87" s="41"/>
      <c r="F87" s="41"/>
      <c r="G87" s="45"/>
      <c r="H87" s="45"/>
      <c r="I87" s="263">
        <f>SUM(I12,I79,I83,I84,I85,I86)</f>
        <v>0</v>
      </c>
      <c r="J87" s="41"/>
    </row>
    <row r="88" spans="1:18" x14ac:dyDescent="0.4">
      <c r="A88" s="26"/>
    </row>
    <row r="90" spans="1:18" ht="13.5" customHeight="1" x14ac:dyDescent="0.4">
      <c r="L90" s="404" t="s">
        <v>232</v>
      </c>
      <c r="M90" s="407" t="s">
        <v>233</v>
      </c>
      <c r="N90" s="408"/>
      <c r="O90" s="409"/>
      <c r="P90" s="264" t="s">
        <v>234</v>
      </c>
      <c r="Q90" s="265" t="s">
        <v>235</v>
      </c>
      <c r="R90" s="266" t="s">
        <v>236</v>
      </c>
    </row>
    <row r="91" spans="1:18" x14ac:dyDescent="0.4">
      <c r="L91" s="405"/>
      <c r="M91" s="410" t="s">
        <v>237</v>
      </c>
      <c r="N91" s="411"/>
      <c r="O91" s="412"/>
      <c r="P91" s="267">
        <f>IF(Q91&lt;500000000,Q91*0.0315,1)+IF(Q91&gt;500000000,Q91*0.0253+2450000)*IF(Q91&gt;5000000000,0,1)+IF(Q91&gt;5000000000,Q91*0.026,0)</f>
        <v>0</v>
      </c>
      <c r="Q91" s="268">
        <f>SUM(I12,I79)</f>
        <v>0</v>
      </c>
      <c r="R91" s="269" t="s">
        <v>238</v>
      </c>
    </row>
    <row r="92" spans="1:18" x14ac:dyDescent="0.4">
      <c r="L92" s="406"/>
      <c r="M92" s="410" t="s">
        <v>239</v>
      </c>
      <c r="N92" s="411"/>
      <c r="O92" s="412"/>
      <c r="P92" s="267">
        <f>(IF(Q92&lt;500000000,Q92*0.0315,1)+IF(Q92&gt;500000000,Q92*0.0253+2450000)*IF(Q92&gt;5000000000,0,1)+IF(Q92&gt;5000000000,Q92*0.026,0))*1.2</f>
        <v>0</v>
      </c>
      <c r="Q92" s="268">
        <f>SUMIF(J13:J78,"",I13:I78)</f>
        <v>0</v>
      </c>
      <c r="R92" s="269" t="s">
        <v>240</v>
      </c>
    </row>
    <row r="93" spans="1:18" x14ac:dyDescent="0.4">
      <c r="L93" s="270" t="s">
        <v>241</v>
      </c>
      <c r="M93" s="26"/>
      <c r="N93" s="26"/>
      <c r="O93" s="49"/>
      <c r="P93" s="49"/>
      <c r="Q93" s="48"/>
      <c r="R93" s="69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A955-136C-4A04-B744-416D5488AD2F}">
  <sheetPr>
    <tabColor rgb="FF00B050"/>
    <pageSetUpPr fitToPage="1"/>
  </sheetPr>
  <dimension ref="A1:R95"/>
  <sheetViews>
    <sheetView zoomScale="85" zoomScaleNormal="85" workbookViewId="0">
      <pane xSplit="2" ySplit="2" topLeftCell="C65" activePane="bottomRight" state="frozen"/>
      <selection activeCell="K19" sqref="K19"/>
      <selection pane="topRight" activeCell="K19" sqref="K19"/>
      <selection pane="bottomLeft" activeCell="K19" sqref="K19"/>
      <selection pane="bottomRight" activeCell="K19" sqref="K19"/>
    </sheetView>
  </sheetViews>
  <sheetFormatPr defaultColWidth="9" defaultRowHeight="14.4" x14ac:dyDescent="0.4"/>
  <cols>
    <col min="1" max="1" width="5" style="1" customWidth="1"/>
    <col min="2" max="2" width="21.8984375" style="26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4"/>
    <col min="8" max="8" width="11.8984375" style="44" customWidth="1"/>
    <col min="9" max="9" width="13.59765625" style="44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9" t="s">
        <v>90</v>
      </c>
      <c r="C1" s="180"/>
      <c r="D1" s="181"/>
      <c r="G1" s="271"/>
      <c r="J1" s="1" t="s">
        <v>92</v>
      </c>
    </row>
    <row r="2" spans="1:11" s="26" customFormat="1" ht="16.5" customHeight="1" x14ac:dyDescent="0.4">
      <c r="A2" s="309" t="s">
        <v>93</v>
      </c>
      <c r="B2" s="311"/>
      <c r="C2" s="182" t="s">
        <v>94</v>
      </c>
      <c r="D2" s="182"/>
      <c r="E2" s="182" t="s">
        <v>95</v>
      </c>
      <c r="F2" s="182" t="s">
        <v>48</v>
      </c>
      <c r="G2" s="183" t="s">
        <v>49</v>
      </c>
      <c r="H2" s="183" t="s">
        <v>96</v>
      </c>
      <c r="I2" s="183" t="s">
        <v>97</v>
      </c>
      <c r="J2" s="182" t="s">
        <v>98</v>
      </c>
    </row>
    <row r="3" spans="1:11" ht="15.9" customHeight="1" x14ac:dyDescent="0.4">
      <c r="A3" s="398" t="s">
        <v>244</v>
      </c>
      <c r="B3" s="184" t="s">
        <v>55</v>
      </c>
      <c r="C3" s="206" t="s">
        <v>245</v>
      </c>
      <c r="D3" s="206" t="s">
        <v>246</v>
      </c>
      <c r="E3" s="206" t="s">
        <v>247</v>
      </c>
      <c r="F3" s="207">
        <v>1</v>
      </c>
      <c r="G3" s="208">
        <v>1</v>
      </c>
      <c r="H3" s="209"/>
      <c r="I3" s="190">
        <f>IF(G3=0,H3,H3*G3)</f>
        <v>0</v>
      </c>
      <c r="J3" s="272" t="s">
        <v>248</v>
      </c>
      <c r="K3" s="273" t="s">
        <v>249</v>
      </c>
    </row>
    <row r="4" spans="1:11" ht="15.9" customHeight="1" x14ac:dyDescent="0.4">
      <c r="A4" s="398"/>
      <c r="B4" s="184"/>
      <c r="C4" s="205" t="s">
        <v>250</v>
      </c>
      <c r="D4" s="205"/>
      <c r="E4" s="206"/>
      <c r="F4" s="207"/>
      <c r="G4" s="208"/>
      <c r="H4" s="209"/>
      <c r="I4" s="190"/>
      <c r="J4" s="272"/>
    </row>
    <row r="5" spans="1:11" ht="15.9" customHeight="1" x14ac:dyDescent="0.4">
      <c r="A5" s="399"/>
      <c r="B5" s="199"/>
      <c r="C5" s="274"/>
      <c r="D5" s="274"/>
      <c r="E5" s="275"/>
      <c r="F5" s="275"/>
      <c r="G5" s="276"/>
      <c r="H5" s="276"/>
      <c r="I5" s="203">
        <f>SUM(I3:I4)</f>
        <v>0</v>
      </c>
      <c r="J5" s="275"/>
    </row>
    <row r="6" spans="1:11" ht="15.9" customHeight="1" x14ac:dyDescent="0.4">
      <c r="A6" s="399"/>
      <c r="B6" s="184" t="s">
        <v>57</v>
      </c>
      <c r="C6" s="205"/>
      <c r="D6" s="205"/>
      <c r="E6" s="206"/>
      <c r="F6" s="207"/>
      <c r="G6" s="208"/>
      <c r="H6" s="209"/>
      <c r="I6" s="210">
        <f>IF(G6=0,H6,H6*G6)</f>
        <v>0</v>
      </c>
      <c r="J6" s="277"/>
    </row>
    <row r="7" spans="1:11" ht="15.9" customHeight="1" x14ac:dyDescent="0.4">
      <c r="A7" s="399"/>
      <c r="B7" s="184" t="s">
        <v>151</v>
      </c>
      <c r="C7" s="205"/>
      <c r="D7" s="205"/>
      <c r="E7" s="206"/>
      <c r="F7" s="207"/>
      <c r="G7" s="208"/>
      <c r="H7" s="209"/>
      <c r="I7" s="150">
        <f>IF(G7=0,H7,H7*G7)</f>
        <v>0</v>
      </c>
      <c r="J7" s="277"/>
    </row>
    <row r="8" spans="1:11" ht="15.9" customHeight="1" x14ac:dyDescent="0.4">
      <c r="A8" s="399"/>
      <c r="B8" s="199"/>
      <c r="C8" s="212"/>
      <c r="D8" s="212"/>
      <c r="E8" s="213"/>
      <c r="F8" s="213"/>
      <c r="G8" s="214"/>
      <c r="H8" s="215"/>
      <c r="I8" s="203">
        <f>SUM(I6:I7)</f>
        <v>0</v>
      </c>
      <c r="J8" s="213"/>
    </row>
    <row r="9" spans="1:11" ht="15.9" customHeight="1" x14ac:dyDescent="0.4">
      <c r="A9" s="399"/>
      <c r="B9" s="217" t="s">
        <v>58</v>
      </c>
      <c r="C9" s="185"/>
      <c r="D9" s="185"/>
      <c r="E9" s="185"/>
      <c r="F9" s="187"/>
      <c r="G9" s="218"/>
      <c r="H9" s="189"/>
      <c r="I9" s="165">
        <f>IF(G9=0,H9,H9*G9)</f>
        <v>0</v>
      </c>
      <c r="J9" s="278"/>
    </row>
    <row r="10" spans="1:11" ht="15.9" customHeight="1" x14ac:dyDescent="0.4">
      <c r="A10" s="399"/>
      <c r="B10" s="184"/>
      <c r="C10" s="185"/>
      <c r="D10" s="185"/>
      <c r="E10" s="185"/>
      <c r="F10" s="187"/>
      <c r="G10" s="218"/>
      <c r="H10" s="189"/>
      <c r="I10" s="150">
        <f>IF(G10=0,H10,H10*G10)</f>
        <v>0</v>
      </c>
      <c r="J10" s="32"/>
    </row>
    <row r="11" spans="1:11" ht="15.9" customHeight="1" x14ac:dyDescent="0.4">
      <c r="A11" s="399"/>
      <c r="B11" s="199"/>
      <c r="C11" s="212"/>
      <c r="D11" s="212"/>
      <c r="E11" s="213"/>
      <c r="F11" s="213"/>
      <c r="G11" s="215"/>
      <c r="H11" s="215"/>
      <c r="I11" s="203">
        <f>SUM(I9:I10)</f>
        <v>0</v>
      </c>
      <c r="J11" s="213"/>
    </row>
    <row r="12" spans="1:11" ht="15.9" customHeight="1" x14ac:dyDescent="0.4">
      <c r="A12" s="199"/>
      <c r="B12" s="310" t="s">
        <v>153</v>
      </c>
      <c r="C12" s="310"/>
      <c r="D12" s="310"/>
      <c r="E12" s="310"/>
      <c r="F12" s="310"/>
      <c r="G12" s="310"/>
      <c r="H12" s="311"/>
      <c r="I12" s="219">
        <f>SUM(I11,I8,I5)</f>
        <v>0</v>
      </c>
      <c r="J12" s="41"/>
    </row>
    <row r="13" spans="1:11" ht="15.9" customHeight="1" x14ac:dyDescent="0.4">
      <c r="A13" s="397" t="s">
        <v>154</v>
      </c>
      <c r="B13" s="217" t="s">
        <v>80</v>
      </c>
      <c r="C13" s="220" t="s">
        <v>155</v>
      </c>
      <c r="D13" s="221" t="s">
        <v>156</v>
      </c>
      <c r="E13" s="110" t="s">
        <v>194</v>
      </c>
      <c r="F13" s="46" t="s">
        <v>217</v>
      </c>
      <c r="G13" s="222"/>
      <c r="H13" s="223"/>
      <c r="I13" s="224">
        <f t="shared" ref="I13:I46" si="0">G13*H13</f>
        <v>0</v>
      </c>
      <c r="J13" s="279"/>
    </row>
    <row r="14" spans="1:11" ht="15.9" customHeight="1" x14ac:dyDescent="0.4">
      <c r="A14" s="398"/>
      <c r="B14" s="184"/>
      <c r="C14" s="225"/>
      <c r="D14" s="221" t="s">
        <v>158</v>
      </c>
      <c r="E14" s="32" t="s">
        <v>194</v>
      </c>
      <c r="F14" s="226" t="s">
        <v>195</v>
      </c>
      <c r="G14" s="208"/>
      <c r="H14" s="209"/>
      <c r="I14" s="190">
        <f t="shared" si="0"/>
        <v>0</v>
      </c>
      <c r="J14" s="280"/>
    </row>
    <row r="15" spans="1:11" ht="15.9" customHeight="1" x14ac:dyDescent="0.4">
      <c r="A15" s="398"/>
      <c r="B15" s="184"/>
      <c r="C15" s="227"/>
      <c r="D15" s="221" t="s">
        <v>159</v>
      </c>
      <c r="E15" s="32" t="s">
        <v>194</v>
      </c>
      <c r="F15" s="226" t="s">
        <v>195</v>
      </c>
      <c r="G15" s="208"/>
      <c r="H15" s="209"/>
      <c r="I15" s="190">
        <f t="shared" si="0"/>
        <v>0</v>
      </c>
      <c r="J15" s="280"/>
    </row>
    <row r="16" spans="1:11" ht="15.9" customHeight="1" x14ac:dyDescent="0.4">
      <c r="A16" s="398"/>
      <c r="B16" s="184"/>
      <c r="C16" s="228" t="s">
        <v>160</v>
      </c>
      <c r="D16" s="221" t="s">
        <v>156</v>
      </c>
      <c r="E16" s="32" t="s">
        <v>194</v>
      </c>
      <c r="F16" s="226" t="s">
        <v>195</v>
      </c>
      <c r="G16" s="208"/>
      <c r="H16" s="209"/>
      <c r="I16" s="190">
        <f t="shared" si="0"/>
        <v>0</v>
      </c>
      <c r="J16" s="280"/>
    </row>
    <row r="17" spans="1:10" ht="15.9" customHeight="1" x14ac:dyDescent="0.4">
      <c r="A17" s="398"/>
      <c r="B17" s="184"/>
      <c r="C17" s="225"/>
      <c r="D17" s="221" t="s">
        <v>158</v>
      </c>
      <c r="E17" s="32" t="s">
        <v>194</v>
      </c>
      <c r="F17" s="226" t="s">
        <v>195</v>
      </c>
      <c r="G17" s="208"/>
      <c r="H17" s="209"/>
      <c r="I17" s="190">
        <f t="shared" si="0"/>
        <v>0</v>
      </c>
      <c r="J17" s="280"/>
    </row>
    <row r="18" spans="1:10" ht="15.9" customHeight="1" x14ac:dyDescent="0.4">
      <c r="A18" s="398"/>
      <c r="B18" s="184"/>
      <c r="C18" s="227"/>
      <c r="D18" s="221" t="s">
        <v>159</v>
      </c>
      <c r="E18" s="32" t="s">
        <v>194</v>
      </c>
      <c r="F18" s="226" t="s">
        <v>195</v>
      </c>
      <c r="G18" s="208"/>
      <c r="H18" s="209"/>
      <c r="I18" s="190">
        <f t="shared" si="0"/>
        <v>0</v>
      </c>
      <c r="J18" s="280"/>
    </row>
    <row r="19" spans="1:10" ht="15.9" customHeight="1" x14ac:dyDescent="0.4">
      <c r="A19" s="398"/>
      <c r="B19" s="184"/>
      <c r="C19" s="228" t="s">
        <v>161</v>
      </c>
      <c r="D19" s="221" t="s">
        <v>156</v>
      </c>
      <c r="E19" s="32" t="s">
        <v>194</v>
      </c>
      <c r="F19" s="226" t="s">
        <v>195</v>
      </c>
      <c r="G19" s="208"/>
      <c r="H19" s="209"/>
      <c r="I19" s="190">
        <f t="shared" si="0"/>
        <v>0</v>
      </c>
      <c r="J19" s="280"/>
    </row>
    <row r="20" spans="1:10" ht="15.9" customHeight="1" x14ac:dyDescent="0.4">
      <c r="A20" s="398"/>
      <c r="B20" s="184"/>
      <c r="C20" s="225"/>
      <c r="D20" s="221" t="s">
        <v>158</v>
      </c>
      <c r="E20" s="32" t="s">
        <v>194</v>
      </c>
      <c r="F20" s="226" t="s">
        <v>195</v>
      </c>
      <c r="G20" s="208"/>
      <c r="H20" s="209"/>
      <c r="I20" s="190">
        <f t="shared" si="0"/>
        <v>0</v>
      </c>
      <c r="J20" s="280"/>
    </row>
    <row r="21" spans="1:10" ht="15.9" customHeight="1" x14ac:dyDescent="0.4">
      <c r="A21" s="398"/>
      <c r="B21" s="184"/>
      <c r="C21" s="227"/>
      <c r="D21" s="221" t="s">
        <v>159</v>
      </c>
      <c r="E21" s="32" t="s">
        <v>194</v>
      </c>
      <c r="F21" s="226" t="s">
        <v>195</v>
      </c>
      <c r="G21" s="208"/>
      <c r="H21" s="209"/>
      <c r="I21" s="190">
        <f t="shared" si="0"/>
        <v>0</v>
      </c>
      <c r="J21" s="280"/>
    </row>
    <row r="22" spans="1:10" ht="15.9" customHeight="1" x14ac:dyDescent="0.4">
      <c r="A22" s="398"/>
      <c r="B22" s="184"/>
      <c r="C22" s="228" t="s">
        <v>162</v>
      </c>
      <c r="D22" s="221" t="s">
        <v>163</v>
      </c>
      <c r="E22" s="32" t="s">
        <v>194</v>
      </c>
      <c r="F22" s="226" t="s">
        <v>195</v>
      </c>
      <c r="G22" s="208"/>
      <c r="H22" s="209"/>
      <c r="I22" s="190">
        <f t="shared" si="0"/>
        <v>0</v>
      </c>
      <c r="J22" s="280"/>
    </row>
    <row r="23" spans="1:10" ht="15.9" customHeight="1" x14ac:dyDescent="0.4">
      <c r="A23" s="398"/>
      <c r="B23" s="184"/>
      <c r="C23" s="225"/>
      <c r="D23" s="221" t="s">
        <v>164</v>
      </c>
      <c r="E23" s="32" t="s">
        <v>194</v>
      </c>
      <c r="F23" s="226" t="s">
        <v>195</v>
      </c>
      <c r="G23" s="208"/>
      <c r="H23" s="209"/>
      <c r="I23" s="190">
        <f t="shared" si="0"/>
        <v>0</v>
      </c>
      <c r="J23" s="280"/>
    </row>
    <row r="24" spans="1:10" ht="15.9" customHeight="1" x14ac:dyDescent="0.4">
      <c r="A24" s="398"/>
      <c r="B24" s="184"/>
      <c r="C24" s="227"/>
      <c r="D24" s="221" t="s">
        <v>165</v>
      </c>
      <c r="E24" s="32" t="s">
        <v>194</v>
      </c>
      <c r="F24" s="226" t="s">
        <v>195</v>
      </c>
      <c r="G24" s="208"/>
      <c r="H24" s="209"/>
      <c r="I24" s="190">
        <f t="shared" si="0"/>
        <v>0</v>
      </c>
      <c r="J24" s="280"/>
    </row>
    <row r="25" spans="1:10" ht="15.9" customHeight="1" x14ac:dyDescent="0.4">
      <c r="A25" s="398"/>
      <c r="B25" s="184"/>
      <c r="C25" s="228" t="s">
        <v>166</v>
      </c>
      <c r="D25" s="221" t="s">
        <v>163</v>
      </c>
      <c r="E25" s="32" t="s">
        <v>194</v>
      </c>
      <c r="F25" s="226" t="s">
        <v>195</v>
      </c>
      <c r="G25" s="208"/>
      <c r="H25" s="209"/>
      <c r="I25" s="190">
        <f t="shared" si="0"/>
        <v>0</v>
      </c>
      <c r="J25" s="280"/>
    </row>
    <row r="26" spans="1:10" ht="15.9" customHeight="1" x14ac:dyDescent="0.4">
      <c r="A26" s="398"/>
      <c r="B26" s="184"/>
      <c r="C26" s="225"/>
      <c r="D26" s="221" t="s">
        <v>164</v>
      </c>
      <c r="E26" s="32" t="s">
        <v>194</v>
      </c>
      <c r="F26" s="226" t="s">
        <v>195</v>
      </c>
      <c r="G26" s="208"/>
      <c r="H26" s="209"/>
      <c r="I26" s="190">
        <f t="shared" si="0"/>
        <v>0</v>
      </c>
      <c r="J26" s="280"/>
    </row>
    <row r="27" spans="1:10" ht="15.9" customHeight="1" x14ac:dyDescent="0.4">
      <c r="A27" s="398"/>
      <c r="B27" s="184"/>
      <c r="C27" s="227"/>
      <c r="D27" s="221" t="s">
        <v>165</v>
      </c>
      <c r="E27" s="32" t="s">
        <v>194</v>
      </c>
      <c r="F27" s="226" t="s">
        <v>195</v>
      </c>
      <c r="G27" s="208"/>
      <c r="H27" s="209"/>
      <c r="I27" s="190">
        <f t="shared" si="0"/>
        <v>0</v>
      </c>
      <c r="J27" s="280"/>
    </row>
    <row r="28" spans="1:10" ht="15.9" customHeight="1" x14ac:dyDescent="0.4">
      <c r="A28" s="398"/>
      <c r="B28" s="184"/>
      <c r="C28" s="228" t="s">
        <v>167</v>
      </c>
      <c r="D28" s="221" t="s">
        <v>168</v>
      </c>
      <c r="E28" s="32" t="s">
        <v>194</v>
      </c>
      <c r="F28" s="226" t="s">
        <v>195</v>
      </c>
      <c r="G28" s="208"/>
      <c r="H28" s="209"/>
      <c r="I28" s="190">
        <f t="shared" si="0"/>
        <v>0</v>
      </c>
      <c r="J28" s="280"/>
    </row>
    <row r="29" spans="1:10" ht="15.9" customHeight="1" x14ac:dyDescent="0.4">
      <c r="A29" s="398"/>
      <c r="B29" s="184"/>
      <c r="C29" s="225"/>
      <c r="D29" s="221" t="s">
        <v>169</v>
      </c>
      <c r="E29" s="32" t="s">
        <v>194</v>
      </c>
      <c r="F29" s="226" t="s">
        <v>195</v>
      </c>
      <c r="G29" s="208"/>
      <c r="H29" s="209"/>
      <c r="I29" s="190">
        <f t="shared" si="0"/>
        <v>0</v>
      </c>
      <c r="J29" s="280"/>
    </row>
    <row r="30" spans="1:10" ht="15.9" customHeight="1" x14ac:dyDescent="0.4">
      <c r="A30" s="398"/>
      <c r="B30" s="184"/>
      <c r="C30" s="227"/>
      <c r="D30" s="221" t="s">
        <v>170</v>
      </c>
      <c r="E30" s="32" t="s">
        <v>194</v>
      </c>
      <c r="F30" s="226" t="s">
        <v>195</v>
      </c>
      <c r="G30" s="208"/>
      <c r="H30" s="209"/>
      <c r="I30" s="190">
        <f t="shared" si="0"/>
        <v>0</v>
      </c>
      <c r="J30" s="280"/>
    </row>
    <row r="31" spans="1:10" ht="15.9" customHeight="1" x14ac:dyDescent="0.4">
      <c r="A31" s="398"/>
      <c r="B31" s="184"/>
      <c r="C31" s="229" t="s">
        <v>171</v>
      </c>
      <c r="D31" s="230"/>
      <c r="E31" s="32" t="s">
        <v>194</v>
      </c>
      <c r="F31" s="226" t="s">
        <v>195</v>
      </c>
      <c r="G31" s="208"/>
      <c r="H31" s="209"/>
      <c r="I31" s="190">
        <f t="shared" si="0"/>
        <v>0</v>
      </c>
      <c r="J31" s="280"/>
    </row>
    <row r="32" spans="1:10" ht="15.9" customHeight="1" x14ac:dyDescent="0.4">
      <c r="A32" s="398"/>
      <c r="B32" s="184"/>
      <c r="C32" s="231" t="s">
        <v>172</v>
      </c>
      <c r="D32" s="232" t="s">
        <v>173</v>
      </c>
      <c r="E32" s="32" t="s">
        <v>194</v>
      </c>
      <c r="F32" s="226" t="s">
        <v>195</v>
      </c>
      <c r="G32" s="208"/>
      <c r="H32" s="209"/>
      <c r="I32" s="190">
        <f t="shared" si="0"/>
        <v>0</v>
      </c>
      <c r="J32" s="280"/>
    </row>
    <row r="33" spans="1:10" ht="15.9" customHeight="1" x14ac:dyDescent="0.4">
      <c r="A33" s="398"/>
      <c r="B33" s="184"/>
      <c r="C33" s="233" t="s">
        <v>251</v>
      </c>
      <c r="D33" s="234" t="s">
        <v>175</v>
      </c>
      <c r="E33" s="32" t="s">
        <v>194</v>
      </c>
      <c r="F33" s="226" t="s">
        <v>195</v>
      </c>
      <c r="G33" s="208"/>
      <c r="H33" s="209"/>
      <c r="I33" s="190">
        <f t="shared" si="0"/>
        <v>0</v>
      </c>
      <c r="J33" s="280"/>
    </row>
    <row r="34" spans="1:10" ht="15.9" customHeight="1" x14ac:dyDescent="0.4">
      <c r="A34" s="398"/>
      <c r="B34" s="184"/>
      <c r="C34" s="235" t="s">
        <v>252</v>
      </c>
      <c r="D34" s="236"/>
      <c r="E34" s="32" t="s">
        <v>194</v>
      </c>
      <c r="F34" s="226" t="s">
        <v>195</v>
      </c>
      <c r="G34" s="208"/>
      <c r="H34" s="209"/>
      <c r="I34" s="190">
        <f t="shared" si="0"/>
        <v>0</v>
      </c>
      <c r="J34" s="280"/>
    </row>
    <row r="35" spans="1:10" ht="15.9" customHeight="1" x14ac:dyDescent="0.4">
      <c r="A35" s="398"/>
      <c r="B35" s="184"/>
      <c r="C35" s="235" t="s">
        <v>253</v>
      </c>
      <c r="D35" s="236" t="s">
        <v>177</v>
      </c>
      <c r="E35" s="32" t="s">
        <v>194</v>
      </c>
      <c r="F35" s="226" t="s">
        <v>195</v>
      </c>
      <c r="G35" s="208"/>
      <c r="H35" s="209"/>
      <c r="I35" s="190">
        <f t="shared" si="0"/>
        <v>0</v>
      </c>
      <c r="J35" s="280"/>
    </row>
    <row r="36" spans="1:10" ht="15.9" customHeight="1" x14ac:dyDescent="0.4">
      <c r="A36" s="398"/>
      <c r="B36" s="184"/>
      <c r="C36" s="235" t="s">
        <v>254</v>
      </c>
      <c r="D36" s="236" t="s">
        <v>177</v>
      </c>
      <c r="E36" s="32" t="s">
        <v>194</v>
      </c>
      <c r="F36" s="226" t="s">
        <v>195</v>
      </c>
      <c r="G36" s="208"/>
      <c r="H36" s="209"/>
      <c r="I36" s="190">
        <f t="shared" si="0"/>
        <v>0</v>
      </c>
      <c r="J36" s="280"/>
    </row>
    <row r="37" spans="1:10" ht="15.9" customHeight="1" x14ac:dyDescent="0.4">
      <c r="A37" s="398"/>
      <c r="B37" s="184"/>
      <c r="C37" s="231" t="s">
        <v>255</v>
      </c>
      <c r="D37" s="232" t="s">
        <v>256</v>
      </c>
      <c r="E37" s="32" t="s">
        <v>194</v>
      </c>
      <c r="F37" s="226" t="s">
        <v>195</v>
      </c>
      <c r="G37" s="208"/>
      <c r="H37" s="209"/>
      <c r="I37" s="190">
        <f t="shared" si="0"/>
        <v>0</v>
      </c>
      <c r="J37" s="280"/>
    </row>
    <row r="38" spans="1:10" ht="15.9" customHeight="1" x14ac:dyDescent="0.4">
      <c r="A38" s="398"/>
      <c r="B38" s="184"/>
      <c r="C38" s="235" t="s">
        <v>257</v>
      </c>
      <c r="D38" s="236"/>
      <c r="E38" s="32" t="s">
        <v>194</v>
      </c>
      <c r="F38" s="226" t="s">
        <v>195</v>
      </c>
      <c r="G38" s="208"/>
      <c r="H38" s="209"/>
      <c r="I38" s="190">
        <f t="shared" si="0"/>
        <v>0</v>
      </c>
      <c r="J38" s="280"/>
    </row>
    <row r="39" spans="1:10" ht="15.9" customHeight="1" x14ac:dyDescent="0.4">
      <c r="A39" s="398"/>
      <c r="B39" s="184"/>
      <c r="C39" s="235" t="s">
        <v>258</v>
      </c>
      <c r="D39" s="236" t="s">
        <v>259</v>
      </c>
      <c r="E39" s="32" t="s">
        <v>194</v>
      </c>
      <c r="F39" s="226" t="s">
        <v>195</v>
      </c>
      <c r="G39" s="208"/>
      <c r="H39" s="209"/>
      <c r="I39" s="190">
        <f t="shared" si="0"/>
        <v>0</v>
      </c>
      <c r="J39" s="280"/>
    </row>
    <row r="40" spans="1:10" ht="15.9" customHeight="1" x14ac:dyDescent="0.4">
      <c r="A40" s="398"/>
      <c r="B40" s="184"/>
      <c r="C40" s="228" t="s">
        <v>260</v>
      </c>
      <c r="D40" s="237" t="s">
        <v>181</v>
      </c>
      <c r="E40" s="32" t="s">
        <v>194</v>
      </c>
      <c r="F40" s="226" t="s">
        <v>195</v>
      </c>
      <c r="G40" s="208"/>
      <c r="H40" s="209"/>
      <c r="I40" s="190">
        <f t="shared" si="0"/>
        <v>0</v>
      </c>
      <c r="J40" s="280"/>
    </row>
    <row r="41" spans="1:10" ht="15.9" customHeight="1" x14ac:dyDescent="0.4">
      <c r="A41" s="398"/>
      <c r="B41" s="184"/>
      <c r="C41" s="228" t="s">
        <v>261</v>
      </c>
      <c r="D41" s="237"/>
      <c r="E41" s="32" t="s">
        <v>194</v>
      </c>
      <c r="F41" s="226" t="s">
        <v>195</v>
      </c>
      <c r="G41" s="208"/>
      <c r="H41" s="209"/>
      <c r="I41" s="190">
        <f t="shared" si="0"/>
        <v>0</v>
      </c>
      <c r="J41" s="280"/>
    </row>
    <row r="42" spans="1:10" ht="15.9" customHeight="1" x14ac:dyDescent="0.4">
      <c r="A42" s="398"/>
      <c r="B42" s="184"/>
      <c r="C42" s="235" t="s">
        <v>262</v>
      </c>
      <c r="D42" s="236" t="s">
        <v>263</v>
      </c>
      <c r="E42" s="32" t="s">
        <v>194</v>
      </c>
      <c r="F42" s="226" t="s">
        <v>195</v>
      </c>
      <c r="G42" s="208"/>
      <c r="H42" s="209"/>
      <c r="I42" s="190">
        <f t="shared" si="0"/>
        <v>0</v>
      </c>
      <c r="J42" s="280"/>
    </row>
    <row r="43" spans="1:10" ht="15.9" customHeight="1" x14ac:dyDescent="0.4">
      <c r="A43" s="398"/>
      <c r="B43" s="184"/>
      <c r="C43" s="228" t="s">
        <v>264</v>
      </c>
      <c r="D43" s="237" t="s">
        <v>265</v>
      </c>
      <c r="E43" s="32" t="s">
        <v>194</v>
      </c>
      <c r="F43" s="226" t="s">
        <v>195</v>
      </c>
      <c r="G43" s="208"/>
      <c r="H43" s="209"/>
      <c r="I43" s="190">
        <f t="shared" si="0"/>
        <v>0</v>
      </c>
      <c r="J43" s="280"/>
    </row>
    <row r="44" spans="1:10" ht="15.9" customHeight="1" x14ac:dyDescent="0.4">
      <c r="A44" s="398"/>
      <c r="B44" s="184"/>
      <c r="C44" s="235" t="s">
        <v>266</v>
      </c>
      <c r="D44" s="236" t="s">
        <v>267</v>
      </c>
      <c r="E44" s="32" t="s">
        <v>194</v>
      </c>
      <c r="F44" s="226" t="s">
        <v>195</v>
      </c>
      <c r="G44" s="208"/>
      <c r="H44" s="209"/>
      <c r="I44" s="190">
        <f t="shared" si="0"/>
        <v>0</v>
      </c>
      <c r="J44" s="280"/>
    </row>
    <row r="45" spans="1:10" ht="15.9" customHeight="1" x14ac:dyDescent="0.4">
      <c r="A45" s="398"/>
      <c r="B45" s="184"/>
      <c r="C45" s="235" t="s">
        <v>268</v>
      </c>
      <c r="D45" s="236"/>
      <c r="E45" s="32" t="s">
        <v>194</v>
      </c>
      <c r="F45" s="226" t="s">
        <v>195</v>
      </c>
      <c r="G45" s="208"/>
      <c r="H45" s="209"/>
      <c r="I45" s="190">
        <f t="shared" si="0"/>
        <v>0</v>
      </c>
      <c r="J45" s="280"/>
    </row>
    <row r="46" spans="1:10" ht="15.9" customHeight="1" x14ac:dyDescent="0.4">
      <c r="A46" s="398"/>
      <c r="B46" s="184"/>
      <c r="C46" s="228" t="s">
        <v>269</v>
      </c>
      <c r="D46" s="237"/>
      <c r="E46" s="32" t="s">
        <v>194</v>
      </c>
      <c r="F46" s="226" t="s">
        <v>195</v>
      </c>
      <c r="G46" s="208"/>
      <c r="H46" s="209"/>
      <c r="I46" s="190">
        <f t="shared" si="0"/>
        <v>0</v>
      </c>
      <c r="J46" s="280"/>
    </row>
    <row r="47" spans="1:10" ht="15.9" customHeight="1" x14ac:dyDescent="0.4">
      <c r="A47" s="398"/>
      <c r="B47" s="184"/>
      <c r="C47" s="229" t="s">
        <v>270</v>
      </c>
      <c r="D47" s="237"/>
      <c r="E47" s="32" t="s">
        <v>194</v>
      </c>
      <c r="F47" s="226" t="s">
        <v>195</v>
      </c>
      <c r="G47" s="208"/>
      <c r="H47" s="209"/>
      <c r="I47" s="190">
        <f>G47*H47</f>
        <v>0</v>
      </c>
      <c r="J47" s="280"/>
    </row>
    <row r="48" spans="1:10" ht="15.9" customHeight="1" x14ac:dyDescent="0.4">
      <c r="A48" s="398"/>
      <c r="B48" s="401" t="s">
        <v>183</v>
      </c>
      <c r="C48" s="402"/>
      <c r="D48" s="402"/>
      <c r="E48" s="402"/>
      <c r="F48" s="402"/>
      <c r="G48" s="402"/>
      <c r="H48" s="403"/>
      <c r="I48" s="238">
        <f>SUM(I13:I47)</f>
        <v>0</v>
      </c>
      <c r="J48" s="280"/>
    </row>
    <row r="49" spans="1:10" ht="15.9" customHeight="1" x14ac:dyDescent="0.4">
      <c r="A49" s="398"/>
      <c r="B49" s="217" t="s">
        <v>62</v>
      </c>
      <c r="C49" s="239" t="s">
        <v>184</v>
      </c>
      <c r="D49" s="221" t="s">
        <v>163</v>
      </c>
      <c r="E49" s="29" t="s">
        <v>194</v>
      </c>
      <c r="F49" s="46" t="s">
        <v>195</v>
      </c>
      <c r="G49" s="222"/>
      <c r="H49" s="223"/>
      <c r="I49" s="224">
        <f t="shared" ref="I49:I77" si="1">G49*H49</f>
        <v>0</v>
      </c>
      <c r="J49" s="279"/>
    </row>
    <row r="50" spans="1:10" ht="15.9" customHeight="1" x14ac:dyDescent="0.4">
      <c r="A50" s="398"/>
      <c r="B50" s="184"/>
      <c r="C50" s="240"/>
      <c r="D50" s="221" t="s">
        <v>164</v>
      </c>
      <c r="E50" s="32" t="s">
        <v>194</v>
      </c>
      <c r="F50" s="226" t="s">
        <v>195</v>
      </c>
      <c r="G50" s="208"/>
      <c r="H50" s="209"/>
      <c r="I50" s="190">
        <f t="shared" si="1"/>
        <v>0</v>
      </c>
      <c r="J50" s="280"/>
    </row>
    <row r="51" spans="1:10" ht="15.9" customHeight="1" x14ac:dyDescent="0.4">
      <c r="A51" s="398"/>
      <c r="B51" s="184"/>
      <c r="C51" s="240"/>
      <c r="D51" s="221" t="s">
        <v>165</v>
      </c>
      <c r="E51" s="32" t="s">
        <v>194</v>
      </c>
      <c r="F51" s="226" t="s">
        <v>195</v>
      </c>
      <c r="G51" s="208"/>
      <c r="H51" s="209"/>
      <c r="I51" s="190">
        <f t="shared" si="1"/>
        <v>0</v>
      </c>
      <c r="J51" s="280"/>
    </row>
    <row r="52" spans="1:10" ht="15.9" customHeight="1" x14ac:dyDescent="0.4">
      <c r="A52" s="398"/>
      <c r="B52" s="184"/>
      <c r="C52" s="240"/>
      <c r="D52" s="241" t="s">
        <v>188</v>
      </c>
      <c r="E52" s="32" t="s">
        <v>194</v>
      </c>
      <c r="F52" s="226" t="s">
        <v>195</v>
      </c>
      <c r="G52" s="208"/>
      <c r="H52" s="209"/>
      <c r="I52" s="190">
        <f t="shared" si="1"/>
        <v>0</v>
      </c>
      <c r="J52" s="280"/>
    </row>
    <row r="53" spans="1:10" ht="15.9" customHeight="1" x14ac:dyDescent="0.4">
      <c r="A53" s="398"/>
      <c r="B53" s="184"/>
      <c r="C53" s="242"/>
      <c r="D53" s="221" t="s">
        <v>189</v>
      </c>
      <c r="E53" s="32" t="s">
        <v>194</v>
      </c>
      <c r="F53" s="226" t="s">
        <v>195</v>
      </c>
      <c r="G53" s="208"/>
      <c r="H53" s="209"/>
      <c r="I53" s="190">
        <f t="shared" si="1"/>
        <v>0</v>
      </c>
      <c r="J53" s="280"/>
    </row>
    <row r="54" spans="1:10" ht="15.9" customHeight="1" x14ac:dyDescent="0.4">
      <c r="A54" s="398"/>
      <c r="B54" s="184"/>
      <c r="C54" s="243" t="s">
        <v>190</v>
      </c>
      <c r="D54" s="221" t="s">
        <v>163</v>
      </c>
      <c r="E54" s="32" t="s">
        <v>194</v>
      </c>
      <c r="F54" s="226" t="s">
        <v>195</v>
      </c>
      <c r="G54" s="208"/>
      <c r="H54" s="209"/>
      <c r="I54" s="190">
        <f t="shared" si="1"/>
        <v>0</v>
      </c>
      <c r="J54" s="280"/>
    </row>
    <row r="55" spans="1:10" ht="15.9" customHeight="1" x14ac:dyDescent="0.4">
      <c r="A55" s="398"/>
      <c r="B55" s="184"/>
      <c r="C55" s="242"/>
      <c r="D55" s="221" t="s">
        <v>164</v>
      </c>
      <c r="E55" s="32" t="s">
        <v>194</v>
      </c>
      <c r="F55" s="226" t="s">
        <v>195</v>
      </c>
      <c r="G55" s="208"/>
      <c r="H55" s="209"/>
      <c r="I55" s="190">
        <f t="shared" si="1"/>
        <v>0</v>
      </c>
      <c r="J55" s="280"/>
    </row>
    <row r="56" spans="1:10" ht="15.9" customHeight="1" x14ac:dyDescent="0.4">
      <c r="A56" s="398"/>
      <c r="B56" s="184"/>
      <c r="C56" s="243" t="s">
        <v>191</v>
      </c>
      <c r="D56" s="221" t="s">
        <v>163</v>
      </c>
      <c r="E56" s="32" t="s">
        <v>194</v>
      </c>
      <c r="F56" s="226" t="s">
        <v>195</v>
      </c>
      <c r="G56" s="208"/>
      <c r="H56" s="209"/>
      <c r="I56" s="190">
        <f t="shared" si="1"/>
        <v>0</v>
      </c>
      <c r="J56" s="280"/>
    </row>
    <row r="57" spans="1:10" ht="15.9" customHeight="1" x14ac:dyDescent="0.4">
      <c r="A57" s="398"/>
      <c r="B57" s="184"/>
      <c r="C57" s="240"/>
      <c r="D57" s="221" t="s">
        <v>164</v>
      </c>
      <c r="E57" s="32" t="s">
        <v>194</v>
      </c>
      <c r="F57" s="226" t="s">
        <v>195</v>
      </c>
      <c r="G57" s="208"/>
      <c r="H57" s="209"/>
      <c r="I57" s="190">
        <f t="shared" si="1"/>
        <v>0</v>
      </c>
      <c r="J57" s="280"/>
    </row>
    <row r="58" spans="1:10" ht="15.9" customHeight="1" x14ac:dyDescent="0.4">
      <c r="A58" s="398"/>
      <c r="B58" s="184"/>
      <c r="C58" s="240"/>
      <c r="D58" s="221" t="s">
        <v>165</v>
      </c>
      <c r="E58" s="32" t="s">
        <v>194</v>
      </c>
      <c r="F58" s="226" t="s">
        <v>195</v>
      </c>
      <c r="G58" s="208"/>
      <c r="H58" s="209"/>
      <c r="I58" s="190">
        <f t="shared" si="1"/>
        <v>0</v>
      </c>
      <c r="J58" s="280"/>
    </row>
    <row r="59" spans="1:10" ht="15.9" customHeight="1" x14ac:dyDescent="0.4">
      <c r="A59" s="398"/>
      <c r="B59" s="184"/>
      <c r="C59" s="242"/>
      <c r="D59" s="221" t="s">
        <v>188</v>
      </c>
      <c r="E59" s="32" t="s">
        <v>194</v>
      </c>
      <c r="F59" s="226" t="s">
        <v>195</v>
      </c>
      <c r="G59" s="208"/>
      <c r="H59" s="209"/>
      <c r="I59" s="190">
        <f t="shared" si="1"/>
        <v>0</v>
      </c>
      <c r="J59" s="280"/>
    </row>
    <row r="60" spans="1:10" ht="15.9" customHeight="1" x14ac:dyDescent="0.4">
      <c r="A60" s="398"/>
      <c r="B60" s="184"/>
      <c r="C60" s="242" t="s">
        <v>271</v>
      </c>
      <c r="D60" s="237" t="s">
        <v>272</v>
      </c>
      <c r="E60" s="32" t="s">
        <v>194</v>
      </c>
      <c r="F60" s="226" t="s">
        <v>195</v>
      </c>
      <c r="G60" s="208"/>
      <c r="H60" s="209"/>
      <c r="I60" s="190">
        <f t="shared" si="1"/>
        <v>0</v>
      </c>
      <c r="J60" s="280"/>
    </row>
    <row r="61" spans="1:10" ht="15.9" customHeight="1" x14ac:dyDescent="0.4">
      <c r="A61" s="398"/>
      <c r="B61" s="401" t="s">
        <v>192</v>
      </c>
      <c r="C61" s="402"/>
      <c r="D61" s="402"/>
      <c r="E61" s="402"/>
      <c r="F61" s="402"/>
      <c r="G61" s="402"/>
      <c r="H61" s="403"/>
      <c r="I61" s="238">
        <f>SUM(I49:I60)</f>
        <v>0</v>
      </c>
      <c r="J61" s="280"/>
    </row>
    <row r="62" spans="1:10" ht="15.9" customHeight="1" x14ac:dyDescent="0.4">
      <c r="A62" s="398"/>
      <c r="B62" s="286" t="s">
        <v>63</v>
      </c>
      <c r="C62" s="287" t="s">
        <v>193</v>
      </c>
      <c r="D62" s="288"/>
      <c r="E62" s="29" t="s">
        <v>194</v>
      </c>
      <c r="F62" s="46" t="s">
        <v>195</v>
      </c>
      <c r="G62" s="222"/>
      <c r="H62" s="223"/>
      <c r="I62" s="224">
        <f t="shared" si="1"/>
        <v>0</v>
      </c>
      <c r="J62" s="281"/>
    </row>
    <row r="63" spans="1:10" ht="15.9" customHeight="1" x14ac:dyDescent="0.4">
      <c r="A63" s="398"/>
      <c r="B63" s="184"/>
      <c r="C63" s="289" t="s">
        <v>273</v>
      </c>
      <c r="D63" s="290"/>
      <c r="E63" s="32" t="s">
        <v>194</v>
      </c>
      <c r="F63" s="226" t="s">
        <v>195</v>
      </c>
      <c r="G63" s="208"/>
      <c r="H63" s="209"/>
      <c r="I63" s="190">
        <f t="shared" si="1"/>
        <v>0</v>
      </c>
      <c r="J63" s="280"/>
    </row>
    <row r="64" spans="1:10" ht="15.9" customHeight="1" x14ac:dyDescent="0.4">
      <c r="A64" s="398"/>
      <c r="B64" s="184"/>
      <c r="C64" s="289" t="s">
        <v>274</v>
      </c>
      <c r="D64" s="290"/>
      <c r="E64" s="32" t="s">
        <v>194</v>
      </c>
      <c r="F64" s="226" t="s">
        <v>195</v>
      </c>
      <c r="G64" s="208"/>
      <c r="H64" s="209"/>
      <c r="I64" s="190">
        <f t="shared" si="1"/>
        <v>0</v>
      </c>
      <c r="J64" s="280"/>
    </row>
    <row r="65" spans="1:10" ht="15.9" customHeight="1" x14ac:dyDescent="0.4">
      <c r="A65" s="398"/>
      <c r="B65" s="184"/>
      <c r="C65" s="291" t="s">
        <v>275</v>
      </c>
      <c r="D65" s="290"/>
      <c r="E65" s="32" t="s">
        <v>194</v>
      </c>
      <c r="F65" s="226" t="s">
        <v>195</v>
      </c>
      <c r="G65" s="208"/>
      <c r="H65" s="209"/>
      <c r="I65" s="190">
        <f t="shared" si="1"/>
        <v>0</v>
      </c>
      <c r="J65" s="280"/>
    </row>
    <row r="66" spans="1:10" ht="15.9" customHeight="1" x14ac:dyDescent="0.4">
      <c r="A66" s="398"/>
      <c r="B66" s="401" t="s">
        <v>199</v>
      </c>
      <c r="C66" s="402"/>
      <c r="D66" s="402"/>
      <c r="E66" s="402"/>
      <c r="F66" s="402"/>
      <c r="G66" s="402"/>
      <c r="H66" s="403"/>
      <c r="I66" s="251">
        <f>SUM(I62:I65)</f>
        <v>0</v>
      </c>
      <c r="J66" s="282"/>
    </row>
    <row r="67" spans="1:10" ht="15.9" customHeight="1" x14ac:dyDescent="0.4">
      <c r="A67" s="398"/>
      <c r="B67" s="184" t="s">
        <v>81</v>
      </c>
      <c r="C67" s="252" t="s">
        <v>200</v>
      </c>
      <c r="D67" s="253"/>
      <c r="E67" s="211" t="s">
        <v>194</v>
      </c>
      <c r="F67" s="226" t="s">
        <v>195</v>
      </c>
      <c r="G67" s="208"/>
      <c r="H67" s="209"/>
      <c r="I67" s="190">
        <f t="shared" si="1"/>
        <v>0</v>
      </c>
      <c r="J67" s="280"/>
    </row>
    <row r="68" spans="1:10" ht="15.9" customHeight="1" x14ac:dyDescent="0.4">
      <c r="A68" s="398"/>
      <c r="B68" s="184"/>
      <c r="C68" s="229" t="s">
        <v>201</v>
      </c>
      <c r="D68" s="253" t="s">
        <v>202</v>
      </c>
      <c r="E68" s="32" t="s">
        <v>194</v>
      </c>
      <c r="F68" s="226" t="s">
        <v>195</v>
      </c>
      <c r="G68" s="208"/>
      <c r="H68" s="209"/>
      <c r="I68" s="190">
        <f t="shared" si="1"/>
        <v>0</v>
      </c>
      <c r="J68" s="280"/>
    </row>
    <row r="69" spans="1:10" ht="15.9" customHeight="1" x14ac:dyDescent="0.4">
      <c r="A69" s="398"/>
      <c r="B69" s="184"/>
      <c r="C69" s="229" t="s">
        <v>203</v>
      </c>
      <c r="D69" s="253" t="s">
        <v>202</v>
      </c>
      <c r="E69" s="32" t="s">
        <v>194</v>
      </c>
      <c r="F69" s="226" t="s">
        <v>195</v>
      </c>
      <c r="G69" s="208"/>
      <c r="H69" s="209"/>
      <c r="I69" s="190">
        <f t="shared" si="1"/>
        <v>0</v>
      </c>
      <c r="J69" s="280"/>
    </row>
    <row r="70" spans="1:10" ht="15.9" customHeight="1" x14ac:dyDescent="0.4">
      <c r="A70" s="398"/>
      <c r="B70" s="184"/>
      <c r="C70" s="229" t="s">
        <v>204</v>
      </c>
      <c r="D70" s="253" t="s">
        <v>205</v>
      </c>
      <c r="E70" s="32" t="s">
        <v>194</v>
      </c>
      <c r="F70" s="226" t="s">
        <v>195</v>
      </c>
      <c r="G70" s="208"/>
      <c r="H70" s="209"/>
      <c r="I70" s="190">
        <f t="shared" si="1"/>
        <v>0</v>
      </c>
      <c r="J70" s="280"/>
    </row>
    <row r="71" spans="1:10" ht="15.9" customHeight="1" x14ac:dyDescent="0.4">
      <c r="A71" s="398"/>
      <c r="B71" s="184"/>
      <c r="C71" s="229" t="s">
        <v>206</v>
      </c>
      <c r="D71" s="253" t="s">
        <v>205</v>
      </c>
      <c r="E71" s="32" t="s">
        <v>194</v>
      </c>
      <c r="F71" s="226" t="s">
        <v>195</v>
      </c>
      <c r="G71" s="188"/>
      <c r="H71" s="189"/>
      <c r="I71" s="190">
        <f t="shared" si="1"/>
        <v>0</v>
      </c>
      <c r="J71" s="283"/>
    </row>
    <row r="72" spans="1:10" ht="15.9" customHeight="1" x14ac:dyDescent="0.4">
      <c r="A72" s="398"/>
      <c r="B72" s="184"/>
      <c r="C72" s="229" t="s">
        <v>207</v>
      </c>
      <c r="D72" s="253" t="s">
        <v>208</v>
      </c>
      <c r="E72" s="32" t="s">
        <v>194</v>
      </c>
      <c r="F72" s="226" t="s">
        <v>195</v>
      </c>
      <c r="G72" s="188"/>
      <c r="H72" s="189"/>
      <c r="I72" s="190">
        <f t="shared" si="1"/>
        <v>0</v>
      </c>
      <c r="J72" s="283"/>
    </row>
    <row r="73" spans="1:10" ht="15.9" customHeight="1" x14ac:dyDescent="0.4">
      <c r="A73" s="398"/>
      <c r="B73" s="184"/>
      <c r="C73" s="248" t="s">
        <v>209</v>
      </c>
      <c r="D73" s="254"/>
      <c r="E73" s="32" t="s">
        <v>194</v>
      </c>
      <c r="F73" s="226" t="s">
        <v>195</v>
      </c>
      <c r="G73" s="188"/>
      <c r="H73" s="189"/>
      <c r="I73" s="190">
        <f t="shared" si="1"/>
        <v>0</v>
      </c>
      <c r="J73" s="283"/>
    </row>
    <row r="74" spans="1:10" ht="15.9" customHeight="1" x14ac:dyDescent="0.4">
      <c r="A74" s="398"/>
      <c r="B74" s="184"/>
      <c r="C74" s="229" t="s">
        <v>210</v>
      </c>
      <c r="D74" s="253"/>
      <c r="E74" s="32"/>
      <c r="F74" s="226" t="s">
        <v>56</v>
      </c>
      <c r="G74" s="208"/>
      <c r="H74" s="209"/>
      <c r="I74" s="190">
        <f t="shared" si="1"/>
        <v>0</v>
      </c>
      <c r="J74" s="280"/>
    </row>
    <row r="75" spans="1:10" ht="15.9" customHeight="1" x14ac:dyDescent="0.4">
      <c r="A75" s="398"/>
      <c r="B75" s="184"/>
      <c r="C75" s="229" t="s">
        <v>211</v>
      </c>
      <c r="D75" s="253"/>
      <c r="E75" s="32"/>
      <c r="F75" s="226" t="s">
        <v>56</v>
      </c>
      <c r="G75" s="188"/>
      <c r="H75" s="189"/>
      <c r="I75" s="190">
        <f t="shared" si="1"/>
        <v>0</v>
      </c>
      <c r="J75" s="283"/>
    </row>
    <row r="76" spans="1:10" ht="15.9" customHeight="1" x14ac:dyDescent="0.4">
      <c r="A76" s="398"/>
      <c r="B76" s="184"/>
      <c r="C76" s="229" t="s">
        <v>212</v>
      </c>
      <c r="D76" s="253"/>
      <c r="E76" s="32"/>
      <c r="F76" s="226" t="s">
        <v>56</v>
      </c>
      <c r="G76" s="188"/>
      <c r="H76" s="189"/>
      <c r="I76" s="190">
        <f t="shared" si="1"/>
        <v>0</v>
      </c>
      <c r="J76" s="283"/>
    </row>
    <row r="77" spans="1:10" ht="15.9" customHeight="1" x14ac:dyDescent="0.4">
      <c r="A77" s="398"/>
      <c r="B77" s="184"/>
      <c r="C77" s="248" t="s">
        <v>213</v>
      </c>
      <c r="D77" s="254"/>
      <c r="E77" s="32"/>
      <c r="F77" s="226" t="s">
        <v>56</v>
      </c>
      <c r="G77" s="188"/>
      <c r="H77" s="189"/>
      <c r="I77" s="190">
        <f t="shared" si="1"/>
        <v>0</v>
      </c>
      <c r="J77" s="283"/>
    </row>
    <row r="78" spans="1:10" ht="15.9" customHeight="1" x14ac:dyDescent="0.4">
      <c r="A78" s="398"/>
      <c r="B78" s="401" t="s">
        <v>214</v>
      </c>
      <c r="C78" s="402"/>
      <c r="D78" s="402"/>
      <c r="E78" s="402"/>
      <c r="F78" s="402"/>
      <c r="G78" s="402"/>
      <c r="H78" s="403"/>
      <c r="I78" s="238">
        <f>SUM(I67:I77)</f>
        <v>0</v>
      </c>
      <c r="J78" s="284"/>
    </row>
    <row r="79" spans="1:10" ht="15.9" customHeight="1" x14ac:dyDescent="0.4">
      <c r="A79" s="413"/>
      <c r="B79" s="310" t="s">
        <v>215</v>
      </c>
      <c r="C79" s="310"/>
      <c r="D79" s="310"/>
      <c r="E79" s="310"/>
      <c r="F79" s="310"/>
      <c r="G79" s="310"/>
      <c r="H79" s="311"/>
      <c r="I79" s="219">
        <f>SUM(I48,I61,I66,I78)</f>
        <v>0</v>
      </c>
      <c r="J79" s="41"/>
    </row>
    <row r="80" spans="1:10" ht="15.9" customHeight="1" x14ac:dyDescent="0.4">
      <c r="A80" s="397" t="s">
        <v>65</v>
      </c>
      <c r="B80" s="26" t="s">
        <v>65</v>
      </c>
      <c r="C80" s="254" t="s">
        <v>216</v>
      </c>
      <c r="D80" s="254"/>
      <c r="E80" s="32"/>
      <c r="F80" s="226" t="s">
        <v>195</v>
      </c>
      <c r="G80" s="188"/>
      <c r="H80" s="189"/>
      <c r="I80" s="150">
        <f>SUM(G80*H80)</f>
        <v>0</v>
      </c>
      <c r="J80" s="277"/>
    </row>
    <row r="81" spans="1:18" ht="15.9" customHeight="1" x14ac:dyDescent="0.4">
      <c r="A81" s="399"/>
      <c r="C81" s="254" t="s">
        <v>276</v>
      </c>
      <c r="D81" s="254"/>
      <c r="E81" s="32"/>
      <c r="F81" s="226" t="s">
        <v>195</v>
      </c>
      <c r="G81" s="188"/>
      <c r="H81" s="189"/>
      <c r="I81" s="150">
        <f>SUM(G81*H81)</f>
        <v>0</v>
      </c>
      <c r="J81" s="35"/>
    </row>
    <row r="82" spans="1:18" ht="15.9" customHeight="1" x14ac:dyDescent="0.4">
      <c r="A82" s="399"/>
      <c r="B82" s="401" t="s">
        <v>227</v>
      </c>
      <c r="C82" s="402"/>
      <c r="D82" s="402"/>
      <c r="E82" s="402"/>
      <c r="F82" s="402"/>
      <c r="G82" s="402"/>
      <c r="H82" s="403"/>
      <c r="I82" s="256">
        <f>SUM(I80:I81)</f>
        <v>0</v>
      </c>
      <c r="J82" s="285"/>
    </row>
    <row r="83" spans="1:18" ht="15.9" customHeight="1" x14ac:dyDescent="0.4">
      <c r="A83" s="400"/>
      <c r="B83" s="310" t="s">
        <v>227</v>
      </c>
      <c r="C83" s="310"/>
      <c r="D83" s="310"/>
      <c r="E83" s="310"/>
      <c r="F83" s="310"/>
      <c r="G83" s="310"/>
      <c r="H83" s="311"/>
      <c r="I83" s="219">
        <f>SUM(I80:I82)</f>
        <v>0</v>
      </c>
      <c r="J83" s="41"/>
      <c r="L83" s="44"/>
    </row>
    <row r="84" spans="1:18" ht="15.9" customHeight="1" x14ac:dyDescent="0.4">
      <c r="A84" s="199"/>
      <c r="B84" s="257" t="s">
        <v>83</v>
      </c>
      <c r="C84" s="257"/>
      <c r="D84" s="257"/>
      <c r="E84" s="257"/>
      <c r="F84" s="257"/>
      <c r="G84" s="257"/>
      <c r="H84" s="257"/>
      <c r="I84" s="219">
        <f>CEILING(MIN(P91:P92),1000)</f>
        <v>0</v>
      </c>
      <c r="J84" s="260"/>
    </row>
    <row r="85" spans="1:18" ht="15.9" customHeight="1" x14ac:dyDescent="0.4">
      <c r="A85" s="259"/>
      <c r="B85" s="257" t="s">
        <v>69</v>
      </c>
      <c r="C85" s="260" t="s">
        <v>228</v>
      </c>
      <c r="D85" s="260"/>
      <c r="E85" s="41"/>
      <c r="F85" s="182"/>
      <c r="G85" s="261">
        <v>0.05</v>
      </c>
      <c r="H85" s="262"/>
      <c r="I85" s="219">
        <f>SUM(I12,I79,I83)*G85</f>
        <v>0</v>
      </c>
      <c r="J85" s="260"/>
    </row>
    <row r="86" spans="1:18" ht="15.9" customHeight="1" x14ac:dyDescent="0.4">
      <c r="A86" s="259"/>
      <c r="B86" s="257" t="s">
        <v>229</v>
      </c>
      <c r="C86" s="260" t="s">
        <v>230</v>
      </c>
      <c r="D86" s="260"/>
      <c r="E86" s="41"/>
      <c r="F86" s="182"/>
      <c r="G86" s="261">
        <v>0.01</v>
      </c>
      <c r="H86" s="262"/>
      <c r="I86" s="219">
        <f>SUM(I79,I83,I85)*G86</f>
        <v>0</v>
      </c>
      <c r="J86" s="260"/>
    </row>
    <row r="87" spans="1:18" ht="15.9" customHeight="1" x14ac:dyDescent="0.4">
      <c r="A87" s="259"/>
      <c r="B87" s="257" t="s">
        <v>231</v>
      </c>
      <c r="C87" s="260"/>
      <c r="D87" s="260"/>
      <c r="E87" s="41"/>
      <c r="F87" s="41"/>
      <c r="G87" s="45"/>
      <c r="H87" s="45"/>
      <c r="I87" s="263">
        <f>SUM(I12,I79,I83,I84,I85,I86)</f>
        <v>0</v>
      </c>
      <c r="J87" s="41"/>
    </row>
    <row r="88" spans="1:18" x14ac:dyDescent="0.4">
      <c r="A88" s="26"/>
    </row>
    <row r="90" spans="1:18" ht="13.5" customHeight="1" x14ac:dyDescent="0.4">
      <c r="L90" s="404" t="s">
        <v>232</v>
      </c>
      <c r="M90" s="407" t="s">
        <v>233</v>
      </c>
      <c r="N90" s="408"/>
      <c r="O90" s="409"/>
      <c r="P90" s="264" t="s">
        <v>234</v>
      </c>
      <c r="Q90" s="265" t="s">
        <v>235</v>
      </c>
      <c r="R90" s="266" t="s">
        <v>236</v>
      </c>
    </row>
    <row r="91" spans="1:18" x14ac:dyDescent="0.4">
      <c r="L91" s="405"/>
      <c r="M91" s="410" t="s">
        <v>237</v>
      </c>
      <c r="N91" s="411"/>
      <c r="O91" s="412"/>
      <c r="P91" s="267">
        <f>IF(Q91&lt;500000000,Q91*0.0315,1)+IF(Q91&gt;500000000,Q91*0.0253+2450000)*IF(Q91&gt;5000000000,0,1)+IF(Q91&gt;5000000000,Q91*0.026,0)</f>
        <v>0</v>
      </c>
      <c r="Q91" s="268">
        <f>SUM(I12,I79)</f>
        <v>0</v>
      </c>
      <c r="R91" s="269" t="s">
        <v>238</v>
      </c>
    </row>
    <row r="92" spans="1:18" x14ac:dyDescent="0.4">
      <c r="L92" s="406"/>
      <c r="M92" s="410" t="s">
        <v>239</v>
      </c>
      <c r="N92" s="411"/>
      <c r="O92" s="412"/>
      <c r="P92" s="267">
        <f>(IF(Q92&lt;500000000,Q92*0.0315,1)+IF(Q92&gt;500000000,Q92*0.0253+2450000)*IF(Q92&gt;5000000000,0,1)+IF(Q92&gt;5000000000,Q92*0.026,0))*1.2</f>
        <v>0</v>
      </c>
      <c r="Q92" s="268">
        <f>SUMIF(J13:J78,"",I13:I78)</f>
        <v>0</v>
      </c>
      <c r="R92" s="269" t="s">
        <v>240</v>
      </c>
    </row>
    <row r="93" spans="1:18" x14ac:dyDescent="0.4">
      <c r="L93" s="270" t="s">
        <v>241</v>
      </c>
      <c r="M93" s="26"/>
      <c r="N93" s="26"/>
      <c r="O93" s="49"/>
      <c r="P93" s="49"/>
      <c r="Q93" s="48"/>
      <c r="R93" s="69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1DD0-1BFD-4997-A722-04A301ABBBC5}">
  <sheetPr>
    <tabColor rgb="FF00B050"/>
    <pageSetUpPr fitToPage="1"/>
  </sheetPr>
  <dimension ref="A1:R95"/>
  <sheetViews>
    <sheetView zoomScale="85" zoomScaleNormal="85" workbookViewId="0">
      <pane xSplit="2" ySplit="2" topLeftCell="C58" activePane="bottomRight" state="frozen"/>
      <selection activeCell="K19" sqref="K19"/>
      <selection pane="topRight" activeCell="K19" sqref="K19"/>
      <selection pane="bottomLeft" activeCell="K19" sqref="K19"/>
      <selection pane="bottomRight" activeCell="K19" sqref="K19"/>
    </sheetView>
  </sheetViews>
  <sheetFormatPr defaultColWidth="9" defaultRowHeight="14.4" x14ac:dyDescent="0.4"/>
  <cols>
    <col min="1" max="1" width="5" style="1" customWidth="1"/>
    <col min="2" max="2" width="21.8984375" style="26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4"/>
    <col min="8" max="8" width="11.8984375" style="44" customWidth="1"/>
    <col min="9" max="9" width="13.59765625" style="44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9" t="s">
        <v>90</v>
      </c>
      <c r="C1" s="180"/>
      <c r="D1" s="181"/>
      <c r="G1" s="271"/>
      <c r="J1" s="1" t="s">
        <v>92</v>
      </c>
    </row>
    <row r="2" spans="1:11" s="26" customFormat="1" ht="16.5" customHeight="1" x14ac:dyDescent="0.4">
      <c r="A2" s="309" t="s">
        <v>93</v>
      </c>
      <c r="B2" s="311"/>
      <c r="C2" s="182" t="s">
        <v>94</v>
      </c>
      <c r="D2" s="182"/>
      <c r="E2" s="182" t="s">
        <v>95</v>
      </c>
      <c r="F2" s="182" t="s">
        <v>48</v>
      </c>
      <c r="G2" s="183" t="s">
        <v>49</v>
      </c>
      <c r="H2" s="183" t="s">
        <v>96</v>
      </c>
      <c r="I2" s="183" t="s">
        <v>97</v>
      </c>
      <c r="J2" s="182" t="s">
        <v>98</v>
      </c>
    </row>
    <row r="3" spans="1:11" ht="15.9" customHeight="1" x14ac:dyDescent="0.4">
      <c r="A3" s="398" t="s">
        <v>244</v>
      </c>
      <c r="B3" s="184" t="s">
        <v>55</v>
      </c>
      <c r="C3" s="206" t="s">
        <v>245</v>
      </c>
      <c r="D3" s="206" t="s">
        <v>246</v>
      </c>
      <c r="E3" s="206" t="s">
        <v>247</v>
      </c>
      <c r="F3" s="207">
        <v>1</v>
      </c>
      <c r="G3" s="208">
        <v>1</v>
      </c>
      <c r="H3" s="209"/>
      <c r="I3" s="190">
        <f>IF(G3=0,H3,H3*G3)</f>
        <v>0</v>
      </c>
      <c r="J3" s="272" t="s">
        <v>248</v>
      </c>
      <c r="K3" s="273" t="s">
        <v>249</v>
      </c>
    </row>
    <row r="4" spans="1:11" ht="15.9" customHeight="1" x14ac:dyDescent="0.4">
      <c r="A4" s="398"/>
      <c r="B4" s="184"/>
      <c r="C4" s="205" t="s">
        <v>250</v>
      </c>
      <c r="D4" s="205"/>
      <c r="E4" s="206"/>
      <c r="F4" s="207"/>
      <c r="G4" s="208"/>
      <c r="H4" s="209"/>
      <c r="I4" s="190"/>
      <c r="J4" s="272"/>
    </row>
    <row r="5" spans="1:11" ht="15.9" customHeight="1" x14ac:dyDescent="0.4">
      <c r="A5" s="399"/>
      <c r="B5" s="199"/>
      <c r="C5" s="274"/>
      <c r="D5" s="274"/>
      <c r="E5" s="275"/>
      <c r="F5" s="275"/>
      <c r="G5" s="276"/>
      <c r="H5" s="276"/>
      <c r="I5" s="203">
        <f>SUM(I3:I4)</f>
        <v>0</v>
      </c>
      <c r="J5" s="275"/>
    </row>
    <row r="6" spans="1:11" ht="15.9" customHeight="1" x14ac:dyDescent="0.4">
      <c r="A6" s="399"/>
      <c r="B6" s="184" t="s">
        <v>57</v>
      </c>
      <c r="C6" s="205"/>
      <c r="D6" s="205"/>
      <c r="E6" s="206"/>
      <c r="F6" s="207"/>
      <c r="G6" s="208"/>
      <c r="H6" s="209"/>
      <c r="I6" s="210">
        <f>IF(G6=0,H6,H6*G6)</f>
        <v>0</v>
      </c>
      <c r="J6" s="277"/>
    </row>
    <row r="7" spans="1:11" ht="15.9" customHeight="1" x14ac:dyDescent="0.4">
      <c r="A7" s="399"/>
      <c r="B7" s="184" t="s">
        <v>151</v>
      </c>
      <c r="C7" s="205"/>
      <c r="D7" s="205"/>
      <c r="E7" s="206"/>
      <c r="F7" s="207"/>
      <c r="G7" s="208"/>
      <c r="H7" s="209"/>
      <c r="I7" s="150">
        <f>IF(G7=0,H7,H7*G7)</f>
        <v>0</v>
      </c>
      <c r="J7" s="277"/>
    </row>
    <row r="8" spans="1:11" ht="15.9" customHeight="1" x14ac:dyDescent="0.4">
      <c r="A8" s="399"/>
      <c r="B8" s="199"/>
      <c r="C8" s="212"/>
      <c r="D8" s="212"/>
      <c r="E8" s="213"/>
      <c r="F8" s="213"/>
      <c r="G8" s="214"/>
      <c r="H8" s="215"/>
      <c r="I8" s="203">
        <f>SUM(I6:I7)</f>
        <v>0</v>
      </c>
      <c r="J8" s="213"/>
    </row>
    <row r="9" spans="1:11" ht="15.9" customHeight="1" x14ac:dyDescent="0.4">
      <c r="A9" s="399"/>
      <c r="B9" s="217" t="s">
        <v>58</v>
      </c>
      <c r="C9" s="185"/>
      <c r="D9" s="185"/>
      <c r="E9" s="185"/>
      <c r="F9" s="187"/>
      <c r="G9" s="218"/>
      <c r="H9" s="189"/>
      <c r="I9" s="165">
        <f>IF(G9=0,H9,H9*G9)</f>
        <v>0</v>
      </c>
      <c r="J9" s="278"/>
    </row>
    <row r="10" spans="1:11" ht="15.9" customHeight="1" x14ac:dyDescent="0.4">
      <c r="A10" s="399"/>
      <c r="B10" s="184"/>
      <c r="C10" s="185"/>
      <c r="D10" s="185"/>
      <c r="E10" s="185"/>
      <c r="F10" s="187"/>
      <c r="G10" s="218"/>
      <c r="H10" s="189"/>
      <c r="I10" s="150">
        <f>IF(G10=0,H10,H10*G10)</f>
        <v>0</v>
      </c>
      <c r="J10" s="32"/>
    </row>
    <row r="11" spans="1:11" ht="15.9" customHeight="1" x14ac:dyDescent="0.4">
      <c r="A11" s="399"/>
      <c r="B11" s="199"/>
      <c r="C11" s="212"/>
      <c r="D11" s="212"/>
      <c r="E11" s="213"/>
      <c r="F11" s="213"/>
      <c r="G11" s="215"/>
      <c r="H11" s="215"/>
      <c r="I11" s="203">
        <f>SUM(I9:I10)</f>
        <v>0</v>
      </c>
      <c r="J11" s="213"/>
    </row>
    <row r="12" spans="1:11" ht="15.9" customHeight="1" x14ac:dyDescent="0.4">
      <c r="A12" s="199"/>
      <c r="B12" s="310" t="s">
        <v>153</v>
      </c>
      <c r="C12" s="310"/>
      <c r="D12" s="310"/>
      <c r="E12" s="310"/>
      <c r="F12" s="310"/>
      <c r="G12" s="310"/>
      <c r="H12" s="311"/>
      <c r="I12" s="219">
        <f>SUM(I11,I8,I5)</f>
        <v>0</v>
      </c>
      <c r="J12" s="41"/>
    </row>
    <row r="13" spans="1:11" ht="15.9" customHeight="1" x14ac:dyDescent="0.4">
      <c r="A13" s="397" t="s">
        <v>154</v>
      </c>
      <c r="B13" s="217" t="s">
        <v>80</v>
      </c>
      <c r="C13" s="220" t="s">
        <v>155</v>
      </c>
      <c r="D13" s="221" t="s">
        <v>156</v>
      </c>
      <c r="E13" s="110" t="s">
        <v>194</v>
      </c>
      <c r="F13" s="46" t="s">
        <v>217</v>
      </c>
      <c r="G13" s="222"/>
      <c r="H13" s="223"/>
      <c r="I13" s="224">
        <f t="shared" ref="I13:I46" si="0">G13*H13</f>
        <v>0</v>
      </c>
      <c r="J13" s="279"/>
    </row>
    <row r="14" spans="1:11" ht="15.9" customHeight="1" x14ac:dyDescent="0.4">
      <c r="A14" s="398"/>
      <c r="B14" s="184"/>
      <c r="C14" s="225"/>
      <c r="D14" s="221" t="s">
        <v>158</v>
      </c>
      <c r="E14" s="32" t="s">
        <v>194</v>
      </c>
      <c r="F14" s="226" t="s">
        <v>195</v>
      </c>
      <c r="G14" s="208"/>
      <c r="H14" s="209"/>
      <c r="I14" s="190">
        <f t="shared" si="0"/>
        <v>0</v>
      </c>
      <c r="J14" s="280"/>
    </row>
    <row r="15" spans="1:11" ht="15.9" customHeight="1" x14ac:dyDescent="0.4">
      <c r="A15" s="398"/>
      <c r="B15" s="184"/>
      <c r="C15" s="227"/>
      <c r="D15" s="221" t="s">
        <v>159</v>
      </c>
      <c r="E15" s="32" t="s">
        <v>194</v>
      </c>
      <c r="F15" s="226" t="s">
        <v>195</v>
      </c>
      <c r="G15" s="208"/>
      <c r="H15" s="209"/>
      <c r="I15" s="190">
        <f t="shared" si="0"/>
        <v>0</v>
      </c>
      <c r="J15" s="280"/>
    </row>
    <row r="16" spans="1:11" ht="15.9" customHeight="1" x14ac:dyDescent="0.4">
      <c r="A16" s="398"/>
      <c r="B16" s="184"/>
      <c r="C16" s="228" t="s">
        <v>160</v>
      </c>
      <c r="D16" s="221" t="s">
        <v>156</v>
      </c>
      <c r="E16" s="32" t="s">
        <v>194</v>
      </c>
      <c r="F16" s="226" t="s">
        <v>195</v>
      </c>
      <c r="G16" s="208"/>
      <c r="H16" s="209"/>
      <c r="I16" s="190">
        <f t="shared" si="0"/>
        <v>0</v>
      </c>
      <c r="J16" s="280"/>
    </row>
    <row r="17" spans="1:10" ht="15.9" customHeight="1" x14ac:dyDescent="0.4">
      <c r="A17" s="398"/>
      <c r="B17" s="184"/>
      <c r="C17" s="225"/>
      <c r="D17" s="221" t="s">
        <v>158</v>
      </c>
      <c r="E17" s="32" t="s">
        <v>194</v>
      </c>
      <c r="F17" s="226" t="s">
        <v>195</v>
      </c>
      <c r="G17" s="208"/>
      <c r="H17" s="209"/>
      <c r="I17" s="190">
        <f t="shared" si="0"/>
        <v>0</v>
      </c>
      <c r="J17" s="280"/>
    </row>
    <row r="18" spans="1:10" ht="15.9" customHeight="1" x14ac:dyDescent="0.4">
      <c r="A18" s="398"/>
      <c r="B18" s="184"/>
      <c r="C18" s="227"/>
      <c r="D18" s="221" t="s">
        <v>159</v>
      </c>
      <c r="E18" s="32" t="s">
        <v>194</v>
      </c>
      <c r="F18" s="226" t="s">
        <v>195</v>
      </c>
      <c r="G18" s="208"/>
      <c r="H18" s="209"/>
      <c r="I18" s="190">
        <f t="shared" si="0"/>
        <v>0</v>
      </c>
      <c r="J18" s="280"/>
    </row>
    <row r="19" spans="1:10" ht="15.9" customHeight="1" x14ac:dyDescent="0.4">
      <c r="A19" s="398"/>
      <c r="B19" s="184"/>
      <c r="C19" s="228" t="s">
        <v>161</v>
      </c>
      <c r="D19" s="221" t="s">
        <v>156</v>
      </c>
      <c r="E19" s="32" t="s">
        <v>194</v>
      </c>
      <c r="F19" s="226" t="s">
        <v>195</v>
      </c>
      <c r="G19" s="208"/>
      <c r="H19" s="209"/>
      <c r="I19" s="190">
        <f t="shared" si="0"/>
        <v>0</v>
      </c>
      <c r="J19" s="280"/>
    </row>
    <row r="20" spans="1:10" ht="15.9" customHeight="1" x14ac:dyDescent="0.4">
      <c r="A20" s="398"/>
      <c r="B20" s="184"/>
      <c r="C20" s="225"/>
      <c r="D20" s="221" t="s">
        <v>158</v>
      </c>
      <c r="E20" s="32" t="s">
        <v>194</v>
      </c>
      <c r="F20" s="226" t="s">
        <v>195</v>
      </c>
      <c r="G20" s="208"/>
      <c r="H20" s="209"/>
      <c r="I20" s="190">
        <f t="shared" si="0"/>
        <v>0</v>
      </c>
      <c r="J20" s="280"/>
    </row>
    <row r="21" spans="1:10" ht="15.9" customHeight="1" x14ac:dyDescent="0.4">
      <c r="A21" s="398"/>
      <c r="B21" s="184"/>
      <c r="C21" s="227"/>
      <c r="D21" s="221" t="s">
        <v>159</v>
      </c>
      <c r="E21" s="32" t="s">
        <v>194</v>
      </c>
      <c r="F21" s="226" t="s">
        <v>195</v>
      </c>
      <c r="G21" s="208"/>
      <c r="H21" s="209"/>
      <c r="I21" s="190">
        <f t="shared" si="0"/>
        <v>0</v>
      </c>
      <c r="J21" s="280"/>
    </row>
    <row r="22" spans="1:10" ht="15.9" customHeight="1" x14ac:dyDescent="0.4">
      <c r="A22" s="398"/>
      <c r="B22" s="184"/>
      <c r="C22" s="228" t="s">
        <v>162</v>
      </c>
      <c r="D22" s="221" t="s">
        <v>163</v>
      </c>
      <c r="E22" s="32" t="s">
        <v>194</v>
      </c>
      <c r="F22" s="226" t="s">
        <v>195</v>
      </c>
      <c r="G22" s="208"/>
      <c r="H22" s="209"/>
      <c r="I22" s="190">
        <f t="shared" si="0"/>
        <v>0</v>
      </c>
      <c r="J22" s="280"/>
    </row>
    <row r="23" spans="1:10" ht="15.9" customHeight="1" x14ac:dyDescent="0.4">
      <c r="A23" s="398"/>
      <c r="B23" s="184"/>
      <c r="C23" s="225"/>
      <c r="D23" s="221" t="s">
        <v>164</v>
      </c>
      <c r="E23" s="32" t="s">
        <v>194</v>
      </c>
      <c r="F23" s="226" t="s">
        <v>195</v>
      </c>
      <c r="G23" s="208"/>
      <c r="H23" s="209"/>
      <c r="I23" s="190">
        <f t="shared" si="0"/>
        <v>0</v>
      </c>
      <c r="J23" s="280"/>
    </row>
    <row r="24" spans="1:10" ht="15.9" customHeight="1" x14ac:dyDescent="0.4">
      <c r="A24" s="398"/>
      <c r="B24" s="184"/>
      <c r="C24" s="227"/>
      <c r="D24" s="221" t="s">
        <v>165</v>
      </c>
      <c r="E24" s="32" t="s">
        <v>194</v>
      </c>
      <c r="F24" s="226" t="s">
        <v>195</v>
      </c>
      <c r="G24" s="208"/>
      <c r="H24" s="209"/>
      <c r="I24" s="190">
        <f t="shared" si="0"/>
        <v>0</v>
      </c>
      <c r="J24" s="280"/>
    </row>
    <row r="25" spans="1:10" ht="15.9" customHeight="1" x14ac:dyDescent="0.4">
      <c r="A25" s="398"/>
      <c r="B25" s="184"/>
      <c r="C25" s="228" t="s">
        <v>166</v>
      </c>
      <c r="D25" s="221" t="s">
        <v>163</v>
      </c>
      <c r="E25" s="32" t="s">
        <v>194</v>
      </c>
      <c r="F25" s="226" t="s">
        <v>195</v>
      </c>
      <c r="G25" s="208"/>
      <c r="H25" s="209"/>
      <c r="I25" s="190">
        <f t="shared" si="0"/>
        <v>0</v>
      </c>
      <c r="J25" s="280"/>
    </row>
    <row r="26" spans="1:10" ht="15.9" customHeight="1" x14ac:dyDescent="0.4">
      <c r="A26" s="398"/>
      <c r="B26" s="184"/>
      <c r="C26" s="225"/>
      <c r="D26" s="221" t="s">
        <v>164</v>
      </c>
      <c r="E26" s="32" t="s">
        <v>194</v>
      </c>
      <c r="F26" s="226" t="s">
        <v>195</v>
      </c>
      <c r="G26" s="208"/>
      <c r="H26" s="209"/>
      <c r="I26" s="190">
        <f t="shared" si="0"/>
        <v>0</v>
      </c>
      <c r="J26" s="280"/>
    </row>
    <row r="27" spans="1:10" ht="15.9" customHeight="1" x14ac:dyDescent="0.4">
      <c r="A27" s="398"/>
      <c r="B27" s="184"/>
      <c r="C27" s="227"/>
      <c r="D27" s="221" t="s">
        <v>165</v>
      </c>
      <c r="E27" s="32" t="s">
        <v>194</v>
      </c>
      <c r="F27" s="226" t="s">
        <v>195</v>
      </c>
      <c r="G27" s="208"/>
      <c r="H27" s="209"/>
      <c r="I27" s="190">
        <f t="shared" si="0"/>
        <v>0</v>
      </c>
      <c r="J27" s="280"/>
    </row>
    <row r="28" spans="1:10" ht="15.9" customHeight="1" x14ac:dyDescent="0.4">
      <c r="A28" s="398"/>
      <c r="B28" s="184"/>
      <c r="C28" s="228" t="s">
        <v>167</v>
      </c>
      <c r="D28" s="221" t="s">
        <v>168</v>
      </c>
      <c r="E28" s="32" t="s">
        <v>194</v>
      </c>
      <c r="F28" s="226" t="s">
        <v>195</v>
      </c>
      <c r="G28" s="208"/>
      <c r="H28" s="209"/>
      <c r="I28" s="190">
        <f t="shared" si="0"/>
        <v>0</v>
      </c>
      <c r="J28" s="280"/>
    </row>
    <row r="29" spans="1:10" ht="15.9" customHeight="1" x14ac:dyDescent="0.4">
      <c r="A29" s="398"/>
      <c r="B29" s="184"/>
      <c r="C29" s="225"/>
      <c r="D29" s="221" t="s">
        <v>169</v>
      </c>
      <c r="E29" s="32" t="s">
        <v>194</v>
      </c>
      <c r="F29" s="226" t="s">
        <v>195</v>
      </c>
      <c r="G29" s="208"/>
      <c r="H29" s="209"/>
      <c r="I29" s="190">
        <f t="shared" si="0"/>
        <v>0</v>
      </c>
      <c r="J29" s="280"/>
    </row>
    <row r="30" spans="1:10" ht="15.9" customHeight="1" x14ac:dyDescent="0.4">
      <c r="A30" s="398"/>
      <c r="B30" s="184"/>
      <c r="C30" s="227"/>
      <c r="D30" s="221" t="s">
        <v>170</v>
      </c>
      <c r="E30" s="32" t="s">
        <v>194</v>
      </c>
      <c r="F30" s="226" t="s">
        <v>195</v>
      </c>
      <c r="G30" s="208"/>
      <c r="H30" s="209"/>
      <c r="I30" s="190">
        <f t="shared" si="0"/>
        <v>0</v>
      </c>
      <c r="J30" s="280"/>
    </row>
    <row r="31" spans="1:10" ht="15.9" customHeight="1" x14ac:dyDescent="0.4">
      <c r="A31" s="398"/>
      <c r="B31" s="184"/>
      <c r="C31" s="229" t="s">
        <v>171</v>
      </c>
      <c r="D31" s="230"/>
      <c r="E31" s="32" t="s">
        <v>194</v>
      </c>
      <c r="F31" s="226" t="s">
        <v>195</v>
      </c>
      <c r="G31" s="208"/>
      <c r="H31" s="209"/>
      <c r="I31" s="190">
        <f t="shared" si="0"/>
        <v>0</v>
      </c>
      <c r="J31" s="280"/>
    </row>
    <row r="32" spans="1:10" ht="15.9" customHeight="1" x14ac:dyDescent="0.4">
      <c r="A32" s="398"/>
      <c r="B32" s="184"/>
      <c r="C32" s="231" t="s">
        <v>172</v>
      </c>
      <c r="D32" s="232" t="s">
        <v>173</v>
      </c>
      <c r="E32" s="32" t="s">
        <v>194</v>
      </c>
      <c r="F32" s="226" t="s">
        <v>195</v>
      </c>
      <c r="G32" s="208"/>
      <c r="H32" s="209"/>
      <c r="I32" s="190">
        <f t="shared" si="0"/>
        <v>0</v>
      </c>
      <c r="J32" s="280"/>
    </row>
    <row r="33" spans="1:10" ht="15.9" customHeight="1" x14ac:dyDescent="0.4">
      <c r="A33" s="398"/>
      <c r="B33" s="184"/>
      <c r="C33" s="233" t="s">
        <v>251</v>
      </c>
      <c r="D33" s="234" t="s">
        <v>175</v>
      </c>
      <c r="E33" s="32" t="s">
        <v>194</v>
      </c>
      <c r="F33" s="226" t="s">
        <v>195</v>
      </c>
      <c r="G33" s="208"/>
      <c r="H33" s="209"/>
      <c r="I33" s="190">
        <f t="shared" si="0"/>
        <v>0</v>
      </c>
      <c r="J33" s="280"/>
    </row>
    <row r="34" spans="1:10" ht="15.9" customHeight="1" x14ac:dyDescent="0.4">
      <c r="A34" s="398"/>
      <c r="B34" s="184"/>
      <c r="C34" s="235" t="s">
        <v>252</v>
      </c>
      <c r="D34" s="236"/>
      <c r="E34" s="32" t="s">
        <v>194</v>
      </c>
      <c r="F34" s="226" t="s">
        <v>195</v>
      </c>
      <c r="G34" s="208"/>
      <c r="H34" s="209"/>
      <c r="I34" s="190">
        <f t="shared" si="0"/>
        <v>0</v>
      </c>
      <c r="J34" s="280"/>
    </row>
    <row r="35" spans="1:10" ht="15.9" customHeight="1" x14ac:dyDescent="0.4">
      <c r="A35" s="398"/>
      <c r="B35" s="184"/>
      <c r="C35" s="235" t="s">
        <v>253</v>
      </c>
      <c r="D35" s="236" t="s">
        <v>177</v>
      </c>
      <c r="E35" s="32" t="s">
        <v>194</v>
      </c>
      <c r="F35" s="226" t="s">
        <v>195</v>
      </c>
      <c r="G35" s="208"/>
      <c r="H35" s="209"/>
      <c r="I35" s="190">
        <f t="shared" si="0"/>
        <v>0</v>
      </c>
      <c r="J35" s="280"/>
    </row>
    <row r="36" spans="1:10" ht="15.9" customHeight="1" x14ac:dyDescent="0.4">
      <c r="A36" s="398"/>
      <c r="B36" s="184"/>
      <c r="C36" s="235" t="s">
        <v>254</v>
      </c>
      <c r="D36" s="236" t="s">
        <v>177</v>
      </c>
      <c r="E36" s="32" t="s">
        <v>194</v>
      </c>
      <c r="F36" s="226" t="s">
        <v>195</v>
      </c>
      <c r="G36" s="208"/>
      <c r="H36" s="209"/>
      <c r="I36" s="190">
        <f t="shared" si="0"/>
        <v>0</v>
      </c>
      <c r="J36" s="280"/>
    </row>
    <row r="37" spans="1:10" ht="15.9" customHeight="1" x14ac:dyDescent="0.4">
      <c r="A37" s="398"/>
      <c r="B37" s="184"/>
      <c r="C37" s="231" t="s">
        <v>255</v>
      </c>
      <c r="D37" s="232" t="s">
        <v>256</v>
      </c>
      <c r="E37" s="32" t="s">
        <v>194</v>
      </c>
      <c r="F37" s="226" t="s">
        <v>195</v>
      </c>
      <c r="G37" s="208"/>
      <c r="H37" s="209"/>
      <c r="I37" s="190">
        <f t="shared" si="0"/>
        <v>0</v>
      </c>
      <c r="J37" s="280"/>
    </row>
    <row r="38" spans="1:10" ht="15.9" customHeight="1" x14ac:dyDescent="0.4">
      <c r="A38" s="398"/>
      <c r="B38" s="184"/>
      <c r="C38" s="235" t="s">
        <v>257</v>
      </c>
      <c r="D38" s="236"/>
      <c r="E38" s="32" t="s">
        <v>194</v>
      </c>
      <c r="F38" s="226" t="s">
        <v>195</v>
      </c>
      <c r="G38" s="208"/>
      <c r="H38" s="209"/>
      <c r="I38" s="190">
        <f t="shared" si="0"/>
        <v>0</v>
      </c>
      <c r="J38" s="280"/>
    </row>
    <row r="39" spans="1:10" ht="15.9" customHeight="1" x14ac:dyDescent="0.4">
      <c r="A39" s="398"/>
      <c r="B39" s="184"/>
      <c r="C39" s="235" t="s">
        <v>258</v>
      </c>
      <c r="D39" s="236" t="s">
        <v>259</v>
      </c>
      <c r="E39" s="32" t="s">
        <v>194</v>
      </c>
      <c r="F39" s="226" t="s">
        <v>195</v>
      </c>
      <c r="G39" s="208"/>
      <c r="H39" s="209"/>
      <c r="I39" s="190">
        <f t="shared" si="0"/>
        <v>0</v>
      </c>
      <c r="J39" s="280"/>
    </row>
    <row r="40" spans="1:10" ht="15.9" customHeight="1" x14ac:dyDescent="0.4">
      <c r="A40" s="398"/>
      <c r="B40" s="184"/>
      <c r="C40" s="228" t="s">
        <v>260</v>
      </c>
      <c r="D40" s="237" t="s">
        <v>181</v>
      </c>
      <c r="E40" s="32" t="s">
        <v>194</v>
      </c>
      <c r="F40" s="226" t="s">
        <v>195</v>
      </c>
      <c r="G40" s="208"/>
      <c r="H40" s="209"/>
      <c r="I40" s="190">
        <f t="shared" si="0"/>
        <v>0</v>
      </c>
      <c r="J40" s="280"/>
    </row>
    <row r="41" spans="1:10" ht="15.9" customHeight="1" x14ac:dyDescent="0.4">
      <c r="A41" s="398"/>
      <c r="B41" s="184"/>
      <c r="C41" s="228" t="s">
        <v>261</v>
      </c>
      <c r="D41" s="237"/>
      <c r="E41" s="32" t="s">
        <v>194</v>
      </c>
      <c r="F41" s="226" t="s">
        <v>195</v>
      </c>
      <c r="G41" s="208"/>
      <c r="H41" s="209"/>
      <c r="I41" s="190">
        <f t="shared" si="0"/>
        <v>0</v>
      </c>
      <c r="J41" s="280"/>
    </row>
    <row r="42" spans="1:10" ht="15.9" customHeight="1" x14ac:dyDescent="0.4">
      <c r="A42" s="398"/>
      <c r="B42" s="184"/>
      <c r="C42" s="235" t="s">
        <v>262</v>
      </c>
      <c r="D42" s="236" t="s">
        <v>263</v>
      </c>
      <c r="E42" s="32" t="s">
        <v>194</v>
      </c>
      <c r="F42" s="226" t="s">
        <v>195</v>
      </c>
      <c r="G42" s="208"/>
      <c r="H42" s="209"/>
      <c r="I42" s="190">
        <f t="shared" si="0"/>
        <v>0</v>
      </c>
      <c r="J42" s="280"/>
    </row>
    <row r="43" spans="1:10" ht="15.9" customHeight="1" x14ac:dyDescent="0.4">
      <c r="A43" s="398"/>
      <c r="B43" s="184"/>
      <c r="C43" s="228" t="s">
        <v>264</v>
      </c>
      <c r="D43" s="237" t="s">
        <v>265</v>
      </c>
      <c r="E43" s="32" t="s">
        <v>194</v>
      </c>
      <c r="F43" s="226" t="s">
        <v>195</v>
      </c>
      <c r="G43" s="208"/>
      <c r="H43" s="209"/>
      <c r="I43" s="190">
        <f t="shared" si="0"/>
        <v>0</v>
      </c>
      <c r="J43" s="280"/>
    </row>
    <row r="44" spans="1:10" ht="15.9" customHeight="1" x14ac:dyDescent="0.4">
      <c r="A44" s="398"/>
      <c r="B44" s="184"/>
      <c r="C44" s="235" t="s">
        <v>266</v>
      </c>
      <c r="D44" s="236" t="s">
        <v>267</v>
      </c>
      <c r="E44" s="32" t="s">
        <v>194</v>
      </c>
      <c r="F44" s="226" t="s">
        <v>195</v>
      </c>
      <c r="G44" s="208"/>
      <c r="H44" s="209"/>
      <c r="I44" s="190">
        <f t="shared" si="0"/>
        <v>0</v>
      </c>
      <c r="J44" s="280"/>
    </row>
    <row r="45" spans="1:10" ht="15.9" customHeight="1" x14ac:dyDescent="0.4">
      <c r="A45" s="398"/>
      <c r="B45" s="184"/>
      <c r="C45" s="235" t="s">
        <v>268</v>
      </c>
      <c r="D45" s="236"/>
      <c r="E45" s="32" t="s">
        <v>194</v>
      </c>
      <c r="F45" s="226" t="s">
        <v>195</v>
      </c>
      <c r="G45" s="208"/>
      <c r="H45" s="209"/>
      <c r="I45" s="190">
        <f t="shared" si="0"/>
        <v>0</v>
      </c>
      <c r="J45" s="280"/>
    </row>
    <row r="46" spans="1:10" ht="15.9" customHeight="1" x14ac:dyDescent="0.4">
      <c r="A46" s="398"/>
      <c r="B46" s="184"/>
      <c r="C46" s="228" t="s">
        <v>269</v>
      </c>
      <c r="D46" s="237"/>
      <c r="E46" s="32" t="s">
        <v>194</v>
      </c>
      <c r="F46" s="226" t="s">
        <v>195</v>
      </c>
      <c r="G46" s="208"/>
      <c r="H46" s="209"/>
      <c r="I46" s="190">
        <f t="shared" si="0"/>
        <v>0</v>
      </c>
      <c r="J46" s="280"/>
    </row>
    <row r="47" spans="1:10" ht="15.9" customHeight="1" x14ac:dyDescent="0.4">
      <c r="A47" s="398"/>
      <c r="B47" s="184"/>
      <c r="C47" s="229" t="s">
        <v>270</v>
      </c>
      <c r="D47" s="237"/>
      <c r="E47" s="32" t="s">
        <v>194</v>
      </c>
      <c r="F47" s="226" t="s">
        <v>195</v>
      </c>
      <c r="G47" s="208"/>
      <c r="H47" s="209"/>
      <c r="I47" s="190">
        <f>G47*H47</f>
        <v>0</v>
      </c>
      <c r="J47" s="280"/>
    </row>
    <row r="48" spans="1:10" ht="15.9" customHeight="1" x14ac:dyDescent="0.4">
      <c r="A48" s="398"/>
      <c r="B48" s="401" t="s">
        <v>183</v>
      </c>
      <c r="C48" s="402"/>
      <c r="D48" s="402"/>
      <c r="E48" s="402"/>
      <c r="F48" s="402"/>
      <c r="G48" s="402"/>
      <c r="H48" s="403"/>
      <c r="I48" s="238">
        <f>SUM(I13:I47)</f>
        <v>0</v>
      </c>
      <c r="J48" s="280"/>
    </row>
    <row r="49" spans="1:10" ht="15.9" customHeight="1" x14ac:dyDescent="0.4">
      <c r="A49" s="398"/>
      <c r="B49" s="217" t="s">
        <v>62</v>
      </c>
      <c r="C49" s="239" t="s">
        <v>184</v>
      </c>
      <c r="D49" s="221" t="s">
        <v>163</v>
      </c>
      <c r="E49" s="29" t="s">
        <v>194</v>
      </c>
      <c r="F49" s="46" t="s">
        <v>195</v>
      </c>
      <c r="G49" s="222"/>
      <c r="H49" s="223"/>
      <c r="I49" s="224">
        <f t="shared" ref="I49:I77" si="1">G49*H49</f>
        <v>0</v>
      </c>
      <c r="J49" s="279"/>
    </row>
    <row r="50" spans="1:10" ht="15.9" customHeight="1" x14ac:dyDescent="0.4">
      <c r="A50" s="398"/>
      <c r="B50" s="184"/>
      <c r="C50" s="240"/>
      <c r="D50" s="221" t="s">
        <v>164</v>
      </c>
      <c r="E50" s="32" t="s">
        <v>194</v>
      </c>
      <c r="F50" s="226" t="s">
        <v>195</v>
      </c>
      <c r="G50" s="208"/>
      <c r="H50" s="209"/>
      <c r="I50" s="190">
        <f t="shared" si="1"/>
        <v>0</v>
      </c>
      <c r="J50" s="280"/>
    </row>
    <row r="51" spans="1:10" ht="15.9" customHeight="1" x14ac:dyDescent="0.4">
      <c r="A51" s="398"/>
      <c r="B51" s="184"/>
      <c r="C51" s="240"/>
      <c r="D51" s="221" t="s">
        <v>165</v>
      </c>
      <c r="E51" s="32" t="s">
        <v>194</v>
      </c>
      <c r="F51" s="226" t="s">
        <v>195</v>
      </c>
      <c r="G51" s="208"/>
      <c r="H51" s="209"/>
      <c r="I51" s="190">
        <f t="shared" si="1"/>
        <v>0</v>
      </c>
      <c r="J51" s="280"/>
    </row>
    <row r="52" spans="1:10" ht="15.9" customHeight="1" x14ac:dyDescent="0.4">
      <c r="A52" s="398"/>
      <c r="B52" s="184"/>
      <c r="C52" s="240"/>
      <c r="D52" s="241" t="s">
        <v>188</v>
      </c>
      <c r="E52" s="32" t="s">
        <v>194</v>
      </c>
      <c r="F52" s="226" t="s">
        <v>195</v>
      </c>
      <c r="G52" s="208"/>
      <c r="H52" s="209"/>
      <c r="I52" s="190">
        <f t="shared" si="1"/>
        <v>0</v>
      </c>
      <c r="J52" s="280"/>
    </row>
    <row r="53" spans="1:10" ht="15.9" customHeight="1" x14ac:dyDescent="0.4">
      <c r="A53" s="398"/>
      <c r="B53" s="184"/>
      <c r="C53" s="242"/>
      <c r="D53" s="221" t="s">
        <v>189</v>
      </c>
      <c r="E53" s="32" t="s">
        <v>194</v>
      </c>
      <c r="F53" s="226" t="s">
        <v>195</v>
      </c>
      <c r="G53" s="208"/>
      <c r="H53" s="209"/>
      <c r="I53" s="190">
        <f t="shared" si="1"/>
        <v>0</v>
      </c>
      <c r="J53" s="280"/>
    </row>
    <row r="54" spans="1:10" ht="15.9" customHeight="1" x14ac:dyDescent="0.4">
      <c r="A54" s="398"/>
      <c r="B54" s="184"/>
      <c r="C54" s="243" t="s">
        <v>190</v>
      </c>
      <c r="D54" s="221" t="s">
        <v>163</v>
      </c>
      <c r="E54" s="32" t="s">
        <v>194</v>
      </c>
      <c r="F54" s="226" t="s">
        <v>195</v>
      </c>
      <c r="G54" s="208"/>
      <c r="H54" s="209"/>
      <c r="I54" s="190">
        <f t="shared" si="1"/>
        <v>0</v>
      </c>
      <c r="J54" s="280"/>
    </row>
    <row r="55" spans="1:10" ht="15.9" customHeight="1" x14ac:dyDescent="0.4">
      <c r="A55" s="398"/>
      <c r="B55" s="184"/>
      <c r="C55" s="242"/>
      <c r="D55" s="221" t="s">
        <v>164</v>
      </c>
      <c r="E55" s="32" t="s">
        <v>194</v>
      </c>
      <c r="F55" s="226" t="s">
        <v>195</v>
      </c>
      <c r="G55" s="208"/>
      <c r="H55" s="209"/>
      <c r="I55" s="190">
        <f t="shared" si="1"/>
        <v>0</v>
      </c>
      <c r="J55" s="280"/>
    </row>
    <row r="56" spans="1:10" ht="15.9" customHeight="1" x14ac:dyDescent="0.4">
      <c r="A56" s="398"/>
      <c r="B56" s="184"/>
      <c r="C56" s="243" t="s">
        <v>191</v>
      </c>
      <c r="D56" s="221" t="s">
        <v>163</v>
      </c>
      <c r="E56" s="32" t="s">
        <v>194</v>
      </c>
      <c r="F56" s="226" t="s">
        <v>195</v>
      </c>
      <c r="G56" s="208"/>
      <c r="H56" s="209"/>
      <c r="I56" s="190">
        <f t="shared" si="1"/>
        <v>0</v>
      </c>
      <c r="J56" s="280"/>
    </row>
    <row r="57" spans="1:10" ht="15.9" customHeight="1" x14ac:dyDescent="0.4">
      <c r="A57" s="398"/>
      <c r="B57" s="184"/>
      <c r="C57" s="240"/>
      <c r="D57" s="221" t="s">
        <v>164</v>
      </c>
      <c r="E57" s="32" t="s">
        <v>194</v>
      </c>
      <c r="F57" s="226" t="s">
        <v>195</v>
      </c>
      <c r="G57" s="208"/>
      <c r="H57" s="209"/>
      <c r="I57" s="190">
        <f t="shared" si="1"/>
        <v>0</v>
      </c>
      <c r="J57" s="280"/>
    </row>
    <row r="58" spans="1:10" ht="15.9" customHeight="1" x14ac:dyDescent="0.4">
      <c r="A58" s="398"/>
      <c r="B58" s="184"/>
      <c r="C58" s="240"/>
      <c r="D58" s="221" t="s">
        <v>165</v>
      </c>
      <c r="E58" s="32" t="s">
        <v>194</v>
      </c>
      <c r="F58" s="226" t="s">
        <v>195</v>
      </c>
      <c r="G58" s="208"/>
      <c r="H58" s="209"/>
      <c r="I58" s="190">
        <f t="shared" si="1"/>
        <v>0</v>
      </c>
      <c r="J58" s="280"/>
    </row>
    <row r="59" spans="1:10" ht="15.9" customHeight="1" x14ac:dyDescent="0.4">
      <c r="A59" s="398"/>
      <c r="B59" s="184"/>
      <c r="C59" s="242"/>
      <c r="D59" s="221" t="s">
        <v>188</v>
      </c>
      <c r="E59" s="32" t="s">
        <v>194</v>
      </c>
      <c r="F59" s="226" t="s">
        <v>195</v>
      </c>
      <c r="G59" s="208"/>
      <c r="H59" s="209"/>
      <c r="I59" s="190">
        <f t="shared" si="1"/>
        <v>0</v>
      </c>
      <c r="J59" s="280"/>
    </row>
    <row r="60" spans="1:10" ht="15.9" customHeight="1" x14ac:dyDescent="0.4">
      <c r="A60" s="398"/>
      <c r="B60" s="184"/>
      <c r="C60" s="242" t="s">
        <v>271</v>
      </c>
      <c r="D60" s="237" t="s">
        <v>272</v>
      </c>
      <c r="E60" s="32" t="s">
        <v>194</v>
      </c>
      <c r="F60" s="226" t="s">
        <v>195</v>
      </c>
      <c r="G60" s="208"/>
      <c r="H60" s="209"/>
      <c r="I60" s="190">
        <f t="shared" si="1"/>
        <v>0</v>
      </c>
      <c r="J60" s="280"/>
    </row>
    <row r="61" spans="1:10" ht="15.9" customHeight="1" x14ac:dyDescent="0.4">
      <c r="A61" s="398"/>
      <c r="B61" s="401" t="s">
        <v>192</v>
      </c>
      <c r="C61" s="402"/>
      <c r="D61" s="402"/>
      <c r="E61" s="402"/>
      <c r="F61" s="402"/>
      <c r="G61" s="402"/>
      <c r="H61" s="403"/>
      <c r="I61" s="238">
        <f>SUM(I49:I60)</f>
        <v>0</v>
      </c>
      <c r="J61" s="280"/>
    </row>
    <row r="62" spans="1:10" ht="15.9" customHeight="1" x14ac:dyDescent="0.4">
      <c r="A62" s="398"/>
      <c r="B62" s="286" t="s">
        <v>63</v>
      </c>
      <c r="C62" s="287" t="s">
        <v>193</v>
      </c>
      <c r="D62" s="288"/>
      <c r="E62" s="29" t="s">
        <v>194</v>
      </c>
      <c r="F62" s="46" t="s">
        <v>195</v>
      </c>
      <c r="G62" s="222"/>
      <c r="H62" s="223"/>
      <c r="I62" s="224">
        <f t="shared" si="1"/>
        <v>0</v>
      </c>
      <c r="J62" s="281"/>
    </row>
    <row r="63" spans="1:10" ht="15.9" customHeight="1" x14ac:dyDescent="0.4">
      <c r="A63" s="398"/>
      <c r="B63" s="184"/>
      <c r="C63" s="289" t="s">
        <v>273</v>
      </c>
      <c r="D63" s="290"/>
      <c r="E63" s="32" t="s">
        <v>194</v>
      </c>
      <c r="F63" s="226" t="s">
        <v>195</v>
      </c>
      <c r="G63" s="208"/>
      <c r="H63" s="209"/>
      <c r="I63" s="190">
        <f t="shared" si="1"/>
        <v>0</v>
      </c>
      <c r="J63" s="280"/>
    </row>
    <row r="64" spans="1:10" ht="15.9" customHeight="1" x14ac:dyDescent="0.4">
      <c r="A64" s="398"/>
      <c r="B64" s="184"/>
      <c r="C64" s="289" t="s">
        <v>274</v>
      </c>
      <c r="D64" s="290"/>
      <c r="E64" s="32" t="s">
        <v>194</v>
      </c>
      <c r="F64" s="226" t="s">
        <v>195</v>
      </c>
      <c r="G64" s="208"/>
      <c r="H64" s="209"/>
      <c r="I64" s="190">
        <f t="shared" si="1"/>
        <v>0</v>
      </c>
      <c r="J64" s="280"/>
    </row>
    <row r="65" spans="1:10" ht="15.9" customHeight="1" x14ac:dyDescent="0.4">
      <c r="A65" s="398"/>
      <c r="B65" s="184"/>
      <c r="C65" s="291" t="s">
        <v>275</v>
      </c>
      <c r="D65" s="290"/>
      <c r="E65" s="32" t="s">
        <v>194</v>
      </c>
      <c r="F65" s="226" t="s">
        <v>195</v>
      </c>
      <c r="G65" s="208"/>
      <c r="H65" s="209"/>
      <c r="I65" s="190">
        <f t="shared" si="1"/>
        <v>0</v>
      </c>
      <c r="J65" s="280"/>
    </row>
    <row r="66" spans="1:10" ht="15.9" customHeight="1" x14ac:dyDescent="0.4">
      <c r="A66" s="398"/>
      <c r="B66" s="401" t="s">
        <v>199</v>
      </c>
      <c r="C66" s="402"/>
      <c r="D66" s="402"/>
      <c r="E66" s="402"/>
      <c r="F66" s="402"/>
      <c r="G66" s="402"/>
      <c r="H66" s="403"/>
      <c r="I66" s="251">
        <f>SUM(I62:I65)</f>
        <v>0</v>
      </c>
      <c r="J66" s="282"/>
    </row>
    <row r="67" spans="1:10" ht="15.9" customHeight="1" x14ac:dyDescent="0.4">
      <c r="A67" s="398"/>
      <c r="B67" s="184" t="s">
        <v>81</v>
      </c>
      <c r="C67" s="252" t="s">
        <v>200</v>
      </c>
      <c r="D67" s="253"/>
      <c r="E67" s="211" t="s">
        <v>194</v>
      </c>
      <c r="F67" s="226" t="s">
        <v>195</v>
      </c>
      <c r="G67" s="208"/>
      <c r="H67" s="209"/>
      <c r="I67" s="190">
        <f t="shared" si="1"/>
        <v>0</v>
      </c>
      <c r="J67" s="280"/>
    </row>
    <row r="68" spans="1:10" ht="15.9" customHeight="1" x14ac:dyDescent="0.4">
      <c r="A68" s="398"/>
      <c r="B68" s="184"/>
      <c r="C68" s="229" t="s">
        <v>201</v>
      </c>
      <c r="D68" s="253" t="s">
        <v>202</v>
      </c>
      <c r="E68" s="32" t="s">
        <v>194</v>
      </c>
      <c r="F68" s="226" t="s">
        <v>195</v>
      </c>
      <c r="G68" s="208"/>
      <c r="H68" s="209"/>
      <c r="I68" s="190">
        <f t="shared" si="1"/>
        <v>0</v>
      </c>
      <c r="J68" s="280"/>
    </row>
    <row r="69" spans="1:10" ht="15.9" customHeight="1" x14ac:dyDescent="0.4">
      <c r="A69" s="398"/>
      <c r="B69" s="184"/>
      <c r="C69" s="229" t="s">
        <v>203</v>
      </c>
      <c r="D69" s="253" t="s">
        <v>202</v>
      </c>
      <c r="E69" s="32" t="s">
        <v>194</v>
      </c>
      <c r="F69" s="226" t="s">
        <v>195</v>
      </c>
      <c r="G69" s="208"/>
      <c r="H69" s="209"/>
      <c r="I69" s="190">
        <f t="shared" si="1"/>
        <v>0</v>
      </c>
      <c r="J69" s="280"/>
    </row>
    <row r="70" spans="1:10" ht="15.9" customHeight="1" x14ac:dyDescent="0.4">
      <c r="A70" s="398"/>
      <c r="B70" s="184"/>
      <c r="C70" s="229" t="s">
        <v>204</v>
      </c>
      <c r="D70" s="253" t="s">
        <v>205</v>
      </c>
      <c r="E70" s="32" t="s">
        <v>194</v>
      </c>
      <c r="F70" s="226" t="s">
        <v>195</v>
      </c>
      <c r="G70" s="208"/>
      <c r="H70" s="209"/>
      <c r="I70" s="190">
        <f t="shared" si="1"/>
        <v>0</v>
      </c>
      <c r="J70" s="280"/>
    </row>
    <row r="71" spans="1:10" ht="15.9" customHeight="1" x14ac:dyDescent="0.4">
      <c r="A71" s="398"/>
      <c r="B71" s="184"/>
      <c r="C71" s="229" t="s">
        <v>206</v>
      </c>
      <c r="D71" s="253" t="s">
        <v>205</v>
      </c>
      <c r="E71" s="32" t="s">
        <v>194</v>
      </c>
      <c r="F71" s="226" t="s">
        <v>195</v>
      </c>
      <c r="G71" s="188"/>
      <c r="H71" s="189"/>
      <c r="I71" s="190">
        <f t="shared" si="1"/>
        <v>0</v>
      </c>
      <c r="J71" s="283"/>
    </row>
    <row r="72" spans="1:10" ht="15.9" customHeight="1" x14ac:dyDescent="0.4">
      <c r="A72" s="398"/>
      <c r="B72" s="184"/>
      <c r="C72" s="229" t="s">
        <v>207</v>
      </c>
      <c r="D72" s="253" t="s">
        <v>208</v>
      </c>
      <c r="E72" s="32" t="s">
        <v>194</v>
      </c>
      <c r="F72" s="226" t="s">
        <v>195</v>
      </c>
      <c r="G72" s="188"/>
      <c r="H72" s="189"/>
      <c r="I72" s="190">
        <f t="shared" si="1"/>
        <v>0</v>
      </c>
      <c r="J72" s="283"/>
    </row>
    <row r="73" spans="1:10" ht="15.9" customHeight="1" x14ac:dyDescent="0.4">
      <c r="A73" s="398"/>
      <c r="B73" s="184"/>
      <c r="C73" s="248" t="s">
        <v>209</v>
      </c>
      <c r="D73" s="254"/>
      <c r="E73" s="32" t="s">
        <v>194</v>
      </c>
      <c r="F73" s="226" t="s">
        <v>195</v>
      </c>
      <c r="G73" s="188"/>
      <c r="H73" s="189"/>
      <c r="I73" s="190">
        <f t="shared" si="1"/>
        <v>0</v>
      </c>
      <c r="J73" s="283"/>
    </row>
    <row r="74" spans="1:10" ht="15.9" customHeight="1" x14ac:dyDescent="0.4">
      <c r="A74" s="398"/>
      <c r="B74" s="184"/>
      <c r="C74" s="229" t="s">
        <v>210</v>
      </c>
      <c r="D74" s="253"/>
      <c r="E74" s="32"/>
      <c r="F74" s="226" t="s">
        <v>56</v>
      </c>
      <c r="G74" s="208"/>
      <c r="H74" s="209"/>
      <c r="I74" s="190">
        <f t="shared" si="1"/>
        <v>0</v>
      </c>
      <c r="J74" s="280"/>
    </row>
    <row r="75" spans="1:10" ht="15.9" customHeight="1" x14ac:dyDescent="0.4">
      <c r="A75" s="398"/>
      <c r="B75" s="184"/>
      <c r="C75" s="229" t="s">
        <v>211</v>
      </c>
      <c r="D75" s="253"/>
      <c r="E75" s="32"/>
      <c r="F75" s="226" t="s">
        <v>56</v>
      </c>
      <c r="G75" s="188"/>
      <c r="H75" s="189"/>
      <c r="I75" s="190">
        <f t="shared" si="1"/>
        <v>0</v>
      </c>
      <c r="J75" s="283"/>
    </row>
    <row r="76" spans="1:10" ht="15.9" customHeight="1" x14ac:dyDescent="0.4">
      <c r="A76" s="398"/>
      <c r="B76" s="184"/>
      <c r="C76" s="229" t="s">
        <v>212</v>
      </c>
      <c r="D76" s="253"/>
      <c r="E76" s="32"/>
      <c r="F76" s="226" t="s">
        <v>56</v>
      </c>
      <c r="G76" s="188"/>
      <c r="H76" s="189"/>
      <c r="I76" s="190">
        <f t="shared" si="1"/>
        <v>0</v>
      </c>
      <c r="J76" s="283"/>
    </row>
    <row r="77" spans="1:10" ht="15.9" customHeight="1" x14ac:dyDescent="0.4">
      <c r="A77" s="398"/>
      <c r="B77" s="184"/>
      <c r="C77" s="248" t="s">
        <v>213</v>
      </c>
      <c r="D77" s="254"/>
      <c r="E77" s="32"/>
      <c r="F77" s="226" t="s">
        <v>56</v>
      </c>
      <c r="G77" s="188"/>
      <c r="H77" s="189"/>
      <c r="I77" s="190">
        <f t="shared" si="1"/>
        <v>0</v>
      </c>
      <c r="J77" s="283"/>
    </row>
    <row r="78" spans="1:10" ht="15.9" customHeight="1" x14ac:dyDescent="0.4">
      <c r="A78" s="398"/>
      <c r="B78" s="401" t="s">
        <v>214</v>
      </c>
      <c r="C78" s="402"/>
      <c r="D78" s="402"/>
      <c r="E78" s="402"/>
      <c r="F78" s="402"/>
      <c r="G78" s="402"/>
      <c r="H78" s="403"/>
      <c r="I78" s="238">
        <f>SUM(I67:I77)</f>
        <v>0</v>
      </c>
      <c r="J78" s="284"/>
    </row>
    <row r="79" spans="1:10" ht="15.9" customHeight="1" x14ac:dyDescent="0.4">
      <c r="A79" s="413"/>
      <c r="B79" s="310" t="s">
        <v>215</v>
      </c>
      <c r="C79" s="310"/>
      <c r="D79" s="310"/>
      <c r="E79" s="310"/>
      <c r="F79" s="310"/>
      <c r="G79" s="310"/>
      <c r="H79" s="311"/>
      <c r="I79" s="219">
        <f>SUM(I48,I61,I66,I78)</f>
        <v>0</v>
      </c>
      <c r="J79" s="41"/>
    </row>
    <row r="80" spans="1:10" ht="15.9" customHeight="1" x14ac:dyDescent="0.4">
      <c r="A80" s="397" t="s">
        <v>65</v>
      </c>
      <c r="B80" s="26" t="s">
        <v>65</v>
      </c>
      <c r="C80" s="254" t="s">
        <v>216</v>
      </c>
      <c r="D80" s="254"/>
      <c r="E80" s="32"/>
      <c r="F80" s="226" t="s">
        <v>195</v>
      </c>
      <c r="G80" s="188"/>
      <c r="H80" s="189"/>
      <c r="I80" s="150">
        <f>SUM(G80*H80)</f>
        <v>0</v>
      </c>
      <c r="J80" s="277"/>
    </row>
    <row r="81" spans="1:18" ht="15.9" customHeight="1" x14ac:dyDescent="0.4">
      <c r="A81" s="399"/>
      <c r="C81" s="254" t="s">
        <v>276</v>
      </c>
      <c r="D81" s="254"/>
      <c r="E81" s="32"/>
      <c r="F81" s="226" t="s">
        <v>195</v>
      </c>
      <c r="G81" s="188"/>
      <c r="H81" s="189"/>
      <c r="I81" s="150">
        <f>SUM(G81*H81)</f>
        <v>0</v>
      </c>
      <c r="J81" s="35"/>
    </row>
    <row r="82" spans="1:18" ht="15.9" customHeight="1" x14ac:dyDescent="0.4">
      <c r="A82" s="399"/>
      <c r="B82" s="401" t="s">
        <v>227</v>
      </c>
      <c r="C82" s="402"/>
      <c r="D82" s="402"/>
      <c r="E82" s="402"/>
      <c r="F82" s="402"/>
      <c r="G82" s="402"/>
      <c r="H82" s="403"/>
      <c r="I82" s="256">
        <f>SUM(I80:I81)</f>
        <v>0</v>
      </c>
      <c r="J82" s="285"/>
    </row>
    <row r="83" spans="1:18" ht="15.9" customHeight="1" x14ac:dyDescent="0.4">
      <c r="A83" s="400"/>
      <c r="B83" s="310" t="s">
        <v>227</v>
      </c>
      <c r="C83" s="310"/>
      <c r="D83" s="310"/>
      <c r="E83" s="310"/>
      <c r="F83" s="310"/>
      <c r="G83" s="310"/>
      <c r="H83" s="311"/>
      <c r="I83" s="219">
        <f>SUM(I80:I82)</f>
        <v>0</v>
      </c>
      <c r="J83" s="41"/>
      <c r="L83" s="44"/>
    </row>
    <row r="84" spans="1:18" ht="15.9" customHeight="1" x14ac:dyDescent="0.4">
      <c r="A84" s="199"/>
      <c r="B84" s="257" t="s">
        <v>83</v>
      </c>
      <c r="C84" s="257"/>
      <c r="D84" s="257"/>
      <c r="E84" s="257"/>
      <c r="F84" s="257"/>
      <c r="G84" s="257"/>
      <c r="H84" s="257"/>
      <c r="I84" s="219">
        <f>CEILING(MIN(P91:P92),1000)</f>
        <v>0</v>
      </c>
      <c r="J84" s="260"/>
    </row>
    <row r="85" spans="1:18" ht="15.9" customHeight="1" x14ac:dyDescent="0.4">
      <c r="A85" s="259"/>
      <c r="B85" s="257" t="s">
        <v>69</v>
      </c>
      <c r="C85" s="260" t="s">
        <v>228</v>
      </c>
      <c r="D85" s="260"/>
      <c r="E85" s="41"/>
      <c r="F85" s="182"/>
      <c r="G85" s="261">
        <v>0.05</v>
      </c>
      <c r="H85" s="262"/>
      <c r="I85" s="219">
        <f>SUM(I12,I79,I83)*G85</f>
        <v>0</v>
      </c>
      <c r="J85" s="260"/>
    </row>
    <row r="86" spans="1:18" ht="15.9" customHeight="1" x14ac:dyDescent="0.4">
      <c r="A86" s="259"/>
      <c r="B86" s="257" t="s">
        <v>229</v>
      </c>
      <c r="C86" s="260" t="s">
        <v>230</v>
      </c>
      <c r="D86" s="260"/>
      <c r="E86" s="41"/>
      <c r="F86" s="182"/>
      <c r="G86" s="261">
        <v>0.01</v>
      </c>
      <c r="H86" s="262"/>
      <c r="I86" s="219">
        <f>SUM(I79,I83,I85)*G86</f>
        <v>0</v>
      </c>
      <c r="J86" s="260"/>
    </row>
    <row r="87" spans="1:18" ht="15.9" customHeight="1" x14ac:dyDescent="0.4">
      <c r="A87" s="259"/>
      <c r="B87" s="257" t="s">
        <v>231</v>
      </c>
      <c r="C87" s="260"/>
      <c r="D87" s="260"/>
      <c r="E87" s="41"/>
      <c r="F87" s="41"/>
      <c r="G87" s="45"/>
      <c r="H87" s="45"/>
      <c r="I87" s="263">
        <f>SUM(I12,I79,I83,I84,I85,I86)</f>
        <v>0</v>
      </c>
      <c r="J87" s="41"/>
    </row>
    <row r="88" spans="1:18" x14ac:dyDescent="0.4">
      <c r="A88" s="26"/>
    </row>
    <row r="90" spans="1:18" ht="13.5" customHeight="1" x14ac:dyDescent="0.4">
      <c r="L90" s="404" t="s">
        <v>232</v>
      </c>
      <c r="M90" s="407" t="s">
        <v>233</v>
      </c>
      <c r="N90" s="408"/>
      <c r="O90" s="409"/>
      <c r="P90" s="264" t="s">
        <v>234</v>
      </c>
      <c r="Q90" s="265" t="s">
        <v>235</v>
      </c>
      <c r="R90" s="266" t="s">
        <v>236</v>
      </c>
    </row>
    <row r="91" spans="1:18" x14ac:dyDescent="0.4">
      <c r="L91" s="405"/>
      <c r="M91" s="410" t="s">
        <v>237</v>
      </c>
      <c r="N91" s="411"/>
      <c r="O91" s="412"/>
      <c r="P91" s="267">
        <f>IF(Q91&lt;500000000,Q91*0.0315,1)+IF(Q91&gt;500000000,Q91*0.0253+2450000)*IF(Q91&gt;5000000000,0,1)+IF(Q91&gt;5000000000,Q91*0.026,0)</f>
        <v>0</v>
      </c>
      <c r="Q91" s="268">
        <f>SUM(I12,I79)</f>
        <v>0</v>
      </c>
      <c r="R91" s="269" t="s">
        <v>238</v>
      </c>
    </row>
    <row r="92" spans="1:18" x14ac:dyDescent="0.4">
      <c r="L92" s="406"/>
      <c r="M92" s="410" t="s">
        <v>239</v>
      </c>
      <c r="N92" s="411"/>
      <c r="O92" s="412"/>
      <c r="P92" s="267">
        <f>(IF(Q92&lt;500000000,Q92*0.0315,1)+IF(Q92&gt;500000000,Q92*0.0253+2450000)*IF(Q92&gt;5000000000,0,1)+IF(Q92&gt;5000000000,Q92*0.026,0))*1.2</f>
        <v>0</v>
      </c>
      <c r="Q92" s="268">
        <f>SUMIF(J13:J78,"",I13:I78)</f>
        <v>0</v>
      </c>
      <c r="R92" s="269" t="s">
        <v>240</v>
      </c>
    </row>
    <row r="93" spans="1:18" x14ac:dyDescent="0.4">
      <c r="L93" s="270" t="s">
        <v>241</v>
      </c>
      <c r="M93" s="26"/>
      <c r="N93" s="26"/>
      <c r="O93" s="49"/>
      <c r="P93" s="49"/>
      <c r="Q93" s="48"/>
      <c r="R93" s="69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FE3E-BA64-4E8B-AD0C-942E90F49A79}">
  <sheetPr>
    <tabColor rgb="FF00B050"/>
    <pageSetUpPr fitToPage="1"/>
  </sheetPr>
  <dimension ref="A1:R95"/>
  <sheetViews>
    <sheetView zoomScale="85" zoomScaleNormal="85" workbookViewId="0">
      <pane xSplit="2" ySplit="2" topLeftCell="C63" activePane="bottomRight" state="frozen"/>
      <selection activeCell="K19" sqref="K19"/>
      <selection pane="topRight" activeCell="K19" sqref="K19"/>
      <selection pane="bottomLeft" activeCell="K19" sqref="K19"/>
      <selection pane="bottomRight" activeCell="K19" sqref="K19"/>
    </sheetView>
  </sheetViews>
  <sheetFormatPr defaultColWidth="9" defaultRowHeight="14.4" x14ac:dyDescent="0.4"/>
  <cols>
    <col min="1" max="1" width="5" style="1" customWidth="1"/>
    <col min="2" max="2" width="21.8984375" style="26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4"/>
    <col min="8" max="8" width="11.8984375" style="44" customWidth="1"/>
    <col min="9" max="9" width="13.59765625" style="44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9" t="s">
        <v>90</v>
      </c>
      <c r="C1" s="180"/>
      <c r="D1" s="181"/>
      <c r="G1" s="271"/>
      <c r="J1" s="1" t="s">
        <v>92</v>
      </c>
    </row>
    <row r="2" spans="1:11" s="26" customFormat="1" ht="16.5" customHeight="1" x14ac:dyDescent="0.4">
      <c r="A2" s="309" t="s">
        <v>93</v>
      </c>
      <c r="B2" s="311"/>
      <c r="C2" s="182" t="s">
        <v>94</v>
      </c>
      <c r="D2" s="182"/>
      <c r="E2" s="182" t="s">
        <v>95</v>
      </c>
      <c r="F2" s="182" t="s">
        <v>48</v>
      </c>
      <c r="G2" s="183" t="s">
        <v>49</v>
      </c>
      <c r="H2" s="183" t="s">
        <v>96</v>
      </c>
      <c r="I2" s="183" t="s">
        <v>97</v>
      </c>
      <c r="J2" s="182" t="s">
        <v>98</v>
      </c>
    </row>
    <row r="3" spans="1:11" ht="15.9" customHeight="1" x14ac:dyDescent="0.4">
      <c r="A3" s="398" t="s">
        <v>244</v>
      </c>
      <c r="B3" s="184" t="s">
        <v>55</v>
      </c>
      <c r="C3" s="206" t="s">
        <v>245</v>
      </c>
      <c r="D3" s="206" t="s">
        <v>246</v>
      </c>
      <c r="E3" s="206" t="s">
        <v>247</v>
      </c>
      <c r="F3" s="207">
        <v>1</v>
      </c>
      <c r="G3" s="208">
        <v>1</v>
      </c>
      <c r="H3" s="209"/>
      <c r="I3" s="190">
        <f>IF(G3=0,H3,H3*G3)</f>
        <v>0</v>
      </c>
      <c r="J3" s="272" t="s">
        <v>248</v>
      </c>
      <c r="K3" s="273" t="s">
        <v>249</v>
      </c>
    </row>
    <row r="4" spans="1:11" ht="15.9" customHeight="1" x14ac:dyDescent="0.4">
      <c r="A4" s="398"/>
      <c r="B4" s="184"/>
      <c r="C4" s="205" t="s">
        <v>250</v>
      </c>
      <c r="D4" s="205"/>
      <c r="E4" s="206"/>
      <c r="F4" s="207"/>
      <c r="G4" s="208"/>
      <c r="H4" s="209"/>
      <c r="I4" s="190"/>
      <c r="J4" s="272"/>
    </row>
    <row r="5" spans="1:11" ht="15.9" customHeight="1" x14ac:dyDescent="0.4">
      <c r="A5" s="399"/>
      <c r="B5" s="199"/>
      <c r="C5" s="274"/>
      <c r="D5" s="274"/>
      <c r="E5" s="275"/>
      <c r="F5" s="275"/>
      <c r="G5" s="276"/>
      <c r="H5" s="276"/>
      <c r="I5" s="203">
        <f>SUM(I3:I4)</f>
        <v>0</v>
      </c>
      <c r="J5" s="275"/>
    </row>
    <row r="6" spans="1:11" ht="15.9" customHeight="1" x14ac:dyDescent="0.4">
      <c r="A6" s="399"/>
      <c r="B6" s="184" t="s">
        <v>57</v>
      </c>
      <c r="C6" s="205"/>
      <c r="D6" s="205"/>
      <c r="E6" s="206"/>
      <c r="F6" s="207"/>
      <c r="G6" s="208"/>
      <c r="H6" s="209"/>
      <c r="I6" s="210">
        <f>IF(G6=0,H6,H6*G6)</f>
        <v>0</v>
      </c>
      <c r="J6" s="277"/>
    </row>
    <row r="7" spans="1:11" ht="15.9" customHeight="1" x14ac:dyDescent="0.4">
      <c r="A7" s="399"/>
      <c r="B7" s="184" t="s">
        <v>151</v>
      </c>
      <c r="C7" s="205"/>
      <c r="D7" s="205"/>
      <c r="E7" s="206"/>
      <c r="F7" s="207"/>
      <c r="G7" s="208"/>
      <c r="H7" s="209"/>
      <c r="I7" s="150">
        <f>IF(G7=0,H7,H7*G7)</f>
        <v>0</v>
      </c>
      <c r="J7" s="277"/>
    </row>
    <row r="8" spans="1:11" ht="15.9" customHeight="1" x14ac:dyDescent="0.4">
      <c r="A8" s="399"/>
      <c r="B8" s="199"/>
      <c r="C8" s="212"/>
      <c r="D8" s="212"/>
      <c r="E8" s="213"/>
      <c r="F8" s="213"/>
      <c r="G8" s="214"/>
      <c r="H8" s="215"/>
      <c r="I8" s="203">
        <f>SUM(I6:I7)</f>
        <v>0</v>
      </c>
      <c r="J8" s="213"/>
    </row>
    <row r="9" spans="1:11" ht="15.9" customHeight="1" x14ac:dyDescent="0.4">
      <c r="A9" s="399"/>
      <c r="B9" s="217" t="s">
        <v>58</v>
      </c>
      <c r="C9" s="185"/>
      <c r="D9" s="185"/>
      <c r="E9" s="185"/>
      <c r="F9" s="187"/>
      <c r="G9" s="218"/>
      <c r="H9" s="189"/>
      <c r="I9" s="165">
        <f>IF(G9=0,H9,H9*G9)</f>
        <v>0</v>
      </c>
      <c r="J9" s="278"/>
    </row>
    <row r="10" spans="1:11" ht="15.9" customHeight="1" x14ac:dyDescent="0.4">
      <c r="A10" s="399"/>
      <c r="B10" s="184"/>
      <c r="C10" s="185"/>
      <c r="D10" s="185"/>
      <c r="E10" s="185"/>
      <c r="F10" s="187"/>
      <c r="G10" s="218"/>
      <c r="H10" s="189"/>
      <c r="I10" s="150">
        <f>IF(G10=0,H10,H10*G10)</f>
        <v>0</v>
      </c>
      <c r="J10" s="32"/>
    </row>
    <row r="11" spans="1:11" ht="15.9" customHeight="1" x14ac:dyDescent="0.4">
      <c r="A11" s="399"/>
      <c r="B11" s="199"/>
      <c r="C11" s="212"/>
      <c r="D11" s="212"/>
      <c r="E11" s="213"/>
      <c r="F11" s="213"/>
      <c r="G11" s="215"/>
      <c r="H11" s="215"/>
      <c r="I11" s="203">
        <f>SUM(I9:I10)</f>
        <v>0</v>
      </c>
      <c r="J11" s="213"/>
    </row>
    <row r="12" spans="1:11" ht="15.9" customHeight="1" x14ac:dyDescent="0.4">
      <c r="A12" s="199"/>
      <c r="B12" s="310" t="s">
        <v>153</v>
      </c>
      <c r="C12" s="310"/>
      <c r="D12" s="310"/>
      <c r="E12" s="310"/>
      <c r="F12" s="310"/>
      <c r="G12" s="310"/>
      <c r="H12" s="311"/>
      <c r="I12" s="219">
        <f>SUM(I11,I8,I5)</f>
        <v>0</v>
      </c>
      <c r="J12" s="41"/>
    </row>
    <row r="13" spans="1:11" ht="15.9" customHeight="1" x14ac:dyDescent="0.4">
      <c r="A13" s="397" t="s">
        <v>154</v>
      </c>
      <c r="B13" s="217" t="s">
        <v>80</v>
      </c>
      <c r="C13" s="220" t="s">
        <v>155</v>
      </c>
      <c r="D13" s="221" t="s">
        <v>156</v>
      </c>
      <c r="E13" s="110" t="s">
        <v>194</v>
      </c>
      <c r="F13" s="46" t="s">
        <v>217</v>
      </c>
      <c r="G13" s="222"/>
      <c r="H13" s="223"/>
      <c r="I13" s="224">
        <f t="shared" ref="I13:I46" si="0">G13*H13</f>
        <v>0</v>
      </c>
      <c r="J13" s="279"/>
    </row>
    <row r="14" spans="1:11" ht="15.9" customHeight="1" x14ac:dyDescent="0.4">
      <c r="A14" s="398"/>
      <c r="B14" s="184"/>
      <c r="C14" s="225"/>
      <c r="D14" s="221" t="s">
        <v>158</v>
      </c>
      <c r="E14" s="32" t="s">
        <v>194</v>
      </c>
      <c r="F14" s="226" t="s">
        <v>195</v>
      </c>
      <c r="G14" s="208"/>
      <c r="H14" s="209"/>
      <c r="I14" s="190">
        <f t="shared" si="0"/>
        <v>0</v>
      </c>
      <c r="J14" s="280"/>
    </row>
    <row r="15" spans="1:11" ht="15.9" customHeight="1" x14ac:dyDescent="0.4">
      <c r="A15" s="398"/>
      <c r="B15" s="184"/>
      <c r="C15" s="227"/>
      <c r="D15" s="221" t="s">
        <v>159</v>
      </c>
      <c r="E15" s="32" t="s">
        <v>194</v>
      </c>
      <c r="F15" s="226" t="s">
        <v>195</v>
      </c>
      <c r="G15" s="208"/>
      <c r="H15" s="209"/>
      <c r="I15" s="190">
        <f t="shared" si="0"/>
        <v>0</v>
      </c>
      <c r="J15" s="280"/>
    </row>
    <row r="16" spans="1:11" ht="15.9" customHeight="1" x14ac:dyDescent="0.4">
      <c r="A16" s="398"/>
      <c r="B16" s="184"/>
      <c r="C16" s="228" t="s">
        <v>160</v>
      </c>
      <c r="D16" s="221" t="s">
        <v>156</v>
      </c>
      <c r="E16" s="32" t="s">
        <v>194</v>
      </c>
      <c r="F16" s="226" t="s">
        <v>195</v>
      </c>
      <c r="G16" s="208"/>
      <c r="H16" s="209"/>
      <c r="I16" s="190">
        <f t="shared" si="0"/>
        <v>0</v>
      </c>
      <c r="J16" s="280"/>
    </row>
    <row r="17" spans="1:10" ht="15.9" customHeight="1" x14ac:dyDescent="0.4">
      <c r="A17" s="398"/>
      <c r="B17" s="184"/>
      <c r="C17" s="225"/>
      <c r="D17" s="221" t="s">
        <v>158</v>
      </c>
      <c r="E17" s="32" t="s">
        <v>194</v>
      </c>
      <c r="F17" s="226" t="s">
        <v>195</v>
      </c>
      <c r="G17" s="208"/>
      <c r="H17" s="209"/>
      <c r="I17" s="190">
        <f t="shared" si="0"/>
        <v>0</v>
      </c>
      <c r="J17" s="280"/>
    </row>
    <row r="18" spans="1:10" ht="15.9" customHeight="1" x14ac:dyDescent="0.4">
      <c r="A18" s="398"/>
      <c r="B18" s="184"/>
      <c r="C18" s="227"/>
      <c r="D18" s="221" t="s">
        <v>159</v>
      </c>
      <c r="E18" s="32" t="s">
        <v>194</v>
      </c>
      <c r="F18" s="226" t="s">
        <v>195</v>
      </c>
      <c r="G18" s="208"/>
      <c r="H18" s="209"/>
      <c r="I18" s="190">
        <f t="shared" si="0"/>
        <v>0</v>
      </c>
      <c r="J18" s="280"/>
    </row>
    <row r="19" spans="1:10" ht="15.9" customHeight="1" x14ac:dyDescent="0.4">
      <c r="A19" s="398"/>
      <c r="B19" s="184"/>
      <c r="C19" s="228" t="s">
        <v>161</v>
      </c>
      <c r="D19" s="221" t="s">
        <v>156</v>
      </c>
      <c r="E19" s="32" t="s">
        <v>194</v>
      </c>
      <c r="F19" s="226" t="s">
        <v>195</v>
      </c>
      <c r="G19" s="208"/>
      <c r="H19" s="209"/>
      <c r="I19" s="190">
        <f t="shared" si="0"/>
        <v>0</v>
      </c>
      <c r="J19" s="280"/>
    </row>
    <row r="20" spans="1:10" ht="15.9" customHeight="1" x14ac:dyDescent="0.4">
      <c r="A20" s="398"/>
      <c r="B20" s="184"/>
      <c r="C20" s="225"/>
      <c r="D20" s="221" t="s">
        <v>158</v>
      </c>
      <c r="E20" s="32" t="s">
        <v>194</v>
      </c>
      <c r="F20" s="226" t="s">
        <v>195</v>
      </c>
      <c r="G20" s="208"/>
      <c r="H20" s="209"/>
      <c r="I20" s="190">
        <f t="shared" si="0"/>
        <v>0</v>
      </c>
      <c r="J20" s="280"/>
    </row>
    <row r="21" spans="1:10" ht="15.9" customHeight="1" x14ac:dyDescent="0.4">
      <c r="A21" s="398"/>
      <c r="B21" s="184"/>
      <c r="C21" s="227"/>
      <c r="D21" s="221" t="s">
        <v>159</v>
      </c>
      <c r="E21" s="32" t="s">
        <v>194</v>
      </c>
      <c r="F21" s="226" t="s">
        <v>195</v>
      </c>
      <c r="G21" s="208"/>
      <c r="H21" s="209"/>
      <c r="I21" s="190">
        <f t="shared" si="0"/>
        <v>0</v>
      </c>
      <c r="J21" s="280"/>
    </row>
    <row r="22" spans="1:10" ht="15.9" customHeight="1" x14ac:dyDescent="0.4">
      <c r="A22" s="398"/>
      <c r="B22" s="184"/>
      <c r="C22" s="228" t="s">
        <v>162</v>
      </c>
      <c r="D22" s="221" t="s">
        <v>163</v>
      </c>
      <c r="E22" s="32" t="s">
        <v>194</v>
      </c>
      <c r="F22" s="226" t="s">
        <v>195</v>
      </c>
      <c r="G22" s="208"/>
      <c r="H22" s="209"/>
      <c r="I22" s="190">
        <f t="shared" si="0"/>
        <v>0</v>
      </c>
      <c r="J22" s="280"/>
    </row>
    <row r="23" spans="1:10" ht="15.9" customHeight="1" x14ac:dyDescent="0.4">
      <c r="A23" s="398"/>
      <c r="B23" s="184"/>
      <c r="C23" s="225"/>
      <c r="D23" s="221" t="s">
        <v>164</v>
      </c>
      <c r="E23" s="32" t="s">
        <v>194</v>
      </c>
      <c r="F23" s="226" t="s">
        <v>195</v>
      </c>
      <c r="G23" s="208"/>
      <c r="H23" s="209"/>
      <c r="I23" s="190">
        <f t="shared" si="0"/>
        <v>0</v>
      </c>
      <c r="J23" s="280"/>
    </row>
    <row r="24" spans="1:10" ht="15.9" customHeight="1" x14ac:dyDescent="0.4">
      <c r="A24" s="398"/>
      <c r="B24" s="184"/>
      <c r="C24" s="227"/>
      <c r="D24" s="221" t="s">
        <v>165</v>
      </c>
      <c r="E24" s="32" t="s">
        <v>194</v>
      </c>
      <c r="F24" s="226" t="s">
        <v>195</v>
      </c>
      <c r="G24" s="208"/>
      <c r="H24" s="209"/>
      <c r="I24" s="190">
        <f t="shared" si="0"/>
        <v>0</v>
      </c>
      <c r="J24" s="280"/>
    </row>
    <row r="25" spans="1:10" ht="15.9" customHeight="1" x14ac:dyDescent="0.4">
      <c r="A25" s="398"/>
      <c r="B25" s="184"/>
      <c r="C25" s="228" t="s">
        <v>166</v>
      </c>
      <c r="D25" s="221" t="s">
        <v>163</v>
      </c>
      <c r="E25" s="32" t="s">
        <v>194</v>
      </c>
      <c r="F25" s="226" t="s">
        <v>195</v>
      </c>
      <c r="G25" s="208"/>
      <c r="H25" s="209"/>
      <c r="I25" s="190">
        <f t="shared" si="0"/>
        <v>0</v>
      </c>
      <c r="J25" s="280"/>
    </row>
    <row r="26" spans="1:10" ht="15.9" customHeight="1" x14ac:dyDescent="0.4">
      <c r="A26" s="398"/>
      <c r="B26" s="184"/>
      <c r="C26" s="225"/>
      <c r="D26" s="221" t="s">
        <v>164</v>
      </c>
      <c r="E26" s="32" t="s">
        <v>194</v>
      </c>
      <c r="F26" s="226" t="s">
        <v>195</v>
      </c>
      <c r="G26" s="208"/>
      <c r="H26" s="209"/>
      <c r="I26" s="190">
        <f t="shared" si="0"/>
        <v>0</v>
      </c>
      <c r="J26" s="280"/>
    </row>
    <row r="27" spans="1:10" ht="15.9" customHeight="1" x14ac:dyDescent="0.4">
      <c r="A27" s="398"/>
      <c r="B27" s="184"/>
      <c r="C27" s="227"/>
      <c r="D27" s="221" t="s">
        <v>165</v>
      </c>
      <c r="E27" s="32" t="s">
        <v>194</v>
      </c>
      <c r="F27" s="226" t="s">
        <v>195</v>
      </c>
      <c r="G27" s="208"/>
      <c r="H27" s="209"/>
      <c r="I27" s="190">
        <f t="shared" si="0"/>
        <v>0</v>
      </c>
      <c r="J27" s="280"/>
    </row>
    <row r="28" spans="1:10" ht="15.9" customHeight="1" x14ac:dyDescent="0.4">
      <c r="A28" s="398"/>
      <c r="B28" s="184"/>
      <c r="C28" s="228" t="s">
        <v>167</v>
      </c>
      <c r="D28" s="221" t="s">
        <v>168</v>
      </c>
      <c r="E28" s="32" t="s">
        <v>194</v>
      </c>
      <c r="F28" s="226" t="s">
        <v>195</v>
      </c>
      <c r="G28" s="208"/>
      <c r="H28" s="209"/>
      <c r="I28" s="190">
        <f t="shared" si="0"/>
        <v>0</v>
      </c>
      <c r="J28" s="280"/>
    </row>
    <row r="29" spans="1:10" ht="15.9" customHeight="1" x14ac:dyDescent="0.4">
      <c r="A29" s="398"/>
      <c r="B29" s="184"/>
      <c r="C29" s="225"/>
      <c r="D29" s="221" t="s">
        <v>169</v>
      </c>
      <c r="E29" s="32" t="s">
        <v>194</v>
      </c>
      <c r="F29" s="226" t="s">
        <v>195</v>
      </c>
      <c r="G29" s="208"/>
      <c r="H29" s="209"/>
      <c r="I29" s="190">
        <f t="shared" si="0"/>
        <v>0</v>
      </c>
      <c r="J29" s="280"/>
    </row>
    <row r="30" spans="1:10" ht="15.9" customHeight="1" x14ac:dyDescent="0.4">
      <c r="A30" s="398"/>
      <c r="B30" s="184"/>
      <c r="C30" s="227"/>
      <c r="D30" s="221" t="s">
        <v>170</v>
      </c>
      <c r="E30" s="32" t="s">
        <v>194</v>
      </c>
      <c r="F30" s="226" t="s">
        <v>195</v>
      </c>
      <c r="G30" s="208"/>
      <c r="H30" s="209"/>
      <c r="I30" s="190">
        <f t="shared" si="0"/>
        <v>0</v>
      </c>
      <c r="J30" s="280"/>
    </row>
    <row r="31" spans="1:10" ht="15.9" customHeight="1" x14ac:dyDescent="0.4">
      <c r="A31" s="398"/>
      <c r="B31" s="184"/>
      <c r="C31" s="229" t="s">
        <v>171</v>
      </c>
      <c r="D31" s="230"/>
      <c r="E31" s="32" t="s">
        <v>194</v>
      </c>
      <c r="F31" s="226" t="s">
        <v>195</v>
      </c>
      <c r="G31" s="208"/>
      <c r="H31" s="209"/>
      <c r="I31" s="190">
        <f t="shared" si="0"/>
        <v>0</v>
      </c>
      <c r="J31" s="280"/>
    </row>
    <row r="32" spans="1:10" ht="15.9" customHeight="1" x14ac:dyDescent="0.4">
      <c r="A32" s="398"/>
      <c r="B32" s="184"/>
      <c r="C32" s="231" t="s">
        <v>172</v>
      </c>
      <c r="D32" s="232" t="s">
        <v>173</v>
      </c>
      <c r="E32" s="32" t="s">
        <v>194</v>
      </c>
      <c r="F32" s="226" t="s">
        <v>195</v>
      </c>
      <c r="G32" s="208"/>
      <c r="H32" s="209"/>
      <c r="I32" s="190">
        <f t="shared" si="0"/>
        <v>0</v>
      </c>
      <c r="J32" s="280"/>
    </row>
    <row r="33" spans="1:10" ht="15.9" customHeight="1" x14ac:dyDescent="0.4">
      <c r="A33" s="398"/>
      <c r="B33" s="184"/>
      <c r="C33" s="233" t="s">
        <v>251</v>
      </c>
      <c r="D33" s="234" t="s">
        <v>175</v>
      </c>
      <c r="E33" s="32" t="s">
        <v>194</v>
      </c>
      <c r="F33" s="226" t="s">
        <v>195</v>
      </c>
      <c r="G33" s="208"/>
      <c r="H33" s="209"/>
      <c r="I33" s="190">
        <f t="shared" si="0"/>
        <v>0</v>
      </c>
      <c r="J33" s="280"/>
    </row>
    <row r="34" spans="1:10" ht="15.9" customHeight="1" x14ac:dyDescent="0.4">
      <c r="A34" s="398"/>
      <c r="B34" s="184"/>
      <c r="C34" s="235" t="s">
        <v>252</v>
      </c>
      <c r="D34" s="236"/>
      <c r="E34" s="32" t="s">
        <v>194</v>
      </c>
      <c r="F34" s="226" t="s">
        <v>195</v>
      </c>
      <c r="G34" s="208"/>
      <c r="H34" s="209"/>
      <c r="I34" s="190">
        <f t="shared" si="0"/>
        <v>0</v>
      </c>
      <c r="J34" s="280"/>
    </row>
    <row r="35" spans="1:10" ht="15.9" customHeight="1" x14ac:dyDescent="0.4">
      <c r="A35" s="398"/>
      <c r="B35" s="184"/>
      <c r="C35" s="235" t="s">
        <v>253</v>
      </c>
      <c r="D35" s="236" t="s">
        <v>177</v>
      </c>
      <c r="E35" s="32" t="s">
        <v>194</v>
      </c>
      <c r="F35" s="226" t="s">
        <v>195</v>
      </c>
      <c r="G35" s="208"/>
      <c r="H35" s="209"/>
      <c r="I35" s="190">
        <f t="shared" si="0"/>
        <v>0</v>
      </c>
      <c r="J35" s="280"/>
    </row>
    <row r="36" spans="1:10" ht="15.9" customHeight="1" x14ac:dyDescent="0.4">
      <c r="A36" s="398"/>
      <c r="B36" s="184"/>
      <c r="C36" s="235" t="s">
        <v>254</v>
      </c>
      <c r="D36" s="236" t="s">
        <v>177</v>
      </c>
      <c r="E36" s="32" t="s">
        <v>194</v>
      </c>
      <c r="F36" s="226" t="s">
        <v>195</v>
      </c>
      <c r="G36" s="208"/>
      <c r="H36" s="209"/>
      <c r="I36" s="190">
        <f t="shared" si="0"/>
        <v>0</v>
      </c>
      <c r="J36" s="280"/>
    </row>
    <row r="37" spans="1:10" ht="15.9" customHeight="1" x14ac:dyDescent="0.4">
      <c r="A37" s="398"/>
      <c r="B37" s="184"/>
      <c r="C37" s="231" t="s">
        <v>255</v>
      </c>
      <c r="D37" s="232" t="s">
        <v>256</v>
      </c>
      <c r="E37" s="32" t="s">
        <v>194</v>
      </c>
      <c r="F37" s="226" t="s">
        <v>195</v>
      </c>
      <c r="G37" s="208"/>
      <c r="H37" s="209"/>
      <c r="I37" s="190">
        <f t="shared" si="0"/>
        <v>0</v>
      </c>
      <c r="J37" s="280"/>
    </row>
    <row r="38" spans="1:10" ht="15.9" customHeight="1" x14ac:dyDescent="0.4">
      <c r="A38" s="398"/>
      <c r="B38" s="184"/>
      <c r="C38" s="235" t="s">
        <v>257</v>
      </c>
      <c r="D38" s="236"/>
      <c r="E38" s="32" t="s">
        <v>194</v>
      </c>
      <c r="F38" s="226" t="s">
        <v>195</v>
      </c>
      <c r="G38" s="208"/>
      <c r="H38" s="209"/>
      <c r="I38" s="190">
        <f t="shared" si="0"/>
        <v>0</v>
      </c>
      <c r="J38" s="280"/>
    </row>
    <row r="39" spans="1:10" ht="15.9" customHeight="1" x14ac:dyDescent="0.4">
      <c r="A39" s="398"/>
      <c r="B39" s="184"/>
      <c r="C39" s="235" t="s">
        <v>258</v>
      </c>
      <c r="D39" s="236" t="s">
        <v>259</v>
      </c>
      <c r="E39" s="32" t="s">
        <v>194</v>
      </c>
      <c r="F39" s="226" t="s">
        <v>195</v>
      </c>
      <c r="G39" s="208"/>
      <c r="H39" s="209"/>
      <c r="I39" s="190">
        <f t="shared" si="0"/>
        <v>0</v>
      </c>
      <c r="J39" s="280"/>
    </row>
    <row r="40" spans="1:10" ht="15.9" customHeight="1" x14ac:dyDescent="0.4">
      <c r="A40" s="398"/>
      <c r="B40" s="184"/>
      <c r="C40" s="228" t="s">
        <v>260</v>
      </c>
      <c r="D40" s="237" t="s">
        <v>181</v>
      </c>
      <c r="E40" s="32" t="s">
        <v>194</v>
      </c>
      <c r="F40" s="226" t="s">
        <v>195</v>
      </c>
      <c r="G40" s="208"/>
      <c r="H40" s="209"/>
      <c r="I40" s="190">
        <f t="shared" si="0"/>
        <v>0</v>
      </c>
      <c r="J40" s="280"/>
    </row>
    <row r="41" spans="1:10" ht="15.9" customHeight="1" x14ac:dyDescent="0.4">
      <c r="A41" s="398"/>
      <c r="B41" s="184"/>
      <c r="C41" s="228" t="s">
        <v>261</v>
      </c>
      <c r="D41" s="237"/>
      <c r="E41" s="32" t="s">
        <v>194</v>
      </c>
      <c r="F41" s="226" t="s">
        <v>195</v>
      </c>
      <c r="G41" s="208"/>
      <c r="H41" s="209"/>
      <c r="I41" s="190">
        <f t="shared" si="0"/>
        <v>0</v>
      </c>
      <c r="J41" s="280"/>
    </row>
    <row r="42" spans="1:10" ht="15.9" customHeight="1" x14ac:dyDescent="0.4">
      <c r="A42" s="398"/>
      <c r="B42" s="184"/>
      <c r="C42" s="235" t="s">
        <v>262</v>
      </c>
      <c r="D42" s="236" t="s">
        <v>263</v>
      </c>
      <c r="E42" s="32" t="s">
        <v>194</v>
      </c>
      <c r="F42" s="226" t="s">
        <v>195</v>
      </c>
      <c r="G42" s="208"/>
      <c r="H42" s="209"/>
      <c r="I42" s="190">
        <f t="shared" si="0"/>
        <v>0</v>
      </c>
      <c r="J42" s="280"/>
    </row>
    <row r="43" spans="1:10" ht="15.9" customHeight="1" x14ac:dyDescent="0.4">
      <c r="A43" s="398"/>
      <c r="B43" s="184"/>
      <c r="C43" s="228" t="s">
        <v>264</v>
      </c>
      <c r="D43" s="237" t="s">
        <v>265</v>
      </c>
      <c r="E43" s="32" t="s">
        <v>194</v>
      </c>
      <c r="F43" s="226" t="s">
        <v>195</v>
      </c>
      <c r="G43" s="208"/>
      <c r="H43" s="209"/>
      <c r="I43" s="190">
        <f t="shared" si="0"/>
        <v>0</v>
      </c>
      <c r="J43" s="280"/>
    </row>
    <row r="44" spans="1:10" ht="15.9" customHeight="1" x14ac:dyDescent="0.4">
      <c r="A44" s="398"/>
      <c r="B44" s="184"/>
      <c r="C44" s="235" t="s">
        <v>266</v>
      </c>
      <c r="D44" s="236" t="s">
        <v>267</v>
      </c>
      <c r="E44" s="32" t="s">
        <v>194</v>
      </c>
      <c r="F44" s="226" t="s">
        <v>195</v>
      </c>
      <c r="G44" s="208"/>
      <c r="H44" s="209"/>
      <c r="I44" s="190">
        <f t="shared" si="0"/>
        <v>0</v>
      </c>
      <c r="J44" s="280"/>
    </row>
    <row r="45" spans="1:10" ht="15.9" customHeight="1" x14ac:dyDescent="0.4">
      <c r="A45" s="398"/>
      <c r="B45" s="184"/>
      <c r="C45" s="235" t="s">
        <v>268</v>
      </c>
      <c r="D45" s="236"/>
      <c r="E45" s="32" t="s">
        <v>194</v>
      </c>
      <c r="F45" s="226" t="s">
        <v>195</v>
      </c>
      <c r="G45" s="208"/>
      <c r="H45" s="209"/>
      <c r="I45" s="190">
        <f t="shared" si="0"/>
        <v>0</v>
      </c>
      <c r="J45" s="280"/>
    </row>
    <row r="46" spans="1:10" ht="15.9" customHeight="1" x14ac:dyDescent="0.4">
      <c r="A46" s="398"/>
      <c r="B46" s="184"/>
      <c r="C46" s="228" t="s">
        <v>269</v>
      </c>
      <c r="D46" s="237"/>
      <c r="E46" s="32" t="s">
        <v>194</v>
      </c>
      <c r="F46" s="226" t="s">
        <v>195</v>
      </c>
      <c r="G46" s="208"/>
      <c r="H46" s="209"/>
      <c r="I46" s="190">
        <f t="shared" si="0"/>
        <v>0</v>
      </c>
      <c r="J46" s="280"/>
    </row>
    <row r="47" spans="1:10" ht="15.9" customHeight="1" x14ac:dyDescent="0.4">
      <c r="A47" s="398"/>
      <c r="B47" s="184"/>
      <c r="C47" s="229" t="s">
        <v>270</v>
      </c>
      <c r="D47" s="237"/>
      <c r="E47" s="32" t="s">
        <v>194</v>
      </c>
      <c r="F47" s="226" t="s">
        <v>195</v>
      </c>
      <c r="G47" s="208"/>
      <c r="H47" s="209"/>
      <c r="I47" s="190">
        <f>G47*H47</f>
        <v>0</v>
      </c>
      <c r="J47" s="280"/>
    </row>
    <row r="48" spans="1:10" ht="15.9" customHeight="1" x14ac:dyDescent="0.4">
      <c r="A48" s="398"/>
      <c r="B48" s="401" t="s">
        <v>183</v>
      </c>
      <c r="C48" s="402"/>
      <c r="D48" s="402"/>
      <c r="E48" s="402"/>
      <c r="F48" s="402"/>
      <c r="G48" s="402"/>
      <c r="H48" s="403"/>
      <c r="I48" s="238">
        <f>SUM(I13:I47)</f>
        <v>0</v>
      </c>
      <c r="J48" s="280"/>
    </row>
    <row r="49" spans="1:10" ht="15.9" customHeight="1" x14ac:dyDescent="0.4">
      <c r="A49" s="398"/>
      <c r="B49" s="217" t="s">
        <v>62</v>
      </c>
      <c r="C49" s="239" t="s">
        <v>184</v>
      </c>
      <c r="D49" s="221" t="s">
        <v>163</v>
      </c>
      <c r="E49" s="29" t="s">
        <v>194</v>
      </c>
      <c r="F49" s="46" t="s">
        <v>195</v>
      </c>
      <c r="G49" s="222"/>
      <c r="H49" s="223"/>
      <c r="I49" s="224">
        <f t="shared" ref="I49:I77" si="1">G49*H49</f>
        <v>0</v>
      </c>
      <c r="J49" s="279"/>
    </row>
    <row r="50" spans="1:10" ht="15.9" customHeight="1" x14ac:dyDescent="0.4">
      <c r="A50" s="398"/>
      <c r="B50" s="184"/>
      <c r="C50" s="240"/>
      <c r="D50" s="221" t="s">
        <v>164</v>
      </c>
      <c r="E50" s="32" t="s">
        <v>194</v>
      </c>
      <c r="F50" s="226" t="s">
        <v>195</v>
      </c>
      <c r="G50" s="208"/>
      <c r="H50" s="209"/>
      <c r="I50" s="190">
        <f t="shared" si="1"/>
        <v>0</v>
      </c>
      <c r="J50" s="280"/>
    </row>
    <row r="51" spans="1:10" ht="15.9" customHeight="1" x14ac:dyDescent="0.4">
      <c r="A51" s="398"/>
      <c r="B51" s="184"/>
      <c r="C51" s="240"/>
      <c r="D51" s="221" t="s">
        <v>165</v>
      </c>
      <c r="E51" s="32" t="s">
        <v>194</v>
      </c>
      <c r="F51" s="226" t="s">
        <v>195</v>
      </c>
      <c r="G51" s="208"/>
      <c r="H51" s="209"/>
      <c r="I51" s="190">
        <f t="shared" si="1"/>
        <v>0</v>
      </c>
      <c r="J51" s="280"/>
    </row>
    <row r="52" spans="1:10" ht="15.9" customHeight="1" x14ac:dyDescent="0.4">
      <c r="A52" s="398"/>
      <c r="B52" s="184"/>
      <c r="C52" s="240"/>
      <c r="D52" s="241" t="s">
        <v>188</v>
      </c>
      <c r="E52" s="32" t="s">
        <v>194</v>
      </c>
      <c r="F52" s="226" t="s">
        <v>195</v>
      </c>
      <c r="G52" s="208"/>
      <c r="H52" s="209"/>
      <c r="I52" s="190">
        <f t="shared" si="1"/>
        <v>0</v>
      </c>
      <c r="J52" s="280"/>
    </row>
    <row r="53" spans="1:10" ht="15.9" customHeight="1" x14ac:dyDescent="0.4">
      <c r="A53" s="398"/>
      <c r="B53" s="184"/>
      <c r="C53" s="242"/>
      <c r="D53" s="221" t="s">
        <v>189</v>
      </c>
      <c r="E53" s="32" t="s">
        <v>194</v>
      </c>
      <c r="F53" s="226" t="s">
        <v>195</v>
      </c>
      <c r="G53" s="208"/>
      <c r="H53" s="209"/>
      <c r="I53" s="190">
        <f t="shared" si="1"/>
        <v>0</v>
      </c>
      <c r="J53" s="280"/>
    </row>
    <row r="54" spans="1:10" ht="15.9" customHeight="1" x14ac:dyDescent="0.4">
      <c r="A54" s="398"/>
      <c r="B54" s="184"/>
      <c r="C54" s="243" t="s">
        <v>190</v>
      </c>
      <c r="D54" s="221" t="s">
        <v>163</v>
      </c>
      <c r="E54" s="32" t="s">
        <v>194</v>
      </c>
      <c r="F54" s="226" t="s">
        <v>195</v>
      </c>
      <c r="G54" s="208"/>
      <c r="H54" s="209"/>
      <c r="I54" s="190">
        <f t="shared" si="1"/>
        <v>0</v>
      </c>
      <c r="J54" s="280"/>
    </row>
    <row r="55" spans="1:10" ht="15.9" customHeight="1" x14ac:dyDescent="0.4">
      <c r="A55" s="398"/>
      <c r="B55" s="184"/>
      <c r="C55" s="242"/>
      <c r="D55" s="221" t="s">
        <v>164</v>
      </c>
      <c r="E55" s="32" t="s">
        <v>194</v>
      </c>
      <c r="F55" s="226" t="s">
        <v>195</v>
      </c>
      <c r="G55" s="208"/>
      <c r="H55" s="209"/>
      <c r="I55" s="190">
        <f t="shared" si="1"/>
        <v>0</v>
      </c>
      <c r="J55" s="280"/>
    </row>
    <row r="56" spans="1:10" ht="15.9" customHeight="1" x14ac:dyDescent="0.4">
      <c r="A56" s="398"/>
      <c r="B56" s="184"/>
      <c r="C56" s="243" t="s">
        <v>191</v>
      </c>
      <c r="D56" s="221" t="s">
        <v>163</v>
      </c>
      <c r="E56" s="32" t="s">
        <v>194</v>
      </c>
      <c r="F56" s="226" t="s">
        <v>195</v>
      </c>
      <c r="G56" s="208"/>
      <c r="H56" s="209"/>
      <c r="I56" s="190">
        <f t="shared" si="1"/>
        <v>0</v>
      </c>
      <c r="J56" s="280"/>
    </row>
    <row r="57" spans="1:10" ht="15.9" customHeight="1" x14ac:dyDescent="0.4">
      <c r="A57" s="398"/>
      <c r="B57" s="184"/>
      <c r="C57" s="240"/>
      <c r="D57" s="221" t="s">
        <v>164</v>
      </c>
      <c r="E57" s="32" t="s">
        <v>194</v>
      </c>
      <c r="F57" s="226" t="s">
        <v>195</v>
      </c>
      <c r="G57" s="208"/>
      <c r="H57" s="209"/>
      <c r="I57" s="190">
        <f t="shared" si="1"/>
        <v>0</v>
      </c>
      <c r="J57" s="280"/>
    </row>
    <row r="58" spans="1:10" ht="15.9" customHeight="1" x14ac:dyDescent="0.4">
      <c r="A58" s="398"/>
      <c r="B58" s="184"/>
      <c r="C58" s="240"/>
      <c r="D58" s="221" t="s">
        <v>165</v>
      </c>
      <c r="E58" s="32" t="s">
        <v>194</v>
      </c>
      <c r="F58" s="226" t="s">
        <v>195</v>
      </c>
      <c r="G58" s="208"/>
      <c r="H58" s="209"/>
      <c r="I58" s="190">
        <f t="shared" si="1"/>
        <v>0</v>
      </c>
      <c r="J58" s="280"/>
    </row>
    <row r="59" spans="1:10" ht="15.9" customHeight="1" x14ac:dyDescent="0.4">
      <c r="A59" s="398"/>
      <c r="B59" s="184"/>
      <c r="C59" s="242"/>
      <c r="D59" s="221" t="s">
        <v>188</v>
      </c>
      <c r="E59" s="32" t="s">
        <v>194</v>
      </c>
      <c r="F59" s="226" t="s">
        <v>195</v>
      </c>
      <c r="G59" s="208"/>
      <c r="H59" s="209"/>
      <c r="I59" s="190">
        <f t="shared" si="1"/>
        <v>0</v>
      </c>
      <c r="J59" s="280"/>
    </row>
    <row r="60" spans="1:10" ht="15.9" customHeight="1" x14ac:dyDescent="0.4">
      <c r="A60" s="398"/>
      <c r="B60" s="184"/>
      <c r="C60" s="242" t="s">
        <v>271</v>
      </c>
      <c r="D60" s="237" t="s">
        <v>272</v>
      </c>
      <c r="E60" s="32" t="s">
        <v>194</v>
      </c>
      <c r="F60" s="226" t="s">
        <v>195</v>
      </c>
      <c r="G60" s="208"/>
      <c r="H60" s="209"/>
      <c r="I60" s="190">
        <f t="shared" si="1"/>
        <v>0</v>
      </c>
      <c r="J60" s="280"/>
    </row>
    <row r="61" spans="1:10" ht="15.9" customHeight="1" x14ac:dyDescent="0.4">
      <c r="A61" s="398"/>
      <c r="B61" s="401" t="s">
        <v>192</v>
      </c>
      <c r="C61" s="402"/>
      <c r="D61" s="402"/>
      <c r="E61" s="402"/>
      <c r="F61" s="402"/>
      <c r="G61" s="402"/>
      <c r="H61" s="403"/>
      <c r="I61" s="238">
        <f>SUM(I49:I60)</f>
        <v>0</v>
      </c>
      <c r="J61" s="280"/>
    </row>
    <row r="62" spans="1:10" ht="15.9" customHeight="1" x14ac:dyDescent="0.4">
      <c r="A62" s="398"/>
      <c r="B62" s="286" t="s">
        <v>63</v>
      </c>
      <c r="C62" s="287" t="s">
        <v>193</v>
      </c>
      <c r="D62" s="288"/>
      <c r="E62" s="29" t="s">
        <v>194</v>
      </c>
      <c r="F62" s="46" t="s">
        <v>195</v>
      </c>
      <c r="G62" s="222"/>
      <c r="H62" s="223"/>
      <c r="I62" s="224">
        <f t="shared" si="1"/>
        <v>0</v>
      </c>
      <c r="J62" s="281"/>
    </row>
    <row r="63" spans="1:10" ht="15.9" customHeight="1" x14ac:dyDescent="0.4">
      <c r="A63" s="398"/>
      <c r="B63" s="184"/>
      <c r="C63" s="289" t="s">
        <v>273</v>
      </c>
      <c r="D63" s="290"/>
      <c r="E63" s="32" t="s">
        <v>194</v>
      </c>
      <c r="F63" s="226" t="s">
        <v>195</v>
      </c>
      <c r="G63" s="208"/>
      <c r="H63" s="209"/>
      <c r="I63" s="190">
        <f t="shared" si="1"/>
        <v>0</v>
      </c>
      <c r="J63" s="280"/>
    </row>
    <row r="64" spans="1:10" ht="15.9" customHeight="1" x14ac:dyDescent="0.4">
      <c r="A64" s="398"/>
      <c r="B64" s="184"/>
      <c r="C64" s="289" t="s">
        <v>274</v>
      </c>
      <c r="D64" s="290"/>
      <c r="E64" s="32" t="s">
        <v>194</v>
      </c>
      <c r="F64" s="226" t="s">
        <v>195</v>
      </c>
      <c r="G64" s="208"/>
      <c r="H64" s="209"/>
      <c r="I64" s="190">
        <f t="shared" si="1"/>
        <v>0</v>
      </c>
      <c r="J64" s="280"/>
    </row>
    <row r="65" spans="1:10" ht="15.9" customHeight="1" x14ac:dyDescent="0.4">
      <c r="A65" s="398"/>
      <c r="B65" s="184"/>
      <c r="C65" s="291" t="s">
        <v>275</v>
      </c>
      <c r="D65" s="290"/>
      <c r="E65" s="32" t="s">
        <v>194</v>
      </c>
      <c r="F65" s="226" t="s">
        <v>195</v>
      </c>
      <c r="G65" s="208"/>
      <c r="H65" s="209"/>
      <c r="I65" s="190">
        <f t="shared" si="1"/>
        <v>0</v>
      </c>
      <c r="J65" s="280"/>
    </row>
    <row r="66" spans="1:10" ht="15.9" customHeight="1" x14ac:dyDescent="0.4">
      <c r="A66" s="398"/>
      <c r="B66" s="401" t="s">
        <v>199</v>
      </c>
      <c r="C66" s="402"/>
      <c r="D66" s="402"/>
      <c r="E66" s="402"/>
      <c r="F66" s="402"/>
      <c r="G66" s="402"/>
      <c r="H66" s="403"/>
      <c r="I66" s="251">
        <f>SUM(I62:I65)</f>
        <v>0</v>
      </c>
      <c r="J66" s="282"/>
    </row>
    <row r="67" spans="1:10" ht="15.9" customHeight="1" x14ac:dyDescent="0.4">
      <c r="A67" s="398"/>
      <c r="B67" s="184" t="s">
        <v>81</v>
      </c>
      <c r="C67" s="252" t="s">
        <v>200</v>
      </c>
      <c r="D67" s="253"/>
      <c r="E67" s="211" t="s">
        <v>194</v>
      </c>
      <c r="F67" s="226" t="s">
        <v>195</v>
      </c>
      <c r="G67" s="208"/>
      <c r="H67" s="209"/>
      <c r="I67" s="190">
        <f t="shared" si="1"/>
        <v>0</v>
      </c>
      <c r="J67" s="280"/>
    </row>
    <row r="68" spans="1:10" ht="15.9" customHeight="1" x14ac:dyDescent="0.4">
      <c r="A68" s="398"/>
      <c r="B68" s="184"/>
      <c r="C68" s="229" t="s">
        <v>201</v>
      </c>
      <c r="D68" s="253" t="s">
        <v>202</v>
      </c>
      <c r="E68" s="32" t="s">
        <v>194</v>
      </c>
      <c r="F68" s="226" t="s">
        <v>195</v>
      </c>
      <c r="G68" s="208"/>
      <c r="H68" s="209"/>
      <c r="I68" s="190">
        <f t="shared" si="1"/>
        <v>0</v>
      </c>
      <c r="J68" s="280"/>
    </row>
    <row r="69" spans="1:10" ht="15.9" customHeight="1" x14ac:dyDescent="0.4">
      <c r="A69" s="398"/>
      <c r="B69" s="184"/>
      <c r="C69" s="229" t="s">
        <v>203</v>
      </c>
      <c r="D69" s="253" t="s">
        <v>202</v>
      </c>
      <c r="E69" s="32" t="s">
        <v>194</v>
      </c>
      <c r="F69" s="226" t="s">
        <v>195</v>
      </c>
      <c r="G69" s="208"/>
      <c r="H69" s="209"/>
      <c r="I69" s="190">
        <f t="shared" si="1"/>
        <v>0</v>
      </c>
      <c r="J69" s="280"/>
    </row>
    <row r="70" spans="1:10" ht="15.9" customHeight="1" x14ac:dyDescent="0.4">
      <c r="A70" s="398"/>
      <c r="B70" s="184"/>
      <c r="C70" s="229" t="s">
        <v>204</v>
      </c>
      <c r="D70" s="253" t="s">
        <v>205</v>
      </c>
      <c r="E70" s="32" t="s">
        <v>194</v>
      </c>
      <c r="F70" s="226" t="s">
        <v>195</v>
      </c>
      <c r="G70" s="208"/>
      <c r="H70" s="209"/>
      <c r="I70" s="190">
        <f t="shared" si="1"/>
        <v>0</v>
      </c>
      <c r="J70" s="280"/>
    </row>
    <row r="71" spans="1:10" ht="15.9" customHeight="1" x14ac:dyDescent="0.4">
      <c r="A71" s="398"/>
      <c r="B71" s="184"/>
      <c r="C71" s="229" t="s">
        <v>206</v>
      </c>
      <c r="D71" s="253" t="s">
        <v>205</v>
      </c>
      <c r="E71" s="32" t="s">
        <v>194</v>
      </c>
      <c r="F71" s="226" t="s">
        <v>195</v>
      </c>
      <c r="G71" s="188"/>
      <c r="H71" s="189"/>
      <c r="I71" s="190">
        <f t="shared" si="1"/>
        <v>0</v>
      </c>
      <c r="J71" s="283"/>
    </row>
    <row r="72" spans="1:10" ht="15.9" customHeight="1" x14ac:dyDescent="0.4">
      <c r="A72" s="398"/>
      <c r="B72" s="184"/>
      <c r="C72" s="229" t="s">
        <v>207</v>
      </c>
      <c r="D72" s="253" t="s">
        <v>208</v>
      </c>
      <c r="E72" s="32" t="s">
        <v>194</v>
      </c>
      <c r="F72" s="226" t="s">
        <v>195</v>
      </c>
      <c r="G72" s="188"/>
      <c r="H72" s="189"/>
      <c r="I72" s="190">
        <f t="shared" si="1"/>
        <v>0</v>
      </c>
      <c r="J72" s="283"/>
    </row>
    <row r="73" spans="1:10" ht="15.9" customHeight="1" x14ac:dyDescent="0.4">
      <c r="A73" s="398"/>
      <c r="B73" s="184"/>
      <c r="C73" s="248" t="s">
        <v>209</v>
      </c>
      <c r="D73" s="254"/>
      <c r="E73" s="32" t="s">
        <v>194</v>
      </c>
      <c r="F73" s="226" t="s">
        <v>195</v>
      </c>
      <c r="G73" s="188"/>
      <c r="H73" s="189"/>
      <c r="I73" s="190">
        <f t="shared" si="1"/>
        <v>0</v>
      </c>
      <c r="J73" s="283"/>
    </row>
    <row r="74" spans="1:10" ht="15.9" customHeight="1" x14ac:dyDescent="0.4">
      <c r="A74" s="398"/>
      <c r="B74" s="184"/>
      <c r="C74" s="229" t="s">
        <v>210</v>
      </c>
      <c r="D74" s="253"/>
      <c r="E74" s="32"/>
      <c r="F74" s="226" t="s">
        <v>56</v>
      </c>
      <c r="G74" s="208"/>
      <c r="H74" s="209"/>
      <c r="I74" s="190">
        <f t="shared" si="1"/>
        <v>0</v>
      </c>
      <c r="J74" s="280"/>
    </row>
    <row r="75" spans="1:10" ht="15.9" customHeight="1" x14ac:dyDescent="0.4">
      <c r="A75" s="398"/>
      <c r="B75" s="184"/>
      <c r="C75" s="229" t="s">
        <v>211</v>
      </c>
      <c r="D75" s="253"/>
      <c r="E75" s="32"/>
      <c r="F75" s="226" t="s">
        <v>56</v>
      </c>
      <c r="G75" s="188"/>
      <c r="H75" s="189"/>
      <c r="I75" s="190">
        <f t="shared" si="1"/>
        <v>0</v>
      </c>
      <c r="J75" s="283"/>
    </row>
    <row r="76" spans="1:10" ht="15.9" customHeight="1" x14ac:dyDescent="0.4">
      <c r="A76" s="398"/>
      <c r="B76" s="184"/>
      <c r="C76" s="229" t="s">
        <v>212</v>
      </c>
      <c r="D76" s="253"/>
      <c r="E76" s="32"/>
      <c r="F76" s="226" t="s">
        <v>56</v>
      </c>
      <c r="G76" s="188"/>
      <c r="H76" s="189"/>
      <c r="I76" s="190">
        <f t="shared" si="1"/>
        <v>0</v>
      </c>
      <c r="J76" s="283"/>
    </row>
    <row r="77" spans="1:10" ht="15.9" customHeight="1" x14ac:dyDescent="0.4">
      <c r="A77" s="398"/>
      <c r="B77" s="184"/>
      <c r="C77" s="248" t="s">
        <v>213</v>
      </c>
      <c r="D77" s="254"/>
      <c r="E77" s="32"/>
      <c r="F77" s="226" t="s">
        <v>56</v>
      </c>
      <c r="G77" s="188"/>
      <c r="H77" s="189"/>
      <c r="I77" s="190">
        <f t="shared" si="1"/>
        <v>0</v>
      </c>
      <c r="J77" s="283"/>
    </row>
    <row r="78" spans="1:10" ht="15.9" customHeight="1" x14ac:dyDescent="0.4">
      <c r="A78" s="398"/>
      <c r="B78" s="401" t="s">
        <v>214</v>
      </c>
      <c r="C78" s="402"/>
      <c r="D78" s="402"/>
      <c r="E78" s="402"/>
      <c r="F78" s="402"/>
      <c r="G78" s="402"/>
      <c r="H78" s="403"/>
      <c r="I78" s="238">
        <f>SUM(I67:I77)</f>
        <v>0</v>
      </c>
      <c r="J78" s="284"/>
    </row>
    <row r="79" spans="1:10" ht="15.9" customHeight="1" x14ac:dyDescent="0.4">
      <c r="A79" s="413"/>
      <c r="B79" s="310" t="s">
        <v>215</v>
      </c>
      <c r="C79" s="310"/>
      <c r="D79" s="310"/>
      <c r="E79" s="310"/>
      <c r="F79" s="310"/>
      <c r="G79" s="310"/>
      <c r="H79" s="311"/>
      <c r="I79" s="219">
        <f>SUM(I48,I61,I66,I78)</f>
        <v>0</v>
      </c>
      <c r="J79" s="41"/>
    </row>
    <row r="80" spans="1:10" ht="15.9" customHeight="1" x14ac:dyDescent="0.4">
      <c r="A80" s="397" t="s">
        <v>65</v>
      </c>
      <c r="B80" s="26" t="s">
        <v>65</v>
      </c>
      <c r="C80" s="254" t="s">
        <v>216</v>
      </c>
      <c r="D80" s="254"/>
      <c r="E80" s="32"/>
      <c r="F80" s="226" t="s">
        <v>195</v>
      </c>
      <c r="G80" s="188"/>
      <c r="H80" s="189"/>
      <c r="I80" s="150">
        <f>SUM(G80*H80)</f>
        <v>0</v>
      </c>
      <c r="J80" s="277"/>
    </row>
    <row r="81" spans="1:18" ht="15.9" customHeight="1" x14ac:dyDescent="0.4">
      <c r="A81" s="399"/>
      <c r="C81" s="254" t="s">
        <v>276</v>
      </c>
      <c r="D81" s="254"/>
      <c r="E81" s="32"/>
      <c r="F81" s="226" t="s">
        <v>195</v>
      </c>
      <c r="G81" s="188"/>
      <c r="H81" s="189"/>
      <c r="I81" s="150">
        <f>SUM(G81*H81)</f>
        <v>0</v>
      </c>
      <c r="J81" s="35"/>
    </row>
    <row r="82" spans="1:18" ht="15.9" customHeight="1" x14ac:dyDescent="0.4">
      <c r="A82" s="399"/>
      <c r="B82" s="401" t="s">
        <v>227</v>
      </c>
      <c r="C82" s="402"/>
      <c r="D82" s="402"/>
      <c r="E82" s="402"/>
      <c r="F82" s="402"/>
      <c r="G82" s="402"/>
      <c r="H82" s="403"/>
      <c r="I82" s="256">
        <f>SUM(I80:I81)</f>
        <v>0</v>
      </c>
      <c r="J82" s="285"/>
    </row>
    <row r="83" spans="1:18" ht="15.9" customHeight="1" x14ac:dyDescent="0.4">
      <c r="A83" s="400"/>
      <c r="B83" s="310" t="s">
        <v>227</v>
      </c>
      <c r="C83" s="310"/>
      <c r="D83" s="310"/>
      <c r="E83" s="310"/>
      <c r="F83" s="310"/>
      <c r="G83" s="310"/>
      <c r="H83" s="311"/>
      <c r="I83" s="219">
        <f>SUM(I80:I82)</f>
        <v>0</v>
      </c>
      <c r="J83" s="41"/>
      <c r="L83" s="44"/>
    </row>
    <row r="84" spans="1:18" ht="15.9" customHeight="1" x14ac:dyDescent="0.4">
      <c r="A84" s="199"/>
      <c r="B84" s="257" t="s">
        <v>83</v>
      </c>
      <c r="C84" s="257"/>
      <c r="D84" s="257"/>
      <c r="E84" s="257"/>
      <c r="F84" s="257"/>
      <c r="G84" s="257"/>
      <c r="H84" s="257"/>
      <c r="I84" s="219">
        <f>CEILING(MIN(P91:P92),1000)</f>
        <v>0</v>
      </c>
      <c r="J84" s="260"/>
    </row>
    <row r="85" spans="1:18" ht="15.9" customHeight="1" x14ac:dyDescent="0.4">
      <c r="A85" s="259"/>
      <c r="B85" s="257" t="s">
        <v>69</v>
      </c>
      <c r="C85" s="260" t="s">
        <v>228</v>
      </c>
      <c r="D85" s="260"/>
      <c r="E85" s="41"/>
      <c r="F85" s="182"/>
      <c r="G85" s="261">
        <v>0.05</v>
      </c>
      <c r="H85" s="262"/>
      <c r="I85" s="219">
        <f>SUM(I12,I79,I83)*G85</f>
        <v>0</v>
      </c>
      <c r="J85" s="260"/>
    </row>
    <row r="86" spans="1:18" ht="15.9" customHeight="1" x14ac:dyDescent="0.4">
      <c r="A86" s="259"/>
      <c r="B86" s="257" t="s">
        <v>229</v>
      </c>
      <c r="C86" s="260" t="s">
        <v>230</v>
      </c>
      <c r="D86" s="260"/>
      <c r="E86" s="41"/>
      <c r="F86" s="182"/>
      <c r="G86" s="261">
        <v>0.01</v>
      </c>
      <c r="H86" s="262"/>
      <c r="I86" s="219">
        <f>SUM(I79,I83,I85)*G86</f>
        <v>0</v>
      </c>
      <c r="J86" s="260"/>
    </row>
    <row r="87" spans="1:18" ht="15.9" customHeight="1" x14ac:dyDescent="0.4">
      <c r="A87" s="259"/>
      <c r="B87" s="257" t="s">
        <v>231</v>
      </c>
      <c r="C87" s="260"/>
      <c r="D87" s="260"/>
      <c r="E87" s="41"/>
      <c r="F87" s="41"/>
      <c r="G87" s="45"/>
      <c r="H87" s="45"/>
      <c r="I87" s="263">
        <f>SUM(I12,I79,I83,I84,I85,I86)</f>
        <v>0</v>
      </c>
      <c r="J87" s="41"/>
    </row>
    <row r="88" spans="1:18" x14ac:dyDescent="0.4">
      <c r="A88" s="26"/>
    </row>
    <row r="90" spans="1:18" ht="13.5" customHeight="1" x14ac:dyDescent="0.4">
      <c r="L90" s="404" t="s">
        <v>232</v>
      </c>
      <c r="M90" s="407" t="s">
        <v>233</v>
      </c>
      <c r="N90" s="408"/>
      <c r="O90" s="409"/>
      <c r="P90" s="264" t="s">
        <v>234</v>
      </c>
      <c r="Q90" s="265" t="s">
        <v>235</v>
      </c>
      <c r="R90" s="266" t="s">
        <v>236</v>
      </c>
    </row>
    <row r="91" spans="1:18" x14ac:dyDescent="0.4">
      <c r="L91" s="405"/>
      <c r="M91" s="410" t="s">
        <v>237</v>
      </c>
      <c r="N91" s="411"/>
      <c r="O91" s="412"/>
      <c r="P91" s="267">
        <f>IF(Q91&lt;500000000,Q91*0.0315,1)+IF(Q91&gt;500000000,Q91*0.0253+2450000)*IF(Q91&gt;5000000000,0,1)+IF(Q91&gt;5000000000,Q91*0.026,0)</f>
        <v>0</v>
      </c>
      <c r="Q91" s="268">
        <f>SUM(I12,I79)</f>
        <v>0</v>
      </c>
      <c r="R91" s="269" t="s">
        <v>238</v>
      </c>
    </row>
    <row r="92" spans="1:18" x14ac:dyDescent="0.4">
      <c r="L92" s="406"/>
      <c r="M92" s="410" t="s">
        <v>239</v>
      </c>
      <c r="N92" s="411"/>
      <c r="O92" s="412"/>
      <c r="P92" s="267">
        <f>(IF(Q92&lt;500000000,Q92*0.0315,1)+IF(Q92&gt;500000000,Q92*0.0253+2450000)*IF(Q92&gt;5000000000,0,1)+IF(Q92&gt;5000000000,Q92*0.026,0))*1.2</f>
        <v>0</v>
      </c>
      <c r="Q92" s="268">
        <f>SUMIF(J13:J78,"",I13:I78)</f>
        <v>0</v>
      </c>
      <c r="R92" s="269" t="s">
        <v>240</v>
      </c>
    </row>
    <row r="93" spans="1:18" x14ac:dyDescent="0.4">
      <c r="L93" s="270" t="s">
        <v>241</v>
      </c>
      <c r="M93" s="26"/>
      <c r="N93" s="26"/>
      <c r="O93" s="49"/>
      <c r="P93" s="49"/>
      <c r="Q93" s="48"/>
      <c r="R93" s="69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7DB5-2F6A-44FE-99F2-776BB5DEBB2F}">
  <sheetPr>
    <tabColor rgb="FF00B050"/>
    <pageSetUpPr fitToPage="1"/>
  </sheetPr>
  <dimension ref="A1:R95"/>
  <sheetViews>
    <sheetView zoomScale="85" zoomScaleNormal="85" workbookViewId="0">
      <pane xSplit="2" ySplit="2" topLeftCell="C60" activePane="bottomRight" state="frozen"/>
      <selection activeCell="K19" sqref="K19"/>
      <selection pane="topRight" activeCell="K19" sqref="K19"/>
      <selection pane="bottomLeft" activeCell="K19" sqref="K19"/>
      <selection pane="bottomRight" activeCell="K19" sqref="K19"/>
    </sheetView>
  </sheetViews>
  <sheetFormatPr defaultColWidth="9" defaultRowHeight="14.4" x14ac:dyDescent="0.4"/>
  <cols>
    <col min="1" max="1" width="5" style="1" customWidth="1"/>
    <col min="2" max="2" width="21.8984375" style="26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4"/>
    <col min="8" max="8" width="11.8984375" style="44" customWidth="1"/>
    <col min="9" max="9" width="13.59765625" style="44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9" t="s">
        <v>90</v>
      </c>
      <c r="C1" s="180"/>
      <c r="D1" s="181"/>
      <c r="G1" s="271"/>
      <c r="J1" s="1" t="s">
        <v>92</v>
      </c>
    </row>
    <row r="2" spans="1:11" s="26" customFormat="1" ht="16.5" customHeight="1" x14ac:dyDescent="0.4">
      <c r="A2" s="309" t="s">
        <v>93</v>
      </c>
      <c r="B2" s="311"/>
      <c r="C2" s="182" t="s">
        <v>94</v>
      </c>
      <c r="D2" s="182"/>
      <c r="E2" s="182" t="s">
        <v>95</v>
      </c>
      <c r="F2" s="182" t="s">
        <v>48</v>
      </c>
      <c r="G2" s="183" t="s">
        <v>49</v>
      </c>
      <c r="H2" s="183" t="s">
        <v>96</v>
      </c>
      <c r="I2" s="183" t="s">
        <v>97</v>
      </c>
      <c r="J2" s="182" t="s">
        <v>98</v>
      </c>
    </row>
    <row r="3" spans="1:11" ht="15.9" customHeight="1" x14ac:dyDescent="0.4">
      <c r="A3" s="398" t="s">
        <v>244</v>
      </c>
      <c r="B3" s="184" t="s">
        <v>55</v>
      </c>
      <c r="C3" s="206" t="s">
        <v>245</v>
      </c>
      <c r="D3" s="206" t="s">
        <v>246</v>
      </c>
      <c r="E3" s="206" t="s">
        <v>247</v>
      </c>
      <c r="F3" s="207">
        <v>1</v>
      </c>
      <c r="G3" s="208">
        <v>1</v>
      </c>
      <c r="H3" s="209"/>
      <c r="I3" s="190">
        <f>IF(G3=0,H3,H3*G3)</f>
        <v>0</v>
      </c>
      <c r="J3" s="272" t="s">
        <v>248</v>
      </c>
      <c r="K3" s="273" t="s">
        <v>249</v>
      </c>
    </row>
    <row r="4" spans="1:11" ht="15.9" customHeight="1" x14ac:dyDescent="0.4">
      <c r="A4" s="398"/>
      <c r="B4" s="184"/>
      <c r="C4" s="205" t="s">
        <v>250</v>
      </c>
      <c r="D4" s="205"/>
      <c r="E4" s="206"/>
      <c r="F4" s="207"/>
      <c r="G4" s="208"/>
      <c r="H4" s="209"/>
      <c r="I4" s="190"/>
      <c r="J4" s="272"/>
    </row>
    <row r="5" spans="1:11" ht="15.9" customHeight="1" x14ac:dyDescent="0.4">
      <c r="A5" s="399"/>
      <c r="B5" s="199"/>
      <c r="C5" s="274"/>
      <c r="D5" s="274"/>
      <c r="E5" s="275"/>
      <c r="F5" s="275"/>
      <c r="G5" s="276"/>
      <c r="H5" s="276"/>
      <c r="I5" s="203">
        <f>SUM(I3:I4)</f>
        <v>0</v>
      </c>
      <c r="J5" s="275"/>
    </row>
    <row r="6" spans="1:11" ht="15.9" customHeight="1" x14ac:dyDescent="0.4">
      <c r="A6" s="399"/>
      <c r="B6" s="184" t="s">
        <v>57</v>
      </c>
      <c r="C6" s="205"/>
      <c r="D6" s="205"/>
      <c r="E6" s="206"/>
      <c r="F6" s="207"/>
      <c r="G6" s="208"/>
      <c r="H6" s="209"/>
      <c r="I6" s="210">
        <f>IF(G6=0,H6,H6*G6)</f>
        <v>0</v>
      </c>
      <c r="J6" s="277"/>
    </row>
    <row r="7" spans="1:11" ht="15.9" customHeight="1" x14ac:dyDescent="0.4">
      <c r="A7" s="399"/>
      <c r="B7" s="184" t="s">
        <v>151</v>
      </c>
      <c r="C7" s="205"/>
      <c r="D7" s="205"/>
      <c r="E7" s="206"/>
      <c r="F7" s="207"/>
      <c r="G7" s="208"/>
      <c r="H7" s="209"/>
      <c r="I7" s="150">
        <f>IF(G7=0,H7,H7*G7)</f>
        <v>0</v>
      </c>
      <c r="J7" s="277"/>
    </row>
    <row r="8" spans="1:11" ht="15.9" customHeight="1" x14ac:dyDescent="0.4">
      <c r="A8" s="399"/>
      <c r="B8" s="199"/>
      <c r="C8" s="212"/>
      <c r="D8" s="212"/>
      <c r="E8" s="213"/>
      <c r="F8" s="213"/>
      <c r="G8" s="214"/>
      <c r="H8" s="215"/>
      <c r="I8" s="203">
        <f>SUM(I6:I7)</f>
        <v>0</v>
      </c>
      <c r="J8" s="213"/>
    </row>
    <row r="9" spans="1:11" ht="15.9" customHeight="1" x14ac:dyDescent="0.4">
      <c r="A9" s="399"/>
      <c r="B9" s="217" t="s">
        <v>58</v>
      </c>
      <c r="C9" s="185"/>
      <c r="D9" s="185"/>
      <c r="E9" s="185"/>
      <c r="F9" s="187"/>
      <c r="G9" s="218"/>
      <c r="H9" s="189"/>
      <c r="I9" s="165">
        <f>IF(G9=0,H9,H9*G9)</f>
        <v>0</v>
      </c>
      <c r="J9" s="278"/>
    </row>
    <row r="10" spans="1:11" ht="15.9" customHeight="1" x14ac:dyDescent="0.4">
      <c r="A10" s="399"/>
      <c r="B10" s="184"/>
      <c r="C10" s="185"/>
      <c r="D10" s="185"/>
      <c r="E10" s="185"/>
      <c r="F10" s="187"/>
      <c r="G10" s="218"/>
      <c r="H10" s="189"/>
      <c r="I10" s="150">
        <f>IF(G10=0,H10,H10*G10)</f>
        <v>0</v>
      </c>
      <c r="J10" s="32"/>
    </row>
    <row r="11" spans="1:11" ht="15.9" customHeight="1" x14ac:dyDescent="0.4">
      <c r="A11" s="399"/>
      <c r="B11" s="199"/>
      <c r="C11" s="212"/>
      <c r="D11" s="212"/>
      <c r="E11" s="213"/>
      <c r="F11" s="213"/>
      <c r="G11" s="215"/>
      <c r="H11" s="215"/>
      <c r="I11" s="203">
        <f>SUM(I9:I10)</f>
        <v>0</v>
      </c>
      <c r="J11" s="213"/>
    </row>
    <row r="12" spans="1:11" ht="15.9" customHeight="1" x14ac:dyDescent="0.4">
      <c r="A12" s="199"/>
      <c r="B12" s="310" t="s">
        <v>153</v>
      </c>
      <c r="C12" s="310"/>
      <c r="D12" s="310"/>
      <c r="E12" s="310"/>
      <c r="F12" s="310"/>
      <c r="G12" s="310"/>
      <c r="H12" s="311"/>
      <c r="I12" s="219">
        <f>SUM(I11,I8,I5)</f>
        <v>0</v>
      </c>
      <c r="J12" s="41"/>
    </row>
    <row r="13" spans="1:11" ht="15.9" customHeight="1" x14ac:dyDescent="0.4">
      <c r="A13" s="397" t="s">
        <v>154</v>
      </c>
      <c r="B13" s="217" t="s">
        <v>80</v>
      </c>
      <c r="C13" s="220" t="s">
        <v>155</v>
      </c>
      <c r="D13" s="221" t="s">
        <v>156</v>
      </c>
      <c r="E13" s="110" t="s">
        <v>194</v>
      </c>
      <c r="F13" s="46" t="s">
        <v>217</v>
      </c>
      <c r="G13" s="222"/>
      <c r="H13" s="223"/>
      <c r="I13" s="224">
        <f t="shared" ref="I13:I46" si="0">G13*H13</f>
        <v>0</v>
      </c>
      <c r="J13" s="279"/>
    </row>
    <row r="14" spans="1:11" ht="15.9" customHeight="1" x14ac:dyDescent="0.4">
      <c r="A14" s="398"/>
      <c r="B14" s="184"/>
      <c r="C14" s="225"/>
      <c r="D14" s="221" t="s">
        <v>158</v>
      </c>
      <c r="E14" s="32" t="s">
        <v>194</v>
      </c>
      <c r="F14" s="226" t="s">
        <v>195</v>
      </c>
      <c r="G14" s="208"/>
      <c r="H14" s="209"/>
      <c r="I14" s="190">
        <f t="shared" si="0"/>
        <v>0</v>
      </c>
      <c r="J14" s="280"/>
    </row>
    <row r="15" spans="1:11" ht="15.9" customHeight="1" x14ac:dyDescent="0.4">
      <c r="A15" s="398"/>
      <c r="B15" s="184"/>
      <c r="C15" s="227"/>
      <c r="D15" s="221" t="s">
        <v>159</v>
      </c>
      <c r="E15" s="32" t="s">
        <v>194</v>
      </c>
      <c r="F15" s="226" t="s">
        <v>195</v>
      </c>
      <c r="G15" s="208"/>
      <c r="H15" s="209"/>
      <c r="I15" s="190">
        <f t="shared" si="0"/>
        <v>0</v>
      </c>
      <c r="J15" s="280"/>
    </row>
    <row r="16" spans="1:11" ht="15.9" customHeight="1" x14ac:dyDescent="0.4">
      <c r="A16" s="398"/>
      <c r="B16" s="184"/>
      <c r="C16" s="228" t="s">
        <v>160</v>
      </c>
      <c r="D16" s="221" t="s">
        <v>156</v>
      </c>
      <c r="E16" s="32" t="s">
        <v>194</v>
      </c>
      <c r="F16" s="226" t="s">
        <v>195</v>
      </c>
      <c r="G16" s="208"/>
      <c r="H16" s="209"/>
      <c r="I16" s="190">
        <f t="shared" si="0"/>
        <v>0</v>
      </c>
      <c r="J16" s="280"/>
    </row>
    <row r="17" spans="1:10" ht="15.9" customHeight="1" x14ac:dyDescent="0.4">
      <c r="A17" s="398"/>
      <c r="B17" s="184"/>
      <c r="C17" s="225"/>
      <c r="D17" s="221" t="s">
        <v>158</v>
      </c>
      <c r="E17" s="32" t="s">
        <v>194</v>
      </c>
      <c r="F17" s="226" t="s">
        <v>195</v>
      </c>
      <c r="G17" s="208"/>
      <c r="H17" s="209"/>
      <c r="I17" s="190">
        <f t="shared" si="0"/>
        <v>0</v>
      </c>
      <c r="J17" s="280"/>
    </row>
    <row r="18" spans="1:10" ht="15.9" customHeight="1" x14ac:dyDescent="0.4">
      <c r="A18" s="398"/>
      <c r="B18" s="184"/>
      <c r="C18" s="227"/>
      <c r="D18" s="221" t="s">
        <v>159</v>
      </c>
      <c r="E18" s="32" t="s">
        <v>194</v>
      </c>
      <c r="F18" s="226" t="s">
        <v>195</v>
      </c>
      <c r="G18" s="208"/>
      <c r="H18" s="209"/>
      <c r="I18" s="190">
        <f t="shared" si="0"/>
        <v>0</v>
      </c>
      <c r="J18" s="280"/>
    </row>
    <row r="19" spans="1:10" ht="15.9" customHeight="1" x14ac:dyDescent="0.4">
      <c r="A19" s="398"/>
      <c r="B19" s="184"/>
      <c r="C19" s="228" t="s">
        <v>161</v>
      </c>
      <c r="D19" s="221" t="s">
        <v>156</v>
      </c>
      <c r="E19" s="32" t="s">
        <v>194</v>
      </c>
      <c r="F19" s="226" t="s">
        <v>195</v>
      </c>
      <c r="G19" s="208"/>
      <c r="H19" s="209"/>
      <c r="I19" s="190">
        <f t="shared" si="0"/>
        <v>0</v>
      </c>
      <c r="J19" s="280"/>
    </row>
    <row r="20" spans="1:10" ht="15.9" customHeight="1" x14ac:dyDescent="0.4">
      <c r="A20" s="398"/>
      <c r="B20" s="184"/>
      <c r="C20" s="225"/>
      <c r="D20" s="221" t="s">
        <v>158</v>
      </c>
      <c r="E20" s="32" t="s">
        <v>194</v>
      </c>
      <c r="F20" s="226" t="s">
        <v>195</v>
      </c>
      <c r="G20" s="208"/>
      <c r="H20" s="209"/>
      <c r="I20" s="190">
        <f t="shared" si="0"/>
        <v>0</v>
      </c>
      <c r="J20" s="280"/>
    </row>
    <row r="21" spans="1:10" ht="15.9" customHeight="1" x14ac:dyDescent="0.4">
      <c r="A21" s="398"/>
      <c r="B21" s="184"/>
      <c r="C21" s="227"/>
      <c r="D21" s="221" t="s">
        <v>159</v>
      </c>
      <c r="E21" s="32" t="s">
        <v>194</v>
      </c>
      <c r="F21" s="226" t="s">
        <v>195</v>
      </c>
      <c r="G21" s="208"/>
      <c r="H21" s="209"/>
      <c r="I21" s="190">
        <f t="shared" si="0"/>
        <v>0</v>
      </c>
      <c r="J21" s="280"/>
    </row>
    <row r="22" spans="1:10" ht="15.9" customHeight="1" x14ac:dyDescent="0.4">
      <c r="A22" s="398"/>
      <c r="B22" s="184"/>
      <c r="C22" s="228" t="s">
        <v>162</v>
      </c>
      <c r="D22" s="221" t="s">
        <v>163</v>
      </c>
      <c r="E22" s="32" t="s">
        <v>194</v>
      </c>
      <c r="F22" s="226" t="s">
        <v>195</v>
      </c>
      <c r="G22" s="208"/>
      <c r="H22" s="209"/>
      <c r="I22" s="190">
        <f t="shared" si="0"/>
        <v>0</v>
      </c>
      <c r="J22" s="280"/>
    </row>
    <row r="23" spans="1:10" ht="15.9" customHeight="1" x14ac:dyDescent="0.4">
      <c r="A23" s="398"/>
      <c r="B23" s="184"/>
      <c r="C23" s="225"/>
      <c r="D23" s="221" t="s">
        <v>164</v>
      </c>
      <c r="E23" s="32" t="s">
        <v>194</v>
      </c>
      <c r="F23" s="226" t="s">
        <v>195</v>
      </c>
      <c r="G23" s="208"/>
      <c r="H23" s="209"/>
      <c r="I23" s="190">
        <f t="shared" si="0"/>
        <v>0</v>
      </c>
      <c r="J23" s="280"/>
    </row>
    <row r="24" spans="1:10" ht="15.9" customHeight="1" x14ac:dyDescent="0.4">
      <c r="A24" s="398"/>
      <c r="B24" s="184"/>
      <c r="C24" s="227"/>
      <c r="D24" s="221" t="s">
        <v>165</v>
      </c>
      <c r="E24" s="32" t="s">
        <v>194</v>
      </c>
      <c r="F24" s="226" t="s">
        <v>195</v>
      </c>
      <c r="G24" s="208"/>
      <c r="H24" s="209"/>
      <c r="I24" s="190">
        <f t="shared" si="0"/>
        <v>0</v>
      </c>
      <c r="J24" s="280"/>
    </row>
    <row r="25" spans="1:10" ht="15.9" customHeight="1" x14ac:dyDescent="0.4">
      <c r="A25" s="398"/>
      <c r="B25" s="184"/>
      <c r="C25" s="228" t="s">
        <v>166</v>
      </c>
      <c r="D25" s="221" t="s">
        <v>163</v>
      </c>
      <c r="E25" s="32" t="s">
        <v>194</v>
      </c>
      <c r="F25" s="226" t="s">
        <v>195</v>
      </c>
      <c r="G25" s="208"/>
      <c r="H25" s="209"/>
      <c r="I25" s="190">
        <f t="shared" si="0"/>
        <v>0</v>
      </c>
      <c r="J25" s="280"/>
    </row>
    <row r="26" spans="1:10" ht="15.9" customHeight="1" x14ac:dyDescent="0.4">
      <c r="A26" s="398"/>
      <c r="B26" s="184"/>
      <c r="C26" s="225"/>
      <c r="D26" s="221" t="s">
        <v>164</v>
      </c>
      <c r="E26" s="32" t="s">
        <v>194</v>
      </c>
      <c r="F26" s="226" t="s">
        <v>195</v>
      </c>
      <c r="G26" s="208"/>
      <c r="H26" s="209"/>
      <c r="I26" s="190">
        <f t="shared" si="0"/>
        <v>0</v>
      </c>
      <c r="J26" s="280"/>
    </row>
    <row r="27" spans="1:10" ht="15.9" customHeight="1" x14ac:dyDescent="0.4">
      <c r="A27" s="398"/>
      <c r="B27" s="184"/>
      <c r="C27" s="227"/>
      <c r="D27" s="221" t="s">
        <v>165</v>
      </c>
      <c r="E27" s="32" t="s">
        <v>194</v>
      </c>
      <c r="F27" s="226" t="s">
        <v>195</v>
      </c>
      <c r="G27" s="208"/>
      <c r="H27" s="209"/>
      <c r="I27" s="190">
        <f t="shared" si="0"/>
        <v>0</v>
      </c>
      <c r="J27" s="280"/>
    </row>
    <row r="28" spans="1:10" ht="15.9" customHeight="1" x14ac:dyDescent="0.4">
      <c r="A28" s="398"/>
      <c r="B28" s="184"/>
      <c r="C28" s="228" t="s">
        <v>167</v>
      </c>
      <c r="D28" s="221" t="s">
        <v>168</v>
      </c>
      <c r="E28" s="32" t="s">
        <v>194</v>
      </c>
      <c r="F28" s="226" t="s">
        <v>195</v>
      </c>
      <c r="G28" s="208"/>
      <c r="H28" s="209"/>
      <c r="I28" s="190">
        <f t="shared" si="0"/>
        <v>0</v>
      </c>
      <c r="J28" s="280"/>
    </row>
    <row r="29" spans="1:10" ht="15.9" customHeight="1" x14ac:dyDescent="0.4">
      <c r="A29" s="398"/>
      <c r="B29" s="184"/>
      <c r="C29" s="225"/>
      <c r="D29" s="221" t="s">
        <v>169</v>
      </c>
      <c r="E29" s="32" t="s">
        <v>194</v>
      </c>
      <c r="F29" s="226" t="s">
        <v>195</v>
      </c>
      <c r="G29" s="208"/>
      <c r="H29" s="209"/>
      <c r="I29" s="190">
        <f t="shared" si="0"/>
        <v>0</v>
      </c>
      <c r="J29" s="280"/>
    </row>
    <row r="30" spans="1:10" ht="15.9" customHeight="1" x14ac:dyDescent="0.4">
      <c r="A30" s="398"/>
      <c r="B30" s="184"/>
      <c r="C30" s="227"/>
      <c r="D30" s="221" t="s">
        <v>170</v>
      </c>
      <c r="E30" s="32" t="s">
        <v>194</v>
      </c>
      <c r="F30" s="226" t="s">
        <v>195</v>
      </c>
      <c r="G30" s="208"/>
      <c r="H30" s="209"/>
      <c r="I30" s="190">
        <f t="shared" si="0"/>
        <v>0</v>
      </c>
      <c r="J30" s="280"/>
    </row>
    <row r="31" spans="1:10" ht="15.9" customHeight="1" x14ac:dyDescent="0.4">
      <c r="A31" s="398"/>
      <c r="B31" s="184"/>
      <c r="C31" s="229" t="s">
        <v>171</v>
      </c>
      <c r="D31" s="230"/>
      <c r="E31" s="32" t="s">
        <v>194</v>
      </c>
      <c r="F31" s="226" t="s">
        <v>195</v>
      </c>
      <c r="G31" s="208"/>
      <c r="H31" s="209"/>
      <c r="I31" s="190">
        <f t="shared" si="0"/>
        <v>0</v>
      </c>
      <c r="J31" s="280"/>
    </row>
    <row r="32" spans="1:10" ht="15.9" customHeight="1" x14ac:dyDescent="0.4">
      <c r="A32" s="398"/>
      <c r="B32" s="184"/>
      <c r="C32" s="231" t="s">
        <v>172</v>
      </c>
      <c r="D32" s="232" t="s">
        <v>173</v>
      </c>
      <c r="E32" s="32" t="s">
        <v>194</v>
      </c>
      <c r="F32" s="226" t="s">
        <v>195</v>
      </c>
      <c r="G32" s="208"/>
      <c r="H32" s="209"/>
      <c r="I32" s="190">
        <f t="shared" si="0"/>
        <v>0</v>
      </c>
      <c r="J32" s="280"/>
    </row>
    <row r="33" spans="1:10" ht="15.9" customHeight="1" x14ac:dyDescent="0.4">
      <c r="A33" s="398"/>
      <c r="B33" s="184"/>
      <c r="C33" s="233" t="s">
        <v>251</v>
      </c>
      <c r="D33" s="234" t="s">
        <v>175</v>
      </c>
      <c r="E33" s="32" t="s">
        <v>194</v>
      </c>
      <c r="F33" s="226" t="s">
        <v>195</v>
      </c>
      <c r="G33" s="208"/>
      <c r="H33" s="209"/>
      <c r="I33" s="190">
        <f t="shared" si="0"/>
        <v>0</v>
      </c>
      <c r="J33" s="280"/>
    </row>
    <row r="34" spans="1:10" ht="15.9" customHeight="1" x14ac:dyDescent="0.4">
      <c r="A34" s="398"/>
      <c r="B34" s="184"/>
      <c r="C34" s="235" t="s">
        <v>252</v>
      </c>
      <c r="D34" s="236"/>
      <c r="E34" s="32" t="s">
        <v>194</v>
      </c>
      <c r="F34" s="226" t="s">
        <v>195</v>
      </c>
      <c r="G34" s="208"/>
      <c r="H34" s="209"/>
      <c r="I34" s="190">
        <f t="shared" si="0"/>
        <v>0</v>
      </c>
      <c r="J34" s="280"/>
    </row>
    <row r="35" spans="1:10" ht="15.9" customHeight="1" x14ac:dyDescent="0.4">
      <c r="A35" s="398"/>
      <c r="B35" s="184"/>
      <c r="C35" s="235" t="s">
        <v>253</v>
      </c>
      <c r="D35" s="236" t="s">
        <v>177</v>
      </c>
      <c r="E35" s="32" t="s">
        <v>194</v>
      </c>
      <c r="F35" s="226" t="s">
        <v>195</v>
      </c>
      <c r="G35" s="208"/>
      <c r="H35" s="209"/>
      <c r="I35" s="190">
        <f t="shared" si="0"/>
        <v>0</v>
      </c>
      <c r="J35" s="280"/>
    </row>
    <row r="36" spans="1:10" ht="15.9" customHeight="1" x14ac:dyDescent="0.4">
      <c r="A36" s="398"/>
      <c r="B36" s="184"/>
      <c r="C36" s="235" t="s">
        <v>254</v>
      </c>
      <c r="D36" s="236" t="s">
        <v>177</v>
      </c>
      <c r="E36" s="32" t="s">
        <v>194</v>
      </c>
      <c r="F36" s="226" t="s">
        <v>195</v>
      </c>
      <c r="G36" s="208"/>
      <c r="H36" s="209"/>
      <c r="I36" s="190">
        <f t="shared" si="0"/>
        <v>0</v>
      </c>
      <c r="J36" s="280"/>
    </row>
    <row r="37" spans="1:10" ht="15.9" customHeight="1" x14ac:dyDescent="0.4">
      <c r="A37" s="398"/>
      <c r="B37" s="184"/>
      <c r="C37" s="231" t="s">
        <v>255</v>
      </c>
      <c r="D37" s="232" t="s">
        <v>256</v>
      </c>
      <c r="E37" s="32" t="s">
        <v>194</v>
      </c>
      <c r="F37" s="226" t="s">
        <v>195</v>
      </c>
      <c r="G37" s="208"/>
      <c r="H37" s="209"/>
      <c r="I37" s="190">
        <f t="shared" si="0"/>
        <v>0</v>
      </c>
      <c r="J37" s="280"/>
    </row>
    <row r="38" spans="1:10" ht="15.9" customHeight="1" x14ac:dyDescent="0.4">
      <c r="A38" s="398"/>
      <c r="B38" s="184"/>
      <c r="C38" s="235" t="s">
        <v>257</v>
      </c>
      <c r="D38" s="236"/>
      <c r="E38" s="32" t="s">
        <v>194</v>
      </c>
      <c r="F38" s="226" t="s">
        <v>195</v>
      </c>
      <c r="G38" s="208"/>
      <c r="H38" s="209"/>
      <c r="I38" s="190">
        <f t="shared" si="0"/>
        <v>0</v>
      </c>
      <c r="J38" s="280"/>
    </row>
    <row r="39" spans="1:10" ht="15.9" customHeight="1" x14ac:dyDescent="0.4">
      <c r="A39" s="398"/>
      <c r="B39" s="184"/>
      <c r="C39" s="235" t="s">
        <v>258</v>
      </c>
      <c r="D39" s="236" t="s">
        <v>259</v>
      </c>
      <c r="E39" s="32" t="s">
        <v>194</v>
      </c>
      <c r="F39" s="226" t="s">
        <v>195</v>
      </c>
      <c r="G39" s="208"/>
      <c r="H39" s="209"/>
      <c r="I39" s="190">
        <f t="shared" si="0"/>
        <v>0</v>
      </c>
      <c r="J39" s="280"/>
    </row>
    <row r="40" spans="1:10" ht="15.9" customHeight="1" x14ac:dyDescent="0.4">
      <c r="A40" s="398"/>
      <c r="B40" s="184"/>
      <c r="C40" s="228" t="s">
        <v>260</v>
      </c>
      <c r="D40" s="237" t="s">
        <v>181</v>
      </c>
      <c r="E40" s="32" t="s">
        <v>194</v>
      </c>
      <c r="F40" s="226" t="s">
        <v>195</v>
      </c>
      <c r="G40" s="208"/>
      <c r="H40" s="209"/>
      <c r="I40" s="190">
        <f t="shared" si="0"/>
        <v>0</v>
      </c>
      <c r="J40" s="280"/>
    </row>
    <row r="41" spans="1:10" ht="15.9" customHeight="1" x14ac:dyDescent="0.4">
      <c r="A41" s="398"/>
      <c r="B41" s="184"/>
      <c r="C41" s="228" t="s">
        <v>261</v>
      </c>
      <c r="D41" s="237"/>
      <c r="E41" s="32" t="s">
        <v>194</v>
      </c>
      <c r="F41" s="226" t="s">
        <v>195</v>
      </c>
      <c r="G41" s="208"/>
      <c r="H41" s="209"/>
      <c r="I41" s="190">
        <f t="shared" si="0"/>
        <v>0</v>
      </c>
      <c r="J41" s="280"/>
    </row>
    <row r="42" spans="1:10" ht="15.9" customHeight="1" x14ac:dyDescent="0.4">
      <c r="A42" s="398"/>
      <c r="B42" s="184"/>
      <c r="C42" s="235" t="s">
        <v>262</v>
      </c>
      <c r="D42" s="236" t="s">
        <v>263</v>
      </c>
      <c r="E42" s="32" t="s">
        <v>194</v>
      </c>
      <c r="F42" s="226" t="s">
        <v>195</v>
      </c>
      <c r="G42" s="208"/>
      <c r="H42" s="209"/>
      <c r="I42" s="190">
        <f t="shared" si="0"/>
        <v>0</v>
      </c>
      <c r="J42" s="280"/>
    </row>
    <row r="43" spans="1:10" ht="15.9" customHeight="1" x14ac:dyDescent="0.4">
      <c r="A43" s="398"/>
      <c r="B43" s="184"/>
      <c r="C43" s="228" t="s">
        <v>264</v>
      </c>
      <c r="D43" s="237" t="s">
        <v>265</v>
      </c>
      <c r="E43" s="32" t="s">
        <v>194</v>
      </c>
      <c r="F43" s="226" t="s">
        <v>195</v>
      </c>
      <c r="G43" s="208"/>
      <c r="H43" s="209"/>
      <c r="I43" s="190">
        <f t="shared" si="0"/>
        <v>0</v>
      </c>
      <c r="J43" s="280"/>
    </row>
    <row r="44" spans="1:10" ht="15.9" customHeight="1" x14ac:dyDescent="0.4">
      <c r="A44" s="398"/>
      <c r="B44" s="184"/>
      <c r="C44" s="235" t="s">
        <v>266</v>
      </c>
      <c r="D44" s="236" t="s">
        <v>267</v>
      </c>
      <c r="E44" s="32" t="s">
        <v>194</v>
      </c>
      <c r="F44" s="226" t="s">
        <v>195</v>
      </c>
      <c r="G44" s="208"/>
      <c r="H44" s="209"/>
      <c r="I44" s="190">
        <f t="shared" si="0"/>
        <v>0</v>
      </c>
      <c r="J44" s="280"/>
    </row>
    <row r="45" spans="1:10" ht="15.9" customHeight="1" x14ac:dyDescent="0.4">
      <c r="A45" s="398"/>
      <c r="B45" s="184"/>
      <c r="C45" s="235" t="s">
        <v>268</v>
      </c>
      <c r="D45" s="236"/>
      <c r="E45" s="32" t="s">
        <v>194</v>
      </c>
      <c r="F45" s="226" t="s">
        <v>195</v>
      </c>
      <c r="G45" s="208"/>
      <c r="H45" s="209"/>
      <c r="I45" s="190">
        <f t="shared" si="0"/>
        <v>0</v>
      </c>
      <c r="J45" s="280"/>
    </row>
    <row r="46" spans="1:10" ht="15.9" customHeight="1" x14ac:dyDescent="0.4">
      <c r="A46" s="398"/>
      <c r="B46" s="184"/>
      <c r="C46" s="228" t="s">
        <v>269</v>
      </c>
      <c r="D46" s="237"/>
      <c r="E46" s="32" t="s">
        <v>194</v>
      </c>
      <c r="F46" s="226" t="s">
        <v>195</v>
      </c>
      <c r="G46" s="208"/>
      <c r="H46" s="209"/>
      <c r="I46" s="190">
        <f t="shared" si="0"/>
        <v>0</v>
      </c>
      <c r="J46" s="280"/>
    </row>
    <row r="47" spans="1:10" ht="15.9" customHeight="1" x14ac:dyDescent="0.4">
      <c r="A47" s="398"/>
      <c r="B47" s="184"/>
      <c r="C47" s="229" t="s">
        <v>270</v>
      </c>
      <c r="D47" s="237"/>
      <c r="E47" s="32" t="s">
        <v>194</v>
      </c>
      <c r="F47" s="226" t="s">
        <v>195</v>
      </c>
      <c r="G47" s="208"/>
      <c r="H47" s="209"/>
      <c r="I47" s="190">
        <f>G47*H47</f>
        <v>0</v>
      </c>
      <c r="J47" s="280"/>
    </row>
    <row r="48" spans="1:10" ht="15.9" customHeight="1" x14ac:dyDescent="0.4">
      <c r="A48" s="398"/>
      <c r="B48" s="401" t="s">
        <v>183</v>
      </c>
      <c r="C48" s="402"/>
      <c r="D48" s="402"/>
      <c r="E48" s="402"/>
      <c r="F48" s="402"/>
      <c r="G48" s="402"/>
      <c r="H48" s="403"/>
      <c r="I48" s="238">
        <f>SUM(I13:I47)</f>
        <v>0</v>
      </c>
      <c r="J48" s="280"/>
    </row>
    <row r="49" spans="1:10" ht="15.9" customHeight="1" x14ac:dyDescent="0.4">
      <c r="A49" s="398"/>
      <c r="B49" s="217" t="s">
        <v>62</v>
      </c>
      <c r="C49" s="239" t="s">
        <v>184</v>
      </c>
      <c r="D49" s="221" t="s">
        <v>163</v>
      </c>
      <c r="E49" s="29" t="s">
        <v>194</v>
      </c>
      <c r="F49" s="46" t="s">
        <v>195</v>
      </c>
      <c r="G49" s="222"/>
      <c r="H49" s="223"/>
      <c r="I49" s="224">
        <f t="shared" ref="I49:I77" si="1">G49*H49</f>
        <v>0</v>
      </c>
      <c r="J49" s="279"/>
    </row>
    <row r="50" spans="1:10" ht="15.9" customHeight="1" x14ac:dyDescent="0.4">
      <c r="A50" s="398"/>
      <c r="B50" s="184"/>
      <c r="C50" s="240"/>
      <c r="D50" s="221" t="s">
        <v>164</v>
      </c>
      <c r="E50" s="32" t="s">
        <v>194</v>
      </c>
      <c r="F50" s="226" t="s">
        <v>195</v>
      </c>
      <c r="G50" s="208"/>
      <c r="H50" s="209"/>
      <c r="I50" s="190">
        <f t="shared" si="1"/>
        <v>0</v>
      </c>
      <c r="J50" s="280"/>
    </row>
    <row r="51" spans="1:10" ht="15.9" customHeight="1" x14ac:dyDescent="0.4">
      <c r="A51" s="398"/>
      <c r="B51" s="184"/>
      <c r="C51" s="240"/>
      <c r="D51" s="221" t="s">
        <v>165</v>
      </c>
      <c r="E51" s="32" t="s">
        <v>194</v>
      </c>
      <c r="F51" s="226" t="s">
        <v>195</v>
      </c>
      <c r="G51" s="208"/>
      <c r="H51" s="209"/>
      <c r="I51" s="190">
        <f t="shared" si="1"/>
        <v>0</v>
      </c>
      <c r="J51" s="280"/>
    </row>
    <row r="52" spans="1:10" ht="15.9" customHeight="1" x14ac:dyDescent="0.4">
      <c r="A52" s="398"/>
      <c r="B52" s="184"/>
      <c r="C52" s="240"/>
      <c r="D52" s="241" t="s">
        <v>188</v>
      </c>
      <c r="E52" s="32" t="s">
        <v>194</v>
      </c>
      <c r="F52" s="226" t="s">
        <v>195</v>
      </c>
      <c r="G52" s="208"/>
      <c r="H52" s="209"/>
      <c r="I52" s="190">
        <f t="shared" si="1"/>
        <v>0</v>
      </c>
      <c r="J52" s="280"/>
    </row>
    <row r="53" spans="1:10" ht="15.9" customHeight="1" x14ac:dyDescent="0.4">
      <c r="A53" s="398"/>
      <c r="B53" s="184"/>
      <c r="C53" s="242"/>
      <c r="D53" s="221" t="s">
        <v>189</v>
      </c>
      <c r="E53" s="32" t="s">
        <v>194</v>
      </c>
      <c r="F53" s="226" t="s">
        <v>195</v>
      </c>
      <c r="G53" s="208"/>
      <c r="H53" s="209"/>
      <c r="I53" s="190">
        <f t="shared" si="1"/>
        <v>0</v>
      </c>
      <c r="J53" s="280"/>
    </row>
    <row r="54" spans="1:10" ht="15.9" customHeight="1" x14ac:dyDescent="0.4">
      <c r="A54" s="398"/>
      <c r="B54" s="184"/>
      <c r="C54" s="243" t="s">
        <v>190</v>
      </c>
      <c r="D54" s="221" t="s">
        <v>163</v>
      </c>
      <c r="E54" s="32" t="s">
        <v>194</v>
      </c>
      <c r="F54" s="226" t="s">
        <v>195</v>
      </c>
      <c r="G54" s="208"/>
      <c r="H54" s="209"/>
      <c r="I54" s="190">
        <f t="shared" si="1"/>
        <v>0</v>
      </c>
      <c r="J54" s="280"/>
    </row>
    <row r="55" spans="1:10" ht="15.9" customHeight="1" x14ac:dyDescent="0.4">
      <c r="A55" s="398"/>
      <c r="B55" s="184"/>
      <c r="C55" s="242"/>
      <c r="D55" s="221" t="s">
        <v>164</v>
      </c>
      <c r="E55" s="32" t="s">
        <v>194</v>
      </c>
      <c r="F55" s="226" t="s">
        <v>195</v>
      </c>
      <c r="G55" s="208"/>
      <c r="H55" s="209"/>
      <c r="I55" s="190">
        <f t="shared" si="1"/>
        <v>0</v>
      </c>
      <c r="J55" s="280"/>
    </row>
    <row r="56" spans="1:10" ht="15.9" customHeight="1" x14ac:dyDescent="0.4">
      <c r="A56" s="398"/>
      <c r="B56" s="184"/>
      <c r="C56" s="243" t="s">
        <v>191</v>
      </c>
      <c r="D56" s="221" t="s">
        <v>163</v>
      </c>
      <c r="E56" s="32" t="s">
        <v>194</v>
      </c>
      <c r="F56" s="226" t="s">
        <v>195</v>
      </c>
      <c r="G56" s="208"/>
      <c r="H56" s="209"/>
      <c r="I56" s="190">
        <f t="shared" si="1"/>
        <v>0</v>
      </c>
      <c r="J56" s="280"/>
    </row>
    <row r="57" spans="1:10" ht="15.9" customHeight="1" x14ac:dyDescent="0.4">
      <c r="A57" s="398"/>
      <c r="B57" s="184"/>
      <c r="C57" s="240"/>
      <c r="D57" s="221" t="s">
        <v>164</v>
      </c>
      <c r="E57" s="32" t="s">
        <v>194</v>
      </c>
      <c r="F57" s="226" t="s">
        <v>195</v>
      </c>
      <c r="G57" s="208"/>
      <c r="H57" s="209"/>
      <c r="I57" s="190">
        <f t="shared" si="1"/>
        <v>0</v>
      </c>
      <c r="J57" s="280"/>
    </row>
    <row r="58" spans="1:10" ht="15.9" customHeight="1" x14ac:dyDescent="0.4">
      <c r="A58" s="398"/>
      <c r="B58" s="184"/>
      <c r="C58" s="240"/>
      <c r="D58" s="221" t="s">
        <v>165</v>
      </c>
      <c r="E58" s="32" t="s">
        <v>194</v>
      </c>
      <c r="F58" s="226" t="s">
        <v>195</v>
      </c>
      <c r="G58" s="208"/>
      <c r="H58" s="209"/>
      <c r="I58" s="190">
        <f t="shared" si="1"/>
        <v>0</v>
      </c>
      <c r="J58" s="280"/>
    </row>
    <row r="59" spans="1:10" ht="15.9" customHeight="1" x14ac:dyDescent="0.4">
      <c r="A59" s="398"/>
      <c r="B59" s="184"/>
      <c r="C59" s="242"/>
      <c r="D59" s="221" t="s">
        <v>188</v>
      </c>
      <c r="E59" s="32" t="s">
        <v>194</v>
      </c>
      <c r="F59" s="226" t="s">
        <v>195</v>
      </c>
      <c r="G59" s="208"/>
      <c r="H59" s="209"/>
      <c r="I59" s="190">
        <f t="shared" si="1"/>
        <v>0</v>
      </c>
      <c r="J59" s="280"/>
    </row>
    <row r="60" spans="1:10" ht="15.9" customHeight="1" x14ac:dyDescent="0.4">
      <c r="A60" s="398"/>
      <c r="B60" s="184"/>
      <c r="C60" s="242" t="s">
        <v>271</v>
      </c>
      <c r="D60" s="237" t="s">
        <v>272</v>
      </c>
      <c r="E60" s="32" t="s">
        <v>194</v>
      </c>
      <c r="F60" s="226" t="s">
        <v>195</v>
      </c>
      <c r="G60" s="208"/>
      <c r="H60" s="209"/>
      <c r="I60" s="190">
        <f t="shared" si="1"/>
        <v>0</v>
      </c>
      <c r="J60" s="280"/>
    </row>
    <row r="61" spans="1:10" ht="15.9" customHeight="1" x14ac:dyDescent="0.4">
      <c r="A61" s="398"/>
      <c r="B61" s="401" t="s">
        <v>192</v>
      </c>
      <c r="C61" s="402"/>
      <c r="D61" s="402"/>
      <c r="E61" s="402"/>
      <c r="F61" s="402"/>
      <c r="G61" s="402"/>
      <c r="H61" s="403"/>
      <c r="I61" s="238">
        <f>SUM(I49:I60)</f>
        <v>0</v>
      </c>
      <c r="J61" s="280"/>
    </row>
    <row r="62" spans="1:10" ht="15.9" customHeight="1" x14ac:dyDescent="0.4">
      <c r="A62" s="398"/>
      <c r="B62" s="286" t="s">
        <v>63</v>
      </c>
      <c r="C62" s="287" t="s">
        <v>193</v>
      </c>
      <c r="D62" s="288"/>
      <c r="E62" s="29" t="s">
        <v>194</v>
      </c>
      <c r="F62" s="46" t="s">
        <v>195</v>
      </c>
      <c r="G62" s="222"/>
      <c r="H62" s="223"/>
      <c r="I62" s="224">
        <f t="shared" si="1"/>
        <v>0</v>
      </c>
      <c r="J62" s="281"/>
    </row>
    <row r="63" spans="1:10" ht="15.9" customHeight="1" x14ac:dyDescent="0.4">
      <c r="A63" s="398"/>
      <c r="B63" s="184"/>
      <c r="C63" s="289" t="s">
        <v>273</v>
      </c>
      <c r="D63" s="290"/>
      <c r="E63" s="32" t="s">
        <v>194</v>
      </c>
      <c r="F63" s="226" t="s">
        <v>195</v>
      </c>
      <c r="G63" s="208"/>
      <c r="H63" s="209"/>
      <c r="I63" s="190">
        <f t="shared" si="1"/>
        <v>0</v>
      </c>
      <c r="J63" s="280"/>
    </row>
    <row r="64" spans="1:10" ht="15.9" customHeight="1" x14ac:dyDescent="0.4">
      <c r="A64" s="398"/>
      <c r="B64" s="184"/>
      <c r="C64" s="289" t="s">
        <v>274</v>
      </c>
      <c r="D64" s="290"/>
      <c r="E64" s="32" t="s">
        <v>194</v>
      </c>
      <c r="F64" s="226" t="s">
        <v>195</v>
      </c>
      <c r="G64" s="208"/>
      <c r="H64" s="209"/>
      <c r="I64" s="190">
        <f t="shared" si="1"/>
        <v>0</v>
      </c>
      <c r="J64" s="280"/>
    </row>
    <row r="65" spans="1:10" ht="15.9" customHeight="1" x14ac:dyDescent="0.4">
      <c r="A65" s="398"/>
      <c r="B65" s="184"/>
      <c r="C65" s="291" t="s">
        <v>275</v>
      </c>
      <c r="D65" s="290"/>
      <c r="E65" s="32" t="s">
        <v>194</v>
      </c>
      <c r="F65" s="226" t="s">
        <v>195</v>
      </c>
      <c r="G65" s="208"/>
      <c r="H65" s="209"/>
      <c r="I65" s="190">
        <f t="shared" si="1"/>
        <v>0</v>
      </c>
      <c r="J65" s="280"/>
    </row>
    <row r="66" spans="1:10" ht="15.9" customHeight="1" x14ac:dyDescent="0.4">
      <c r="A66" s="398"/>
      <c r="B66" s="401" t="s">
        <v>199</v>
      </c>
      <c r="C66" s="402"/>
      <c r="D66" s="402"/>
      <c r="E66" s="402"/>
      <c r="F66" s="402"/>
      <c r="G66" s="402"/>
      <c r="H66" s="403"/>
      <c r="I66" s="251">
        <f>SUM(I62:I65)</f>
        <v>0</v>
      </c>
      <c r="J66" s="282"/>
    </row>
    <row r="67" spans="1:10" ht="15.9" customHeight="1" x14ac:dyDescent="0.4">
      <c r="A67" s="398"/>
      <c r="B67" s="184" t="s">
        <v>81</v>
      </c>
      <c r="C67" s="252" t="s">
        <v>200</v>
      </c>
      <c r="D67" s="253"/>
      <c r="E67" s="211" t="s">
        <v>194</v>
      </c>
      <c r="F67" s="226" t="s">
        <v>195</v>
      </c>
      <c r="G67" s="208"/>
      <c r="H67" s="209"/>
      <c r="I67" s="190">
        <f t="shared" si="1"/>
        <v>0</v>
      </c>
      <c r="J67" s="280"/>
    </row>
    <row r="68" spans="1:10" ht="15.9" customHeight="1" x14ac:dyDescent="0.4">
      <c r="A68" s="398"/>
      <c r="B68" s="184"/>
      <c r="C68" s="229" t="s">
        <v>201</v>
      </c>
      <c r="D68" s="253" t="s">
        <v>202</v>
      </c>
      <c r="E68" s="32" t="s">
        <v>194</v>
      </c>
      <c r="F68" s="226" t="s">
        <v>195</v>
      </c>
      <c r="G68" s="208"/>
      <c r="H68" s="209"/>
      <c r="I68" s="190">
        <f t="shared" si="1"/>
        <v>0</v>
      </c>
      <c r="J68" s="280"/>
    </row>
    <row r="69" spans="1:10" ht="15.9" customHeight="1" x14ac:dyDescent="0.4">
      <c r="A69" s="398"/>
      <c r="B69" s="184"/>
      <c r="C69" s="229" t="s">
        <v>203</v>
      </c>
      <c r="D69" s="253" t="s">
        <v>202</v>
      </c>
      <c r="E69" s="32" t="s">
        <v>194</v>
      </c>
      <c r="F69" s="226" t="s">
        <v>195</v>
      </c>
      <c r="G69" s="208"/>
      <c r="H69" s="209"/>
      <c r="I69" s="190">
        <f t="shared" si="1"/>
        <v>0</v>
      </c>
      <c r="J69" s="280"/>
    </row>
    <row r="70" spans="1:10" ht="15.9" customHeight="1" x14ac:dyDescent="0.4">
      <c r="A70" s="398"/>
      <c r="B70" s="184"/>
      <c r="C70" s="229" t="s">
        <v>204</v>
      </c>
      <c r="D70" s="253" t="s">
        <v>205</v>
      </c>
      <c r="E70" s="32" t="s">
        <v>194</v>
      </c>
      <c r="F70" s="226" t="s">
        <v>195</v>
      </c>
      <c r="G70" s="208"/>
      <c r="H70" s="209"/>
      <c r="I70" s="190">
        <f t="shared" si="1"/>
        <v>0</v>
      </c>
      <c r="J70" s="280"/>
    </row>
    <row r="71" spans="1:10" ht="15.9" customHeight="1" x14ac:dyDescent="0.4">
      <c r="A71" s="398"/>
      <c r="B71" s="184"/>
      <c r="C71" s="229" t="s">
        <v>206</v>
      </c>
      <c r="D71" s="253" t="s">
        <v>205</v>
      </c>
      <c r="E71" s="32" t="s">
        <v>194</v>
      </c>
      <c r="F71" s="226" t="s">
        <v>195</v>
      </c>
      <c r="G71" s="188"/>
      <c r="H71" s="189"/>
      <c r="I71" s="190">
        <f t="shared" si="1"/>
        <v>0</v>
      </c>
      <c r="J71" s="283"/>
    </row>
    <row r="72" spans="1:10" ht="15.9" customHeight="1" x14ac:dyDescent="0.4">
      <c r="A72" s="398"/>
      <c r="B72" s="184"/>
      <c r="C72" s="229" t="s">
        <v>207</v>
      </c>
      <c r="D72" s="253" t="s">
        <v>208</v>
      </c>
      <c r="E72" s="32" t="s">
        <v>194</v>
      </c>
      <c r="F72" s="226" t="s">
        <v>195</v>
      </c>
      <c r="G72" s="188"/>
      <c r="H72" s="189"/>
      <c r="I72" s="190">
        <f t="shared" si="1"/>
        <v>0</v>
      </c>
      <c r="J72" s="283"/>
    </row>
    <row r="73" spans="1:10" ht="15.9" customHeight="1" x14ac:dyDescent="0.4">
      <c r="A73" s="398"/>
      <c r="B73" s="184"/>
      <c r="C73" s="248" t="s">
        <v>209</v>
      </c>
      <c r="D73" s="254"/>
      <c r="E73" s="32" t="s">
        <v>194</v>
      </c>
      <c r="F73" s="226" t="s">
        <v>195</v>
      </c>
      <c r="G73" s="188"/>
      <c r="H73" s="189"/>
      <c r="I73" s="190">
        <f t="shared" si="1"/>
        <v>0</v>
      </c>
      <c r="J73" s="283"/>
    </row>
    <row r="74" spans="1:10" ht="15.9" customHeight="1" x14ac:dyDescent="0.4">
      <c r="A74" s="398"/>
      <c r="B74" s="184"/>
      <c r="C74" s="229" t="s">
        <v>210</v>
      </c>
      <c r="D74" s="253"/>
      <c r="E74" s="32"/>
      <c r="F74" s="226" t="s">
        <v>56</v>
      </c>
      <c r="G74" s="208"/>
      <c r="H74" s="209"/>
      <c r="I74" s="190">
        <f t="shared" si="1"/>
        <v>0</v>
      </c>
      <c r="J74" s="280"/>
    </row>
    <row r="75" spans="1:10" ht="15.9" customHeight="1" x14ac:dyDescent="0.4">
      <c r="A75" s="398"/>
      <c r="B75" s="184"/>
      <c r="C75" s="229" t="s">
        <v>211</v>
      </c>
      <c r="D75" s="253"/>
      <c r="E75" s="32"/>
      <c r="F75" s="226" t="s">
        <v>56</v>
      </c>
      <c r="G75" s="188"/>
      <c r="H75" s="189"/>
      <c r="I75" s="190">
        <f t="shared" si="1"/>
        <v>0</v>
      </c>
      <c r="J75" s="283"/>
    </row>
    <row r="76" spans="1:10" ht="15.9" customHeight="1" x14ac:dyDescent="0.4">
      <c r="A76" s="398"/>
      <c r="B76" s="184"/>
      <c r="C76" s="229" t="s">
        <v>212</v>
      </c>
      <c r="D76" s="253"/>
      <c r="E76" s="32"/>
      <c r="F76" s="226" t="s">
        <v>56</v>
      </c>
      <c r="G76" s="188"/>
      <c r="H76" s="189"/>
      <c r="I76" s="190">
        <f t="shared" si="1"/>
        <v>0</v>
      </c>
      <c r="J76" s="283"/>
    </row>
    <row r="77" spans="1:10" ht="15.9" customHeight="1" x14ac:dyDescent="0.4">
      <c r="A77" s="398"/>
      <c r="B77" s="184"/>
      <c r="C77" s="248" t="s">
        <v>213</v>
      </c>
      <c r="D77" s="254"/>
      <c r="E77" s="32"/>
      <c r="F77" s="226" t="s">
        <v>56</v>
      </c>
      <c r="G77" s="188"/>
      <c r="H77" s="189"/>
      <c r="I77" s="190">
        <f t="shared" si="1"/>
        <v>0</v>
      </c>
      <c r="J77" s="283"/>
    </row>
    <row r="78" spans="1:10" ht="15.9" customHeight="1" x14ac:dyDescent="0.4">
      <c r="A78" s="398"/>
      <c r="B78" s="401" t="s">
        <v>214</v>
      </c>
      <c r="C78" s="402"/>
      <c r="D78" s="402"/>
      <c r="E78" s="402"/>
      <c r="F78" s="402"/>
      <c r="G78" s="402"/>
      <c r="H78" s="403"/>
      <c r="I78" s="238">
        <f>SUM(I67:I77)</f>
        <v>0</v>
      </c>
      <c r="J78" s="284"/>
    </row>
    <row r="79" spans="1:10" ht="15.9" customHeight="1" x14ac:dyDescent="0.4">
      <c r="A79" s="413"/>
      <c r="B79" s="310" t="s">
        <v>215</v>
      </c>
      <c r="C79" s="310"/>
      <c r="D79" s="310"/>
      <c r="E79" s="310"/>
      <c r="F79" s="310"/>
      <c r="G79" s="310"/>
      <c r="H79" s="311"/>
      <c r="I79" s="219">
        <f>SUM(I48,I61,I66,I78)</f>
        <v>0</v>
      </c>
      <c r="J79" s="41"/>
    </row>
    <row r="80" spans="1:10" ht="15.9" customHeight="1" x14ac:dyDescent="0.4">
      <c r="A80" s="397" t="s">
        <v>65</v>
      </c>
      <c r="B80" s="26" t="s">
        <v>65</v>
      </c>
      <c r="C80" s="254" t="s">
        <v>216</v>
      </c>
      <c r="D80" s="254"/>
      <c r="E80" s="32"/>
      <c r="F80" s="226" t="s">
        <v>195</v>
      </c>
      <c r="G80" s="188"/>
      <c r="H80" s="189"/>
      <c r="I80" s="150">
        <f>SUM(G80*H80)</f>
        <v>0</v>
      </c>
      <c r="J80" s="277"/>
    </row>
    <row r="81" spans="1:18" ht="15.9" customHeight="1" x14ac:dyDescent="0.4">
      <c r="A81" s="399"/>
      <c r="C81" s="254" t="s">
        <v>276</v>
      </c>
      <c r="D81" s="254"/>
      <c r="E81" s="32"/>
      <c r="F81" s="226" t="s">
        <v>195</v>
      </c>
      <c r="G81" s="188"/>
      <c r="H81" s="189"/>
      <c r="I81" s="150">
        <f>SUM(G81*H81)</f>
        <v>0</v>
      </c>
      <c r="J81" s="35"/>
    </row>
    <row r="82" spans="1:18" ht="15.9" customHeight="1" x14ac:dyDescent="0.4">
      <c r="A82" s="399"/>
      <c r="B82" s="401" t="s">
        <v>227</v>
      </c>
      <c r="C82" s="402"/>
      <c r="D82" s="402"/>
      <c r="E82" s="402"/>
      <c r="F82" s="402"/>
      <c r="G82" s="402"/>
      <c r="H82" s="403"/>
      <c r="I82" s="256">
        <f>SUM(I80:I81)</f>
        <v>0</v>
      </c>
      <c r="J82" s="285"/>
    </row>
    <row r="83" spans="1:18" ht="15.9" customHeight="1" x14ac:dyDescent="0.4">
      <c r="A83" s="400"/>
      <c r="B83" s="310" t="s">
        <v>227</v>
      </c>
      <c r="C83" s="310"/>
      <c r="D83" s="310"/>
      <c r="E83" s="310"/>
      <c r="F83" s="310"/>
      <c r="G83" s="310"/>
      <c r="H83" s="311"/>
      <c r="I83" s="219">
        <f>SUM(I80:I82)</f>
        <v>0</v>
      </c>
      <c r="J83" s="41"/>
      <c r="L83" s="44"/>
    </row>
    <row r="84" spans="1:18" ht="15.9" customHeight="1" x14ac:dyDescent="0.4">
      <c r="A84" s="199"/>
      <c r="B84" s="257" t="s">
        <v>83</v>
      </c>
      <c r="C84" s="257"/>
      <c r="D84" s="257"/>
      <c r="E84" s="257"/>
      <c r="F84" s="257"/>
      <c r="G84" s="257"/>
      <c r="H84" s="257"/>
      <c r="I84" s="219">
        <f>CEILING(MIN(P91:P92),1000)</f>
        <v>0</v>
      </c>
      <c r="J84" s="260"/>
    </row>
    <row r="85" spans="1:18" ht="15.9" customHeight="1" x14ac:dyDescent="0.4">
      <c r="A85" s="259"/>
      <c r="B85" s="257" t="s">
        <v>69</v>
      </c>
      <c r="C85" s="260" t="s">
        <v>228</v>
      </c>
      <c r="D85" s="260"/>
      <c r="E85" s="41"/>
      <c r="F85" s="182"/>
      <c r="G85" s="261">
        <v>0.05</v>
      </c>
      <c r="H85" s="262"/>
      <c r="I85" s="219">
        <f>SUM(I12,I79,I83)*G85</f>
        <v>0</v>
      </c>
      <c r="J85" s="260"/>
    </row>
    <row r="86" spans="1:18" ht="15.9" customHeight="1" x14ac:dyDescent="0.4">
      <c r="A86" s="259"/>
      <c r="B86" s="257" t="s">
        <v>229</v>
      </c>
      <c r="C86" s="260" t="s">
        <v>230</v>
      </c>
      <c r="D86" s="260"/>
      <c r="E86" s="41"/>
      <c r="F86" s="182"/>
      <c r="G86" s="261">
        <v>0.01</v>
      </c>
      <c r="H86" s="262"/>
      <c r="I86" s="219">
        <f>SUM(I79,I83,I85)*G86</f>
        <v>0</v>
      </c>
      <c r="J86" s="260"/>
    </row>
    <row r="87" spans="1:18" ht="15.9" customHeight="1" x14ac:dyDescent="0.4">
      <c r="A87" s="259"/>
      <c r="B87" s="257" t="s">
        <v>231</v>
      </c>
      <c r="C87" s="260"/>
      <c r="D87" s="260"/>
      <c r="E87" s="41"/>
      <c r="F87" s="41"/>
      <c r="G87" s="45"/>
      <c r="H87" s="45"/>
      <c r="I87" s="263">
        <f>SUM(I12,I79,I83,I84,I85,I86)</f>
        <v>0</v>
      </c>
      <c r="J87" s="41"/>
    </row>
    <row r="88" spans="1:18" x14ac:dyDescent="0.4">
      <c r="A88" s="26"/>
    </row>
    <row r="90" spans="1:18" ht="13.5" customHeight="1" x14ac:dyDescent="0.4">
      <c r="L90" s="404" t="s">
        <v>232</v>
      </c>
      <c r="M90" s="407" t="s">
        <v>233</v>
      </c>
      <c r="N90" s="408"/>
      <c r="O90" s="409"/>
      <c r="P90" s="264" t="s">
        <v>234</v>
      </c>
      <c r="Q90" s="265" t="s">
        <v>235</v>
      </c>
      <c r="R90" s="266" t="s">
        <v>236</v>
      </c>
    </row>
    <row r="91" spans="1:18" x14ac:dyDescent="0.4">
      <c r="L91" s="405"/>
      <c r="M91" s="410" t="s">
        <v>237</v>
      </c>
      <c r="N91" s="411"/>
      <c r="O91" s="412"/>
      <c r="P91" s="267">
        <f>IF(Q91&lt;500000000,Q91*0.0315,1)+IF(Q91&gt;500000000,Q91*0.0253+2450000)*IF(Q91&gt;5000000000,0,1)+IF(Q91&gt;5000000000,Q91*0.026,0)</f>
        <v>0</v>
      </c>
      <c r="Q91" s="268">
        <f>SUM(I12,I79)</f>
        <v>0</v>
      </c>
      <c r="R91" s="269" t="s">
        <v>238</v>
      </c>
    </row>
    <row r="92" spans="1:18" x14ac:dyDescent="0.4">
      <c r="L92" s="406"/>
      <c r="M92" s="410" t="s">
        <v>239</v>
      </c>
      <c r="N92" s="411"/>
      <c r="O92" s="412"/>
      <c r="P92" s="267">
        <f>(IF(Q92&lt;500000000,Q92*0.0315,1)+IF(Q92&gt;500000000,Q92*0.0253+2450000)*IF(Q92&gt;5000000000,0,1)+IF(Q92&gt;5000000000,Q92*0.026,0))*1.2</f>
        <v>0</v>
      </c>
      <c r="Q92" s="268">
        <f>SUMIF(J13:J78,"",I13:I78)</f>
        <v>0</v>
      </c>
      <c r="R92" s="269" t="s">
        <v>240</v>
      </c>
    </row>
    <row r="93" spans="1:18" x14ac:dyDescent="0.4">
      <c r="L93" s="270" t="s">
        <v>241</v>
      </c>
      <c r="M93" s="26"/>
      <c r="N93" s="26"/>
      <c r="O93" s="49"/>
      <c r="P93" s="49"/>
      <c r="Q93" s="48"/>
      <c r="R93" s="69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6F96-F9F4-4E4A-869C-85F1C2BB022C}">
  <sheetPr>
    <tabColor rgb="FF00B050"/>
    <pageSetUpPr fitToPage="1"/>
  </sheetPr>
  <dimension ref="A1:R95"/>
  <sheetViews>
    <sheetView zoomScale="85" zoomScaleNormal="85" workbookViewId="0">
      <pane xSplit="2" ySplit="2" topLeftCell="C68" activePane="bottomRight" state="frozen"/>
      <selection activeCell="K19" sqref="K19"/>
      <selection pane="topRight" activeCell="K19" sqref="K19"/>
      <selection pane="bottomLeft" activeCell="K19" sqref="K19"/>
      <selection pane="bottomRight" activeCell="K19" sqref="K19"/>
    </sheetView>
  </sheetViews>
  <sheetFormatPr defaultColWidth="9" defaultRowHeight="14.4" x14ac:dyDescent="0.4"/>
  <cols>
    <col min="1" max="1" width="5" style="1" customWidth="1"/>
    <col min="2" max="2" width="21.8984375" style="26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4"/>
    <col min="8" max="8" width="11.8984375" style="44" customWidth="1"/>
    <col min="9" max="9" width="13.59765625" style="44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9" t="s">
        <v>90</v>
      </c>
      <c r="C1" s="180"/>
      <c r="D1" s="181"/>
      <c r="G1" s="271"/>
      <c r="J1" s="1" t="s">
        <v>92</v>
      </c>
    </row>
    <row r="2" spans="1:11" s="26" customFormat="1" ht="16.5" customHeight="1" x14ac:dyDescent="0.4">
      <c r="A2" s="309" t="s">
        <v>93</v>
      </c>
      <c r="B2" s="311"/>
      <c r="C2" s="182" t="s">
        <v>94</v>
      </c>
      <c r="D2" s="182"/>
      <c r="E2" s="182" t="s">
        <v>95</v>
      </c>
      <c r="F2" s="182" t="s">
        <v>48</v>
      </c>
      <c r="G2" s="183" t="s">
        <v>49</v>
      </c>
      <c r="H2" s="183" t="s">
        <v>96</v>
      </c>
      <c r="I2" s="183" t="s">
        <v>97</v>
      </c>
      <c r="J2" s="182" t="s">
        <v>98</v>
      </c>
    </row>
    <row r="3" spans="1:11" ht="15.9" customHeight="1" x14ac:dyDescent="0.4">
      <c r="A3" s="398" t="s">
        <v>244</v>
      </c>
      <c r="B3" s="184" t="s">
        <v>55</v>
      </c>
      <c r="C3" s="206" t="s">
        <v>245</v>
      </c>
      <c r="D3" s="206" t="s">
        <v>246</v>
      </c>
      <c r="E3" s="206" t="s">
        <v>247</v>
      </c>
      <c r="F3" s="207">
        <v>1</v>
      </c>
      <c r="G3" s="208">
        <v>1</v>
      </c>
      <c r="H3" s="209"/>
      <c r="I3" s="190">
        <f>IF(G3=0,H3,H3*G3)</f>
        <v>0</v>
      </c>
      <c r="J3" s="272" t="s">
        <v>248</v>
      </c>
      <c r="K3" s="273" t="s">
        <v>249</v>
      </c>
    </row>
    <row r="4" spans="1:11" ht="15.9" customHeight="1" x14ac:dyDescent="0.4">
      <c r="A4" s="398"/>
      <c r="B4" s="184"/>
      <c r="C4" s="205" t="s">
        <v>250</v>
      </c>
      <c r="D4" s="205"/>
      <c r="E4" s="206"/>
      <c r="F4" s="207"/>
      <c r="G4" s="208"/>
      <c r="H4" s="209"/>
      <c r="I4" s="190"/>
      <c r="J4" s="272"/>
    </row>
    <row r="5" spans="1:11" ht="15.9" customHeight="1" x14ac:dyDescent="0.4">
      <c r="A5" s="399"/>
      <c r="B5" s="199"/>
      <c r="C5" s="274"/>
      <c r="D5" s="274"/>
      <c r="E5" s="275"/>
      <c r="F5" s="275"/>
      <c r="G5" s="276"/>
      <c r="H5" s="276"/>
      <c r="I5" s="203">
        <f>SUM(I3:I4)</f>
        <v>0</v>
      </c>
      <c r="J5" s="275"/>
    </row>
    <row r="6" spans="1:11" ht="15.9" customHeight="1" x14ac:dyDescent="0.4">
      <c r="A6" s="399"/>
      <c r="B6" s="184" t="s">
        <v>57</v>
      </c>
      <c r="C6" s="205"/>
      <c r="D6" s="205"/>
      <c r="E6" s="206"/>
      <c r="F6" s="207"/>
      <c r="G6" s="208"/>
      <c r="H6" s="209"/>
      <c r="I6" s="210">
        <f>IF(G6=0,H6,H6*G6)</f>
        <v>0</v>
      </c>
      <c r="J6" s="277"/>
    </row>
    <row r="7" spans="1:11" ht="15.9" customHeight="1" x14ac:dyDescent="0.4">
      <c r="A7" s="399"/>
      <c r="B7" s="184" t="s">
        <v>151</v>
      </c>
      <c r="C7" s="205"/>
      <c r="D7" s="205"/>
      <c r="E7" s="206"/>
      <c r="F7" s="207"/>
      <c r="G7" s="208"/>
      <c r="H7" s="209"/>
      <c r="I7" s="150">
        <f>IF(G7=0,H7,H7*G7)</f>
        <v>0</v>
      </c>
      <c r="J7" s="277"/>
    </row>
    <row r="8" spans="1:11" ht="15.9" customHeight="1" x14ac:dyDescent="0.4">
      <c r="A8" s="399"/>
      <c r="B8" s="199"/>
      <c r="C8" s="212"/>
      <c r="D8" s="212"/>
      <c r="E8" s="213"/>
      <c r="F8" s="213"/>
      <c r="G8" s="214"/>
      <c r="H8" s="215"/>
      <c r="I8" s="203">
        <f>SUM(I6:I7)</f>
        <v>0</v>
      </c>
      <c r="J8" s="213"/>
    </row>
    <row r="9" spans="1:11" ht="15.9" customHeight="1" x14ac:dyDescent="0.4">
      <c r="A9" s="399"/>
      <c r="B9" s="217" t="s">
        <v>58</v>
      </c>
      <c r="C9" s="185"/>
      <c r="D9" s="185"/>
      <c r="E9" s="185"/>
      <c r="F9" s="187"/>
      <c r="G9" s="218"/>
      <c r="H9" s="189"/>
      <c r="I9" s="165">
        <f>IF(G9=0,H9,H9*G9)</f>
        <v>0</v>
      </c>
      <c r="J9" s="278"/>
    </row>
    <row r="10" spans="1:11" ht="15.9" customHeight="1" x14ac:dyDescent="0.4">
      <c r="A10" s="399"/>
      <c r="B10" s="184"/>
      <c r="C10" s="185"/>
      <c r="D10" s="185"/>
      <c r="E10" s="185"/>
      <c r="F10" s="187"/>
      <c r="G10" s="218"/>
      <c r="H10" s="189"/>
      <c r="I10" s="150">
        <f>IF(G10=0,H10,H10*G10)</f>
        <v>0</v>
      </c>
      <c r="J10" s="32"/>
    </row>
    <row r="11" spans="1:11" ht="15.9" customHeight="1" x14ac:dyDescent="0.4">
      <c r="A11" s="399"/>
      <c r="B11" s="199"/>
      <c r="C11" s="212"/>
      <c r="D11" s="212"/>
      <c r="E11" s="213"/>
      <c r="F11" s="213"/>
      <c r="G11" s="215"/>
      <c r="H11" s="215"/>
      <c r="I11" s="203">
        <f>SUM(I9:I10)</f>
        <v>0</v>
      </c>
      <c r="J11" s="213"/>
    </row>
    <row r="12" spans="1:11" ht="15.9" customHeight="1" x14ac:dyDescent="0.4">
      <c r="A12" s="199"/>
      <c r="B12" s="310" t="s">
        <v>153</v>
      </c>
      <c r="C12" s="310"/>
      <c r="D12" s="310"/>
      <c r="E12" s="310"/>
      <c r="F12" s="310"/>
      <c r="G12" s="310"/>
      <c r="H12" s="311"/>
      <c r="I12" s="219">
        <f>SUM(I11,I8,I5)</f>
        <v>0</v>
      </c>
      <c r="J12" s="41"/>
    </row>
    <row r="13" spans="1:11" ht="15.9" customHeight="1" x14ac:dyDescent="0.4">
      <c r="A13" s="397" t="s">
        <v>154</v>
      </c>
      <c r="B13" s="217" t="s">
        <v>80</v>
      </c>
      <c r="C13" s="220" t="s">
        <v>155</v>
      </c>
      <c r="D13" s="221" t="s">
        <v>156</v>
      </c>
      <c r="E13" s="110" t="s">
        <v>194</v>
      </c>
      <c r="F13" s="46" t="s">
        <v>217</v>
      </c>
      <c r="G13" s="222"/>
      <c r="H13" s="223"/>
      <c r="I13" s="224">
        <f t="shared" ref="I13:I46" si="0">G13*H13</f>
        <v>0</v>
      </c>
      <c r="J13" s="279"/>
    </row>
    <row r="14" spans="1:11" ht="15.9" customHeight="1" x14ac:dyDescent="0.4">
      <c r="A14" s="398"/>
      <c r="B14" s="184"/>
      <c r="C14" s="225"/>
      <c r="D14" s="221" t="s">
        <v>158</v>
      </c>
      <c r="E14" s="32" t="s">
        <v>194</v>
      </c>
      <c r="F14" s="226" t="s">
        <v>195</v>
      </c>
      <c r="G14" s="208"/>
      <c r="H14" s="209"/>
      <c r="I14" s="190">
        <f t="shared" si="0"/>
        <v>0</v>
      </c>
      <c r="J14" s="280"/>
    </row>
    <row r="15" spans="1:11" ht="15.9" customHeight="1" x14ac:dyDescent="0.4">
      <c r="A15" s="398"/>
      <c r="B15" s="184"/>
      <c r="C15" s="227"/>
      <c r="D15" s="221" t="s">
        <v>159</v>
      </c>
      <c r="E15" s="32" t="s">
        <v>194</v>
      </c>
      <c r="F15" s="226" t="s">
        <v>195</v>
      </c>
      <c r="G15" s="208"/>
      <c r="H15" s="209"/>
      <c r="I15" s="190">
        <f t="shared" si="0"/>
        <v>0</v>
      </c>
      <c r="J15" s="280"/>
    </row>
    <row r="16" spans="1:11" ht="15.9" customHeight="1" x14ac:dyDescent="0.4">
      <c r="A16" s="398"/>
      <c r="B16" s="184"/>
      <c r="C16" s="228" t="s">
        <v>160</v>
      </c>
      <c r="D16" s="221" t="s">
        <v>156</v>
      </c>
      <c r="E16" s="32" t="s">
        <v>194</v>
      </c>
      <c r="F16" s="226" t="s">
        <v>195</v>
      </c>
      <c r="G16" s="208"/>
      <c r="H16" s="209"/>
      <c r="I16" s="190">
        <f t="shared" si="0"/>
        <v>0</v>
      </c>
      <c r="J16" s="280"/>
    </row>
    <row r="17" spans="1:10" ht="15.9" customHeight="1" x14ac:dyDescent="0.4">
      <c r="A17" s="398"/>
      <c r="B17" s="184"/>
      <c r="C17" s="225"/>
      <c r="D17" s="221" t="s">
        <v>158</v>
      </c>
      <c r="E17" s="32" t="s">
        <v>194</v>
      </c>
      <c r="F17" s="226" t="s">
        <v>195</v>
      </c>
      <c r="G17" s="208"/>
      <c r="H17" s="209"/>
      <c r="I17" s="190">
        <f t="shared" si="0"/>
        <v>0</v>
      </c>
      <c r="J17" s="280"/>
    </row>
    <row r="18" spans="1:10" ht="15.9" customHeight="1" x14ac:dyDescent="0.4">
      <c r="A18" s="398"/>
      <c r="B18" s="184"/>
      <c r="C18" s="227"/>
      <c r="D18" s="221" t="s">
        <v>159</v>
      </c>
      <c r="E18" s="32" t="s">
        <v>194</v>
      </c>
      <c r="F18" s="226" t="s">
        <v>195</v>
      </c>
      <c r="G18" s="208"/>
      <c r="H18" s="209"/>
      <c r="I18" s="190">
        <f t="shared" si="0"/>
        <v>0</v>
      </c>
      <c r="J18" s="280"/>
    </row>
    <row r="19" spans="1:10" ht="15.9" customHeight="1" x14ac:dyDescent="0.4">
      <c r="A19" s="398"/>
      <c r="B19" s="184"/>
      <c r="C19" s="228" t="s">
        <v>161</v>
      </c>
      <c r="D19" s="221" t="s">
        <v>156</v>
      </c>
      <c r="E19" s="32" t="s">
        <v>194</v>
      </c>
      <c r="F19" s="226" t="s">
        <v>195</v>
      </c>
      <c r="G19" s="208"/>
      <c r="H19" s="209"/>
      <c r="I19" s="190">
        <f t="shared" si="0"/>
        <v>0</v>
      </c>
      <c r="J19" s="280"/>
    </row>
    <row r="20" spans="1:10" ht="15.9" customHeight="1" x14ac:dyDescent="0.4">
      <c r="A20" s="398"/>
      <c r="B20" s="184"/>
      <c r="C20" s="225"/>
      <c r="D20" s="221" t="s">
        <v>158</v>
      </c>
      <c r="E20" s="32" t="s">
        <v>194</v>
      </c>
      <c r="F20" s="226" t="s">
        <v>195</v>
      </c>
      <c r="G20" s="208"/>
      <c r="H20" s="209"/>
      <c r="I20" s="190">
        <f t="shared" si="0"/>
        <v>0</v>
      </c>
      <c r="J20" s="280"/>
    </row>
    <row r="21" spans="1:10" ht="15.9" customHeight="1" x14ac:dyDescent="0.4">
      <c r="A21" s="398"/>
      <c r="B21" s="184"/>
      <c r="C21" s="227"/>
      <c r="D21" s="221" t="s">
        <v>159</v>
      </c>
      <c r="E21" s="32" t="s">
        <v>194</v>
      </c>
      <c r="F21" s="226" t="s">
        <v>195</v>
      </c>
      <c r="G21" s="208"/>
      <c r="H21" s="209"/>
      <c r="I21" s="190">
        <f t="shared" si="0"/>
        <v>0</v>
      </c>
      <c r="J21" s="280"/>
    </row>
    <row r="22" spans="1:10" ht="15.9" customHeight="1" x14ac:dyDescent="0.4">
      <c r="A22" s="398"/>
      <c r="B22" s="184"/>
      <c r="C22" s="228" t="s">
        <v>162</v>
      </c>
      <c r="D22" s="221" t="s">
        <v>163</v>
      </c>
      <c r="E22" s="32" t="s">
        <v>194</v>
      </c>
      <c r="F22" s="226" t="s">
        <v>195</v>
      </c>
      <c r="G22" s="208"/>
      <c r="H22" s="209"/>
      <c r="I22" s="190">
        <f t="shared" si="0"/>
        <v>0</v>
      </c>
      <c r="J22" s="280"/>
    </row>
    <row r="23" spans="1:10" ht="15.9" customHeight="1" x14ac:dyDescent="0.4">
      <c r="A23" s="398"/>
      <c r="B23" s="184"/>
      <c r="C23" s="225"/>
      <c r="D23" s="221" t="s">
        <v>164</v>
      </c>
      <c r="E23" s="32" t="s">
        <v>194</v>
      </c>
      <c r="F23" s="226" t="s">
        <v>195</v>
      </c>
      <c r="G23" s="208"/>
      <c r="H23" s="209"/>
      <c r="I23" s="190">
        <f t="shared" si="0"/>
        <v>0</v>
      </c>
      <c r="J23" s="280"/>
    </row>
    <row r="24" spans="1:10" ht="15.9" customHeight="1" x14ac:dyDescent="0.4">
      <c r="A24" s="398"/>
      <c r="B24" s="184"/>
      <c r="C24" s="227"/>
      <c r="D24" s="221" t="s">
        <v>165</v>
      </c>
      <c r="E24" s="32" t="s">
        <v>194</v>
      </c>
      <c r="F24" s="226" t="s">
        <v>195</v>
      </c>
      <c r="G24" s="208"/>
      <c r="H24" s="209"/>
      <c r="I24" s="190">
        <f t="shared" si="0"/>
        <v>0</v>
      </c>
      <c r="J24" s="280"/>
    </row>
    <row r="25" spans="1:10" ht="15.9" customHeight="1" x14ac:dyDescent="0.4">
      <c r="A25" s="398"/>
      <c r="B25" s="184"/>
      <c r="C25" s="228" t="s">
        <v>166</v>
      </c>
      <c r="D25" s="221" t="s">
        <v>163</v>
      </c>
      <c r="E25" s="32" t="s">
        <v>194</v>
      </c>
      <c r="F25" s="226" t="s">
        <v>195</v>
      </c>
      <c r="G25" s="208"/>
      <c r="H25" s="209"/>
      <c r="I25" s="190">
        <f t="shared" si="0"/>
        <v>0</v>
      </c>
      <c r="J25" s="280"/>
    </row>
    <row r="26" spans="1:10" ht="15.9" customHeight="1" x14ac:dyDescent="0.4">
      <c r="A26" s="398"/>
      <c r="B26" s="184"/>
      <c r="C26" s="225"/>
      <c r="D26" s="221" t="s">
        <v>164</v>
      </c>
      <c r="E26" s="32" t="s">
        <v>194</v>
      </c>
      <c r="F26" s="226" t="s">
        <v>195</v>
      </c>
      <c r="G26" s="208"/>
      <c r="H26" s="209"/>
      <c r="I26" s="190">
        <f t="shared" si="0"/>
        <v>0</v>
      </c>
      <c r="J26" s="280"/>
    </row>
    <row r="27" spans="1:10" ht="15.9" customHeight="1" x14ac:dyDescent="0.4">
      <c r="A27" s="398"/>
      <c r="B27" s="184"/>
      <c r="C27" s="227"/>
      <c r="D27" s="221" t="s">
        <v>165</v>
      </c>
      <c r="E27" s="32" t="s">
        <v>194</v>
      </c>
      <c r="F27" s="226" t="s">
        <v>195</v>
      </c>
      <c r="G27" s="208"/>
      <c r="H27" s="209"/>
      <c r="I27" s="190">
        <f t="shared" si="0"/>
        <v>0</v>
      </c>
      <c r="J27" s="280"/>
    </row>
    <row r="28" spans="1:10" ht="15.9" customHeight="1" x14ac:dyDescent="0.4">
      <c r="A28" s="398"/>
      <c r="B28" s="184"/>
      <c r="C28" s="228" t="s">
        <v>167</v>
      </c>
      <c r="D28" s="221" t="s">
        <v>168</v>
      </c>
      <c r="E28" s="32" t="s">
        <v>194</v>
      </c>
      <c r="F28" s="226" t="s">
        <v>195</v>
      </c>
      <c r="G28" s="208"/>
      <c r="H28" s="209"/>
      <c r="I28" s="190">
        <f t="shared" si="0"/>
        <v>0</v>
      </c>
      <c r="J28" s="280"/>
    </row>
    <row r="29" spans="1:10" ht="15.9" customHeight="1" x14ac:dyDescent="0.4">
      <c r="A29" s="398"/>
      <c r="B29" s="184"/>
      <c r="C29" s="225"/>
      <c r="D29" s="221" t="s">
        <v>169</v>
      </c>
      <c r="E29" s="32" t="s">
        <v>194</v>
      </c>
      <c r="F29" s="226" t="s">
        <v>195</v>
      </c>
      <c r="G29" s="208"/>
      <c r="H29" s="209"/>
      <c r="I29" s="190">
        <f t="shared" si="0"/>
        <v>0</v>
      </c>
      <c r="J29" s="280"/>
    </row>
    <row r="30" spans="1:10" ht="15.9" customHeight="1" x14ac:dyDescent="0.4">
      <c r="A30" s="398"/>
      <c r="B30" s="184"/>
      <c r="C30" s="227"/>
      <c r="D30" s="221" t="s">
        <v>170</v>
      </c>
      <c r="E30" s="32" t="s">
        <v>194</v>
      </c>
      <c r="F30" s="226" t="s">
        <v>195</v>
      </c>
      <c r="G30" s="208"/>
      <c r="H30" s="209"/>
      <c r="I30" s="190">
        <f t="shared" si="0"/>
        <v>0</v>
      </c>
      <c r="J30" s="280"/>
    </row>
    <row r="31" spans="1:10" ht="15.9" customHeight="1" x14ac:dyDescent="0.4">
      <c r="A31" s="398"/>
      <c r="B31" s="184"/>
      <c r="C31" s="229" t="s">
        <v>171</v>
      </c>
      <c r="D31" s="230"/>
      <c r="E31" s="32" t="s">
        <v>194</v>
      </c>
      <c r="F31" s="226" t="s">
        <v>195</v>
      </c>
      <c r="G31" s="208"/>
      <c r="H31" s="209"/>
      <c r="I31" s="190">
        <f t="shared" si="0"/>
        <v>0</v>
      </c>
      <c r="J31" s="280"/>
    </row>
    <row r="32" spans="1:10" ht="15.9" customHeight="1" x14ac:dyDescent="0.4">
      <c r="A32" s="398"/>
      <c r="B32" s="184"/>
      <c r="C32" s="231" t="s">
        <v>172</v>
      </c>
      <c r="D32" s="232" t="s">
        <v>173</v>
      </c>
      <c r="E32" s="32" t="s">
        <v>194</v>
      </c>
      <c r="F32" s="226" t="s">
        <v>195</v>
      </c>
      <c r="G32" s="208"/>
      <c r="H32" s="209"/>
      <c r="I32" s="190">
        <f t="shared" si="0"/>
        <v>0</v>
      </c>
      <c r="J32" s="280"/>
    </row>
    <row r="33" spans="1:10" ht="15.9" customHeight="1" x14ac:dyDescent="0.4">
      <c r="A33" s="398"/>
      <c r="B33" s="184"/>
      <c r="C33" s="233" t="s">
        <v>251</v>
      </c>
      <c r="D33" s="234" t="s">
        <v>175</v>
      </c>
      <c r="E33" s="32" t="s">
        <v>194</v>
      </c>
      <c r="F33" s="226" t="s">
        <v>195</v>
      </c>
      <c r="G33" s="208"/>
      <c r="H33" s="209"/>
      <c r="I33" s="190">
        <f t="shared" si="0"/>
        <v>0</v>
      </c>
      <c r="J33" s="280"/>
    </row>
    <row r="34" spans="1:10" ht="15.9" customHeight="1" x14ac:dyDescent="0.4">
      <c r="A34" s="398"/>
      <c r="B34" s="184"/>
      <c r="C34" s="235" t="s">
        <v>252</v>
      </c>
      <c r="D34" s="236"/>
      <c r="E34" s="32" t="s">
        <v>194</v>
      </c>
      <c r="F34" s="226" t="s">
        <v>195</v>
      </c>
      <c r="G34" s="208"/>
      <c r="H34" s="209"/>
      <c r="I34" s="190">
        <f t="shared" si="0"/>
        <v>0</v>
      </c>
      <c r="J34" s="280"/>
    </row>
    <row r="35" spans="1:10" ht="15.9" customHeight="1" x14ac:dyDescent="0.4">
      <c r="A35" s="398"/>
      <c r="B35" s="184"/>
      <c r="C35" s="235" t="s">
        <v>253</v>
      </c>
      <c r="D35" s="236" t="s">
        <v>177</v>
      </c>
      <c r="E35" s="32" t="s">
        <v>194</v>
      </c>
      <c r="F35" s="226" t="s">
        <v>195</v>
      </c>
      <c r="G35" s="208"/>
      <c r="H35" s="209"/>
      <c r="I35" s="190">
        <f t="shared" si="0"/>
        <v>0</v>
      </c>
      <c r="J35" s="280"/>
    </row>
    <row r="36" spans="1:10" ht="15.9" customHeight="1" x14ac:dyDescent="0.4">
      <c r="A36" s="398"/>
      <c r="B36" s="184"/>
      <c r="C36" s="235" t="s">
        <v>254</v>
      </c>
      <c r="D36" s="236" t="s">
        <v>177</v>
      </c>
      <c r="E36" s="32" t="s">
        <v>194</v>
      </c>
      <c r="F36" s="226" t="s">
        <v>195</v>
      </c>
      <c r="G36" s="208"/>
      <c r="H36" s="209"/>
      <c r="I36" s="190">
        <f t="shared" si="0"/>
        <v>0</v>
      </c>
      <c r="J36" s="280"/>
    </row>
    <row r="37" spans="1:10" ht="15.9" customHeight="1" x14ac:dyDescent="0.4">
      <c r="A37" s="398"/>
      <c r="B37" s="184"/>
      <c r="C37" s="231" t="s">
        <v>255</v>
      </c>
      <c r="D37" s="232" t="s">
        <v>256</v>
      </c>
      <c r="E37" s="32" t="s">
        <v>194</v>
      </c>
      <c r="F37" s="226" t="s">
        <v>195</v>
      </c>
      <c r="G37" s="208"/>
      <c r="H37" s="209"/>
      <c r="I37" s="190">
        <f t="shared" si="0"/>
        <v>0</v>
      </c>
      <c r="J37" s="280"/>
    </row>
    <row r="38" spans="1:10" ht="15.9" customHeight="1" x14ac:dyDescent="0.4">
      <c r="A38" s="398"/>
      <c r="B38" s="184"/>
      <c r="C38" s="235" t="s">
        <v>257</v>
      </c>
      <c r="D38" s="236"/>
      <c r="E38" s="32" t="s">
        <v>194</v>
      </c>
      <c r="F38" s="226" t="s">
        <v>195</v>
      </c>
      <c r="G38" s="208"/>
      <c r="H38" s="209"/>
      <c r="I38" s="190">
        <f t="shared" si="0"/>
        <v>0</v>
      </c>
      <c r="J38" s="280"/>
    </row>
    <row r="39" spans="1:10" ht="15.9" customHeight="1" x14ac:dyDescent="0.4">
      <c r="A39" s="398"/>
      <c r="B39" s="184"/>
      <c r="C39" s="235" t="s">
        <v>258</v>
      </c>
      <c r="D39" s="236" t="s">
        <v>259</v>
      </c>
      <c r="E39" s="32" t="s">
        <v>194</v>
      </c>
      <c r="F39" s="226" t="s">
        <v>195</v>
      </c>
      <c r="G39" s="208"/>
      <c r="H39" s="209"/>
      <c r="I39" s="190">
        <f t="shared" si="0"/>
        <v>0</v>
      </c>
      <c r="J39" s="280"/>
    </row>
    <row r="40" spans="1:10" ht="15.9" customHeight="1" x14ac:dyDescent="0.4">
      <c r="A40" s="398"/>
      <c r="B40" s="184"/>
      <c r="C40" s="228" t="s">
        <v>260</v>
      </c>
      <c r="D40" s="237" t="s">
        <v>181</v>
      </c>
      <c r="E40" s="32" t="s">
        <v>194</v>
      </c>
      <c r="F40" s="226" t="s">
        <v>195</v>
      </c>
      <c r="G40" s="208"/>
      <c r="H40" s="209"/>
      <c r="I40" s="190">
        <f t="shared" si="0"/>
        <v>0</v>
      </c>
      <c r="J40" s="280"/>
    </row>
    <row r="41" spans="1:10" ht="15.9" customHeight="1" x14ac:dyDescent="0.4">
      <c r="A41" s="398"/>
      <c r="B41" s="184"/>
      <c r="C41" s="228" t="s">
        <v>261</v>
      </c>
      <c r="D41" s="237"/>
      <c r="E41" s="32" t="s">
        <v>194</v>
      </c>
      <c r="F41" s="226" t="s">
        <v>195</v>
      </c>
      <c r="G41" s="208"/>
      <c r="H41" s="209"/>
      <c r="I41" s="190">
        <f t="shared" si="0"/>
        <v>0</v>
      </c>
      <c r="J41" s="280"/>
    </row>
    <row r="42" spans="1:10" ht="15.9" customHeight="1" x14ac:dyDescent="0.4">
      <c r="A42" s="398"/>
      <c r="B42" s="184"/>
      <c r="C42" s="235" t="s">
        <v>262</v>
      </c>
      <c r="D42" s="236" t="s">
        <v>263</v>
      </c>
      <c r="E42" s="32" t="s">
        <v>194</v>
      </c>
      <c r="F42" s="226" t="s">
        <v>195</v>
      </c>
      <c r="G42" s="208"/>
      <c r="H42" s="209"/>
      <c r="I42" s="190">
        <f t="shared" si="0"/>
        <v>0</v>
      </c>
      <c r="J42" s="280"/>
    </row>
    <row r="43" spans="1:10" ht="15.9" customHeight="1" x14ac:dyDescent="0.4">
      <c r="A43" s="398"/>
      <c r="B43" s="184"/>
      <c r="C43" s="228" t="s">
        <v>264</v>
      </c>
      <c r="D43" s="237" t="s">
        <v>265</v>
      </c>
      <c r="E43" s="32" t="s">
        <v>194</v>
      </c>
      <c r="F43" s="226" t="s">
        <v>195</v>
      </c>
      <c r="G43" s="208"/>
      <c r="H43" s="209"/>
      <c r="I43" s="190">
        <f t="shared" si="0"/>
        <v>0</v>
      </c>
      <c r="J43" s="280"/>
    </row>
    <row r="44" spans="1:10" ht="15.9" customHeight="1" x14ac:dyDescent="0.4">
      <c r="A44" s="398"/>
      <c r="B44" s="184"/>
      <c r="C44" s="235" t="s">
        <v>266</v>
      </c>
      <c r="D44" s="236" t="s">
        <v>267</v>
      </c>
      <c r="E44" s="32" t="s">
        <v>194</v>
      </c>
      <c r="F44" s="226" t="s">
        <v>195</v>
      </c>
      <c r="G44" s="208"/>
      <c r="H44" s="209"/>
      <c r="I44" s="190">
        <f t="shared" si="0"/>
        <v>0</v>
      </c>
      <c r="J44" s="280"/>
    </row>
    <row r="45" spans="1:10" ht="15.9" customHeight="1" x14ac:dyDescent="0.4">
      <c r="A45" s="398"/>
      <c r="B45" s="184"/>
      <c r="C45" s="235" t="s">
        <v>268</v>
      </c>
      <c r="D45" s="236"/>
      <c r="E45" s="32" t="s">
        <v>194</v>
      </c>
      <c r="F45" s="226" t="s">
        <v>195</v>
      </c>
      <c r="G45" s="208"/>
      <c r="H45" s="209"/>
      <c r="I45" s="190">
        <f t="shared" si="0"/>
        <v>0</v>
      </c>
      <c r="J45" s="280"/>
    </row>
    <row r="46" spans="1:10" ht="15.9" customHeight="1" x14ac:dyDescent="0.4">
      <c r="A46" s="398"/>
      <c r="B46" s="184"/>
      <c r="C46" s="228" t="s">
        <v>269</v>
      </c>
      <c r="D46" s="237"/>
      <c r="E46" s="32" t="s">
        <v>194</v>
      </c>
      <c r="F46" s="226" t="s">
        <v>195</v>
      </c>
      <c r="G46" s="208"/>
      <c r="H46" s="209"/>
      <c r="I46" s="190">
        <f t="shared" si="0"/>
        <v>0</v>
      </c>
      <c r="J46" s="280"/>
    </row>
    <row r="47" spans="1:10" ht="15.9" customHeight="1" x14ac:dyDescent="0.4">
      <c r="A47" s="398"/>
      <c r="B47" s="184"/>
      <c r="C47" s="229" t="s">
        <v>270</v>
      </c>
      <c r="D47" s="237"/>
      <c r="E47" s="32" t="s">
        <v>194</v>
      </c>
      <c r="F47" s="226" t="s">
        <v>195</v>
      </c>
      <c r="G47" s="208"/>
      <c r="H47" s="209"/>
      <c r="I47" s="190">
        <f>G47*H47</f>
        <v>0</v>
      </c>
      <c r="J47" s="280"/>
    </row>
    <row r="48" spans="1:10" ht="15.9" customHeight="1" x14ac:dyDescent="0.4">
      <c r="A48" s="398"/>
      <c r="B48" s="401" t="s">
        <v>183</v>
      </c>
      <c r="C48" s="402"/>
      <c r="D48" s="402"/>
      <c r="E48" s="402"/>
      <c r="F48" s="402"/>
      <c r="G48" s="402"/>
      <c r="H48" s="403"/>
      <c r="I48" s="238">
        <f>SUM(I13:I47)</f>
        <v>0</v>
      </c>
      <c r="J48" s="280"/>
    </row>
    <row r="49" spans="1:10" ht="15.9" customHeight="1" x14ac:dyDescent="0.4">
      <c r="A49" s="398"/>
      <c r="B49" s="217" t="s">
        <v>62</v>
      </c>
      <c r="C49" s="239" t="s">
        <v>184</v>
      </c>
      <c r="D49" s="221" t="s">
        <v>163</v>
      </c>
      <c r="E49" s="29" t="s">
        <v>194</v>
      </c>
      <c r="F49" s="46" t="s">
        <v>195</v>
      </c>
      <c r="G49" s="222"/>
      <c r="H49" s="223"/>
      <c r="I49" s="224">
        <f t="shared" ref="I49:I77" si="1">G49*H49</f>
        <v>0</v>
      </c>
      <c r="J49" s="279"/>
    </row>
    <row r="50" spans="1:10" ht="15.9" customHeight="1" x14ac:dyDescent="0.4">
      <c r="A50" s="398"/>
      <c r="B50" s="184"/>
      <c r="C50" s="240"/>
      <c r="D50" s="221" t="s">
        <v>164</v>
      </c>
      <c r="E50" s="32" t="s">
        <v>194</v>
      </c>
      <c r="F50" s="226" t="s">
        <v>195</v>
      </c>
      <c r="G50" s="208"/>
      <c r="H50" s="209"/>
      <c r="I50" s="190">
        <f t="shared" si="1"/>
        <v>0</v>
      </c>
      <c r="J50" s="280"/>
    </row>
    <row r="51" spans="1:10" ht="15.9" customHeight="1" x14ac:dyDescent="0.4">
      <c r="A51" s="398"/>
      <c r="B51" s="184"/>
      <c r="C51" s="240"/>
      <c r="D51" s="221" t="s">
        <v>165</v>
      </c>
      <c r="E51" s="32" t="s">
        <v>194</v>
      </c>
      <c r="F51" s="226" t="s">
        <v>195</v>
      </c>
      <c r="G51" s="208"/>
      <c r="H51" s="209"/>
      <c r="I51" s="190">
        <f t="shared" si="1"/>
        <v>0</v>
      </c>
      <c r="J51" s="280"/>
    </row>
    <row r="52" spans="1:10" ht="15.9" customHeight="1" x14ac:dyDescent="0.4">
      <c r="A52" s="398"/>
      <c r="B52" s="184"/>
      <c r="C52" s="240"/>
      <c r="D52" s="241" t="s">
        <v>188</v>
      </c>
      <c r="E52" s="32" t="s">
        <v>194</v>
      </c>
      <c r="F52" s="226" t="s">
        <v>195</v>
      </c>
      <c r="G52" s="208"/>
      <c r="H52" s="209"/>
      <c r="I52" s="190">
        <f t="shared" si="1"/>
        <v>0</v>
      </c>
      <c r="J52" s="280"/>
    </row>
    <row r="53" spans="1:10" ht="15.9" customHeight="1" x14ac:dyDescent="0.4">
      <c r="A53" s="398"/>
      <c r="B53" s="184"/>
      <c r="C53" s="242"/>
      <c r="D53" s="221" t="s">
        <v>189</v>
      </c>
      <c r="E53" s="32" t="s">
        <v>194</v>
      </c>
      <c r="F53" s="226" t="s">
        <v>195</v>
      </c>
      <c r="G53" s="208"/>
      <c r="H53" s="209"/>
      <c r="I53" s="190">
        <f t="shared" si="1"/>
        <v>0</v>
      </c>
      <c r="J53" s="280"/>
    </row>
    <row r="54" spans="1:10" ht="15.9" customHeight="1" x14ac:dyDescent="0.4">
      <c r="A54" s="398"/>
      <c r="B54" s="184"/>
      <c r="C54" s="243" t="s">
        <v>190</v>
      </c>
      <c r="D54" s="221" t="s">
        <v>163</v>
      </c>
      <c r="E54" s="32" t="s">
        <v>194</v>
      </c>
      <c r="F54" s="226" t="s">
        <v>195</v>
      </c>
      <c r="G54" s="208"/>
      <c r="H54" s="209"/>
      <c r="I54" s="190">
        <f t="shared" si="1"/>
        <v>0</v>
      </c>
      <c r="J54" s="280"/>
    </row>
    <row r="55" spans="1:10" ht="15.9" customHeight="1" x14ac:dyDescent="0.4">
      <c r="A55" s="398"/>
      <c r="B55" s="184"/>
      <c r="C55" s="242"/>
      <c r="D55" s="221" t="s">
        <v>164</v>
      </c>
      <c r="E55" s="32" t="s">
        <v>194</v>
      </c>
      <c r="F55" s="226" t="s">
        <v>195</v>
      </c>
      <c r="G55" s="208"/>
      <c r="H55" s="209"/>
      <c r="I55" s="190">
        <f t="shared" si="1"/>
        <v>0</v>
      </c>
      <c r="J55" s="280"/>
    </row>
    <row r="56" spans="1:10" ht="15.9" customHeight="1" x14ac:dyDescent="0.4">
      <c r="A56" s="398"/>
      <c r="B56" s="184"/>
      <c r="C56" s="243" t="s">
        <v>191</v>
      </c>
      <c r="D56" s="221" t="s">
        <v>163</v>
      </c>
      <c r="E56" s="32" t="s">
        <v>194</v>
      </c>
      <c r="F56" s="226" t="s">
        <v>195</v>
      </c>
      <c r="G56" s="208"/>
      <c r="H56" s="209"/>
      <c r="I56" s="190">
        <f t="shared" si="1"/>
        <v>0</v>
      </c>
      <c r="J56" s="280"/>
    </row>
    <row r="57" spans="1:10" ht="15.9" customHeight="1" x14ac:dyDescent="0.4">
      <c r="A57" s="398"/>
      <c r="B57" s="184"/>
      <c r="C57" s="240"/>
      <c r="D57" s="221" t="s">
        <v>164</v>
      </c>
      <c r="E57" s="32" t="s">
        <v>194</v>
      </c>
      <c r="F57" s="226" t="s">
        <v>195</v>
      </c>
      <c r="G57" s="208"/>
      <c r="H57" s="209"/>
      <c r="I57" s="190">
        <f t="shared" si="1"/>
        <v>0</v>
      </c>
      <c r="J57" s="280"/>
    </row>
    <row r="58" spans="1:10" ht="15.9" customHeight="1" x14ac:dyDescent="0.4">
      <c r="A58" s="398"/>
      <c r="B58" s="184"/>
      <c r="C58" s="240"/>
      <c r="D58" s="221" t="s">
        <v>165</v>
      </c>
      <c r="E58" s="32" t="s">
        <v>194</v>
      </c>
      <c r="F58" s="226" t="s">
        <v>195</v>
      </c>
      <c r="G58" s="208"/>
      <c r="H58" s="209"/>
      <c r="I58" s="190">
        <f t="shared" si="1"/>
        <v>0</v>
      </c>
      <c r="J58" s="280"/>
    </row>
    <row r="59" spans="1:10" ht="15.9" customHeight="1" x14ac:dyDescent="0.4">
      <c r="A59" s="398"/>
      <c r="B59" s="184"/>
      <c r="C59" s="242"/>
      <c r="D59" s="221" t="s">
        <v>188</v>
      </c>
      <c r="E59" s="32" t="s">
        <v>194</v>
      </c>
      <c r="F59" s="226" t="s">
        <v>195</v>
      </c>
      <c r="G59" s="208"/>
      <c r="H59" s="209"/>
      <c r="I59" s="190">
        <f t="shared" si="1"/>
        <v>0</v>
      </c>
      <c r="J59" s="280"/>
    </row>
    <row r="60" spans="1:10" ht="15.9" customHeight="1" x14ac:dyDescent="0.4">
      <c r="A60" s="398"/>
      <c r="B60" s="184"/>
      <c r="C60" s="242" t="s">
        <v>271</v>
      </c>
      <c r="D60" s="237" t="s">
        <v>272</v>
      </c>
      <c r="E60" s="32" t="s">
        <v>194</v>
      </c>
      <c r="F60" s="226" t="s">
        <v>195</v>
      </c>
      <c r="G60" s="208"/>
      <c r="H60" s="209"/>
      <c r="I60" s="190">
        <f t="shared" si="1"/>
        <v>0</v>
      </c>
      <c r="J60" s="280"/>
    </row>
    <row r="61" spans="1:10" ht="15.9" customHeight="1" x14ac:dyDescent="0.4">
      <c r="A61" s="398"/>
      <c r="B61" s="401" t="s">
        <v>192</v>
      </c>
      <c r="C61" s="402"/>
      <c r="D61" s="402"/>
      <c r="E61" s="402"/>
      <c r="F61" s="402"/>
      <c r="G61" s="402"/>
      <c r="H61" s="403"/>
      <c r="I61" s="238">
        <f>SUM(I49:I60)</f>
        <v>0</v>
      </c>
      <c r="J61" s="280"/>
    </row>
    <row r="62" spans="1:10" ht="15.9" customHeight="1" x14ac:dyDescent="0.4">
      <c r="A62" s="398"/>
      <c r="B62" s="286" t="s">
        <v>63</v>
      </c>
      <c r="C62" s="287" t="s">
        <v>193</v>
      </c>
      <c r="D62" s="288"/>
      <c r="E62" s="29" t="s">
        <v>194</v>
      </c>
      <c r="F62" s="46" t="s">
        <v>195</v>
      </c>
      <c r="G62" s="222"/>
      <c r="H62" s="223"/>
      <c r="I62" s="224">
        <f t="shared" si="1"/>
        <v>0</v>
      </c>
      <c r="J62" s="281"/>
    </row>
    <row r="63" spans="1:10" ht="15.9" customHeight="1" x14ac:dyDescent="0.4">
      <c r="A63" s="398"/>
      <c r="B63" s="184"/>
      <c r="C63" s="289" t="s">
        <v>273</v>
      </c>
      <c r="D63" s="290"/>
      <c r="E63" s="32" t="s">
        <v>194</v>
      </c>
      <c r="F63" s="226" t="s">
        <v>195</v>
      </c>
      <c r="G63" s="208"/>
      <c r="H63" s="209"/>
      <c r="I63" s="190">
        <f t="shared" si="1"/>
        <v>0</v>
      </c>
      <c r="J63" s="280"/>
    </row>
    <row r="64" spans="1:10" ht="15.9" customHeight="1" x14ac:dyDescent="0.4">
      <c r="A64" s="398"/>
      <c r="B64" s="184"/>
      <c r="C64" s="289" t="s">
        <v>274</v>
      </c>
      <c r="D64" s="290"/>
      <c r="E64" s="32" t="s">
        <v>194</v>
      </c>
      <c r="F64" s="226" t="s">
        <v>195</v>
      </c>
      <c r="G64" s="208"/>
      <c r="H64" s="209"/>
      <c r="I64" s="190">
        <f t="shared" si="1"/>
        <v>0</v>
      </c>
      <c r="J64" s="280"/>
    </row>
    <row r="65" spans="1:10" ht="15.9" customHeight="1" x14ac:dyDescent="0.4">
      <c r="A65" s="398"/>
      <c r="B65" s="184"/>
      <c r="C65" s="291" t="s">
        <v>275</v>
      </c>
      <c r="D65" s="290"/>
      <c r="E65" s="32" t="s">
        <v>194</v>
      </c>
      <c r="F65" s="226" t="s">
        <v>195</v>
      </c>
      <c r="G65" s="208"/>
      <c r="H65" s="209"/>
      <c r="I65" s="190">
        <f t="shared" si="1"/>
        <v>0</v>
      </c>
      <c r="J65" s="280"/>
    </row>
    <row r="66" spans="1:10" ht="15.9" customHeight="1" x14ac:dyDescent="0.4">
      <c r="A66" s="398"/>
      <c r="B66" s="401" t="s">
        <v>199</v>
      </c>
      <c r="C66" s="402"/>
      <c r="D66" s="402"/>
      <c r="E66" s="402"/>
      <c r="F66" s="402"/>
      <c r="G66" s="402"/>
      <c r="H66" s="403"/>
      <c r="I66" s="251">
        <f>SUM(I62:I65)</f>
        <v>0</v>
      </c>
      <c r="J66" s="282"/>
    </row>
    <row r="67" spans="1:10" ht="15.9" customHeight="1" x14ac:dyDescent="0.4">
      <c r="A67" s="398"/>
      <c r="B67" s="184" t="s">
        <v>81</v>
      </c>
      <c r="C67" s="252" t="s">
        <v>200</v>
      </c>
      <c r="D67" s="253"/>
      <c r="E67" s="211" t="s">
        <v>194</v>
      </c>
      <c r="F67" s="226" t="s">
        <v>195</v>
      </c>
      <c r="G67" s="208"/>
      <c r="H67" s="209"/>
      <c r="I67" s="190">
        <f t="shared" si="1"/>
        <v>0</v>
      </c>
      <c r="J67" s="280"/>
    </row>
    <row r="68" spans="1:10" ht="15.9" customHeight="1" x14ac:dyDescent="0.4">
      <c r="A68" s="398"/>
      <c r="B68" s="184"/>
      <c r="C68" s="229" t="s">
        <v>201</v>
      </c>
      <c r="D68" s="253" t="s">
        <v>202</v>
      </c>
      <c r="E68" s="32" t="s">
        <v>194</v>
      </c>
      <c r="F68" s="226" t="s">
        <v>195</v>
      </c>
      <c r="G68" s="208"/>
      <c r="H68" s="209"/>
      <c r="I68" s="190">
        <f t="shared" si="1"/>
        <v>0</v>
      </c>
      <c r="J68" s="280"/>
    </row>
    <row r="69" spans="1:10" ht="15.9" customHeight="1" x14ac:dyDescent="0.4">
      <c r="A69" s="398"/>
      <c r="B69" s="184"/>
      <c r="C69" s="229" t="s">
        <v>203</v>
      </c>
      <c r="D69" s="253" t="s">
        <v>202</v>
      </c>
      <c r="E69" s="32" t="s">
        <v>194</v>
      </c>
      <c r="F69" s="226" t="s">
        <v>195</v>
      </c>
      <c r="G69" s="208"/>
      <c r="H69" s="209"/>
      <c r="I69" s="190">
        <f t="shared" si="1"/>
        <v>0</v>
      </c>
      <c r="J69" s="280"/>
    </row>
    <row r="70" spans="1:10" ht="15.9" customHeight="1" x14ac:dyDescent="0.4">
      <c r="A70" s="398"/>
      <c r="B70" s="184"/>
      <c r="C70" s="229" t="s">
        <v>204</v>
      </c>
      <c r="D70" s="253" t="s">
        <v>205</v>
      </c>
      <c r="E70" s="32" t="s">
        <v>194</v>
      </c>
      <c r="F70" s="226" t="s">
        <v>195</v>
      </c>
      <c r="G70" s="208"/>
      <c r="H70" s="209"/>
      <c r="I70" s="190">
        <f t="shared" si="1"/>
        <v>0</v>
      </c>
      <c r="J70" s="280"/>
    </row>
    <row r="71" spans="1:10" ht="15.9" customHeight="1" x14ac:dyDescent="0.4">
      <c r="A71" s="398"/>
      <c r="B71" s="184"/>
      <c r="C71" s="229" t="s">
        <v>206</v>
      </c>
      <c r="D71" s="253" t="s">
        <v>205</v>
      </c>
      <c r="E71" s="32" t="s">
        <v>194</v>
      </c>
      <c r="F71" s="226" t="s">
        <v>195</v>
      </c>
      <c r="G71" s="188"/>
      <c r="H71" s="189"/>
      <c r="I71" s="190">
        <f t="shared" si="1"/>
        <v>0</v>
      </c>
      <c r="J71" s="283"/>
    </row>
    <row r="72" spans="1:10" ht="15.9" customHeight="1" x14ac:dyDescent="0.4">
      <c r="A72" s="398"/>
      <c r="B72" s="184"/>
      <c r="C72" s="229" t="s">
        <v>207</v>
      </c>
      <c r="D72" s="253" t="s">
        <v>208</v>
      </c>
      <c r="E72" s="32" t="s">
        <v>194</v>
      </c>
      <c r="F72" s="226" t="s">
        <v>195</v>
      </c>
      <c r="G72" s="188"/>
      <c r="H72" s="189"/>
      <c r="I72" s="190">
        <f t="shared" si="1"/>
        <v>0</v>
      </c>
      <c r="J72" s="283"/>
    </row>
    <row r="73" spans="1:10" ht="15.9" customHeight="1" x14ac:dyDescent="0.4">
      <c r="A73" s="398"/>
      <c r="B73" s="184"/>
      <c r="C73" s="248" t="s">
        <v>209</v>
      </c>
      <c r="D73" s="254"/>
      <c r="E73" s="32" t="s">
        <v>194</v>
      </c>
      <c r="F73" s="226" t="s">
        <v>195</v>
      </c>
      <c r="G73" s="188"/>
      <c r="H73" s="189"/>
      <c r="I73" s="190">
        <f t="shared" si="1"/>
        <v>0</v>
      </c>
      <c r="J73" s="283"/>
    </row>
    <row r="74" spans="1:10" ht="15.9" customHeight="1" x14ac:dyDescent="0.4">
      <c r="A74" s="398"/>
      <c r="B74" s="184"/>
      <c r="C74" s="229" t="s">
        <v>210</v>
      </c>
      <c r="D74" s="253"/>
      <c r="E74" s="32"/>
      <c r="F74" s="226" t="s">
        <v>56</v>
      </c>
      <c r="G74" s="208"/>
      <c r="H74" s="209"/>
      <c r="I74" s="190">
        <f t="shared" si="1"/>
        <v>0</v>
      </c>
      <c r="J74" s="280"/>
    </row>
    <row r="75" spans="1:10" ht="15.9" customHeight="1" x14ac:dyDescent="0.4">
      <c r="A75" s="398"/>
      <c r="B75" s="184"/>
      <c r="C75" s="229" t="s">
        <v>211</v>
      </c>
      <c r="D75" s="253"/>
      <c r="E75" s="32"/>
      <c r="F75" s="226" t="s">
        <v>56</v>
      </c>
      <c r="G75" s="188"/>
      <c r="H75" s="189"/>
      <c r="I75" s="190">
        <f t="shared" si="1"/>
        <v>0</v>
      </c>
      <c r="J75" s="283"/>
    </row>
    <row r="76" spans="1:10" ht="15.9" customHeight="1" x14ac:dyDescent="0.4">
      <c r="A76" s="398"/>
      <c r="B76" s="184"/>
      <c r="C76" s="229" t="s">
        <v>212</v>
      </c>
      <c r="D76" s="253"/>
      <c r="E76" s="32"/>
      <c r="F76" s="226" t="s">
        <v>56</v>
      </c>
      <c r="G76" s="188"/>
      <c r="H76" s="189"/>
      <c r="I76" s="190">
        <f t="shared" si="1"/>
        <v>0</v>
      </c>
      <c r="J76" s="283"/>
    </row>
    <row r="77" spans="1:10" ht="15.9" customHeight="1" x14ac:dyDescent="0.4">
      <c r="A77" s="398"/>
      <c r="B77" s="184"/>
      <c r="C77" s="248" t="s">
        <v>213</v>
      </c>
      <c r="D77" s="254"/>
      <c r="E77" s="32"/>
      <c r="F77" s="226" t="s">
        <v>56</v>
      </c>
      <c r="G77" s="188"/>
      <c r="H77" s="189"/>
      <c r="I77" s="190">
        <f t="shared" si="1"/>
        <v>0</v>
      </c>
      <c r="J77" s="283"/>
    </row>
    <row r="78" spans="1:10" ht="15.9" customHeight="1" x14ac:dyDescent="0.4">
      <c r="A78" s="398"/>
      <c r="B78" s="401" t="s">
        <v>214</v>
      </c>
      <c r="C78" s="402"/>
      <c r="D78" s="402"/>
      <c r="E78" s="402"/>
      <c r="F78" s="402"/>
      <c r="G78" s="402"/>
      <c r="H78" s="403"/>
      <c r="I78" s="238">
        <f>SUM(I67:I77)</f>
        <v>0</v>
      </c>
      <c r="J78" s="284"/>
    </row>
    <row r="79" spans="1:10" ht="15.9" customHeight="1" x14ac:dyDescent="0.4">
      <c r="A79" s="413"/>
      <c r="B79" s="310" t="s">
        <v>215</v>
      </c>
      <c r="C79" s="310"/>
      <c r="D79" s="310"/>
      <c r="E79" s="310"/>
      <c r="F79" s="310"/>
      <c r="G79" s="310"/>
      <c r="H79" s="311"/>
      <c r="I79" s="219">
        <f>SUM(I48,I61,I66,I78)</f>
        <v>0</v>
      </c>
      <c r="J79" s="41"/>
    </row>
    <row r="80" spans="1:10" ht="15.9" customHeight="1" x14ac:dyDescent="0.4">
      <c r="A80" s="397" t="s">
        <v>65</v>
      </c>
      <c r="B80" s="26" t="s">
        <v>65</v>
      </c>
      <c r="C80" s="254" t="s">
        <v>216</v>
      </c>
      <c r="D80" s="254"/>
      <c r="E80" s="32"/>
      <c r="F80" s="226" t="s">
        <v>195</v>
      </c>
      <c r="G80" s="188"/>
      <c r="H80" s="189"/>
      <c r="I80" s="150">
        <f>SUM(G80*H80)</f>
        <v>0</v>
      </c>
      <c r="J80" s="277"/>
    </row>
    <row r="81" spans="1:18" ht="15.9" customHeight="1" x14ac:dyDescent="0.4">
      <c r="A81" s="399"/>
      <c r="C81" s="254" t="s">
        <v>276</v>
      </c>
      <c r="D81" s="254"/>
      <c r="E81" s="32"/>
      <c r="F81" s="226" t="s">
        <v>195</v>
      </c>
      <c r="G81" s="188"/>
      <c r="H81" s="189"/>
      <c r="I81" s="150">
        <f>SUM(G81*H81)</f>
        <v>0</v>
      </c>
      <c r="J81" s="35"/>
    </row>
    <row r="82" spans="1:18" ht="15.9" customHeight="1" x14ac:dyDescent="0.4">
      <c r="A82" s="399"/>
      <c r="B82" s="401" t="s">
        <v>227</v>
      </c>
      <c r="C82" s="402"/>
      <c r="D82" s="402"/>
      <c r="E82" s="402"/>
      <c r="F82" s="402"/>
      <c r="G82" s="402"/>
      <c r="H82" s="403"/>
      <c r="I82" s="256">
        <f>SUM(I80:I81)</f>
        <v>0</v>
      </c>
      <c r="J82" s="285"/>
    </row>
    <row r="83" spans="1:18" ht="15.9" customHeight="1" x14ac:dyDescent="0.4">
      <c r="A83" s="400"/>
      <c r="B83" s="310" t="s">
        <v>227</v>
      </c>
      <c r="C83" s="310"/>
      <c r="D83" s="310"/>
      <c r="E83" s="310"/>
      <c r="F83" s="310"/>
      <c r="G83" s="310"/>
      <c r="H83" s="311"/>
      <c r="I83" s="219">
        <f>SUM(I80:I82)</f>
        <v>0</v>
      </c>
      <c r="J83" s="41"/>
      <c r="L83" s="44"/>
    </row>
    <row r="84" spans="1:18" ht="15.9" customHeight="1" x14ac:dyDescent="0.4">
      <c r="A84" s="199"/>
      <c r="B84" s="257" t="s">
        <v>83</v>
      </c>
      <c r="C84" s="257"/>
      <c r="D84" s="257"/>
      <c r="E84" s="257"/>
      <c r="F84" s="257"/>
      <c r="G84" s="257"/>
      <c r="H84" s="257"/>
      <c r="I84" s="219">
        <f>CEILING(MIN(P91:P92),1000)</f>
        <v>0</v>
      </c>
      <c r="J84" s="260"/>
    </row>
    <row r="85" spans="1:18" ht="15.9" customHeight="1" x14ac:dyDescent="0.4">
      <c r="A85" s="259"/>
      <c r="B85" s="257" t="s">
        <v>69</v>
      </c>
      <c r="C85" s="260" t="s">
        <v>228</v>
      </c>
      <c r="D85" s="260"/>
      <c r="E85" s="41"/>
      <c r="F85" s="182"/>
      <c r="G85" s="261">
        <v>0.05</v>
      </c>
      <c r="H85" s="262"/>
      <c r="I85" s="219">
        <f>SUM(I12,I79,I83)*G85</f>
        <v>0</v>
      </c>
      <c r="J85" s="260"/>
    </row>
    <row r="86" spans="1:18" ht="15.9" customHeight="1" x14ac:dyDescent="0.4">
      <c r="A86" s="259"/>
      <c r="B86" s="257" t="s">
        <v>229</v>
      </c>
      <c r="C86" s="260" t="s">
        <v>230</v>
      </c>
      <c r="D86" s="260"/>
      <c r="E86" s="41"/>
      <c r="F86" s="182"/>
      <c r="G86" s="261">
        <v>0.01</v>
      </c>
      <c r="H86" s="262"/>
      <c r="I86" s="219">
        <f>SUM(I79,I83,I85)*G86</f>
        <v>0</v>
      </c>
      <c r="J86" s="260"/>
    </row>
    <row r="87" spans="1:18" ht="15.9" customHeight="1" x14ac:dyDescent="0.4">
      <c r="A87" s="259"/>
      <c r="B87" s="257" t="s">
        <v>231</v>
      </c>
      <c r="C87" s="260"/>
      <c r="D87" s="260"/>
      <c r="E87" s="41"/>
      <c r="F87" s="41"/>
      <c r="G87" s="45"/>
      <c r="H87" s="45"/>
      <c r="I87" s="263">
        <f>SUM(I12,I79,I83,I84,I85,I86)</f>
        <v>0</v>
      </c>
      <c r="J87" s="41"/>
    </row>
    <row r="88" spans="1:18" x14ac:dyDescent="0.4">
      <c r="A88" s="26"/>
    </row>
    <row r="90" spans="1:18" ht="13.5" customHeight="1" x14ac:dyDescent="0.4">
      <c r="L90" s="404" t="s">
        <v>232</v>
      </c>
      <c r="M90" s="407" t="s">
        <v>233</v>
      </c>
      <c r="N90" s="408"/>
      <c r="O90" s="409"/>
      <c r="P90" s="264" t="s">
        <v>234</v>
      </c>
      <c r="Q90" s="265" t="s">
        <v>235</v>
      </c>
      <c r="R90" s="266" t="s">
        <v>236</v>
      </c>
    </row>
    <row r="91" spans="1:18" x14ac:dyDescent="0.4">
      <c r="L91" s="405"/>
      <c r="M91" s="410" t="s">
        <v>237</v>
      </c>
      <c r="N91" s="411"/>
      <c r="O91" s="412"/>
      <c r="P91" s="267">
        <f>IF(Q91&lt;500000000,Q91*0.0315,1)+IF(Q91&gt;500000000,Q91*0.0253+2450000)*IF(Q91&gt;5000000000,0,1)+IF(Q91&gt;5000000000,Q91*0.026,0)</f>
        <v>0</v>
      </c>
      <c r="Q91" s="268">
        <f>SUM(I12,I79)</f>
        <v>0</v>
      </c>
      <c r="R91" s="269" t="s">
        <v>238</v>
      </c>
    </row>
    <row r="92" spans="1:18" x14ac:dyDescent="0.4">
      <c r="L92" s="406"/>
      <c r="M92" s="410" t="s">
        <v>239</v>
      </c>
      <c r="N92" s="411"/>
      <c r="O92" s="412"/>
      <c r="P92" s="267">
        <f>(IF(Q92&lt;500000000,Q92*0.0315,1)+IF(Q92&gt;500000000,Q92*0.0253+2450000)*IF(Q92&gt;5000000000,0,1)+IF(Q92&gt;5000000000,Q92*0.026,0))*1.2</f>
        <v>0</v>
      </c>
      <c r="Q92" s="268">
        <f>SUMIF(J13:J78,"",I13:I78)</f>
        <v>0</v>
      </c>
      <c r="R92" s="269" t="s">
        <v>240</v>
      </c>
    </row>
    <row r="93" spans="1:18" x14ac:dyDescent="0.4">
      <c r="L93" s="270" t="s">
        <v>241</v>
      </c>
      <c r="M93" s="26"/>
      <c r="N93" s="26"/>
      <c r="O93" s="49"/>
      <c r="P93" s="49"/>
      <c r="Q93" s="48"/>
      <c r="R93" s="69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ABDF-8719-437A-A4CD-66EF71A5DE5C}">
  <sheetPr>
    <tabColor rgb="FF00B050"/>
    <pageSetUpPr fitToPage="1"/>
  </sheetPr>
  <dimension ref="A1:R95"/>
  <sheetViews>
    <sheetView zoomScale="85" zoomScaleNormal="85" workbookViewId="0">
      <pane xSplit="2" ySplit="2" topLeftCell="C65" activePane="bottomRight" state="frozen"/>
      <selection activeCell="K19" sqref="K19"/>
      <selection pane="topRight" activeCell="K19" sqref="K19"/>
      <selection pane="bottomLeft" activeCell="K19" sqref="K19"/>
      <selection pane="bottomRight" activeCell="K19" sqref="K19"/>
    </sheetView>
  </sheetViews>
  <sheetFormatPr defaultColWidth="9" defaultRowHeight="14.4" x14ac:dyDescent="0.4"/>
  <cols>
    <col min="1" max="1" width="5" style="1" customWidth="1"/>
    <col min="2" max="2" width="21.8984375" style="26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4"/>
    <col min="8" max="8" width="11.8984375" style="44" customWidth="1"/>
    <col min="9" max="9" width="13.59765625" style="44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9" t="s">
        <v>90</v>
      </c>
      <c r="C1" s="180"/>
      <c r="D1" s="181"/>
      <c r="G1" s="271"/>
      <c r="J1" s="1" t="s">
        <v>92</v>
      </c>
    </row>
    <row r="2" spans="1:11" s="26" customFormat="1" ht="16.5" customHeight="1" x14ac:dyDescent="0.4">
      <c r="A2" s="309" t="s">
        <v>93</v>
      </c>
      <c r="B2" s="311"/>
      <c r="C2" s="182" t="s">
        <v>94</v>
      </c>
      <c r="D2" s="182"/>
      <c r="E2" s="182" t="s">
        <v>95</v>
      </c>
      <c r="F2" s="182" t="s">
        <v>48</v>
      </c>
      <c r="G2" s="183" t="s">
        <v>49</v>
      </c>
      <c r="H2" s="183" t="s">
        <v>96</v>
      </c>
      <c r="I2" s="183" t="s">
        <v>97</v>
      </c>
      <c r="J2" s="182" t="s">
        <v>98</v>
      </c>
    </row>
    <row r="3" spans="1:11" ht="15.9" customHeight="1" x14ac:dyDescent="0.4">
      <c r="A3" s="398" t="s">
        <v>244</v>
      </c>
      <c r="B3" s="184" t="s">
        <v>55</v>
      </c>
      <c r="C3" s="206" t="s">
        <v>245</v>
      </c>
      <c r="D3" s="206" t="s">
        <v>246</v>
      </c>
      <c r="E3" s="206" t="s">
        <v>247</v>
      </c>
      <c r="F3" s="207">
        <v>1</v>
      </c>
      <c r="G3" s="208">
        <v>1</v>
      </c>
      <c r="H3" s="209"/>
      <c r="I3" s="190">
        <f>IF(G3=0,H3,H3*G3)</f>
        <v>0</v>
      </c>
      <c r="J3" s="272" t="s">
        <v>248</v>
      </c>
      <c r="K3" s="273" t="s">
        <v>249</v>
      </c>
    </row>
    <row r="4" spans="1:11" ht="15.9" customHeight="1" x14ac:dyDescent="0.4">
      <c r="A4" s="398"/>
      <c r="B4" s="184"/>
      <c r="C4" s="205" t="s">
        <v>250</v>
      </c>
      <c r="D4" s="205"/>
      <c r="E4" s="206"/>
      <c r="F4" s="207"/>
      <c r="G4" s="208"/>
      <c r="H4" s="209"/>
      <c r="I4" s="190"/>
      <c r="J4" s="272"/>
    </row>
    <row r="5" spans="1:11" ht="15.9" customHeight="1" x14ac:dyDescent="0.4">
      <c r="A5" s="399"/>
      <c r="B5" s="199"/>
      <c r="C5" s="274"/>
      <c r="D5" s="274"/>
      <c r="E5" s="275"/>
      <c r="F5" s="275"/>
      <c r="G5" s="276"/>
      <c r="H5" s="276"/>
      <c r="I5" s="203">
        <f>SUM(I3:I4)</f>
        <v>0</v>
      </c>
      <c r="J5" s="275"/>
    </row>
    <row r="6" spans="1:11" ht="15.9" customHeight="1" x14ac:dyDescent="0.4">
      <c r="A6" s="399"/>
      <c r="B6" s="184" t="s">
        <v>57</v>
      </c>
      <c r="C6" s="205"/>
      <c r="D6" s="205"/>
      <c r="E6" s="206"/>
      <c r="F6" s="207"/>
      <c r="G6" s="208"/>
      <c r="H6" s="209"/>
      <c r="I6" s="210">
        <f>IF(G6=0,H6,H6*G6)</f>
        <v>0</v>
      </c>
      <c r="J6" s="277"/>
    </row>
    <row r="7" spans="1:11" ht="15.9" customHeight="1" x14ac:dyDescent="0.4">
      <c r="A7" s="399"/>
      <c r="B7" s="184" t="s">
        <v>151</v>
      </c>
      <c r="C7" s="205"/>
      <c r="D7" s="205"/>
      <c r="E7" s="206"/>
      <c r="F7" s="207"/>
      <c r="G7" s="208"/>
      <c r="H7" s="209"/>
      <c r="I7" s="150">
        <f>IF(G7=0,H7,H7*G7)</f>
        <v>0</v>
      </c>
      <c r="J7" s="277"/>
    </row>
    <row r="8" spans="1:11" ht="15.9" customHeight="1" x14ac:dyDescent="0.4">
      <c r="A8" s="399"/>
      <c r="B8" s="199"/>
      <c r="C8" s="212"/>
      <c r="D8" s="212"/>
      <c r="E8" s="213"/>
      <c r="F8" s="213"/>
      <c r="G8" s="214"/>
      <c r="H8" s="215"/>
      <c r="I8" s="203">
        <f>SUM(I6:I7)</f>
        <v>0</v>
      </c>
      <c r="J8" s="213"/>
    </row>
    <row r="9" spans="1:11" ht="15.9" customHeight="1" x14ac:dyDescent="0.4">
      <c r="A9" s="399"/>
      <c r="B9" s="217" t="s">
        <v>58</v>
      </c>
      <c r="C9" s="185"/>
      <c r="D9" s="185"/>
      <c r="E9" s="185"/>
      <c r="F9" s="187"/>
      <c r="G9" s="218"/>
      <c r="H9" s="189"/>
      <c r="I9" s="165">
        <f>IF(G9=0,H9,H9*G9)</f>
        <v>0</v>
      </c>
      <c r="J9" s="278"/>
    </row>
    <row r="10" spans="1:11" ht="15.9" customHeight="1" x14ac:dyDescent="0.4">
      <c r="A10" s="399"/>
      <c r="B10" s="184"/>
      <c r="C10" s="185"/>
      <c r="D10" s="185"/>
      <c r="E10" s="185"/>
      <c r="F10" s="187"/>
      <c r="G10" s="218"/>
      <c r="H10" s="189"/>
      <c r="I10" s="150">
        <f>IF(G10=0,H10,H10*G10)</f>
        <v>0</v>
      </c>
      <c r="J10" s="32"/>
    </row>
    <row r="11" spans="1:11" ht="15.9" customHeight="1" x14ac:dyDescent="0.4">
      <c r="A11" s="399"/>
      <c r="B11" s="199"/>
      <c r="C11" s="212"/>
      <c r="D11" s="212"/>
      <c r="E11" s="213"/>
      <c r="F11" s="213"/>
      <c r="G11" s="215"/>
      <c r="H11" s="215"/>
      <c r="I11" s="203">
        <f>SUM(I9:I10)</f>
        <v>0</v>
      </c>
      <c r="J11" s="213"/>
    </row>
    <row r="12" spans="1:11" ht="15.9" customHeight="1" x14ac:dyDescent="0.4">
      <c r="A12" s="199"/>
      <c r="B12" s="310" t="s">
        <v>153</v>
      </c>
      <c r="C12" s="310"/>
      <c r="D12" s="310"/>
      <c r="E12" s="310"/>
      <c r="F12" s="310"/>
      <c r="G12" s="310"/>
      <c r="H12" s="311"/>
      <c r="I12" s="219">
        <f>SUM(I11,I8,I5)</f>
        <v>0</v>
      </c>
      <c r="J12" s="41"/>
    </row>
    <row r="13" spans="1:11" ht="15.9" customHeight="1" x14ac:dyDescent="0.4">
      <c r="A13" s="397" t="s">
        <v>154</v>
      </c>
      <c r="B13" s="217" t="s">
        <v>80</v>
      </c>
      <c r="C13" s="220" t="s">
        <v>155</v>
      </c>
      <c r="D13" s="221" t="s">
        <v>156</v>
      </c>
      <c r="E13" s="110" t="s">
        <v>194</v>
      </c>
      <c r="F13" s="46" t="s">
        <v>217</v>
      </c>
      <c r="G13" s="222"/>
      <c r="H13" s="223"/>
      <c r="I13" s="224">
        <f t="shared" ref="I13:I46" si="0">G13*H13</f>
        <v>0</v>
      </c>
      <c r="J13" s="279"/>
    </row>
    <row r="14" spans="1:11" ht="15.9" customHeight="1" x14ac:dyDescent="0.4">
      <c r="A14" s="398"/>
      <c r="B14" s="184"/>
      <c r="C14" s="225"/>
      <c r="D14" s="221" t="s">
        <v>158</v>
      </c>
      <c r="E14" s="32" t="s">
        <v>194</v>
      </c>
      <c r="F14" s="226" t="s">
        <v>195</v>
      </c>
      <c r="G14" s="208"/>
      <c r="H14" s="209"/>
      <c r="I14" s="190">
        <f t="shared" si="0"/>
        <v>0</v>
      </c>
      <c r="J14" s="280"/>
    </row>
    <row r="15" spans="1:11" ht="15.9" customHeight="1" x14ac:dyDescent="0.4">
      <c r="A15" s="398"/>
      <c r="B15" s="184"/>
      <c r="C15" s="227"/>
      <c r="D15" s="221" t="s">
        <v>159</v>
      </c>
      <c r="E15" s="32" t="s">
        <v>194</v>
      </c>
      <c r="F15" s="226" t="s">
        <v>195</v>
      </c>
      <c r="G15" s="208"/>
      <c r="H15" s="209"/>
      <c r="I15" s="190">
        <f t="shared" si="0"/>
        <v>0</v>
      </c>
      <c r="J15" s="280"/>
    </row>
    <row r="16" spans="1:11" ht="15.9" customHeight="1" x14ac:dyDescent="0.4">
      <c r="A16" s="398"/>
      <c r="B16" s="184"/>
      <c r="C16" s="228" t="s">
        <v>160</v>
      </c>
      <c r="D16" s="221" t="s">
        <v>156</v>
      </c>
      <c r="E16" s="32" t="s">
        <v>194</v>
      </c>
      <c r="F16" s="226" t="s">
        <v>195</v>
      </c>
      <c r="G16" s="208"/>
      <c r="H16" s="209"/>
      <c r="I16" s="190">
        <f t="shared" si="0"/>
        <v>0</v>
      </c>
      <c r="J16" s="280"/>
    </row>
    <row r="17" spans="1:10" ht="15.9" customHeight="1" x14ac:dyDescent="0.4">
      <c r="A17" s="398"/>
      <c r="B17" s="184"/>
      <c r="C17" s="225"/>
      <c r="D17" s="221" t="s">
        <v>158</v>
      </c>
      <c r="E17" s="32" t="s">
        <v>194</v>
      </c>
      <c r="F17" s="226" t="s">
        <v>195</v>
      </c>
      <c r="G17" s="208"/>
      <c r="H17" s="209"/>
      <c r="I17" s="190">
        <f t="shared" si="0"/>
        <v>0</v>
      </c>
      <c r="J17" s="280"/>
    </row>
    <row r="18" spans="1:10" ht="15.9" customHeight="1" x14ac:dyDescent="0.4">
      <c r="A18" s="398"/>
      <c r="B18" s="184"/>
      <c r="C18" s="227"/>
      <c r="D18" s="221" t="s">
        <v>159</v>
      </c>
      <c r="E18" s="32" t="s">
        <v>194</v>
      </c>
      <c r="F18" s="226" t="s">
        <v>195</v>
      </c>
      <c r="G18" s="208"/>
      <c r="H18" s="209"/>
      <c r="I18" s="190">
        <f t="shared" si="0"/>
        <v>0</v>
      </c>
      <c r="J18" s="280"/>
    </row>
    <row r="19" spans="1:10" ht="15.9" customHeight="1" x14ac:dyDescent="0.4">
      <c r="A19" s="398"/>
      <c r="B19" s="184"/>
      <c r="C19" s="228" t="s">
        <v>161</v>
      </c>
      <c r="D19" s="221" t="s">
        <v>156</v>
      </c>
      <c r="E19" s="32" t="s">
        <v>194</v>
      </c>
      <c r="F19" s="226" t="s">
        <v>195</v>
      </c>
      <c r="G19" s="208"/>
      <c r="H19" s="209"/>
      <c r="I19" s="190">
        <f t="shared" si="0"/>
        <v>0</v>
      </c>
      <c r="J19" s="280"/>
    </row>
    <row r="20" spans="1:10" ht="15.9" customHeight="1" x14ac:dyDescent="0.4">
      <c r="A20" s="398"/>
      <c r="B20" s="184"/>
      <c r="C20" s="225"/>
      <c r="D20" s="221" t="s">
        <v>158</v>
      </c>
      <c r="E20" s="32" t="s">
        <v>194</v>
      </c>
      <c r="F20" s="226" t="s">
        <v>195</v>
      </c>
      <c r="G20" s="208"/>
      <c r="H20" s="209"/>
      <c r="I20" s="190">
        <f t="shared" si="0"/>
        <v>0</v>
      </c>
      <c r="J20" s="280"/>
    </row>
    <row r="21" spans="1:10" ht="15.9" customHeight="1" x14ac:dyDescent="0.4">
      <c r="A21" s="398"/>
      <c r="B21" s="184"/>
      <c r="C21" s="227"/>
      <c r="D21" s="221" t="s">
        <v>159</v>
      </c>
      <c r="E21" s="32" t="s">
        <v>194</v>
      </c>
      <c r="F21" s="226" t="s">
        <v>195</v>
      </c>
      <c r="G21" s="208"/>
      <c r="H21" s="209"/>
      <c r="I21" s="190">
        <f t="shared" si="0"/>
        <v>0</v>
      </c>
      <c r="J21" s="280"/>
    </row>
    <row r="22" spans="1:10" ht="15.9" customHeight="1" x14ac:dyDescent="0.4">
      <c r="A22" s="398"/>
      <c r="B22" s="184"/>
      <c r="C22" s="228" t="s">
        <v>162</v>
      </c>
      <c r="D22" s="221" t="s">
        <v>163</v>
      </c>
      <c r="E22" s="32" t="s">
        <v>194</v>
      </c>
      <c r="F22" s="226" t="s">
        <v>195</v>
      </c>
      <c r="G22" s="208"/>
      <c r="H22" s="209"/>
      <c r="I22" s="190">
        <f t="shared" si="0"/>
        <v>0</v>
      </c>
      <c r="J22" s="280"/>
    </row>
    <row r="23" spans="1:10" ht="15.9" customHeight="1" x14ac:dyDescent="0.4">
      <c r="A23" s="398"/>
      <c r="B23" s="184"/>
      <c r="C23" s="225"/>
      <c r="D23" s="221" t="s">
        <v>164</v>
      </c>
      <c r="E23" s="32" t="s">
        <v>194</v>
      </c>
      <c r="F23" s="226" t="s">
        <v>195</v>
      </c>
      <c r="G23" s="208"/>
      <c r="H23" s="209"/>
      <c r="I23" s="190">
        <f t="shared" si="0"/>
        <v>0</v>
      </c>
      <c r="J23" s="280"/>
    </row>
    <row r="24" spans="1:10" ht="15.9" customHeight="1" x14ac:dyDescent="0.4">
      <c r="A24" s="398"/>
      <c r="B24" s="184"/>
      <c r="C24" s="227"/>
      <c r="D24" s="221" t="s">
        <v>165</v>
      </c>
      <c r="E24" s="32" t="s">
        <v>194</v>
      </c>
      <c r="F24" s="226" t="s">
        <v>195</v>
      </c>
      <c r="G24" s="208"/>
      <c r="H24" s="209"/>
      <c r="I24" s="190">
        <f t="shared" si="0"/>
        <v>0</v>
      </c>
      <c r="J24" s="280"/>
    </row>
    <row r="25" spans="1:10" ht="15.9" customHeight="1" x14ac:dyDescent="0.4">
      <c r="A25" s="398"/>
      <c r="B25" s="184"/>
      <c r="C25" s="228" t="s">
        <v>166</v>
      </c>
      <c r="D25" s="221" t="s">
        <v>163</v>
      </c>
      <c r="E25" s="32" t="s">
        <v>194</v>
      </c>
      <c r="F25" s="226" t="s">
        <v>195</v>
      </c>
      <c r="G25" s="208"/>
      <c r="H25" s="209"/>
      <c r="I25" s="190">
        <f t="shared" si="0"/>
        <v>0</v>
      </c>
      <c r="J25" s="280"/>
    </row>
    <row r="26" spans="1:10" ht="15.9" customHeight="1" x14ac:dyDescent="0.4">
      <c r="A26" s="398"/>
      <c r="B26" s="184"/>
      <c r="C26" s="225"/>
      <c r="D26" s="221" t="s">
        <v>164</v>
      </c>
      <c r="E26" s="32" t="s">
        <v>194</v>
      </c>
      <c r="F26" s="226" t="s">
        <v>195</v>
      </c>
      <c r="G26" s="208"/>
      <c r="H26" s="209"/>
      <c r="I26" s="190">
        <f t="shared" si="0"/>
        <v>0</v>
      </c>
      <c r="J26" s="280"/>
    </row>
    <row r="27" spans="1:10" ht="15.9" customHeight="1" x14ac:dyDescent="0.4">
      <c r="A27" s="398"/>
      <c r="B27" s="184"/>
      <c r="C27" s="227"/>
      <c r="D27" s="221" t="s">
        <v>165</v>
      </c>
      <c r="E27" s="32" t="s">
        <v>194</v>
      </c>
      <c r="F27" s="226" t="s">
        <v>195</v>
      </c>
      <c r="G27" s="208"/>
      <c r="H27" s="209"/>
      <c r="I27" s="190">
        <f t="shared" si="0"/>
        <v>0</v>
      </c>
      <c r="J27" s="280"/>
    </row>
    <row r="28" spans="1:10" ht="15.9" customHeight="1" x14ac:dyDescent="0.4">
      <c r="A28" s="398"/>
      <c r="B28" s="184"/>
      <c r="C28" s="228" t="s">
        <v>167</v>
      </c>
      <c r="D28" s="221" t="s">
        <v>168</v>
      </c>
      <c r="E28" s="32" t="s">
        <v>194</v>
      </c>
      <c r="F28" s="226" t="s">
        <v>195</v>
      </c>
      <c r="G28" s="208"/>
      <c r="H28" s="209"/>
      <c r="I28" s="190">
        <f t="shared" si="0"/>
        <v>0</v>
      </c>
      <c r="J28" s="280"/>
    </row>
    <row r="29" spans="1:10" ht="15.9" customHeight="1" x14ac:dyDescent="0.4">
      <c r="A29" s="398"/>
      <c r="B29" s="184"/>
      <c r="C29" s="225"/>
      <c r="D29" s="221" t="s">
        <v>169</v>
      </c>
      <c r="E29" s="32" t="s">
        <v>194</v>
      </c>
      <c r="F29" s="226" t="s">
        <v>195</v>
      </c>
      <c r="G29" s="208"/>
      <c r="H29" s="209"/>
      <c r="I29" s="190">
        <f t="shared" si="0"/>
        <v>0</v>
      </c>
      <c r="J29" s="280"/>
    </row>
    <row r="30" spans="1:10" ht="15.9" customHeight="1" x14ac:dyDescent="0.4">
      <c r="A30" s="398"/>
      <c r="B30" s="184"/>
      <c r="C30" s="227"/>
      <c r="D30" s="221" t="s">
        <v>170</v>
      </c>
      <c r="E30" s="32" t="s">
        <v>194</v>
      </c>
      <c r="F30" s="226" t="s">
        <v>195</v>
      </c>
      <c r="G30" s="208"/>
      <c r="H30" s="209"/>
      <c r="I30" s="190">
        <f t="shared" si="0"/>
        <v>0</v>
      </c>
      <c r="J30" s="280"/>
    </row>
    <row r="31" spans="1:10" ht="15.9" customHeight="1" x14ac:dyDescent="0.4">
      <c r="A31" s="398"/>
      <c r="B31" s="184"/>
      <c r="C31" s="229" t="s">
        <v>171</v>
      </c>
      <c r="D31" s="230"/>
      <c r="E31" s="32" t="s">
        <v>194</v>
      </c>
      <c r="F31" s="226" t="s">
        <v>195</v>
      </c>
      <c r="G31" s="208"/>
      <c r="H31" s="209"/>
      <c r="I31" s="190">
        <f t="shared" si="0"/>
        <v>0</v>
      </c>
      <c r="J31" s="280"/>
    </row>
    <row r="32" spans="1:10" ht="15.9" customHeight="1" x14ac:dyDescent="0.4">
      <c r="A32" s="398"/>
      <c r="B32" s="184"/>
      <c r="C32" s="231" t="s">
        <v>172</v>
      </c>
      <c r="D32" s="232" t="s">
        <v>173</v>
      </c>
      <c r="E32" s="32" t="s">
        <v>194</v>
      </c>
      <c r="F32" s="226" t="s">
        <v>195</v>
      </c>
      <c r="G32" s="208"/>
      <c r="H32" s="209"/>
      <c r="I32" s="190">
        <f t="shared" si="0"/>
        <v>0</v>
      </c>
      <c r="J32" s="280"/>
    </row>
    <row r="33" spans="1:10" ht="15.9" customHeight="1" x14ac:dyDescent="0.4">
      <c r="A33" s="398"/>
      <c r="B33" s="184"/>
      <c r="C33" s="233" t="s">
        <v>251</v>
      </c>
      <c r="D33" s="234" t="s">
        <v>175</v>
      </c>
      <c r="E33" s="32" t="s">
        <v>194</v>
      </c>
      <c r="F33" s="226" t="s">
        <v>195</v>
      </c>
      <c r="G33" s="208"/>
      <c r="H33" s="209"/>
      <c r="I33" s="190">
        <f t="shared" si="0"/>
        <v>0</v>
      </c>
      <c r="J33" s="280"/>
    </row>
    <row r="34" spans="1:10" ht="15.9" customHeight="1" x14ac:dyDescent="0.4">
      <c r="A34" s="398"/>
      <c r="B34" s="184"/>
      <c r="C34" s="235" t="s">
        <v>252</v>
      </c>
      <c r="D34" s="236"/>
      <c r="E34" s="32" t="s">
        <v>194</v>
      </c>
      <c r="F34" s="226" t="s">
        <v>195</v>
      </c>
      <c r="G34" s="208"/>
      <c r="H34" s="209"/>
      <c r="I34" s="190">
        <f t="shared" si="0"/>
        <v>0</v>
      </c>
      <c r="J34" s="280"/>
    </row>
    <row r="35" spans="1:10" ht="15.9" customHeight="1" x14ac:dyDescent="0.4">
      <c r="A35" s="398"/>
      <c r="B35" s="184"/>
      <c r="C35" s="235" t="s">
        <v>253</v>
      </c>
      <c r="D35" s="236" t="s">
        <v>177</v>
      </c>
      <c r="E35" s="32" t="s">
        <v>194</v>
      </c>
      <c r="F35" s="226" t="s">
        <v>195</v>
      </c>
      <c r="G35" s="208"/>
      <c r="H35" s="209"/>
      <c r="I35" s="190">
        <f t="shared" si="0"/>
        <v>0</v>
      </c>
      <c r="J35" s="280"/>
    </row>
    <row r="36" spans="1:10" ht="15.9" customHeight="1" x14ac:dyDescent="0.4">
      <c r="A36" s="398"/>
      <c r="B36" s="184"/>
      <c r="C36" s="235" t="s">
        <v>254</v>
      </c>
      <c r="D36" s="236" t="s">
        <v>177</v>
      </c>
      <c r="E36" s="32" t="s">
        <v>194</v>
      </c>
      <c r="F36" s="226" t="s">
        <v>195</v>
      </c>
      <c r="G36" s="208"/>
      <c r="H36" s="209"/>
      <c r="I36" s="190">
        <f t="shared" si="0"/>
        <v>0</v>
      </c>
      <c r="J36" s="280"/>
    </row>
    <row r="37" spans="1:10" ht="15.9" customHeight="1" x14ac:dyDescent="0.4">
      <c r="A37" s="398"/>
      <c r="B37" s="184"/>
      <c r="C37" s="231" t="s">
        <v>255</v>
      </c>
      <c r="D37" s="232" t="s">
        <v>256</v>
      </c>
      <c r="E37" s="32" t="s">
        <v>194</v>
      </c>
      <c r="F37" s="226" t="s">
        <v>195</v>
      </c>
      <c r="G37" s="208"/>
      <c r="H37" s="209"/>
      <c r="I37" s="190">
        <f t="shared" si="0"/>
        <v>0</v>
      </c>
      <c r="J37" s="280"/>
    </row>
    <row r="38" spans="1:10" ht="15.9" customHeight="1" x14ac:dyDescent="0.4">
      <c r="A38" s="398"/>
      <c r="B38" s="184"/>
      <c r="C38" s="235" t="s">
        <v>257</v>
      </c>
      <c r="D38" s="236"/>
      <c r="E38" s="32" t="s">
        <v>194</v>
      </c>
      <c r="F38" s="226" t="s">
        <v>195</v>
      </c>
      <c r="G38" s="208"/>
      <c r="H38" s="209"/>
      <c r="I38" s="190">
        <f t="shared" si="0"/>
        <v>0</v>
      </c>
      <c r="J38" s="280"/>
    </row>
    <row r="39" spans="1:10" ht="15.9" customHeight="1" x14ac:dyDescent="0.4">
      <c r="A39" s="398"/>
      <c r="B39" s="184"/>
      <c r="C39" s="235" t="s">
        <v>258</v>
      </c>
      <c r="D39" s="236" t="s">
        <v>259</v>
      </c>
      <c r="E39" s="32" t="s">
        <v>194</v>
      </c>
      <c r="F39" s="226" t="s">
        <v>195</v>
      </c>
      <c r="G39" s="208"/>
      <c r="H39" s="209"/>
      <c r="I39" s="190">
        <f t="shared" si="0"/>
        <v>0</v>
      </c>
      <c r="J39" s="280"/>
    </row>
    <row r="40" spans="1:10" ht="15.9" customHeight="1" x14ac:dyDescent="0.4">
      <c r="A40" s="398"/>
      <c r="B40" s="184"/>
      <c r="C40" s="228" t="s">
        <v>260</v>
      </c>
      <c r="D40" s="237" t="s">
        <v>181</v>
      </c>
      <c r="E40" s="32" t="s">
        <v>194</v>
      </c>
      <c r="F40" s="226" t="s">
        <v>195</v>
      </c>
      <c r="G40" s="208"/>
      <c r="H40" s="209"/>
      <c r="I40" s="190">
        <f t="shared" si="0"/>
        <v>0</v>
      </c>
      <c r="J40" s="280"/>
    </row>
    <row r="41" spans="1:10" ht="15.9" customHeight="1" x14ac:dyDescent="0.4">
      <c r="A41" s="398"/>
      <c r="B41" s="184"/>
      <c r="C41" s="228" t="s">
        <v>261</v>
      </c>
      <c r="D41" s="237"/>
      <c r="E41" s="32" t="s">
        <v>194</v>
      </c>
      <c r="F41" s="226" t="s">
        <v>195</v>
      </c>
      <c r="G41" s="208"/>
      <c r="H41" s="209"/>
      <c r="I41" s="190">
        <f t="shared" si="0"/>
        <v>0</v>
      </c>
      <c r="J41" s="280"/>
    </row>
    <row r="42" spans="1:10" ht="15.9" customHeight="1" x14ac:dyDescent="0.4">
      <c r="A42" s="398"/>
      <c r="B42" s="184"/>
      <c r="C42" s="235" t="s">
        <v>262</v>
      </c>
      <c r="D42" s="236" t="s">
        <v>263</v>
      </c>
      <c r="E42" s="32" t="s">
        <v>194</v>
      </c>
      <c r="F42" s="226" t="s">
        <v>195</v>
      </c>
      <c r="G42" s="208"/>
      <c r="H42" s="209"/>
      <c r="I42" s="190">
        <f t="shared" si="0"/>
        <v>0</v>
      </c>
      <c r="J42" s="280"/>
    </row>
    <row r="43" spans="1:10" ht="15.9" customHeight="1" x14ac:dyDescent="0.4">
      <c r="A43" s="398"/>
      <c r="B43" s="184"/>
      <c r="C43" s="228" t="s">
        <v>264</v>
      </c>
      <c r="D43" s="237" t="s">
        <v>265</v>
      </c>
      <c r="E43" s="32" t="s">
        <v>194</v>
      </c>
      <c r="F43" s="226" t="s">
        <v>195</v>
      </c>
      <c r="G43" s="208"/>
      <c r="H43" s="209"/>
      <c r="I43" s="190">
        <f t="shared" si="0"/>
        <v>0</v>
      </c>
      <c r="J43" s="280"/>
    </row>
    <row r="44" spans="1:10" ht="15.9" customHeight="1" x14ac:dyDescent="0.4">
      <c r="A44" s="398"/>
      <c r="B44" s="184"/>
      <c r="C44" s="235" t="s">
        <v>266</v>
      </c>
      <c r="D44" s="236" t="s">
        <v>267</v>
      </c>
      <c r="E44" s="32" t="s">
        <v>194</v>
      </c>
      <c r="F44" s="226" t="s">
        <v>195</v>
      </c>
      <c r="G44" s="208"/>
      <c r="H44" s="209"/>
      <c r="I44" s="190">
        <f t="shared" si="0"/>
        <v>0</v>
      </c>
      <c r="J44" s="280"/>
    </row>
    <row r="45" spans="1:10" ht="15.9" customHeight="1" x14ac:dyDescent="0.4">
      <c r="A45" s="398"/>
      <c r="B45" s="184"/>
      <c r="C45" s="235" t="s">
        <v>268</v>
      </c>
      <c r="D45" s="236"/>
      <c r="E45" s="32" t="s">
        <v>194</v>
      </c>
      <c r="F45" s="226" t="s">
        <v>195</v>
      </c>
      <c r="G45" s="208"/>
      <c r="H45" s="209"/>
      <c r="I45" s="190">
        <f t="shared" si="0"/>
        <v>0</v>
      </c>
      <c r="J45" s="280"/>
    </row>
    <row r="46" spans="1:10" ht="15.9" customHeight="1" x14ac:dyDescent="0.4">
      <c r="A46" s="398"/>
      <c r="B46" s="184"/>
      <c r="C46" s="228" t="s">
        <v>269</v>
      </c>
      <c r="D46" s="237"/>
      <c r="E46" s="32" t="s">
        <v>194</v>
      </c>
      <c r="F46" s="226" t="s">
        <v>195</v>
      </c>
      <c r="G46" s="208"/>
      <c r="H46" s="209"/>
      <c r="I46" s="190">
        <f t="shared" si="0"/>
        <v>0</v>
      </c>
      <c r="J46" s="280"/>
    </row>
    <row r="47" spans="1:10" ht="15.9" customHeight="1" x14ac:dyDescent="0.4">
      <c r="A47" s="398"/>
      <c r="B47" s="184"/>
      <c r="C47" s="229" t="s">
        <v>270</v>
      </c>
      <c r="D47" s="237"/>
      <c r="E47" s="32" t="s">
        <v>194</v>
      </c>
      <c r="F47" s="226" t="s">
        <v>195</v>
      </c>
      <c r="G47" s="208"/>
      <c r="H47" s="209"/>
      <c r="I47" s="190">
        <f>G47*H47</f>
        <v>0</v>
      </c>
      <c r="J47" s="280"/>
    </row>
    <row r="48" spans="1:10" ht="15.9" customHeight="1" x14ac:dyDescent="0.4">
      <c r="A48" s="398"/>
      <c r="B48" s="401" t="s">
        <v>183</v>
      </c>
      <c r="C48" s="402"/>
      <c r="D48" s="402"/>
      <c r="E48" s="402"/>
      <c r="F48" s="402"/>
      <c r="G48" s="402"/>
      <c r="H48" s="403"/>
      <c r="I48" s="238">
        <f>SUM(I13:I47)</f>
        <v>0</v>
      </c>
      <c r="J48" s="280"/>
    </row>
    <row r="49" spans="1:10" ht="15.9" customHeight="1" x14ac:dyDescent="0.4">
      <c r="A49" s="398"/>
      <c r="B49" s="217" t="s">
        <v>62</v>
      </c>
      <c r="C49" s="239" t="s">
        <v>184</v>
      </c>
      <c r="D49" s="221" t="s">
        <v>163</v>
      </c>
      <c r="E49" s="29" t="s">
        <v>194</v>
      </c>
      <c r="F49" s="46" t="s">
        <v>195</v>
      </c>
      <c r="G49" s="222"/>
      <c r="H49" s="223"/>
      <c r="I49" s="224">
        <f t="shared" ref="I49:I77" si="1">G49*H49</f>
        <v>0</v>
      </c>
      <c r="J49" s="279"/>
    </row>
    <row r="50" spans="1:10" ht="15.9" customHeight="1" x14ac:dyDescent="0.4">
      <c r="A50" s="398"/>
      <c r="B50" s="184"/>
      <c r="C50" s="240"/>
      <c r="D50" s="221" t="s">
        <v>164</v>
      </c>
      <c r="E50" s="32" t="s">
        <v>194</v>
      </c>
      <c r="F50" s="226" t="s">
        <v>195</v>
      </c>
      <c r="G50" s="208"/>
      <c r="H50" s="209"/>
      <c r="I50" s="190">
        <f t="shared" si="1"/>
        <v>0</v>
      </c>
      <c r="J50" s="280"/>
    </row>
    <row r="51" spans="1:10" ht="15.9" customHeight="1" x14ac:dyDescent="0.4">
      <c r="A51" s="398"/>
      <c r="B51" s="184"/>
      <c r="C51" s="240"/>
      <c r="D51" s="221" t="s">
        <v>165</v>
      </c>
      <c r="E51" s="32" t="s">
        <v>194</v>
      </c>
      <c r="F51" s="226" t="s">
        <v>195</v>
      </c>
      <c r="G51" s="208"/>
      <c r="H51" s="209"/>
      <c r="I51" s="190">
        <f t="shared" si="1"/>
        <v>0</v>
      </c>
      <c r="J51" s="280"/>
    </row>
    <row r="52" spans="1:10" ht="15.9" customHeight="1" x14ac:dyDescent="0.4">
      <c r="A52" s="398"/>
      <c r="B52" s="184"/>
      <c r="C52" s="240"/>
      <c r="D52" s="241" t="s">
        <v>188</v>
      </c>
      <c r="E52" s="32" t="s">
        <v>194</v>
      </c>
      <c r="F52" s="226" t="s">
        <v>195</v>
      </c>
      <c r="G52" s="208"/>
      <c r="H52" s="209"/>
      <c r="I52" s="190">
        <f t="shared" si="1"/>
        <v>0</v>
      </c>
      <c r="J52" s="280"/>
    </row>
    <row r="53" spans="1:10" ht="15.9" customHeight="1" x14ac:dyDescent="0.4">
      <c r="A53" s="398"/>
      <c r="B53" s="184"/>
      <c r="C53" s="242"/>
      <c r="D53" s="221" t="s">
        <v>189</v>
      </c>
      <c r="E53" s="32" t="s">
        <v>194</v>
      </c>
      <c r="F53" s="226" t="s">
        <v>195</v>
      </c>
      <c r="G53" s="208"/>
      <c r="H53" s="209"/>
      <c r="I53" s="190">
        <f t="shared" si="1"/>
        <v>0</v>
      </c>
      <c r="J53" s="280"/>
    </row>
    <row r="54" spans="1:10" ht="15.9" customHeight="1" x14ac:dyDescent="0.4">
      <c r="A54" s="398"/>
      <c r="B54" s="184"/>
      <c r="C54" s="243" t="s">
        <v>190</v>
      </c>
      <c r="D54" s="221" t="s">
        <v>163</v>
      </c>
      <c r="E54" s="32" t="s">
        <v>194</v>
      </c>
      <c r="F54" s="226" t="s">
        <v>195</v>
      </c>
      <c r="G54" s="208"/>
      <c r="H54" s="209"/>
      <c r="I54" s="190">
        <f t="shared" si="1"/>
        <v>0</v>
      </c>
      <c r="J54" s="280"/>
    </row>
    <row r="55" spans="1:10" ht="15.9" customHeight="1" x14ac:dyDescent="0.4">
      <c r="A55" s="398"/>
      <c r="B55" s="184"/>
      <c r="C55" s="242"/>
      <c r="D55" s="221" t="s">
        <v>164</v>
      </c>
      <c r="E55" s="32" t="s">
        <v>194</v>
      </c>
      <c r="F55" s="226" t="s">
        <v>195</v>
      </c>
      <c r="G55" s="208"/>
      <c r="H55" s="209"/>
      <c r="I55" s="190">
        <f t="shared" si="1"/>
        <v>0</v>
      </c>
      <c r="J55" s="280"/>
    </row>
    <row r="56" spans="1:10" ht="15.9" customHeight="1" x14ac:dyDescent="0.4">
      <c r="A56" s="398"/>
      <c r="B56" s="184"/>
      <c r="C56" s="243" t="s">
        <v>191</v>
      </c>
      <c r="D56" s="221" t="s">
        <v>163</v>
      </c>
      <c r="E56" s="32" t="s">
        <v>194</v>
      </c>
      <c r="F56" s="226" t="s">
        <v>195</v>
      </c>
      <c r="G56" s="208"/>
      <c r="H56" s="209"/>
      <c r="I56" s="190">
        <f t="shared" si="1"/>
        <v>0</v>
      </c>
      <c r="J56" s="280"/>
    </row>
    <row r="57" spans="1:10" ht="15.9" customHeight="1" x14ac:dyDescent="0.4">
      <c r="A57" s="398"/>
      <c r="B57" s="184"/>
      <c r="C57" s="240"/>
      <c r="D57" s="221" t="s">
        <v>164</v>
      </c>
      <c r="E57" s="32" t="s">
        <v>194</v>
      </c>
      <c r="F57" s="226" t="s">
        <v>195</v>
      </c>
      <c r="G57" s="208"/>
      <c r="H57" s="209"/>
      <c r="I57" s="190">
        <f t="shared" si="1"/>
        <v>0</v>
      </c>
      <c r="J57" s="280"/>
    </row>
    <row r="58" spans="1:10" ht="15.9" customHeight="1" x14ac:dyDescent="0.4">
      <c r="A58" s="398"/>
      <c r="B58" s="184"/>
      <c r="C58" s="240"/>
      <c r="D58" s="221" t="s">
        <v>165</v>
      </c>
      <c r="E58" s="32" t="s">
        <v>194</v>
      </c>
      <c r="F58" s="226" t="s">
        <v>195</v>
      </c>
      <c r="G58" s="208"/>
      <c r="H58" s="209"/>
      <c r="I58" s="190">
        <f t="shared" si="1"/>
        <v>0</v>
      </c>
      <c r="J58" s="280"/>
    </row>
    <row r="59" spans="1:10" ht="15.9" customHeight="1" x14ac:dyDescent="0.4">
      <c r="A59" s="398"/>
      <c r="B59" s="184"/>
      <c r="C59" s="242"/>
      <c r="D59" s="221" t="s">
        <v>188</v>
      </c>
      <c r="E59" s="32" t="s">
        <v>194</v>
      </c>
      <c r="F59" s="226" t="s">
        <v>195</v>
      </c>
      <c r="G59" s="208"/>
      <c r="H59" s="209"/>
      <c r="I59" s="190">
        <f t="shared" si="1"/>
        <v>0</v>
      </c>
      <c r="J59" s="280"/>
    </row>
    <row r="60" spans="1:10" ht="15.9" customHeight="1" x14ac:dyDescent="0.4">
      <c r="A60" s="398"/>
      <c r="B60" s="184"/>
      <c r="C60" s="242" t="s">
        <v>271</v>
      </c>
      <c r="D60" s="237" t="s">
        <v>272</v>
      </c>
      <c r="E60" s="32" t="s">
        <v>194</v>
      </c>
      <c r="F60" s="226" t="s">
        <v>195</v>
      </c>
      <c r="G60" s="208"/>
      <c r="H60" s="209"/>
      <c r="I60" s="190">
        <f t="shared" si="1"/>
        <v>0</v>
      </c>
      <c r="J60" s="280"/>
    </row>
    <row r="61" spans="1:10" ht="15.9" customHeight="1" x14ac:dyDescent="0.4">
      <c r="A61" s="398"/>
      <c r="B61" s="401" t="s">
        <v>192</v>
      </c>
      <c r="C61" s="402"/>
      <c r="D61" s="402"/>
      <c r="E61" s="402"/>
      <c r="F61" s="402"/>
      <c r="G61" s="402"/>
      <c r="H61" s="403"/>
      <c r="I61" s="238">
        <f>SUM(I49:I60)</f>
        <v>0</v>
      </c>
      <c r="J61" s="280"/>
    </row>
    <row r="62" spans="1:10" ht="15.9" customHeight="1" x14ac:dyDescent="0.4">
      <c r="A62" s="398"/>
      <c r="B62" s="286" t="s">
        <v>63</v>
      </c>
      <c r="C62" s="287" t="s">
        <v>193</v>
      </c>
      <c r="D62" s="288"/>
      <c r="E62" s="29" t="s">
        <v>194</v>
      </c>
      <c r="F62" s="46" t="s">
        <v>195</v>
      </c>
      <c r="G62" s="222"/>
      <c r="H62" s="223"/>
      <c r="I62" s="224">
        <f t="shared" si="1"/>
        <v>0</v>
      </c>
      <c r="J62" s="281"/>
    </row>
    <row r="63" spans="1:10" ht="15.9" customHeight="1" x14ac:dyDescent="0.4">
      <c r="A63" s="398"/>
      <c r="B63" s="184"/>
      <c r="C63" s="289" t="s">
        <v>273</v>
      </c>
      <c r="D63" s="290"/>
      <c r="E63" s="32" t="s">
        <v>194</v>
      </c>
      <c r="F63" s="226" t="s">
        <v>195</v>
      </c>
      <c r="G63" s="208"/>
      <c r="H63" s="209"/>
      <c r="I63" s="190">
        <f t="shared" si="1"/>
        <v>0</v>
      </c>
      <c r="J63" s="280"/>
    </row>
    <row r="64" spans="1:10" ht="15.9" customHeight="1" x14ac:dyDescent="0.4">
      <c r="A64" s="398"/>
      <c r="B64" s="184"/>
      <c r="C64" s="289" t="s">
        <v>274</v>
      </c>
      <c r="D64" s="290"/>
      <c r="E64" s="32" t="s">
        <v>194</v>
      </c>
      <c r="F64" s="226" t="s">
        <v>195</v>
      </c>
      <c r="G64" s="208"/>
      <c r="H64" s="209"/>
      <c r="I64" s="190">
        <f t="shared" si="1"/>
        <v>0</v>
      </c>
      <c r="J64" s="280"/>
    </row>
    <row r="65" spans="1:10" ht="15.9" customHeight="1" x14ac:dyDescent="0.4">
      <c r="A65" s="398"/>
      <c r="B65" s="184"/>
      <c r="C65" s="291" t="s">
        <v>275</v>
      </c>
      <c r="D65" s="290"/>
      <c r="E65" s="32" t="s">
        <v>194</v>
      </c>
      <c r="F65" s="226" t="s">
        <v>195</v>
      </c>
      <c r="G65" s="208"/>
      <c r="H65" s="209"/>
      <c r="I65" s="190">
        <f t="shared" si="1"/>
        <v>0</v>
      </c>
      <c r="J65" s="280"/>
    </row>
    <row r="66" spans="1:10" ht="15.9" customHeight="1" x14ac:dyDescent="0.4">
      <c r="A66" s="398"/>
      <c r="B66" s="401" t="s">
        <v>199</v>
      </c>
      <c r="C66" s="402"/>
      <c r="D66" s="402"/>
      <c r="E66" s="402"/>
      <c r="F66" s="402"/>
      <c r="G66" s="402"/>
      <c r="H66" s="403"/>
      <c r="I66" s="251">
        <f>SUM(I62:I65)</f>
        <v>0</v>
      </c>
      <c r="J66" s="282"/>
    </row>
    <row r="67" spans="1:10" ht="15.9" customHeight="1" x14ac:dyDescent="0.4">
      <c r="A67" s="398"/>
      <c r="B67" s="184" t="s">
        <v>81</v>
      </c>
      <c r="C67" s="252" t="s">
        <v>200</v>
      </c>
      <c r="D67" s="253"/>
      <c r="E67" s="211" t="s">
        <v>194</v>
      </c>
      <c r="F67" s="226" t="s">
        <v>195</v>
      </c>
      <c r="G67" s="208"/>
      <c r="H67" s="209"/>
      <c r="I67" s="190">
        <f t="shared" si="1"/>
        <v>0</v>
      </c>
      <c r="J67" s="280"/>
    </row>
    <row r="68" spans="1:10" ht="15.9" customHeight="1" x14ac:dyDescent="0.4">
      <c r="A68" s="398"/>
      <c r="B68" s="184"/>
      <c r="C68" s="229" t="s">
        <v>201</v>
      </c>
      <c r="D68" s="253" t="s">
        <v>202</v>
      </c>
      <c r="E68" s="32" t="s">
        <v>194</v>
      </c>
      <c r="F68" s="226" t="s">
        <v>195</v>
      </c>
      <c r="G68" s="208"/>
      <c r="H68" s="209"/>
      <c r="I68" s="190">
        <f t="shared" si="1"/>
        <v>0</v>
      </c>
      <c r="J68" s="280"/>
    </row>
    <row r="69" spans="1:10" ht="15.9" customHeight="1" x14ac:dyDescent="0.4">
      <c r="A69" s="398"/>
      <c r="B69" s="184"/>
      <c r="C69" s="229" t="s">
        <v>203</v>
      </c>
      <c r="D69" s="253" t="s">
        <v>202</v>
      </c>
      <c r="E69" s="32" t="s">
        <v>194</v>
      </c>
      <c r="F69" s="226" t="s">
        <v>195</v>
      </c>
      <c r="G69" s="208"/>
      <c r="H69" s="209"/>
      <c r="I69" s="190">
        <f t="shared" si="1"/>
        <v>0</v>
      </c>
      <c r="J69" s="280"/>
    </row>
    <row r="70" spans="1:10" ht="15.9" customHeight="1" x14ac:dyDescent="0.4">
      <c r="A70" s="398"/>
      <c r="B70" s="184"/>
      <c r="C70" s="229" t="s">
        <v>204</v>
      </c>
      <c r="D70" s="253" t="s">
        <v>205</v>
      </c>
      <c r="E70" s="32" t="s">
        <v>194</v>
      </c>
      <c r="F70" s="226" t="s">
        <v>195</v>
      </c>
      <c r="G70" s="208"/>
      <c r="H70" s="209"/>
      <c r="I70" s="190">
        <f t="shared" si="1"/>
        <v>0</v>
      </c>
      <c r="J70" s="280"/>
    </row>
    <row r="71" spans="1:10" ht="15.9" customHeight="1" x14ac:dyDescent="0.4">
      <c r="A71" s="398"/>
      <c r="B71" s="184"/>
      <c r="C71" s="229" t="s">
        <v>206</v>
      </c>
      <c r="D71" s="253" t="s">
        <v>205</v>
      </c>
      <c r="E71" s="32" t="s">
        <v>194</v>
      </c>
      <c r="F71" s="226" t="s">
        <v>195</v>
      </c>
      <c r="G71" s="188"/>
      <c r="H71" s="189"/>
      <c r="I71" s="190">
        <f t="shared" si="1"/>
        <v>0</v>
      </c>
      <c r="J71" s="283"/>
    </row>
    <row r="72" spans="1:10" ht="15.9" customHeight="1" x14ac:dyDescent="0.4">
      <c r="A72" s="398"/>
      <c r="B72" s="184"/>
      <c r="C72" s="229" t="s">
        <v>207</v>
      </c>
      <c r="D72" s="253" t="s">
        <v>208</v>
      </c>
      <c r="E72" s="32" t="s">
        <v>194</v>
      </c>
      <c r="F72" s="226" t="s">
        <v>195</v>
      </c>
      <c r="G72" s="188"/>
      <c r="H72" s="189"/>
      <c r="I72" s="190">
        <f t="shared" si="1"/>
        <v>0</v>
      </c>
      <c r="J72" s="283"/>
    </row>
    <row r="73" spans="1:10" ht="15.9" customHeight="1" x14ac:dyDescent="0.4">
      <c r="A73" s="398"/>
      <c r="B73" s="184"/>
      <c r="C73" s="248" t="s">
        <v>209</v>
      </c>
      <c r="D73" s="254"/>
      <c r="E73" s="32" t="s">
        <v>194</v>
      </c>
      <c r="F73" s="226" t="s">
        <v>195</v>
      </c>
      <c r="G73" s="188"/>
      <c r="H73" s="189"/>
      <c r="I73" s="190">
        <f t="shared" si="1"/>
        <v>0</v>
      </c>
      <c r="J73" s="283"/>
    </row>
    <row r="74" spans="1:10" ht="15.9" customHeight="1" x14ac:dyDescent="0.4">
      <c r="A74" s="398"/>
      <c r="B74" s="184"/>
      <c r="C74" s="229" t="s">
        <v>210</v>
      </c>
      <c r="D74" s="253"/>
      <c r="E74" s="32"/>
      <c r="F74" s="226" t="s">
        <v>56</v>
      </c>
      <c r="G74" s="208"/>
      <c r="H74" s="209"/>
      <c r="I74" s="190">
        <f t="shared" si="1"/>
        <v>0</v>
      </c>
      <c r="J74" s="280"/>
    </row>
    <row r="75" spans="1:10" ht="15.9" customHeight="1" x14ac:dyDescent="0.4">
      <c r="A75" s="398"/>
      <c r="B75" s="184"/>
      <c r="C75" s="229" t="s">
        <v>211</v>
      </c>
      <c r="D75" s="253"/>
      <c r="E75" s="32"/>
      <c r="F75" s="226" t="s">
        <v>56</v>
      </c>
      <c r="G75" s="188"/>
      <c r="H75" s="189"/>
      <c r="I75" s="190">
        <f t="shared" si="1"/>
        <v>0</v>
      </c>
      <c r="J75" s="283"/>
    </row>
    <row r="76" spans="1:10" ht="15.9" customHeight="1" x14ac:dyDescent="0.4">
      <c r="A76" s="398"/>
      <c r="B76" s="184"/>
      <c r="C76" s="229" t="s">
        <v>212</v>
      </c>
      <c r="D76" s="253"/>
      <c r="E76" s="32"/>
      <c r="F76" s="226" t="s">
        <v>56</v>
      </c>
      <c r="G76" s="188"/>
      <c r="H76" s="189"/>
      <c r="I76" s="190">
        <f t="shared" si="1"/>
        <v>0</v>
      </c>
      <c r="J76" s="283"/>
    </row>
    <row r="77" spans="1:10" ht="15.9" customHeight="1" x14ac:dyDescent="0.4">
      <c r="A77" s="398"/>
      <c r="B77" s="184"/>
      <c r="C77" s="248" t="s">
        <v>213</v>
      </c>
      <c r="D77" s="254"/>
      <c r="E77" s="32"/>
      <c r="F77" s="226" t="s">
        <v>56</v>
      </c>
      <c r="G77" s="188"/>
      <c r="H77" s="189"/>
      <c r="I77" s="190">
        <f t="shared" si="1"/>
        <v>0</v>
      </c>
      <c r="J77" s="283"/>
    </row>
    <row r="78" spans="1:10" ht="15.9" customHeight="1" x14ac:dyDescent="0.4">
      <c r="A78" s="398"/>
      <c r="B78" s="401" t="s">
        <v>214</v>
      </c>
      <c r="C78" s="402"/>
      <c r="D78" s="402"/>
      <c r="E78" s="402"/>
      <c r="F78" s="402"/>
      <c r="G78" s="402"/>
      <c r="H78" s="403"/>
      <c r="I78" s="238">
        <f>SUM(I67:I77)</f>
        <v>0</v>
      </c>
      <c r="J78" s="284"/>
    </row>
    <row r="79" spans="1:10" ht="15.9" customHeight="1" x14ac:dyDescent="0.4">
      <c r="A79" s="413"/>
      <c r="B79" s="310" t="s">
        <v>215</v>
      </c>
      <c r="C79" s="310"/>
      <c r="D79" s="310"/>
      <c r="E79" s="310"/>
      <c r="F79" s="310"/>
      <c r="G79" s="310"/>
      <c r="H79" s="311"/>
      <c r="I79" s="219">
        <f>SUM(I48,I61,I66,I78)</f>
        <v>0</v>
      </c>
      <c r="J79" s="41"/>
    </row>
    <row r="80" spans="1:10" ht="15.9" customHeight="1" x14ac:dyDescent="0.4">
      <c r="A80" s="397" t="s">
        <v>65</v>
      </c>
      <c r="B80" s="26" t="s">
        <v>65</v>
      </c>
      <c r="C80" s="254" t="s">
        <v>216</v>
      </c>
      <c r="D80" s="254"/>
      <c r="E80" s="32"/>
      <c r="F80" s="226" t="s">
        <v>195</v>
      </c>
      <c r="G80" s="188"/>
      <c r="H80" s="189"/>
      <c r="I80" s="150">
        <f>SUM(G80*H80)</f>
        <v>0</v>
      </c>
      <c r="J80" s="277"/>
    </row>
    <row r="81" spans="1:18" ht="15.9" customHeight="1" x14ac:dyDescent="0.4">
      <c r="A81" s="399"/>
      <c r="C81" s="254" t="s">
        <v>276</v>
      </c>
      <c r="D81" s="254"/>
      <c r="E81" s="32"/>
      <c r="F81" s="226" t="s">
        <v>195</v>
      </c>
      <c r="G81" s="188"/>
      <c r="H81" s="189"/>
      <c r="I81" s="150">
        <f>SUM(G81*H81)</f>
        <v>0</v>
      </c>
      <c r="J81" s="35"/>
    </row>
    <row r="82" spans="1:18" ht="15.9" customHeight="1" x14ac:dyDescent="0.4">
      <c r="A82" s="399"/>
      <c r="B82" s="401" t="s">
        <v>227</v>
      </c>
      <c r="C82" s="402"/>
      <c r="D82" s="402"/>
      <c r="E82" s="402"/>
      <c r="F82" s="402"/>
      <c r="G82" s="402"/>
      <c r="H82" s="403"/>
      <c r="I82" s="256">
        <f>SUM(I80:I81)</f>
        <v>0</v>
      </c>
      <c r="J82" s="285"/>
    </row>
    <row r="83" spans="1:18" ht="15.9" customHeight="1" x14ac:dyDescent="0.4">
      <c r="A83" s="400"/>
      <c r="B83" s="310" t="s">
        <v>227</v>
      </c>
      <c r="C83" s="310"/>
      <c r="D83" s="310"/>
      <c r="E83" s="310"/>
      <c r="F83" s="310"/>
      <c r="G83" s="310"/>
      <c r="H83" s="311"/>
      <c r="I83" s="219">
        <f>SUM(I80:I82)</f>
        <v>0</v>
      </c>
      <c r="J83" s="41"/>
      <c r="L83" s="44"/>
    </row>
    <row r="84" spans="1:18" ht="15.9" customHeight="1" x14ac:dyDescent="0.4">
      <c r="A84" s="199"/>
      <c r="B84" s="257" t="s">
        <v>83</v>
      </c>
      <c r="C84" s="257"/>
      <c r="D84" s="257"/>
      <c r="E84" s="257"/>
      <c r="F84" s="257"/>
      <c r="G84" s="257"/>
      <c r="H84" s="257"/>
      <c r="I84" s="219">
        <f>CEILING(MIN(P91:P92),1000)</f>
        <v>0</v>
      </c>
      <c r="J84" s="260"/>
    </row>
    <row r="85" spans="1:18" ht="15.9" customHeight="1" x14ac:dyDescent="0.4">
      <c r="A85" s="259"/>
      <c r="B85" s="257" t="s">
        <v>69</v>
      </c>
      <c r="C85" s="260" t="s">
        <v>228</v>
      </c>
      <c r="D85" s="260"/>
      <c r="E85" s="41"/>
      <c r="F85" s="182"/>
      <c r="G85" s="261">
        <v>0.05</v>
      </c>
      <c r="H85" s="262"/>
      <c r="I85" s="219">
        <f>SUM(I12,I79,I83)*G85</f>
        <v>0</v>
      </c>
      <c r="J85" s="260"/>
    </row>
    <row r="86" spans="1:18" ht="15.9" customHeight="1" x14ac:dyDescent="0.4">
      <c r="A86" s="259"/>
      <c r="B86" s="257" t="s">
        <v>229</v>
      </c>
      <c r="C86" s="260" t="s">
        <v>230</v>
      </c>
      <c r="D86" s="260"/>
      <c r="E86" s="41"/>
      <c r="F86" s="182"/>
      <c r="G86" s="261">
        <v>0.01</v>
      </c>
      <c r="H86" s="262"/>
      <c r="I86" s="219">
        <f>SUM(I79,I83,I85)*G86</f>
        <v>0</v>
      </c>
      <c r="J86" s="260"/>
    </row>
    <row r="87" spans="1:18" ht="15.9" customHeight="1" x14ac:dyDescent="0.4">
      <c r="A87" s="259"/>
      <c r="B87" s="257" t="s">
        <v>231</v>
      </c>
      <c r="C87" s="260"/>
      <c r="D87" s="260"/>
      <c r="E87" s="41"/>
      <c r="F87" s="41"/>
      <c r="G87" s="45"/>
      <c r="H87" s="45"/>
      <c r="I87" s="263">
        <f>SUM(I12,I79,I83,I84,I85,I86)</f>
        <v>0</v>
      </c>
      <c r="J87" s="41"/>
    </row>
    <row r="88" spans="1:18" x14ac:dyDescent="0.4">
      <c r="A88" s="26"/>
    </row>
    <row r="90" spans="1:18" ht="13.5" customHeight="1" x14ac:dyDescent="0.4">
      <c r="L90" s="404" t="s">
        <v>232</v>
      </c>
      <c r="M90" s="407" t="s">
        <v>233</v>
      </c>
      <c r="N90" s="408"/>
      <c r="O90" s="409"/>
      <c r="P90" s="264" t="s">
        <v>234</v>
      </c>
      <c r="Q90" s="265" t="s">
        <v>235</v>
      </c>
      <c r="R90" s="266" t="s">
        <v>236</v>
      </c>
    </row>
    <row r="91" spans="1:18" x14ac:dyDescent="0.4">
      <c r="L91" s="405"/>
      <c r="M91" s="410" t="s">
        <v>237</v>
      </c>
      <c r="N91" s="411"/>
      <c r="O91" s="412"/>
      <c r="P91" s="267">
        <f>IF(Q91&lt;500000000,Q91*0.0315,1)+IF(Q91&gt;500000000,Q91*0.0253+2450000)*IF(Q91&gt;5000000000,0,1)+IF(Q91&gt;5000000000,Q91*0.026,0)</f>
        <v>0</v>
      </c>
      <c r="Q91" s="268">
        <f>SUM(I12,I79)</f>
        <v>0</v>
      </c>
      <c r="R91" s="269" t="s">
        <v>238</v>
      </c>
    </row>
    <row r="92" spans="1:18" x14ac:dyDescent="0.4">
      <c r="L92" s="406"/>
      <c r="M92" s="410" t="s">
        <v>239</v>
      </c>
      <c r="N92" s="411"/>
      <c r="O92" s="412"/>
      <c r="P92" s="267">
        <f>(IF(Q92&lt;500000000,Q92*0.0315,1)+IF(Q92&gt;500000000,Q92*0.0253+2450000)*IF(Q92&gt;5000000000,0,1)+IF(Q92&gt;5000000000,Q92*0.026,0))*1.2</f>
        <v>0</v>
      </c>
      <c r="Q92" s="268">
        <f>SUMIF(J13:J78,"",I13:I78)</f>
        <v>0</v>
      </c>
      <c r="R92" s="269" t="s">
        <v>240</v>
      </c>
    </row>
    <row r="93" spans="1:18" x14ac:dyDescent="0.4">
      <c r="L93" s="270" t="s">
        <v>241</v>
      </c>
      <c r="M93" s="26"/>
      <c r="N93" s="26"/>
      <c r="O93" s="49"/>
      <c r="P93" s="49"/>
      <c r="Q93" s="48"/>
      <c r="R93" s="69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E203-D059-4B58-ADA4-37D57E0699B8}">
  <sheetPr>
    <tabColor rgb="FF00B050"/>
    <pageSetUpPr fitToPage="1"/>
  </sheetPr>
  <dimension ref="A1:R95"/>
  <sheetViews>
    <sheetView zoomScale="85" zoomScaleNormal="85" workbookViewId="0">
      <pane xSplit="2" ySplit="2" topLeftCell="C55" activePane="bottomRight" state="frozen"/>
      <selection activeCell="K19" sqref="K19"/>
      <selection pane="topRight" activeCell="K19" sqref="K19"/>
      <selection pane="bottomLeft" activeCell="K19" sqref="K19"/>
      <selection pane="bottomRight" activeCell="K19" sqref="K19"/>
    </sheetView>
  </sheetViews>
  <sheetFormatPr defaultColWidth="9" defaultRowHeight="14.4" x14ac:dyDescent="0.4"/>
  <cols>
    <col min="1" max="1" width="5" style="1" customWidth="1"/>
    <col min="2" max="2" width="21.8984375" style="26" customWidth="1"/>
    <col min="3" max="4" width="23.59765625" style="1" customWidth="1"/>
    <col min="5" max="5" width="18.19921875" style="1" customWidth="1"/>
    <col min="6" max="6" width="5.19921875" style="1" bestFit="1" customWidth="1"/>
    <col min="7" max="7" width="9" style="44"/>
    <col min="8" max="8" width="11.8984375" style="44" customWidth="1"/>
    <col min="9" max="9" width="13.59765625" style="44" customWidth="1"/>
    <col min="10" max="10" width="13.59765625" style="1" customWidth="1"/>
    <col min="11" max="11" width="9" style="1"/>
    <col min="12" max="12" width="17.19921875" style="1" customWidth="1"/>
    <col min="13" max="15" width="6.5" style="1" customWidth="1"/>
    <col min="16" max="16" width="12.69921875" style="1" customWidth="1"/>
    <col min="17" max="17" width="12" style="1" customWidth="1"/>
    <col min="18" max="18" width="19.69921875" style="1" customWidth="1"/>
    <col min="19" max="256" width="9" style="1"/>
    <col min="257" max="257" width="5" style="1" customWidth="1"/>
    <col min="258" max="258" width="21.8984375" style="1" customWidth="1"/>
    <col min="259" max="260" width="23.59765625" style="1" customWidth="1"/>
    <col min="261" max="261" width="18.19921875" style="1" customWidth="1"/>
    <col min="262" max="262" width="5.19921875" style="1" bestFit="1" customWidth="1"/>
    <col min="263" max="263" width="9" style="1"/>
    <col min="264" max="264" width="11.8984375" style="1" customWidth="1"/>
    <col min="265" max="266" width="13.59765625" style="1" customWidth="1"/>
    <col min="267" max="267" width="9" style="1"/>
    <col min="268" max="268" width="17.19921875" style="1" customWidth="1"/>
    <col min="269" max="271" width="6.5" style="1" customWidth="1"/>
    <col min="272" max="272" width="12.69921875" style="1" customWidth="1"/>
    <col min="273" max="273" width="12" style="1" customWidth="1"/>
    <col min="274" max="274" width="19.69921875" style="1" customWidth="1"/>
    <col min="275" max="512" width="9" style="1"/>
    <col min="513" max="513" width="5" style="1" customWidth="1"/>
    <col min="514" max="514" width="21.8984375" style="1" customWidth="1"/>
    <col min="515" max="516" width="23.59765625" style="1" customWidth="1"/>
    <col min="517" max="517" width="18.19921875" style="1" customWidth="1"/>
    <col min="518" max="518" width="5.19921875" style="1" bestFit="1" customWidth="1"/>
    <col min="519" max="519" width="9" style="1"/>
    <col min="520" max="520" width="11.8984375" style="1" customWidth="1"/>
    <col min="521" max="522" width="13.59765625" style="1" customWidth="1"/>
    <col min="523" max="523" width="9" style="1"/>
    <col min="524" max="524" width="17.19921875" style="1" customWidth="1"/>
    <col min="525" max="527" width="6.5" style="1" customWidth="1"/>
    <col min="528" max="528" width="12.69921875" style="1" customWidth="1"/>
    <col min="529" max="529" width="12" style="1" customWidth="1"/>
    <col min="530" max="530" width="19.69921875" style="1" customWidth="1"/>
    <col min="531" max="768" width="9" style="1"/>
    <col min="769" max="769" width="5" style="1" customWidth="1"/>
    <col min="770" max="770" width="21.8984375" style="1" customWidth="1"/>
    <col min="771" max="772" width="23.59765625" style="1" customWidth="1"/>
    <col min="773" max="773" width="18.19921875" style="1" customWidth="1"/>
    <col min="774" max="774" width="5.19921875" style="1" bestFit="1" customWidth="1"/>
    <col min="775" max="775" width="9" style="1"/>
    <col min="776" max="776" width="11.8984375" style="1" customWidth="1"/>
    <col min="777" max="778" width="13.59765625" style="1" customWidth="1"/>
    <col min="779" max="779" width="9" style="1"/>
    <col min="780" max="780" width="17.19921875" style="1" customWidth="1"/>
    <col min="781" max="783" width="6.5" style="1" customWidth="1"/>
    <col min="784" max="784" width="12.69921875" style="1" customWidth="1"/>
    <col min="785" max="785" width="12" style="1" customWidth="1"/>
    <col min="786" max="786" width="19.69921875" style="1" customWidth="1"/>
    <col min="787" max="1024" width="9" style="1"/>
    <col min="1025" max="1025" width="5" style="1" customWidth="1"/>
    <col min="1026" max="1026" width="21.8984375" style="1" customWidth="1"/>
    <col min="1027" max="1028" width="23.59765625" style="1" customWidth="1"/>
    <col min="1029" max="1029" width="18.19921875" style="1" customWidth="1"/>
    <col min="1030" max="1030" width="5.19921875" style="1" bestFit="1" customWidth="1"/>
    <col min="1031" max="1031" width="9" style="1"/>
    <col min="1032" max="1032" width="11.8984375" style="1" customWidth="1"/>
    <col min="1033" max="1034" width="13.59765625" style="1" customWidth="1"/>
    <col min="1035" max="1035" width="9" style="1"/>
    <col min="1036" max="1036" width="17.19921875" style="1" customWidth="1"/>
    <col min="1037" max="1039" width="6.5" style="1" customWidth="1"/>
    <col min="1040" max="1040" width="12.69921875" style="1" customWidth="1"/>
    <col min="1041" max="1041" width="12" style="1" customWidth="1"/>
    <col min="1042" max="1042" width="19.69921875" style="1" customWidth="1"/>
    <col min="1043" max="1280" width="9" style="1"/>
    <col min="1281" max="1281" width="5" style="1" customWidth="1"/>
    <col min="1282" max="1282" width="21.8984375" style="1" customWidth="1"/>
    <col min="1283" max="1284" width="23.59765625" style="1" customWidth="1"/>
    <col min="1285" max="1285" width="18.19921875" style="1" customWidth="1"/>
    <col min="1286" max="1286" width="5.19921875" style="1" bestFit="1" customWidth="1"/>
    <col min="1287" max="1287" width="9" style="1"/>
    <col min="1288" max="1288" width="11.8984375" style="1" customWidth="1"/>
    <col min="1289" max="1290" width="13.59765625" style="1" customWidth="1"/>
    <col min="1291" max="1291" width="9" style="1"/>
    <col min="1292" max="1292" width="17.19921875" style="1" customWidth="1"/>
    <col min="1293" max="1295" width="6.5" style="1" customWidth="1"/>
    <col min="1296" max="1296" width="12.69921875" style="1" customWidth="1"/>
    <col min="1297" max="1297" width="12" style="1" customWidth="1"/>
    <col min="1298" max="1298" width="19.69921875" style="1" customWidth="1"/>
    <col min="1299" max="1536" width="9" style="1"/>
    <col min="1537" max="1537" width="5" style="1" customWidth="1"/>
    <col min="1538" max="1538" width="21.8984375" style="1" customWidth="1"/>
    <col min="1539" max="1540" width="23.59765625" style="1" customWidth="1"/>
    <col min="1541" max="1541" width="18.19921875" style="1" customWidth="1"/>
    <col min="1542" max="1542" width="5.19921875" style="1" bestFit="1" customWidth="1"/>
    <col min="1543" max="1543" width="9" style="1"/>
    <col min="1544" max="1544" width="11.8984375" style="1" customWidth="1"/>
    <col min="1545" max="1546" width="13.59765625" style="1" customWidth="1"/>
    <col min="1547" max="1547" width="9" style="1"/>
    <col min="1548" max="1548" width="17.19921875" style="1" customWidth="1"/>
    <col min="1549" max="1551" width="6.5" style="1" customWidth="1"/>
    <col min="1552" max="1552" width="12.69921875" style="1" customWidth="1"/>
    <col min="1553" max="1553" width="12" style="1" customWidth="1"/>
    <col min="1554" max="1554" width="19.69921875" style="1" customWidth="1"/>
    <col min="1555" max="1792" width="9" style="1"/>
    <col min="1793" max="1793" width="5" style="1" customWidth="1"/>
    <col min="1794" max="1794" width="21.8984375" style="1" customWidth="1"/>
    <col min="1795" max="1796" width="23.59765625" style="1" customWidth="1"/>
    <col min="1797" max="1797" width="18.19921875" style="1" customWidth="1"/>
    <col min="1798" max="1798" width="5.19921875" style="1" bestFit="1" customWidth="1"/>
    <col min="1799" max="1799" width="9" style="1"/>
    <col min="1800" max="1800" width="11.8984375" style="1" customWidth="1"/>
    <col min="1801" max="1802" width="13.59765625" style="1" customWidth="1"/>
    <col min="1803" max="1803" width="9" style="1"/>
    <col min="1804" max="1804" width="17.19921875" style="1" customWidth="1"/>
    <col min="1805" max="1807" width="6.5" style="1" customWidth="1"/>
    <col min="1808" max="1808" width="12.69921875" style="1" customWidth="1"/>
    <col min="1809" max="1809" width="12" style="1" customWidth="1"/>
    <col min="1810" max="1810" width="19.69921875" style="1" customWidth="1"/>
    <col min="1811" max="2048" width="9" style="1"/>
    <col min="2049" max="2049" width="5" style="1" customWidth="1"/>
    <col min="2050" max="2050" width="21.8984375" style="1" customWidth="1"/>
    <col min="2051" max="2052" width="23.59765625" style="1" customWidth="1"/>
    <col min="2053" max="2053" width="18.19921875" style="1" customWidth="1"/>
    <col min="2054" max="2054" width="5.19921875" style="1" bestFit="1" customWidth="1"/>
    <col min="2055" max="2055" width="9" style="1"/>
    <col min="2056" max="2056" width="11.8984375" style="1" customWidth="1"/>
    <col min="2057" max="2058" width="13.59765625" style="1" customWidth="1"/>
    <col min="2059" max="2059" width="9" style="1"/>
    <col min="2060" max="2060" width="17.19921875" style="1" customWidth="1"/>
    <col min="2061" max="2063" width="6.5" style="1" customWidth="1"/>
    <col min="2064" max="2064" width="12.69921875" style="1" customWidth="1"/>
    <col min="2065" max="2065" width="12" style="1" customWidth="1"/>
    <col min="2066" max="2066" width="19.69921875" style="1" customWidth="1"/>
    <col min="2067" max="2304" width="9" style="1"/>
    <col min="2305" max="2305" width="5" style="1" customWidth="1"/>
    <col min="2306" max="2306" width="21.8984375" style="1" customWidth="1"/>
    <col min="2307" max="2308" width="23.59765625" style="1" customWidth="1"/>
    <col min="2309" max="2309" width="18.19921875" style="1" customWidth="1"/>
    <col min="2310" max="2310" width="5.19921875" style="1" bestFit="1" customWidth="1"/>
    <col min="2311" max="2311" width="9" style="1"/>
    <col min="2312" max="2312" width="11.8984375" style="1" customWidth="1"/>
    <col min="2313" max="2314" width="13.59765625" style="1" customWidth="1"/>
    <col min="2315" max="2315" width="9" style="1"/>
    <col min="2316" max="2316" width="17.19921875" style="1" customWidth="1"/>
    <col min="2317" max="2319" width="6.5" style="1" customWidth="1"/>
    <col min="2320" max="2320" width="12.69921875" style="1" customWidth="1"/>
    <col min="2321" max="2321" width="12" style="1" customWidth="1"/>
    <col min="2322" max="2322" width="19.69921875" style="1" customWidth="1"/>
    <col min="2323" max="2560" width="9" style="1"/>
    <col min="2561" max="2561" width="5" style="1" customWidth="1"/>
    <col min="2562" max="2562" width="21.8984375" style="1" customWidth="1"/>
    <col min="2563" max="2564" width="23.59765625" style="1" customWidth="1"/>
    <col min="2565" max="2565" width="18.19921875" style="1" customWidth="1"/>
    <col min="2566" max="2566" width="5.19921875" style="1" bestFit="1" customWidth="1"/>
    <col min="2567" max="2567" width="9" style="1"/>
    <col min="2568" max="2568" width="11.8984375" style="1" customWidth="1"/>
    <col min="2569" max="2570" width="13.59765625" style="1" customWidth="1"/>
    <col min="2571" max="2571" width="9" style="1"/>
    <col min="2572" max="2572" width="17.19921875" style="1" customWidth="1"/>
    <col min="2573" max="2575" width="6.5" style="1" customWidth="1"/>
    <col min="2576" max="2576" width="12.69921875" style="1" customWidth="1"/>
    <col min="2577" max="2577" width="12" style="1" customWidth="1"/>
    <col min="2578" max="2578" width="19.69921875" style="1" customWidth="1"/>
    <col min="2579" max="2816" width="9" style="1"/>
    <col min="2817" max="2817" width="5" style="1" customWidth="1"/>
    <col min="2818" max="2818" width="21.8984375" style="1" customWidth="1"/>
    <col min="2819" max="2820" width="23.59765625" style="1" customWidth="1"/>
    <col min="2821" max="2821" width="18.19921875" style="1" customWidth="1"/>
    <col min="2822" max="2822" width="5.19921875" style="1" bestFit="1" customWidth="1"/>
    <col min="2823" max="2823" width="9" style="1"/>
    <col min="2824" max="2824" width="11.8984375" style="1" customWidth="1"/>
    <col min="2825" max="2826" width="13.59765625" style="1" customWidth="1"/>
    <col min="2827" max="2827" width="9" style="1"/>
    <col min="2828" max="2828" width="17.19921875" style="1" customWidth="1"/>
    <col min="2829" max="2831" width="6.5" style="1" customWidth="1"/>
    <col min="2832" max="2832" width="12.69921875" style="1" customWidth="1"/>
    <col min="2833" max="2833" width="12" style="1" customWidth="1"/>
    <col min="2834" max="2834" width="19.69921875" style="1" customWidth="1"/>
    <col min="2835" max="3072" width="9" style="1"/>
    <col min="3073" max="3073" width="5" style="1" customWidth="1"/>
    <col min="3074" max="3074" width="21.8984375" style="1" customWidth="1"/>
    <col min="3075" max="3076" width="23.59765625" style="1" customWidth="1"/>
    <col min="3077" max="3077" width="18.19921875" style="1" customWidth="1"/>
    <col min="3078" max="3078" width="5.19921875" style="1" bestFit="1" customWidth="1"/>
    <col min="3079" max="3079" width="9" style="1"/>
    <col min="3080" max="3080" width="11.8984375" style="1" customWidth="1"/>
    <col min="3081" max="3082" width="13.59765625" style="1" customWidth="1"/>
    <col min="3083" max="3083" width="9" style="1"/>
    <col min="3084" max="3084" width="17.19921875" style="1" customWidth="1"/>
    <col min="3085" max="3087" width="6.5" style="1" customWidth="1"/>
    <col min="3088" max="3088" width="12.69921875" style="1" customWidth="1"/>
    <col min="3089" max="3089" width="12" style="1" customWidth="1"/>
    <col min="3090" max="3090" width="19.69921875" style="1" customWidth="1"/>
    <col min="3091" max="3328" width="9" style="1"/>
    <col min="3329" max="3329" width="5" style="1" customWidth="1"/>
    <col min="3330" max="3330" width="21.8984375" style="1" customWidth="1"/>
    <col min="3331" max="3332" width="23.59765625" style="1" customWidth="1"/>
    <col min="3333" max="3333" width="18.19921875" style="1" customWidth="1"/>
    <col min="3334" max="3334" width="5.19921875" style="1" bestFit="1" customWidth="1"/>
    <col min="3335" max="3335" width="9" style="1"/>
    <col min="3336" max="3336" width="11.8984375" style="1" customWidth="1"/>
    <col min="3337" max="3338" width="13.59765625" style="1" customWidth="1"/>
    <col min="3339" max="3339" width="9" style="1"/>
    <col min="3340" max="3340" width="17.19921875" style="1" customWidth="1"/>
    <col min="3341" max="3343" width="6.5" style="1" customWidth="1"/>
    <col min="3344" max="3344" width="12.69921875" style="1" customWidth="1"/>
    <col min="3345" max="3345" width="12" style="1" customWidth="1"/>
    <col min="3346" max="3346" width="19.69921875" style="1" customWidth="1"/>
    <col min="3347" max="3584" width="9" style="1"/>
    <col min="3585" max="3585" width="5" style="1" customWidth="1"/>
    <col min="3586" max="3586" width="21.8984375" style="1" customWidth="1"/>
    <col min="3587" max="3588" width="23.59765625" style="1" customWidth="1"/>
    <col min="3589" max="3589" width="18.19921875" style="1" customWidth="1"/>
    <col min="3590" max="3590" width="5.19921875" style="1" bestFit="1" customWidth="1"/>
    <col min="3591" max="3591" width="9" style="1"/>
    <col min="3592" max="3592" width="11.8984375" style="1" customWidth="1"/>
    <col min="3593" max="3594" width="13.59765625" style="1" customWidth="1"/>
    <col min="3595" max="3595" width="9" style="1"/>
    <col min="3596" max="3596" width="17.19921875" style="1" customWidth="1"/>
    <col min="3597" max="3599" width="6.5" style="1" customWidth="1"/>
    <col min="3600" max="3600" width="12.69921875" style="1" customWidth="1"/>
    <col min="3601" max="3601" width="12" style="1" customWidth="1"/>
    <col min="3602" max="3602" width="19.69921875" style="1" customWidth="1"/>
    <col min="3603" max="3840" width="9" style="1"/>
    <col min="3841" max="3841" width="5" style="1" customWidth="1"/>
    <col min="3842" max="3842" width="21.8984375" style="1" customWidth="1"/>
    <col min="3843" max="3844" width="23.59765625" style="1" customWidth="1"/>
    <col min="3845" max="3845" width="18.19921875" style="1" customWidth="1"/>
    <col min="3846" max="3846" width="5.19921875" style="1" bestFit="1" customWidth="1"/>
    <col min="3847" max="3847" width="9" style="1"/>
    <col min="3848" max="3848" width="11.8984375" style="1" customWidth="1"/>
    <col min="3849" max="3850" width="13.59765625" style="1" customWidth="1"/>
    <col min="3851" max="3851" width="9" style="1"/>
    <col min="3852" max="3852" width="17.19921875" style="1" customWidth="1"/>
    <col min="3853" max="3855" width="6.5" style="1" customWidth="1"/>
    <col min="3856" max="3856" width="12.69921875" style="1" customWidth="1"/>
    <col min="3857" max="3857" width="12" style="1" customWidth="1"/>
    <col min="3858" max="3858" width="19.69921875" style="1" customWidth="1"/>
    <col min="3859" max="4096" width="9" style="1"/>
    <col min="4097" max="4097" width="5" style="1" customWidth="1"/>
    <col min="4098" max="4098" width="21.8984375" style="1" customWidth="1"/>
    <col min="4099" max="4100" width="23.59765625" style="1" customWidth="1"/>
    <col min="4101" max="4101" width="18.19921875" style="1" customWidth="1"/>
    <col min="4102" max="4102" width="5.19921875" style="1" bestFit="1" customWidth="1"/>
    <col min="4103" max="4103" width="9" style="1"/>
    <col min="4104" max="4104" width="11.8984375" style="1" customWidth="1"/>
    <col min="4105" max="4106" width="13.59765625" style="1" customWidth="1"/>
    <col min="4107" max="4107" width="9" style="1"/>
    <col min="4108" max="4108" width="17.19921875" style="1" customWidth="1"/>
    <col min="4109" max="4111" width="6.5" style="1" customWidth="1"/>
    <col min="4112" max="4112" width="12.69921875" style="1" customWidth="1"/>
    <col min="4113" max="4113" width="12" style="1" customWidth="1"/>
    <col min="4114" max="4114" width="19.69921875" style="1" customWidth="1"/>
    <col min="4115" max="4352" width="9" style="1"/>
    <col min="4353" max="4353" width="5" style="1" customWidth="1"/>
    <col min="4354" max="4354" width="21.8984375" style="1" customWidth="1"/>
    <col min="4355" max="4356" width="23.59765625" style="1" customWidth="1"/>
    <col min="4357" max="4357" width="18.19921875" style="1" customWidth="1"/>
    <col min="4358" max="4358" width="5.19921875" style="1" bestFit="1" customWidth="1"/>
    <col min="4359" max="4359" width="9" style="1"/>
    <col min="4360" max="4360" width="11.8984375" style="1" customWidth="1"/>
    <col min="4361" max="4362" width="13.59765625" style="1" customWidth="1"/>
    <col min="4363" max="4363" width="9" style="1"/>
    <col min="4364" max="4364" width="17.19921875" style="1" customWidth="1"/>
    <col min="4365" max="4367" width="6.5" style="1" customWidth="1"/>
    <col min="4368" max="4368" width="12.69921875" style="1" customWidth="1"/>
    <col min="4369" max="4369" width="12" style="1" customWidth="1"/>
    <col min="4370" max="4370" width="19.69921875" style="1" customWidth="1"/>
    <col min="4371" max="4608" width="9" style="1"/>
    <col min="4609" max="4609" width="5" style="1" customWidth="1"/>
    <col min="4610" max="4610" width="21.8984375" style="1" customWidth="1"/>
    <col min="4611" max="4612" width="23.59765625" style="1" customWidth="1"/>
    <col min="4613" max="4613" width="18.19921875" style="1" customWidth="1"/>
    <col min="4614" max="4614" width="5.19921875" style="1" bestFit="1" customWidth="1"/>
    <col min="4615" max="4615" width="9" style="1"/>
    <col min="4616" max="4616" width="11.8984375" style="1" customWidth="1"/>
    <col min="4617" max="4618" width="13.59765625" style="1" customWidth="1"/>
    <col min="4619" max="4619" width="9" style="1"/>
    <col min="4620" max="4620" width="17.19921875" style="1" customWidth="1"/>
    <col min="4621" max="4623" width="6.5" style="1" customWidth="1"/>
    <col min="4624" max="4624" width="12.69921875" style="1" customWidth="1"/>
    <col min="4625" max="4625" width="12" style="1" customWidth="1"/>
    <col min="4626" max="4626" width="19.69921875" style="1" customWidth="1"/>
    <col min="4627" max="4864" width="9" style="1"/>
    <col min="4865" max="4865" width="5" style="1" customWidth="1"/>
    <col min="4866" max="4866" width="21.8984375" style="1" customWidth="1"/>
    <col min="4867" max="4868" width="23.59765625" style="1" customWidth="1"/>
    <col min="4869" max="4869" width="18.19921875" style="1" customWidth="1"/>
    <col min="4870" max="4870" width="5.19921875" style="1" bestFit="1" customWidth="1"/>
    <col min="4871" max="4871" width="9" style="1"/>
    <col min="4872" max="4872" width="11.8984375" style="1" customWidth="1"/>
    <col min="4873" max="4874" width="13.59765625" style="1" customWidth="1"/>
    <col min="4875" max="4875" width="9" style="1"/>
    <col min="4876" max="4876" width="17.19921875" style="1" customWidth="1"/>
    <col min="4877" max="4879" width="6.5" style="1" customWidth="1"/>
    <col min="4880" max="4880" width="12.69921875" style="1" customWidth="1"/>
    <col min="4881" max="4881" width="12" style="1" customWidth="1"/>
    <col min="4882" max="4882" width="19.69921875" style="1" customWidth="1"/>
    <col min="4883" max="5120" width="9" style="1"/>
    <col min="5121" max="5121" width="5" style="1" customWidth="1"/>
    <col min="5122" max="5122" width="21.8984375" style="1" customWidth="1"/>
    <col min="5123" max="5124" width="23.59765625" style="1" customWidth="1"/>
    <col min="5125" max="5125" width="18.19921875" style="1" customWidth="1"/>
    <col min="5126" max="5126" width="5.19921875" style="1" bestFit="1" customWidth="1"/>
    <col min="5127" max="5127" width="9" style="1"/>
    <col min="5128" max="5128" width="11.8984375" style="1" customWidth="1"/>
    <col min="5129" max="5130" width="13.59765625" style="1" customWidth="1"/>
    <col min="5131" max="5131" width="9" style="1"/>
    <col min="5132" max="5132" width="17.19921875" style="1" customWidth="1"/>
    <col min="5133" max="5135" width="6.5" style="1" customWidth="1"/>
    <col min="5136" max="5136" width="12.69921875" style="1" customWidth="1"/>
    <col min="5137" max="5137" width="12" style="1" customWidth="1"/>
    <col min="5138" max="5138" width="19.69921875" style="1" customWidth="1"/>
    <col min="5139" max="5376" width="9" style="1"/>
    <col min="5377" max="5377" width="5" style="1" customWidth="1"/>
    <col min="5378" max="5378" width="21.8984375" style="1" customWidth="1"/>
    <col min="5379" max="5380" width="23.59765625" style="1" customWidth="1"/>
    <col min="5381" max="5381" width="18.19921875" style="1" customWidth="1"/>
    <col min="5382" max="5382" width="5.19921875" style="1" bestFit="1" customWidth="1"/>
    <col min="5383" max="5383" width="9" style="1"/>
    <col min="5384" max="5384" width="11.8984375" style="1" customWidth="1"/>
    <col min="5385" max="5386" width="13.59765625" style="1" customWidth="1"/>
    <col min="5387" max="5387" width="9" style="1"/>
    <col min="5388" max="5388" width="17.19921875" style="1" customWidth="1"/>
    <col min="5389" max="5391" width="6.5" style="1" customWidth="1"/>
    <col min="5392" max="5392" width="12.69921875" style="1" customWidth="1"/>
    <col min="5393" max="5393" width="12" style="1" customWidth="1"/>
    <col min="5394" max="5394" width="19.69921875" style="1" customWidth="1"/>
    <col min="5395" max="5632" width="9" style="1"/>
    <col min="5633" max="5633" width="5" style="1" customWidth="1"/>
    <col min="5634" max="5634" width="21.8984375" style="1" customWidth="1"/>
    <col min="5635" max="5636" width="23.59765625" style="1" customWidth="1"/>
    <col min="5637" max="5637" width="18.19921875" style="1" customWidth="1"/>
    <col min="5638" max="5638" width="5.19921875" style="1" bestFit="1" customWidth="1"/>
    <col min="5639" max="5639" width="9" style="1"/>
    <col min="5640" max="5640" width="11.8984375" style="1" customWidth="1"/>
    <col min="5641" max="5642" width="13.59765625" style="1" customWidth="1"/>
    <col min="5643" max="5643" width="9" style="1"/>
    <col min="5644" max="5644" width="17.19921875" style="1" customWidth="1"/>
    <col min="5645" max="5647" width="6.5" style="1" customWidth="1"/>
    <col min="5648" max="5648" width="12.69921875" style="1" customWidth="1"/>
    <col min="5649" max="5649" width="12" style="1" customWidth="1"/>
    <col min="5650" max="5650" width="19.69921875" style="1" customWidth="1"/>
    <col min="5651" max="5888" width="9" style="1"/>
    <col min="5889" max="5889" width="5" style="1" customWidth="1"/>
    <col min="5890" max="5890" width="21.8984375" style="1" customWidth="1"/>
    <col min="5891" max="5892" width="23.59765625" style="1" customWidth="1"/>
    <col min="5893" max="5893" width="18.19921875" style="1" customWidth="1"/>
    <col min="5894" max="5894" width="5.19921875" style="1" bestFit="1" customWidth="1"/>
    <col min="5895" max="5895" width="9" style="1"/>
    <col min="5896" max="5896" width="11.8984375" style="1" customWidth="1"/>
    <col min="5897" max="5898" width="13.59765625" style="1" customWidth="1"/>
    <col min="5899" max="5899" width="9" style="1"/>
    <col min="5900" max="5900" width="17.19921875" style="1" customWidth="1"/>
    <col min="5901" max="5903" width="6.5" style="1" customWidth="1"/>
    <col min="5904" max="5904" width="12.69921875" style="1" customWidth="1"/>
    <col min="5905" max="5905" width="12" style="1" customWidth="1"/>
    <col min="5906" max="5906" width="19.69921875" style="1" customWidth="1"/>
    <col min="5907" max="6144" width="9" style="1"/>
    <col min="6145" max="6145" width="5" style="1" customWidth="1"/>
    <col min="6146" max="6146" width="21.8984375" style="1" customWidth="1"/>
    <col min="6147" max="6148" width="23.59765625" style="1" customWidth="1"/>
    <col min="6149" max="6149" width="18.19921875" style="1" customWidth="1"/>
    <col min="6150" max="6150" width="5.19921875" style="1" bestFit="1" customWidth="1"/>
    <col min="6151" max="6151" width="9" style="1"/>
    <col min="6152" max="6152" width="11.8984375" style="1" customWidth="1"/>
    <col min="6153" max="6154" width="13.59765625" style="1" customWidth="1"/>
    <col min="6155" max="6155" width="9" style="1"/>
    <col min="6156" max="6156" width="17.19921875" style="1" customWidth="1"/>
    <col min="6157" max="6159" width="6.5" style="1" customWidth="1"/>
    <col min="6160" max="6160" width="12.69921875" style="1" customWidth="1"/>
    <col min="6161" max="6161" width="12" style="1" customWidth="1"/>
    <col min="6162" max="6162" width="19.69921875" style="1" customWidth="1"/>
    <col min="6163" max="6400" width="9" style="1"/>
    <col min="6401" max="6401" width="5" style="1" customWidth="1"/>
    <col min="6402" max="6402" width="21.8984375" style="1" customWidth="1"/>
    <col min="6403" max="6404" width="23.59765625" style="1" customWidth="1"/>
    <col min="6405" max="6405" width="18.19921875" style="1" customWidth="1"/>
    <col min="6406" max="6406" width="5.19921875" style="1" bestFit="1" customWidth="1"/>
    <col min="6407" max="6407" width="9" style="1"/>
    <col min="6408" max="6408" width="11.8984375" style="1" customWidth="1"/>
    <col min="6409" max="6410" width="13.59765625" style="1" customWidth="1"/>
    <col min="6411" max="6411" width="9" style="1"/>
    <col min="6412" max="6412" width="17.19921875" style="1" customWidth="1"/>
    <col min="6413" max="6415" width="6.5" style="1" customWidth="1"/>
    <col min="6416" max="6416" width="12.69921875" style="1" customWidth="1"/>
    <col min="6417" max="6417" width="12" style="1" customWidth="1"/>
    <col min="6418" max="6418" width="19.69921875" style="1" customWidth="1"/>
    <col min="6419" max="6656" width="9" style="1"/>
    <col min="6657" max="6657" width="5" style="1" customWidth="1"/>
    <col min="6658" max="6658" width="21.8984375" style="1" customWidth="1"/>
    <col min="6659" max="6660" width="23.59765625" style="1" customWidth="1"/>
    <col min="6661" max="6661" width="18.19921875" style="1" customWidth="1"/>
    <col min="6662" max="6662" width="5.19921875" style="1" bestFit="1" customWidth="1"/>
    <col min="6663" max="6663" width="9" style="1"/>
    <col min="6664" max="6664" width="11.8984375" style="1" customWidth="1"/>
    <col min="6665" max="6666" width="13.59765625" style="1" customWidth="1"/>
    <col min="6667" max="6667" width="9" style="1"/>
    <col min="6668" max="6668" width="17.19921875" style="1" customWidth="1"/>
    <col min="6669" max="6671" width="6.5" style="1" customWidth="1"/>
    <col min="6672" max="6672" width="12.69921875" style="1" customWidth="1"/>
    <col min="6673" max="6673" width="12" style="1" customWidth="1"/>
    <col min="6674" max="6674" width="19.69921875" style="1" customWidth="1"/>
    <col min="6675" max="6912" width="9" style="1"/>
    <col min="6913" max="6913" width="5" style="1" customWidth="1"/>
    <col min="6914" max="6914" width="21.8984375" style="1" customWidth="1"/>
    <col min="6915" max="6916" width="23.59765625" style="1" customWidth="1"/>
    <col min="6917" max="6917" width="18.19921875" style="1" customWidth="1"/>
    <col min="6918" max="6918" width="5.19921875" style="1" bestFit="1" customWidth="1"/>
    <col min="6919" max="6919" width="9" style="1"/>
    <col min="6920" max="6920" width="11.8984375" style="1" customWidth="1"/>
    <col min="6921" max="6922" width="13.59765625" style="1" customWidth="1"/>
    <col min="6923" max="6923" width="9" style="1"/>
    <col min="6924" max="6924" width="17.19921875" style="1" customWidth="1"/>
    <col min="6925" max="6927" width="6.5" style="1" customWidth="1"/>
    <col min="6928" max="6928" width="12.69921875" style="1" customWidth="1"/>
    <col min="6929" max="6929" width="12" style="1" customWidth="1"/>
    <col min="6930" max="6930" width="19.69921875" style="1" customWidth="1"/>
    <col min="6931" max="7168" width="9" style="1"/>
    <col min="7169" max="7169" width="5" style="1" customWidth="1"/>
    <col min="7170" max="7170" width="21.8984375" style="1" customWidth="1"/>
    <col min="7171" max="7172" width="23.59765625" style="1" customWidth="1"/>
    <col min="7173" max="7173" width="18.19921875" style="1" customWidth="1"/>
    <col min="7174" max="7174" width="5.19921875" style="1" bestFit="1" customWidth="1"/>
    <col min="7175" max="7175" width="9" style="1"/>
    <col min="7176" max="7176" width="11.8984375" style="1" customWidth="1"/>
    <col min="7177" max="7178" width="13.59765625" style="1" customWidth="1"/>
    <col min="7179" max="7179" width="9" style="1"/>
    <col min="7180" max="7180" width="17.19921875" style="1" customWidth="1"/>
    <col min="7181" max="7183" width="6.5" style="1" customWidth="1"/>
    <col min="7184" max="7184" width="12.69921875" style="1" customWidth="1"/>
    <col min="7185" max="7185" width="12" style="1" customWidth="1"/>
    <col min="7186" max="7186" width="19.69921875" style="1" customWidth="1"/>
    <col min="7187" max="7424" width="9" style="1"/>
    <col min="7425" max="7425" width="5" style="1" customWidth="1"/>
    <col min="7426" max="7426" width="21.8984375" style="1" customWidth="1"/>
    <col min="7427" max="7428" width="23.59765625" style="1" customWidth="1"/>
    <col min="7429" max="7429" width="18.19921875" style="1" customWidth="1"/>
    <col min="7430" max="7430" width="5.19921875" style="1" bestFit="1" customWidth="1"/>
    <col min="7431" max="7431" width="9" style="1"/>
    <col min="7432" max="7432" width="11.8984375" style="1" customWidth="1"/>
    <col min="7433" max="7434" width="13.59765625" style="1" customWidth="1"/>
    <col min="7435" max="7435" width="9" style="1"/>
    <col min="7436" max="7436" width="17.19921875" style="1" customWidth="1"/>
    <col min="7437" max="7439" width="6.5" style="1" customWidth="1"/>
    <col min="7440" max="7440" width="12.69921875" style="1" customWidth="1"/>
    <col min="7441" max="7441" width="12" style="1" customWidth="1"/>
    <col min="7442" max="7442" width="19.69921875" style="1" customWidth="1"/>
    <col min="7443" max="7680" width="9" style="1"/>
    <col min="7681" max="7681" width="5" style="1" customWidth="1"/>
    <col min="7682" max="7682" width="21.8984375" style="1" customWidth="1"/>
    <col min="7683" max="7684" width="23.59765625" style="1" customWidth="1"/>
    <col min="7685" max="7685" width="18.19921875" style="1" customWidth="1"/>
    <col min="7686" max="7686" width="5.19921875" style="1" bestFit="1" customWidth="1"/>
    <col min="7687" max="7687" width="9" style="1"/>
    <col min="7688" max="7688" width="11.8984375" style="1" customWidth="1"/>
    <col min="7689" max="7690" width="13.59765625" style="1" customWidth="1"/>
    <col min="7691" max="7691" width="9" style="1"/>
    <col min="7692" max="7692" width="17.19921875" style="1" customWidth="1"/>
    <col min="7693" max="7695" width="6.5" style="1" customWidth="1"/>
    <col min="7696" max="7696" width="12.69921875" style="1" customWidth="1"/>
    <col min="7697" max="7697" width="12" style="1" customWidth="1"/>
    <col min="7698" max="7698" width="19.69921875" style="1" customWidth="1"/>
    <col min="7699" max="7936" width="9" style="1"/>
    <col min="7937" max="7937" width="5" style="1" customWidth="1"/>
    <col min="7938" max="7938" width="21.8984375" style="1" customWidth="1"/>
    <col min="7939" max="7940" width="23.59765625" style="1" customWidth="1"/>
    <col min="7941" max="7941" width="18.19921875" style="1" customWidth="1"/>
    <col min="7942" max="7942" width="5.19921875" style="1" bestFit="1" customWidth="1"/>
    <col min="7943" max="7943" width="9" style="1"/>
    <col min="7944" max="7944" width="11.8984375" style="1" customWidth="1"/>
    <col min="7945" max="7946" width="13.59765625" style="1" customWidth="1"/>
    <col min="7947" max="7947" width="9" style="1"/>
    <col min="7948" max="7948" width="17.19921875" style="1" customWidth="1"/>
    <col min="7949" max="7951" width="6.5" style="1" customWidth="1"/>
    <col min="7952" max="7952" width="12.69921875" style="1" customWidth="1"/>
    <col min="7953" max="7953" width="12" style="1" customWidth="1"/>
    <col min="7954" max="7954" width="19.69921875" style="1" customWidth="1"/>
    <col min="7955" max="8192" width="9" style="1"/>
    <col min="8193" max="8193" width="5" style="1" customWidth="1"/>
    <col min="8194" max="8194" width="21.8984375" style="1" customWidth="1"/>
    <col min="8195" max="8196" width="23.59765625" style="1" customWidth="1"/>
    <col min="8197" max="8197" width="18.19921875" style="1" customWidth="1"/>
    <col min="8198" max="8198" width="5.19921875" style="1" bestFit="1" customWidth="1"/>
    <col min="8199" max="8199" width="9" style="1"/>
    <col min="8200" max="8200" width="11.8984375" style="1" customWidth="1"/>
    <col min="8201" max="8202" width="13.59765625" style="1" customWidth="1"/>
    <col min="8203" max="8203" width="9" style="1"/>
    <col min="8204" max="8204" width="17.19921875" style="1" customWidth="1"/>
    <col min="8205" max="8207" width="6.5" style="1" customWidth="1"/>
    <col min="8208" max="8208" width="12.69921875" style="1" customWidth="1"/>
    <col min="8209" max="8209" width="12" style="1" customWidth="1"/>
    <col min="8210" max="8210" width="19.69921875" style="1" customWidth="1"/>
    <col min="8211" max="8448" width="9" style="1"/>
    <col min="8449" max="8449" width="5" style="1" customWidth="1"/>
    <col min="8450" max="8450" width="21.8984375" style="1" customWidth="1"/>
    <col min="8451" max="8452" width="23.59765625" style="1" customWidth="1"/>
    <col min="8453" max="8453" width="18.19921875" style="1" customWidth="1"/>
    <col min="8454" max="8454" width="5.19921875" style="1" bestFit="1" customWidth="1"/>
    <col min="8455" max="8455" width="9" style="1"/>
    <col min="8456" max="8456" width="11.8984375" style="1" customWidth="1"/>
    <col min="8457" max="8458" width="13.59765625" style="1" customWidth="1"/>
    <col min="8459" max="8459" width="9" style="1"/>
    <col min="8460" max="8460" width="17.19921875" style="1" customWidth="1"/>
    <col min="8461" max="8463" width="6.5" style="1" customWidth="1"/>
    <col min="8464" max="8464" width="12.69921875" style="1" customWidth="1"/>
    <col min="8465" max="8465" width="12" style="1" customWidth="1"/>
    <col min="8466" max="8466" width="19.69921875" style="1" customWidth="1"/>
    <col min="8467" max="8704" width="9" style="1"/>
    <col min="8705" max="8705" width="5" style="1" customWidth="1"/>
    <col min="8706" max="8706" width="21.8984375" style="1" customWidth="1"/>
    <col min="8707" max="8708" width="23.59765625" style="1" customWidth="1"/>
    <col min="8709" max="8709" width="18.19921875" style="1" customWidth="1"/>
    <col min="8710" max="8710" width="5.19921875" style="1" bestFit="1" customWidth="1"/>
    <col min="8711" max="8711" width="9" style="1"/>
    <col min="8712" max="8712" width="11.8984375" style="1" customWidth="1"/>
    <col min="8713" max="8714" width="13.59765625" style="1" customWidth="1"/>
    <col min="8715" max="8715" width="9" style="1"/>
    <col min="8716" max="8716" width="17.19921875" style="1" customWidth="1"/>
    <col min="8717" max="8719" width="6.5" style="1" customWidth="1"/>
    <col min="8720" max="8720" width="12.69921875" style="1" customWidth="1"/>
    <col min="8721" max="8721" width="12" style="1" customWidth="1"/>
    <col min="8722" max="8722" width="19.69921875" style="1" customWidth="1"/>
    <col min="8723" max="8960" width="9" style="1"/>
    <col min="8961" max="8961" width="5" style="1" customWidth="1"/>
    <col min="8962" max="8962" width="21.8984375" style="1" customWidth="1"/>
    <col min="8963" max="8964" width="23.59765625" style="1" customWidth="1"/>
    <col min="8965" max="8965" width="18.19921875" style="1" customWidth="1"/>
    <col min="8966" max="8966" width="5.19921875" style="1" bestFit="1" customWidth="1"/>
    <col min="8967" max="8967" width="9" style="1"/>
    <col min="8968" max="8968" width="11.8984375" style="1" customWidth="1"/>
    <col min="8969" max="8970" width="13.59765625" style="1" customWidth="1"/>
    <col min="8971" max="8971" width="9" style="1"/>
    <col min="8972" max="8972" width="17.19921875" style="1" customWidth="1"/>
    <col min="8973" max="8975" width="6.5" style="1" customWidth="1"/>
    <col min="8976" max="8976" width="12.69921875" style="1" customWidth="1"/>
    <col min="8977" max="8977" width="12" style="1" customWidth="1"/>
    <col min="8978" max="8978" width="19.69921875" style="1" customWidth="1"/>
    <col min="8979" max="9216" width="9" style="1"/>
    <col min="9217" max="9217" width="5" style="1" customWidth="1"/>
    <col min="9218" max="9218" width="21.8984375" style="1" customWidth="1"/>
    <col min="9219" max="9220" width="23.59765625" style="1" customWidth="1"/>
    <col min="9221" max="9221" width="18.19921875" style="1" customWidth="1"/>
    <col min="9222" max="9222" width="5.19921875" style="1" bestFit="1" customWidth="1"/>
    <col min="9223" max="9223" width="9" style="1"/>
    <col min="9224" max="9224" width="11.8984375" style="1" customWidth="1"/>
    <col min="9225" max="9226" width="13.59765625" style="1" customWidth="1"/>
    <col min="9227" max="9227" width="9" style="1"/>
    <col min="9228" max="9228" width="17.19921875" style="1" customWidth="1"/>
    <col min="9229" max="9231" width="6.5" style="1" customWidth="1"/>
    <col min="9232" max="9232" width="12.69921875" style="1" customWidth="1"/>
    <col min="9233" max="9233" width="12" style="1" customWidth="1"/>
    <col min="9234" max="9234" width="19.69921875" style="1" customWidth="1"/>
    <col min="9235" max="9472" width="9" style="1"/>
    <col min="9473" max="9473" width="5" style="1" customWidth="1"/>
    <col min="9474" max="9474" width="21.8984375" style="1" customWidth="1"/>
    <col min="9475" max="9476" width="23.59765625" style="1" customWidth="1"/>
    <col min="9477" max="9477" width="18.19921875" style="1" customWidth="1"/>
    <col min="9478" max="9478" width="5.19921875" style="1" bestFit="1" customWidth="1"/>
    <col min="9479" max="9479" width="9" style="1"/>
    <col min="9480" max="9480" width="11.8984375" style="1" customWidth="1"/>
    <col min="9481" max="9482" width="13.59765625" style="1" customWidth="1"/>
    <col min="9483" max="9483" width="9" style="1"/>
    <col min="9484" max="9484" width="17.19921875" style="1" customWidth="1"/>
    <col min="9485" max="9487" width="6.5" style="1" customWidth="1"/>
    <col min="9488" max="9488" width="12.69921875" style="1" customWidth="1"/>
    <col min="9489" max="9489" width="12" style="1" customWidth="1"/>
    <col min="9490" max="9490" width="19.69921875" style="1" customWidth="1"/>
    <col min="9491" max="9728" width="9" style="1"/>
    <col min="9729" max="9729" width="5" style="1" customWidth="1"/>
    <col min="9730" max="9730" width="21.8984375" style="1" customWidth="1"/>
    <col min="9731" max="9732" width="23.59765625" style="1" customWidth="1"/>
    <col min="9733" max="9733" width="18.19921875" style="1" customWidth="1"/>
    <col min="9734" max="9734" width="5.19921875" style="1" bestFit="1" customWidth="1"/>
    <col min="9735" max="9735" width="9" style="1"/>
    <col min="9736" max="9736" width="11.8984375" style="1" customWidth="1"/>
    <col min="9737" max="9738" width="13.59765625" style="1" customWidth="1"/>
    <col min="9739" max="9739" width="9" style="1"/>
    <col min="9740" max="9740" width="17.19921875" style="1" customWidth="1"/>
    <col min="9741" max="9743" width="6.5" style="1" customWidth="1"/>
    <col min="9744" max="9744" width="12.69921875" style="1" customWidth="1"/>
    <col min="9745" max="9745" width="12" style="1" customWidth="1"/>
    <col min="9746" max="9746" width="19.69921875" style="1" customWidth="1"/>
    <col min="9747" max="9984" width="9" style="1"/>
    <col min="9985" max="9985" width="5" style="1" customWidth="1"/>
    <col min="9986" max="9986" width="21.8984375" style="1" customWidth="1"/>
    <col min="9987" max="9988" width="23.59765625" style="1" customWidth="1"/>
    <col min="9989" max="9989" width="18.19921875" style="1" customWidth="1"/>
    <col min="9990" max="9990" width="5.19921875" style="1" bestFit="1" customWidth="1"/>
    <col min="9991" max="9991" width="9" style="1"/>
    <col min="9992" max="9992" width="11.8984375" style="1" customWidth="1"/>
    <col min="9993" max="9994" width="13.59765625" style="1" customWidth="1"/>
    <col min="9995" max="9995" width="9" style="1"/>
    <col min="9996" max="9996" width="17.19921875" style="1" customWidth="1"/>
    <col min="9997" max="9999" width="6.5" style="1" customWidth="1"/>
    <col min="10000" max="10000" width="12.69921875" style="1" customWidth="1"/>
    <col min="10001" max="10001" width="12" style="1" customWidth="1"/>
    <col min="10002" max="10002" width="19.69921875" style="1" customWidth="1"/>
    <col min="10003" max="10240" width="9" style="1"/>
    <col min="10241" max="10241" width="5" style="1" customWidth="1"/>
    <col min="10242" max="10242" width="21.8984375" style="1" customWidth="1"/>
    <col min="10243" max="10244" width="23.59765625" style="1" customWidth="1"/>
    <col min="10245" max="10245" width="18.19921875" style="1" customWidth="1"/>
    <col min="10246" max="10246" width="5.19921875" style="1" bestFit="1" customWidth="1"/>
    <col min="10247" max="10247" width="9" style="1"/>
    <col min="10248" max="10248" width="11.8984375" style="1" customWidth="1"/>
    <col min="10249" max="10250" width="13.59765625" style="1" customWidth="1"/>
    <col min="10251" max="10251" width="9" style="1"/>
    <col min="10252" max="10252" width="17.19921875" style="1" customWidth="1"/>
    <col min="10253" max="10255" width="6.5" style="1" customWidth="1"/>
    <col min="10256" max="10256" width="12.69921875" style="1" customWidth="1"/>
    <col min="10257" max="10257" width="12" style="1" customWidth="1"/>
    <col min="10258" max="10258" width="19.69921875" style="1" customWidth="1"/>
    <col min="10259" max="10496" width="9" style="1"/>
    <col min="10497" max="10497" width="5" style="1" customWidth="1"/>
    <col min="10498" max="10498" width="21.8984375" style="1" customWidth="1"/>
    <col min="10499" max="10500" width="23.59765625" style="1" customWidth="1"/>
    <col min="10501" max="10501" width="18.19921875" style="1" customWidth="1"/>
    <col min="10502" max="10502" width="5.19921875" style="1" bestFit="1" customWidth="1"/>
    <col min="10503" max="10503" width="9" style="1"/>
    <col min="10504" max="10504" width="11.8984375" style="1" customWidth="1"/>
    <col min="10505" max="10506" width="13.59765625" style="1" customWidth="1"/>
    <col min="10507" max="10507" width="9" style="1"/>
    <col min="10508" max="10508" width="17.19921875" style="1" customWidth="1"/>
    <col min="10509" max="10511" width="6.5" style="1" customWidth="1"/>
    <col min="10512" max="10512" width="12.69921875" style="1" customWidth="1"/>
    <col min="10513" max="10513" width="12" style="1" customWidth="1"/>
    <col min="10514" max="10514" width="19.69921875" style="1" customWidth="1"/>
    <col min="10515" max="10752" width="9" style="1"/>
    <col min="10753" max="10753" width="5" style="1" customWidth="1"/>
    <col min="10754" max="10754" width="21.8984375" style="1" customWidth="1"/>
    <col min="10755" max="10756" width="23.59765625" style="1" customWidth="1"/>
    <col min="10757" max="10757" width="18.19921875" style="1" customWidth="1"/>
    <col min="10758" max="10758" width="5.19921875" style="1" bestFit="1" customWidth="1"/>
    <col min="10759" max="10759" width="9" style="1"/>
    <col min="10760" max="10760" width="11.8984375" style="1" customWidth="1"/>
    <col min="10761" max="10762" width="13.59765625" style="1" customWidth="1"/>
    <col min="10763" max="10763" width="9" style="1"/>
    <col min="10764" max="10764" width="17.19921875" style="1" customWidth="1"/>
    <col min="10765" max="10767" width="6.5" style="1" customWidth="1"/>
    <col min="10768" max="10768" width="12.69921875" style="1" customWidth="1"/>
    <col min="10769" max="10769" width="12" style="1" customWidth="1"/>
    <col min="10770" max="10770" width="19.69921875" style="1" customWidth="1"/>
    <col min="10771" max="11008" width="9" style="1"/>
    <col min="11009" max="11009" width="5" style="1" customWidth="1"/>
    <col min="11010" max="11010" width="21.8984375" style="1" customWidth="1"/>
    <col min="11011" max="11012" width="23.59765625" style="1" customWidth="1"/>
    <col min="11013" max="11013" width="18.19921875" style="1" customWidth="1"/>
    <col min="11014" max="11014" width="5.19921875" style="1" bestFit="1" customWidth="1"/>
    <col min="11015" max="11015" width="9" style="1"/>
    <col min="11016" max="11016" width="11.8984375" style="1" customWidth="1"/>
    <col min="11017" max="11018" width="13.59765625" style="1" customWidth="1"/>
    <col min="11019" max="11019" width="9" style="1"/>
    <col min="11020" max="11020" width="17.19921875" style="1" customWidth="1"/>
    <col min="11021" max="11023" width="6.5" style="1" customWidth="1"/>
    <col min="11024" max="11024" width="12.69921875" style="1" customWidth="1"/>
    <col min="11025" max="11025" width="12" style="1" customWidth="1"/>
    <col min="11026" max="11026" width="19.69921875" style="1" customWidth="1"/>
    <col min="11027" max="11264" width="9" style="1"/>
    <col min="11265" max="11265" width="5" style="1" customWidth="1"/>
    <col min="11266" max="11266" width="21.8984375" style="1" customWidth="1"/>
    <col min="11267" max="11268" width="23.59765625" style="1" customWidth="1"/>
    <col min="11269" max="11269" width="18.19921875" style="1" customWidth="1"/>
    <col min="11270" max="11270" width="5.19921875" style="1" bestFit="1" customWidth="1"/>
    <col min="11271" max="11271" width="9" style="1"/>
    <col min="11272" max="11272" width="11.8984375" style="1" customWidth="1"/>
    <col min="11273" max="11274" width="13.59765625" style="1" customWidth="1"/>
    <col min="11275" max="11275" width="9" style="1"/>
    <col min="11276" max="11276" width="17.19921875" style="1" customWidth="1"/>
    <col min="11277" max="11279" width="6.5" style="1" customWidth="1"/>
    <col min="11280" max="11280" width="12.69921875" style="1" customWidth="1"/>
    <col min="11281" max="11281" width="12" style="1" customWidth="1"/>
    <col min="11282" max="11282" width="19.69921875" style="1" customWidth="1"/>
    <col min="11283" max="11520" width="9" style="1"/>
    <col min="11521" max="11521" width="5" style="1" customWidth="1"/>
    <col min="11522" max="11522" width="21.8984375" style="1" customWidth="1"/>
    <col min="11523" max="11524" width="23.59765625" style="1" customWidth="1"/>
    <col min="11525" max="11525" width="18.19921875" style="1" customWidth="1"/>
    <col min="11526" max="11526" width="5.19921875" style="1" bestFit="1" customWidth="1"/>
    <col min="11527" max="11527" width="9" style="1"/>
    <col min="11528" max="11528" width="11.8984375" style="1" customWidth="1"/>
    <col min="11529" max="11530" width="13.59765625" style="1" customWidth="1"/>
    <col min="11531" max="11531" width="9" style="1"/>
    <col min="11532" max="11532" width="17.19921875" style="1" customWidth="1"/>
    <col min="11533" max="11535" width="6.5" style="1" customWidth="1"/>
    <col min="11536" max="11536" width="12.69921875" style="1" customWidth="1"/>
    <col min="11537" max="11537" width="12" style="1" customWidth="1"/>
    <col min="11538" max="11538" width="19.69921875" style="1" customWidth="1"/>
    <col min="11539" max="11776" width="9" style="1"/>
    <col min="11777" max="11777" width="5" style="1" customWidth="1"/>
    <col min="11778" max="11778" width="21.8984375" style="1" customWidth="1"/>
    <col min="11779" max="11780" width="23.59765625" style="1" customWidth="1"/>
    <col min="11781" max="11781" width="18.19921875" style="1" customWidth="1"/>
    <col min="11782" max="11782" width="5.19921875" style="1" bestFit="1" customWidth="1"/>
    <col min="11783" max="11783" width="9" style="1"/>
    <col min="11784" max="11784" width="11.8984375" style="1" customWidth="1"/>
    <col min="11785" max="11786" width="13.59765625" style="1" customWidth="1"/>
    <col min="11787" max="11787" width="9" style="1"/>
    <col min="11788" max="11788" width="17.19921875" style="1" customWidth="1"/>
    <col min="11789" max="11791" width="6.5" style="1" customWidth="1"/>
    <col min="11792" max="11792" width="12.69921875" style="1" customWidth="1"/>
    <col min="11793" max="11793" width="12" style="1" customWidth="1"/>
    <col min="11794" max="11794" width="19.69921875" style="1" customWidth="1"/>
    <col min="11795" max="12032" width="9" style="1"/>
    <col min="12033" max="12033" width="5" style="1" customWidth="1"/>
    <col min="12034" max="12034" width="21.8984375" style="1" customWidth="1"/>
    <col min="12035" max="12036" width="23.59765625" style="1" customWidth="1"/>
    <col min="12037" max="12037" width="18.19921875" style="1" customWidth="1"/>
    <col min="12038" max="12038" width="5.19921875" style="1" bestFit="1" customWidth="1"/>
    <col min="12039" max="12039" width="9" style="1"/>
    <col min="12040" max="12040" width="11.8984375" style="1" customWidth="1"/>
    <col min="12041" max="12042" width="13.59765625" style="1" customWidth="1"/>
    <col min="12043" max="12043" width="9" style="1"/>
    <col min="12044" max="12044" width="17.19921875" style="1" customWidth="1"/>
    <col min="12045" max="12047" width="6.5" style="1" customWidth="1"/>
    <col min="12048" max="12048" width="12.69921875" style="1" customWidth="1"/>
    <col min="12049" max="12049" width="12" style="1" customWidth="1"/>
    <col min="12050" max="12050" width="19.69921875" style="1" customWidth="1"/>
    <col min="12051" max="12288" width="9" style="1"/>
    <col min="12289" max="12289" width="5" style="1" customWidth="1"/>
    <col min="12290" max="12290" width="21.8984375" style="1" customWidth="1"/>
    <col min="12291" max="12292" width="23.59765625" style="1" customWidth="1"/>
    <col min="12293" max="12293" width="18.19921875" style="1" customWidth="1"/>
    <col min="12294" max="12294" width="5.19921875" style="1" bestFit="1" customWidth="1"/>
    <col min="12295" max="12295" width="9" style="1"/>
    <col min="12296" max="12296" width="11.8984375" style="1" customWidth="1"/>
    <col min="12297" max="12298" width="13.59765625" style="1" customWidth="1"/>
    <col min="12299" max="12299" width="9" style="1"/>
    <col min="12300" max="12300" width="17.19921875" style="1" customWidth="1"/>
    <col min="12301" max="12303" width="6.5" style="1" customWidth="1"/>
    <col min="12304" max="12304" width="12.69921875" style="1" customWidth="1"/>
    <col min="12305" max="12305" width="12" style="1" customWidth="1"/>
    <col min="12306" max="12306" width="19.69921875" style="1" customWidth="1"/>
    <col min="12307" max="12544" width="9" style="1"/>
    <col min="12545" max="12545" width="5" style="1" customWidth="1"/>
    <col min="12546" max="12546" width="21.8984375" style="1" customWidth="1"/>
    <col min="12547" max="12548" width="23.59765625" style="1" customWidth="1"/>
    <col min="12549" max="12549" width="18.19921875" style="1" customWidth="1"/>
    <col min="12550" max="12550" width="5.19921875" style="1" bestFit="1" customWidth="1"/>
    <col min="12551" max="12551" width="9" style="1"/>
    <col min="12552" max="12552" width="11.8984375" style="1" customWidth="1"/>
    <col min="12553" max="12554" width="13.59765625" style="1" customWidth="1"/>
    <col min="12555" max="12555" width="9" style="1"/>
    <col min="12556" max="12556" width="17.19921875" style="1" customWidth="1"/>
    <col min="12557" max="12559" width="6.5" style="1" customWidth="1"/>
    <col min="12560" max="12560" width="12.69921875" style="1" customWidth="1"/>
    <col min="12561" max="12561" width="12" style="1" customWidth="1"/>
    <col min="12562" max="12562" width="19.69921875" style="1" customWidth="1"/>
    <col min="12563" max="12800" width="9" style="1"/>
    <col min="12801" max="12801" width="5" style="1" customWidth="1"/>
    <col min="12802" max="12802" width="21.8984375" style="1" customWidth="1"/>
    <col min="12803" max="12804" width="23.59765625" style="1" customWidth="1"/>
    <col min="12805" max="12805" width="18.19921875" style="1" customWidth="1"/>
    <col min="12806" max="12806" width="5.19921875" style="1" bestFit="1" customWidth="1"/>
    <col min="12807" max="12807" width="9" style="1"/>
    <col min="12808" max="12808" width="11.8984375" style="1" customWidth="1"/>
    <col min="12809" max="12810" width="13.59765625" style="1" customWidth="1"/>
    <col min="12811" max="12811" width="9" style="1"/>
    <col min="12812" max="12812" width="17.19921875" style="1" customWidth="1"/>
    <col min="12813" max="12815" width="6.5" style="1" customWidth="1"/>
    <col min="12816" max="12816" width="12.69921875" style="1" customWidth="1"/>
    <col min="12817" max="12817" width="12" style="1" customWidth="1"/>
    <col min="12818" max="12818" width="19.69921875" style="1" customWidth="1"/>
    <col min="12819" max="13056" width="9" style="1"/>
    <col min="13057" max="13057" width="5" style="1" customWidth="1"/>
    <col min="13058" max="13058" width="21.8984375" style="1" customWidth="1"/>
    <col min="13059" max="13060" width="23.59765625" style="1" customWidth="1"/>
    <col min="13061" max="13061" width="18.19921875" style="1" customWidth="1"/>
    <col min="13062" max="13062" width="5.19921875" style="1" bestFit="1" customWidth="1"/>
    <col min="13063" max="13063" width="9" style="1"/>
    <col min="13064" max="13064" width="11.8984375" style="1" customWidth="1"/>
    <col min="13065" max="13066" width="13.59765625" style="1" customWidth="1"/>
    <col min="13067" max="13067" width="9" style="1"/>
    <col min="13068" max="13068" width="17.19921875" style="1" customWidth="1"/>
    <col min="13069" max="13071" width="6.5" style="1" customWidth="1"/>
    <col min="13072" max="13072" width="12.69921875" style="1" customWidth="1"/>
    <col min="13073" max="13073" width="12" style="1" customWidth="1"/>
    <col min="13074" max="13074" width="19.69921875" style="1" customWidth="1"/>
    <col min="13075" max="13312" width="9" style="1"/>
    <col min="13313" max="13313" width="5" style="1" customWidth="1"/>
    <col min="13314" max="13314" width="21.8984375" style="1" customWidth="1"/>
    <col min="13315" max="13316" width="23.59765625" style="1" customWidth="1"/>
    <col min="13317" max="13317" width="18.19921875" style="1" customWidth="1"/>
    <col min="13318" max="13318" width="5.19921875" style="1" bestFit="1" customWidth="1"/>
    <col min="13319" max="13319" width="9" style="1"/>
    <col min="13320" max="13320" width="11.8984375" style="1" customWidth="1"/>
    <col min="13321" max="13322" width="13.59765625" style="1" customWidth="1"/>
    <col min="13323" max="13323" width="9" style="1"/>
    <col min="13324" max="13324" width="17.19921875" style="1" customWidth="1"/>
    <col min="13325" max="13327" width="6.5" style="1" customWidth="1"/>
    <col min="13328" max="13328" width="12.69921875" style="1" customWidth="1"/>
    <col min="13329" max="13329" width="12" style="1" customWidth="1"/>
    <col min="13330" max="13330" width="19.69921875" style="1" customWidth="1"/>
    <col min="13331" max="13568" width="9" style="1"/>
    <col min="13569" max="13569" width="5" style="1" customWidth="1"/>
    <col min="13570" max="13570" width="21.8984375" style="1" customWidth="1"/>
    <col min="13571" max="13572" width="23.59765625" style="1" customWidth="1"/>
    <col min="13573" max="13573" width="18.19921875" style="1" customWidth="1"/>
    <col min="13574" max="13574" width="5.19921875" style="1" bestFit="1" customWidth="1"/>
    <col min="13575" max="13575" width="9" style="1"/>
    <col min="13576" max="13576" width="11.8984375" style="1" customWidth="1"/>
    <col min="13577" max="13578" width="13.59765625" style="1" customWidth="1"/>
    <col min="13579" max="13579" width="9" style="1"/>
    <col min="13580" max="13580" width="17.19921875" style="1" customWidth="1"/>
    <col min="13581" max="13583" width="6.5" style="1" customWidth="1"/>
    <col min="13584" max="13584" width="12.69921875" style="1" customWidth="1"/>
    <col min="13585" max="13585" width="12" style="1" customWidth="1"/>
    <col min="13586" max="13586" width="19.69921875" style="1" customWidth="1"/>
    <col min="13587" max="13824" width="9" style="1"/>
    <col min="13825" max="13825" width="5" style="1" customWidth="1"/>
    <col min="13826" max="13826" width="21.8984375" style="1" customWidth="1"/>
    <col min="13827" max="13828" width="23.59765625" style="1" customWidth="1"/>
    <col min="13829" max="13829" width="18.19921875" style="1" customWidth="1"/>
    <col min="13830" max="13830" width="5.19921875" style="1" bestFit="1" customWidth="1"/>
    <col min="13831" max="13831" width="9" style="1"/>
    <col min="13832" max="13832" width="11.8984375" style="1" customWidth="1"/>
    <col min="13833" max="13834" width="13.59765625" style="1" customWidth="1"/>
    <col min="13835" max="13835" width="9" style="1"/>
    <col min="13836" max="13836" width="17.19921875" style="1" customWidth="1"/>
    <col min="13837" max="13839" width="6.5" style="1" customWidth="1"/>
    <col min="13840" max="13840" width="12.69921875" style="1" customWidth="1"/>
    <col min="13841" max="13841" width="12" style="1" customWidth="1"/>
    <col min="13842" max="13842" width="19.69921875" style="1" customWidth="1"/>
    <col min="13843" max="14080" width="9" style="1"/>
    <col min="14081" max="14081" width="5" style="1" customWidth="1"/>
    <col min="14082" max="14082" width="21.8984375" style="1" customWidth="1"/>
    <col min="14083" max="14084" width="23.59765625" style="1" customWidth="1"/>
    <col min="14085" max="14085" width="18.19921875" style="1" customWidth="1"/>
    <col min="14086" max="14086" width="5.19921875" style="1" bestFit="1" customWidth="1"/>
    <col min="14087" max="14087" width="9" style="1"/>
    <col min="14088" max="14088" width="11.8984375" style="1" customWidth="1"/>
    <col min="14089" max="14090" width="13.59765625" style="1" customWidth="1"/>
    <col min="14091" max="14091" width="9" style="1"/>
    <col min="14092" max="14092" width="17.19921875" style="1" customWidth="1"/>
    <col min="14093" max="14095" width="6.5" style="1" customWidth="1"/>
    <col min="14096" max="14096" width="12.69921875" style="1" customWidth="1"/>
    <col min="14097" max="14097" width="12" style="1" customWidth="1"/>
    <col min="14098" max="14098" width="19.69921875" style="1" customWidth="1"/>
    <col min="14099" max="14336" width="9" style="1"/>
    <col min="14337" max="14337" width="5" style="1" customWidth="1"/>
    <col min="14338" max="14338" width="21.8984375" style="1" customWidth="1"/>
    <col min="14339" max="14340" width="23.59765625" style="1" customWidth="1"/>
    <col min="14341" max="14341" width="18.19921875" style="1" customWidth="1"/>
    <col min="14342" max="14342" width="5.19921875" style="1" bestFit="1" customWidth="1"/>
    <col min="14343" max="14343" width="9" style="1"/>
    <col min="14344" max="14344" width="11.8984375" style="1" customWidth="1"/>
    <col min="14345" max="14346" width="13.59765625" style="1" customWidth="1"/>
    <col min="14347" max="14347" width="9" style="1"/>
    <col min="14348" max="14348" width="17.19921875" style="1" customWidth="1"/>
    <col min="14349" max="14351" width="6.5" style="1" customWidth="1"/>
    <col min="14352" max="14352" width="12.69921875" style="1" customWidth="1"/>
    <col min="14353" max="14353" width="12" style="1" customWidth="1"/>
    <col min="14354" max="14354" width="19.69921875" style="1" customWidth="1"/>
    <col min="14355" max="14592" width="9" style="1"/>
    <col min="14593" max="14593" width="5" style="1" customWidth="1"/>
    <col min="14594" max="14594" width="21.8984375" style="1" customWidth="1"/>
    <col min="14595" max="14596" width="23.59765625" style="1" customWidth="1"/>
    <col min="14597" max="14597" width="18.19921875" style="1" customWidth="1"/>
    <col min="14598" max="14598" width="5.19921875" style="1" bestFit="1" customWidth="1"/>
    <col min="14599" max="14599" width="9" style="1"/>
    <col min="14600" max="14600" width="11.8984375" style="1" customWidth="1"/>
    <col min="14601" max="14602" width="13.59765625" style="1" customWidth="1"/>
    <col min="14603" max="14603" width="9" style="1"/>
    <col min="14604" max="14604" width="17.19921875" style="1" customWidth="1"/>
    <col min="14605" max="14607" width="6.5" style="1" customWidth="1"/>
    <col min="14608" max="14608" width="12.69921875" style="1" customWidth="1"/>
    <col min="14609" max="14609" width="12" style="1" customWidth="1"/>
    <col min="14610" max="14610" width="19.69921875" style="1" customWidth="1"/>
    <col min="14611" max="14848" width="9" style="1"/>
    <col min="14849" max="14849" width="5" style="1" customWidth="1"/>
    <col min="14850" max="14850" width="21.8984375" style="1" customWidth="1"/>
    <col min="14851" max="14852" width="23.59765625" style="1" customWidth="1"/>
    <col min="14853" max="14853" width="18.19921875" style="1" customWidth="1"/>
    <col min="14854" max="14854" width="5.19921875" style="1" bestFit="1" customWidth="1"/>
    <col min="14855" max="14855" width="9" style="1"/>
    <col min="14856" max="14856" width="11.8984375" style="1" customWidth="1"/>
    <col min="14857" max="14858" width="13.59765625" style="1" customWidth="1"/>
    <col min="14859" max="14859" width="9" style="1"/>
    <col min="14860" max="14860" width="17.19921875" style="1" customWidth="1"/>
    <col min="14861" max="14863" width="6.5" style="1" customWidth="1"/>
    <col min="14864" max="14864" width="12.69921875" style="1" customWidth="1"/>
    <col min="14865" max="14865" width="12" style="1" customWidth="1"/>
    <col min="14866" max="14866" width="19.69921875" style="1" customWidth="1"/>
    <col min="14867" max="15104" width="9" style="1"/>
    <col min="15105" max="15105" width="5" style="1" customWidth="1"/>
    <col min="15106" max="15106" width="21.8984375" style="1" customWidth="1"/>
    <col min="15107" max="15108" width="23.59765625" style="1" customWidth="1"/>
    <col min="15109" max="15109" width="18.19921875" style="1" customWidth="1"/>
    <col min="15110" max="15110" width="5.19921875" style="1" bestFit="1" customWidth="1"/>
    <col min="15111" max="15111" width="9" style="1"/>
    <col min="15112" max="15112" width="11.8984375" style="1" customWidth="1"/>
    <col min="15113" max="15114" width="13.59765625" style="1" customWidth="1"/>
    <col min="15115" max="15115" width="9" style="1"/>
    <col min="15116" max="15116" width="17.19921875" style="1" customWidth="1"/>
    <col min="15117" max="15119" width="6.5" style="1" customWidth="1"/>
    <col min="15120" max="15120" width="12.69921875" style="1" customWidth="1"/>
    <col min="15121" max="15121" width="12" style="1" customWidth="1"/>
    <col min="15122" max="15122" width="19.69921875" style="1" customWidth="1"/>
    <col min="15123" max="15360" width="9" style="1"/>
    <col min="15361" max="15361" width="5" style="1" customWidth="1"/>
    <col min="15362" max="15362" width="21.8984375" style="1" customWidth="1"/>
    <col min="15363" max="15364" width="23.59765625" style="1" customWidth="1"/>
    <col min="15365" max="15365" width="18.19921875" style="1" customWidth="1"/>
    <col min="15366" max="15366" width="5.19921875" style="1" bestFit="1" customWidth="1"/>
    <col min="15367" max="15367" width="9" style="1"/>
    <col min="15368" max="15368" width="11.8984375" style="1" customWidth="1"/>
    <col min="15369" max="15370" width="13.59765625" style="1" customWidth="1"/>
    <col min="15371" max="15371" width="9" style="1"/>
    <col min="15372" max="15372" width="17.19921875" style="1" customWidth="1"/>
    <col min="15373" max="15375" width="6.5" style="1" customWidth="1"/>
    <col min="15376" max="15376" width="12.69921875" style="1" customWidth="1"/>
    <col min="15377" max="15377" width="12" style="1" customWidth="1"/>
    <col min="15378" max="15378" width="19.69921875" style="1" customWidth="1"/>
    <col min="15379" max="15616" width="9" style="1"/>
    <col min="15617" max="15617" width="5" style="1" customWidth="1"/>
    <col min="15618" max="15618" width="21.8984375" style="1" customWidth="1"/>
    <col min="15619" max="15620" width="23.59765625" style="1" customWidth="1"/>
    <col min="15621" max="15621" width="18.19921875" style="1" customWidth="1"/>
    <col min="15622" max="15622" width="5.19921875" style="1" bestFit="1" customWidth="1"/>
    <col min="15623" max="15623" width="9" style="1"/>
    <col min="15624" max="15624" width="11.8984375" style="1" customWidth="1"/>
    <col min="15625" max="15626" width="13.59765625" style="1" customWidth="1"/>
    <col min="15627" max="15627" width="9" style="1"/>
    <col min="15628" max="15628" width="17.19921875" style="1" customWidth="1"/>
    <col min="15629" max="15631" width="6.5" style="1" customWidth="1"/>
    <col min="15632" max="15632" width="12.69921875" style="1" customWidth="1"/>
    <col min="15633" max="15633" width="12" style="1" customWidth="1"/>
    <col min="15634" max="15634" width="19.69921875" style="1" customWidth="1"/>
    <col min="15635" max="15872" width="9" style="1"/>
    <col min="15873" max="15873" width="5" style="1" customWidth="1"/>
    <col min="15874" max="15874" width="21.8984375" style="1" customWidth="1"/>
    <col min="15875" max="15876" width="23.59765625" style="1" customWidth="1"/>
    <col min="15877" max="15877" width="18.19921875" style="1" customWidth="1"/>
    <col min="15878" max="15878" width="5.19921875" style="1" bestFit="1" customWidth="1"/>
    <col min="15879" max="15879" width="9" style="1"/>
    <col min="15880" max="15880" width="11.8984375" style="1" customWidth="1"/>
    <col min="15881" max="15882" width="13.59765625" style="1" customWidth="1"/>
    <col min="15883" max="15883" width="9" style="1"/>
    <col min="15884" max="15884" width="17.19921875" style="1" customWidth="1"/>
    <col min="15885" max="15887" width="6.5" style="1" customWidth="1"/>
    <col min="15888" max="15888" width="12.69921875" style="1" customWidth="1"/>
    <col min="15889" max="15889" width="12" style="1" customWidth="1"/>
    <col min="15890" max="15890" width="19.69921875" style="1" customWidth="1"/>
    <col min="15891" max="16128" width="9" style="1"/>
    <col min="16129" max="16129" width="5" style="1" customWidth="1"/>
    <col min="16130" max="16130" width="21.8984375" style="1" customWidth="1"/>
    <col min="16131" max="16132" width="23.59765625" style="1" customWidth="1"/>
    <col min="16133" max="16133" width="18.19921875" style="1" customWidth="1"/>
    <col min="16134" max="16134" width="5.19921875" style="1" bestFit="1" customWidth="1"/>
    <col min="16135" max="16135" width="9" style="1"/>
    <col min="16136" max="16136" width="11.8984375" style="1" customWidth="1"/>
    <col min="16137" max="16138" width="13.59765625" style="1" customWidth="1"/>
    <col min="16139" max="16139" width="9" style="1"/>
    <col min="16140" max="16140" width="17.19921875" style="1" customWidth="1"/>
    <col min="16141" max="16143" width="6.5" style="1" customWidth="1"/>
    <col min="16144" max="16144" width="12.69921875" style="1" customWidth="1"/>
    <col min="16145" max="16145" width="12" style="1" customWidth="1"/>
    <col min="16146" max="16146" width="19.69921875" style="1" customWidth="1"/>
    <col min="16147" max="16384" width="9" style="1"/>
  </cols>
  <sheetData>
    <row r="1" spans="1:11" ht="22.5" customHeight="1" x14ac:dyDescent="0.4">
      <c r="B1" s="179" t="s">
        <v>90</v>
      </c>
      <c r="C1" s="180"/>
      <c r="D1" s="181"/>
      <c r="G1" s="271"/>
      <c r="J1" s="1" t="s">
        <v>92</v>
      </c>
    </row>
    <row r="2" spans="1:11" s="26" customFormat="1" ht="16.5" customHeight="1" x14ac:dyDescent="0.4">
      <c r="A2" s="309" t="s">
        <v>93</v>
      </c>
      <c r="B2" s="311"/>
      <c r="C2" s="182" t="s">
        <v>94</v>
      </c>
      <c r="D2" s="182"/>
      <c r="E2" s="182" t="s">
        <v>95</v>
      </c>
      <c r="F2" s="182" t="s">
        <v>48</v>
      </c>
      <c r="G2" s="183" t="s">
        <v>49</v>
      </c>
      <c r="H2" s="183" t="s">
        <v>96</v>
      </c>
      <c r="I2" s="183" t="s">
        <v>97</v>
      </c>
      <c r="J2" s="182" t="s">
        <v>98</v>
      </c>
    </row>
    <row r="3" spans="1:11" ht="15.9" customHeight="1" x14ac:dyDescent="0.4">
      <c r="A3" s="398" t="s">
        <v>244</v>
      </c>
      <c r="B3" s="184" t="s">
        <v>55</v>
      </c>
      <c r="C3" s="206" t="s">
        <v>245</v>
      </c>
      <c r="D3" s="206" t="s">
        <v>246</v>
      </c>
      <c r="E3" s="206" t="s">
        <v>247</v>
      </c>
      <c r="F3" s="207">
        <v>1</v>
      </c>
      <c r="G3" s="208">
        <v>1</v>
      </c>
      <c r="H3" s="209"/>
      <c r="I3" s="190">
        <f>IF(G3=0,H3,H3*G3)</f>
        <v>0</v>
      </c>
      <c r="J3" s="272" t="s">
        <v>248</v>
      </c>
      <c r="K3" s="273" t="s">
        <v>249</v>
      </c>
    </row>
    <row r="4" spans="1:11" ht="15.9" customHeight="1" x14ac:dyDescent="0.4">
      <c r="A4" s="398"/>
      <c r="B4" s="184"/>
      <c r="C4" s="205" t="s">
        <v>250</v>
      </c>
      <c r="D4" s="205"/>
      <c r="E4" s="206"/>
      <c r="F4" s="207"/>
      <c r="G4" s="208"/>
      <c r="H4" s="209"/>
      <c r="I4" s="190"/>
      <c r="J4" s="272"/>
    </row>
    <row r="5" spans="1:11" ht="15.9" customHeight="1" x14ac:dyDescent="0.4">
      <c r="A5" s="399"/>
      <c r="B5" s="199"/>
      <c r="C5" s="274"/>
      <c r="D5" s="274"/>
      <c r="E5" s="275"/>
      <c r="F5" s="275"/>
      <c r="G5" s="276"/>
      <c r="H5" s="276"/>
      <c r="I5" s="203">
        <f>SUM(I3:I4)</f>
        <v>0</v>
      </c>
      <c r="J5" s="275"/>
    </row>
    <row r="6" spans="1:11" ht="15.9" customHeight="1" x14ac:dyDescent="0.4">
      <c r="A6" s="399"/>
      <c r="B6" s="184" t="s">
        <v>57</v>
      </c>
      <c r="C6" s="205"/>
      <c r="D6" s="205"/>
      <c r="E6" s="206"/>
      <c r="F6" s="207"/>
      <c r="G6" s="208"/>
      <c r="H6" s="209"/>
      <c r="I6" s="210">
        <f>IF(G6=0,H6,H6*G6)</f>
        <v>0</v>
      </c>
      <c r="J6" s="277"/>
    </row>
    <row r="7" spans="1:11" ht="15.9" customHeight="1" x14ac:dyDescent="0.4">
      <c r="A7" s="399"/>
      <c r="B7" s="184" t="s">
        <v>151</v>
      </c>
      <c r="C7" s="205"/>
      <c r="D7" s="205"/>
      <c r="E7" s="206"/>
      <c r="F7" s="207"/>
      <c r="G7" s="208"/>
      <c r="H7" s="209"/>
      <c r="I7" s="150">
        <f>IF(G7=0,H7,H7*G7)</f>
        <v>0</v>
      </c>
      <c r="J7" s="277"/>
    </row>
    <row r="8" spans="1:11" ht="15.9" customHeight="1" x14ac:dyDescent="0.4">
      <c r="A8" s="399"/>
      <c r="B8" s="199"/>
      <c r="C8" s="212"/>
      <c r="D8" s="212"/>
      <c r="E8" s="213"/>
      <c r="F8" s="213"/>
      <c r="G8" s="214"/>
      <c r="H8" s="215"/>
      <c r="I8" s="203">
        <f>SUM(I6:I7)</f>
        <v>0</v>
      </c>
      <c r="J8" s="213"/>
    </row>
    <row r="9" spans="1:11" ht="15.9" customHeight="1" x14ac:dyDescent="0.4">
      <c r="A9" s="399"/>
      <c r="B9" s="217" t="s">
        <v>58</v>
      </c>
      <c r="C9" s="185"/>
      <c r="D9" s="185"/>
      <c r="E9" s="185"/>
      <c r="F9" s="187"/>
      <c r="G9" s="218"/>
      <c r="H9" s="189"/>
      <c r="I9" s="165">
        <f>IF(G9=0,H9,H9*G9)</f>
        <v>0</v>
      </c>
      <c r="J9" s="278"/>
    </row>
    <row r="10" spans="1:11" ht="15.9" customHeight="1" x14ac:dyDescent="0.4">
      <c r="A10" s="399"/>
      <c r="B10" s="184"/>
      <c r="C10" s="185"/>
      <c r="D10" s="185"/>
      <c r="E10" s="185"/>
      <c r="F10" s="187"/>
      <c r="G10" s="218"/>
      <c r="H10" s="189"/>
      <c r="I10" s="150">
        <f>IF(G10=0,H10,H10*G10)</f>
        <v>0</v>
      </c>
      <c r="J10" s="32"/>
    </row>
    <row r="11" spans="1:11" ht="15.9" customHeight="1" x14ac:dyDescent="0.4">
      <c r="A11" s="399"/>
      <c r="B11" s="199"/>
      <c r="C11" s="212"/>
      <c r="D11" s="212"/>
      <c r="E11" s="213"/>
      <c r="F11" s="213"/>
      <c r="G11" s="215"/>
      <c r="H11" s="215"/>
      <c r="I11" s="203">
        <f>SUM(I9:I10)</f>
        <v>0</v>
      </c>
      <c r="J11" s="213"/>
    </row>
    <row r="12" spans="1:11" ht="15.9" customHeight="1" x14ac:dyDescent="0.4">
      <c r="A12" s="199"/>
      <c r="B12" s="310" t="s">
        <v>153</v>
      </c>
      <c r="C12" s="310"/>
      <c r="D12" s="310"/>
      <c r="E12" s="310"/>
      <c r="F12" s="310"/>
      <c r="G12" s="310"/>
      <c r="H12" s="311"/>
      <c r="I12" s="219">
        <f>SUM(I11,I8,I5)</f>
        <v>0</v>
      </c>
      <c r="J12" s="41"/>
    </row>
    <row r="13" spans="1:11" ht="15.9" customHeight="1" x14ac:dyDescent="0.4">
      <c r="A13" s="397" t="s">
        <v>154</v>
      </c>
      <c r="B13" s="217" t="s">
        <v>80</v>
      </c>
      <c r="C13" s="220" t="s">
        <v>155</v>
      </c>
      <c r="D13" s="221" t="s">
        <v>156</v>
      </c>
      <c r="E13" s="110" t="s">
        <v>194</v>
      </c>
      <c r="F13" s="46" t="s">
        <v>217</v>
      </c>
      <c r="G13" s="222"/>
      <c r="H13" s="223"/>
      <c r="I13" s="224">
        <f t="shared" ref="I13:I46" si="0">G13*H13</f>
        <v>0</v>
      </c>
      <c r="J13" s="279"/>
    </row>
    <row r="14" spans="1:11" ht="15.9" customHeight="1" x14ac:dyDescent="0.4">
      <c r="A14" s="398"/>
      <c r="B14" s="184"/>
      <c r="C14" s="225"/>
      <c r="D14" s="221" t="s">
        <v>158</v>
      </c>
      <c r="E14" s="32" t="s">
        <v>194</v>
      </c>
      <c r="F14" s="226" t="s">
        <v>195</v>
      </c>
      <c r="G14" s="208"/>
      <c r="H14" s="209"/>
      <c r="I14" s="190">
        <f t="shared" si="0"/>
        <v>0</v>
      </c>
      <c r="J14" s="280"/>
    </row>
    <row r="15" spans="1:11" ht="15.9" customHeight="1" x14ac:dyDescent="0.4">
      <c r="A15" s="398"/>
      <c r="B15" s="184"/>
      <c r="C15" s="227"/>
      <c r="D15" s="221" t="s">
        <v>159</v>
      </c>
      <c r="E15" s="32" t="s">
        <v>194</v>
      </c>
      <c r="F15" s="226" t="s">
        <v>195</v>
      </c>
      <c r="G15" s="208"/>
      <c r="H15" s="209"/>
      <c r="I15" s="190">
        <f t="shared" si="0"/>
        <v>0</v>
      </c>
      <c r="J15" s="280"/>
    </row>
    <row r="16" spans="1:11" ht="15.9" customHeight="1" x14ac:dyDescent="0.4">
      <c r="A16" s="398"/>
      <c r="B16" s="184"/>
      <c r="C16" s="228" t="s">
        <v>160</v>
      </c>
      <c r="D16" s="221" t="s">
        <v>156</v>
      </c>
      <c r="E16" s="32" t="s">
        <v>194</v>
      </c>
      <c r="F16" s="226" t="s">
        <v>195</v>
      </c>
      <c r="G16" s="208"/>
      <c r="H16" s="209"/>
      <c r="I16" s="190">
        <f t="shared" si="0"/>
        <v>0</v>
      </c>
      <c r="J16" s="280"/>
    </row>
    <row r="17" spans="1:10" ht="15.9" customHeight="1" x14ac:dyDescent="0.4">
      <c r="A17" s="398"/>
      <c r="B17" s="184"/>
      <c r="C17" s="225"/>
      <c r="D17" s="221" t="s">
        <v>158</v>
      </c>
      <c r="E17" s="32" t="s">
        <v>194</v>
      </c>
      <c r="F17" s="226" t="s">
        <v>195</v>
      </c>
      <c r="G17" s="208"/>
      <c r="H17" s="209"/>
      <c r="I17" s="190">
        <f t="shared" si="0"/>
        <v>0</v>
      </c>
      <c r="J17" s="280"/>
    </row>
    <row r="18" spans="1:10" ht="15.9" customHeight="1" x14ac:dyDescent="0.4">
      <c r="A18" s="398"/>
      <c r="B18" s="184"/>
      <c r="C18" s="227"/>
      <c r="D18" s="221" t="s">
        <v>159</v>
      </c>
      <c r="E18" s="32" t="s">
        <v>194</v>
      </c>
      <c r="F18" s="226" t="s">
        <v>195</v>
      </c>
      <c r="G18" s="208"/>
      <c r="H18" s="209"/>
      <c r="I18" s="190">
        <f t="shared" si="0"/>
        <v>0</v>
      </c>
      <c r="J18" s="280"/>
    </row>
    <row r="19" spans="1:10" ht="15.9" customHeight="1" x14ac:dyDescent="0.4">
      <c r="A19" s="398"/>
      <c r="B19" s="184"/>
      <c r="C19" s="228" t="s">
        <v>161</v>
      </c>
      <c r="D19" s="221" t="s">
        <v>156</v>
      </c>
      <c r="E19" s="32" t="s">
        <v>194</v>
      </c>
      <c r="F19" s="226" t="s">
        <v>195</v>
      </c>
      <c r="G19" s="208"/>
      <c r="H19" s="209"/>
      <c r="I19" s="190">
        <f t="shared" si="0"/>
        <v>0</v>
      </c>
      <c r="J19" s="280"/>
    </row>
    <row r="20" spans="1:10" ht="15.9" customHeight="1" x14ac:dyDescent="0.4">
      <c r="A20" s="398"/>
      <c r="B20" s="184"/>
      <c r="C20" s="225"/>
      <c r="D20" s="221" t="s">
        <v>158</v>
      </c>
      <c r="E20" s="32" t="s">
        <v>194</v>
      </c>
      <c r="F20" s="226" t="s">
        <v>195</v>
      </c>
      <c r="G20" s="208"/>
      <c r="H20" s="209"/>
      <c r="I20" s="190">
        <f t="shared" si="0"/>
        <v>0</v>
      </c>
      <c r="J20" s="280"/>
    </row>
    <row r="21" spans="1:10" ht="15.9" customHeight="1" x14ac:dyDescent="0.4">
      <c r="A21" s="398"/>
      <c r="B21" s="184"/>
      <c r="C21" s="227"/>
      <c r="D21" s="221" t="s">
        <v>159</v>
      </c>
      <c r="E21" s="32" t="s">
        <v>194</v>
      </c>
      <c r="F21" s="226" t="s">
        <v>195</v>
      </c>
      <c r="G21" s="208"/>
      <c r="H21" s="209"/>
      <c r="I21" s="190">
        <f t="shared" si="0"/>
        <v>0</v>
      </c>
      <c r="J21" s="280"/>
    </row>
    <row r="22" spans="1:10" ht="15.9" customHeight="1" x14ac:dyDescent="0.4">
      <c r="A22" s="398"/>
      <c r="B22" s="184"/>
      <c r="C22" s="228" t="s">
        <v>162</v>
      </c>
      <c r="D22" s="221" t="s">
        <v>163</v>
      </c>
      <c r="E22" s="32" t="s">
        <v>194</v>
      </c>
      <c r="F22" s="226" t="s">
        <v>195</v>
      </c>
      <c r="G22" s="208"/>
      <c r="H22" s="209"/>
      <c r="I22" s="190">
        <f t="shared" si="0"/>
        <v>0</v>
      </c>
      <c r="J22" s="280"/>
    </row>
    <row r="23" spans="1:10" ht="15.9" customHeight="1" x14ac:dyDescent="0.4">
      <c r="A23" s="398"/>
      <c r="B23" s="184"/>
      <c r="C23" s="225"/>
      <c r="D23" s="221" t="s">
        <v>164</v>
      </c>
      <c r="E23" s="32" t="s">
        <v>194</v>
      </c>
      <c r="F23" s="226" t="s">
        <v>195</v>
      </c>
      <c r="G23" s="208"/>
      <c r="H23" s="209"/>
      <c r="I23" s="190">
        <f t="shared" si="0"/>
        <v>0</v>
      </c>
      <c r="J23" s="280"/>
    </row>
    <row r="24" spans="1:10" ht="15.9" customHeight="1" x14ac:dyDescent="0.4">
      <c r="A24" s="398"/>
      <c r="B24" s="184"/>
      <c r="C24" s="227"/>
      <c r="D24" s="221" t="s">
        <v>165</v>
      </c>
      <c r="E24" s="32" t="s">
        <v>194</v>
      </c>
      <c r="F24" s="226" t="s">
        <v>195</v>
      </c>
      <c r="G24" s="208"/>
      <c r="H24" s="209"/>
      <c r="I24" s="190">
        <f t="shared" si="0"/>
        <v>0</v>
      </c>
      <c r="J24" s="280"/>
    </row>
    <row r="25" spans="1:10" ht="15.9" customHeight="1" x14ac:dyDescent="0.4">
      <c r="A25" s="398"/>
      <c r="B25" s="184"/>
      <c r="C25" s="228" t="s">
        <v>166</v>
      </c>
      <c r="D25" s="221" t="s">
        <v>163</v>
      </c>
      <c r="E25" s="32" t="s">
        <v>194</v>
      </c>
      <c r="F25" s="226" t="s">
        <v>195</v>
      </c>
      <c r="G25" s="208"/>
      <c r="H25" s="209"/>
      <c r="I25" s="190">
        <f t="shared" si="0"/>
        <v>0</v>
      </c>
      <c r="J25" s="280"/>
    </row>
    <row r="26" spans="1:10" ht="15.9" customHeight="1" x14ac:dyDescent="0.4">
      <c r="A26" s="398"/>
      <c r="B26" s="184"/>
      <c r="C26" s="225"/>
      <c r="D26" s="221" t="s">
        <v>164</v>
      </c>
      <c r="E26" s="32" t="s">
        <v>194</v>
      </c>
      <c r="F26" s="226" t="s">
        <v>195</v>
      </c>
      <c r="G26" s="208"/>
      <c r="H26" s="209"/>
      <c r="I26" s="190">
        <f t="shared" si="0"/>
        <v>0</v>
      </c>
      <c r="J26" s="280"/>
    </row>
    <row r="27" spans="1:10" ht="15.9" customHeight="1" x14ac:dyDescent="0.4">
      <c r="A27" s="398"/>
      <c r="B27" s="184"/>
      <c r="C27" s="227"/>
      <c r="D27" s="221" t="s">
        <v>165</v>
      </c>
      <c r="E27" s="32" t="s">
        <v>194</v>
      </c>
      <c r="F27" s="226" t="s">
        <v>195</v>
      </c>
      <c r="G27" s="208"/>
      <c r="H27" s="209"/>
      <c r="I27" s="190">
        <f t="shared" si="0"/>
        <v>0</v>
      </c>
      <c r="J27" s="280"/>
    </row>
    <row r="28" spans="1:10" ht="15.9" customHeight="1" x14ac:dyDescent="0.4">
      <c r="A28" s="398"/>
      <c r="B28" s="184"/>
      <c r="C28" s="228" t="s">
        <v>167</v>
      </c>
      <c r="D28" s="221" t="s">
        <v>168</v>
      </c>
      <c r="E28" s="32" t="s">
        <v>194</v>
      </c>
      <c r="F28" s="226" t="s">
        <v>195</v>
      </c>
      <c r="G28" s="208"/>
      <c r="H28" s="209"/>
      <c r="I28" s="190">
        <f t="shared" si="0"/>
        <v>0</v>
      </c>
      <c r="J28" s="280"/>
    </row>
    <row r="29" spans="1:10" ht="15.9" customHeight="1" x14ac:dyDescent="0.4">
      <c r="A29" s="398"/>
      <c r="B29" s="184"/>
      <c r="C29" s="225"/>
      <c r="D29" s="221" t="s">
        <v>169</v>
      </c>
      <c r="E29" s="32" t="s">
        <v>194</v>
      </c>
      <c r="F29" s="226" t="s">
        <v>195</v>
      </c>
      <c r="G29" s="208"/>
      <c r="H29" s="209"/>
      <c r="I29" s="190">
        <f t="shared" si="0"/>
        <v>0</v>
      </c>
      <c r="J29" s="280"/>
    </row>
    <row r="30" spans="1:10" ht="15.9" customHeight="1" x14ac:dyDescent="0.4">
      <c r="A30" s="398"/>
      <c r="B30" s="184"/>
      <c r="C30" s="227"/>
      <c r="D30" s="221" t="s">
        <v>170</v>
      </c>
      <c r="E30" s="32" t="s">
        <v>194</v>
      </c>
      <c r="F30" s="226" t="s">
        <v>195</v>
      </c>
      <c r="G30" s="208"/>
      <c r="H30" s="209"/>
      <c r="I30" s="190">
        <f t="shared" si="0"/>
        <v>0</v>
      </c>
      <c r="J30" s="280"/>
    </row>
    <row r="31" spans="1:10" ht="15.9" customHeight="1" x14ac:dyDescent="0.4">
      <c r="A31" s="398"/>
      <c r="B31" s="184"/>
      <c r="C31" s="229" t="s">
        <v>171</v>
      </c>
      <c r="D31" s="230"/>
      <c r="E31" s="32" t="s">
        <v>194</v>
      </c>
      <c r="F31" s="226" t="s">
        <v>195</v>
      </c>
      <c r="G31" s="208"/>
      <c r="H31" s="209"/>
      <c r="I31" s="190">
        <f t="shared" si="0"/>
        <v>0</v>
      </c>
      <c r="J31" s="280"/>
    </row>
    <row r="32" spans="1:10" ht="15.9" customHeight="1" x14ac:dyDescent="0.4">
      <c r="A32" s="398"/>
      <c r="B32" s="184"/>
      <c r="C32" s="231" t="s">
        <v>172</v>
      </c>
      <c r="D32" s="232" t="s">
        <v>173</v>
      </c>
      <c r="E32" s="32" t="s">
        <v>194</v>
      </c>
      <c r="F32" s="226" t="s">
        <v>195</v>
      </c>
      <c r="G32" s="208"/>
      <c r="H32" s="209"/>
      <c r="I32" s="190">
        <f t="shared" si="0"/>
        <v>0</v>
      </c>
      <c r="J32" s="280"/>
    </row>
    <row r="33" spans="1:10" ht="15.9" customHeight="1" x14ac:dyDescent="0.4">
      <c r="A33" s="398"/>
      <c r="B33" s="184"/>
      <c r="C33" s="233" t="s">
        <v>251</v>
      </c>
      <c r="D33" s="234" t="s">
        <v>175</v>
      </c>
      <c r="E33" s="32" t="s">
        <v>194</v>
      </c>
      <c r="F33" s="226" t="s">
        <v>195</v>
      </c>
      <c r="G33" s="208"/>
      <c r="H33" s="209"/>
      <c r="I33" s="190">
        <f t="shared" si="0"/>
        <v>0</v>
      </c>
      <c r="J33" s="280"/>
    </row>
    <row r="34" spans="1:10" ht="15.9" customHeight="1" x14ac:dyDescent="0.4">
      <c r="A34" s="398"/>
      <c r="B34" s="184"/>
      <c r="C34" s="235" t="s">
        <v>252</v>
      </c>
      <c r="D34" s="236"/>
      <c r="E34" s="32" t="s">
        <v>194</v>
      </c>
      <c r="F34" s="226" t="s">
        <v>195</v>
      </c>
      <c r="G34" s="208"/>
      <c r="H34" s="209"/>
      <c r="I34" s="190">
        <f t="shared" si="0"/>
        <v>0</v>
      </c>
      <c r="J34" s="280"/>
    </row>
    <row r="35" spans="1:10" ht="15.9" customHeight="1" x14ac:dyDescent="0.4">
      <c r="A35" s="398"/>
      <c r="B35" s="184"/>
      <c r="C35" s="235" t="s">
        <v>253</v>
      </c>
      <c r="D35" s="236" t="s">
        <v>177</v>
      </c>
      <c r="E35" s="32" t="s">
        <v>194</v>
      </c>
      <c r="F35" s="226" t="s">
        <v>195</v>
      </c>
      <c r="G35" s="208"/>
      <c r="H35" s="209"/>
      <c r="I35" s="190">
        <f t="shared" si="0"/>
        <v>0</v>
      </c>
      <c r="J35" s="280"/>
    </row>
    <row r="36" spans="1:10" ht="15.9" customHeight="1" x14ac:dyDescent="0.4">
      <c r="A36" s="398"/>
      <c r="B36" s="184"/>
      <c r="C36" s="235" t="s">
        <v>254</v>
      </c>
      <c r="D36" s="236" t="s">
        <v>177</v>
      </c>
      <c r="E36" s="32" t="s">
        <v>194</v>
      </c>
      <c r="F36" s="226" t="s">
        <v>195</v>
      </c>
      <c r="G36" s="208"/>
      <c r="H36" s="209"/>
      <c r="I36" s="190">
        <f t="shared" si="0"/>
        <v>0</v>
      </c>
      <c r="J36" s="280"/>
    </row>
    <row r="37" spans="1:10" ht="15.9" customHeight="1" x14ac:dyDescent="0.4">
      <c r="A37" s="398"/>
      <c r="B37" s="184"/>
      <c r="C37" s="231" t="s">
        <v>255</v>
      </c>
      <c r="D37" s="232" t="s">
        <v>256</v>
      </c>
      <c r="E37" s="32" t="s">
        <v>194</v>
      </c>
      <c r="F37" s="226" t="s">
        <v>195</v>
      </c>
      <c r="G37" s="208"/>
      <c r="H37" s="209"/>
      <c r="I37" s="190">
        <f t="shared" si="0"/>
        <v>0</v>
      </c>
      <c r="J37" s="280"/>
    </row>
    <row r="38" spans="1:10" ht="15.9" customHeight="1" x14ac:dyDescent="0.4">
      <c r="A38" s="398"/>
      <c r="B38" s="184"/>
      <c r="C38" s="235" t="s">
        <v>257</v>
      </c>
      <c r="D38" s="236"/>
      <c r="E38" s="32" t="s">
        <v>194</v>
      </c>
      <c r="F38" s="226" t="s">
        <v>195</v>
      </c>
      <c r="G38" s="208"/>
      <c r="H38" s="209"/>
      <c r="I38" s="190">
        <f t="shared" si="0"/>
        <v>0</v>
      </c>
      <c r="J38" s="280"/>
    </row>
    <row r="39" spans="1:10" ht="15.9" customHeight="1" x14ac:dyDescent="0.4">
      <c r="A39" s="398"/>
      <c r="B39" s="184"/>
      <c r="C39" s="235" t="s">
        <v>258</v>
      </c>
      <c r="D39" s="236" t="s">
        <v>259</v>
      </c>
      <c r="E39" s="32" t="s">
        <v>194</v>
      </c>
      <c r="F39" s="226" t="s">
        <v>195</v>
      </c>
      <c r="G39" s="208"/>
      <c r="H39" s="209"/>
      <c r="I39" s="190">
        <f t="shared" si="0"/>
        <v>0</v>
      </c>
      <c r="J39" s="280"/>
    </row>
    <row r="40" spans="1:10" ht="15.9" customHeight="1" x14ac:dyDescent="0.4">
      <c r="A40" s="398"/>
      <c r="B40" s="184"/>
      <c r="C40" s="228" t="s">
        <v>260</v>
      </c>
      <c r="D40" s="237" t="s">
        <v>181</v>
      </c>
      <c r="E40" s="32" t="s">
        <v>194</v>
      </c>
      <c r="F40" s="226" t="s">
        <v>195</v>
      </c>
      <c r="G40" s="208"/>
      <c r="H40" s="209"/>
      <c r="I40" s="190">
        <f t="shared" si="0"/>
        <v>0</v>
      </c>
      <c r="J40" s="280"/>
    </row>
    <row r="41" spans="1:10" ht="15.9" customHeight="1" x14ac:dyDescent="0.4">
      <c r="A41" s="398"/>
      <c r="B41" s="184"/>
      <c r="C41" s="228" t="s">
        <v>261</v>
      </c>
      <c r="D41" s="237"/>
      <c r="E41" s="32" t="s">
        <v>194</v>
      </c>
      <c r="F41" s="226" t="s">
        <v>195</v>
      </c>
      <c r="G41" s="208"/>
      <c r="H41" s="209"/>
      <c r="I41" s="190">
        <f t="shared" si="0"/>
        <v>0</v>
      </c>
      <c r="J41" s="280"/>
    </row>
    <row r="42" spans="1:10" ht="15.9" customHeight="1" x14ac:dyDescent="0.4">
      <c r="A42" s="398"/>
      <c r="B42" s="184"/>
      <c r="C42" s="235" t="s">
        <v>262</v>
      </c>
      <c r="D42" s="236" t="s">
        <v>263</v>
      </c>
      <c r="E42" s="32" t="s">
        <v>194</v>
      </c>
      <c r="F42" s="226" t="s">
        <v>195</v>
      </c>
      <c r="G42" s="208"/>
      <c r="H42" s="209"/>
      <c r="I42" s="190">
        <f t="shared" si="0"/>
        <v>0</v>
      </c>
      <c r="J42" s="280"/>
    </row>
    <row r="43" spans="1:10" ht="15.9" customHeight="1" x14ac:dyDescent="0.4">
      <c r="A43" s="398"/>
      <c r="B43" s="184"/>
      <c r="C43" s="228" t="s">
        <v>264</v>
      </c>
      <c r="D43" s="237" t="s">
        <v>265</v>
      </c>
      <c r="E43" s="32" t="s">
        <v>194</v>
      </c>
      <c r="F43" s="226" t="s">
        <v>195</v>
      </c>
      <c r="G43" s="208"/>
      <c r="H43" s="209"/>
      <c r="I43" s="190">
        <f t="shared" si="0"/>
        <v>0</v>
      </c>
      <c r="J43" s="280"/>
    </row>
    <row r="44" spans="1:10" ht="15.9" customHeight="1" x14ac:dyDescent="0.4">
      <c r="A44" s="398"/>
      <c r="B44" s="184"/>
      <c r="C44" s="235" t="s">
        <v>266</v>
      </c>
      <c r="D44" s="236" t="s">
        <v>267</v>
      </c>
      <c r="E44" s="32" t="s">
        <v>194</v>
      </c>
      <c r="F44" s="226" t="s">
        <v>195</v>
      </c>
      <c r="G44" s="208"/>
      <c r="H44" s="209"/>
      <c r="I44" s="190">
        <f t="shared" si="0"/>
        <v>0</v>
      </c>
      <c r="J44" s="280"/>
    </row>
    <row r="45" spans="1:10" ht="15.9" customHeight="1" x14ac:dyDescent="0.4">
      <c r="A45" s="398"/>
      <c r="B45" s="184"/>
      <c r="C45" s="235" t="s">
        <v>268</v>
      </c>
      <c r="D45" s="236"/>
      <c r="E45" s="32" t="s">
        <v>194</v>
      </c>
      <c r="F45" s="226" t="s">
        <v>195</v>
      </c>
      <c r="G45" s="208"/>
      <c r="H45" s="209"/>
      <c r="I45" s="190">
        <f t="shared" si="0"/>
        <v>0</v>
      </c>
      <c r="J45" s="280"/>
    </row>
    <row r="46" spans="1:10" ht="15.9" customHeight="1" x14ac:dyDescent="0.4">
      <c r="A46" s="398"/>
      <c r="B46" s="184"/>
      <c r="C46" s="228" t="s">
        <v>269</v>
      </c>
      <c r="D46" s="237"/>
      <c r="E46" s="32" t="s">
        <v>194</v>
      </c>
      <c r="F46" s="226" t="s">
        <v>195</v>
      </c>
      <c r="G46" s="208"/>
      <c r="H46" s="209"/>
      <c r="I46" s="190">
        <f t="shared" si="0"/>
        <v>0</v>
      </c>
      <c r="J46" s="280"/>
    </row>
    <row r="47" spans="1:10" ht="15.9" customHeight="1" x14ac:dyDescent="0.4">
      <c r="A47" s="398"/>
      <c r="B47" s="184"/>
      <c r="C47" s="229" t="s">
        <v>270</v>
      </c>
      <c r="D47" s="237"/>
      <c r="E47" s="32" t="s">
        <v>194</v>
      </c>
      <c r="F47" s="226" t="s">
        <v>195</v>
      </c>
      <c r="G47" s="208"/>
      <c r="H47" s="209"/>
      <c r="I47" s="190">
        <f>G47*H47</f>
        <v>0</v>
      </c>
      <c r="J47" s="280"/>
    </row>
    <row r="48" spans="1:10" ht="15.9" customHeight="1" x14ac:dyDescent="0.4">
      <c r="A48" s="398"/>
      <c r="B48" s="401" t="s">
        <v>183</v>
      </c>
      <c r="C48" s="402"/>
      <c r="D48" s="402"/>
      <c r="E48" s="402"/>
      <c r="F48" s="402"/>
      <c r="G48" s="402"/>
      <c r="H48" s="403"/>
      <c r="I48" s="238">
        <f>SUM(I13:I47)</f>
        <v>0</v>
      </c>
      <c r="J48" s="280"/>
    </row>
    <row r="49" spans="1:10" ht="15.9" customHeight="1" x14ac:dyDescent="0.4">
      <c r="A49" s="398"/>
      <c r="B49" s="217" t="s">
        <v>62</v>
      </c>
      <c r="C49" s="239" t="s">
        <v>184</v>
      </c>
      <c r="D49" s="221" t="s">
        <v>163</v>
      </c>
      <c r="E49" s="29" t="s">
        <v>194</v>
      </c>
      <c r="F49" s="46" t="s">
        <v>195</v>
      </c>
      <c r="G49" s="222"/>
      <c r="H49" s="223"/>
      <c r="I49" s="224">
        <f t="shared" ref="I49:I77" si="1">G49*H49</f>
        <v>0</v>
      </c>
      <c r="J49" s="279"/>
    </row>
    <row r="50" spans="1:10" ht="15.9" customHeight="1" x14ac:dyDescent="0.4">
      <c r="A50" s="398"/>
      <c r="B50" s="184"/>
      <c r="C50" s="240"/>
      <c r="D50" s="221" t="s">
        <v>164</v>
      </c>
      <c r="E50" s="32" t="s">
        <v>194</v>
      </c>
      <c r="F50" s="226" t="s">
        <v>195</v>
      </c>
      <c r="G50" s="208"/>
      <c r="H50" s="209"/>
      <c r="I50" s="190">
        <f t="shared" si="1"/>
        <v>0</v>
      </c>
      <c r="J50" s="280"/>
    </row>
    <row r="51" spans="1:10" ht="15.9" customHeight="1" x14ac:dyDescent="0.4">
      <c r="A51" s="398"/>
      <c r="B51" s="184"/>
      <c r="C51" s="240"/>
      <c r="D51" s="221" t="s">
        <v>165</v>
      </c>
      <c r="E51" s="32" t="s">
        <v>194</v>
      </c>
      <c r="F51" s="226" t="s">
        <v>195</v>
      </c>
      <c r="G51" s="208"/>
      <c r="H51" s="209"/>
      <c r="I51" s="190">
        <f t="shared" si="1"/>
        <v>0</v>
      </c>
      <c r="J51" s="280"/>
    </row>
    <row r="52" spans="1:10" ht="15.9" customHeight="1" x14ac:dyDescent="0.4">
      <c r="A52" s="398"/>
      <c r="B52" s="184"/>
      <c r="C52" s="240"/>
      <c r="D52" s="241" t="s">
        <v>188</v>
      </c>
      <c r="E52" s="32" t="s">
        <v>194</v>
      </c>
      <c r="F52" s="226" t="s">
        <v>195</v>
      </c>
      <c r="G52" s="208"/>
      <c r="H52" s="209"/>
      <c r="I52" s="190">
        <f t="shared" si="1"/>
        <v>0</v>
      </c>
      <c r="J52" s="280"/>
    </row>
    <row r="53" spans="1:10" ht="15.9" customHeight="1" x14ac:dyDescent="0.4">
      <c r="A53" s="398"/>
      <c r="B53" s="184"/>
      <c r="C53" s="242"/>
      <c r="D53" s="221" t="s">
        <v>189</v>
      </c>
      <c r="E53" s="32" t="s">
        <v>194</v>
      </c>
      <c r="F53" s="226" t="s">
        <v>195</v>
      </c>
      <c r="G53" s="208"/>
      <c r="H53" s="209"/>
      <c r="I53" s="190">
        <f t="shared" si="1"/>
        <v>0</v>
      </c>
      <c r="J53" s="280"/>
    </row>
    <row r="54" spans="1:10" ht="15.9" customHeight="1" x14ac:dyDescent="0.4">
      <c r="A54" s="398"/>
      <c r="B54" s="184"/>
      <c r="C54" s="243" t="s">
        <v>190</v>
      </c>
      <c r="D54" s="221" t="s">
        <v>163</v>
      </c>
      <c r="E54" s="32" t="s">
        <v>194</v>
      </c>
      <c r="F54" s="226" t="s">
        <v>195</v>
      </c>
      <c r="G54" s="208"/>
      <c r="H54" s="209"/>
      <c r="I54" s="190">
        <f t="shared" si="1"/>
        <v>0</v>
      </c>
      <c r="J54" s="280"/>
    </row>
    <row r="55" spans="1:10" ht="15.9" customHeight="1" x14ac:dyDescent="0.4">
      <c r="A55" s="398"/>
      <c r="B55" s="184"/>
      <c r="C55" s="242"/>
      <c r="D55" s="221" t="s">
        <v>164</v>
      </c>
      <c r="E55" s="32" t="s">
        <v>194</v>
      </c>
      <c r="F55" s="226" t="s">
        <v>195</v>
      </c>
      <c r="G55" s="208"/>
      <c r="H55" s="209"/>
      <c r="I55" s="190">
        <f t="shared" si="1"/>
        <v>0</v>
      </c>
      <c r="J55" s="280"/>
    </row>
    <row r="56" spans="1:10" ht="15.9" customHeight="1" x14ac:dyDescent="0.4">
      <c r="A56" s="398"/>
      <c r="B56" s="184"/>
      <c r="C56" s="243" t="s">
        <v>191</v>
      </c>
      <c r="D56" s="221" t="s">
        <v>163</v>
      </c>
      <c r="E56" s="32" t="s">
        <v>194</v>
      </c>
      <c r="F56" s="226" t="s">
        <v>195</v>
      </c>
      <c r="G56" s="208"/>
      <c r="H56" s="209"/>
      <c r="I56" s="190">
        <f t="shared" si="1"/>
        <v>0</v>
      </c>
      <c r="J56" s="280"/>
    </row>
    <row r="57" spans="1:10" ht="15.9" customHeight="1" x14ac:dyDescent="0.4">
      <c r="A57" s="398"/>
      <c r="B57" s="184"/>
      <c r="C57" s="240"/>
      <c r="D57" s="221" t="s">
        <v>164</v>
      </c>
      <c r="E57" s="32" t="s">
        <v>194</v>
      </c>
      <c r="F57" s="226" t="s">
        <v>195</v>
      </c>
      <c r="G57" s="208"/>
      <c r="H57" s="209"/>
      <c r="I57" s="190">
        <f t="shared" si="1"/>
        <v>0</v>
      </c>
      <c r="J57" s="280"/>
    </row>
    <row r="58" spans="1:10" ht="15.9" customHeight="1" x14ac:dyDescent="0.4">
      <c r="A58" s="398"/>
      <c r="B58" s="184"/>
      <c r="C58" s="240"/>
      <c r="D58" s="221" t="s">
        <v>165</v>
      </c>
      <c r="E58" s="32" t="s">
        <v>194</v>
      </c>
      <c r="F58" s="226" t="s">
        <v>195</v>
      </c>
      <c r="G58" s="208"/>
      <c r="H58" s="209"/>
      <c r="I58" s="190">
        <f t="shared" si="1"/>
        <v>0</v>
      </c>
      <c r="J58" s="280"/>
    </row>
    <row r="59" spans="1:10" ht="15.9" customHeight="1" x14ac:dyDescent="0.4">
      <c r="A59" s="398"/>
      <c r="B59" s="184"/>
      <c r="C59" s="242"/>
      <c r="D59" s="221" t="s">
        <v>188</v>
      </c>
      <c r="E59" s="32" t="s">
        <v>194</v>
      </c>
      <c r="F59" s="226" t="s">
        <v>195</v>
      </c>
      <c r="G59" s="208"/>
      <c r="H59" s="209"/>
      <c r="I59" s="190">
        <f t="shared" si="1"/>
        <v>0</v>
      </c>
      <c r="J59" s="280"/>
    </row>
    <row r="60" spans="1:10" ht="15.9" customHeight="1" x14ac:dyDescent="0.4">
      <c r="A60" s="398"/>
      <c r="B60" s="184"/>
      <c r="C60" s="242" t="s">
        <v>271</v>
      </c>
      <c r="D60" s="237" t="s">
        <v>272</v>
      </c>
      <c r="E60" s="32" t="s">
        <v>194</v>
      </c>
      <c r="F60" s="226" t="s">
        <v>195</v>
      </c>
      <c r="G60" s="208"/>
      <c r="H60" s="209"/>
      <c r="I60" s="190">
        <f t="shared" si="1"/>
        <v>0</v>
      </c>
      <c r="J60" s="280"/>
    </row>
    <row r="61" spans="1:10" ht="15.9" customHeight="1" x14ac:dyDescent="0.4">
      <c r="A61" s="398"/>
      <c r="B61" s="401" t="s">
        <v>192</v>
      </c>
      <c r="C61" s="402"/>
      <c r="D61" s="402"/>
      <c r="E61" s="402"/>
      <c r="F61" s="402"/>
      <c r="G61" s="402"/>
      <c r="H61" s="403"/>
      <c r="I61" s="238">
        <f>SUM(I49:I60)</f>
        <v>0</v>
      </c>
      <c r="J61" s="280"/>
    </row>
    <row r="62" spans="1:10" ht="15.9" customHeight="1" x14ac:dyDescent="0.4">
      <c r="A62" s="398"/>
      <c r="B62" s="286" t="s">
        <v>63</v>
      </c>
      <c r="C62" s="287" t="s">
        <v>193</v>
      </c>
      <c r="D62" s="288"/>
      <c r="E62" s="29" t="s">
        <v>194</v>
      </c>
      <c r="F62" s="46" t="s">
        <v>195</v>
      </c>
      <c r="G62" s="222"/>
      <c r="H62" s="223"/>
      <c r="I62" s="224">
        <f t="shared" si="1"/>
        <v>0</v>
      </c>
      <c r="J62" s="281"/>
    </row>
    <row r="63" spans="1:10" ht="15.9" customHeight="1" x14ac:dyDescent="0.4">
      <c r="A63" s="398"/>
      <c r="B63" s="184"/>
      <c r="C63" s="289" t="s">
        <v>273</v>
      </c>
      <c r="D63" s="290"/>
      <c r="E63" s="32" t="s">
        <v>194</v>
      </c>
      <c r="F63" s="226" t="s">
        <v>195</v>
      </c>
      <c r="G63" s="208"/>
      <c r="H63" s="209"/>
      <c r="I63" s="190">
        <f t="shared" si="1"/>
        <v>0</v>
      </c>
      <c r="J63" s="280"/>
    </row>
    <row r="64" spans="1:10" ht="15.9" customHeight="1" x14ac:dyDescent="0.4">
      <c r="A64" s="398"/>
      <c r="B64" s="184"/>
      <c r="C64" s="289" t="s">
        <v>274</v>
      </c>
      <c r="D64" s="290"/>
      <c r="E64" s="32" t="s">
        <v>194</v>
      </c>
      <c r="F64" s="226" t="s">
        <v>195</v>
      </c>
      <c r="G64" s="208"/>
      <c r="H64" s="209"/>
      <c r="I64" s="190">
        <f t="shared" si="1"/>
        <v>0</v>
      </c>
      <c r="J64" s="280"/>
    </row>
    <row r="65" spans="1:10" ht="15.9" customHeight="1" x14ac:dyDescent="0.4">
      <c r="A65" s="398"/>
      <c r="B65" s="184"/>
      <c r="C65" s="291" t="s">
        <v>275</v>
      </c>
      <c r="D65" s="290"/>
      <c r="E65" s="32" t="s">
        <v>194</v>
      </c>
      <c r="F65" s="226" t="s">
        <v>195</v>
      </c>
      <c r="G65" s="208"/>
      <c r="H65" s="209"/>
      <c r="I65" s="190">
        <f t="shared" si="1"/>
        <v>0</v>
      </c>
      <c r="J65" s="280"/>
    </row>
    <row r="66" spans="1:10" ht="15.9" customHeight="1" x14ac:dyDescent="0.4">
      <c r="A66" s="398"/>
      <c r="B66" s="401" t="s">
        <v>199</v>
      </c>
      <c r="C66" s="402"/>
      <c r="D66" s="402"/>
      <c r="E66" s="402"/>
      <c r="F66" s="402"/>
      <c r="G66" s="402"/>
      <c r="H66" s="403"/>
      <c r="I66" s="251">
        <f>SUM(I62:I65)</f>
        <v>0</v>
      </c>
      <c r="J66" s="282"/>
    </row>
    <row r="67" spans="1:10" ht="15.9" customHeight="1" x14ac:dyDescent="0.4">
      <c r="A67" s="398"/>
      <c r="B67" s="184" t="s">
        <v>81</v>
      </c>
      <c r="C67" s="252" t="s">
        <v>200</v>
      </c>
      <c r="D67" s="253"/>
      <c r="E67" s="211" t="s">
        <v>194</v>
      </c>
      <c r="F67" s="226" t="s">
        <v>195</v>
      </c>
      <c r="G67" s="208"/>
      <c r="H67" s="209"/>
      <c r="I67" s="190">
        <f t="shared" si="1"/>
        <v>0</v>
      </c>
      <c r="J67" s="280"/>
    </row>
    <row r="68" spans="1:10" ht="15.9" customHeight="1" x14ac:dyDescent="0.4">
      <c r="A68" s="398"/>
      <c r="B68" s="184"/>
      <c r="C68" s="229" t="s">
        <v>201</v>
      </c>
      <c r="D68" s="253" t="s">
        <v>202</v>
      </c>
      <c r="E68" s="32" t="s">
        <v>194</v>
      </c>
      <c r="F68" s="226" t="s">
        <v>195</v>
      </c>
      <c r="G68" s="208"/>
      <c r="H68" s="209"/>
      <c r="I68" s="190">
        <f t="shared" si="1"/>
        <v>0</v>
      </c>
      <c r="J68" s="280"/>
    </row>
    <row r="69" spans="1:10" ht="15.9" customHeight="1" x14ac:dyDescent="0.4">
      <c r="A69" s="398"/>
      <c r="B69" s="184"/>
      <c r="C69" s="229" t="s">
        <v>203</v>
      </c>
      <c r="D69" s="253" t="s">
        <v>202</v>
      </c>
      <c r="E69" s="32" t="s">
        <v>194</v>
      </c>
      <c r="F69" s="226" t="s">
        <v>195</v>
      </c>
      <c r="G69" s="208"/>
      <c r="H69" s="209"/>
      <c r="I69" s="190">
        <f t="shared" si="1"/>
        <v>0</v>
      </c>
      <c r="J69" s="280"/>
    </row>
    <row r="70" spans="1:10" ht="15.9" customHeight="1" x14ac:dyDescent="0.4">
      <c r="A70" s="398"/>
      <c r="B70" s="184"/>
      <c r="C70" s="229" t="s">
        <v>204</v>
      </c>
      <c r="D70" s="253" t="s">
        <v>205</v>
      </c>
      <c r="E70" s="32" t="s">
        <v>194</v>
      </c>
      <c r="F70" s="226" t="s">
        <v>195</v>
      </c>
      <c r="G70" s="208"/>
      <c r="H70" s="209"/>
      <c r="I70" s="190">
        <f t="shared" si="1"/>
        <v>0</v>
      </c>
      <c r="J70" s="280"/>
    </row>
    <row r="71" spans="1:10" ht="15.9" customHeight="1" x14ac:dyDescent="0.4">
      <c r="A71" s="398"/>
      <c r="B71" s="184"/>
      <c r="C71" s="229" t="s">
        <v>206</v>
      </c>
      <c r="D71" s="253" t="s">
        <v>205</v>
      </c>
      <c r="E71" s="32" t="s">
        <v>194</v>
      </c>
      <c r="F71" s="226" t="s">
        <v>195</v>
      </c>
      <c r="G71" s="188"/>
      <c r="H71" s="189"/>
      <c r="I71" s="190">
        <f t="shared" si="1"/>
        <v>0</v>
      </c>
      <c r="J71" s="283"/>
    </row>
    <row r="72" spans="1:10" ht="15.9" customHeight="1" x14ac:dyDescent="0.4">
      <c r="A72" s="398"/>
      <c r="B72" s="184"/>
      <c r="C72" s="229" t="s">
        <v>207</v>
      </c>
      <c r="D72" s="253" t="s">
        <v>208</v>
      </c>
      <c r="E72" s="32" t="s">
        <v>194</v>
      </c>
      <c r="F72" s="226" t="s">
        <v>195</v>
      </c>
      <c r="G72" s="188"/>
      <c r="H72" s="189"/>
      <c r="I72" s="190">
        <f t="shared" si="1"/>
        <v>0</v>
      </c>
      <c r="J72" s="283"/>
    </row>
    <row r="73" spans="1:10" ht="15.9" customHeight="1" x14ac:dyDescent="0.4">
      <c r="A73" s="398"/>
      <c r="B73" s="184"/>
      <c r="C73" s="248" t="s">
        <v>209</v>
      </c>
      <c r="D73" s="254"/>
      <c r="E73" s="32" t="s">
        <v>194</v>
      </c>
      <c r="F73" s="226" t="s">
        <v>195</v>
      </c>
      <c r="G73" s="188"/>
      <c r="H73" s="189"/>
      <c r="I73" s="190">
        <f t="shared" si="1"/>
        <v>0</v>
      </c>
      <c r="J73" s="283"/>
    </row>
    <row r="74" spans="1:10" ht="15.9" customHeight="1" x14ac:dyDescent="0.4">
      <c r="A74" s="398"/>
      <c r="B74" s="184"/>
      <c r="C74" s="229" t="s">
        <v>210</v>
      </c>
      <c r="D74" s="253"/>
      <c r="E74" s="32"/>
      <c r="F74" s="226" t="s">
        <v>56</v>
      </c>
      <c r="G74" s="208"/>
      <c r="H74" s="209"/>
      <c r="I74" s="190">
        <f t="shared" si="1"/>
        <v>0</v>
      </c>
      <c r="J74" s="280"/>
    </row>
    <row r="75" spans="1:10" ht="15.9" customHeight="1" x14ac:dyDescent="0.4">
      <c r="A75" s="398"/>
      <c r="B75" s="184"/>
      <c r="C75" s="229" t="s">
        <v>211</v>
      </c>
      <c r="D75" s="253"/>
      <c r="E75" s="32"/>
      <c r="F75" s="226" t="s">
        <v>56</v>
      </c>
      <c r="G75" s="188"/>
      <c r="H75" s="189"/>
      <c r="I75" s="190">
        <f t="shared" si="1"/>
        <v>0</v>
      </c>
      <c r="J75" s="283"/>
    </row>
    <row r="76" spans="1:10" ht="15.9" customHeight="1" x14ac:dyDescent="0.4">
      <c r="A76" s="398"/>
      <c r="B76" s="184"/>
      <c r="C76" s="229" t="s">
        <v>212</v>
      </c>
      <c r="D76" s="253"/>
      <c r="E76" s="32"/>
      <c r="F76" s="226" t="s">
        <v>56</v>
      </c>
      <c r="G76" s="188"/>
      <c r="H76" s="189"/>
      <c r="I76" s="190">
        <f t="shared" si="1"/>
        <v>0</v>
      </c>
      <c r="J76" s="283"/>
    </row>
    <row r="77" spans="1:10" ht="15.9" customHeight="1" x14ac:dyDescent="0.4">
      <c r="A77" s="398"/>
      <c r="B77" s="184"/>
      <c r="C77" s="248" t="s">
        <v>213</v>
      </c>
      <c r="D77" s="254"/>
      <c r="E77" s="32"/>
      <c r="F77" s="226" t="s">
        <v>56</v>
      </c>
      <c r="G77" s="188"/>
      <c r="H77" s="189"/>
      <c r="I77" s="190">
        <f t="shared" si="1"/>
        <v>0</v>
      </c>
      <c r="J77" s="283"/>
    </row>
    <row r="78" spans="1:10" ht="15.9" customHeight="1" x14ac:dyDescent="0.4">
      <c r="A78" s="398"/>
      <c r="B78" s="401" t="s">
        <v>214</v>
      </c>
      <c r="C78" s="402"/>
      <c r="D78" s="402"/>
      <c r="E78" s="402"/>
      <c r="F78" s="402"/>
      <c r="G78" s="402"/>
      <c r="H78" s="403"/>
      <c r="I78" s="238">
        <f>SUM(I67:I77)</f>
        <v>0</v>
      </c>
      <c r="J78" s="284"/>
    </row>
    <row r="79" spans="1:10" ht="15.9" customHeight="1" x14ac:dyDescent="0.4">
      <c r="A79" s="413"/>
      <c r="B79" s="310" t="s">
        <v>215</v>
      </c>
      <c r="C79" s="310"/>
      <c r="D79" s="310"/>
      <c r="E79" s="310"/>
      <c r="F79" s="310"/>
      <c r="G79" s="310"/>
      <c r="H79" s="311"/>
      <c r="I79" s="219">
        <f>SUM(I48,I61,I66,I78)</f>
        <v>0</v>
      </c>
      <c r="J79" s="41"/>
    </row>
    <row r="80" spans="1:10" ht="15.9" customHeight="1" x14ac:dyDescent="0.4">
      <c r="A80" s="397" t="s">
        <v>65</v>
      </c>
      <c r="B80" s="26" t="s">
        <v>65</v>
      </c>
      <c r="C80" s="254" t="s">
        <v>216</v>
      </c>
      <c r="D80" s="254"/>
      <c r="E80" s="32"/>
      <c r="F80" s="226" t="s">
        <v>195</v>
      </c>
      <c r="G80" s="188"/>
      <c r="H80" s="189"/>
      <c r="I80" s="150">
        <f>SUM(G80*H80)</f>
        <v>0</v>
      </c>
      <c r="J80" s="277"/>
    </row>
    <row r="81" spans="1:18" ht="15.9" customHeight="1" x14ac:dyDescent="0.4">
      <c r="A81" s="399"/>
      <c r="C81" s="254" t="s">
        <v>276</v>
      </c>
      <c r="D81" s="254"/>
      <c r="E81" s="32"/>
      <c r="F81" s="226" t="s">
        <v>195</v>
      </c>
      <c r="G81" s="188"/>
      <c r="H81" s="189"/>
      <c r="I81" s="150">
        <f>SUM(G81*H81)</f>
        <v>0</v>
      </c>
      <c r="J81" s="35"/>
    </row>
    <row r="82" spans="1:18" ht="15.9" customHeight="1" x14ac:dyDescent="0.4">
      <c r="A82" s="399"/>
      <c r="B82" s="401" t="s">
        <v>227</v>
      </c>
      <c r="C82" s="402"/>
      <c r="D82" s="402"/>
      <c r="E82" s="402"/>
      <c r="F82" s="402"/>
      <c r="G82" s="402"/>
      <c r="H82" s="403"/>
      <c r="I82" s="256">
        <f>SUM(I80:I81)</f>
        <v>0</v>
      </c>
      <c r="J82" s="285"/>
    </row>
    <row r="83" spans="1:18" ht="15.9" customHeight="1" x14ac:dyDescent="0.4">
      <c r="A83" s="400"/>
      <c r="B83" s="310" t="s">
        <v>227</v>
      </c>
      <c r="C83" s="310"/>
      <c r="D83" s="310"/>
      <c r="E83" s="310"/>
      <c r="F83" s="310"/>
      <c r="G83" s="310"/>
      <c r="H83" s="311"/>
      <c r="I83" s="219">
        <f>SUM(I80:I82)</f>
        <v>0</v>
      </c>
      <c r="J83" s="41"/>
      <c r="L83" s="44"/>
    </row>
    <row r="84" spans="1:18" ht="15.9" customHeight="1" x14ac:dyDescent="0.4">
      <c r="A84" s="199"/>
      <c r="B84" s="257" t="s">
        <v>83</v>
      </c>
      <c r="C84" s="257"/>
      <c r="D84" s="257"/>
      <c r="E84" s="257"/>
      <c r="F84" s="257"/>
      <c r="G84" s="257"/>
      <c r="H84" s="257"/>
      <c r="I84" s="219">
        <f>CEILING(MIN(P91:P92),1000)</f>
        <v>0</v>
      </c>
      <c r="J84" s="260"/>
    </row>
    <row r="85" spans="1:18" ht="15.9" customHeight="1" x14ac:dyDescent="0.4">
      <c r="A85" s="259"/>
      <c r="B85" s="257" t="s">
        <v>69</v>
      </c>
      <c r="C85" s="260" t="s">
        <v>228</v>
      </c>
      <c r="D85" s="260"/>
      <c r="E85" s="41"/>
      <c r="F85" s="182"/>
      <c r="G85" s="261">
        <v>0.05</v>
      </c>
      <c r="H85" s="262"/>
      <c r="I85" s="219">
        <f>SUM(I12,I79,I83)*G85</f>
        <v>0</v>
      </c>
      <c r="J85" s="260"/>
    </row>
    <row r="86" spans="1:18" ht="15.9" customHeight="1" x14ac:dyDescent="0.4">
      <c r="A86" s="259"/>
      <c r="B86" s="257" t="s">
        <v>229</v>
      </c>
      <c r="C86" s="260" t="s">
        <v>230</v>
      </c>
      <c r="D86" s="260"/>
      <c r="E86" s="41"/>
      <c r="F86" s="182"/>
      <c r="G86" s="261">
        <v>0.01</v>
      </c>
      <c r="H86" s="262"/>
      <c r="I86" s="219">
        <f>SUM(I79,I83,I85)*G86</f>
        <v>0</v>
      </c>
      <c r="J86" s="260"/>
    </row>
    <row r="87" spans="1:18" ht="15.9" customHeight="1" x14ac:dyDescent="0.4">
      <c r="A87" s="259"/>
      <c r="B87" s="257" t="s">
        <v>231</v>
      </c>
      <c r="C87" s="260"/>
      <c r="D87" s="260"/>
      <c r="E87" s="41"/>
      <c r="F87" s="41"/>
      <c r="G87" s="45"/>
      <c r="H87" s="45"/>
      <c r="I87" s="263">
        <f>SUM(I12,I79,I83,I84,I85,I86)</f>
        <v>0</v>
      </c>
      <c r="J87" s="41"/>
    </row>
    <row r="88" spans="1:18" x14ac:dyDescent="0.4">
      <c r="A88" s="26"/>
    </row>
    <row r="90" spans="1:18" ht="13.5" customHeight="1" x14ac:dyDescent="0.4">
      <c r="L90" s="404" t="s">
        <v>232</v>
      </c>
      <c r="M90" s="407" t="s">
        <v>233</v>
      </c>
      <c r="N90" s="408"/>
      <c r="O90" s="409"/>
      <c r="P90" s="264" t="s">
        <v>234</v>
      </c>
      <c r="Q90" s="265" t="s">
        <v>235</v>
      </c>
      <c r="R90" s="266" t="s">
        <v>236</v>
      </c>
    </row>
    <row r="91" spans="1:18" x14ac:dyDescent="0.4">
      <c r="L91" s="405"/>
      <c r="M91" s="410" t="s">
        <v>237</v>
      </c>
      <c r="N91" s="411"/>
      <c r="O91" s="412"/>
      <c r="P91" s="267">
        <f>IF(Q91&lt;500000000,Q91*0.0315,1)+IF(Q91&gt;500000000,Q91*0.0253+2450000)*IF(Q91&gt;5000000000,0,1)+IF(Q91&gt;5000000000,Q91*0.026,0)</f>
        <v>0</v>
      </c>
      <c r="Q91" s="268">
        <f>SUM(I12,I79)</f>
        <v>0</v>
      </c>
      <c r="R91" s="269" t="s">
        <v>238</v>
      </c>
    </row>
    <row r="92" spans="1:18" x14ac:dyDescent="0.4">
      <c r="L92" s="406"/>
      <c r="M92" s="410" t="s">
        <v>239</v>
      </c>
      <c r="N92" s="411"/>
      <c r="O92" s="412"/>
      <c r="P92" s="267">
        <f>(IF(Q92&lt;500000000,Q92*0.0315,1)+IF(Q92&gt;500000000,Q92*0.0253+2450000)*IF(Q92&gt;5000000000,0,1)+IF(Q92&gt;5000000000,Q92*0.026,0))*1.2</f>
        <v>0</v>
      </c>
      <c r="Q92" s="268">
        <f>SUMIF(J13:J78,"",I13:I78)</f>
        <v>0</v>
      </c>
      <c r="R92" s="269" t="s">
        <v>240</v>
      </c>
    </row>
    <row r="93" spans="1:18" x14ac:dyDescent="0.4">
      <c r="L93" s="270" t="s">
        <v>241</v>
      </c>
      <c r="M93" s="26"/>
      <c r="N93" s="26"/>
      <c r="O93" s="49"/>
      <c r="P93" s="49"/>
      <c r="Q93" s="48"/>
      <c r="R93" s="69"/>
    </row>
    <row r="94" spans="1:18" x14ac:dyDescent="0.4">
      <c r="L94" s="1" t="s">
        <v>242</v>
      </c>
    </row>
    <row r="95" spans="1:18" x14ac:dyDescent="0.4">
      <c r="L95" s="1" t="s">
        <v>243</v>
      </c>
    </row>
  </sheetData>
  <mergeCells count="16">
    <mergeCell ref="A2:B2"/>
    <mergeCell ref="A3:A11"/>
    <mergeCell ref="B12:H12"/>
    <mergeCell ref="A13:A79"/>
    <mergeCell ref="B48:H48"/>
    <mergeCell ref="B61:H61"/>
    <mergeCell ref="B66:H66"/>
    <mergeCell ref="B78:H78"/>
    <mergeCell ref="B79:H79"/>
    <mergeCell ref="A80:A83"/>
    <mergeCell ref="B82:H82"/>
    <mergeCell ref="B83:H83"/>
    <mergeCell ref="L90:L92"/>
    <mergeCell ref="M90:O90"/>
    <mergeCell ref="M91:O91"/>
    <mergeCell ref="M92:O9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 r:id="rId3"/>
  <legacyDrawingHF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152F-252A-41CC-804A-9585B21A9025}">
  <sheetPr>
    <pageSetUpPr fitToPage="1"/>
  </sheetPr>
  <dimension ref="A1:D36"/>
  <sheetViews>
    <sheetView zoomScale="85" workbookViewId="0">
      <selection activeCell="K19" sqref="K19"/>
    </sheetView>
  </sheetViews>
  <sheetFormatPr defaultColWidth="9" defaultRowHeight="17.25" customHeight="1" x14ac:dyDescent="0.4"/>
  <cols>
    <col min="1" max="1" width="16.5" style="1" customWidth="1"/>
    <col min="2" max="3" width="27.59765625" style="1" customWidth="1"/>
    <col min="4" max="4" width="11.5" style="1" customWidth="1"/>
    <col min="5" max="256" width="9" style="1"/>
    <col min="257" max="257" width="16.5" style="1" customWidth="1"/>
    <col min="258" max="259" width="27.59765625" style="1" customWidth="1"/>
    <col min="260" max="260" width="11.5" style="1" customWidth="1"/>
    <col min="261" max="512" width="9" style="1"/>
    <col min="513" max="513" width="16.5" style="1" customWidth="1"/>
    <col min="514" max="515" width="27.59765625" style="1" customWidth="1"/>
    <col min="516" max="516" width="11.5" style="1" customWidth="1"/>
    <col min="517" max="768" width="9" style="1"/>
    <col min="769" max="769" width="16.5" style="1" customWidth="1"/>
    <col min="770" max="771" width="27.59765625" style="1" customWidth="1"/>
    <col min="772" max="772" width="11.5" style="1" customWidth="1"/>
    <col min="773" max="1024" width="9" style="1"/>
    <col min="1025" max="1025" width="16.5" style="1" customWidth="1"/>
    <col min="1026" max="1027" width="27.59765625" style="1" customWidth="1"/>
    <col min="1028" max="1028" width="11.5" style="1" customWidth="1"/>
    <col min="1029" max="1280" width="9" style="1"/>
    <col min="1281" max="1281" width="16.5" style="1" customWidth="1"/>
    <col min="1282" max="1283" width="27.59765625" style="1" customWidth="1"/>
    <col min="1284" max="1284" width="11.5" style="1" customWidth="1"/>
    <col min="1285" max="1536" width="9" style="1"/>
    <col min="1537" max="1537" width="16.5" style="1" customWidth="1"/>
    <col min="1538" max="1539" width="27.59765625" style="1" customWidth="1"/>
    <col min="1540" max="1540" width="11.5" style="1" customWidth="1"/>
    <col min="1541" max="1792" width="9" style="1"/>
    <col min="1793" max="1793" width="16.5" style="1" customWidth="1"/>
    <col min="1794" max="1795" width="27.59765625" style="1" customWidth="1"/>
    <col min="1796" max="1796" width="11.5" style="1" customWidth="1"/>
    <col min="1797" max="2048" width="9" style="1"/>
    <col min="2049" max="2049" width="16.5" style="1" customWidth="1"/>
    <col min="2050" max="2051" width="27.59765625" style="1" customWidth="1"/>
    <col min="2052" max="2052" width="11.5" style="1" customWidth="1"/>
    <col min="2053" max="2304" width="9" style="1"/>
    <col min="2305" max="2305" width="16.5" style="1" customWidth="1"/>
    <col min="2306" max="2307" width="27.59765625" style="1" customWidth="1"/>
    <col min="2308" max="2308" width="11.5" style="1" customWidth="1"/>
    <col min="2309" max="2560" width="9" style="1"/>
    <col min="2561" max="2561" width="16.5" style="1" customWidth="1"/>
    <col min="2562" max="2563" width="27.59765625" style="1" customWidth="1"/>
    <col min="2564" max="2564" width="11.5" style="1" customWidth="1"/>
    <col min="2565" max="2816" width="9" style="1"/>
    <col min="2817" max="2817" width="16.5" style="1" customWidth="1"/>
    <col min="2818" max="2819" width="27.59765625" style="1" customWidth="1"/>
    <col min="2820" max="2820" width="11.5" style="1" customWidth="1"/>
    <col min="2821" max="3072" width="9" style="1"/>
    <col min="3073" max="3073" width="16.5" style="1" customWidth="1"/>
    <col min="3074" max="3075" width="27.59765625" style="1" customWidth="1"/>
    <col min="3076" max="3076" width="11.5" style="1" customWidth="1"/>
    <col min="3077" max="3328" width="9" style="1"/>
    <col min="3329" max="3329" width="16.5" style="1" customWidth="1"/>
    <col min="3330" max="3331" width="27.59765625" style="1" customWidth="1"/>
    <col min="3332" max="3332" width="11.5" style="1" customWidth="1"/>
    <col min="3333" max="3584" width="9" style="1"/>
    <col min="3585" max="3585" width="16.5" style="1" customWidth="1"/>
    <col min="3586" max="3587" width="27.59765625" style="1" customWidth="1"/>
    <col min="3588" max="3588" width="11.5" style="1" customWidth="1"/>
    <col min="3589" max="3840" width="9" style="1"/>
    <col min="3841" max="3841" width="16.5" style="1" customWidth="1"/>
    <col min="3842" max="3843" width="27.59765625" style="1" customWidth="1"/>
    <col min="3844" max="3844" width="11.5" style="1" customWidth="1"/>
    <col min="3845" max="4096" width="9" style="1"/>
    <col min="4097" max="4097" width="16.5" style="1" customWidth="1"/>
    <col min="4098" max="4099" width="27.59765625" style="1" customWidth="1"/>
    <col min="4100" max="4100" width="11.5" style="1" customWidth="1"/>
    <col min="4101" max="4352" width="9" style="1"/>
    <col min="4353" max="4353" width="16.5" style="1" customWidth="1"/>
    <col min="4354" max="4355" width="27.59765625" style="1" customWidth="1"/>
    <col min="4356" max="4356" width="11.5" style="1" customWidth="1"/>
    <col min="4357" max="4608" width="9" style="1"/>
    <col min="4609" max="4609" width="16.5" style="1" customWidth="1"/>
    <col min="4610" max="4611" width="27.59765625" style="1" customWidth="1"/>
    <col min="4612" max="4612" width="11.5" style="1" customWidth="1"/>
    <col min="4613" max="4864" width="9" style="1"/>
    <col min="4865" max="4865" width="16.5" style="1" customWidth="1"/>
    <col min="4866" max="4867" width="27.59765625" style="1" customWidth="1"/>
    <col min="4868" max="4868" width="11.5" style="1" customWidth="1"/>
    <col min="4869" max="5120" width="9" style="1"/>
    <col min="5121" max="5121" width="16.5" style="1" customWidth="1"/>
    <col min="5122" max="5123" width="27.59765625" style="1" customWidth="1"/>
    <col min="5124" max="5124" width="11.5" style="1" customWidth="1"/>
    <col min="5125" max="5376" width="9" style="1"/>
    <col min="5377" max="5377" width="16.5" style="1" customWidth="1"/>
    <col min="5378" max="5379" width="27.59765625" style="1" customWidth="1"/>
    <col min="5380" max="5380" width="11.5" style="1" customWidth="1"/>
    <col min="5381" max="5632" width="9" style="1"/>
    <col min="5633" max="5633" width="16.5" style="1" customWidth="1"/>
    <col min="5634" max="5635" width="27.59765625" style="1" customWidth="1"/>
    <col min="5636" max="5636" width="11.5" style="1" customWidth="1"/>
    <col min="5637" max="5888" width="9" style="1"/>
    <col min="5889" max="5889" width="16.5" style="1" customWidth="1"/>
    <col min="5890" max="5891" width="27.59765625" style="1" customWidth="1"/>
    <col min="5892" max="5892" width="11.5" style="1" customWidth="1"/>
    <col min="5893" max="6144" width="9" style="1"/>
    <col min="6145" max="6145" width="16.5" style="1" customWidth="1"/>
    <col min="6146" max="6147" width="27.59765625" style="1" customWidth="1"/>
    <col min="6148" max="6148" width="11.5" style="1" customWidth="1"/>
    <col min="6149" max="6400" width="9" style="1"/>
    <col min="6401" max="6401" width="16.5" style="1" customWidth="1"/>
    <col min="6402" max="6403" width="27.59765625" style="1" customWidth="1"/>
    <col min="6404" max="6404" width="11.5" style="1" customWidth="1"/>
    <col min="6405" max="6656" width="9" style="1"/>
    <col min="6657" max="6657" width="16.5" style="1" customWidth="1"/>
    <col min="6658" max="6659" width="27.59765625" style="1" customWidth="1"/>
    <col min="6660" max="6660" width="11.5" style="1" customWidth="1"/>
    <col min="6661" max="6912" width="9" style="1"/>
    <col min="6913" max="6913" width="16.5" style="1" customWidth="1"/>
    <col min="6914" max="6915" width="27.59765625" style="1" customWidth="1"/>
    <col min="6916" max="6916" width="11.5" style="1" customWidth="1"/>
    <col min="6917" max="7168" width="9" style="1"/>
    <col min="7169" max="7169" width="16.5" style="1" customWidth="1"/>
    <col min="7170" max="7171" width="27.59765625" style="1" customWidth="1"/>
    <col min="7172" max="7172" width="11.5" style="1" customWidth="1"/>
    <col min="7173" max="7424" width="9" style="1"/>
    <col min="7425" max="7425" width="16.5" style="1" customWidth="1"/>
    <col min="7426" max="7427" width="27.59765625" style="1" customWidth="1"/>
    <col min="7428" max="7428" width="11.5" style="1" customWidth="1"/>
    <col min="7429" max="7680" width="9" style="1"/>
    <col min="7681" max="7681" width="16.5" style="1" customWidth="1"/>
    <col min="7682" max="7683" width="27.59765625" style="1" customWidth="1"/>
    <col min="7684" max="7684" width="11.5" style="1" customWidth="1"/>
    <col min="7685" max="7936" width="9" style="1"/>
    <col min="7937" max="7937" width="16.5" style="1" customWidth="1"/>
    <col min="7938" max="7939" width="27.59765625" style="1" customWidth="1"/>
    <col min="7940" max="7940" width="11.5" style="1" customWidth="1"/>
    <col min="7941" max="8192" width="9" style="1"/>
    <col min="8193" max="8193" width="16.5" style="1" customWidth="1"/>
    <col min="8194" max="8195" width="27.59765625" style="1" customWidth="1"/>
    <col min="8196" max="8196" width="11.5" style="1" customWidth="1"/>
    <col min="8197" max="8448" width="9" style="1"/>
    <col min="8449" max="8449" width="16.5" style="1" customWidth="1"/>
    <col min="8450" max="8451" width="27.59765625" style="1" customWidth="1"/>
    <col min="8452" max="8452" width="11.5" style="1" customWidth="1"/>
    <col min="8453" max="8704" width="9" style="1"/>
    <col min="8705" max="8705" width="16.5" style="1" customWidth="1"/>
    <col min="8706" max="8707" width="27.59765625" style="1" customWidth="1"/>
    <col min="8708" max="8708" width="11.5" style="1" customWidth="1"/>
    <col min="8709" max="8960" width="9" style="1"/>
    <col min="8961" max="8961" width="16.5" style="1" customWidth="1"/>
    <col min="8962" max="8963" width="27.59765625" style="1" customWidth="1"/>
    <col min="8964" max="8964" width="11.5" style="1" customWidth="1"/>
    <col min="8965" max="9216" width="9" style="1"/>
    <col min="9217" max="9217" width="16.5" style="1" customWidth="1"/>
    <col min="9218" max="9219" width="27.59765625" style="1" customWidth="1"/>
    <col min="9220" max="9220" width="11.5" style="1" customWidth="1"/>
    <col min="9221" max="9472" width="9" style="1"/>
    <col min="9473" max="9473" width="16.5" style="1" customWidth="1"/>
    <col min="9474" max="9475" width="27.59765625" style="1" customWidth="1"/>
    <col min="9476" max="9476" width="11.5" style="1" customWidth="1"/>
    <col min="9477" max="9728" width="9" style="1"/>
    <col min="9729" max="9729" width="16.5" style="1" customWidth="1"/>
    <col min="9730" max="9731" width="27.59765625" style="1" customWidth="1"/>
    <col min="9732" max="9732" width="11.5" style="1" customWidth="1"/>
    <col min="9733" max="9984" width="9" style="1"/>
    <col min="9985" max="9985" width="16.5" style="1" customWidth="1"/>
    <col min="9986" max="9987" width="27.59765625" style="1" customWidth="1"/>
    <col min="9988" max="9988" width="11.5" style="1" customWidth="1"/>
    <col min="9989" max="10240" width="9" style="1"/>
    <col min="10241" max="10241" width="16.5" style="1" customWidth="1"/>
    <col min="10242" max="10243" width="27.59765625" style="1" customWidth="1"/>
    <col min="10244" max="10244" width="11.5" style="1" customWidth="1"/>
    <col min="10245" max="10496" width="9" style="1"/>
    <col min="10497" max="10497" width="16.5" style="1" customWidth="1"/>
    <col min="10498" max="10499" width="27.59765625" style="1" customWidth="1"/>
    <col min="10500" max="10500" width="11.5" style="1" customWidth="1"/>
    <col min="10501" max="10752" width="9" style="1"/>
    <col min="10753" max="10753" width="16.5" style="1" customWidth="1"/>
    <col min="10754" max="10755" width="27.59765625" style="1" customWidth="1"/>
    <col min="10756" max="10756" width="11.5" style="1" customWidth="1"/>
    <col min="10757" max="11008" width="9" style="1"/>
    <col min="11009" max="11009" width="16.5" style="1" customWidth="1"/>
    <col min="11010" max="11011" width="27.59765625" style="1" customWidth="1"/>
    <col min="11012" max="11012" width="11.5" style="1" customWidth="1"/>
    <col min="11013" max="11264" width="9" style="1"/>
    <col min="11265" max="11265" width="16.5" style="1" customWidth="1"/>
    <col min="11266" max="11267" width="27.59765625" style="1" customWidth="1"/>
    <col min="11268" max="11268" width="11.5" style="1" customWidth="1"/>
    <col min="11269" max="11520" width="9" style="1"/>
    <col min="11521" max="11521" width="16.5" style="1" customWidth="1"/>
    <col min="11522" max="11523" width="27.59765625" style="1" customWidth="1"/>
    <col min="11524" max="11524" width="11.5" style="1" customWidth="1"/>
    <col min="11525" max="11776" width="9" style="1"/>
    <col min="11777" max="11777" width="16.5" style="1" customWidth="1"/>
    <col min="11778" max="11779" width="27.59765625" style="1" customWidth="1"/>
    <col min="11780" max="11780" width="11.5" style="1" customWidth="1"/>
    <col min="11781" max="12032" width="9" style="1"/>
    <col min="12033" max="12033" width="16.5" style="1" customWidth="1"/>
    <col min="12034" max="12035" width="27.59765625" style="1" customWidth="1"/>
    <col min="12036" max="12036" width="11.5" style="1" customWidth="1"/>
    <col min="12037" max="12288" width="9" style="1"/>
    <col min="12289" max="12289" width="16.5" style="1" customWidth="1"/>
    <col min="12290" max="12291" width="27.59765625" style="1" customWidth="1"/>
    <col min="12292" max="12292" width="11.5" style="1" customWidth="1"/>
    <col min="12293" max="12544" width="9" style="1"/>
    <col min="12545" max="12545" width="16.5" style="1" customWidth="1"/>
    <col min="12546" max="12547" width="27.59765625" style="1" customWidth="1"/>
    <col min="12548" max="12548" width="11.5" style="1" customWidth="1"/>
    <col min="12549" max="12800" width="9" style="1"/>
    <col min="12801" max="12801" width="16.5" style="1" customWidth="1"/>
    <col min="12802" max="12803" width="27.59765625" style="1" customWidth="1"/>
    <col min="12804" max="12804" width="11.5" style="1" customWidth="1"/>
    <col min="12805" max="13056" width="9" style="1"/>
    <col min="13057" max="13057" width="16.5" style="1" customWidth="1"/>
    <col min="13058" max="13059" width="27.59765625" style="1" customWidth="1"/>
    <col min="13060" max="13060" width="11.5" style="1" customWidth="1"/>
    <col min="13061" max="13312" width="9" style="1"/>
    <col min="13313" max="13313" width="16.5" style="1" customWidth="1"/>
    <col min="13314" max="13315" width="27.59765625" style="1" customWidth="1"/>
    <col min="13316" max="13316" width="11.5" style="1" customWidth="1"/>
    <col min="13317" max="13568" width="9" style="1"/>
    <col min="13569" max="13569" width="16.5" style="1" customWidth="1"/>
    <col min="13570" max="13571" width="27.59765625" style="1" customWidth="1"/>
    <col min="13572" max="13572" width="11.5" style="1" customWidth="1"/>
    <col min="13573" max="13824" width="9" style="1"/>
    <col min="13825" max="13825" width="16.5" style="1" customWidth="1"/>
    <col min="13826" max="13827" width="27.59765625" style="1" customWidth="1"/>
    <col min="13828" max="13828" width="11.5" style="1" customWidth="1"/>
    <col min="13829" max="14080" width="9" style="1"/>
    <col min="14081" max="14081" width="16.5" style="1" customWidth="1"/>
    <col min="14082" max="14083" width="27.59765625" style="1" customWidth="1"/>
    <col min="14084" max="14084" width="11.5" style="1" customWidth="1"/>
    <col min="14085" max="14336" width="9" style="1"/>
    <col min="14337" max="14337" width="16.5" style="1" customWidth="1"/>
    <col min="14338" max="14339" width="27.59765625" style="1" customWidth="1"/>
    <col min="14340" max="14340" width="11.5" style="1" customWidth="1"/>
    <col min="14341" max="14592" width="9" style="1"/>
    <col min="14593" max="14593" width="16.5" style="1" customWidth="1"/>
    <col min="14594" max="14595" width="27.59765625" style="1" customWidth="1"/>
    <col min="14596" max="14596" width="11.5" style="1" customWidth="1"/>
    <col min="14597" max="14848" width="9" style="1"/>
    <col min="14849" max="14849" width="16.5" style="1" customWidth="1"/>
    <col min="14850" max="14851" width="27.59765625" style="1" customWidth="1"/>
    <col min="14852" max="14852" width="11.5" style="1" customWidth="1"/>
    <col min="14853" max="15104" width="9" style="1"/>
    <col min="15105" max="15105" width="16.5" style="1" customWidth="1"/>
    <col min="15106" max="15107" width="27.59765625" style="1" customWidth="1"/>
    <col min="15108" max="15108" width="11.5" style="1" customWidth="1"/>
    <col min="15109" max="15360" width="9" style="1"/>
    <col min="15361" max="15361" width="16.5" style="1" customWidth="1"/>
    <col min="15362" max="15363" width="27.59765625" style="1" customWidth="1"/>
    <col min="15364" max="15364" width="11.5" style="1" customWidth="1"/>
    <col min="15365" max="15616" width="9" style="1"/>
    <col min="15617" max="15617" width="16.5" style="1" customWidth="1"/>
    <col min="15618" max="15619" width="27.59765625" style="1" customWidth="1"/>
    <col min="15620" max="15620" width="11.5" style="1" customWidth="1"/>
    <col min="15621" max="15872" width="9" style="1"/>
    <col min="15873" max="15873" width="16.5" style="1" customWidth="1"/>
    <col min="15874" max="15875" width="27.59765625" style="1" customWidth="1"/>
    <col min="15876" max="15876" width="11.5" style="1" customWidth="1"/>
    <col min="15877" max="16128" width="9" style="1"/>
    <col min="16129" max="16129" width="16.5" style="1" customWidth="1"/>
    <col min="16130" max="16131" width="27.59765625" style="1" customWidth="1"/>
    <col min="16132" max="16132" width="11.5" style="1" customWidth="1"/>
    <col min="16133" max="16384" width="9" style="1"/>
  </cols>
  <sheetData>
    <row r="1" spans="1:4" ht="17.25" customHeight="1" x14ac:dyDescent="0.4">
      <c r="A1" s="1" t="s">
        <v>277</v>
      </c>
    </row>
    <row r="2" spans="1:4" ht="17.25" customHeight="1" x14ac:dyDescent="0.4">
      <c r="D2" s="26" t="s">
        <v>92</v>
      </c>
    </row>
    <row r="3" spans="1:4" ht="24.75" customHeight="1" x14ac:dyDescent="0.4">
      <c r="A3" s="292" t="s">
        <v>278</v>
      </c>
    </row>
    <row r="4" spans="1:4" ht="11.25" customHeight="1" x14ac:dyDescent="0.4"/>
    <row r="5" spans="1:4" s="294" customFormat="1" ht="21" customHeight="1" thickBot="1" x14ac:dyDescent="0.45">
      <c r="A5" s="293" t="s">
        <v>279</v>
      </c>
      <c r="B5" s="293" t="s">
        <v>280</v>
      </c>
      <c r="C5" s="293" t="s">
        <v>281</v>
      </c>
      <c r="D5" s="293" t="s">
        <v>30</v>
      </c>
    </row>
    <row r="6" spans="1:4" ht="17.25" customHeight="1" thickTop="1" x14ac:dyDescent="0.4">
      <c r="A6" s="272"/>
      <c r="B6" s="272"/>
      <c r="C6" s="272"/>
      <c r="D6" s="272"/>
    </row>
    <row r="7" spans="1:4" ht="17.25" customHeight="1" x14ac:dyDescent="0.4">
      <c r="A7" s="272"/>
      <c r="B7" s="272"/>
      <c r="C7" s="272"/>
      <c r="D7" s="272"/>
    </row>
    <row r="8" spans="1:4" ht="17.25" customHeight="1" x14ac:dyDescent="0.4">
      <c r="A8" s="272"/>
      <c r="B8" s="272"/>
      <c r="C8" s="272"/>
      <c r="D8" s="272"/>
    </row>
    <row r="9" spans="1:4" ht="17.25" customHeight="1" x14ac:dyDescent="0.4">
      <c r="A9" s="272"/>
      <c r="B9" s="272"/>
      <c r="C9" s="272"/>
      <c r="D9" s="272"/>
    </row>
    <row r="10" spans="1:4" ht="17.25" customHeight="1" x14ac:dyDescent="0.4">
      <c r="A10" s="272"/>
      <c r="B10" s="272"/>
      <c r="C10" s="272"/>
      <c r="D10" s="272"/>
    </row>
    <row r="11" spans="1:4" ht="17.25" customHeight="1" x14ac:dyDescent="0.4">
      <c r="A11" s="272"/>
      <c r="B11" s="272"/>
      <c r="C11" s="272"/>
      <c r="D11" s="272"/>
    </row>
    <row r="12" spans="1:4" ht="17.25" customHeight="1" x14ac:dyDescent="0.4">
      <c r="A12" s="272"/>
      <c r="B12" s="272"/>
      <c r="C12" s="272"/>
      <c r="D12" s="272"/>
    </row>
    <row r="13" spans="1:4" ht="17.25" customHeight="1" x14ac:dyDescent="0.4">
      <c r="A13" s="272"/>
      <c r="B13" s="272"/>
      <c r="C13" s="272"/>
      <c r="D13" s="272"/>
    </row>
    <row r="14" spans="1:4" ht="17.25" customHeight="1" x14ac:dyDescent="0.4">
      <c r="A14" s="272"/>
      <c r="B14" s="272"/>
      <c r="C14" s="272"/>
      <c r="D14" s="272"/>
    </row>
    <row r="15" spans="1:4" ht="17.25" customHeight="1" x14ac:dyDescent="0.4">
      <c r="A15" s="272"/>
      <c r="B15" s="272"/>
      <c r="C15" s="272"/>
      <c r="D15" s="272"/>
    </row>
    <row r="16" spans="1:4" ht="17.25" customHeight="1" x14ac:dyDescent="0.4">
      <c r="A16" s="272"/>
      <c r="B16" s="272"/>
      <c r="C16" s="272"/>
      <c r="D16" s="272"/>
    </row>
    <row r="17" spans="1:4" ht="17.25" customHeight="1" x14ac:dyDescent="0.4">
      <c r="A17" s="272"/>
      <c r="B17" s="272"/>
      <c r="C17" s="272"/>
      <c r="D17" s="272"/>
    </row>
    <row r="18" spans="1:4" ht="17.25" customHeight="1" x14ac:dyDescent="0.4">
      <c r="A18" s="272"/>
      <c r="B18" s="272"/>
      <c r="C18" s="272"/>
      <c r="D18" s="272"/>
    </row>
    <row r="19" spans="1:4" ht="17.25" customHeight="1" x14ac:dyDescent="0.4">
      <c r="A19" s="272"/>
      <c r="B19" s="272"/>
      <c r="C19" s="272"/>
      <c r="D19" s="272"/>
    </row>
    <row r="20" spans="1:4" ht="17.25" customHeight="1" x14ac:dyDescent="0.4">
      <c r="A20" s="272"/>
      <c r="B20" s="272"/>
      <c r="C20" s="272"/>
      <c r="D20" s="272"/>
    </row>
    <row r="21" spans="1:4" ht="17.25" customHeight="1" x14ac:dyDescent="0.4">
      <c r="A21" s="272"/>
      <c r="B21" s="272"/>
      <c r="C21" s="272"/>
      <c r="D21" s="272"/>
    </row>
    <row r="22" spans="1:4" ht="17.25" customHeight="1" x14ac:dyDescent="0.4">
      <c r="A22" s="272"/>
      <c r="B22" s="272"/>
      <c r="C22" s="272"/>
      <c r="D22" s="272"/>
    </row>
    <row r="23" spans="1:4" ht="17.25" customHeight="1" x14ac:dyDescent="0.4">
      <c r="A23" s="272"/>
      <c r="B23" s="272"/>
      <c r="C23" s="272"/>
      <c r="D23" s="272"/>
    </row>
    <row r="24" spans="1:4" ht="17.25" customHeight="1" x14ac:dyDescent="0.4">
      <c r="A24" s="272"/>
      <c r="B24" s="272"/>
      <c r="C24" s="272"/>
      <c r="D24" s="272"/>
    </row>
    <row r="25" spans="1:4" ht="17.25" customHeight="1" x14ac:dyDescent="0.4">
      <c r="A25" s="272"/>
      <c r="B25" s="272"/>
      <c r="C25" s="272"/>
      <c r="D25" s="272"/>
    </row>
    <row r="26" spans="1:4" ht="17.25" customHeight="1" x14ac:dyDescent="0.4">
      <c r="A26" s="272"/>
      <c r="B26" s="272"/>
      <c r="C26" s="272"/>
      <c r="D26" s="272"/>
    </row>
    <row r="27" spans="1:4" ht="17.25" customHeight="1" x14ac:dyDescent="0.4">
      <c r="A27" s="272"/>
      <c r="B27" s="272"/>
      <c r="C27" s="272"/>
      <c r="D27" s="272"/>
    </row>
    <row r="28" spans="1:4" ht="17.25" customHeight="1" x14ac:dyDescent="0.4">
      <c r="A28" s="272"/>
      <c r="B28" s="272"/>
      <c r="C28" s="272"/>
      <c r="D28" s="272"/>
    </row>
    <row r="29" spans="1:4" ht="17.25" customHeight="1" x14ac:dyDescent="0.4">
      <c r="A29" s="272"/>
      <c r="B29" s="272"/>
      <c r="C29" s="272"/>
      <c r="D29" s="272"/>
    </row>
    <row r="30" spans="1:4" ht="17.25" customHeight="1" x14ac:dyDescent="0.4">
      <c r="A30" s="272"/>
      <c r="B30" s="272"/>
      <c r="C30" s="272"/>
      <c r="D30" s="272"/>
    </row>
    <row r="31" spans="1:4" ht="17.25" customHeight="1" x14ac:dyDescent="0.4">
      <c r="A31" s="272"/>
      <c r="B31" s="272"/>
      <c r="C31" s="272"/>
      <c r="D31" s="272"/>
    </row>
    <row r="32" spans="1:4" ht="17.25" customHeight="1" x14ac:dyDescent="0.4">
      <c r="A32" s="272"/>
      <c r="B32" s="272"/>
      <c r="C32" s="272"/>
      <c r="D32" s="272"/>
    </row>
    <row r="33" spans="1:4" ht="17.25" customHeight="1" x14ac:dyDescent="0.4">
      <c r="A33" s="272"/>
      <c r="B33" s="272"/>
      <c r="C33" s="272"/>
      <c r="D33" s="272"/>
    </row>
    <row r="34" spans="1:4" ht="17.25" customHeight="1" x14ac:dyDescent="0.4">
      <c r="A34" s="272"/>
      <c r="B34" s="272"/>
      <c r="C34" s="272"/>
      <c r="D34" s="272"/>
    </row>
    <row r="35" spans="1:4" ht="17.25" customHeight="1" x14ac:dyDescent="0.4">
      <c r="A35" s="272"/>
      <c r="B35" s="272"/>
      <c r="C35" s="272"/>
      <c r="D35" s="272"/>
    </row>
    <row r="36" spans="1:4" ht="17.25" customHeight="1" x14ac:dyDescent="0.4">
      <c r="A36" s="213"/>
      <c r="B36" s="213"/>
      <c r="C36" s="213"/>
      <c r="D36" s="213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  <headerFooter>
    <oddHeader>&amp;C&amp;G</oddHeader>
    <oddFooter>&amp;L_x000D_&amp;1#&amp;"Malgun Gothic"&amp;6&amp;K000000 외부 전송용(No Protection) 손철호 책임매니저 통합구매팀 son@hyundai-wia.com 2026-07-07T13:17:44 본 문서는 현대위아(주)의 정보 자산으로써 무단으로 전제 및 복제할 수 없으며, 이를 위반할 시에는 당사 사규 및 관련 법규에 의해 제재를 받을 수 있습니다.</oddFooter>
  </headerFooter>
  <legacyDrawingHF r:id="rId1"/>
</worksheet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14</vt:i4>
      </vt:variant>
    </vt:vector>
  </HeadingPairs>
  <TitlesOfParts>
    <vt:vector size="29" baseType="lpstr">
      <vt:lpstr>갑지</vt:lpstr>
      <vt:lpstr>원가항목별(집계)</vt:lpstr>
      <vt:lpstr>단위공사별(집계)</vt:lpstr>
      <vt:lpstr>공사(라인)1</vt:lpstr>
      <vt:lpstr>공사(라인)2</vt:lpstr>
      <vt:lpstr>공사(라인)3</vt:lpstr>
      <vt:lpstr>공사(라인)4</vt:lpstr>
      <vt:lpstr>공사(라인)5</vt:lpstr>
      <vt:lpstr>공사(라인)6</vt:lpstr>
      <vt:lpstr>공사(라인)7</vt:lpstr>
      <vt:lpstr>공사(라인)8</vt:lpstr>
      <vt:lpstr>공사(라인)9</vt:lpstr>
      <vt:lpstr>공사(라인)10</vt:lpstr>
      <vt:lpstr>첨부(견적조건차이내역)</vt:lpstr>
      <vt:lpstr>Sheet1</vt:lpstr>
      <vt:lpstr>갑지!Print_Area</vt:lpstr>
      <vt:lpstr>'공사(라인)1'!Print_Area</vt:lpstr>
      <vt:lpstr>'공사(라인)10'!Print_Area</vt:lpstr>
      <vt:lpstr>'공사(라인)2'!Print_Area</vt:lpstr>
      <vt:lpstr>'공사(라인)3'!Print_Area</vt:lpstr>
      <vt:lpstr>'공사(라인)4'!Print_Area</vt:lpstr>
      <vt:lpstr>'공사(라인)5'!Print_Area</vt:lpstr>
      <vt:lpstr>'공사(라인)6'!Print_Area</vt:lpstr>
      <vt:lpstr>'공사(라인)7'!Print_Area</vt:lpstr>
      <vt:lpstr>'공사(라인)8'!Print_Area</vt:lpstr>
      <vt:lpstr>'공사(라인)9'!Print_Area</vt:lpstr>
      <vt:lpstr>'단위공사별(집계)'!Print_Area</vt:lpstr>
      <vt:lpstr>'원가항목별(집계)'!Print_Area</vt:lpstr>
      <vt:lpstr>'첨부(견적조건차이내역)'!Print_Area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손철호 책임매니저 통합구매팀</cp:lastModifiedBy>
  <dcterms:created xsi:type="dcterms:W3CDTF">2015-06-05T18:17:20Z</dcterms:created>
  <dcterms:modified xsi:type="dcterms:W3CDTF">2026-07-07T04:17:50Z</dcterms:modified>
</cp:coreProperties>
</file>