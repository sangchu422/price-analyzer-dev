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1\namkyungtechwin\4. 기술영업본부\2. 영업관리팀\1. 견적관리\2025년\NKT25226-현대위아(김학인)HEi 스테이터 라인 인도 현지화\08A 견적 - 사양 설명회 - 입찰\위아 양식\mail\"/>
    </mc:Choice>
  </mc:AlternateContent>
  <xr:revisionPtr revIDLastSave="0" documentId="13_ncr:1_{B211AB96-CB33-4F36-9398-C8C31C5257AE}" xr6:coauthVersionLast="47" xr6:coauthVersionMax="47" xr10:uidLastSave="{00000000-0000-0000-0000-000000000000}"/>
  <bookViews>
    <workbookView xWindow="18450" yWindow="1905" windowWidth="29040" windowHeight="18315" tabRatio="930" xr2:uid="{CA77F3F2-0BA4-414A-9E3A-D9175A396F1A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포승 I-Pin 헤어핀 성형기" sheetId="5" r:id="rId5"/>
    <sheet name="U핀 가정열 설비" sheetId="6" r:id="rId6"/>
    <sheet name="I핀 가정열 설비" sheetId="7" r:id="rId7"/>
    <sheet name="코어 자동화 로딩기" sheetId="8" r:id="rId8"/>
    <sheet name="절연지 삽입" sheetId="9" r:id="rId9"/>
    <sheet name="인서팅" sheetId="10" r:id="rId10"/>
    <sheet name="확관" sheetId="11" r:id="rId11"/>
    <sheet name="트위스팅" sheetId="12" r:id="rId12"/>
    <sheet name="하부컷팅" sheetId="13" r:id="rId13"/>
    <sheet name="납품, 현지설치 및 이벤트 양산대응" sheetId="14" r:id="rId14"/>
    <sheet name="첨부(견적조건차이내역)" sheetId="15" r:id="rId15"/>
  </sheets>
  <definedNames>
    <definedName name="_xlnm._FilterDatabase" localSheetId="6" hidden="1">'I핀 가정열 설비'!#REF!</definedName>
    <definedName name="_xlnm._FilterDatabase" localSheetId="5" hidden="1">'U핀 가정열 설비'!$A$2:$I$85</definedName>
    <definedName name="_xlnm._FilterDatabase" localSheetId="9" hidden="1">인서팅!$J$2:$J$87</definedName>
    <definedName name="_xlnm._FilterDatabase" localSheetId="3" hidden="1">전기!$A$2:$I$67</definedName>
    <definedName name="_xlnm._FilterDatabase" localSheetId="8" hidden="1">'절연지 삽입'!$J$2:$J$114</definedName>
    <definedName name="_xlnm._FilterDatabase" localSheetId="7" hidden="1">'코어 자동화 로딩기'!$J$2:$J$129</definedName>
    <definedName name="_xlnm._FilterDatabase" localSheetId="11" hidden="1">트위스팅!$J$2:$J$92</definedName>
    <definedName name="_xlnm._FilterDatabase" localSheetId="4" hidden="1">'포승 I-Pin 헤어핀 성형기'!$A$2:$I$136</definedName>
    <definedName name="_xlnm._FilterDatabase" localSheetId="10" hidden="1">확관!$J$2:$J$84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12" l="1"/>
  <c r="H54" i="11"/>
  <c r="H102" i="8"/>
  <c r="H101" i="8"/>
  <c r="H55" i="14" l="1"/>
  <c r="H56" i="14"/>
  <c r="H57" i="14"/>
  <c r="H25" i="14"/>
  <c r="H26" i="14"/>
  <c r="H27" i="14"/>
  <c r="H28" i="14"/>
  <c r="H29" i="14"/>
  <c r="H30" i="14"/>
  <c r="H31" i="14"/>
  <c r="H32" i="14"/>
  <c r="H26" i="7" l="1"/>
  <c r="H27" i="7"/>
  <c r="H17" i="13"/>
  <c r="H16" i="13"/>
  <c r="H26" i="6"/>
  <c r="H27" i="6"/>
  <c r="H42" i="5"/>
  <c r="H9" i="7"/>
  <c r="H10" i="7"/>
  <c r="H11" i="7"/>
  <c r="H17" i="6"/>
  <c r="H18" i="6"/>
  <c r="H21" i="8"/>
  <c r="H22" i="8"/>
  <c r="H23" i="8"/>
  <c r="H103" i="8"/>
  <c r="H104" i="8"/>
  <c r="H63" i="13"/>
  <c r="H62" i="13"/>
  <c r="H61" i="13"/>
  <c r="G15" i="3" s="1"/>
  <c r="H60" i="13"/>
  <c r="H59" i="13"/>
  <c r="H58" i="13"/>
  <c r="H57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12" i="13"/>
  <c r="H11" i="13"/>
  <c r="H10" i="13"/>
  <c r="H9" i="13"/>
  <c r="H8" i="13"/>
  <c r="H7" i="13"/>
  <c r="H6" i="13"/>
  <c r="H5" i="13"/>
  <c r="H4" i="13"/>
  <c r="H3" i="13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13" i="12"/>
  <c r="H12" i="12"/>
  <c r="H11" i="12"/>
  <c r="H10" i="12"/>
  <c r="H9" i="12"/>
  <c r="H8" i="12"/>
  <c r="H7" i="12"/>
  <c r="H6" i="12"/>
  <c r="H5" i="12"/>
  <c r="H4" i="12"/>
  <c r="H3" i="12"/>
  <c r="H41" i="11"/>
  <c r="H14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59" i="11"/>
  <c r="H58" i="11"/>
  <c r="H57" i="11"/>
  <c r="H56" i="11"/>
  <c r="H55" i="11"/>
  <c r="H13" i="11"/>
  <c r="H12" i="11"/>
  <c r="H11" i="11"/>
  <c r="H10" i="11"/>
  <c r="H9" i="11"/>
  <c r="H8" i="11"/>
  <c r="H7" i="11"/>
  <c r="H6" i="11"/>
  <c r="H5" i="11"/>
  <c r="H4" i="11"/>
  <c r="H3" i="11"/>
  <c r="H79" i="10"/>
  <c r="H80" i="10"/>
  <c r="H81" i="10"/>
  <c r="H82" i="10"/>
  <c r="H77" i="10"/>
  <c r="H45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31" i="10"/>
  <c r="H30" i="10"/>
  <c r="H29" i="10"/>
  <c r="H28" i="10"/>
  <c r="H27" i="10"/>
  <c r="H2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44" i="9"/>
  <c r="H43" i="9"/>
  <c r="H27" i="9"/>
  <c r="H28" i="9"/>
  <c r="H29" i="9"/>
  <c r="H30" i="9"/>
  <c r="H31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32" i="9"/>
  <c r="H33" i="9"/>
  <c r="H34" i="9"/>
  <c r="H105" i="8"/>
  <c r="H68" i="8"/>
  <c r="H60" i="8"/>
  <c r="H61" i="8"/>
  <c r="H62" i="8"/>
  <c r="H63" i="8"/>
  <c r="H64" i="8"/>
  <c r="H65" i="8"/>
  <c r="H66" i="8"/>
  <c r="H67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5" i="8"/>
  <c r="H84" i="8"/>
  <c r="H83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58" i="8"/>
  <c r="H57" i="8"/>
  <c r="H56" i="8"/>
  <c r="H55" i="8"/>
  <c r="H54" i="8"/>
  <c r="H53" i="8"/>
  <c r="H52" i="8"/>
  <c r="H51" i="8"/>
  <c r="H50" i="8"/>
  <c r="H49" i="8"/>
  <c r="H48" i="8"/>
  <c r="H47" i="8"/>
  <c r="H59" i="8"/>
  <c r="F15" i="3" l="1"/>
  <c r="H33" i="7"/>
  <c r="H32" i="7"/>
  <c r="H31" i="7"/>
  <c r="H39" i="7"/>
  <c r="H38" i="7"/>
  <c r="H37" i="7"/>
  <c r="H36" i="7"/>
  <c r="H35" i="7"/>
  <c r="H34" i="7"/>
  <c r="H8" i="7"/>
  <c r="H7" i="7"/>
  <c r="H6" i="7"/>
  <c r="H5" i="7"/>
  <c r="H4" i="7"/>
  <c r="H3" i="7"/>
  <c r="H50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9" i="6"/>
  <c r="H51" i="6"/>
  <c r="H52" i="6"/>
  <c r="H31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58" i="7" l="1"/>
  <c r="H60" i="5"/>
  <c r="H76" i="5"/>
  <c r="H71" i="5"/>
  <c r="H85" i="5" l="1"/>
  <c r="H83" i="5"/>
  <c r="H84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38" i="5" l="1"/>
  <c r="H81" i="5"/>
  <c r="H82" i="5"/>
  <c r="H59" i="5"/>
  <c r="H30" i="5"/>
  <c r="H31" i="5"/>
  <c r="H32" i="5"/>
  <c r="H33" i="5"/>
  <c r="H34" i="5"/>
  <c r="H37" i="5"/>
  <c r="H36" i="5"/>
  <c r="H35" i="5"/>
  <c r="H77" i="5"/>
  <c r="H15" i="5"/>
  <c r="H29" i="5"/>
  <c r="H23" i="5"/>
  <c r="H24" i="5"/>
  <c r="H25" i="5"/>
  <c r="H26" i="5"/>
  <c r="H27" i="5"/>
  <c r="H28" i="5"/>
  <c r="H75" i="5"/>
  <c r="H72" i="5"/>
  <c r="H55" i="5"/>
  <c r="H73" i="5"/>
  <c r="H70" i="5"/>
  <c r="H68" i="5"/>
  <c r="H69" i="5"/>
  <c r="H62" i="5"/>
  <c r="H63" i="5"/>
  <c r="H64" i="5"/>
  <c r="H65" i="5"/>
  <c r="H66" i="5"/>
  <c r="H67" i="5"/>
  <c r="H49" i="5" l="1"/>
  <c r="H50" i="5"/>
  <c r="H51" i="5"/>
  <c r="H52" i="5"/>
  <c r="H53" i="5"/>
  <c r="H54" i="5"/>
  <c r="H56" i="5"/>
  <c r="H57" i="5"/>
  <c r="H58" i="5"/>
  <c r="H48" i="5"/>
  <c r="H80" i="5"/>
  <c r="H22" i="5"/>
  <c r="H21" i="5"/>
  <c r="H20" i="5"/>
  <c r="H19" i="5"/>
  <c r="H18" i="5"/>
  <c r="H17" i="5"/>
  <c r="H16" i="5"/>
  <c r="H14" i="5"/>
  <c r="H13" i="5"/>
  <c r="H12" i="5"/>
  <c r="H11" i="5"/>
  <c r="H10" i="5"/>
  <c r="H9" i="5"/>
  <c r="H8" i="5"/>
  <c r="H7" i="5"/>
  <c r="H6" i="5"/>
  <c r="H5" i="5"/>
  <c r="H4" i="5"/>
  <c r="H3" i="5"/>
  <c r="H70" i="14" l="1"/>
  <c r="H69" i="14"/>
  <c r="H68" i="14"/>
  <c r="H67" i="14"/>
  <c r="H66" i="14"/>
  <c r="H65" i="14"/>
  <c r="E16" i="3" s="1"/>
  <c r="H64" i="14"/>
  <c r="D16" i="3" s="1"/>
  <c r="H63" i="14"/>
  <c r="H60" i="14"/>
  <c r="H59" i="14"/>
  <c r="H58" i="14"/>
  <c r="H54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15" i="3"/>
  <c r="H56" i="13"/>
  <c r="E15" i="3" s="1"/>
  <c r="H53" i="13"/>
  <c r="H52" i="13"/>
  <c r="H51" i="13"/>
  <c r="H50" i="13"/>
  <c r="H49" i="13"/>
  <c r="H48" i="13"/>
  <c r="H47" i="13"/>
  <c r="H19" i="13"/>
  <c r="H18" i="13"/>
  <c r="H87" i="12"/>
  <c r="H86" i="12"/>
  <c r="H14" i="3" s="1"/>
  <c r="H85" i="12"/>
  <c r="H84" i="12"/>
  <c r="H83" i="12"/>
  <c r="H82" i="12"/>
  <c r="H81" i="12"/>
  <c r="H80" i="12"/>
  <c r="E14" i="3" s="1"/>
  <c r="H77" i="12"/>
  <c r="H76" i="12"/>
  <c r="H75" i="12"/>
  <c r="H74" i="12"/>
  <c r="H73" i="12"/>
  <c r="H72" i="12"/>
  <c r="H71" i="12"/>
  <c r="H69" i="12"/>
  <c r="H39" i="12"/>
  <c r="H38" i="12"/>
  <c r="H37" i="12"/>
  <c r="H36" i="12"/>
  <c r="H35" i="12"/>
  <c r="H14" i="12"/>
  <c r="H80" i="11"/>
  <c r="H79" i="11"/>
  <c r="H13" i="3" s="1"/>
  <c r="H78" i="11"/>
  <c r="H77" i="11"/>
  <c r="H76" i="11"/>
  <c r="H75" i="11"/>
  <c r="H74" i="11"/>
  <c r="H73" i="11"/>
  <c r="E13" i="3" s="1"/>
  <c r="H70" i="11"/>
  <c r="H69" i="11"/>
  <c r="H68" i="11"/>
  <c r="H67" i="11"/>
  <c r="H66" i="11"/>
  <c r="H65" i="11"/>
  <c r="H64" i="11"/>
  <c r="H62" i="11"/>
  <c r="H61" i="11"/>
  <c r="H60" i="11"/>
  <c r="H21" i="11"/>
  <c r="H20" i="11"/>
  <c r="H19" i="11"/>
  <c r="H83" i="10"/>
  <c r="G12" i="3"/>
  <c r="H78" i="10"/>
  <c r="H76" i="10"/>
  <c r="H73" i="10"/>
  <c r="H72" i="10"/>
  <c r="H71" i="10"/>
  <c r="H70" i="10"/>
  <c r="H69" i="10"/>
  <c r="H68" i="10"/>
  <c r="H67" i="10"/>
  <c r="H66" i="10"/>
  <c r="H22" i="10"/>
  <c r="H21" i="10"/>
  <c r="H20" i="10"/>
  <c r="H109" i="9"/>
  <c r="H108" i="9"/>
  <c r="H11" i="3" s="1"/>
  <c r="H107" i="9"/>
  <c r="H106" i="9"/>
  <c r="H105" i="9"/>
  <c r="H104" i="9"/>
  <c r="H103" i="9"/>
  <c r="H102" i="9"/>
  <c r="H99" i="9"/>
  <c r="H98" i="9"/>
  <c r="H97" i="9"/>
  <c r="H96" i="9"/>
  <c r="H95" i="9"/>
  <c r="H94" i="9"/>
  <c r="H93" i="9"/>
  <c r="H91" i="9"/>
  <c r="H90" i="9"/>
  <c r="H39" i="9"/>
  <c r="H38" i="9"/>
  <c r="H37" i="9"/>
  <c r="H35" i="9"/>
  <c r="H36" i="9" s="1"/>
  <c r="H124" i="8"/>
  <c r="H123" i="8"/>
  <c r="H10" i="3" s="1"/>
  <c r="H122" i="8"/>
  <c r="H121" i="8"/>
  <c r="H120" i="8"/>
  <c r="H119" i="8"/>
  <c r="H118" i="8"/>
  <c r="H117" i="8"/>
  <c r="E10" i="3" s="1"/>
  <c r="H114" i="8"/>
  <c r="H113" i="8"/>
  <c r="H112" i="8"/>
  <c r="H111" i="8"/>
  <c r="H110" i="8"/>
  <c r="H109" i="8"/>
  <c r="H108" i="8"/>
  <c r="H106" i="8"/>
  <c r="H45" i="8"/>
  <c r="H44" i="8"/>
  <c r="H43" i="8"/>
  <c r="H42" i="8"/>
  <c r="H41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75" i="7"/>
  <c r="H74" i="7"/>
  <c r="H9" i="3" s="1"/>
  <c r="H73" i="7"/>
  <c r="H72" i="7"/>
  <c r="H71" i="7"/>
  <c r="H70" i="7"/>
  <c r="H69" i="7"/>
  <c r="H68" i="7"/>
  <c r="H65" i="7"/>
  <c r="H64" i="7"/>
  <c r="H63" i="7"/>
  <c r="H62" i="7"/>
  <c r="H61" i="7"/>
  <c r="H60" i="7"/>
  <c r="H59" i="7"/>
  <c r="H29" i="7"/>
  <c r="H28" i="7"/>
  <c r="H25" i="7"/>
  <c r="H23" i="7"/>
  <c r="H22" i="7"/>
  <c r="H21" i="7"/>
  <c r="H20" i="7"/>
  <c r="H19" i="7"/>
  <c r="H18" i="7"/>
  <c r="H17" i="7"/>
  <c r="H80" i="6"/>
  <c r="H79" i="6"/>
  <c r="H8" i="3" s="1"/>
  <c r="H78" i="6"/>
  <c r="H77" i="6"/>
  <c r="H76" i="6"/>
  <c r="H75" i="6"/>
  <c r="H74" i="6"/>
  <c r="H73" i="6"/>
  <c r="E8" i="3" s="1"/>
  <c r="H70" i="6"/>
  <c r="H69" i="6"/>
  <c r="H68" i="6"/>
  <c r="H67" i="6"/>
  <c r="H66" i="6"/>
  <c r="H65" i="6"/>
  <c r="H62" i="6"/>
  <c r="H57" i="6"/>
  <c r="H56" i="6"/>
  <c r="H55" i="6"/>
  <c r="H54" i="6"/>
  <c r="H53" i="6"/>
  <c r="H25" i="6"/>
  <c r="H23" i="6"/>
  <c r="H22" i="6"/>
  <c r="H21" i="6"/>
  <c r="H20" i="6"/>
  <c r="H19" i="6"/>
  <c r="H16" i="6"/>
  <c r="H131" i="5"/>
  <c r="H130" i="5"/>
  <c r="H7" i="3" s="1"/>
  <c r="H129" i="5"/>
  <c r="H128" i="5"/>
  <c r="G7" i="3" s="1"/>
  <c r="H127" i="5"/>
  <c r="H126" i="5"/>
  <c r="H125" i="5"/>
  <c r="H124" i="5"/>
  <c r="H121" i="5"/>
  <c r="H120" i="5"/>
  <c r="H119" i="5"/>
  <c r="H118" i="5"/>
  <c r="H117" i="5"/>
  <c r="H116" i="5"/>
  <c r="H115" i="5"/>
  <c r="H46" i="5"/>
  <c r="H45" i="5"/>
  <c r="H44" i="5"/>
  <c r="H43" i="5"/>
  <c r="H40" i="5"/>
  <c r="H41" i="5"/>
  <c r="H62" i="4"/>
  <c r="I31" i="2" s="1"/>
  <c r="H61" i="4"/>
  <c r="I30" i="2" s="1"/>
  <c r="H60" i="4"/>
  <c r="I29" i="2" s="1"/>
  <c r="H59" i="4"/>
  <c r="I28" i="2" s="1"/>
  <c r="H58" i="4"/>
  <c r="H57" i="4"/>
  <c r="H56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0" i="4"/>
  <c r="H16" i="4" s="1"/>
  <c r="I24" i="2" s="1"/>
  <c r="H8" i="4"/>
  <c r="H7" i="4"/>
  <c r="H6" i="4"/>
  <c r="H5" i="4"/>
  <c r="H4" i="4"/>
  <c r="H3" i="4"/>
  <c r="H9" i="4" s="1"/>
  <c r="B16" i="3"/>
  <c r="B15" i="3"/>
  <c r="B14" i="3"/>
  <c r="B13" i="3"/>
  <c r="H12" i="3"/>
  <c r="B12" i="3"/>
  <c r="B11" i="3"/>
  <c r="B10" i="3"/>
  <c r="B9" i="3"/>
  <c r="B8" i="3"/>
  <c r="B7" i="3"/>
  <c r="A7" i="3" s="1"/>
  <c r="H31" i="2"/>
  <c r="G31" i="2"/>
  <c r="H30" i="2"/>
  <c r="G30" i="2"/>
  <c r="H29" i="2"/>
  <c r="G29" i="2"/>
  <c r="H28" i="2"/>
  <c r="G28" i="2"/>
  <c r="I27" i="2"/>
  <c r="H27" i="2"/>
  <c r="G27" i="2"/>
  <c r="I26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G7" i="2"/>
  <c r="C26" i="1"/>
  <c r="C25" i="1"/>
  <c r="C24" i="1"/>
  <c r="C23" i="1"/>
  <c r="C22" i="1"/>
  <c r="C21" i="1"/>
  <c r="C20" i="1"/>
  <c r="C19" i="1"/>
  <c r="C18" i="1"/>
  <c r="C17" i="1"/>
  <c r="H88" i="12" l="1"/>
  <c r="H110" i="9"/>
  <c r="H63" i="4"/>
  <c r="H54" i="4"/>
  <c r="H55" i="4" s="1"/>
  <c r="I23" i="2" s="1"/>
  <c r="F13" i="3"/>
  <c r="G13" i="3"/>
  <c r="G9" i="3"/>
  <c r="H84" i="10"/>
  <c r="H40" i="12"/>
  <c r="H24" i="11"/>
  <c r="H66" i="7"/>
  <c r="H76" i="7"/>
  <c r="H46" i="8"/>
  <c r="H40" i="8"/>
  <c r="H36" i="14"/>
  <c r="H61" i="14"/>
  <c r="H24" i="14"/>
  <c r="H53" i="14"/>
  <c r="H71" i="14"/>
  <c r="G16" i="3"/>
  <c r="H20" i="13"/>
  <c r="H54" i="13"/>
  <c r="H64" i="13"/>
  <c r="H46" i="13"/>
  <c r="H15" i="13"/>
  <c r="G14" i="3"/>
  <c r="H78" i="12"/>
  <c r="H70" i="12"/>
  <c r="H34" i="12"/>
  <c r="F14" i="3"/>
  <c r="H63" i="11"/>
  <c r="H71" i="11"/>
  <c r="H18" i="11"/>
  <c r="H25" i="10"/>
  <c r="H75" i="10" s="1"/>
  <c r="H85" i="10" s="1"/>
  <c r="F12" i="3"/>
  <c r="H19" i="10"/>
  <c r="H74" i="10"/>
  <c r="E12" i="3"/>
  <c r="G11" i="3"/>
  <c r="F11" i="3"/>
  <c r="H92" i="9"/>
  <c r="H100" i="9"/>
  <c r="H42" i="9"/>
  <c r="E11" i="3"/>
  <c r="G10" i="3"/>
  <c r="I14" i="2"/>
  <c r="F10" i="3"/>
  <c r="H115" i="8"/>
  <c r="H107" i="8"/>
  <c r="F9" i="3"/>
  <c r="H24" i="7"/>
  <c r="H30" i="7"/>
  <c r="H67" i="7" s="1"/>
  <c r="E9" i="3"/>
  <c r="I19" i="2"/>
  <c r="H71" i="6"/>
  <c r="H30" i="6"/>
  <c r="H63" i="6"/>
  <c r="H24" i="6"/>
  <c r="H81" i="6"/>
  <c r="F8" i="3"/>
  <c r="F7" i="3"/>
  <c r="I17" i="2"/>
  <c r="H47" i="5"/>
  <c r="H122" i="5"/>
  <c r="H132" i="5"/>
  <c r="H114" i="5"/>
  <c r="E7" i="3"/>
  <c r="I12" i="2"/>
  <c r="I15" i="2"/>
  <c r="I13" i="2"/>
  <c r="I16" i="2"/>
  <c r="H125" i="8"/>
  <c r="H81" i="11"/>
  <c r="I18" i="2"/>
  <c r="G8" i="3"/>
  <c r="I25" i="2"/>
  <c r="I32" i="2" s="1"/>
  <c r="A8" i="3"/>
  <c r="A9" i="3" s="1"/>
  <c r="A10" i="3" s="1"/>
  <c r="A11" i="3" s="1"/>
  <c r="A12" i="3" s="1"/>
  <c r="A13" i="3" s="1"/>
  <c r="A14" i="3" s="1"/>
  <c r="A15" i="3" s="1"/>
  <c r="A16" i="3" s="1"/>
  <c r="H66" i="4" l="1"/>
  <c r="H65" i="4"/>
  <c r="H55" i="13"/>
  <c r="D15" i="3" s="1"/>
  <c r="H78" i="7"/>
  <c r="H116" i="8"/>
  <c r="H62" i="14"/>
  <c r="I10" i="2"/>
  <c r="J49" i="2" s="1"/>
  <c r="I49" i="2" s="1"/>
  <c r="H16" i="3"/>
  <c r="H17" i="3" s="1"/>
  <c r="I7" i="2"/>
  <c r="G17" i="3"/>
  <c r="H79" i="12"/>
  <c r="H72" i="11"/>
  <c r="H83" i="11" s="1"/>
  <c r="I9" i="2"/>
  <c r="H86" i="10"/>
  <c r="M12" i="3" s="1"/>
  <c r="E17" i="3"/>
  <c r="H101" i="9"/>
  <c r="H79" i="7"/>
  <c r="M9" i="3" s="1"/>
  <c r="H72" i="6"/>
  <c r="H123" i="5"/>
  <c r="I8" i="2"/>
  <c r="I20" i="2"/>
  <c r="I36" i="2" s="1"/>
  <c r="I33" i="2"/>
  <c r="I34" i="2" s="1"/>
  <c r="H67" i="4"/>
  <c r="D12" i="3"/>
  <c r="D9" i="3"/>
  <c r="H66" i="13" l="1"/>
  <c r="H67" i="13"/>
  <c r="H80" i="7"/>
  <c r="D8" i="3"/>
  <c r="H74" i="14"/>
  <c r="H87" i="10"/>
  <c r="H112" i="9"/>
  <c r="D10" i="3"/>
  <c r="D14" i="3"/>
  <c r="H91" i="12"/>
  <c r="H90" i="12"/>
  <c r="H113" i="9"/>
  <c r="M11" i="3" s="1"/>
  <c r="D11" i="3"/>
  <c r="H83" i="6"/>
  <c r="H84" i="6"/>
  <c r="H128" i="8"/>
  <c r="H127" i="8"/>
  <c r="H73" i="14"/>
  <c r="H75" i="14" s="1"/>
  <c r="J39" i="2"/>
  <c r="H82" i="11"/>
  <c r="D13" i="3"/>
  <c r="J48" i="2"/>
  <c r="I48" i="2" s="1"/>
  <c r="H134" i="5"/>
  <c r="H135" i="5"/>
  <c r="D7" i="3"/>
  <c r="I11" i="2"/>
  <c r="I35" i="2" s="1"/>
  <c r="I37" i="2" s="1"/>
  <c r="P9" i="3"/>
  <c r="P12" i="3"/>
  <c r="M15" i="3" l="1"/>
  <c r="H92" i="12"/>
  <c r="M10" i="3"/>
  <c r="H68" i="13"/>
  <c r="H85" i="6"/>
  <c r="P10" i="3"/>
  <c r="H129" i="8"/>
  <c r="M14" i="3"/>
  <c r="P14" i="3" s="1"/>
  <c r="M13" i="3"/>
  <c r="P13" i="3" s="1"/>
  <c r="H84" i="11"/>
  <c r="H114" i="9"/>
  <c r="P11" i="3"/>
  <c r="M8" i="3"/>
  <c r="P8" i="3" s="1"/>
  <c r="I40" i="2"/>
  <c r="D17" i="3"/>
  <c r="C33" i="1"/>
  <c r="I21" i="2"/>
  <c r="I22" i="2" s="1"/>
  <c r="I42" i="2" s="1"/>
  <c r="I41" i="2"/>
  <c r="H136" i="5"/>
  <c r="M7" i="3"/>
  <c r="P7" i="3" s="1"/>
  <c r="L17" i="3" l="1"/>
  <c r="L18" i="3" l="1"/>
  <c r="P15" i="3" l="1"/>
  <c r="M16" i="3"/>
  <c r="M17" i="3" s="1"/>
  <c r="F16" i="3"/>
  <c r="P16" i="3" l="1"/>
  <c r="F17" i="3"/>
  <c r="P17" i="3" l="1"/>
  <c r="I16" i="3" s="1"/>
  <c r="J16" i="3" s="1"/>
  <c r="K16" i="3" l="1"/>
  <c r="N16" i="3" s="1"/>
  <c r="K15" i="3"/>
  <c r="K9" i="3"/>
  <c r="K11" i="3"/>
  <c r="I12" i="3"/>
  <c r="I9" i="3"/>
  <c r="J9" i="3" s="1"/>
  <c r="I7" i="3"/>
  <c r="K14" i="3"/>
  <c r="I15" i="3"/>
  <c r="J15" i="3" s="1"/>
  <c r="I14" i="3"/>
  <c r="J14" i="3" s="1"/>
  <c r="I13" i="3"/>
  <c r="K13" i="3"/>
  <c r="K8" i="3"/>
  <c r="I8" i="3"/>
  <c r="J8" i="3" s="1"/>
  <c r="K10" i="3"/>
  <c r="K7" i="3"/>
  <c r="I10" i="3"/>
  <c r="I11" i="3"/>
  <c r="K12" i="3"/>
  <c r="N15" i="3" l="1"/>
  <c r="H25" i="1" s="1"/>
  <c r="N9" i="3"/>
  <c r="G19" i="1" s="1"/>
  <c r="N8" i="3"/>
  <c r="H18" i="1" s="1"/>
  <c r="N14" i="3"/>
  <c r="E24" i="1" s="1"/>
  <c r="J10" i="3"/>
  <c r="N10" i="3" s="1"/>
  <c r="K17" i="3"/>
  <c r="K18" i="3" s="1"/>
  <c r="J11" i="3"/>
  <c r="N11" i="3" s="1"/>
  <c r="J13" i="3"/>
  <c r="N13" i="3" s="1"/>
  <c r="J7" i="3"/>
  <c r="N7" i="3" s="1"/>
  <c r="I17" i="3"/>
  <c r="J12" i="3"/>
  <c r="N12" i="3" s="1"/>
  <c r="G26" i="1"/>
  <c r="E26" i="1"/>
  <c r="H26" i="1"/>
  <c r="H19" i="1" l="1"/>
  <c r="E19" i="1"/>
  <c r="G25" i="1"/>
  <c r="E25" i="1"/>
  <c r="E18" i="1"/>
  <c r="G24" i="1"/>
  <c r="H24" i="1"/>
  <c r="G18" i="1"/>
  <c r="E22" i="1"/>
  <c r="G22" i="1"/>
  <c r="H22" i="1"/>
  <c r="F17" i="1"/>
  <c r="F27" i="1" s="1"/>
  <c r="G17" i="1"/>
  <c r="E17" i="1"/>
  <c r="N17" i="3"/>
  <c r="H17" i="1"/>
  <c r="H23" i="1"/>
  <c r="E23" i="1"/>
  <c r="G23" i="1"/>
  <c r="G21" i="1"/>
  <c r="E21" i="1"/>
  <c r="H21" i="1"/>
  <c r="J17" i="3"/>
  <c r="H20" i="1"/>
  <c r="G20" i="1"/>
  <c r="E20" i="1"/>
  <c r="I18" i="3" l="1"/>
  <c r="H18" i="3"/>
  <c r="J18" i="3"/>
  <c r="D18" i="3"/>
  <c r="G18" i="3"/>
  <c r="E18" i="3"/>
  <c r="N18" i="3"/>
  <c r="N20" i="3"/>
  <c r="M18" i="3"/>
  <c r="F18" i="3"/>
  <c r="H27" i="1"/>
  <c r="E27" i="1"/>
  <c r="G27" i="1"/>
  <c r="D13" i="1" l="1"/>
  <c r="G13" i="1"/>
</calcChain>
</file>

<file path=xl/sharedStrings.xml><?xml version="1.0" encoding="utf-8"?>
<sst xmlns="http://schemas.openxmlformats.org/spreadsheetml/2006/main" count="2087" uniqueCount="578">
  <si>
    <t>(현대/기아차 설비협력업체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</si>
  <si>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</si>
  <si>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</si>
  <si>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협력사명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</si>
  <si>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</si>
  <si>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</si>
  <si>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</si>
  <si>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</si>
  <si>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2025 년   월   일</t>
    <phoneticPr fontId="2" type="noConversion"/>
  </si>
  <si>
    <t>최종검수</t>
    <phoneticPr fontId="2" type="noConversion"/>
  </si>
  <si>
    <t>견적유효기간</t>
    <phoneticPr fontId="2" type="noConversion"/>
  </si>
  <si>
    <t>제출후 30 일</t>
    <phoneticPr fontId="2" type="noConversion"/>
  </si>
  <si>
    <t>인도장소</t>
    <phoneticPr fontId="2" type="noConversion"/>
  </si>
  <si>
    <t>귀사 지정장소</t>
    <phoneticPr fontId="2" type="noConversion"/>
  </si>
  <si>
    <t>지불조건</t>
    <phoneticPr fontId="2" type="noConversion"/>
  </si>
  <si>
    <t>협의사항</t>
    <phoneticPr fontId="2" type="noConversion"/>
  </si>
  <si>
    <t>견적금액</t>
    <phoneticPr fontId="2" type="noConversion"/>
  </si>
  <si>
    <t>)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</si>
  <si>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</si>
  <si>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</si>
  <si>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</si>
  <si>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</si>
  <si>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</si>
  <si>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</si>
  <si>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</si>
  <si>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</si>
  <si>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</si>
  <si>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</si>
  <si>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</si>
  <si>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</si>
  <si>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</si>
  <si>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</si>
  <si>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</si>
  <si>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</si>
  <si>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</si>
  <si>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</si>
  <si>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</si>
  <si>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</si>
  <si>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</si>
  <si>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</si>
  <si>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</si>
  <si>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</si>
  <si>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</si>
  <si>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</si>
  <si>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</si>
  <si>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</si>
  <si>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</si>
  <si>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</si>
  <si>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</si>
  <si>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</si>
  <si>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</si>
  <si>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</si>
  <si>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</si>
  <si>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</si>
  <si>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</si>
  <si>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</si>
  <si>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</si>
  <si>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</si>
  <si>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</si>
  <si>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</si>
  <si>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</si>
  <si>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</si>
  <si>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</si>
  <si>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</si>
  <si>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</si>
  <si>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</si>
  <si>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</si>
  <si>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</si>
  <si>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</si>
  <si>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</si>
  <si>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</si>
  <si>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</si>
  <si>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</si>
  <si>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</si>
  <si>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</si>
  <si>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</si>
  <si>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</si>
  <si>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</si>
  <si>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</si>
  <si>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</si>
  <si>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</si>
  <si>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</si>
  <si>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</si>
  <si>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</si>
  <si>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</si>
  <si>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</si>
  <si>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</si>
  <si>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</si>
  <si>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</si>
  <si>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</si>
  <si>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</si>
  <si>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</si>
  <si>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</si>
  <si>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</si>
  <si>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</si>
  <si>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</si>
  <si>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</si>
  <si>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</si>
  <si>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</si>
  <si>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</si>
  <si>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</si>
  <si>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</si>
  <si>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</si>
  <si>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</si>
  <si>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</si>
  <si>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</si>
  <si>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</si>
  <si>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</si>
  <si>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</si>
  <si>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</si>
  <si>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</si>
  <si>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</si>
  <si>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</si>
  <si>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</si>
  <si>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</si>
  <si>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</si>
  <si>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</si>
  <si>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</si>
  <si>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</si>
  <si>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</si>
  <si>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</si>
  <si>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</si>
  <si>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</si>
  <si>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</si>
  <si>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</si>
  <si>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</si>
  <si>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</si>
  <si>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</si>
  <si>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</si>
  <si>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</si>
  <si>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</si>
  <si>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</si>
  <si>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</si>
  <si>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ST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</si>
  <si>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</si>
  <si>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</si>
  <si>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</si>
  <si>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작화. PROGRAM 비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</si>
  <si>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</si>
  <si>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</si>
  <si>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</si>
  <si>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</si>
  <si>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</si>
  <si>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</si>
  <si>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</si>
  <si>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</si>
  <si>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</si>
  <si>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</si>
  <si>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</si>
  <si>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</si>
  <si>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</si>
  <si>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</si>
  <si>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</si>
  <si>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</si>
  <si>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</si>
  <si>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</si>
  <si>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</si>
  <si>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</si>
  <si>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</si>
  <si>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</si>
  <si>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샘플승인비</t>
    <phoneticPr fontId="2" type="noConversion"/>
  </si>
  <si>
    <t>운반및중장비사용</t>
    <phoneticPr fontId="2" type="noConversion"/>
  </si>
  <si>
    <t>운반구 철거</t>
    <phoneticPr fontId="2" type="noConversion"/>
  </si>
  <si>
    <t>기계 도장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</si>
  <si>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</si>
  <si>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</si>
  <si>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</si>
  <si>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</si>
  <si>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</si>
  <si>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</si>
  <si>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</si>
  <si>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대표 : 김 상 조</t>
    <phoneticPr fontId="2" type="noConversion"/>
  </si>
  <si>
    <t>주소 : 경남 김해시 서김해산단로 81</t>
    <phoneticPr fontId="2" type="noConversion"/>
  </si>
  <si>
    <t>전화: 055-322-9420</t>
    <phoneticPr fontId="2" type="noConversion"/>
  </si>
  <si>
    <t>Fax: 055-322-9427</t>
    <phoneticPr fontId="2" type="noConversion"/>
  </si>
  <si>
    <t>견적담당: 박종훈</t>
    <phoneticPr fontId="2" type="noConversion"/>
  </si>
  <si>
    <t>연 락 처 : 010-3937-3206</t>
    <phoneticPr fontId="2" type="noConversion"/>
  </si>
  <si>
    <t>포승 I-Pin 헤어핀 성형기</t>
    <phoneticPr fontId="2" type="noConversion"/>
  </si>
  <si>
    <t>FRAME Unit</t>
    <phoneticPr fontId="2" type="noConversion"/>
  </si>
  <si>
    <t>REELASSYUnit</t>
  </si>
  <si>
    <t>STOPPERUnit</t>
  </si>
  <si>
    <t>탈피날(수평,수직)</t>
  </si>
  <si>
    <t>성형핀컷팅날</t>
  </si>
  <si>
    <t xml:space="preserve">TENSIONER ASSY Air Part </t>
  </si>
  <si>
    <t xml:space="preserve">적재 대차 Guide &amp; RFID Air Part </t>
    <phoneticPr fontId="2" type="noConversion"/>
  </si>
  <si>
    <t xml:space="preserve">헤어핀 Chute Air Part </t>
    <phoneticPr fontId="2" type="noConversion"/>
  </si>
  <si>
    <t xml:space="preserve">BENDING Air Part </t>
    <phoneticPr fontId="2" type="noConversion"/>
  </si>
  <si>
    <t xml:space="preserve">STOPPER Air Part </t>
    <phoneticPr fontId="2" type="noConversion"/>
  </si>
  <si>
    <t xml:space="preserve">WIRE STRAIGHTENER Part 2 Air Part </t>
    <phoneticPr fontId="2" type="noConversion"/>
  </si>
  <si>
    <t xml:space="preserve">WIRE STRAIGHTENER Part 1 Air Part </t>
    <phoneticPr fontId="2" type="noConversion"/>
  </si>
  <si>
    <t xml:space="preserve">SUB FEEDER Air Part </t>
    <phoneticPr fontId="2" type="noConversion"/>
  </si>
  <si>
    <t xml:space="preserve">BOBBIN EXCHANGE Air Part </t>
    <phoneticPr fontId="2" type="noConversion"/>
  </si>
  <si>
    <t xml:space="preserve">REEL ASSY Air Part </t>
    <phoneticPr fontId="2" type="noConversion"/>
  </si>
  <si>
    <t xml:space="preserve"> 감속기</t>
  </si>
  <si>
    <t>Servo Motor</t>
    <phoneticPr fontId="2" type="noConversion"/>
  </si>
  <si>
    <t>사급</t>
    <phoneticPr fontId="2" type="noConversion"/>
  </si>
  <si>
    <t>Tourch PC &amp; B/K</t>
    <phoneticPr fontId="2" type="noConversion"/>
  </si>
  <si>
    <t>SMC</t>
  </si>
  <si>
    <t>SMC</t>
    <phoneticPr fontId="2" type="noConversion"/>
  </si>
  <si>
    <t>감속기</t>
    <phoneticPr fontId="2" type="noConversion"/>
  </si>
  <si>
    <t>APEX</t>
  </si>
  <si>
    <t>Scanner</t>
    <phoneticPr fontId="2" type="noConversion"/>
  </si>
  <si>
    <t>Sensor Part</t>
    <phoneticPr fontId="2" type="noConversion"/>
  </si>
  <si>
    <t>Keyence</t>
  </si>
  <si>
    <t>LM &amp; Bearing, Ballscrew</t>
    <phoneticPr fontId="2" type="noConversion"/>
  </si>
  <si>
    <t>Induction Motor</t>
    <phoneticPr fontId="2" type="noConversion"/>
  </si>
  <si>
    <t>MICROMETER HEAD</t>
    <phoneticPr fontId="2" type="noConversion"/>
  </si>
  <si>
    <t>MICROMETER 모뎀 및 케이블</t>
    <phoneticPr fontId="2" type="noConversion"/>
  </si>
  <si>
    <t>Festo</t>
  </si>
  <si>
    <t>Spindle Axes &amp; Air</t>
    <phoneticPr fontId="2" type="noConversion"/>
  </si>
  <si>
    <t>Drive Body &amp; Air</t>
    <phoneticPr fontId="2" type="noConversion"/>
  </si>
  <si>
    <t>Loadcell, LVDT &amp; Indicator</t>
    <phoneticPr fontId="2" type="noConversion"/>
  </si>
  <si>
    <t>DA CELL</t>
  </si>
  <si>
    <t>Vision System</t>
    <phoneticPr fontId="2" type="noConversion"/>
  </si>
  <si>
    <t>OMRON</t>
  </si>
  <si>
    <t>Mini Slide Axes &amp; Air</t>
    <phoneticPr fontId="2" type="noConversion"/>
  </si>
  <si>
    <t>BUFFER Unit</t>
    <phoneticPr fontId="2" type="noConversion"/>
  </si>
  <si>
    <t>적재대차Guide Unit</t>
    <phoneticPr fontId="2" type="noConversion"/>
  </si>
  <si>
    <t>O/PB/K Unit</t>
    <phoneticPr fontId="2" type="noConversion"/>
  </si>
  <si>
    <t>Bracket Unit</t>
    <phoneticPr fontId="2" type="noConversion"/>
  </si>
  <si>
    <t>BOBBINEXCHANGE Unit</t>
    <phoneticPr fontId="2" type="noConversion"/>
  </si>
  <si>
    <t>TENSIONERASSY Unit</t>
    <phoneticPr fontId="2" type="noConversion"/>
  </si>
  <si>
    <t>DOUBLEWIRESTRAIGHT Unit</t>
    <phoneticPr fontId="2" type="noConversion"/>
  </si>
  <si>
    <t>COVERASSY Unit</t>
    <phoneticPr fontId="2" type="noConversion"/>
  </si>
  <si>
    <t>SUBFEEDER Unit</t>
    <phoneticPr fontId="2" type="noConversion"/>
  </si>
  <si>
    <t>WIRESTRAIGHTENER Unit</t>
    <phoneticPr fontId="2" type="noConversion"/>
  </si>
  <si>
    <t>VER.DECOATING Unit</t>
    <phoneticPr fontId="2" type="noConversion"/>
  </si>
  <si>
    <t>HOR.DECOATING Unit</t>
    <phoneticPr fontId="2" type="noConversion"/>
  </si>
  <si>
    <t>MAINFEEDER Unit</t>
    <phoneticPr fontId="2" type="noConversion"/>
  </si>
  <si>
    <t>HAIRPINCUTTING Unit</t>
    <phoneticPr fontId="2" type="noConversion"/>
  </si>
  <si>
    <t>CUTTINGLOADER Unit</t>
    <phoneticPr fontId="2" type="noConversion"/>
  </si>
  <si>
    <t>BENDING Unit</t>
    <phoneticPr fontId="2" type="noConversion"/>
  </si>
  <si>
    <t>IDLESTATION Unit</t>
    <phoneticPr fontId="2" type="noConversion"/>
  </si>
  <si>
    <t>FORMINGLOADER Unit</t>
    <phoneticPr fontId="2" type="noConversion"/>
  </si>
  <si>
    <t>FORMING Unit</t>
    <phoneticPr fontId="2" type="noConversion"/>
  </si>
  <si>
    <t>HVC Unit</t>
    <phoneticPr fontId="2" type="noConversion"/>
  </si>
  <si>
    <t>TRANSFER Unit</t>
    <phoneticPr fontId="2" type="noConversion"/>
  </si>
  <si>
    <t>B/K Unit</t>
    <phoneticPr fontId="2" type="noConversion"/>
  </si>
  <si>
    <t>헤어핀 Chute Unit</t>
    <phoneticPr fontId="2" type="noConversion"/>
  </si>
  <si>
    <t>FENCE ASSY Unit</t>
    <phoneticPr fontId="2" type="noConversion"/>
  </si>
  <si>
    <t xml:space="preserve"> RFID</t>
  </si>
  <si>
    <t>RFID</t>
    <phoneticPr fontId="2" type="noConversion"/>
  </si>
  <si>
    <t>수직 디코팅 Tool</t>
    <phoneticPr fontId="2" type="noConversion"/>
  </si>
  <si>
    <t>수평직 디코팅 Tool</t>
    <phoneticPr fontId="2" type="noConversion"/>
  </si>
  <si>
    <t>헤어핀 Tool</t>
    <phoneticPr fontId="2" type="noConversion"/>
  </si>
  <si>
    <t xml:space="preserve">직선화 Roller </t>
    <phoneticPr fontId="2" type="noConversion"/>
  </si>
  <si>
    <t>성형 금형</t>
    <phoneticPr fontId="2" type="noConversion"/>
  </si>
  <si>
    <t>견적제외</t>
    <phoneticPr fontId="2" type="noConversion"/>
  </si>
  <si>
    <t xml:space="preserve"> Main Air &amp; Main folder</t>
  </si>
  <si>
    <t>Main Air &amp; Main folder</t>
    <phoneticPr fontId="2" type="noConversion"/>
  </si>
  <si>
    <t xml:space="preserve"> PPC Unit</t>
  </si>
  <si>
    <t>PPC Unit</t>
    <phoneticPr fontId="2" type="noConversion"/>
  </si>
  <si>
    <t>UTC320KP2302-T</t>
  </si>
  <si>
    <t>Advantech</t>
  </si>
  <si>
    <t>AND</t>
  </si>
  <si>
    <t>HR-X100</t>
  </si>
  <si>
    <t>FG-150KAL-H</t>
  </si>
  <si>
    <t xml:space="preserve"> 전자 저울</t>
  </si>
  <si>
    <t xml:space="preserve"> 핸디 바코드 Unit</t>
  </si>
  <si>
    <t>핸디 바코드 Unit</t>
    <phoneticPr fontId="2" type="noConversion"/>
  </si>
  <si>
    <t>전자 저울</t>
    <phoneticPr fontId="2" type="noConversion"/>
  </si>
  <si>
    <t>BENDING Part  기타부자재</t>
  </si>
  <si>
    <t>FORMING Part 기타부자재</t>
    <phoneticPr fontId="2" type="noConversion"/>
  </si>
  <si>
    <t>IDLE STATION Part 기타부자재</t>
    <phoneticPr fontId="2" type="noConversion"/>
  </si>
  <si>
    <t>FRAME Part 기타부자재</t>
    <phoneticPr fontId="2" type="noConversion"/>
  </si>
  <si>
    <t>REEL ASSY Part 기타부자재</t>
    <phoneticPr fontId="2" type="noConversion"/>
  </si>
  <si>
    <t>TENSIONER ASSY Part 기타부자재</t>
    <phoneticPr fontId="2" type="noConversion"/>
  </si>
  <si>
    <t>COVER ASSY Part 기타부자재</t>
    <phoneticPr fontId="2" type="noConversion"/>
  </si>
  <si>
    <t>SUB FEEDER Part 기타부자재</t>
    <phoneticPr fontId="2" type="noConversion"/>
  </si>
  <si>
    <t>DOUBLE WIRE STRAIGHT Part 기타부자재</t>
    <phoneticPr fontId="2" type="noConversion"/>
  </si>
  <si>
    <t>WIRE STRAIGHTENER Part 1 기타부자재</t>
    <phoneticPr fontId="2" type="noConversion"/>
  </si>
  <si>
    <t>WIRE STRAIGHTENER Part 2 기타부자재</t>
    <phoneticPr fontId="2" type="noConversion"/>
  </si>
  <si>
    <t>VER. DECOATING Part 기타부자재</t>
    <phoneticPr fontId="2" type="noConversion"/>
  </si>
  <si>
    <t>HOR. DECOATING Part 기타부자재</t>
    <phoneticPr fontId="2" type="noConversion"/>
  </si>
  <si>
    <t>MAIN FEEDER Part 기타부자재</t>
    <phoneticPr fontId="2" type="noConversion"/>
  </si>
  <si>
    <t>HAIR PIN CUTTING Part 기타부자재</t>
    <phoneticPr fontId="2" type="noConversion"/>
  </si>
  <si>
    <t>CUTTING LOADER Part 기타부자재</t>
    <phoneticPr fontId="2" type="noConversion"/>
  </si>
  <si>
    <t>FORMING LOADER Part 기타부자재</t>
    <phoneticPr fontId="2" type="noConversion"/>
  </si>
  <si>
    <t>FENCE ASSY Part 기타부자재</t>
    <phoneticPr fontId="2" type="noConversion"/>
  </si>
  <si>
    <t>TRANSFER Part 기타부자재</t>
    <phoneticPr fontId="2" type="noConversion"/>
  </si>
  <si>
    <t>헤어핀 Chute Part 기타부자재</t>
    <phoneticPr fontId="2" type="noConversion"/>
  </si>
  <si>
    <t>Frame Part 기타부자재</t>
    <phoneticPr fontId="2" type="noConversion"/>
  </si>
  <si>
    <t>적재 대차 Guide &amp; RFID Part 기타부자재</t>
    <phoneticPr fontId="2" type="noConversion"/>
  </si>
  <si>
    <t>기타 part 부자재</t>
    <phoneticPr fontId="2" type="noConversion"/>
  </si>
  <si>
    <t>DUCT ASSY Part</t>
  </si>
  <si>
    <t>DUCT ASSY Part</t>
    <phoneticPr fontId="2" type="noConversion"/>
  </si>
  <si>
    <t>OP</t>
    <phoneticPr fontId="2" type="noConversion"/>
  </si>
  <si>
    <t>BOBBIN EXCHANGE Part 기타부자재</t>
    <phoneticPr fontId="2" type="noConversion"/>
  </si>
  <si>
    <t>기타부자재</t>
    <phoneticPr fontId="2" type="noConversion"/>
  </si>
  <si>
    <t>집진기</t>
    <phoneticPr fontId="2" type="noConversion"/>
  </si>
  <si>
    <t>Drive Axes &amp; Air</t>
    <phoneticPr fontId="2" type="noConversion"/>
  </si>
  <si>
    <t>hvc &amp; Hand brush</t>
    <phoneticPr fontId="2" type="noConversion"/>
  </si>
  <si>
    <t>Air</t>
    <phoneticPr fontId="2" type="noConversion"/>
  </si>
  <si>
    <t>Festo/SMC</t>
    <phoneticPr fontId="2" type="noConversion"/>
  </si>
  <si>
    <t>Festo</t>
    <phoneticPr fontId="2" type="noConversion"/>
  </si>
  <si>
    <t>U핀 가정열 설비</t>
    <phoneticPr fontId="2" type="noConversion"/>
  </si>
  <si>
    <t>Main Frame Unit</t>
  </si>
  <si>
    <t>Main Base Unit</t>
  </si>
  <si>
    <t xml:space="preserve">상부 Cover Unit </t>
  </si>
  <si>
    <t xml:space="preserve">RFID B/K Unit </t>
  </si>
  <si>
    <t>매거진 로딩 Unit</t>
  </si>
  <si>
    <t>매거진 Loader Unit</t>
  </si>
  <si>
    <t>매거진 Chuck Unit</t>
  </si>
  <si>
    <t>매거진 Tilting Unit</t>
  </si>
  <si>
    <t>X-Y Shuttle Assy Unit</t>
  </si>
  <si>
    <t>삽입 헤드 Assy Unit</t>
  </si>
  <si>
    <t>POP UP &amp; Roation Unit</t>
  </si>
  <si>
    <t>Hair pin 조립 Sub Unit</t>
  </si>
  <si>
    <t>O/P B/K Unit</t>
  </si>
  <si>
    <t>Air Part</t>
    <phoneticPr fontId="2" type="noConversion"/>
  </si>
  <si>
    <t>Door Switch</t>
    <phoneticPr fontId="2" type="noConversion"/>
  </si>
  <si>
    <t>안전 사양 규정</t>
    <phoneticPr fontId="2" type="noConversion"/>
  </si>
  <si>
    <t>Safety Program</t>
    <phoneticPr fontId="2" type="noConversion"/>
  </si>
  <si>
    <t xml:space="preserve"> RFID TAG</t>
  </si>
  <si>
    <t xml:space="preserve"> 직교(X,Y,Z,G) Robot</t>
  </si>
  <si>
    <t xml:space="preserve"> Sensor Part</t>
  </si>
  <si>
    <t xml:space="preserve"> LM, Ball Screw 외</t>
  </si>
  <si>
    <t xml:space="preserve"> E-Gripper</t>
  </si>
  <si>
    <t xml:space="preserve"> LM, Ball Bush 외</t>
  </si>
  <si>
    <t xml:space="preserve"> DRIVE &amp; RETURN UNIT 외</t>
  </si>
  <si>
    <t xml:space="preserve"> 라이트커텐(600mm)</t>
  </si>
  <si>
    <t>PEPPERL</t>
  </si>
  <si>
    <t>Robostar</t>
  </si>
  <si>
    <t>Omron</t>
  </si>
  <si>
    <t>Apex</t>
  </si>
  <si>
    <t>THK</t>
  </si>
  <si>
    <t>제작</t>
  </si>
  <si>
    <t>10</t>
  </si>
  <si>
    <t>108</t>
  </si>
  <si>
    <t>1</t>
  </si>
  <si>
    <t>2</t>
  </si>
  <si>
    <t>Main Frame Part 기타부자재(Bolt, Pin. 액세서리 외)</t>
    <phoneticPr fontId="2" type="noConversion"/>
  </si>
  <si>
    <t>매거진 로딩 Part 기타부자재</t>
    <phoneticPr fontId="2" type="noConversion"/>
  </si>
  <si>
    <t>매거진 A, B Zone Part 기타부자재</t>
    <phoneticPr fontId="2" type="noConversion"/>
  </si>
  <si>
    <t>삽입 헤드 Part 기타부자재</t>
    <phoneticPr fontId="2" type="noConversion"/>
  </si>
  <si>
    <t>Pallet POP UP &amp; Roation Part 기타부자재</t>
    <phoneticPr fontId="2" type="noConversion"/>
  </si>
  <si>
    <t>기타 Part 부자재</t>
    <phoneticPr fontId="2" type="noConversion"/>
  </si>
  <si>
    <t>DIVERTER 제외</t>
    <phoneticPr fontId="2" type="noConversion"/>
  </si>
  <si>
    <t>UTC320KP2302-T</t>
    <phoneticPr fontId="2" type="noConversion"/>
  </si>
  <si>
    <t>HR-X100</t>
    <phoneticPr fontId="2" type="noConversion"/>
  </si>
  <si>
    <t>FG-150KAL-H</t>
    <phoneticPr fontId="2" type="noConversion"/>
  </si>
  <si>
    <t>안전 PLC</t>
    <phoneticPr fontId="2" type="noConversion"/>
  </si>
  <si>
    <t>I핀 가정열 설비</t>
    <phoneticPr fontId="2" type="noConversion"/>
  </si>
  <si>
    <t xml:space="preserve"> Main Frame Unit</t>
  </si>
  <si>
    <t>Main Frame Unit</t>
    <phoneticPr fontId="2" type="noConversion"/>
  </si>
  <si>
    <t>Main Base Unit</t>
    <phoneticPr fontId="2" type="noConversion"/>
  </si>
  <si>
    <t>POP UP &amp; Roation Unit</t>
    <phoneticPr fontId="2" type="noConversion"/>
  </si>
  <si>
    <t>Hair pin 조립 Sub Unit</t>
    <phoneticPr fontId="2" type="noConversion"/>
  </si>
  <si>
    <t>매거진 Feeding Unit</t>
    <phoneticPr fontId="2" type="noConversion"/>
  </si>
  <si>
    <t xml:space="preserve">RFID B/K Unit </t>
    <phoneticPr fontId="2" type="noConversion"/>
  </si>
  <si>
    <t>가공/시중품</t>
  </si>
  <si>
    <t>LM, Ball Bush 외</t>
    <phoneticPr fontId="2" type="noConversion"/>
  </si>
  <si>
    <t>RFID TAG</t>
    <phoneticPr fontId="2" type="noConversion"/>
  </si>
  <si>
    <t>O/P B/K Unit</t>
    <phoneticPr fontId="2" type="noConversion"/>
  </si>
  <si>
    <t>라이트커텐(600mm)</t>
    <phoneticPr fontId="2" type="noConversion"/>
  </si>
  <si>
    <t xml:space="preserve">Main Air Part </t>
    <phoneticPr fontId="2" type="noConversion"/>
  </si>
  <si>
    <t>수작업 공구 Part</t>
  </si>
  <si>
    <t>코어 자동화 로딩기</t>
    <phoneticPr fontId="2" type="noConversion"/>
  </si>
  <si>
    <t>Pallet POP UP &amp; Roation Part Air Part</t>
    <phoneticPr fontId="2" type="noConversion"/>
  </si>
  <si>
    <t>매거진 Part Air Part</t>
    <phoneticPr fontId="2" type="noConversion"/>
  </si>
  <si>
    <t xml:space="preserve">대차 Guide &amp; Lift Part  Air Part </t>
  </si>
  <si>
    <t xml:space="preserve"> Box Conveyor Part(부품 Palletizer) Air Part </t>
  </si>
  <si>
    <t xml:space="preserve"> Box Centering Part(부품 Palletizer) Air Part </t>
  </si>
  <si>
    <t xml:space="preserve"> Box Escape Part(부품 Palletizer) Air Part </t>
  </si>
  <si>
    <t xml:space="preserve"> Box 이송 Part(부품 Palletizer) Air Part </t>
  </si>
  <si>
    <t xml:space="preserve"> Box Push Part(부품 Palletizer) Air Part </t>
  </si>
  <si>
    <t xml:space="preserve"> Stopper Part(부품 Palletizer) Air Part </t>
  </si>
  <si>
    <t xml:space="preserve"> 비전 검사 Part Air Part </t>
  </si>
  <si>
    <t xml:space="preserve"> Air Gripper</t>
  </si>
  <si>
    <t xml:space="preserve"> Core Loading Part Air Part </t>
  </si>
  <si>
    <t xml:space="preserve"> 정위치 &amp; 위상 정렬 Part Air Part </t>
  </si>
  <si>
    <t>4</t>
  </si>
  <si>
    <t xml:space="preserve"> Frame Unit</t>
  </si>
  <si>
    <t xml:space="preserve"> 대차 Guide Unit</t>
  </si>
  <si>
    <t xml:space="preserve"> 대차 Lift Unit</t>
  </si>
  <si>
    <t xml:space="preserve"> Other B/K Unit </t>
  </si>
  <si>
    <t xml:space="preserve"> Box Conveyor  Unit</t>
  </si>
  <si>
    <t xml:space="preserve"> Box Centering Unit</t>
  </si>
  <si>
    <t xml:space="preserve"> Box Escape Unit</t>
  </si>
  <si>
    <t xml:space="preserve"> Box 이송 Unit</t>
  </si>
  <si>
    <t xml:space="preserve"> Box Push Unit</t>
  </si>
  <si>
    <t xml:space="preserve"> 비전 검사 Unit</t>
  </si>
  <si>
    <t xml:space="preserve"> Robot Frame Unit </t>
  </si>
  <si>
    <t xml:space="preserve"> Gripper 가공 Unit </t>
  </si>
  <si>
    <t xml:space="preserve"> 안전 Cover Unit </t>
  </si>
  <si>
    <t xml:space="preserve"> Frame Part</t>
  </si>
  <si>
    <t xml:space="preserve"> Barcode scanner B/K Unit </t>
  </si>
  <si>
    <t xml:space="preserve"> Position Unit</t>
  </si>
  <si>
    <t xml:space="preserve"> Pallet stopper</t>
  </si>
  <si>
    <t xml:space="preserve"> Barcod scanner</t>
  </si>
  <si>
    <t xml:space="preserve"> O/P B/K Unit</t>
  </si>
  <si>
    <t>잭 랙</t>
    <phoneticPr fontId="2" type="noConversion"/>
  </si>
  <si>
    <t>안전센서</t>
    <phoneticPr fontId="2" type="noConversion"/>
  </si>
  <si>
    <t>Geared Motor &amp; Inverter</t>
    <phoneticPr fontId="2" type="noConversion"/>
  </si>
  <si>
    <t>Conveyor Chain</t>
    <phoneticPr fontId="2" type="noConversion"/>
  </si>
  <si>
    <t>Ball Bush/Bearing</t>
    <phoneticPr fontId="2" type="noConversion"/>
  </si>
  <si>
    <t>LM &amp; Ball Bush/Bearing</t>
    <phoneticPr fontId="2" type="noConversion"/>
  </si>
  <si>
    <t>Stopper Unit</t>
    <phoneticPr fontId="2" type="noConversion"/>
  </si>
  <si>
    <t>LM Part</t>
    <phoneticPr fontId="2" type="noConversion"/>
  </si>
  <si>
    <t>Door Sensor Part</t>
    <phoneticPr fontId="2" type="noConversion"/>
  </si>
  <si>
    <t>LM, Ball Screw</t>
    <phoneticPr fontId="2" type="noConversion"/>
  </si>
  <si>
    <t>Position Unit</t>
    <phoneticPr fontId="2" type="noConversion"/>
  </si>
  <si>
    <t>Pallet stopper</t>
    <phoneticPr fontId="2" type="noConversion"/>
  </si>
  <si>
    <t>Barcod scanner</t>
    <phoneticPr fontId="2" type="noConversion"/>
  </si>
  <si>
    <t>Empty SKID Cleaning Part</t>
  </si>
  <si>
    <t>직교 Robot</t>
    <phoneticPr fontId="2" type="noConversion"/>
  </si>
  <si>
    <t xml:space="preserve"> 대차 Guide &amp; Lift Part 기타부자재</t>
  </si>
  <si>
    <t xml:space="preserve"> Frame Ass'y Part(부품 Palletizer) 기타부자재</t>
  </si>
  <si>
    <t xml:space="preserve"> Box Conveyor Part(부품 Palletizer) 기타부자재</t>
  </si>
  <si>
    <t xml:space="preserve"> Box Centering Part(부품 Palletizer) LM &amp; 기타부자재</t>
  </si>
  <si>
    <t xml:space="preserve"> Box Escape Part(부품 Palletizer) 기타부자재</t>
  </si>
  <si>
    <t>Box 이송 Part(부품 Palletizer) 기타부자재</t>
  </si>
  <si>
    <t xml:space="preserve"> 기Box Push Part(부품 Palletizer) 타부자재</t>
  </si>
  <si>
    <t xml:space="preserve"> Stopper Part(부품 Palletizer) 기타부자재</t>
  </si>
  <si>
    <t xml:space="preserve"> 비전 검사 Part 기타부자재</t>
  </si>
  <si>
    <t xml:space="preserve"> Core Loading Part 기타부자재</t>
  </si>
  <si>
    <t xml:space="preserve"> 정위치 &amp; 위상 정렬 Part 기타부자재</t>
  </si>
  <si>
    <t xml:space="preserve"> Position Part Sensor 및 기타부자재</t>
  </si>
  <si>
    <t>기타 Part 부자재</t>
  </si>
  <si>
    <t>절연지 삽입</t>
  </si>
  <si>
    <t xml:space="preserve"> Main Base Unit</t>
  </si>
  <si>
    <t xml:space="preserve"> Post  Unit</t>
  </si>
  <si>
    <t xml:space="preserve"> 상부 Cover Unit </t>
  </si>
  <si>
    <t xml:space="preserve"> Other B/K</t>
  </si>
  <si>
    <t xml:space="preserve"> Frame &amp; Base Unit</t>
  </si>
  <si>
    <t xml:space="preserve"> Core 반전 Unit</t>
  </si>
  <si>
    <t xml:space="preserve"> Index Plate ass'y Unit</t>
  </si>
  <si>
    <t xml:space="preserve"> Cutting &amp; Forming Unit</t>
  </si>
  <si>
    <t xml:space="preserve"> Frame Unit Unit</t>
  </si>
  <si>
    <t xml:space="preserve"> Paper feeder Unit</t>
  </si>
  <si>
    <t xml:space="preserve"> Paper Preforming feed Unit</t>
  </si>
  <si>
    <t xml:space="preserve"> Tension Unit</t>
  </si>
  <si>
    <t xml:space="preserve"> Pusher Unit</t>
  </si>
  <si>
    <t xml:space="preserve"> Papper forming Gap 조절 Unit</t>
  </si>
  <si>
    <t xml:space="preserve"> Papper supply Unit</t>
  </si>
  <si>
    <t xml:space="preserve">  Auto Loader Unit</t>
  </si>
  <si>
    <t xml:space="preserve"> Auto Loader Suttle Unit</t>
  </si>
  <si>
    <t xml:space="preserve"> Core Lift Unit</t>
  </si>
  <si>
    <t xml:space="preserve"> Core Clamp Unit</t>
  </si>
  <si>
    <t xml:space="preserve"> Insulation Press Unit</t>
  </si>
  <si>
    <t>절연지 보관함 (1대)</t>
  </si>
  <si>
    <t>OP</t>
  </si>
  <si>
    <t xml:space="preserve"> Core 반전 Part Air Part </t>
  </si>
  <si>
    <t xml:space="preserve"> Paper feeder Part A Air Part </t>
  </si>
  <si>
    <t xml:space="preserve"> Electric Cylinde</t>
  </si>
  <si>
    <t xml:space="preserve"> Core Lift Part Air Part </t>
  </si>
  <si>
    <t xml:space="preserve"> Core Clamp Part Air Part </t>
  </si>
  <si>
    <t xml:space="preserve"> LM &amp; Ball Bush Part</t>
  </si>
  <si>
    <t xml:space="preserve"> Bearing SD140XP0</t>
  </si>
  <si>
    <t xml:space="preserve"> Laser Sensor</t>
  </si>
  <si>
    <t xml:space="preserve"> Eelctric Cylinder</t>
  </si>
  <si>
    <t xml:space="preserve"> 제습기</t>
  </si>
  <si>
    <t>SR-X100</t>
    <phoneticPr fontId="2" type="noConversion"/>
  </si>
  <si>
    <t xml:space="preserve"> Main Frame Part 기타부자재</t>
  </si>
  <si>
    <t xml:space="preserve"> Core 반전 Part Sensor 및 기타부자재</t>
  </si>
  <si>
    <t xml:space="preserve"> Index Plate ass'y Part Sensor 및 기타부자재</t>
  </si>
  <si>
    <t xml:space="preserve"> Cutting &amp; Forming Unit Sensor 및 기타부자재</t>
  </si>
  <si>
    <t xml:space="preserve"> Paper Frame Unit Part Sensor 및 기타부자재</t>
  </si>
  <si>
    <t xml:space="preserve"> Paper feeder Part A Sensor 및 기타부자재</t>
  </si>
  <si>
    <t xml:space="preserve"> Paper feeder Part B Sensor 및 기타부자재</t>
  </si>
  <si>
    <t xml:space="preserve"> Paper Preforming feed Part Sensor 및 기타부자재</t>
  </si>
  <si>
    <t xml:space="preserve"> Paper feed Part Sensor 및 기타부자재</t>
  </si>
  <si>
    <t xml:space="preserve"> 다이얼 게이지 및 기타부자재</t>
  </si>
  <si>
    <t xml:space="preserve"> Pusher Unit 기타부자재</t>
  </si>
  <si>
    <t xml:space="preserve"> Papper forming Gap 조절 Part 기타부자재</t>
  </si>
  <si>
    <t xml:space="preserve"> Papper supply Part 기타부자재</t>
  </si>
  <si>
    <t xml:space="preserve"> Auto Loader Part 기타부자재</t>
  </si>
  <si>
    <t xml:space="preserve"> Auto Loader Suttle Part Sensor 및 기타부자재</t>
  </si>
  <si>
    <t xml:space="preserve"> Core Lift Part Sensor 및 기타부자재</t>
  </si>
  <si>
    <t xml:space="preserve"> Core Clamp Part Sensor 및 기타부자재</t>
  </si>
  <si>
    <t>인서팅</t>
    <phoneticPr fontId="2" type="noConversion"/>
  </si>
  <si>
    <t xml:space="preserve"> RFID B/K Unit </t>
  </si>
  <si>
    <t xml:space="preserve"> Core X-Y Unit</t>
  </si>
  <si>
    <t xml:space="preserve"> Load Head Unit</t>
  </si>
  <si>
    <t xml:space="preserve"> 인서팅 Unit</t>
  </si>
  <si>
    <t xml:space="preserve"> 인서팅 삽입 Unit</t>
  </si>
  <si>
    <t xml:space="preserve"> Work Rotation Unit</t>
  </si>
  <si>
    <t xml:space="preserve">Main Frame Part  Sensor Part </t>
  </si>
  <si>
    <t xml:space="preserve"> Load Head Part Air Part </t>
  </si>
  <si>
    <t xml:space="preserve"> Work Rotation Part Air Part </t>
  </si>
  <si>
    <t xml:space="preserve"> Main Air/Sol V/V/Air 부자재</t>
  </si>
  <si>
    <t>FESTO</t>
  </si>
  <si>
    <t xml:space="preserve"> LM &amp; Ballscrew Part</t>
  </si>
  <si>
    <t>Unicon</t>
  </si>
  <si>
    <t>Buffer Part</t>
  </si>
  <si>
    <t xml:space="preserve"> Sensor 및 기타부자재</t>
  </si>
  <si>
    <t xml:space="preserve"> 인서팅 Part 기타부자재</t>
  </si>
  <si>
    <t xml:space="preserve"> 인서팅 삽입 Part 기타부자재</t>
  </si>
  <si>
    <t xml:space="preserve"> Work Rotation Part 기타부자재</t>
  </si>
  <si>
    <t>확관</t>
    <phoneticPr fontId="2" type="noConversion"/>
  </si>
  <si>
    <t xml:space="preserve"> Door Switch</t>
  </si>
  <si>
    <t xml:space="preserve"> 안전 사양 규정</t>
  </si>
  <si>
    <t xml:space="preserve"> Safety Program</t>
  </si>
  <si>
    <t xml:space="preserve"> 확관 Unit</t>
  </si>
  <si>
    <t xml:space="preserve"> Cuff Unit</t>
  </si>
  <si>
    <t xml:space="preserve"> Sensor Part </t>
  </si>
  <si>
    <t xml:space="preserve"> Cross Roller Bearing</t>
  </si>
  <si>
    <t xml:space="preserve"> Cam Follower</t>
  </si>
  <si>
    <t>Misumi</t>
  </si>
  <si>
    <t xml:space="preserve"> 기타부자재</t>
  </si>
  <si>
    <t xml:space="preserve"> Core X-Y Part Sensor 및 기타부자재</t>
  </si>
  <si>
    <t xml:space="preserve"> Cuff Part 기타부자재</t>
  </si>
  <si>
    <t xml:space="preserve"> 기타 Part 부자재</t>
  </si>
  <si>
    <t>트위스팅</t>
    <phoneticPr fontId="2" type="noConversion"/>
  </si>
  <si>
    <t xml:space="preserve"> 트위스팅 Unit</t>
  </si>
  <si>
    <t xml:space="preserve"> OP</t>
    <phoneticPr fontId="2" type="noConversion"/>
  </si>
  <si>
    <t>Load Head Part Sensor 및 기타부자재</t>
  </si>
  <si>
    <t xml:space="preserve"> 트위스팅 Part 기타부자재</t>
  </si>
  <si>
    <t>하부컷팅</t>
    <phoneticPr fontId="2" type="noConversion"/>
  </si>
  <si>
    <t xml:space="preserve"> Cutting Unit</t>
  </si>
  <si>
    <t>납품, 현지설치 및 이벤트 양산대응</t>
    <phoneticPr fontId="2" type="noConversion"/>
  </si>
  <si>
    <t>포장 및 납품</t>
    <phoneticPr fontId="2" type="noConversion"/>
  </si>
  <si>
    <t>현지 설치 및 숙식비</t>
    <phoneticPr fontId="2" type="noConversion"/>
  </si>
  <si>
    <t>이벤트 대응 (LP2/M) :  현지 대응_7일*4회</t>
    <phoneticPr fontId="2" type="noConversion"/>
  </si>
  <si>
    <t>이벤트 대응 (PV/SP1) : 국내 대응</t>
    <phoneticPr fontId="2" type="noConversion"/>
  </si>
  <si>
    <t>양산 대응 :  현지 대응_20일*주/야</t>
    <phoneticPr fontId="2" type="noConversion"/>
  </si>
  <si>
    <t>라인 운영 교육 : 현지 대응_14일</t>
    <phoneticPr fontId="2" type="noConversion"/>
  </si>
  <si>
    <t>항공비 10인 X 왕복 1회</t>
    <phoneticPr fontId="2" type="noConversion"/>
  </si>
  <si>
    <t>안전관리자</t>
    <phoneticPr fontId="2" type="noConversion"/>
  </si>
  <si>
    <t xml:space="preserve"> 마스터(5set) &amp; NG(3set) 대차</t>
    <phoneticPr fontId="2" type="noConversion"/>
  </si>
  <si>
    <t xml:space="preserve"> 메인 스키드</t>
    <phoneticPr fontId="2" type="noConversion"/>
  </si>
  <si>
    <t>set</t>
    <phoneticPr fontId="2" type="noConversion"/>
  </si>
  <si>
    <t>가정열 스키드</t>
    <phoneticPr fontId="2" type="noConversion"/>
  </si>
  <si>
    <t>U핀 매거진</t>
    <phoneticPr fontId="2" type="noConversion"/>
  </si>
  <si>
    <t>I핀 매거진</t>
    <phoneticPr fontId="2" type="noConversion"/>
  </si>
  <si>
    <t>대차</t>
    <phoneticPr fontId="2" type="noConversion"/>
  </si>
  <si>
    <t>현지 컨테이너 사무실 &amp; 전기, 화장실</t>
    <phoneticPr fontId="2" type="noConversion"/>
  </si>
  <si>
    <t>기계 설계</t>
  </si>
  <si>
    <t>기계 조립</t>
  </si>
  <si>
    <t>기계 시운전</t>
  </si>
  <si>
    <t xml:space="preserve"> NKT25226-0902-C-08</t>
    <phoneticPr fontId="2" type="noConversion"/>
  </si>
  <si>
    <t>시중품</t>
  </si>
  <si>
    <t>SMC 외</t>
    <phoneticPr fontId="2" type="noConversion"/>
  </si>
  <si>
    <t>사급</t>
  </si>
  <si>
    <t>INA ORIENTAL</t>
    <phoneticPr fontId="2" type="noConversion"/>
  </si>
  <si>
    <t>Mitsubishi</t>
    <phoneticPr fontId="2" type="noConversion"/>
  </si>
  <si>
    <t>Advantech</t>
    <phoneticPr fontId="2" type="noConversion"/>
  </si>
  <si>
    <t>THK</t>
    <phoneticPr fontId="2" type="noConversion"/>
  </si>
  <si>
    <t>MITUTOYO</t>
    <phoneticPr fontId="2" type="noConversion"/>
  </si>
  <si>
    <t>시중품</t>
    <phoneticPr fontId="2" type="noConversion"/>
  </si>
  <si>
    <t>견적제외</t>
  </si>
  <si>
    <t>unicon</t>
    <phoneticPr fontId="2" type="noConversion"/>
  </si>
  <si>
    <t>식</t>
  </si>
  <si>
    <t>Door Switch</t>
  </si>
  <si>
    <t>안전 PLC</t>
  </si>
  <si>
    <t>안전 사양 규정</t>
  </si>
  <si>
    <t>Safety Program</t>
  </si>
  <si>
    <t>헤어핀 대차/매거진</t>
  </si>
  <si>
    <t>견적 제외</t>
  </si>
  <si>
    <t>매거진 Part 기타부자재</t>
  </si>
  <si>
    <t>PPC Unit</t>
  </si>
  <si>
    <t>핸디 바코드 Unit</t>
  </si>
  <si>
    <t>전자 저울</t>
  </si>
  <si>
    <t>라이트커텐(600mm)</t>
  </si>
  <si>
    <t>misumi</t>
  </si>
  <si>
    <t>misumi</t>
    <phoneticPr fontId="2" type="noConversion"/>
  </si>
  <si>
    <t>festo</t>
    <phoneticPr fontId="2" type="noConversion"/>
  </si>
  <si>
    <t>Eachine</t>
    <phoneticPr fontId="2" type="noConversion"/>
  </si>
  <si>
    <t>선일 PLS</t>
  </si>
  <si>
    <t>pepperl</t>
    <phoneticPr fontId="2" type="noConversion"/>
  </si>
  <si>
    <t>ORIENTAL/LS</t>
  </si>
  <si>
    <t>Woojin</t>
  </si>
  <si>
    <t>THK외</t>
  </si>
  <si>
    <t>가공</t>
  </si>
  <si>
    <t>세창</t>
  </si>
  <si>
    <t xml:space="preserve"> Conveyor System</t>
  </si>
  <si>
    <t>smc</t>
    <phoneticPr fontId="2" type="noConversion"/>
  </si>
  <si>
    <t>SILVERTHIN</t>
  </si>
  <si>
    <t xml:space="preserve"> Load Head Part Sensor 및 기타부자재</t>
  </si>
  <si>
    <t xml:space="preserve"> 확관 Part 기타부자재</t>
  </si>
  <si>
    <t xml:space="preserve"> 확관 Part Air Part </t>
  </si>
  <si>
    <t xml:space="preserve"> DUCT ASSY Part</t>
  </si>
  <si>
    <t xml:space="preserve"> OP</t>
  </si>
  <si>
    <t>아마노</t>
    <phoneticPr fontId="2" type="noConversion"/>
  </si>
  <si>
    <t>기타부자재(Bolt, Pin. 액세서리 외)</t>
  </si>
  <si>
    <t>MISUMI</t>
  </si>
  <si>
    <t>Pallet POP UP &amp; Roation Part 기타부자재</t>
  </si>
  <si>
    <t>unicon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</si>
</sst>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);[Red]\(0\)"/>
    <numFmt numFmtId="183" formatCode="#,##0.0_ "/>
    <numFmt numFmtId="184" formatCode="0.0_);[Red]\(0.0\)"/>
    <numFmt numFmtId="185" formatCode="#,##0;[Red]#,##0"/>
  </numFmts>
  <fonts count="32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sz val="14"/>
      <name val="HY헤드라인M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</cellStyleXfs>
  <cellXfs count="499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14" fontId="0" fillId="2" borderId="6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8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5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1" fillId="0" borderId="24" xfId="0" applyNumberFormat="1" applyFont="1" applyBorder="1" applyAlignment="1">
      <alignment horizontal="right" vertical="center"/>
    </xf>
    <xf numFmtId="176" fontId="1" fillId="0" borderId="25" xfId="0" applyNumberFormat="1" applyFont="1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1" fillId="0" borderId="6" xfId="0" applyNumberFormat="1" applyFont="1" applyBorder="1" applyAlignment="1">
      <alignment horizontal="right" vertical="center"/>
    </xf>
    <xf numFmtId="176" fontId="1" fillId="0" borderId="30" xfId="0" applyNumberFormat="1" applyFont="1" applyBorder="1" applyAlignment="1">
      <alignment horizontal="right" vertical="center"/>
    </xf>
    <xf numFmtId="0" fontId="0" fillId="0" borderId="26" xfId="0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176" fontId="1" fillId="0" borderId="37" xfId="0" applyNumberFormat="1" applyFont="1" applyBorder="1" applyAlignment="1">
      <alignment vertical="center"/>
    </xf>
    <xf numFmtId="176" fontId="1" fillId="0" borderId="38" xfId="0" applyNumberFormat="1" applyFont="1" applyBorder="1" applyAlignment="1">
      <alignment vertical="center"/>
    </xf>
    <xf numFmtId="176" fontId="15" fillId="4" borderId="36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39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3" fontId="17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3" fontId="20" fillId="0" borderId="0" xfId="0" applyNumberFormat="1" applyFont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179" fontId="20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179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55" xfId="0" applyNumberFormat="1" applyFont="1" applyBorder="1" applyAlignment="1">
      <alignment horizontal="center" vertical="center"/>
    </xf>
    <xf numFmtId="3" fontId="1" fillId="0" borderId="59" xfId="0" applyNumberFormat="1" applyFont="1" applyBorder="1" applyAlignment="1">
      <alignment horizontal="center" vertical="center"/>
    </xf>
    <xf numFmtId="179" fontId="1" fillId="0" borderId="59" xfId="0" applyNumberFormat="1" applyFont="1" applyBorder="1" applyAlignment="1">
      <alignment horizontal="center" vertical="center"/>
    </xf>
    <xf numFmtId="3" fontId="1" fillId="0" borderId="60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6" fillId="0" borderId="62" xfId="0" applyNumberFormat="1" applyFont="1" applyBorder="1" applyAlignment="1">
      <alignment horizontal="center" vertical="center"/>
    </xf>
    <xf numFmtId="179" fontId="1" fillId="0" borderId="62" xfId="0" applyNumberFormat="1" applyFont="1" applyBorder="1" applyAlignment="1">
      <alignment horizontal="right" vertical="center"/>
    </xf>
    <xf numFmtId="179" fontId="1" fillId="0" borderId="62" xfId="0" applyNumberFormat="1" applyFont="1" applyBorder="1" applyAlignment="1">
      <alignment vertical="center"/>
    </xf>
    <xf numFmtId="3" fontId="1" fillId="0" borderId="63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Border="1" applyAlignment="1">
      <alignment vertical="center"/>
    </xf>
    <xf numFmtId="3" fontId="1" fillId="0" borderId="30" xfId="0" applyNumberFormat="1" applyFont="1" applyBorder="1" applyAlignment="1">
      <alignment vertical="center"/>
    </xf>
    <xf numFmtId="179" fontId="1" fillId="0" borderId="6" xfId="0" applyNumberFormat="1" applyFont="1" applyBorder="1" applyAlignment="1">
      <alignment horizontal="right" vertical="center"/>
    </xf>
    <xf numFmtId="3" fontId="0" fillId="5" borderId="6" xfId="0" applyNumberFormat="1" applyFill="1" applyBorder="1" applyAlignment="1">
      <alignment horizontal="center" vertical="center"/>
    </xf>
    <xf numFmtId="3" fontId="16" fillId="5" borderId="6" xfId="0" applyNumberFormat="1" applyFont="1" applyFill="1" applyBorder="1" applyAlignment="1">
      <alignment horizontal="center" vertical="center"/>
    </xf>
    <xf numFmtId="179" fontId="1" fillId="5" borderId="6" xfId="0" applyNumberFormat="1" applyFont="1" applyFill="1" applyBorder="1" applyAlignment="1">
      <alignment horizontal="right" vertical="center"/>
    </xf>
    <xf numFmtId="179" fontId="1" fillId="5" borderId="6" xfId="0" applyNumberFormat="1" applyFont="1" applyFill="1" applyBorder="1" applyAlignment="1">
      <alignment vertical="center"/>
    </xf>
    <xf numFmtId="3" fontId="0" fillId="0" borderId="30" xfId="0" applyNumberFormat="1" applyBorder="1" applyAlignment="1">
      <alignment vertical="center"/>
    </xf>
    <xf numFmtId="3" fontId="1" fillId="0" borderId="64" xfId="0" applyNumberFormat="1" applyFont="1" applyBorder="1" applyAlignment="1">
      <alignment horizontal="center" vertical="center"/>
    </xf>
    <xf numFmtId="179" fontId="5" fillId="0" borderId="6" xfId="0" applyNumberFormat="1" applyFont="1" applyBorder="1" applyAlignment="1">
      <alignment vertical="center"/>
    </xf>
    <xf numFmtId="3" fontId="1" fillId="5" borderId="6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 applyAlignment="1">
      <alignment horizontal="left" vertical="center"/>
    </xf>
    <xf numFmtId="3" fontId="1" fillId="0" borderId="3" xfId="0" applyNumberFormat="1" applyFont="1" applyBorder="1" applyAlignment="1">
      <alignment horizontal="center" vertical="center"/>
    </xf>
    <xf numFmtId="179" fontId="5" fillId="0" borderId="19" xfId="0" applyNumberFormat="1" applyFont="1" applyBorder="1" applyAlignment="1">
      <alignment vertical="center"/>
    </xf>
    <xf numFmtId="3" fontId="1" fillId="0" borderId="65" xfId="0" applyNumberFormat="1" applyFont="1" applyBorder="1" applyAlignment="1">
      <alignment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68" xfId="0" applyNumberFormat="1" applyFont="1" applyBorder="1" applyAlignment="1">
      <alignment horizontal="center" vertical="center"/>
    </xf>
    <xf numFmtId="179" fontId="5" fillId="0" borderId="32" xfId="0" applyNumberFormat="1" applyFont="1" applyBorder="1" applyAlignment="1">
      <alignment vertical="center"/>
    </xf>
    <xf numFmtId="3" fontId="1" fillId="0" borderId="69" xfId="0" applyNumberFormat="1" applyFont="1" applyBorder="1" applyAlignment="1">
      <alignment vertical="center"/>
    </xf>
    <xf numFmtId="3" fontId="1" fillId="0" borderId="24" xfId="0" applyNumberFormat="1" applyFont="1" applyBorder="1" applyAlignment="1">
      <alignment horizontal="center" vertical="center"/>
    </xf>
    <xf numFmtId="3" fontId="16" fillId="0" borderId="24" xfId="0" applyNumberFormat="1" applyFont="1" applyBorder="1" applyAlignment="1">
      <alignment horizontal="center" vertical="center"/>
    </xf>
    <xf numFmtId="179" fontId="1" fillId="0" borderId="24" xfId="0" applyNumberFormat="1" applyFont="1" applyBorder="1" applyAlignment="1">
      <alignment vertical="center"/>
    </xf>
    <xf numFmtId="3" fontId="1" fillId="0" borderId="25" xfId="0" applyNumberFormat="1" applyFont="1" applyBorder="1" applyAlignment="1">
      <alignment vertical="center"/>
    </xf>
    <xf numFmtId="3" fontId="16" fillId="5" borderId="62" xfId="0" applyNumberFormat="1" applyFont="1" applyFill="1" applyBorder="1" applyAlignment="1">
      <alignment horizontal="center" vertical="center"/>
    </xf>
    <xf numFmtId="179" fontId="1" fillId="5" borderId="62" xfId="0" applyNumberFormat="1" applyFont="1" applyFill="1" applyBorder="1" applyAlignment="1">
      <alignment vertical="center"/>
    </xf>
    <xf numFmtId="179" fontId="5" fillId="0" borderId="24" xfId="0" applyNumberFormat="1" applyFont="1" applyBorder="1" applyAlignment="1">
      <alignment vertical="center"/>
    </xf>
    <xf numFmtId="179" fontId="5" fillId="0" borderId="76" xfId="0" applyNumberFormat="1" applyFont="1" applyBorder="1" applyAlignment="1">
      <alignment vertical="center"/>
    </xf>
    <xf numFmtId="3" fontId="1" fillId="0" borderId="77" xfId="0" applyNumberFormat="1" applyFont="1" applyBorder="1" applyAlignment="1">
      <alignment vertical="center"/>
    </xf>
    <xf numFmtId="3" fontId="1" fillId="0" borderId="78" xfId="0" applyNumberFormat="1" applyFont="1" applyBorder="1" applyAlignment="1">
      <alignment horizontal="center" vertical="center"/>
    </xf>
    <xf numFmtId="179" fontId="5" fillId="4" borderId="82" xfId="0" applyNumberFormat="1" applyFont="1" applyFill="1" applyBorder="1" applyAlignment="1">
      <alignment vertical="center"/>
    </xf>
    <xf numFmtId="3" fontId="1" fillId="0" borderId="83" xfId="0" applyNumberFormat="1" applyFont="1" applyBorder="1" applyAlignment="1">
      <alignment vertical="center"/>
    </xf>
    <xf numFmtId="3" fontId="1" fillId="0" borderId="29" xfId="0" applyNumberFormat="1" applyFont="1" applyBorder="1" applyAlignment="1">
      <alignment horizontal="center" vertical="center"/>
    </xf>
    <xf numFmtId="179" fontId="5" fillId="0" borderId="62" xfId="0" applyNumberFormat="1" applyFont="1" applyBorder="1" applyAlignment="1">
      <alignment vertical="center"/>
    </xf>
    <xf numFmtId="3" fontId="16" fillId="5" borderId="30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84" xfId="0" applyNumberFormat="1" applyFont="1" applyBorder="1" applyAlignment="1">
      <alignment horizontal="left" vertical="center"/>
    </xf>
    <xf numFmtId="179" fontId="5" fillId="0" borderId="86" xfId="0" applyNumberFormat="1" applyFont="1" applyBorder="1" applyAlignment="1">
      <alignment vertical="center"/>
    </xf>
    <xf numFmtId="3" fontId="1" fillId="0" borderId="88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179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5" borderId="6" xfId="0" applyNumberFormat="1" applyFill="1" applyBorder="1" applyAlignment="1">
      <alignment vertical="center"/>
    </xf>
    <xf numFmtId="17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60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176" fontId="0" fillId="0" borderId="97" xfId="0" applyNumberFormat="1" applyBorder="1" applyAlignment="1">
      <alignment horizontal="center" vertical="center"/>
    </xf>
    <xf numFmtId="176" fontId="0" fillId="0" borderId="97" xfId="0" applyNumberFormat="1" applyBorder="1" applyAlignment="1">
      <alignment horizontal="left" vertical="center"/>
    </xf>
    <xf numFmtId="176" fontId="23" fillId="0" borderId="98" xfId="0" applyNumberFormat="1" applyFont="1" applyBorder="1" applyAlignment="1">
      <alignment vertical="center"/>
    </xf>
    <xf numFmtId="176" fontId="23" fillId="0" borderId="99" xfId="0" applyNumberFormat="1" applyFont="1" applyBorder="1" applyAlignment="1">
      <alignment vertical="center"/>
    </xf>
    <xf numFmtId="176" fontId="23" fillId="0" borderId="100" xfId="0" applyNumberFormat="1" applyFont="1" applyBorder="1" applyAlignment="1">
      <alignment vertical="center"/>
    </xf>
    <xf numFmtId="176" fontId="1" fillId="0" borderId="101" xfId="0" applyNumberFormat="1" applyFont="1" applyBorder="1" applyAlignment="1">
      <alignment vertical="center"/>
    </xf>
    <xf numFmtId="176" fontId="1" fillId="0" borderId="99" xfId="0" applyNumberFormat="1" applyFont="1" applyBorder="1" applyAlignment="1">
      <alignment vertical="center"/>
    </xf>
    <xf numFmtId="176" fontId="0" fillId="0" borderId="102" xfId="0" applyNumberFormat="1" applyBorder="1" applyAlignment="1">
      <alignment vertical="center"/>
    </xf>
    <xf numFmtId="176" fontId="0" fillId="0" borderId="103" xfId="0" applyNumberFormat="1" applyBorder="1" applyAlignment="1">
      <alignment vertical="center"/>
    </xf>
    <xf numFmtId="176" fontId="0" fillId="0" borderId="104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left" vertical="center"/>
    </xf>
    <xf numFmtId="176" fontId="23" fillId="0" borderId="29" xfId="0" applyNumberFormat="1" applyFont="1" applyBorder="1" applyAlignment="1">
      <alignment vertical="center"/>
    </xf>
    <xf numFmtId="176" fontId="23" fillId="0" borderId="6" xfId="0" applyNumberFormat="1" applyFont="1" applyBorder="1" applyAlignment="1">
      <alignment vertical="center"/>
    </xf>
    <xf numFmtId="176" fontId="23" fillId="0" borderId="30" xfId="0" applyNumberFormat="1" applyFont="1" applyBorder="1" applyAlignment="1">
      <alignment vertical="center"/>
    </xf>
    <xf numFmtId="176" fontId="1" fillId="0" borderId="64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0" fillId="0" borderId="105" xfId="0" applyNumberFormat="1" applyBorder="1" applyAlignment="1">
      <alignment vertical="center"/>
    </xf>
    <xf numFmtId="176" fontId="0" fillId="0" borderId="106" xfId="0" applyNumberFormat="1" applyBorder="1" applyAlignment="1">
      <alignment vertical="center"/>
    </xf>
    <xf numFmtId="176" fontId="0" fillId="0" borderId="28" xfId="0" applyNumberFormat="1" applyBorder="1" applyAlignment="1">
      <alignment vertical="center"/>
    </xf>
    <xf numFmtId="176" fontId="0" fillId="0" borderId="33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left" vertical="center"/>
    </xf>
    <xf numFmtId="176" fontId="23" fillId="0" borderId="107" xfId="0" applyNumberFormat="1" applyFont="1" applyBorder="1" applyAlignment="1">
      <alignment vertical="center"/>
    </xf>
    <xf numFmtId="176" fontId="23" fillId="0" borderId="32" xfId="0" applyNumberFormat="1" applyFont="1" applyBorder="1" applyAlignment="1">
      <alignment vertical="center"/>
    </xf>
    <xf numFmtId="176" fontId="23" fillId="0" borderId="69" xfId="0" applyNumberFormat="1" applyFont="1" applyBorder="1" applyAlignment="1">
      <alignment vertical="center"/>
    </xf>
    <xf numFmtId="176" fontId="1" fillId="0" borderId="68" xfId="0" applyNumberFormat="1" applyFont="1" applyBorder="1" applyAlignment="1">
      <alignment vertical="center"/>
    </xf>
    <xf numFmtId="176" fontId="1" fillId="0" borderId="32" xfId="0" applyNumberFormat="1" applyFon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109" xfId="0" applyNumberFormat="1" applyBorder="1" applyAlignment="1">
      <alignment vertical="center"/>
    </xf>
    <xf numFmtId="176" fontId="0" fillId="0" borderId="49" xfId="0" applyNumberFormat="1" applyBorder="1" applyAlignment="1">
      <alignment vertical="center"/>
    </xf>
    <xf numFmtId="176" fontId="23" fillId="0" borderId="50" xfId="0" applyNumberFormat="1" applyFont="1" applyBorder="1" applyAlignment="1">
      <alignment vertical="center"/>
    </xf>
    <xf numFmtId="176" fontId="23" fillId="0" borderId="53" xfId="0" applyNumberFormat="1" applyFont="1" applyBorder="1" applyAlignment="1">
      <alignment vertical="center"/>
    </xf>
    <xf numFmtId="176" fontId="23" fillId="0" borderId="54" xfId="0" applyNumberFormat="1" applyFont="1" applyBorder="1" applyAlignment="1">
      <alignment vertical="center"/>
    </xf>
    <xf numFmtId="176" fontId="5" fillId="0" borderId="52" xfId="0" applyNumberFormat="1" applyFont="1" applyBorder="1" applyAlignment="1">
      <alignment vertical="center"/>
    </xf>
    <xf numFmtId="176" fontId="5" fillId="0" borderId="53" xfId="0" applyNumberFormat="1" applyFont="1" applyBorder="1" applyAlignment="1">
      <alignment vertical="center"/>
    </xf>
    <xf numFmtId="176" fontId="5" fillId="0" borderId="89" xfId="0" applyNumberFormat="1" applyFont="1" applyBorder="1" applyAlignment="1">
      <alignment vertical="center"/>
    </xf>
    <xf numFmtId="176" fontId="5" fillId="0" borderId="110" xfId="0" applyNumberFormat="1" applyFon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16" fillId="0" borderId="44" xfId="0" applyNumberFormat="1" applyFont="1" applyBorder="1" applyAlignment="1">
      <alignment horizontal="center" vertical="center"/>
    </xf>
    <xf numFmtId="176" fontId="16" fillId="0" borderId="45" xfId="0" applyNumberFormat="1" applyFont="1" applyBorder="1" applyAlignment="1">
      <alignment horizontal="center" vertical="center"/>
    </xf>
    <xf numFmtId="176" fontId="16" fillId="0" borderId="46" xfId="0" applyNumberFormat="1" applyFont="1" applyBorder="1" applyAlignment="1">
      <alignment horizontal="center" vertical="center"/>
    </xf>
    <xf numFmtId="9" fontId="24" fillId="0" borderId="66" xfId="2" applyFont="1" applyBorder="1" applyAlignment="1">
      <alignment vertical="center"/>
    </xf>
    <xf numFmtId="9" fontId="24" fillId="0" borderId="111" xfId="2" applyFont="1" applyBorder="1" applyAlignment="1">
      <alignment vertical="center"/>
    </xf>
    <xf numFmtId="9" fontId="24" fillId="0" borderId="112" xfId="2" applyFont="1" applyBorder="1" applyAlignment="1">
      <alignment vertical="center"/>
    </xf>
    <xf numFmtId="9" fontId="16" fillId="0" borderId="113" xfId="2" applyFont="1" applyBorder="1" applyAlignment="1">
      <alignment vertical="center"/>
    </xf>
    <xf numFmtId="9" fontId="16" fillId="0" borderId="111" xfId="2" applyFont="1" applyFill="1" applyBorder="1" applyAlignment="1">
      <alignment vertical="center"/>
    </xf>
    <xf numFmtId="9" fontId="16" fillId="0" borderId="111" xfId="2" applyFont="1" applyBorder="1" applyAlignment="1">
      <alignment vertical="center"/>
    </xf>
    <xf numFmtId="9" fontId="16" fillId="0" borderId="114" xfId="2" applyFont="1" applyBorder="1" applyAlignment="1">
      <alignment vertical="center"/>
    </xf>
    <xf numFmtId="9" fontId="16" fillId="0" borderId="115" xfId="2" applyFont="1" applyBorder="1" applyAlignment="1">
      <alignment vertical="center"/>
    </xf>
    <xf numFmtId="176" fontId="16" fillId="0" borderId="46" xfId="0" applyNumberFormat="1" applyFont="1" applyBorder="1" applyAlignment="1">
      <alignment vertical="center"/>
    </xf>
    <xf numFmtId="176" fontId="16" fillId="0" borderId="0" xfId="0" applyNumberFormat="1" applyFont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5" fillId="0" borderId="0" xfId="0" applyFont="1" applyAlignment="1">
      <alignment vertical="center"/>
    </xf>
    <xf numFmtId="41" fontId="25" fillId="0" borderId="0" xfId="1" applyFont="1" applyAlignment="1">
      <alignment vertical="center"/>
    </xf>
    <xf numFmtId="179" fontId="26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7" fillId="0" borderId="45" xfId="0" applyNumberFormat="1" applyFont="1" applyBorder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2" borderId="116" xfId="0" applyFill="1" applyBorder="1" applyAlignment="1">
      <alignment vertical="center"/>
    </xf>
    <xf numFmtId="0" fontId="0" fillId="2" borderId="116" xfId="0" applyFill="1" applyBorder="1" applyAlignment="1">
      <alignment horizontal="center" vertical="center"/>
    </xf>
    <xf numFmtId="176" fontId="0" fillId="2" borderId="116" xfId="0" applyNumberFormat="1" applyFill="1" applyBorder="1" applyAlignment="1">
      <alignment horizontal="center" vertical="center"/>
    </xf>
    <xf numFmtId="176" fontId="0" fillId="2" borderId="116" xfId="0" applyNumberFormat="1" applyFill="1" applyBorder="1" applyAlignment="1">
      <alignment vertical="center"/>
    </xf>
    <xf numFmtId="176" fontId="0" fillId="0" borderId="83" xfId="0" applyNumberFormat="1" applyBorder="1" applyAlignment="1">
      <alignment vertical="center"/>
    </xf>
    <xf numFmtId="0" fontId="0" fillId="0" borderId="116" xfId="0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2" borderId="26" xfId="0" applyNumberForma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33" xfId="0" applyFill="1" applyBorder="1" applyAlignment="1">
      <alignment horizontal="center" vertical="center"/>
    </xf>
    <xf numFmtId="176" fontId="0" fillId="2" borderId="33" xfId="0" applyNumberFormat="1" applyFill="1" applyBorder="1" applyAlignment="1">
      <alignment horizontal="center" vertical="center"/>
    </xf>
    <xf numFmtId="176" fontId="0" fillId="2" borderId="33" xfId="0" applyNumberFormat="1" applyFill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3" xfId="0" applyBorder="1" applyAlignment="1">
      <alignment vertical="center"/>
    </xf>
    <xf numFmtId="176" fontId="0" fillId="0" borderId="43" xfId="0" applyNumberFormat="1" applyBorder="1" applyAlignment="1">
      <alignment horizontal="center" vertical="center"/>
    </xf>
    <xf numFmtId="176" fontId="0" fillId="0" borderId="43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vertical="center"/>
    </xf>
    <xf numFmtId="176" fontId="0" fillId="0" borderId="22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0" fontId="0" fillId="6" borderId="16" xfId="0" applyFill="1" applyBorder="1" applyAlignment="1">
      <alignment vertical="center"/>
    </xf>
    <xf numFmtId="0" fontId="0" fillId="2" borderId="117" xfId="0" applyFill="1" applyBorder="1" applyAlignment="1">
      <alignment vertical="center"/>
    </xf>
    <xf numFmtId="176" fontId="0" fillId="2" borderId="117" xfId="0" applyNumberFormat="1" applyFill="1" applyBorder="1" applyAlignment="1">
      <alignment horizontal="center" vertical="center"/>
    </xf>
    <xf numFmtId="176" fontId="0" fillId="2" borderId="117" xfId="0" applyNumberFormat="1" applyFill="1" applyBorder="1" applyAlignment="1">
      <alignment vertical="center"/>
    </xf>
    <xf numFmtId="176" fontId="0" fillId="0" borderId="118" xfId="0" applyNumberFormat="1" applyBorder="1" applyAlignment="1">
      <alignment vertical="center"/>
    </xf>
    <xf numFmtId="0" fontId="0" fillId="0" borderId="117" xfId="0" applyBorder="1" applyAlignment="1">
      <alignment vertical="center"/>
    </xf>
    <xf numFmtId="0" fontId="0" fillId="7" borderId="36" xfId="0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0" fontId="0" fillId="7" borderId="12" xfId="0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vertical="center"/>
    </xf>
    <xf numFmtId="176" fontId="0" fillId="7" borderId="36" xfId="0" applyNumberForma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8" borderId="20" xfId="0" applyFill="1" applyBorder="1" applyAlignment="1">
      <alignment vertical="center"/>
    </xf>
    <xf numFmtId="0" fontId="0" fillId="8" borderId="20" xfId="0" applyFill="1" applyBorder="1" applyAlignment="1">
      <alignment horizontal="center" vertical="center"/>
    </xf>
    <xf numFmtId="176" fontId="0" fillId="8" borderId="20" xfId="0" applyNumberFormat="1" applyFill="1" applyBorder="1" applyAlignment="1">
      <alignment horizontal="right" vertical="center"/>
    </xf>
    <xf numFmtId="176" fontId="0" fillId="8" borderId="20" xfId="0" applyNumberFormat="1" applyFill="1" applyBorder="1" applyAlignment="1">
      <alignment vertical="center"/>
    </xf>
    <xf numFmtId="0" fontId="0" fillId="8" borderId="26" xfId="0" applyFill="1" applyBorder="1" applyAlignment="1">
      <alignment vertical="center"/>
    </xf>
    <xf numFmtId="0" fontId="0" fillId="8" borderId="26" xfId="0" applyFill="1" applyBorder="1" applyAlignment="1">
      <alignment horizontal="center" vertical="center"/>
    </xf>
    <xf numFmtId="176" fontId="0" fillId="8" borderId="26" xfId="0" applyNumberFormat="1" applyFill="1" applyBorder="1" applyAlignment="1">
      <alignment horizontal="right" vertical="center"/>
    </xf>
    <xf numFmtId="176" fontId="0" fillId="8" borderId="26" xfId="0" applyNumberFormat="1" applyFill="1" applyBorder="1" applyAlignment="1">
      <alignment vertical="center"/>
    </xf>
    <xf numFmtId="0" fontId="0" fillId="8" borderId="117" xfId="0" applyFill="1" applyBorder="1" applyAlignment="1">
      <alignment vertical="center"/>
    </xf>
    <xf numFmtId="0" fontId="0" fillId="8" borderId="117" xfId="0" applyFill="1" applyBorder="1" applyAlignment="1">
      <alignment horizontal="center" vertical="center"/>
    </xf>
    <xf numFmtId="0" fontId="1" fillId="8" borderId="117" xfId="0" applyFont="1" applyFill="1" applyBorder="1" applyAlignment="1">
      <alignment horizontal="right" vertical="center"/>
    </xf>
    <xf numFmtId="41" fontId="1" fillId="8" borderId="117" xfId="3" applyFont="1" applyFill="1" applyBorder="1" applyAlignment="1">
      <alignment horizontal="center" vertical="center"/>
    </xf>
    <xf numFmtId="0" fontId="0" fillId="8" borderId="26" xfId="0" applyFill="1" applyBorder="1" applyAlignment="1">
      <alignment horizontal="left" vertical="center"/>
    </xf>
    <xf numFmtId="0" fontId="0" fillId="8" borderId="26" xfId="0" applyFill="1" applyBorder="1" applyAlignment="1">
      <alignment horizontal="right" vertical="center"/>
    </xf>
    <xf numFmtId="41" fontId="1" fillId="8" borderId="26" xfId="3" applyFont="1" applyFill="1" applyBorder="1" applyAlignment="1">
      <alignment horizontal="right" vertical="center"/>
    </xf>
    <xf numFmtId="0" fontId="0" fillId="8" borderId="117" xfId="0" applyFill="1" applyBorder="1" applyAlignment="1">
      <alignment horizontal="right" vertical="center"/>
    </xf>
    <xf numFmtId="41" fontId="1" fillId="8" borderId="117" xfId="3" applyFont="1" applyFill="1" applyBorder="1" applyAlignment="1">
      <alignment horizontal="right" vertical="center"/>
    </xf>
    <xf numFmtId="0" fontId="1" fillId="8" borderId="26" xfId="0" applyFont="1" applyFill="1" applyBorder="1" applyAlignment="1">
      <alignment horizontal="right" vertical="center"/>
    </xf>
    <xf numFmtId="41" fontId="1" fillId="8" borderId="26" xfId="3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vertical="center"/>
    </xf>
    <xf numFmtId="176" fontId="0" fillId="0" borderId="36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176" fontId="0" fillId="0" borderId="34" xfId="0" applyNumberFormat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45" xfId="0" applyNumberFormat="1" applyFont="1" applyFill="1" applyBorder="1" applyAlignment="1">
      <alignment vertical="center"/>
    </xf>
    <xf numFmtId="176" fontId="26" fillId="0" borderId="0" xfId="0" applyNumberFormat="1" applyFont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3" borderId="26" xfId="0" applyFill="1" applyBorder="1" applyAlignment="1">
      <alignment vertical="center"/>
    </xf>
    <xf numFmtId="176" fontId="0" fillId="3" borderId="26" xfId="0" applyNumberFormat="1" applyFill="1" applyBorder="1" applyAlignment="1">
      <alignment horizontal="center" vertical="center"/>
    </xf>
    <xf numFmtId="176" fontId="0" fillId="3" borderId="26" xfId="0" applyNumberFormat="1" applyFill="1" applyBorder="1" applyAlignment="1">
      <alignment vertical="center"/>
    </xf>
    <xf numFmtId="181" fontId="0" fillId="0" borderId="43" xfId="0" applyNumberFormat="1" applyBorder="1" applyAlignment="1">
      <alignment vertical="center"/>
    </xf>
    <xf numFmtId="182" fontId="0" fillId="3" borderId="2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3" fontId="0" fillId="2" borderId="12" xfId="0" applyNumberFormat="1" applyFill="1" applyBorder="1" applyAlignment="1">
      <alignment horizontal="center" vertical="center"/>
    </xf>
    <xf numFmtId="183" fontId="0" fillId="2" borderId="20" xfId="0" applyNumberFormat="1" applyFill="1" applyBorder="1" applyAlignment="1">
      <alignment horizontal="center" vertical="center"/>
    </xf>
    <xf numFmtId="183" fontId="0" fillId="3" borderId="26" xfId="0" applyNumberFormat="1" applyFill="1" applyBorder="1" applyAlignment="1">
      <alignment horizontal="center" vertical="center"/>
    </xf>
    <xf numFmtId="0" fontId="0" fillId="3" borderId="31" xfId="0" applyFill="1" applyBorder="1" applyAlignment="1">
      <alignment vertical="center"/>
    </xf>
    <xf numFmtId="183" fontId="0" fillId="2" borderId="33" xfId="0" applyNumberFormat="1" applyFill="1" applyBorder="1" applyAlignment="1">
      <alignment horizontal="center" vertical="center"/>
    </xf>
    <xf numFmtId="0" fontId="0" fillId="3" borderId="26" xfId="0" applyFill="1" applyBorder="1" applyAlignment="1">
      <alignment horizontal="left" vertical="center"/>
    </xf>
    <xf numFmtId="0" fontId="0" fillId="3" borderId="117" xfId="0" applyFill="1" applyBorder="1" applyAlignment="1">
      <alignment vertical="center"/>
    </xf>
    <xf numFmtId="0" fontId="0" fillId="0" borderId="39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" fillId="0" borderId="27" xfId="0" applyFont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119" xfId="0" applyFill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119" xfId="0" applyBorder="1" applyAlignment="1">
      <alignment vertical="center"/>
    </xf>
    <xf numFmtId="183" fontId="0" fillId="2" borderId="117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49" fontId="0" fillId="3" borderId="26" xfId="0" applyNumberFormat="1" applyFill="1" applyBorder="1" applyAlignment="1">
      <alignment horizontal="center" vertical="center"/>
    </xf>
    <xf numFmtId="0" fontId="0" fillId="3" borderId="49" xfId="0" applyFill="1" applyBorder="1" applyAlignment="1">
      <alignment vertical="center"/>
    </xf>
    <xf numFmtId="0" fontId="0" fillId="3" borderId="33" xfId="0" applyFill="1" applyBorder="1" applyAlignment="1">
      <alignment vertical="center"/>
    </xf>
    <xf numFmtId="49" fontId="0" fillId="3" borderId="33" xfId="0" applyNumberFormat="1" applyFill="1" applyBorder="1" applyAlignment="1">
      <alignment horizontal="center" vertical="center"/>
    </xf>
    <xf numFmtId="0" fontId="29" fillId="3" borderId="26" xfId="0" applyFont="1" applyFill="1" applyBorder="1" applyAlignment="1">
      <alignment vertical="center"/>
    </xf>
    <xf numFmtId="0" fontId="16" fillId="2" borderId="26" xfId="0" applyFont="1" applyFill="1" applyBorder="1" applyAlignment="1">
      <alignment vertical="center"/>
    </xf>
    <xf numFmtId="183" fontId="0" fillId="2" borderId="26" xfId="0" applyNumberFormat="1" applyFill="1" applyBorder="1" applyAlignment="1">
      <alignment vertical="center"/>
    </xf>
    <xf numFmtId="0" fontId="30" fillId="3" borderId="26" xfId="0" applyFont="1" applyFill="1" applyBorder="1" applyAlignment="1">
      <alignment horizontal="center" vertical="center"/>
    </xf>
    <xf numFmtId="0" fontId="30" fillId="3" borderId="28" xfId="0" applyFont="1" applyFill="1" applyBorder="1" applyAlignment="1">
      <alignment horizontal="center" vertical="center"/>
    </xf>
    <xf numFmtId="185" fontId="30" fillId="3" borderId="26" xfId="0" applyNumberFormat="1" applyFont="1" applyFill="1" applyBorder="1" applyAlignment="1">
      <alignment vertical="center"/>
    </xf>
    <xf numFmtId="0" fontId="30" fillId="3" borderId="27" xfId="0" applyFont="1" applyFill="1" applyBorder="1" applyAlignment="1">
      <alignment vertical="center"/>
    </xf>
    <xf numFmtId="0" fontId="0" fillId="3" borderId="26" xfId="0" quotePrefix="1" applyFill="1" applyBorder="1" applyAlignment="1">
      <alignment horizontal="center" vertical="center"/>
    </xf>
    <xf numFmtId="184" fontId="0" fillId="2" borderId="26" xfId="0" applyNumberFormat="1" applyFill="1" applyBorder="1" applyAlignment="1">
      <alignment vertical="center"/>
    </xf>
    <xf numFmtId="184" fontId="0" fillId="2" borderId="33" xfId="0" applyNumberFormat="1" applyFill="1" applyBorder="1" applyAlignment="1">
      <alignment vertical="center"/>
    </xf>
    <xf numFmtId="0" fontId="30" fillId="3" borderId="26" xfId="0" applyFont="1" applyFill="1" applyBorder="1" applyAlignment="1">
      <alignment horizontal="left" vertical="center"/>
    </xf>
    <xf numFmtId="0" fontId="0" fillId="3" borderId="33" xfId="0" applyFill="1" applyBorder="1" applyAlignment="1">
      <alignment horizontal="center" vertical="center"/>
    </xf>
    <xf numFmtId="183" fontId="0" fillId="2" borderId="33" xfId="0" applyNumberFormat="1" applyFill="1" applyBorder="1" applyAlignment="1">
      <alignment vertical="center"/>
    </xf>
    <xf numFmtId="0" fontId="31" fillId="0" borderId="0" xfId="0" applyFont="1" applyAlignment="1">
      <alignment vertical="center"/>
    </xf>
    <xf numFmtId="0" fontId="5" fillId="0" borderId="1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0" xfId="0" applyBorder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176" fontId="0" fillId="0" borderId="28" xfId="0" applyNumberForma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2" borderId="117" xfId="0" applyFill="1" applyBorder="1" applyAlignment="1">
      <alignment horizontal="center" vertical="center"/>
    </xf>
    <xf numFmtId="185" fontId="30" fillId="3" borderId="26" xfId="0" applyNumberFormat="1" applyFont="1" applyFill="1" applyBorder="1" applyAlignment="1">
      <alignment horizontal="center" vertical="center"/>
    </xf>
    <xf numFmtId="181" fontId="0" fillId="0" borderId="43" xfId="0" applyNumberFormat="1" applyBorder="1" applyAlignment="1">
      <alignment horizontal="center" vertical="center"/>
    </xf>
    <xf numFmtId="183" fontId="0" fillId="3" borderId="33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6" fontId="1" fillId="0" borderId="34" xfId="0" applyNumberFormat="1" applyFont="1" applyBorder="1" applyAlignment="1">
      <alignment horizontal="center"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4" xfId="0" applyNumberFormat="1" applyFont="1" applyBorder="1" applyAlignment="1">
      <alignment horizontal="center" vertical="center" wrapText="1"/>
    </xf>
    <xf numFmtId="176" fontId="1" fillId="0" borderId="36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3" xfId="0" applyFont="1" applyBorder="1" applyAlignment="1">
      <alignment horizontal="center" vertical="center" textRotation="255"/>
    </xf>
    <xf numFmtId="0" fontId="1" fillId="2" borderId="13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177" fontId="1" fillId="2" borderId="16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17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178" fontId="0" fillId="2" borderId="16" xfId="0" applyNumberForma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8" fontId="1" fillId="2" borderId="17" xfId="0" applyNumberFormat="1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176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68" xfId="0" applyNumberFormat="1" applyFont="1" applyBorder="1" applyAlignment="1">
      <alignment horizontal="center" vertical="center"/>
    </xf>
    <xf numFmtId="3" fontId="0" fillId="0" borderId="47" xfId="0" quotePrefix="1" applyNumberFormat="1" applyBorder="1" applyAlignment="1">
      <alignment horizontal="left" vertical="center"/>
    </xf>
    <xf numFmtId="3" fontId="0" fillId="0" borderId="48" xfId="0" quotePrefix="1" applyNumberFormat="1" applyBorder="1" applyAlignment="1">
      <alignment horizontal="left" vertical="center"/>
    </xf>
    <xf numFmtId="3" fontId="0" fillId="0" borderId="68" xfId="0" quotePrefix="1" applyNumberFormat="1" applyBorder="1" applyAlignment="1">
      <alignment horizontal="left" vertical="center"/>
    </xf>
    <xf numFmtId="3" fontId="1" fillId="0" borderId="85" xfId="0" applyNumberFormat="1" applyFont="1" applyBorder="1" applyAlignment="1">
      <alignment horizontal="center" vertical="center"/>
    </xf>
    <xf numFmtId="3" fontId="16" fillId="0" borderId="86" xfId="0" quotePrefix="1" applyNumberFormat="1" applyFont="1" applyBorder="1" applyAlignment="1">
      <alignment horizontal="left" vertical="center"/>
    </xf>
    <xf numFmtId="3" fontId="16" fillId="0" borderId="85" xfId="0" quotePrefix="1" applyNumberFormat="1" applyFont="1" applyBorder="1" applyAlignment="1">
      <alignment horizontal="left" vertical="center"/>
    </xf>
    <xf numFmtId="3" fontId="16" fillId="0" borderId="87" xfId="0" quotePrefix="1" applyNumberFormat="1" applyFont="1" applyBorder="1" applyAlignment="1">
      <alignment horizontal="left" vertical="center"/>
    </xf>
    <xf numFmtId="3" fontId="0" fillId="0" borderId="19" xfId="0" applyNumberFormat="1" applyBorder="1" applyAlignment="1">
      <alignment horizontal="center" vertical="center" wrapText="1"/>
    </xf>
    <xf numFmtId="3" fontId="0" fillId="0" borderId="70" xfId="0" applyNumberFormat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64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9" xfId="0" applyNumberFormat="1" applyFont="1" applyBorder="1" applyAlignment="1">
      <alignment horizontal="center" vertical="center"/>
    </xf>
    <xf numFmtId="3" fontId="1" fillId="0" borderId="80" xfId="0" applyNumberFormat="1" applyFont="1" applyBorder="1" applyAlignment="1">
      <alignment horizontal="center" vertical="center"/>
    </xf>
    <xf numFmtId="3" fontId="1" fillId="0" borderId="81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4" xfId="0" applyNumberFormat="1" applyFont="1" applyBorder="1" applyAlignment="1">
      <alignment horizontal="center" vertical="center"/>
    </xf>
    <xf numFmtId="3" fontId="16" fillId="5" borderId="4" xfId="0" applyNumberFormat="1" applyFont="1" applyFill="1" applyBorder="1" applyAlignment="1">
      <alignment horizontal="left" vertical="center"/>
    </xf>
    <xf numFmtId="3" fontId="16" fillId="5" borderId="5" xfId="0" applyNumberFormat="1" applyFont="1" applyFill="1" applyBorder="1" applyAlignment="1">
      <alignment horizontal="left" vertical="center"/>
    </xf>
    <xf numFmtId="3" fontId="16" fillId="5" borderId="64" xfId="0" applyNumberFormat="1" applyFont="1" applyFill="1" applyBorder="1" applyAlignment="1">
      <alignment horizontal="left" vertical="center"/>
    </xf>
    <xf numFmtId="3" fontId="16" fillId="0" borderId="4" xfId="0" applyNumberFormat="1" applyFont="1" applyBorder="1" applyAlignment="1">
      <alignment horizontal="left" vertical="center"/>
    </xf>
    <xf numFmtId="3" fontId="16" fillId="0" borderId="5" xfId="0" applyNumberFormat="1" applyFont="1" applyBorder="1" applyAlignment="1">
      <alignment horizontal="left" vertical="center"/>
    </xf>
    <xf numFmtId="3" fontId="16" fillId="0" borderId="64" xfId="0" applyNumberFormat="1" applyFont="1" applyBorder="1" applyAlignment="1">
      <alignment horizontal="left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center" vertical="center"/>
    </xf>
    <xf numFmtId="3" fontId="1" fillId="0" borderId="42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3" fontId="1" fillId="0" borderId="75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61" xfId="0" applyNumberFormat="1" applyFont="1" applyBorder="1" applyAlignment="1">
      <alignment horizontal="center" vertical="center"/>
    </xf>
    <xf numFmtId="3" fontId="1" fillId="0" borderId="66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 wrapText="1"/>
    </xf>
    <xf numFmtId="3" fontId="1" fillId="0" borderId="70" xfId="0" applyNumberFormat="1" applyFont="1" applyBorder="1" applyAlignment="1">
      <alignment horizontal="center" vertical="center" wrapText="1"/>
    </xf>
    <xf numFmtId="3" fontId="1" fillId="0" borderId="70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67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3" fontId="1" fillId="0" borderId="39" xfId="0" applyNumberFormat="1" applyFont="1" applyBorder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0" borderId="56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3" fontId="1" fillId="0" borderId="58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top" wrapText="1" shrinkToFit="1"/>
    </xf>
    <xf numFmtId="0" fontId="0" fillId="0" borderId="1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</cellXfs>
  <cellStyles count="4">
    <cellStyle name="백분율" xfId="2" builtinId="5"/>
    <cellStyle name="쉼표 [0]" xfId="1" builtinId="6"/>
    <cellStyle name="쉼표 [0] 3" xfId="3" xr:uid="{FF1E0D27-E8E8-459F-95D0-1A08B1C7B9E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198120</xdr:colOff>
      <xdr:row>15</xdr:row>
      <xdr:rowOff>19050</xdr:rowOff>
    </xdr:from>
    <xdr:to>
      <xdr:col>14</xdr:col>
      <xdr:colOff>11502</xdr:colOff>
      <xdr:row>16</xdr:row>
      <xdr:rowOff>82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E03C4E73-6D45-431E-821D-E20A52C2753B}"/>
            </a:ext>
          </a:extLst>
        </xdr:cNvPr>
        <xdr:cNvSpPr>
          <a:spLocks/>
        </xdr:cNvSpPr>
      </xdr:nvSpPr>
      <xdr:spPr bwMode="auto">
        <a:xfrm>
          <a:off x="7658100" y="3825240"/>
          <a:ext cx="3063312" cy="232492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205740</xdr:colOff>
      <xdr:row>11</xdr:row>
      <xdr:rowOff>11430</xdr:rowOff>
    </xdr:from>
    <xdr:to>
      <xdr:col>14</xdr:col>
      <xdr:colOff>19134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B1554ED-3542-46FC-A181-5E7A54F400BF}"/>
            </a:ext>
          </a:extLst>
        </xdr:cNvPr>
        <xdr:cNvSpPr>
          <a:spLocks/>
        </xdr:cNvSpPr>
      </xdr:nvSpPr>
      <xdr:spPr bwMode="auto">
        <a:xfrm>
          <a:off x="7667625" y="2834640"/>
          <a:ext cx="3053799" cy="232410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205740</xdr:colOff>
      <xdr:row>17</xdr:row>
      <xdr:rowOff>11430</xdr:rowOff>
    </xdr:from>
    <xdr:to>
      <xdr:col>14</xdr:col>
      <xdr:colOff>19134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7AA2CB6-3BC9-4972-9F43-A79B12CBE319}"/>
            </a:ext>
          </a:extLst>
        </xdr:cNvPr>
        <xdr:cNvSpPr>
          <a:spLocks/>
        </xdr:cNvSpPr>
      </xdr:nvSpPr>
      <xdr:spPr bwMode="auto">
        <a:xfrm>
          <a:off x="7667625" y="4320540"/>
          <a:ext cx="3053799" cy="232410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217170</xdr:colOff>
      <xdr:row>7</xdr:row>
      <xdr:rowOff>115255</xdr:rowOff>
    </xdr:from>
    <xdr:to>
      <xdr:col>14</xdr:col>
      <xdr:colOff>30430</xdr:colOff>
      <xdr:row>8</xdr:row>
      <xdr:rowOff>152054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A1FAD33C-0057-4687-A9AC-8060195D56B1}"/>
            </a:ext>
          </a:extLst>
        </xdr:cNvPr>
        <xdr:cNvSpPr>
          <a:spLocks/>
        </xdr:cNvSpPr>
      </xdr:nvSpPr>
      <xdr:spPr bwMode="auto">
        <a:xfrm>
          <a:off x="7673340" y="1944055"/>
          <a:ext cx="3061285" cy="284449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200496</xdr:colOff>
      <xdr:row>14</xdr:row>
      <xdr:rowOff>0</xdr:rowOff>
    </xdr:from>
    <xdr:to>
      <xdr:col>14</xdr:col>
      <xdr:colOff>15812</xdr:colOff>
      <xdr:row>14</xdr:row>
      <xdr:rowOff>174127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96FF4CBC-5829-4EE2-BC49-97A9E9835AD6}"/>
            </a:ext>
          </a:extLst>
        </xdr:cNvPr>
        <xdr:cNvSpPr>
          <a:spLocks/>
        </xdr:cNvSpPr>
      </xdr:nvSpPr>
      <xdr:spPr bwMode="auto">
        <a:xfrm>
          <a:off x="7660476" y="3562350"/>
          <a:ext cx="3065246" cy="170317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214307</xdr:colOff>
      <xdr:row>8</xdr:row>
      <xdr:rowOff>180498</xdr:rowOff>
    </xdr:from>
    <xdr:to>
      <xdr:col>14</xdr:col>
      <xdr:colOff>19954</xdr:colOff>
      <xdr:row>10</xdr:row>
      <xdr:rowOff>152392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FE7BD7C-B65F-4556-8BA1-B0B71DAFA303}"/>
            </a:ext>
          </a:extLst>
        </xdr:cNvPr>
        <xdr:cNvSpPr>
          <a:spLocks/>
        </xdr:cNvSpPr>
      </xdr:nvSpPr>
      <xdr:spPr bwMode="auto">
        <a:xfrm>
          <a:off x="7668572" y="2255043"/>
          <a:ext cx="3053672" cy="469099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2C68-4D57-4308-903F-1D6C3474C3B1}">
  <sheetPr>
    <pageSetUpPr fitToPage="1"/>
  </sheetPr>
  <dimension ref="B1:I35"/>
  <sheetViews>
    <sheetView tabSelected="1" zoomScale="90" zoomScaleNormal="90" zoomScaleSheetLayoutView="90" workbookViewId="0">
      <selection activeCell="L34" sqref="L34"/>
    </sheetView>
  </sheetViews>
  <sheetFormatPr defaultColWidth="9" defaultRowHeight="13.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6" width="11.125" style="1" customWidth="1"/>
    <col min="7" max="7" width="14.125" style="1" customWidth="1"/>
    <col min="8" max="8" width="11.75" style="1" customWidth="1"/>
    <col min="9" max="9" width="8.75" style="1" customWidth="1"/>
    <col min="10" max="10" width="9" style="1"/>
    <col min="11" max="11" width="33.25" style="1" customWidth="1"/>
    <col min="12" max="256" width="9" style="1"/>
    <col min="257" max="257" width="2" style="1" customWidth="1"/>
    <col min="258" max="258" width="4.875" style="1" customWidth="1"/>
    <col min="259" max="259" width="8.5" style="1" customWidth="1"/>
    <col min="260" max="260" width="14.75" style="1" customWidth="1"/>
    <col min="261" max="262" width="11.125" style="1" customWidth="1"/>
    <col min="263" max="263" width="14.125" style="1" customWidth="1"/>
    <col min="264" max="264" width="11.75" style="1" customWidth="1"/>
    <col min="265" max="265" width="8.75" style="1" customWidth="1"/>
    <col min="266" max="266" width="9" style="1"/>
    <col min="267" max="267" width="33.25" style="1" customWidth="1"/>
    <col min="268" max="512" width="9" style="1"/>
    <col min="513" max="513" width="2" style="1" customWidth="1"/>
    <col min="514" max="514" width="4.875" style="1" customWidth="1"/>
    <col min="515" max="515" width="8.5" style="1" customWidth="1"/>
    <col min="516" max="516" width="14.75" style="1" customWidth="1"/>
    <col min="517" max="518" width="11.125" style="1" customWidth="1"/>
    <col min="519" max="519" width="14.125" style="1" customWidth="1"/>
    <col min="520" max="520" width="11.75" style="1" customWidth="1"/>
    <col min="521" max="521" width="8.75" style="1" customWidth="1"/>
    <col min="522" max="522" width="9" style="1"/>
    <col min="523" max="523" width="33.25" style="1" customWidth="1"/>
    <col min="524" max="768" width="9" style="1"/>
    <col min="769" max="769" width="2" style="1" customWidth="1"/>
    <col min="770" max="770" width="4.875" style="1" customWidth="1"/>
    <col min="771" max="771" width="8.5" style="1" customWidth="1"/>
    <col min="772" max="772" width="14.75" style="1" customWidth="1"/>
    <col min="773" max="774" width="11.125" style="1" customWidth="1"/>
    <col min="775" max="775" width="14.125" style="1" customWidth="1"/>
    <col min="776" max="776" width="11.75" style="1" customWidth="1"/>
    <col min="777" max="777" width="8.75" style="1" customWidth="1"/>
    <col min="778" max="778" width="9" style="1"/>
    <col min="779" max="779" width="33.25" style="1" customWidth="1"/>
    <col min="780" max="1024" width="9" style="1"/>
    <col min="1025" max="1025" width="2" style="1" customWidth="1"/>
    <col min="1026" max="1026" width="4.875" style="1" customWidth="1"/>
    <col min="1027" max="1027" width="8.5" style="1" customWidth="1"/>
    <col min="1028" max="1028" width="14.75" style="1" customWidth="1"/>
    <col min="1029" max="1030" width="11.125" style="1" customWidth="1"/>
    <col min="1031" max="1031" width="14.125" style="1" customWidth="1"/>
    <col min="1032" max="1032" width="11.75" style="1" customWidth="1"/>
    <col min="1033" max="1033" width="8.75" style="1" customWidth="1"/>
    <col min="1034" max="1034" width="9" style="1"/>
    <col min="1035" max="1035" width="33.25" style="1" customWidth="1"/>
    <col min="1036" max="1280" width="9" style="1"/>
    <col min="1281" max="1281" width="2" style="1" customWidth="1"/>
    <col min="1282" max="1282" width="4.875" style="1" customWidth="1"/>
    <col min="1283" max="1283" width="8.5" style="1" customWidth="1"/>
    <col min="1284" max="1284" width="14.75" style="1" customWidth="1"/>
    <col min="1285" max="1286" width="11.125" style="1" customWidth="1"/>
    <col min="1287" max="1287" width="14.125" style="1" customWidth="1"/>
    <col min="1288" max="1288" width="11.75" style="1" customWidth="1"/>
    <col min="1289" max="1289" width="8.75" style="1" customWidth="1"/>
    <col min="1290" max="1290" width="9" style="1"/>
    <col min="1291" max="1291" width="33.25" style="1" customWidth="1"/>
    <col min="1292" max="1536" width="9" style="1"/>
    <col min="1537" max="1537" width="2" style="1" customWidth="1"/>
    <col min="1538" max="1538" width="4.875" style="1" customWidth="1"/>
    <col min="1539" max="1539" width="8.5" style="1" customWidth="1"/>
    <col min="1540" max="1540" width="14.75" style="1" customWidth="1"/>
    <col min="1541" max="1542" width="11.125" style="1" customWidth="1"/>
    <col min="1543" max="1543" width="14.125" style="1" customWidth="1"/>
    <col min="1544" max="1544" width="11.75" style="1" customWidth="1"/>
    <col min="1545" max="1545" width="8.75" style="1" customWidth="1"/>
    <col min="1546" max="1546" width="9" style="1"/>
    <col min="1547" max="1547" width="33.25" style="1" customWidth="1"/>
    <col min="1548" max="1792" width="9" style="1"/>
    <col min="1793" max="1793" width="2" style="1" customWidth="1"/>
    <col min="1794" max="1794" width="4.875" style="1" customWidth="1"/>
    <col min="1795" max="1795" width="8.5" style="1" customWidth="1"/>
    <col min="1796" max="1796" width="14.75" style="1" customWidth="1"/>
    <col min="1797" max="1798" width="11.125" style="1" customWidth="1"/>
    <col min="1799" max="1799" width="14.125" style="1" customWidth="1"/>
    <col min="1800" max="1800" width="11.75" style="1" customWidth="1"/>
    <col min="1801" max="1801" width="8.75" style="1" customWidth="1"/>
    <col min="1802" max="1802" width="9" style="1"/>
    <col min="1803" max="1803" width="33.25" style="1" customWidth="1"/>
    <col min="1804" max="2048" width="9" style="1"/>
    <col min="2049" max="2049" width="2" style="1" customWidth="1"/>
    <col min="2050" max="2050" width="4.875" style="1" customWidth="1"/>
    <col min="2051" max="2051" width="8.5" style="1" customWidth="1"/>
    <col min="2052" max="2052" width="14.75" style="1" customWidth="1"/>
    <col min="2053" max="2054" width="11.125" style="1" customWidth="1"/>
    <col min="2055" max="2055" width="14.125" style="1" customWidth="1"/>
    <col min="2056" max="2056" width="11.75" style="1" customWidth="1"/>
    <col min="2057" max="2057" width="8.75" style="1" customWidth="1"/>
    <col min="2058" max="2058" width="9" style="1"/>
    <col min="2059" max="2059" width="33.25" style="1" customWidth="1"/>
    <col min="2060" max="2304" width="9" style="1"/>
    <col min="2305" max="2305" width="2" style="1" customWidth="1"/>
    <col min="2306" max="2306" width="4.875" style="1" customWidth="1"/>
    <col min="2307" max="2307" width="8.5" style="1" customWidth="1"/>
    <col min="2308" max="2308" width="14.75" style="1" customWidth="1"/>
    <col min="2309" max="2310" width="11.125" style="1" customWidth="1"/>
    <col min="2311" max="2311" width="14.125" style="1" customWidth="1"/>
    <col min="2312" max="2312" width="11.75" style="1" customWidth="1"/>
    <col min="2313" max="2313" width="8.75" style="1" customWidth="1"/>
    <col min="2314" max="2314" width="9" style="1"/>
    <col min="2315" max="2315" width="33.25" style="1" customWidth="1"/>
    <col min="2316" max="2560" width="9" style="1"/>
    <col min="2561" max="2561" width="2" style="1" customWidth="1"/>
    <col min="2562" max="2562" width="4.875" style="1" customWidth="1"/>
    <col min="2563" max="2563" width="8.5" style="1" customWidth="1"/>
    <col min="2564" max="2564" width="14.75" style="1" customWidth="1"/>
    <col min="2565" max="2566" width="11.125" style="1" customWidth="1"/>
    <col min="2567" max="2567" width="14.125" style="1" customWidth="1"/>
    <col min="2568" max="2568" width="11.75" style="1" customWidth="1"/>
    <col min="2569" max="2569" width="8.75" style="1" customWidth="1"/>
    <col min="2570" max="2570" width="9" style="1"/>
    <col min="2571" max="2571" width="33.25" style="1" customWidth="1"/>
    <col min="2572" max="2816" width="9" style="1"/>
    <col min="2817" max="2817" width="2" style="1" customWidth="1"/>
    <col min="2818" max="2818" width="4.875" style="1" customWidth="1"/>
    <col min="2819" max="2819" width="8.5" style="1" customWidth="1"/>
    <col min="2820" max="2820" width="14.75" style="1" customWidth="1"/>
    <col min="2821" max="2822" width="11.125" style="1" customWidth="1"/>
    <col min="2823" max="2823" width="14.125" style="1" customWidth="1"/>
    <col min="2824" max="2824" width="11.75" style="1" customWidth="1"/>
    <col min="2825" max="2825" width="8.75" style="1" customWidth="1"/>
    <col min="2826" max="2826" width="9" style="1"/>
    <col min="2827" max="2827" width="33.25" style="1" customWidth="1"/>
    <col min="2828" max="3072" width="9" style="1"/>
    <col min="3073" max="3073" width="2" style="1" customWidth="1"/>
    <col min="3074" max="3074" width="4.875" style="1" customWidth="1"/>
    <col min="3075" max="3075" width="8.5" style="1" customWidth="1"/>
    <col min="3076" max="3076" width="14.75" style="1" customWidth="1"/>
    <col min="3077" max="3078" width="11.125" style="1" customWidth="1"/>
    <col min="3079" max="3079" width="14.125" style="1" customWidth="1"/>
    <col min="3080" max="3080" width="11.75" style="1" customWidth="1"/>
    <col min="3081" max="3081" width="8.75" style="1" customWidth="1"/>
    <col min="3082" max="3082" width="9" style="1"/>
    <col min="3083" max="3083" width="33.25" style="1" customWidth="1"/>
    <col min="3084" max="3328" width="9" style="1"/>
    <col min="3329" max="3329" width="2" style="1" customWidth="1"/>
    <col min="3330" max="3330" width="4.875" style="1" customWidth="1"/>
    <col min="3331" max="3331" width="8.5" style="1" customWidth="1"/>
    <col min="3332" max="3332" width="14.75" style="1" customWidth="1"/>
    <col min="3333" max="3334" width="11.125" style="1" customWidth="1"/>
    <col min="3335" max="3335" width="14.125" style="1" customWidth="1"/>
    <col min="3336" max="3336" width="11.75" style="1" customWidth="1"/>
    <col min="3337" max="3337" width="8.75" style="1" customWidth="1"/>
    <col min="3338" max="3338" width="9" style="1"/>
    <col min="3339" max="3339" width="33.25" style="1" customWidth="1"/>
    <col min="3340" max="3584" width="9" style="1"/>
    <col min="3585" max="3585" width="2" style="1" customWidth="1"/>
    <col min="3586" max="3586" width="4.875" style="1" customWidth="1"/>
    <col min="3587" max="3587" width="8.5" style="1" customWidth="1"/>
    <col min="3588" max="3588" width="14.75" style="1" customWidth="1"/>
    <col min="3589" max="3590" width="11.125" style="1" customWidth="1"/>
    <col min="3591" max="3591" width="14.125" style="1" customWidth="1"/>
    <col min="3592" max="3592" width="11.75" style="1" customWidth="1"/>
    <col min="3593" max="3593" width="8.75" style="1" customWidth="1"/>
    <col min="3594" max="3594" width="9" style="1"/>
    <col min="3595" max="3595" width="33.25" style="1" customWidth="1"/>
    <col min="3596" max="3840" width="9" style="1"/>
    <col min="3841" max="3841" width="2" style="1" customWidth="1"/>
    <col min="3842" max="3842" width="4.875" style="1" customWidth="1"/>
    <col min="3843" max="3843" width="8.5" style="1" customWidth="1"/>
    <col min="3844" max="3844" width="14.75" style="1" customWidth="1"/>
    <col min="3845" max="3846" width="11.125" style="1" customWidth="1"/>
    <col min="3847" max="3847" width="14.125" style="1" customWidth="1"/>
    <col min="3848" max="3848" width="11.75" style="1" customWidth="1"/>
    <col min="3849" max="3849" width="8.75" style="1" customWidth="1"/>
    <col min="3850" max="3850" width="9" style="1"/>
    <col min="3851" max="3851" width="33.25" style="1" customWidth="1"/>
    <col min="3852" max="4096" width="9" style="1"/>
    <col min="4097" max="4097" width="2" style="1" customWidth="1"/>
    <col min="4098" max="4098" width="4.875" style="1" customWidth="1"/>
    <col min="4099" max="4099" width="8.5" style="1" customWidth="1"/>
    <col min="4100" max="4100" width="14.75" style="1" customWidth="1"/>
    <col min="4101" max="4102" width="11.125" style="1" customWidth="1"/>
    <col min="4103" max="4103" width="14.125" style="1" customWidth="1"/>
    <col min="4104" max="4104" width="11.75" style="1" customWidth="1"/>
    <col min="4105" max="4105" width="8.75" style="1" customWidth="1"/>
    <col min="4106" max="4106" width="9" style="1"/>
    <col min="4107" max="4107" width="33.25" style="1" customWidth="1"/>
    <col min="4108" max="4352" width="9" style="1"/>
    <col min="4353" max="4353" width="2" style="1" customWidth="1"/>
    <col min="4354" max="4354" width="4.875" style="1" customWidth="1"/>
    <col min="4355" max="4355" width="8.5" style="1" customWidth="1"/>
    <col min="4356" max="4356" width="14.75" style="1" customWidth="1"/>
    <col min="4357" max="4358" width="11.125" style="1" customWidth="1"/>
    <col min="4359" max="4359" width="14.125" style="1" customWidth="1"/>
    <col min="4360" max="4360" width="11.75" style="1" customWidth="1"/>
    <col min="4361" max="4361" width="8.75" style="1" customWidth="1"/>
    <col min="4362" max="4362" width="9" style="1"/>
    <col min="4363" max="4363" width="33.25" style="1" customWidth="1"/>
    <col min="4364" max="4608" width="9" style="1"/>
    <col min="4609" max="4609" width="2" style="1" customWidth="1"/>
    <col min="4610" max="4610" width="4.875" style="1" customWidth="1"/>
    <col min="4611" max="4611" width="8.5" style="1" customWidth="1"/>
    <col min="4612" max="4612" width="14.75" style="1" customWidth="1"/>
    <col min="4613" max="4614" width="11.125" style="1" customWidth="1"/>
    <col min="4615" max="4615" width="14.125" style="1" customWidth="1"/>
    <col min="4616" max="4616" width="11.75" style="1" customWidth="1"/>
    <col min="4617" max="4617" width="8.75" style="1" customWidth="1"/>
    <col min="4618" max="4618" width="9" style="1"/>
    <col min="4619" max="4619" width="33.25" style="1" customWidth="1"/>
    <col min="4620" max="4864" width="9" style="1"/>
    <col min="4865" max="4865" width="2" style="1" customWidth="1"/>
    <col min="4866" max="4866" width="4.875" style="1" customWidth="1"/>
    <col min="4867" max="4867" width="8.5" style="1" customWidth="1"/>
    <col min="4868" max="4868" width="14.75" style="1" customWidth="1"/>
    <col min="4869" max="4870" width="11.125" style="1" customWidth="1"/>
    <col min="4871" max="4871" width="14.125" style="1" customWidth="1"/>
    <col min="4872" max="4872" width="11.75" style="1" customWidth="1"/>
    <col min="4873" max="4873" width="8.75" style="1" customWidth="1"/>
    <col min="4874" max="4874" width="9" style="1"/>
    <col min="4875" max="4875" width="33.25" style="1" customWidth="1"/>
    <col min="4876" max="5120" width="9" style="1"/>
    <col min="5121" max="5121" width="2" style="1" customWidth="1"/>
    <col min="5122" max="5122" width="4.875" style="1" customWidth="1"/>
    <col min="5123" max="5123" width="8.5" style="1" customWidth="1"/>
    <col min="5124" max="5124" width="14.75" style="1" customWidth="1"/>
    <col min="5125" max="5126" width="11.125" style="1" customWidth="1"/>
    <col min="5127" max="5127" width="14.125" style="1" customWidth="1"/>
    <col min="5128" max="5128" width="11.75" style="1" customWidth="1"/>
    <col min="5129" max="5129" width="8.75" style="1" customWidth="1"/>
    <col min="5130" max="5130" width="9" style="1"/>
    <col min="5131" max="5131" width="33.25" style="1" customWidth="1"/>
    <col min="5132" max="5376" width="9" style="1"/>
    <col min="5377" max="5377" width="2" style="1" customWidth="1"/>
    <col min="5378" max="5378" width="4.875" style="1" customWidth="1"/>
    <col min="5379" max="5379" width="8.5" style="1" customWidth="1"/>
    <col min="5380" max="5380" width="14.75" style="1" customWidth="1"/>
    <col min="5381" max="5382" width="11.125" style="1" customWidth="1"/>
    <col min="5383" max="5383" width="14.125" style="1" customWidth="1"/>
    <col min="5384" max="5384" width="11.75" style="1" customWidth="1"/>
    <col min="5385" max="5385" width="8.75" style="1" customWidth="1"/>
    <col min="5386" max="5386" width="9" style="1"/>
    <col min="5387" max="5387" width="33.25" style="1" customWidth="1"/>
    <col min="5388" max="5632" width="9" style="1"/>
    <col min="5633" max="5633" width="2" style="1" customWidth="1"/>
    <col min="5634" max="5634" width="4.875" style="1" customWidth="1"/>
    <col min="5635" max="5635" width="8.5" style="1" customWidth="1"/>
    <col min="5636" max="5636" width="14.75" style="1" customWidth="1"/>
    <col min="5637" max="5638" width="11.125" style="1" customWidth="1"/>
    <col min="5639" max="5639" width="14.125" style="1" customWidth="1"/>
    <col min="5640" max="5640" width="11.75" style="1" customWidth="1"/>
    <col min="5641" max="5641" width="8.75" style="1" customWidth="1"/>
    <col min="5642" max="5642" width="9" style="1"/>
    <col min="5643" max="5643" width="33.25" style="1" customWidth="1"/>
    <col min="5644" max="5888" width="9" style="1"/>
    <col min="5889" max="5889" width="2" style="1" customWidth="1"/>
    <col min="5890" max="5890" width="4.875" style="1" customWidth="1"/>
    <col min="5891" max="5891" width="8.5" style="1" customWidth="1"/>
    <col min="5892" max="5892" width="14.75" style="1" customWidth="1"/>
    <col min="5893" max="5894" width="11.125" style="1" customWidth="1"/>
    <col min="5895" max="5895" width="14.125" style="1" customWidth="1"/>
    <col min="5896" max="5896" width="11.75" style="1" customWidth="1"/>
    <col min="5897" max="5897" width="8.75" style="1" customWidth="1"/>
    <col min="5898" max="5898" width="9" style="1"/>
    <col min="5899" max="5899" width="33.25" style="1" customWidth="1"/>
    <col min="5900" max="6144" width="9" style="1"/>
    <col min="6145" max="6145" width="2" style="1" customWidth="1"/>
    <col min="6146" max="6146" width="4.875" style="1" customWidth="1"/>
    <col min="6147" max="6147" width="8.5" style="1" customWidth="1"/>
    <col min="6148" max="6148" width="14.75" style="1" customWidth="1"/>
    <col min="6149" max="6150" width="11.125" style="1" customWidth="1"/>
    <col min="6151" max="6151" width="14.125" style="1" customWidth="1"/>
    <col min="6152" max="6152" width="11.75" style="1" customWidth="1"/>
    <col min="6153" max="6153" width="8.75" style="1" customWidth="1"/>
    <col min="6154" max="6154" width="9" style="1"/>
    <col min="6155" max="6155" width="33.25" style="1" customWidth="1"/>
    <col min="6156" max="6400" width="9" style="1"/>
    <col min="6401" max="6401" width="2" style="1" customWidth="1"/>
    <col min="6402" max="6402" width="4.875" style="1" customWidth="1"/>
    <col min="6403" max="6403" width="8.5" style="1" customWidth="1"/>
    <col min="6404" max="6404" width="14.75" style="1" customWidth="1"/>
    <col min="6405" max="6406" width="11.125" style="1" customWidth="1"/>
    <col min="6407" max="6407" width="14.125" style="1" customWidth="1"/>
    <col min="6408" max="6408" width="11.75" style="1" customWidth="1"/>
    <col min="6409" max="6409" width="8.75" style="1" customWidth="1"/>
    <col min="6410" max="6410" width="9" style="1"/>
    <col min="6411" max="6411" width="33.25" style="1" customWidth="1"/>
    <col min="6412" max="6656" width="9" style="1"/>
    <col min="6657" max="6657" width="2" style="1" customWidth="1"/>
    <col min="6658" max="6658" width="4.875" style="1" customWidth="1"/>
    <col min="6659" max="6659" width="8.5" style="1" customWidth="1"/>
    <col min="6660" max="6660" width="14.75" style="1" customWidth="1"/>
    <col min="6661" max="6662" width="11.125" style="1" customWidth="1"/>
    <col min="6663" max="6663" width="14.125" style="1" customWidth="1"/>
    <col min="6664" max="6664" width="11.75" style="1" customWidth="1"/>
    <col min="6665" max="6665" width="8.75" style="1" customWidth="1"/>
    <col min="6666" max="6666" width="9" style="1"/>
    <col min="6667" max="6667" width="33.25" style="1" customWidth="1"/>
    <col min="6668" max="6912" width="9" style="1"/>
    <col min="6913" max="6913" width="2" style="1" customWidth="1"/>
    <col min="6914" max="6914" width="4.875" style="1" customWidth="1"/>
    <col min="6915" max="6915" width="8.5" style="1" customWidth="1"/>
    <col min="6916" max="6916" width="14.75" style="1" customWidth="1"/>
    <col min="6917" max="6918" width="11.125" style="1" customWidth="1"/>
    <col min="6919" max="6919" width="14.125" style="1" customWidth="1"/>
    <col min="6920" max="6920" width="11.75" style="1" customWidth="1"/>
    <col min="6921" max="6921" width="8.75" style="1" customWidth="1"/>
    <col min="6922" max="6922" width="9" style="1"/>
    <col min="6923" max="6923" width="33.25" style="1" customWidth="1"/>
    <col min="6924" max="7168" width="9" style="1"/>
    <col min="7169" max="7169" width="2" style="1" customWidth="1"/>
    <col min="7170" max="7170" width="4.875" style="1" customWidth="1"/>
    <col min="7171" max="7171" width="8.5" style="1" customWidth="1"/>
    <col min="7172" max="7172" width="14.75" style="1" customWidth="1"/>
    <col min="7173" max="7174" width="11.125" style="1" customWidth="1"/>
    <col min="7175" max="7175" width="14.125" style="1" customWidth="1"/>
    <col min="7176" max="7176" width="11.75" style="1" customWidth="1"/>
    <col min="7177" max="7177" width="8.75" style="1" customWidth="1"/>
    <col min="7178" max="7178" width="9" style="1"/>
    <col min="7179" max="7179" width="33.25" style="1" customWidth="1"/>
    <col min="7180" max="7424" width="9" style="1"/>
    <col min="7425" max="7425" width="2" style="1" customWidth="1"/>
    <col min="7426" max="7426" width="4.875" style="1" customWidth="1"/>
    <col min="7427" max="7427" width="8.5" style="1" customWidth="1"/>
    <col min="7428" max="7428" width="14.75" style="1" customWidth="1"/>
    <col min="7429" max="7430" width="11.125" style="1" customWidth="1"/>
    <col min="7431" max="7431" width="14.125" style="1" customWidth="1"/>
    <col min="7432" max="7432" width="11.75" style="1" customWidth="1"/>
    <col min="7433" max="7433" width="8.75" style="1" customWidth="1"/>
    <col min="7434" max="7434" width="9" style="1"/>
    <col min="7435" max="7435" width="33.25" style="1" customWidth="1"/>
    <col min="7436" max="7680" width="9" style="1"/>
    <col min="7681" max="7681" width="2" style="1" customWidth="1"/>
    <col min="7682" max="7682" width="4.875" style="1" customWidth="1"/>
    <col min="7683" max="7683" width="8.5" style="1" customWidth="1"/>
    <col min="7684" max="7684" width="14.75" style="1" customWidth="1"/>
    <col min="7685" max="7686" width="11.125" style="1" customWidth="1"/>
    <col min="7687" max="7687" width="14.125" style="1" customWidth="1"/>
    <col min="7688" max="7688" width="11.75" style="1" customWidth="1"/>
    <col min="7689" max="7689" width="8.75" style="1" customWidth="1"/>
    <col min="7690" max="7690" width="9" style="1"/>
    <col min="7691" max="7691" width="33.25" style="1" customWidth="1"/>
    <col min="7692" max="7936" width="9" style="1"/>
    <col min="7937" max="7937" width="2" style="1" customWidth="1"/>
    <col min="7938" max="7938" width="4.875" style="1" customWidth="1"/>
    <col min="7939" max="7939" width="8.5" style="1" customWidth="1"/>
    <col min="7940" max="7940" width="14.75" style="1" customWidth="1"/>
    <col min="7941" max="7942" width="11.125" style="1" customWidth="1"/>
    <col min="7943" max="7943" width="14.125" style="1" customWidth="1"/>
    <col min="7944" max="7944" width="11.75" style="1" customWidth="1"/>
    <col min="7945" max="7945" width="8.75" style="1" customWidth="1"/>
    <col min="7946" max="7946" width="9" style="1"/>
    <col min="7947" max="7947" width="33.25" style="1" customWidth="1"/>
    <col min="7948" max="8192" width="9" style="1"/>
    <col min="8193" max="8193" width="2" style="1" customWidth="1"/>
    <col min="8194" max="8194" width="4.875" style="1" customWidth="1"/>
    <col min="8195" max="8195" width="8.5" style="1" customWidth="1"/>
    <col min="8196" max="8196" width="14.75" style="1" customWidth="1"/>
    <col min="8197" max="8198" width="11.125" style="1" customWidth="1"/>
    <col min="8199" max="8199" width="14.125" style="1" customWidth="1"/>
    <col min="8200" max="8200" width="11.75" style="1" customWidth="1"/>
    <col min="8201" max="8201" width="8.75" style="1" customWidth="1"/>
    <col min="8202" max="8202" width="9" style="1"/>
    <col min="8203" max="8203" width="33.25" style="1" customWidth="1"/>
    <col min="8204" max="8448" width="9" style="1"/>
    <col min="8449" max="8449" width="2" style="1" customWidth="1"/>
    <col min="8450" max="8450" width="4.875" style="1" customWidth="1"/>
    <col min="8451" max="8451" width="8.5" style="1" customWidth="1"/>
    <col min="8452" max="8452" width="14.75" style="1" customWidth="1"/>
    <col min="8453" max="8454" width="11.125" style="1" customWidth="1"/>
    <col min="8455" max="8455" width="14.125" style="1" customWidth="1"/>
    <col min="8456" max="8456" width="11.75" style="1" customWidth="1"/>
    <col min="8457" max="8457" width="8.75" style="1" customWidth="1"/>
    <col min="8458" max="8458" width="9" style="1"/>
    <col min="8459" max="8459" width="33.25" style="1" customWidth="1"/>
    <col min="8460" max="8704" width="9" style="1"/>
    <col min="8705" max="8705" width="2" style="1" customWidth="1"/>
    <col min="8706" max="8706" width="4.875" style="1" customWidth="1"/>
    <col min="8707" max="8707" width="8.5" style="1" customWidth="1"/>
    <col min="8708" max="8708" width="14.75" style="1" customWidth="1"/>
    <col min="8709" max="8710" width="11.125" style="1" customWidth="1"/>
    <col min="8711" max="8711" width="14.125" style="1" customWidth="1"/>
    <col min="8712" max="8712" width="11.75" style="1" customWidth="1"/>
    <col min="8713" max="8713" width="8.75" style="1" customWidth="1"/>
    <col min="8714" max="8714" width="9" style="1"/>
    <col min="8715" max="8715" width="33.25" style="1" customWidth="1"/>
    <col min="8716" max="8960" width="9" style="1"/>
    <col min="8961" max="8961" width="2" style="1" customWidth="1"/>
    <col min="8962" max="8962" width="4.875" style="1" customWidth="1"/>
    <col min="8963" max="8963" width="8.5" style="1" customWidth="1"/>
    <col min="8964" max="8964" width="14.75" style="1" customWidth="1"/>
    <col min="8965" max="8966" width="11.125" style="1" customWidth="1"/>
    <col min="8967" max="8967" width="14.125" style="1" customWidth="1"/>
    <col min="8968" max="8968" width="11.75" style="1" customWidth="1"/>
    <col min="8969" max="8969" width="8.75" style="1" customWidth="1"/>
    <col min="8970" max="8970" width="9" style="1"/>
    <col min="8971" max="8971" width="33.25" style="1" customWidth="1"/>
    <col min="8972" max="9216" width="9" style="1"/>
    <col min="9217" max="9217" width="2" style="1" customWidth="1"/>
    <col min="9218" max="9218" width="4.875" style="1" customWidth="1"/>
    <col min="9219" max="9219" width="8.5" style="1" customWidth="1"/>
    <col min="9220" max="9220" width="14.75" style="1" customWidth="1"/>
    <col min="9221" max="9222" width="11.125" style="1" customWidth="1"/>
    <col min="9223" max="9223" width="14.125" style="1" customWidth="1"/>
    <col min="9224" max="9224" width="11.75" style="1" customWidth="1"/>
    <col min="9225" max="9225" width="8.75" style="1" customWidth="1"/>
    <col min="9226" max="9226" width="9" style="1"/>
    <col min="9227" max="9227" width="33.25" style="1" customWidth="1"/>
    <col min="9228" max="9472" width="9" style="1"/>
    <col min="9473" max="9473" width="2" style="1" customWidth="1"/>
    <col min="9474" max="9474" width="4.875" style="1" customWidth="1"/>
    <col min="9475" max="9475" width="8.5" style="1" customWidth="1"/>
    <col min="9476" max="9476" width="14.75" style="1" customWidth="1"/>
    <col min="9477" max="9478" width="11.125" style="1" customWidth="1"/>
    <col min="9479" max="9479" width="14.125" style="1" customWidth="1"/>
    <col min="9480" max="9480" width="11.75" style="1" customWidth="1"/>
    <col min="9481" max="9481" width="8.75" style="1" customWidth="1"/>
    <col min="9482" max="9482" width="9" style="1"/>
    <col min="9483" max="9483" width="33.25" style="1" customWidth="1"/>
    <col min="9484" max="9728" width="9" style="1"/>
    <col min="9729" max="9729" width="2" style="1" customWidth="1"/>
    <col min="9730" max="9730" width="4.875" style="1" customWidth="1"/>
    <col min="9731" max="9731" width="8.5" style="1" customWidth="1"/>
    <col min="9732" max="9732" width="14.75" style="1" customWidth="1"/>
    <col min="9733" max="9734" width="11.125" style="1" customWidth="1"/>
    <col min="9735" max="9735" width="14.125" style="1" customWidth="1"/>
    <col min="9736" max="9736" width="11.75" style="1" customWidth="1"/>
    <col min="9737" max="9737" width="8.75" style="1" customWidth="1"/>
    <col min="9738" max="9738" width="9" style="1"/>
    <col min="9739" max="9739" width="33.25" style="1" customWidth="1"/>
    <col min="9740" max="9984" width="9" style="1"/>
    <col min="9985" max="9985" width="2" style="1" customWidth="1"/>
    <col min="9986" max="9986" width="4.875" style="1" customWidth="1"/>
    <col min="9987" max="9987" width="8.5" style="1" customWidth="1"/>
    <col min="9988" max="9988" width="14.75" style="1" customWidth="1"/>
    <col min="9989" max="9990" width="11.125" style="1" customWidth="1"/>
    <col min="9991" max="9991" width="14.125" style="1" customWidth="1"/>
    <col min="9992" max="9992" width="11.75" style="1" customWidth="1"/>
    <col min="9993" max="9993" width="8.75" style="1" customWidth="1"/>
    <col min="9994" max="9994" width="9" style="1"/>
    <col min="9995" max="9995" width="33.25" style="1" customWidth="1"/>
    <col min="9996" max="10240" width="9" style="1"/>
    <col min="10241" max="10241" width="2" style="1" customWidth="1"/>
    <col min="10242" max="10242" width="4.875" style="1" customWidth="1"/>
    <col min="10243" max="10243" width="8.5" style="1" customWidth="1"/>
    <col min="10244" max="10244" width="14.75" style="1" customWidth="1"/>
    <col min="10245" max="10246" width="11.125" style="1" customWidth="1"/>
    <col min="10247" max="10247" width="14.125" style="1" customWidth="1"/>
    <col min="10248" max="10248" width="11.75" style="1" customWidth="1"/>
    <col min="10249" max="10249" width="8.75" style="1" customWidth="1"/>
    <col min="10250" max="10250" width="9" style="1"/>
    <col min="10251" max="10251" width="33.25" style="1" customWidth="1"/>
    <col min="10252" max="10496" width="9" style="1"/>
    <col min="10497" max="10497" width="2" style="1" customWidth="1"/>
    <col min="10498" max="10498" width="4.875" style="1" customWidth="1"/>
    <col min="10499" max="10499" width="8.5" style="1" customWidth="1"/>
    <col min="10500" max="10500" width="14.75" style="1" customWidth="1"/>
    <col min="10501" max="10502" width="11.125" style="1" customWidth="1"/>
    <col min="10503" max="10503" width="14.125" style="1" customWidth="1"/>
    <col min="10504" max="10504" width="11.75" style="1" customWidth="1"/>
    <col min="10505" max="10505" width="8.75" style="1" customWidth="1"/>
    <col min="10506" max="10506" width="9" style="1"/>
    <col min="10507" max="10507" width="33.25" style="1" customWidth="1"/>
    <col min="10508" max="10752" width="9" style="1"/>
    <col min="10753" max="10753" width="2" style="1" customWidth="1"/>
    <col min="10754" max="10754" width="4.875" style="1" customWidth="1"/>
    <col min="10755" max="10755" width="8.5" style="1" customWidth="1"/>
    <col min="10756" max="10756" width="14.75" style="1" customWidth="1"/>
    <col min="10757" max="10758" width="11.125" style="1" customWidth="1"/>
    <col min="10759" max="10759" width="14.125" style="1" customWidth="1"/>
    <col min="10760" max="10760" width="11.75" style="1" customWidth="1"/>
    <col min="10761" max="10761" width="8.75" style="1" customWidth="1"/>
    <col min="10762" max="10762" width="9" style="1"/>
    <col min="10763" max="10763" width="33.25" style="1" customWidth="1"/>
    <col min="10764" max="11008" width="9" style="1"/>
    <col min="11009" max="11009" width="2" style="1" customWidth="1"/>
    <col min="11010" max="11010" width="4.875" style="1" customWidth="1"/>
    <col min="11011" max="11011" width="8.5" style="1" customWidth="1"/>
    <col min="11012" max="11012" width="14.75" style="1" customWidth="1"/>
    <col min="11013" max="11014" width="11.125" style="1" customWidth="1"/>
    <col min="11015" max="11015" width="14.125" style="1" customWidth="1"/>
    <col min="11016" max="11016" width="11.75" style="1" customWidth="1"/>
    <col min="11017" max="11017" width="8.75" style="1" customWidth="1"/>
    <col min="11018" max="11018" width="9" style="1"/>
    <col min="11019" max="11019" width="33.25" style="1" customWidth="1"/>
    <col min="11020" max="11264" width="9" style="1"/>
    <col min="11265" max="11265" width="2" style="1" customWidth="1"/>
    <col min="11266" max="11266" width="4.875" style="1" customWidth="1"/>
    <col min="11267" max="11267" width="8.5" style="1" customWidth="1"/>
    <col min="11268" max="11268" width="14.75" style="1" customWidth="1"/>
    <col min="11269" max="11270" width="11.125" style="1" customWidth="1"/>
    <col min="11271" max="11271" width="14.125" style="1" customWidth="1"/>
    <col min="11272" max="11272" width="11.75" style="1" customWidth="1"/>
    <col min="11273" max="11273" width="8.75" style="1" customWidth="1"/>
    <col min="11274" max="11274" width="9" style="1"/>
    <col min="11275" max="11275" width="33.25" style="1" customWidth="1"/>
    <col min="11276" max="11520" width="9" style="1"/>
    <col min="11521" max="11521" width="2" style="1" customWidth="1"/>
    <col min="11522" max="11522" width="4.875" style="1" customWidth="1"/>
    <col min="11523" max="11523" width="8.5" style="1" customWidth="1"/>
    <col min="11524" max="11524" width="14.75" style="1" customWidth="1"/>
    <col min="11525" max="11526" width="11.125" style="1" customWidth="1"/>
    <col min="11527" max="11527" width="14.125" style="1" customWidth="1"/>
    <col min="11528" max="11528" width="11.75" style="1" customWidth="1"/>
    <col min="11529" max="11529" width="8.75" style="1" customWidth="1"/>
    <col min="11530" max="11530" width="9" style="1"/>
    <col min="11531" max="11531" width="33.25" style="1" customWidth="1"/>
    <col min="11532" max="11776" width="9" style="1"/>
    <col min="11777" max="11777" width="2" style="1" customWidth="1"/>
    <col min="11778" max="11778" width="4.875" style="1" customWidth="1"/>
    <col min="11779" max="11779" width="8.5" style="1" customWidth="1"/>
    <col min="11780" max="11780" width="14.75" style="1" customWidth="1"/>
    <col min="11781" max="11782" width="11.125" style="1" customWidth="1"/>
    <col min="11783" max="11783" width="14.125" style="1" customWidth="1"/>
    <col min="11784" max="11784" width="11.75" style="1" customWidth="1"/>
    <col min="11785" max="11785" width="8.75" style="1" customWidth="1"/>
    <col min="11786" max="11786" width="9" style="1"/>
    <col min="11787" max="11787" width="33.25" style="1" customWidth="1"/>
    <col min="11788" max="12032" width="9" style="1"/>
    <col min="12033" max="12033" width="2" style="1" customWidth="1"/>
    <col min="12034" max="12034" width="4.875" style="1" customWidth="1"/>
    <col min="12035" max="12035" width="8.5" style="1" customWidth="1"/>
    <col min="12036" max="12036" width="14.75" style="1" customWidth="1"/>
    <col min="12037" max="12038" width="11.125" style="1" customWidth="1"/>
    <col min="12039" max="12039" width="14.125" style="1" customWidth="1"/>
    <col min="12040" max="12040" width="11.75" style="1" customWidth="1"/>
    <col min="12041" max="12041" width="8.75" style="1" customWidth="1"/>
    <col min="12042" max="12042" width="9" style="1"/>
    <col min="12043" max="12043" width="33.25" style="1" customWidth="1"/>
    <col min="12044" max="12288" width="9" style="1"/>
    <col min="12289" max="12289" width="2" style="1" customWidth="1"/>
    <col min="12290" max="12290" width="4.875" style="1" customWidth="1"/>
    <col min="12291" max="12291" width="8.5" style="1" customWidth="1"/>
    <col min="12292" max="12292" width="14.75" style="1" customWidth="1"/>
    <col min="12293" max="12294" width="11.125" style="1" customWidth="1"/>
    <col min="12295" max="12295" width="14.125" style="1" customWidth="1"/>
    <col min="12296" max="12296" width="11.75" style="1" customWidth="1"/>
    <col min="12297" max="12297" width="8.75" style="1" customWidth="1"/>
    <col min="12298" max="12298" width="9" style="1"/>
    <col min="12299" max="12299" width="33.25" style="1" customWidth="1"/>
    <col min="12300" max="12544" width="9" style="1"/>
    <col min="12545" max="12545" width="2" style="1" customWidth="1"/>
    <col min="12546" max="12546" width="4.875" style="1" customWidth="1"/>
    <col min="12547" max="12547" width="8.5" style="1" customWidth="1"/>
    <col min="12548" max="12548" width="14.75" style="1" customWidth="1"/>
    <col min="12549" max="12550" width="11.125" style="1" customWidth="1"/>
    <col min="12551" max="12551" width="14.125" style="1" customWidth="1"/>
    <col min="12552" max="12552" width="11.75" style="1" customWidth="1"/>
    <col min="12553" max="12553" width="8.75" style="1" customWidth="1"/>
    <col min="12554" max="12554" width="9" style="1"/>
    <col min="12555" max="12555" width="33.25" style="1" customWidth="1"/>
    <col min="12556" max="12800" width="9" style="1"/>
    <col min="12801" max="12801" width="2" style="1" customWidth="1"/>
    <col min="12802" max="12802" width="4.875" style="1" customWidth="1"/>
    <col min="12803" max="12803" width="8.5" style="1" customWidth="1"/>
    <col min="12804" max="12804" width="14.75" style="1" customWidth="1"/>
    <col min="12805" max="12806" width="11.125" style="1" customWidth="1"/>
    <col min="12807" max="12807" width="14.125" style="1" customWidth="1"/>
    <col min="12808" max="12808" width="11.75" style="1" customWidth="1"/>
    <col min="12809" max="12809" width="8.75" style="1" customWidth="1"/>
    <col min="12810" max="12810" width="9" style="1"/>
    <col min="12811" max="12811" width="33.25" style="1" customWidth="1"/>
    <col min="12812" max="13056" width="9" style="1"/>
    <col min="13057" max="13057" width="2" style="1" customWidth="1"/>
    <col min="13058" max="13058" width="4.875" style="1" customWidth="1"/>
    <col min="13059" max="13059" width="8.5" style="1" customWidth="1"/>
    <col min="13060" max="13060" width="14.75" style="1" customWidth="1"/>
    <col min="13061" max="13062" width="11.125" style="1" customWidth="1"/>
    <col min="13063" max="13063" width="14.125" style="1" customWidth="1"/>
    <col min="13064" max="13064" width="11.75" style="1" customWidth="1"/>
    <col min="13065" max="13065" width="8.75" style="1" customWidth="1"/>
    <col min="13066" max="13066" width="9" style="1"/>
    <col min="13067" max="13067" width="33.25" style="1" customWidth="1"/>
    <col min="13068" max="13312" width="9" style="1"/>
    <col min="13313" max="13313" width="2" style="1" customWidth="1"/>
    <col min="13314" max="13314" width="4.875" style="1" customWidth="1"/>
    <col min="13315" max="13315" width="8.5" style="1" customWidth="1"/>
    <col min="13316" max="13316" width="14.75" style="1" customWidth="1"/>
    <col min="13317" max="13318" width="11.125" style="1" customWidth="1"/>
    <col min="13319" max="13319" width="14.125" style="1" customWidth="1"/>
    <col min="13320" max="13320" width="11.75" style="1" customWidth="1"/>
    <col min="13321" max="13321" width="8.75" style="1" customWidth="1"/>
    <col min="13322" max="13322" width="9" style="1"/>
    <col min="13323" max="13323" width="33.25" style="1" customWidth="1"/>
    <col min="13324" max="13568" width="9" style="1"/>
    <col min="13569" max="13569" width="2" style="1" customWidth="1"/>
    <col min="13570" max="13570" width="4.875" style="1" customWidth="1"/>
    <col min="13571" max="13571" width="8.5" style="1" customWidth="1"/>
    <col min="13572" max="13572" width="14.75" style="1" customWidth="1"/>
    <col min="13573" max="13574" width="11.125" style="1" customWidth="1"/>
    <col min="13575" max="13575" width="14.125" style="1" customWidth="1"/>
    <col min="13576" max="13576" width="11.75" style="1" customWidth="1"/>
    <col min="13577" max="13577" width="8.75" style="1" customWidth="1"/>
    <col min="13578" max="13578" width="9" style="1"/>
    <col min="13579" max="13579" width="33.25" style="1" customWidth="1"/>
    <col min="13580" max="13824" width="9" style="1"/>
    <col min="13825" max="13825" width="2" style="1" customWidth="1"/>
    <col min="13826" max="13826" width="4.875" style="1" customWidth="1"/>
    <col min="13827" max="13827" width="8.5" style="1" customWidth="1"/>
    <col min="13828" max="13828" width="14.75" style="1" customWidth="1"/>
    <col min="13829" max="13830" width="11.125" style="1" customWidth="1"/>
    <col min="13831" max="13831" width="14.125" style="1" customWidth="1"/>
    <col min="13832" max="13832" width="11.75" style="1" customWidth="1"/>
    <col min="13833" max="13833" width="8.75" style="1" customWidth="1"/>
    <col min="13834" max="13834" width="9" style="1"/>
    <col min="13835" max="13835" width="33.25" style="1" customWidth="1"/>
    <col min="13836" max="14080" width="9" style="1"/>
    <col min="14081" max="14081" width="2" style="1" customWidth="1"/>
    <col min="14082" max="14082" width="4.875" style="1" customWidth="1"/>
    <col min="14083" max="14083" width="8.5" style="1" customWidth="1"/>
    <col min="14084" max="14084" width="14.75" style="1" customWidth="1"/>
    <col min="14085" max="14086" width="11.125" style="1" customWidth="1"/>
    <col min="14087" max="14087" width="14.125" style="1" customWidth="1"/>
    <col min="14088" max="14088" width="11.75" style="1" customWidth="1"/>
    <col min="14089" max="14089" width="8.75" style="1" customWidth="1"/>
    <col min="14090" max="14090" width="9" style="1"/>
    <col min="14091" max="14091" width="33.25" style="1" customWidth="1"/>
    <col min="14092" max="14336" width="9" style="1"/>
    <col min="14337" max="14337" width="2" style="1" customWidth="1"/>
    <col min="14338" max="14338" width="4.875" style="1" customWidth="1"/>
    <col min="14339" max="14339" width="8.5" style="1" customWidth="1"/>
    <col min="14340" max="14340" width="14.75" style="1" customWidth="1"/>
    <col min="14341" max="14342" width="11.125" style="1" customWidth="1"/>
    <col min="14343" max="14343" width="14.125" style="1" customWidth="1"/>
    <col min="14344" max="14344" width="11.75" style="1" customWidth="1"/>
    <col min="14345" max="14345" width="8.75" style="1" customWidth="1"/>
    <col min="14346" max="14346" width="9" style="1"/>
    <col min="14347" max="14347" width="33.25" style="1" customWidth="1"/>
    <col min="14348" max="14592" width="9" style="1"/>
    <col min="14593" max="14593" width="2" style="1" customWidth="1"/>
    <col min="14594" max="14594" width="4.875" style="1" customWidth="1"/>
    <col min="14595" max="14595" width="8.5" style="1" customWidth="1"/>
    <col min="14596" max="14596" width="14.75" style="1" customWidth="1"/>
    <col min="14597" max="14598" width="11.125" style="1" customWidth="1"/>
    <col min="14599" max="14599" width="14.125" style="1" customWidth="1"/>
    <col min="14600" max="14600" width="11.75" style="1" customWidth="1"/>
    <col min="14601" max="14601" width="8.75" style="1" customWidth="1"/>
    <col min="14602" max="14602" width="9" style="1"/>
    <col min="14603" max="14603" width="33.25" style="1" customWidth="1"/>
    <col min="14604" max="14848" width="9" style="1"/>
    <col min="14849" max="14849" width="2" style="1" customWidth="1"/>
    <col min="14850" max="14850" width="4.875" style="1" customWidth="1"/>
    <col min="14851" max="14851" width="8.5" style="1" customWidth="1"/>
    <col min="14852" max="14852" width="14.75" style="1" customWidth="1"/>
    <col min="14853" max="14854" width="11.125" style="1" customWidth="1"/>
    <col min="14855" max="14855" width="14.125" style="1" customWidth="1"/>
    <col min="14856" max="14856" width="11.75" style="1" customWidth="1"/>
    <col min="14857" max="14857" width="8.75" style="1" customWidth="1"/>
    <col min="14858" max="14858" width="9" style="1"/>
    <col min="14859" max="14859" width="33.25" style="1" customWidth="1"/>
    <col min="14860" max="15104" width="9" style="1"/>
    <col min="15105" max="15105" width="2" style="1" customWidth="1"/>
    <col min="15106" max="15106" width="4.875" style="1" customWidth="1"/>
    <col min="15107" max="15107" width="8.5" style="1" customWidth="1"/>
    <col min="15108" max="15108" width="14.75" style="1" customWidth="1"/>
    <col min="15109" max="15110" width="11.125" style="1" customWidth="1"/>
    <col min="15111" max="15111" width="14.125" style="1" customWidth="1"/>
    <col min="15112" max="15112" width="11.75" style="1" customWidth="1"/>
    <col min="15113" max="15113" width="8.75" style="1" customWidth="1"/>
    <col min="15114" max="15114" width="9" style="1"/>
    <col min="15115" max="15115" width="33.25" style="1" customWidth="1"/>
    <col min="15116" max="15360" width="9" style="1"/>
    <col min="15361" max="15361" width="2" style="1" customWidth="1"/>
    <col min="15362" max="15362" width="4.875" style="1" customWidth="1"/>
    <col min="15363" max="15363" width="8.5" style="1" customWidth="1"/>
    <col min="15364" max="15364" width="14.75" style="1" customWidth="1"/>
    <col min="15365" max="15366" width="11.125" style="1" customWidth="1"/>
    <col min="15367" max="15367" width="14.125" style="1" customWidth="1"/>
    <col min="15368" max="15368" width="11.75" style="1" customWidth="1"/>
    <col min="15369" max="15369" width="8.75" style="1" customWidth="1"/>
    <col min="15370" max="15370" width="9" style="1"/>
    <col min="15371" max="15371" width="33.25" style="1" customWidth="1"/>
    <col min="15372" max="15616" width="9" style="1"/>
    <col min="15617" max="15617" width="2" style="1" customWidth="1"/>
    <col min="15618" max="15618" width="4.875" style="1" customWidth="1"/>
    <col min="15619" max="15619" width="8.5" style="1" customWidth="1"/>
    <col min="15620" max="15620" width="14.75" style="1" customWidth="1"/>
    <col min="15621" max="15622" width="11.125" style="1" customWidth="1"/>
    <col min="15623" max="15623" width="14.125" style="1" customWidth="1"/>
    <col min="15624" max="15624" width="11.75" style="1" customWidth="1"/>
    <col min="15625" max="15625" width="8.75" style="1" customWidth="1"/>
    <col min="15626" max="15626" width="9" style="1"/>
    <col min="15627" max="15627" width="33.25" style="1" customWidth="1"/>
    <col min="15628" max="15872" width="9" style="1"/>
    <col min="15873" max="15873" width="2" style="1" customWidth="1"/>
    <col min="15874" max="15874" width="4.875" style="1" customWidth="1"/>
    <col min="15875" max="15875" width="8.5" style="1" customWidth="1"/>
    <col min="15876" max="15876" width="14.75" style="1" customWidth="1"/>
    <col min="15877" max="15878" width="11.125" style="1" customWidth="1"/>
    <col min="15879" max="15879" width="14.125" style="1" customWidth="1"/>
    <col min="15880" max="15880" width="11.75" style="1" customWidth="1"/>
    <col min="15881" max="15881" width="8.75" style="1" customWidth="1"/>
    <col min="15882" max="15882" width="9" style="1"/>
    <col min="15883" max="15883" width="33.25" style="1" customWidth="1"/>
    <col min="15884" max="16128" width="9" style="1"/>
    <col min="16129" max="16129" width="2" style="1" customWidth="1"/>
    <col min="16130" max="16130" width="4.875" style="1" customWidth="1"/>
    <col min="16131" max="16131" width="8.5" style="1" customWidth="1"/>
    <col min="16132" max="16132" width="14.75" style="1" customWidth="1"/>
    <col min="16133" max="16134" width="11.125" style="1" customWidth="1"/>
    <col min="16135" max="16135" width="14.125" style="1" customWidth="1"/>
    <col min="16136" max="16136" width="11.75" style="1" customWidth="1"/>
    <col min="16137" max="16137" width="8.75" style="1" customWidth="1"/>
    <col min="16138" max="16138" width="9" style="1"/>
    <col min="16139" max="16139" width="33.25" style="1" customWidth="1"/>
    <col min="16140" max="16384" width="9" style="1"/>
  </cols>
  <sheetData>
    <row r="1" spans="2:9">
      <c r="B1" s="1" t="s">
        <v>0</v>
      </c>
    </row>
    <row r="2" spans="2:9" ht="38.25">
      <c r="B2" s="415" t="s">
        <v>1</v>
      </c>
      <c r="C2" s="415"/>
      <c r="D2" s="415"/>
      <c r="E2" s="415"/>
      <c r="F2" s="415"/>
      <c r="G2" s="415"/>
      <c r="H2" s="415"/>
      <c r="I2" s="415"/>
    </row>
    <row r="4" spans="2:9" s="2" customFormat="1" ht="24" customHeight="1">
      <c r="B4" s="416" t="s">
        <v>2</v>
      </c>
      <c r="C4" s="416"/>
      <c r="D4" s="416"/>
      <c r="G4" s="3" t="s">
        <v>3</v>
      </c>
      <c r="H4" s="4"/>
      <c r="I4" s="5"/>
    </row>
    <row r="5" spans="2:9" s="2" customFormat="1" ht="21.75" customHeight="1">
      <c r="B5" s="417" t="s">
        <v>4</v>
      </c>
      <c r="C5" s="418"/>
      <c r="D5" s="6">
        <v>45905</v>
      </c>
      <c r="E5" s="7"/>
      <c r="G5" s="8" t="s">
        <v>171</v>
      </c>
      <c r="H5" s="9"/>
      <c r="I5" s="10"/>
    </row>
    <row r="6" spans="2:9" s="2" customFormat="1" ht="21.75" customHeight="1">
      <c r="B6" s="417" t="s">
        <v>5</v>
      </c>
      <c r="C6" s="418"/>
      <c r="D6" s="11" t="s">
        <v>530</v>
      </c>
      <c r="E6" s="7"/>
      <c r="G6" s="8" t="s">
        <v>172</v>
      </c>
      <c r="H6" s="12"/>
      <c r="I6" s="13"/>
    </row>
    <row r="7" spans="2:9" s="2" customFormat="1" ht="21.75" customHeight="1">
      <c r="B7" s="419" t="s">
        <v>6</v>
      </c>
      <c r="C7" s="14" t="s">
        <v>7</v>
      </c>
      <c r="D7" s="11" t="s">
        <v>8</v>
      </c>
      <c r="E7" s="7"/>
      <c r="G7" s="15"/>
      <c r="H7" s="12"/>
      <c r="I7" s="13"/>
    </row>
    <row r="8" spans="2:9" s="2" customFormat="1" ht="21.75" customHeight="1">
      <c r="B8" s="419"/>
      <c r="C8" s="14" t="s">
        <v>9</v>
      </c>
      <c r="D8" s="11" t="s">
        <v>8</v>
      </c>
      <c r="E8" s="7"/>
      <c r="G8" s="15" t="s">
        <v>173</v>
      </c>
      <c r="H8" s="12"/>
      <c r="I8" s="13"/>
    </row>
    <row r="9" spans="2:9" s="2" customFormat="1" ht="21.75" customHeight="1">
      <c r="B9" s="417" t="s">
        <v>10</v>
      </c>
      <c r="C9" s="418"/>
      <c r="D9" s="11" t="s">
        <v>11</v>
      </c>
      <c r="E9" s="7"/>
      <c r="G9" s="8" t="s">
        <v>174</v>
      </c>
      <c r="H9" s="12"/>
      <c r="I9" s="13"/>
    </row>
    <row r="10" spans="2:9" s="2" customFormat="1" ht="21.75" customHeight="1">
      <c r="B10" s="417" t="s">
        <v>12</v>
      </c>
      <c r="C10" s="418"/>
      <c r="D10" s="11" t="s">
        <v>13</v>
      </c>
      <c r="E10" s="7"/>
      <c r="G10" s="355" t="s">
        <v>175</v>
      </c>
      <c r="H10" s="16"/>
      <c r="I10" s="17"/>
    </row>
    <row r="11" spans="2:9" s="2" customFormat="1" ht="21.75" customHeight="1">
      <c r="B11" s="417" t="s">
        <v>14</v>
      </c>
      <c r="C11" s="418"/>
      <c r="D11" s="11" t="s">
        <v>15</v>
      </c>
      <c r="E11" s="7"/>
      <c r="G11" s="356" t="s">
        <v>176</v>
      </c>
      <c r="H11" s="18"/>
      <c r="I11" s="19"/>
    </row>
    <row r="12" spans="2:9" s="21" customFormat="1" ht="10.5" customHeight="1">
      <c r="B12" s="20"/>
      <c r="I12" s="22"/>
    </row>
    <row r="13" spans="2:9" s="21" customFormat="1" ht="24.95" customHeight="1">
      <c r="B13" s="420" t="s">
        <v>16</v>
      </c>
      <c r="C13" s="420"/>
      <c r="D13" s="421" t="str">
        <f>"一金"&amp;NUMBERSTRING(H27,1)&amp;"원整"</f>
        <v>一金이백팔십만칠백이원整</v>
      </c>
      <c r="E13" s="422"/>
      <c r="F13" s="422"/>
      <c r="G13" s="423">
        <f>H27</f>
        <v>2800701.9430000004</v>
      </c>
      <c r="H13" s="424"/>
      <c r="I13" s="23" t="s">
        <v>17</v>
      </c>
    </row>
    <row r="14" spans="2:9" s="2" customFormat="1" ht="8.25" customHeight="1"/>
    <row r="15" spans="2:9" s="24" customFormat="1" ht="24.95" customHeight="1">
      <c r="B15" s="409" t="s">
        <v>18</v>
      </c>
      <c r="C15" s="411" t="s">
        <v>19</v>
      </c>
      <c r="D15" s="412"/>
      <c r="E15" s="410" t="s">
        <v>20</v>
      </c>
      <c r="F15" s="410"/>
      <c r="G15" s="410"/>
      <c r="H15" s="410"/>
      <c r="I15" s="409" t="s">
        <v>21</v>
      </c>
    </row>
    <row r="16" spans="2:9" s="24" customFormat="1" ht="29.25" customHeight="1">
      <c r="B16" s="410"/>
      <c r="C16" s="413"/>
      <c r="D16" s="414"/>
      <c r="E16" s="25" t="s">
        <v>22</v>
      </c>
      <c r="F16" s="26" t="s">
        <v>23</v>
      </c>
      <c r="G16" s="27" t="s">
        <v>24</v>
      </c>
      <c r="H16" s="28" t="s">
        <v>25</v>
      </c>
      <c r="I16" s="410"/>
    </row>
    <row r="17" spans="2:9" ht="24.95" customHeight="1">
      <c r="B17" s="29">
        <v>1</v>
      </c>
      <c r="C17" s="402" t="str">
        <f>'포승 I-Pin 헤어핀 성형기'!C1</f>
        <v>포승 I-Pin 헤어핀 성형기</v>
      </c>
      <c r="D17" s="403"/>
      <c r="E17" s="30">
        <f>IF('단위공사별(집계)'!N7&gt;1,('단위공사별(집계)'!D7+'단위공사별(집계)'!E7+'단위공사별(집계)'!F7+'단위공사별(집계)'!G7+'단위공사별(집계)'!H7+'단위공사별(집계)'!I7)/1000," ")</f>
        <v>297004.76369592553</v>
      </c>
      <c r="F17" s="404">
        <f>IF('단위공사별(집계)'!N7&gt;0,'단위공사별(집계)'!K17/1000,"")</f>
        <v>0</v>
      </c>
      <c r="G17" s="31">
        <f>IF('단위공사별(집계)'!N7&gt;0,('단위공사별(집계)'!L7+'단위공사별(집계)'!M7)/1000,"")</f>
        <v>43383.96</v>
      </c>
      <c r="H17" s="32">
        <f>IF('단위공사별(집계)'!N7&gt;0,'단위공사별(집계)'!N7/1000,"")</f>
        <v>340388.72369592555</v>
      </c>
      <c r="I17" s="33"/>
    </row>
    <row r="18" spans="2:9" ht="24.95" customHeight="1">
      <c r="B18" s="34">
        <v>2</v>
      </c>
      <c r="C18" s="407" t="str">
        <f>'U핀 가정열 설비'!C1</f>
        <v>U핀 가정열 설비</v>
      </c>
      <c r="D18" s="408"/>
      <c r="E18" s="35">
        <f>IF('단위공사별(집계)'!N8&gt;1,('단위공사별(집계)'!D8+'단위공사별(집계)'!E8+'단위공사별(집계)'!F8+'단위공사별(집계)'!G8+'단위공사별(집계)'!H8+'단위공사별(집계)'!I8)/1000," ")</f>
        <v>288140.86386147077</v>
      </c>
      <c r="F18" s="405"/>
      <c r="G18" s="36">
        <f>IF('단위공사별(집계)'!N8&gt;0,('단위공사별(집계)'!L8+'단위공사별(집계)'!M8)/1000,"")</f>
        <v>42089.196000000004</v>
      </c>
      <c r="H18" s="37">
        <f>IF('단위공사별(집계)'!N8&gt;0,'단위공사별(집계)'!N8/1000,"")</f>
        <v>330230.05986147077</v>
      </c>
      <c r="I18" s="38"/>
    </row>
    <row r="19" spans="2:9" ht="24.95" customHeight="1">
      <c r="B19" s="34">
        <v>3</v>
      </c>
      <c r="C19" s="407" t="str">
        <f>'I핀 가정열 설비'!C1</f>
        <v>I핀 가정열 설비</v>
      </c>
      <c r="D19" s="408"/>
      <c r="E19" s="35">
        <f>IF('단위공사별(집계)'!N9&gt;1,('단위공사별(집계)'!D9+'단위공사별(집계)'!E9+'단위공사별(집계)'!F9+'단위공사별(집계)'!G9+'단위공사별(집계)'!H9+'단위공사별(집계)'!I9)/1000," ")</f>
        <v>89182.019725176637</v>
      </c>
      <c r="F19" s="405"/>
      <c r="G19" s="36">
        <f>IF('단위공사별(집계)'!N9&gt;0,('단위공사별(집계)'!L9+'단위공사별(집계)'!M9)/1000,"")</f>
        <v>13026.96</v>
      </c>
      <c r="H19" s="37">
        <f>IF('단위공사별(집계)'!N9&gt;0,'단위공사별(집계)'!N9/1000,"")</f>
        <v>102208.97972517663</v>
      </c>
      <c r="I19" s="39"/>
    </row>
    <row r="20" spans="2:9" ht="24.95" customHeight="1">
      <c r="B20" s="34">
        <v>4</v>
      </c>
      <c r="C20" s="407" t="str">
        <f>'코어 자동화 로딩기'!C1</f>
        <v>코어 자동화 로딩기</v>
      </c>
      <c r="D20" s="408"/>
      <c r="E20" s="35">
        <f>IF('단위공사별(집계)'!N10&gt;1,('단위공사별(집계)'!D10+'단위공사별(집계)'!E10+'단위공사별(집계)'!F10+'단위공사별(집계)'!G10+'단위공사별(집계)'!H10+'단위공사별(집계)'!I10)/1000," ")</f>
        <v>627886.95543881122</v>
      </c>
      <c r="F20" s="405"/>
      <c r="G20" s="36">
        <f>IF('단위공사별(집계)'!N10&gt;0,('단위공사별(집계)'!L10+'단위공사별(집계)'!M10)/1000,"")</f>
        <v>91716.45</v>
      </c>
      <c r="H20" s="37">
        <f>IF('단위공사별(집계)'!N10&gt;0,'단위공사별(집계)'!N10/1000,"")</f>
        <v>719603.40543881117</v>
      </c>
      <c r="I20" s="39"/>
    </row>
    <row r="21" spans="2:9" ht="24.95" customHeight="1">
      <c r="B21" s="34">
        <v>5</v>
      </c>
      <c r="C21" s="407" t="str">
        <f>'절연지 삽입'!C1</f>
        <v>절연지 삽입</v>
      </c>
      <c r="D21" s="408"/>
      <c r="E21" s="35">
        <f>IF('단위공사별(집계)'!N11&gt;1,('단위공사별(집계)'!D11+'단위공사별(집계)'!E11+'단위공사별(집계)'!F11+'단위공사별(집계)'!G11+'단위공사별(집계)'!H11+'단위공사별(집계)'!I11)/1000," ")</f>
        <v>154132.22378661891</v>
      </c>
      <c r="F21" s="405"/>
      <c r="G21" s="36">
        <f>IF('단위공사별(집계)'!N11&gt;0,('단위공사별(집계)'!L11+'단위공사별(집계)'!M11)/1000,"")</f>
        <v>22514.34</v>
      </c>
      <c r="H21" s="37">
        <f>IF('단위공사별(집계)'!N11&gt;0,'단위공사별(집계)'!N11/1000,"")</f>
        <v>176646.56378661891</v>
      </c>
      <c r="I21" s="39"/>
    </row>
    <row r="22" spans="2:9" ht="24.95" customHeight="1">
      <c r="B22" s="34">
        <v>6</v>
      </c>
      <c r="C22" s="407" t="str">
        <f>인서팅!C1</f>
        <v>인서팅</v>
      </c>
      <c r="D22" s="408"/>
      <c r="E22" s="35">
        <f>IF('단위공사별(집계)'!N12&gt;1,('단위공사별(집계)'!D12+'단위공사별(집계)'!E12+'단위공사별(집계)'!F12+'단위공사별(집계)'!G12+'단위공사별(집계)'!H12+'단위공사별(집계)'!I12)/1000," ")</f>
        <v>150449.47496409548</v>
      </c>
      <c r="F22" s="405"/>
      <c r="G22" s="36">
        <f>IF('단위공사별(집계)'!N12&gt;0,('단위공사별(집계)'!L12+'단위공사별(집계)'!M12)/1000,"")</f>
        <v>21976.395</v>
      </c>
      <c r="H22" s="37">
        <f>IF('단위공사별(집계)'!N12&gt;0,'단위공사별(집계)'!N12/1000,"")</f>
        <v>172425.86996409547</v>
      </c>
      <c r="I22" s="39"/>
    </row>
    <row r="23" spans="2:9" ht="24.95" customHeight="1">
      <c r="B23" s="34">
        <v>7</v>
      </c>
      <c r="C23" s="407" t="str">
        <f>확관!C1</f>
        <v>확관</v>
      </c>
      <c r="D23" s="408"/>
      <c r="E23" s="35">
        <f>IF('단위공사별(집계)'!N13&gt;1,('단위공사별(집계)'!D13+'단위공사별(집계)'!E13+'단위공사별(집계)'!F13+'단위공사별(집계)'!G13+'단위공사별(집계)'!H13+'단위공사별(집계)'!I13)/1000," ")</f>
        <v>147762.38172067647</v>
      </c>
      <c r="F23" s="405"/>
      <c r="G23" s="36">
        <f>IF('단위공사별(집계)'!N13&gt;0,('단위공사별(집계)'!L13+'단위공사별(집계)'!M13)/1000,"")</f>
        <v>21583.886999999999</v>
      </c>
      <c r="H23" s="37">
        <f>IF('단위공사별(집계)'!N13&gt;0,'단위공사별(집계)'!N13/1000,"")</f>
        <v>169346.26872067645</v>
      </c>
      <c r="I23" s="39"/>
    </row>
    <row r="24" spans="2:9" ht="24.95" customHeight="1">
      <c r="B24" s="40">
        <v>8</v>
      </c>
      <c r="C24" s="407" t="str">
        <f>트위스팅!C1</f>
        <v>트위스팅</v>
      </c>
      <c r="D24" s="408"/>
      <c r="E24" s="35">
        <f>IF('단위공사별(집계)'!N14&gt;1,('단위공사별(집계)'!D14+'단위공사별(집계)'!E14+'단위공사별(집계)'!F14+'단위공사별(집계)'!G14+'단위공사별(집계)'!H14+'단위공사별(집계)'!I14)/1000," ")</f>
        <v>287948.28021978546</v>
      </c>
      <c r="F24" s="405"/>
      <c r="G24" s="36">
        <f>IF('단위공사별(집계)'!N14&gt;0,('단위공사별(집계)'!L14+'단위공사별(집계)'!M14)/1000,"")</f>
        <v>42061.065000000002</v>
      </c>
      <c r="H24" s="37">
        <f>IF('단위공사별(집계)'!N14&gt;0,'단위공사별(집계)'!N14/1000,"")</f>
        <v>330009.34521978546</v>
      </c>
      <c r="I24" s="39"/>
    </row>
    <row r="25" spans="2:9" ht="24.95" customHeight="1">
      <c r="B25" s="40">
        <v>9</v>
      </c>
      <c r="C25" s="407" t="str">
        <f>하부컷팅!C1</f>
        <v>하부컷팅</v>
      </c>
      <c r="D25" s="408"/>
      <c r="E25" s="35">
        <f>IF('단위공사별(집계)'!N15&gt;1,('단위공사별(집계)'!D15+'단위공사별(집계)'!E15+'단위공사별(집계)'!F15+'단위공사별(집계)'!G15+'단위공사별(집계)'!H15+'단위공사별(집계)'!I15)/1000," ")</f>
        <v>96041.053404780454</v>
      </c>
      <c r="F25" s="405"/>
      <c r="G25" s="36">
        <f>IF('단위공사별(집계)'!N15&gt;0,('단위공사별(집계)'!L15+'단위공사별(집계)'!M15)/1000,"")</f>
        <v>14028.87</v>
      </c>
      <c r="H25" s="37">
        <f>IF('단위공사별(집계)'!N15&gt;0,'단위공사별(집계)'!N15/1000,"")</f>
        <v>110069.92340478045</v>
      </c>
      <c r="I25" s="39"/>
    </row>
    <row r="26" spans="2:9" ht="24.95" customHeight="1">
      <c r="B26" s="41">
        <v>10</v>
      </c>
      <c r="C26" s="407" t="str">
        <f>'납품, 현지설치 및 이벤트 양산대응'!C1</f>
        <v>납품, 현지설치 및 이벤트 양산대응</v>
      </c>
      <c r="D26" s="408"/>
      <c r="E26" s="35">
        <f>IF('단위공사별(집계)'!N16&gt;1,('단위공사별(집계)'!D16+'단위공사별(집계)'!E16+'단위공사별(집계)'!F16+'단위공사별(집계)'!G16+'단위공사별(집계)'!H16+'단위공사별(집계)'!I16)/1000," ")</f>
        <v>7992.8031826591941</v>
      </c>
      <c r="F26" s="406"/>
      <c r="G26" s="36">
        <f>IF('단위공사별(집계)'!N16&gt;0,('단위공사별(집계)'!L16+'단위공사별(집계)'!M16)/1000,"")</f>
        <v>341780</v>
      </c>
      <c r="H26" s="37">
        <f>IF('단위공사별(집계)'!N16&gt;0,'단위공사별(집계)'!N16/1000,"")</f>
        <v>349772.80318265921</v>
      </c>
      <c r="I26" s="42"/>
    </row>
    <row r="27" spans="2:9" ht="24.95" customHeight="1">
      <c r="B27" s="367" t="s">
        <v>26</v>
      </c>
      <c r="C27" s="368"/>
      <c r="D27" s="369"/>
      <c r="E27" s="43">
        <f>SUM(E17:E26)</f>
        <v>2146540.8200000003</v>
      </c>
      <c r="F27" s="44">
        <f>SUM(F17)</f>
        <v>0</v>
      </c>
      <c r="G27" s="44">
        <f>SUM(G17:G26)</f>
        <v>654161.12299999991</v>
      </c>
      <c r="H27" s="45">
        <f>SUM(H17:H26)</f>
        <v>2800701.9430000004</v>
      </c>
      <c r="I27" s="46"/>
    </row>
    <row r="28" spans="2:9" ht="4.5" customHeight="1">
      <c r="B28" s="47"/>
      <c r="C28" s="48"/>
      <c r="D28" s="48"/>
      <c r="E28" s="49"/>
      <c r="F28" s="49"/>
      <c r="G28" s="49"/>
      <c r="H28" s="49"/>
    </row>
    <row r="29" spans="2:9" ht="24" customHeight="1">
      <c r="B29" s="48"/>
      <c r="C29" s="48"/>
      <c r="D29" s="48"/>
      <c r="E29" s="49"/>
      <c r="F29" s="370" t="s">
        <v>27</v>
      </c>
      <c r="G29" s="371"/>
      <c r="H29" s="50"/>
    </row>
    <row r="30" spans="2:9" ht="15" customHeight="1">
      <c r="B30" s="48"/>
      <c r="C30" s="48"/>
      <c r="D30" s="48"/>
      <c r="E30" s="49"/>
      <c r="F30" s="49"/>
      <c r="G30" s="49"/>
      <c r="H30" s="49"/>
    </row>
    <row r="31" spans="2:9" ht="22.5" customHeight="1">
      <c r="B31" s="372" t="s">
        <v>28</v>
      </c>
      <c r="C31" s="375" t="s">
        <v>29</v>
      </c>
      <c r="D31" s="376"/>
      <c r="E31" s="377"/>
      <c r="F31" s="378" t="s">
        <v>30</v>
      </c>
      <c r="G31" s="379"/>
      <c r="H31" s="379"/>
      <c r="I31" s="380"/>
    </row>
    <row r="32" spans="2:9" ht="22.5" customHeight="1">
      <c r="B32" s="373"/>
      <c r="C32" s="381" t="s">
        <v>31</v>
      </c>
      <c r="D32" s="382"/>
      <c r="E32" s="383"/>
      <c r="F32" s="51" t="s">
        <v>32</v>
      </c>
      <c r="G32" s="384"/>
      <c r="H32" s="385"/>
      <c r="I32" s="386"/>
    </row>
    <row r="33" spans="2:9" ht="22.5" customHeight="1">
      <c r="B33" s="373"/>
      <c r="C33" s="387">
        <f>'원가항목별(집계)'!I39</f>
        <v>0</v>
      </c>
      <c r="D33" s="388"/>
      <c r="E33" s="389"/>
      <c r="F33" s="40" t="s">
        <v>33</v>
      </c>
      <c r="G33" s="390"/>
      <c r="H33" s="391"/>
      <c r="I33" s="392"/>
    </row>
    <row r="34" spans="2:9" ht="22.5" customHeight="1">
      <c r="B34" s="373"/>
      <c r="C34" s="393"/>
      <c r="D34" s="394"/>
      <c r="E34" s="395"/>
      <c r="F34" s="40" t="s">
        <v>34</v>
      </c>
      <c r="G34" s="390"/>
      <c r="H34" s="391"/>
      <c r="I34" s="392"/>
    </row>
    <row r="35" spans="2:9" ht="22.5" customHeight="1">
      <c r="B35" s="374"/>
      <c r="C35" s="396"/>
      <c r="D35" s="397"/>
      <c r="E35" s="398"/>
      <c r="F35" s="41" t="s">
        <v>35</v>
      </c>
      <c r="G35" s="399"/>
      <c r="H35" s="400"/>
      <c r="I35" s="401"/>
    </row>
  </sheetData>
  <mergeCells count="39">
    <mergeCell ref="B15:B16"/>
    <mergeCell ref="C15:D16"/>
    <mergeCell ref="E15:H15"/>
    <mergeCell ref="B2:I2"/>
    <mergeCell ref="B4:D4"/>
    <mergeCell ref="B5:C5"/>
    <mergeCell ref="B6:C6"/>
    <mergeCell ref="B7:B8"/>
    <mergeCell ref="B9:C9"/>
    <mergeCell ref="B10:C10"/>
    <mergeCell ref="B11:C11"/>
    <mergeCell ref="B13:C13"/>
    <mergeCell ref="D13:F13"/>
    <mergeCell ref="G13:H13"/>
    <mergeCell ref="I15:I16"/>
    <mergeCell ref="C17:D17"/>
    <mergeCell ref="F17:F2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72AB-3C66-4DF6-93D1-792762EF6DA4}">
  <sheetPr>
    <pageSetUpPr fitToPage="1"/>
  </sheetPr>
  <dimension ref="B2:M50"/>
  <sheetViews>
    <sheetView showGridLines="0" zoomScale="80" workbookViewId="0">
      <pane ySplit="6" topLeftCell="A7" activePane="bottomLeft" state="frozen"/>
      <selection activeCell="K5" sqref="K5"/>
      <selection pane="bottomLeft" activeCell="M32" sqref="M32"/>
    </sheetView>
  </sheetViews>
  <sheetFormatPr defaultColWidth="9" defaultRowHeight="19.5" customHeight="1"/>
  <cols>
    <col min="1" max="1" width="0.5" style="61" customWidth="1"/>
    <col min="2" max="2" width="5.25" style="61" bestFit="1" customWidth="1"/>
    <col min="3" max="3" width="7.375" style="61" customWidth="1"/>
    <col min="4" max="4" width="8.875" style="61" customWidth="1"/>
    <col min="5" max="5" width="17.75" style="61" customWidth="1"/>
    <col min="6" max="6" width="6.375" style="63" customWidth="1"/>
    <col min="7" max="7" width="8.875" style="64" customWidth="1"/>
    <col min="8" max="8" width="9.75" style="65" customWidth="1"/>
    <col min="9" max="9" width="17.5" style="65" bestFit="1" customWidth="1"/>
    <col min="10" max="10" width="15.625" style="61" customWidth="1"/>
    <col min="11" max="11" width="13.75" style="66" bestFit="1" customWidth="1"/>
    <col min="12" max="12" width="10.875" style="61" bestFit="1" customWidth="1"/>
    <col min="13" max="256" width="9" style="61"/>
    <col min="257" max="257" width="0.5" style="61" customWidth="1"/>
    <col min="258" max="258" width="5.25" style="61" bestFit="1" customWidth="1"/>
    <col min="259" max="259" width="7.375" style="61" customWidth="1"/>
    <col min="260" max="260" width="8.875" style="61" customWidth="1"/>
    <col min="261" max="261" width="17.75" style="61" customWidth="1"/>
    <col min="262" max="262" width="6.375" style="61" customWidth="1"/>
    <col min="263" max="263" width="8.875" style="61" customWidth="1"/>
    <col min="264" max="264" width="9.75" style="61" customWidth="1"/>
    <col min="265" max="265" width="17.5" style="61" bestFit="1" customWidth="1"/>
    <col min="266" max="266" width="15.625" style="61" customWidth="1"/>
    <col min="267" max="267" width="13.75" style="61" bestFit="1" customWidth="1"/>
    <col min="268" max="268" width="10.875" style="61" bestFit="1" customWidth="1"/>
    <col min="269" max="512" width="9" style="61"/>
    <col min="513" max="513" width="0.5" style="61" customWidth="1"/>
    <col min="514" max="514" width="5.25" style="61" bestFit="1" customWidth="1"/>
    <col min="515" max="515" width="7.375" style="61" customWidth="1"/>
    <col min="516" max="516" width="8.875" style="61" customWidth="1"/>
    <col min="517" max="517" width="17.75" style="61" customWidth="1"/>
    <col min="518" max="518" width="6.375" style="61" customWidth="1"/>
    <col min="519" max="519" width="8.875" style="61" customWidth="1"/>
    <col min="520" max="520" width="9.75" style="61" customWidth="1"/>
    <col min="521" max="521" width="17.5" style="61" bestFit="1" customWidth="1"/>
    <col min="522" max="522" width="15.625" style="61" customWidth="1"/>
    <col min="523" max="523" width="13.75" style="61" bestFit="1" customWidth="1"/>
    <col min="524" max="524" width="10.875" style="61" bestFit="1" customWidth="1"/>
    <col min="525" max="768" width="9" style="61"/>
    <col min="769" max="769" width="0.5" style="61" customWidth="1"/>
    <col min="770" max="770" width="5.25" style="61" bestFit="1" customWidth="1"/>
    <col min="771" max="771" width="7.375" style="61" customWidth="1"/>
    <col min="772" max="772" width="8.875" style="61" customWidth="1"/>
    <col min="773" max="773" width="17.75" style="61" customWidth="1"/>
    <col min="774" max="774" width="6.375" style="61" customWidth="1"/>
    <col min="775" max="775" width="8.875" style="61" customWidth="1"/>
    <col min="776" max="776" width="9.75" style="61" customWidth="1"/>
    <col min="777" max="777" width="17.5" style="61" bestFit="1" customWidth="1"/>
    <col min="778" max="778" width="15.625" style="61" customWidth="1"/>
    <col min="779" max="779" width="13.75" style="61" bestFit="1" customWidth="1"/>
    <col min="780" max="780" width="10.875" style="61" bestFit="1" customWidth="1"/>
    <col min="781" max="1024" width="9" style="61"/>
    <col min="1025" max="1025" width="0.5" style="61" customWidth="1"/>
    <col min="1026" max="1026" width="5.25" style="61" bestFit="1" customWidth="1"/>
    <col min="1027" max="1027" width="7.375" style="61" customWidth="1"/>
    <col min="1028" max="1028" width="8.875" style="61" customWidth="1"/>
    <col min="1029" max="1029" width="17.75" style="61" customWidth="1"/>
    <col min="1030" max="1030" width="6.375" style="61" customWidth="1"/>
    <col min="1031" max="1031" width="8.875" style="61" customWidth="1"/>
    <col min="1032" max="1032" width="9.75" style="61" customWidth="1"/>
    <col min="1033" max="1033" width="17.5" style="61" bestFit="1" customWidth="1"/>
    <col min="1034" max="1034" width="15.625" style="61" customWidth="1"/>
    <col min="1035" max="1035" width="13.75" style="61" bestFit="1" customWidth="1"/>
    <col min="1036" max="1036" width="10.875" style="61" bestFit="1" customWidth="1"/>
    <col min="1037" max="1280" width="9" style="61"/>
    <col min="1281" max="1281" width="0.5" style="61" customWidth="1"/>
    <col min="1282" max="1282" width="5.25" style="61" bestFit="1" customWidth="1"/>
    <col min="1283" max="1283" width="7.375" style="61" customWidth="1"/>
    <col min="1284" max="1284" width="8.875" style="61" customWidth="1"/>
    <col min="1285" max="1285" width="17.75" style="61" customWidth="1"/>
    <col min="1286" max="1286" width="6.375" style="61" customWidth="1"/>
    <col min="1287" max="1287" width="8.875" style="61" customWidth="1"/>
    <col min="1288" max="1288" width="9.75" style="61" customWidth="1"/>
    <col min="1289" max="1289" width="17.5" style="61" bestFit="1" customWidth="1"/>
    <col min="1290" max="1290" width="15.625" style="61" customWidth="1"/>
    <col min="1291" max="1291" width="13.75" style="61" bestFit="1" customWidth="1"/>
    <col min="1292" max="1292" width="10.875" style="61" bestFit="1" customWidth="1"/>
    <col min="1293" max="1536" width="9" style="61"/>
    <col min="1537" max="1537" width="0.5" style="61" customWidth="1"/>
    <col min="1538" max="1538" width="5.25" style="61" bestFit="1" customWidth="1"/>
    <col min="1539" max="1539" width="7.375" style="61" customWidth="1"/>
    <col min="1540" max="1540" width="8.875" style="61" customWidth="1"/>
    <col min="1541" max="1541" width="17.75" style="61" customWidth="1"/>
    <col min="1542" max="1542" width="6.375" style="61" customWidth="1"/>
    <col min="1543" max="1543" width="8.875" style="61" customWidth="1"/>
    <col min="1544" max="1544" width="9.75" style="61" customWidth="1"/>
    <col min="1545" max="1545" width="17.5" style="61" bestFit="1" customWidth="1"/>
    <col min="1546" max="1546" width="15.625" style="61" customWidth="1"/>
    <col min="1547" max="1547" width="13.75" style="61" bestFit="1" customWidth="1"/>
    <col min="1548" max="1548" width="10.875" style="61" bestFit="1" customWidth="1"/>
    <col min="1549" max="1792" width="9" style="61"/>
    <col min="1793" max="1793" width="0.5" style="61" customWidth="1"/>
    <col min="1794" max="1794" width="5.25" style="61" bestFit="1" customWidth="1"/>
    <col min="1795" max="1795" width="7.375" style="61" customWidth="1"/>
    <col min="1796" max="1796" width="8.875" style="61" customWidth="1"/>
    <col min="1797" max="1797" width="17.75" style="61" customWidth="1"/>
    <col min="1798" max="1798" width="6.375" style="61" customWidth="1"/>
    <col min="1799" max="1799" width="8.875" style="61" customWidth="1"/>
    <col min="1800" max="1800" width="9.75" style="61" customWidth="1"/>
    <col min="1801" max="1801" width="17.5" style="61" bestFit="1" customWidth="1"/>
    <col min="1802" max="1802" width="15.625" style="61" customWidth="1"/>
    <col min="1803" max="1803" width="13.75" style="61" bestFit="1" customWidth="1"/>
    <col min="1804" max="1804" width="10.875" style="61" bestFit="1" customWidth="1"/>
    <col min="1805" max="2048" width="9" style="61"/>
    <col min="2049" max="2049" width="0.5" style="61" customWidth="1"/>
    <col min="2050" max="2050" width="5.25" style="61" bestFit="1" customWidth="1"/>
    <col min="2051" max="2051" width="7.375" style="61" customWidth="1"/>
    <col min="2052" max="2052" width="8.875" style="61" customWidth="1"/>
    <col min="2053" max="2053" width="17.75" style="61" customWidth="1"/>
    <col min="2054" max="2054" width="6.375" style="61" customWidth="1"/>
    <col min="2055" max="2055" width="8.875" style="61" customWidth="1"/>
    <col min="2056" max="2056" width="9.75" style="61" customWidth="1"/>
    <col min="2057" max="2057" width="17.5" style="61" bestFit="1" customWidth="1"/>
    <col min="2058" max="2058" width="15.625" style="61" customWidth="1"/>
    <col min="2059" max="2059" width="13.75" style="61" bestFit="1" customWidth="1"/>
    <col min="2060" max="2060" width="10.875" style="61" bestFit="1" customWidth="1"/>
    <col min="2061" max="2304" width="9" style="61"/>
    <col min="2305" max="2305" width="0.5" style="61" customWidth="1"/>
    <col min="2306" max="2306" width="5.25" style="61" bestFit="1" customWidth="1"/>
    <col min="2307" max="2307" width="7.375" style="61" customWidth="1"/>
    <col min="2308" max="2308" width="8.875" style="61" customWidth="1"/>
    <col min="2309" max="2309" width="17.75" style="61" customWidth="1"/>
    <col min="2310" max="2310" width="6.375" style="61" customWidth="1"/>
    <col min="2311" max="2311" width="8.875" style="61" customWidth="1"/>
    <col min="2312" max="2312" width="9.75" style="61" customWidth="1"/>
    <col min="2313" max="2313" width="17.5" style="61" bestFit="1" customWidth="1"/>
    <col min="2314" max="2314" width="15.625" style="61" customWidth="1"/>
    <col min="2315" max="2315" width="13.75" style="61" bestFit="1" customWidth="1"/>
    <col min="2316" max="2316" width="10.875" style="61" bestFit="1" customWidth="1"/>
    <col min="2317" max="2560" width="9" style="61"/>
    <col min="2561" max="2561" width="0.5" style="61" customWidth="1"/>
    <col min="2562" max="2562" width="5.25" style="61" bestFit="1" customWidth="1"/>
    <col min="2563" max="2563" width="7.375" style="61" customWidth="1"/>
    <col min="2564" max="2564" width="8.875" style="61" customWidth="1"/>
    <col min="2565" max="2565" width="17.75" style="61" customWidth="1"/>
    <col min="2566" max="2566" width="6.375" style="61" customWidth="1"/>
    <col min="2567" max="2567" width="8.875" style="61" customWidth="1"/>
    <col min="2568" max="2568" width="9.75" style="61" customWidth="1"/>
    <col min="2569" max="2569" width="17.5" style="61" bestFit="1" customWidth="1"/>
    <col min="2570" max="2570" width="15.625" style="61" customWidth="1"/>
    <col min="2571" max="2571" width="13.75" style="61" bestFit="1" customWidth="1"/>
    <col min="2572" max="2572" width="10.875" style="61" bestFit="1" customWidth="1"/>
    <col min="2573" max="2816" width="9" style="61"/>
    <col min="2817" max="2817" width="0.5" style="61" customWidth="1"/>
    <col min="2818" max="2818" width="5.25" style="61" bestFit="1" customWidth="1"/>
    <col min="2819" max="2819" width="7.375" style="61" customWidth="1"/>
    <col min="2820" max="2820" width="8.875" style="61" customWidth="1"/>
    <col min="2821" max="2821" width="17.75" style="61" customWidth="1"/>
    <col min="2822" max="2822" width="6.375" style="61" customWidth="1"/>
    <col min="2823" max="2823" width="8.875" style="61" customWidth="1"/>
    <col min="2824" max="2824" width="9.75" style="61" customWidth="1"/>
    <col min="2825" max="2825" width="17.5" style="61" bestFit="1" customWidth="1"/>
    <col min="2826" max="2826" width="15.625" style="61" customWidth="1"/>
    <col min="2827" max="2827" width="13.75" style="61" bestFit="1" customWidth="1"/>
    <col min="2828" max="2828" width="10.875" style="61" bestFit="1" customWidth="1"/>
    <col min="2829" max="3072" width="9" style="61"/>
    <col min="3073" max="3073" width="0.5" style="61" customWidth="1"/>
    <col min="3074" max="3074" width="5.25" style="61" bestFit="1" customWidth="1"/>
    <col min="3075" max="3075" width="7.375" style="61" customWidth="1"/>
    <col min="3076" max="3076" width="8.875" style="61" customWidth="1"/>
    <col min="3077" max="3077" width="17.75" style="61" customWidth="1"/>
    <col min="3078" max="3078" width="6.375" style="61" customWidth="1"/>
    <col min="3079" max="3079" width="8.875" style="61" customWidth="1"/>
    <col min="3080" max="3080" width="9.75" style="61" customWidth="1"/>
    <col min="3081" max="3081" width="17.5" style="61" bestFit="1" customWidth="1"/>
    <col min="3082" max="3082" width="15.625" style="61" customWidth="1"/>
    <col min="3083" max="3083" width="13.75" style="61" bestFit="1" customWidth="1"/>
    <col min="3084" max="3084" width="10.875" style="61" bestFit="1" customWidth="1"/>
    <col min="3085" max="3328" width="9" style="61"/>
    <col min="3329" max="3329" width="0.5" style="61" customWidth="1"/>
    <col min="3330" max="3330" width="5.25" style="61" bestFit="1" customWidth="1"/>
    <col min="3331" max="3331" width="7.375" style="61" customWidth="1"/>
    <col min="3332" max="3332" width="8.875" style="61" customWidth="1"/>
    <col min="3333" max="3333" width="17.75" style="61" customWidth="1"/>
    <col min="3334" max="3334" width="6.375" style="61" customWidth="1"/>
    <col min="3335" max="3335" width="8.875" style="61" customWidth="1"/>
    <col min="3336" max="3336" width="9.75" style="61" customWidth="1"/>
    <col min="3337" max="3337" width="17.5" style="61" bestFit="1" customWidth="1"/>
    <col min="3338" max="3338" width="15.625" style="61" customWidth="1"/>
    <col min="3339" max="3339" width="13.75" style="61" bestFit="1" customWidth="1"/>
    <col min="3340" max="3340" width="10.875" style="61" bestFit="1" customWidth="1"/>
    <col min="3341" max="3584" width="9" style="61"/>
    <col min="3585" max="3585" width="0.5" style="61" customWidth="1"/>
    <col min="3586" max="3586" width="5.25" style="61" bestFit="1" customWidth="1"/>
    <col min="3587" max="3587" width="7.375" style="61" customWidth="1"/>
    <col min="3588" max="3588" width="8.875" style="61" customWidth="1"/>
    <col min="3589" max="3589" width="17.75" style="61" customWidth="1"/>
    <col min="3590" max="3590" width="6.375" style="61" customWidth="1"/>
    <col min="3591" max="3591" width="8.875" style="61" customWidth="1"/>
    <col min="3592" max="3592" width="9.75" style="61" customWidth="1"/>
    <col min="3593" max="3593" width="17.5" style="61" bestFit="1" customWidth="1"/>
    <col min="3594" max="3594" width="15.625" style="61" customWidth="1"/>
    <col min="3595" max="3595" width="13.75" style="61" bestFit="1" customWidth="1"/>
    <col min="3596" max="3596" width="10.875" style="61" bestFit="1" customWidth="1"/>
    <col min="3597" max="3840" width="9" style="61"/>
    <col min="3841" max="3841" width="0.5" style="61" customWidth="1"/>
    <col min="3842" max="3842" width="5.25" style="61" bestFit="1" customWidth="1"/>
    <col min="3843" max="3843" width="7.375" style="61" customWidth="1"/>
    <col min="3844" max="3844" width="8.875" style="61" customWidth="1"/>
    <col min="3845" max="3845" width="17.75" style="61" customWidth="1"/>
    <col min="3846" max="3846" width="6.375" style="61" customWidth="1"/>
    <col min="3847" max="3847" width="8.875" style="61" customWidth="1"/>
    <col min="3848" max="3848" width="9.75" style="61" customWidth="1"/>
    <col min="3849" max="3849" width="17.5" style="61" bestFit="1" customWidth="1"/>
    <col min="3850" max="3850" width="15.625" style="61" customWidth="1"/>
    <col min="3851" max="3851" width="13.75" style="61" bestFit="1" customWidth="1"/>
    <col min="3852" max="3852" width="10.875" style="61" bestFit="1" customWidth="1"/>
    <col min="3853" max="4096" width="9" style="61"/>
    <col min="4097" max="4097" width="0.5" style="61" customWidth="1"/>
    <col min="4098" max="4098" width="5.25" style="61" bestFit="1" customWidth="1"/>
    <col min="4099" max="4099" width="7.375" style="61" customWidth="1"/>
    <col min="4100" max="4100" width="8.875" style="61" customWidth="1"/>
    <col min="4101" max="4101" width="17.75" style="61" customWidth="1"/>
    <col min="4102" max="4102" width="6.375" style="61" customWidth="1"/>
    <col min="4103" max="4103" width="8.875" style="61" customWidth="1"/>
    <col min="4104" max="4104" width="9.75" style="61" customWidth="1"/>
    <col min="4105" max="4105" width="17.5" style="61" bestFit="1" customWidth="1"/>
    <col min="4106" max="4106" width="15.625" style="61" customWidth="1"/>
    <col min="4107" max="4107" width="13.75" style="61" bestFit="1" customWidth="1"/>
    <col min="4108" max="4108" width="10.875" style="61" bestFit="1" customWidth="1"/>
    <col min="4109" max="4352" width="9" style="61"/>
    <col min="4353" max="4353" width="0.5" style="61" customWidth="1"/>
    <col min="4354" max="4354" width="5.25" style="61" bestFit="1" customWidth="1"/>
    <col min="4355" max="4355" width="7.375" style="61" customWidth="1"/>
    <col min="4356" max="4356" width="8.875" style="61" customWidth="1"/>
    <col min="4357" max="4357" width="17.75" style="61" customWidth="1"/>
    <col min="4358" max="4358" width="6.375" style="61" customWidth="1"/>
    <col min="4359" max="4359" width="8.875" style="61" customWidth="1"/>
    <col min="4360" max="4360" width="9.75" style="61" customWidth="1"/>
    <col min="4361" max="4361" width="17.5" style="61" bestFit="1" customWidth="1"/>
    <col min="4362" max="4362" width="15.625" style="61" customWidth="1"/>
    <col min="4363" max="4363" width="13.75" style="61" bestFit="1" customWidth="1"/>
    <col min="4364" max="4364" width="10.875" style="61" bestFit="1" customWidth="1"/>
    <col min="4365" max="4608" width="9" style="61"/>
    <col min="4609" max="4609" width="0.5" style="61" customWidth="1"/>
    <col min="4610" max="4610" width="5.25" style="61" bestFit="1" customWidth="1"/>
    <col min="4611" max="4611" width="7.375" style="61" customWidth="1"/>
    <col min="4612" max="4612" width="8.875" style="61" customWidth="1"/>
    <col min="4613" max="4613" width="17.75" style="61" customWidth="1"/>
    <col min="4614" max="4614" width="6.375" style="61" customWidth="1"/>
    <col min="4615" max="4615" width="8.875" style="61" customWidth="1"/>
    <col min="4616" max="4616" width="9.75" style="61" customWidth="1"/>
    <col min="4617" max="4617" width="17.5" style="61" bestFit="1" customWidth="1"/>
    <col min="4618" max="4618" width="15.625" style="61" customWidth="1"/>
    <col min="4619" max="4619" width="13.75" style="61" bestFit="1" customWidth="1"/>
    <col min="4620" max="4620" width="10.875" style="61" bestFit="1" customWidth="1"/>
    <col min="4621" max="4864" width="9" style="61"/>
    <col min="4865" max="4865" width="0.5" style="61" customWidth="1"/>
    <col min="4866" max="4866" width="5.25" style="61" bestFit="1" customWidth="1"/>
    <col min="4867" max="4867" width="7.375" style="61" customWidth="1"/>
    <col min="4868" max="4868" width="8.875" style="61" customWidth="1"/>
    <col min="4869" max="4869" width="17.75" style="61" customWidth="1"/>
    <col min="4870" max="4870" width="6.375" style="61" customWidth="1"/>
    <col min="4871" max="4871" width="8.875" style="61" customWidth="1"/>
    <col min="4872" max="4872" width="9.75" style="61" customWidth="1"/>
    <col min="4873" max="4873" width="17.5" style="61" bestFit="1" customWidth="1"/>
    <col min="4874" max="4874" width="15.625" style="61" customWidth="1"/>
    <col min="4875" max="4875" width="13.75" style="61" bestFit="1" customWidth="1"/>
    <col min="4876" max="4876" width="10.875" style="61" bestFit="1" customWidth="1"/>
    <col min="4877" max="5120" width="9" style="61"/>
    <col min="5121" max="5121" width="0.5" style="61" customWidth="1"/>
    <col min="5122" max="5122" width="5.25" style="61" bestFit="1" customWidth="1"/>
    <col min="5123" max="5123" width="7.375" style="61" customWidth="1"/>
    <col min="5124" max="5124" width="8.875" style="61" customWidth="1"/>
    <col min="5125" max="5125" width="17.75" style="61" customWidth="1"/>
    <col min="5126" max="5126" width="6.375" style="61" customWidth="1"/>
    <col min="5127" max="5127" width="8.875" style="61" customWidth="1"/>
    <col min="5128" max="5128" width="9.75" style="61" customWidth="1"/>
    <col min="5129" max="5129" width="17.5" style="61" bestFit="1" customWidth="1"/>
    <col min="5130" max="5130" width="15.625" style="61" customWidth="1"/>
    <col min="5131" max="5131" width="13.75" style="61" bestFit="1" customWidth="1"/>
    <col min="5132" max="5132" width="10.875" style="61" bestFit="1" customWidth="1"/>
    <col min="5133" max="5376" width="9" style="61"/>
    <col min="5377" max="5377" width="0.5" style="61" customWidth="1"/>
    <col min="5378" max="5378" width="5.25" style="61" bestFit="1" customWidth="1"/>
    <col min="5379" max="5379" width="7.375" style="61" customWidth="1"/>
    <col min="5380" max="5380" width="8.875" style="61" customWidth="1"/>
    <col min="5381" max="5381" width="17.75" style="61" customWidth="1"/>
    <col min="5382" max="5382" width="6.375" style="61" customWidth="1"/>
    <col min="5383" max="5383" width="8.875" style="61" customWidth="1"/>
    <col min="5384" max="5384" width="9.75" style="61" customWidth="1"/>
    <col min="5385" max="5385" width="17.5" style="61" bestFit="1" customWidth="1"/>
    <col min="5386" max="5386" width="15.625" style="61" customWidth="1"/>
    <col min="5387" max="5387" width="13.75" style="61" bestFit="1" customWidth="1"/>
    <col min="5388" max="5388" width="10.875" style="61" bestFit="1" customWidth="1"/>
    <col min="5389" max="5632" width="9" style="61"/>
    <col min="5633" max="5633" width="0.5" style="61" customWidth="1"/>
    <col min="5634" max="5634" width="5.25" style="61" bestFit="1" customWidth="1"/>
    <col min="5635" max="5635" width="7.375" style="61" customWidth="1"/>
    <col min="5636" max="5636" width="8.875" style="61" customWidth="1"/>
    <col min="5637" max="5637" width="17.75" style="61" customWidth="1"/>
    <col min="5638" max="5638" width="6.375" style="61" customWidth="1"/>
    <col min="5639" max="5639" width="8.875" style="61" customWidth="1"/>
    <col min="5640" max="5640" width="9.75" style="61" customWidth="1"/>
    <col min="5641" max="5641" width="17.5" style="61" bestFit="1" customWidth="1"/>
    <col min="5642" max="5642" width="15.625" style="61" customWidth="1"/>
    <col min="5643" max="5643" width="13.75" style="61" bestFit="1" customWidth="1"/>
    <col min="5644" max="5644" width="10.875" style="61" bestFit="1" customWidth="1"/>
    <col min="5645" max="5888" width="9" style="61"/>
    <col min="5889" max="5889" width="0.5" style="61" customWidth="1"/>
    <col min="5890" max="5890" width="5.25" style="61" bestFit="1" customWidth="1"/>
    <col min="5891" max="5891" width="7.375" style="61" customWidth="1"/>
    <col min="5892" max="5892" width="8.875" style="61" customWidth="1"/>
    <col min="5893" max="5893" width="17.75" style="61" customWidth="1"/>
    <col min="5894" max="5894" width="6.375" style="61" customWidth="1"/>
    <col min="5895" max="5895" width="8.875" style="61" customWidth="1"/>
    <col min="5896" max="5896" width="9.75" style="61" customWidth="1"/>
    <col min="5897" max="5897" width="17.5" style="61" bestFit="1" customWidth="1"/>
    <col min="5898" max="5898" width="15.625" style="61" customWidth="1"/>
    <col min="5899" max="5899" width="13.75" style="61" bestFit="1" customWidth="1"/>
    <col min="5900" max="5900" width="10.875" style="61" bestFit="1" customWidth="1"/>
    <col min="5901" max="6144" width="9" style="61"/>
    <col min="6145" max="6145" width="0.5" style="61" customWidth="1"/>
    <col min="6146" max="6146" width="5.25" style="61" bestFit="1" customWidth="1"/>
    <col min="6147" max="6147" width="7.375" style="61" customWidth="1"/>
    <col min="6148" max="6148" width="8.875" style="61" customWidth="1"/>
    <col min="6149" max="6149" width="17.75" style="61" customWidth="1"/>
    <col min="6150" max="6150" width="6.375" style="61" customWidth="1"/>
    <col min="6151" max="6151" width="8.875" style="61" customWidth="1"/>
    <col min="6152" max="6152" width="9.75" style="61" customWidth="1"/>
    <col min="6153" max="6153" width="17.5" style="61" bestFit="1" customWidth="1"/>
    <col min="6154" max="6154" width="15.625" style="61" customWidth="1"/>
    <col min="6155" max="6155" width="13.75" style="61" bestFit="1" customWidth="1"/>
    <col min="6156" max="6156" width="10.875" style="61" bestFit="1" customWidth="1"/>
    <col min="6157" max="6400" width="9" style="61"/>
    <col min="6401" max="6401" width="0.5" style="61" customWidth="1"/>
    <col min="6402" max="6402" width="5.25" style="61" bestFit="1" customWidth="1"/>
    <col min="6403" max="6403" width="7.375" style="61" customWidth="1"/>
    <col min="6404" max="6404" width="8.875" style="61" customWidth="1"/>
    <col min="6405" max="6405" width="17.75" style="61" customWidth="1"/>
    <col min="6406" max="6406" width="6.375" style="61" customWidth="1"/>
    <col min="6407" max="6407" width="8.875" style="61" customWidth="1"/>
    <col min="6408" max="6408" width="9.75" style="61" customWidth="1"/>
    <col min="6409" max="6409" width="17.5" style="61" bestFit="1" customWidth="1"/>
    <col min="6410" max="6410" width="15.625" style="61" customWidth="1"/>
    <col min="6411" max="6411" width="13.75" style="61" bestFit="1" customWidth="1"/>
    <col min="6412" max="6412" width="10.875" style="61" bestFit="1" customWidth="1"/>
    <col min="6413" max="6656" width="9" style="61"/>
    <col min="6657" max="6657" width="0.5" style="61" customWidth="1"/>
    <col min="6658" max="6658" width="5.25" style="61" bestFit="1" customWidth="1"/>
    <col min="6659" max="6659" width="7.375" style="61" customWidth="1"/>
    <col min="6660" max="6660" width="8.875" style="61" customWidth="1"/>
    <col min="6661" max="6661" width="17.75" style="61" customWidth="1"/>
    <col min="6662" max="6662" width="6.375" style="61" customWidth="1"/>
    <col min="6663" max="6663" width="8.875" style="61" customWidth="1"/>
    <col min="6664" max="6664" width="9.75" style="61" customWidth="1"/>
    <col min="6665" max="6665" width="17.5" style="61" bestFit="1" customWidth="1"/>
    <col min="6666" max="6666" width="15.625" style="61" customWidth="1"/>
    <col min="6667" max="6667" width="13.75" style="61" bestFit="1" customWidth="1"/>
    <col min="6668" max="6668" width="10.875" style="61" bestFit="1" customWidth="1"/>
    <col min="6669" max="6912" width="9" style="61"/>
    <col min="6913" max="6913" width="0.5" style="61" customWidth="1"/>
    <col min="6914" max="6914" width="5.25" style="61" bestFit="1" customWidth="1"/>
    <col min="6915" max="6915" width="7.375" style="61" customWidth="1"/>
    <col min="6916" max="6916" width="8.875" style="61" customWidth="1"/>
    <col min="6917" max="6917" width="17.75" style="61" customWidth="1"/>
    <col min="6918" max="6918" width="6.375" style="61" customWidth="1"/>
    <col min="6919" max="6919" width="8.875" style="61" customWidth="1"/>
    <col min="6920" max="6920" width="9.75" style="61" customWidth="1"/>
    <col min="6921" max="6921" width="17.5" style="61" bestFit="1" customWidth="1"/>
    <col min="6922" max="6922" width="15.625" style="61" customWidth="1"/>
    <col min="6923" max="6923" width="13.75" style="61" bestFit="1" customWidth="1"/>
    <col min="6924" max="6924" width="10.875" style="61" bestFit="1" customWidth="1"/>
    <col min="6925" max="7168" width="9" style="61"/>
    <col min="7169" max="7169" width="0.5" style="61" customWidth="1"/>
    <col min="7170" max="7170" width="5.25" style="61" bestFit="1" customWidth="1"/>
    <col min="7171" max="7171" width="7.375" style="61" customWidth="1"/>
    <col min="7172" max="7172" width="8.875" style="61" customWidth="1"/>
    <col min="7173" max="7173" width="17.75" style="61" customWidth="1"/>
    <col min="7174" max="7174" width="6.375" style="61" customWidth="1"/>
    <col min="7175" max="7175" width="8.875" style="61" customWidth="1"/>
    <col min="7176" max="7176" width="9.75" style="61" customWidth="1"/>
    <col min="7177" max="7177" width="17.5" style="61" bestFit="1" customWidth="1"/>
    <col min="7178" max="7178" width="15.625" style="61" customWidth="1"/>
    <col min="7179" max="7179" width="13.75" style="61" bestFit="1" customWidth="1"/>
    <col min="7180" max="7180" width="10.875" style="61" bestFit="1" customWidth="1"/>
    <col min="7181" max="7424" width="9" style="61"/>
    <col min="7425" max="7425" width="0.5" style="61" customWidth="1"/>
    <col min="7426" max="7426" width="5.25" style="61" bestFit="1" customWidth="1"/>
    <col min="7427" max="7427" width="7.375" style="61" customWidth="1"/>
    <col min="7428" max="7428" width="8.875" style="61" customWidth="1"/>
    <col min="7429" max="7429" width="17.75" style="61" customWidth="1"/>
    <col min="7430" max="7430" width="6.375" style="61" customWidth="1"/>
    <col min="7431" max="7431" width="8.875" style="61" customWidth="1"/>
    <col min="7432" max="7432" width="9.75" style="61" customWidth="1"/>
    <col min="7433" max="7433" width="17.5" style="61" bestFit="1" customWidth="1"/>
    <col min="7434" max="7434" width="15.625" style="61" customWidth="1"/>
    <col min="7435" max="7435" width="13.75" style="61" bestFit="1" customWidth="1"/>
    <col min="7436" max="7436" width="10.875" style="61" bestFit="1" customWidth="1"/>
    <col min="7437" max="7680" width="9" style="61"/>
    <col min="7681" max="7681" width="0.5" style="61" customWidth="1"/>
    <col min="7682" max="7682" width="5.25" style="61" bestFit="1" customWidth="1"/>
    <col min="7683" max="7683" width="7.375" style="61" customWidth="1"/>
    <col min="7684" max="7684" width="8.875" style="61" customWidth="1"/>
    <col min="7685" max="7685" width="17.75" style="61" customWidth="1"/>
    <col min="7686" max="7686" width="6.375" style="61" customWidth="1"/>
    <col min="7687" max="7687" width="8.875" style="61" customWidth="1"/>
    <col min="7688" max="7688" width="9.75" style="61" customWidth="1"/>
    <col min="7689" max="7689" width="17.5" style="61" bestFit="1" customWidth="1"/>
    <col min="7690" max="7690" width="15.625" style="61" customWidth="1"/>
    <col min="7691" max="7691" width="13.75" style="61" bestFit="1" customWidth="1"/>
    <col min="7692" max="7692" width="10.875" style="61" bestFit="1" customWidth="1"/>
    <col min="7693" max="7936" width="9" style="61"/>
    <col min="7937" max="7937" width="0.5" style="61" customWidth="1"/>
    <col min="7938" max="7938" width="5.25" style="61" bestFit="1" customWidth="1"/>
    <col min="7939" max="7939" width="7.375" style="61" customWidth="1"/>
    <col min="7940" max="7940" width="8.875" style="61" customWidth="1"/>
    <col min="7941" max="7941" width="17.75" style="61" customWidth="1"/>
    <col min="7942" max="7942" width="6.375" style="61" customWidth="1"/>
    <col min="7943" max="7943" width="8.875" style="61" customWidth="1"/>
    <col min="7944" max="7944" width="9.75" style="61" customWidth="1"/>
    <col min="7945" max="7945" width="17.5" style="61" bestFit="1" customWidth="1"/>
    <col min="7946" max="7946" width="15.625" style="61" customWidth="1"/>
    <col min="7947" max="7947" width="13.75" style="61" bestFit="1" customWidth="1"/>
    <col min="7948" max="7948" width="10.875" style="61" bestFit="1" customWidth="1"/>
    <col min="7949" max="8192" width="9" style="61"/>
    <col min="8193" max="8193" width="0.5" style="61" customWidth="1"/>
    <col min="8194" max="8194" width="5.25" style="61" bestFit="1" customWidth="1"/>
    <col min="8195" max="8195" width="7.375" style="61" customWidth="1"/>
    <col min="8196" max="8196" width="8.875" style="61" customWidth="1"/>
    <col min="8197" max="8197" width="17.75" style="61" customWidth="1"/>
    <col min="8198" max="8198" width="6.375" style="61" customWidth="1"/>
    <col min="8199" max="8199" width="8.875" style="61" customWidth="1"/>
    <col min="8200" max="8200" width="9.75" style="61" customWidth="1"/>
    <col min="8201" max="8201" width="17.5" style="61" bestFit="1" customWidth="1"/>
    <col min="8202" max="8202" width="15.625" style="61" customWidth="1"/>
    <col min="8203" max="8203" width="13.75" style="61" bestFit="1" customWidth="1"/>
    <col min="8204" max="8204" width="10.875" style="61" bestFit="1" customWidth="1"/>
    <col min="8205" max="8448" width="9" style="61"/>
    <col min="8449" max="8449" width="0.5" style="61" customWidth="1"/>
    <col min="8450" max="8450" width="5.25" style="61" bestFit="1" customWidth="1"/>
    <col min="8451" max="8451" width="7.375" style="61" customWidth="1"/>
    <col min="8452" max="8452" width="8.875" style="61" customWidth="1"/>
    <col min="8453" max="8453" width="17.75" style="61" customWidth="1"/>
    <col min="8454" max="8454" width="6.375" style="61" customWidth="1"/>
    <col min="8455" max="8455" width="8.875" style="61" customWidth="1"/>
    <col min="8456" max="8456" width="9.75" style="61" customWidth="1"/>
    <col min="8457" max="8457" width="17.5" style="61" bestFit="1" customWidth="1"/>
    <col min="8458" max="8458" width="15.625" style="61" customWidth="1"/>
    <col min="8459" max="8459" width="13.75" style="61" bestFit="1" customWidth="1"/>
    <col min="8460" max="8460" width="10.875" style="61" bestFit="1" customWidth="1"/>
    <col min="8461" max="8704" width="9" style="61"/>
    <col min="8705" max="8705" width="0.5" style="61" customWidth="1"/>
    <col min="8706" max="8706" width="5.25" style="61" bestFit="1" customWidth="1"/>
    <col min="8707" max="8707" width="7.375" style="61" customWidth="1"/>
    <col min="8708" max="8708" width="8.875" style="61" customWidth="1"/>
    <col min="8709" max="8709" width="17.75" style="61" customWidth="1"/>
    <col min="8710" max="8710" width="6.375" style="61" customWidth="1"/>
    <col min="8711" max="8711" width="8.875" style="61" customWidth="1"/>
    <col min="8712" max="8712" width="9.75" style="61" customWidth="1"/>
    <col min="8713" max="8713" width="17.5" style="61" bestFit="1" customWidth="1"/>
    <col min="8714" max="8714" width="15.625" style="61" customWidth="1"/>
    <col min="8715" max="8715" width="13.75" style="61" bestFit="1" customWidth="1"/>
    <col min="8716" max="8716" width="10.875" style="61" bestFit="1" customWidth="1"/>
    <col min="8717" max="8960" width="9" style="61"/>
    <col min="8961" max="8961" width="0.5" style="61" customWidth="1"/>
    <col min="8962" max="8962" width="5.25" style="61" bestFit="1" customWidth="1"/>
    <col min="8963" max="8963" width="7.375" style="61" customWidth="1"/>
    <col min="8964" max="8964" width="8.875" style="61" customWidth="1"/>
    <col min="8965" max="8965" width="17.75" style="61" customWidth="1"/>
    <col min="8966" max="8966" width="6.375" style="61" customWidth="1"/>
    <col min="8967" max="8967" width="8.875" style="61" customWidth="1"/>
    <col min="8968" max="8968" width="9.75" style="61" customWidth="1"/>
    <col min="8969" max="8969" width="17.5" style="61" bestFit="1" customWidth="1"/>
    <col min="8970" max="8970" width="15.625" style="61" customWidth="1"/>
    <col min="8971" max="8971" width="13.75" style="61" bestFit="1" customWidth="1"/>
    <col min="8972" max="8972" width="10.875" style="61" bestFit="1" customWidth="1"/>
    <col min="8973" max="9216" width="9" style="61"/>
    <col min="9217" max="9217" width="0.5" style="61" customWidth="1"/>
    <col min="9218" max="9218" width="5.25" style="61" bestFit="1" customWidth="1"/>
    <col min="9219" max="9219" width="7.375" style="61" customWidth="1"/>
    <col min="9220" max="9220" width="8.875" style="61" customWidth="1"/>
    <col min="9221" max="9221" width="17.75" style="61" customWidth="1"/>
    <col min="9222" max="9222" width="6.375" style="61" customWidth="1"/>
    <col min="9223" max="9223" width="8.875" style="61" customWidth="1"/>
    <col min="9224" max="9224" width="9.75" style="61" customWidth="1"/>
    <col min="9225" max="9225" width="17.5" style="61" bestFit="1" customWidth="1"/>
    <col min="9226" max="9226" width="15.625" style="61" customWidth="1"/>
    <col min="9227" max="9227" width="13.75" style="61" bestFit="1" customWidth="1"/>
    <col min="9228" max="9228" width="10.875" style="61" bestFit="1" customWidth="1"/>
    <col min="9229" max="9472" width="9" style="61"/>
    <col min="9473" max="9473" width="0.5" style="61" customWidth="1"/>
    <col min="9474" max="9474" width="5.25" style="61" bestFit="1" customWidth="1"/>
    <col min="9475" max="9475" width="7.375" style="61" customWidth="1"/>
    <col min="9476" max="9476" width="8.875" style="61" customWidth="1"/>
    <col min="9477" max="9477" width="17.75" style="61" customWidth="1"/>
    <col min="9478" max="9478" width="6.375" style="61" customWidth="1"/>
    <col min="9479" max="9479" width="8.875" style="61" customWidth="1"/>
    <col min="9480" max="9480" width="9.75" style="61" customWidth="1"/>
    <col min="9481" max="9481" width="17.5" style="61" bestFit="1" customWidth="1"/>
    <col min="9482" max="9482" width="15.625" style="61" customWidth="1"/>
    <col min="9483" max="9483" width="13.75" style="61" bestFit="1" customWidth="1"/>
    <col min="9484" max="9484" width="10.875" style="61" bestFit="1" customWidth="1"/>
    <col min="9485" max="9728" width="9" style="61"/>
    <col min="9729" max="9729" width="0.5" style="61" customWidth="1"/>
    <col min="9730" max="9730" width="5.25" style="61" bestFit="1" customWidth="1"/>
    <col min="9731" max="9731" width="7.375" style="61" customWidth="1"/>
    <col min="9732" max="9732" width="8.875" style="61" customWidth="1"/>
    <col min="9733" max="9733" width="17.75" style="61" customWidth="1"/>
    <col min="9734" max="9734" width="6.375" style="61" customWidth="1"/>
    <col min="9735" max="9735" width="8.875" style="61" customWidth="1"/>
    <col min="9736" max="9736" width="9.75" style="61" customWidth="1"/>
    <col min="9737" max="9737" width="17.5" style="61" bestFit="1" customWidth="1"/>
    <col min="9738" max="9738" width="15.625" style="61" customWidth="1"/>
    <col min="9739" max="9739" width="13.75" style="61" bestFit="1" customWidth="1"/>
    <col min="9740" max="9740" width="10.875" style="61" bestFit="1" customWidth="1"/>
    <col min="9741" max="9984" width="9" style="61"/>
    <col min="9985" max="9985" width="0.5" style="61" customWidth="1"/>
    <col min="9986" max="9986" width="5.25" style="61" bestFit="1" customWidth="1"/>
    <col min="9987" max="9987" width="7.375" style="61" customWidth="1"/>
    <col min="9988" max="9988" width="8.875" style="61" customWidth="1"/>
    <col min="9989" max="9989" width="17.75" style="61" customWidth="1"/>
    <col min="9990" max="9990" width="6.375" style="61" customWidth="1"/>
    <col min="9991" max="9991" width="8.875" style="61" customWidth="1"/>
    <col min="9992" max="9992" width="9.75" style="61" customWidth="1"/>
    <col min="9993" max="9993" width="17.5" style="61" bestFit="1" customWidth="1"/>
    <col min="9994" max="9994" width="15.625" style="61" customWidth="1"/>
    <col min="9995" max="9995" width="13.75" style="61" bestFit="1" customWidth="1"/>
    <col min="9996" max="9996" width="10.875" style="61" bestFit="1" customWidth="1"/>
    <col min="9997" max="10240" width="9" style="61"/>
    <col min="10241" max="10241" width="0.5" style="61" customWidth="1"/>
    <col min="10242" max="10242" width="5.25" style="61" bestFit="1" customWidth="1"/>
    <col min="10243" max="10243" width="7.375" style="61" customWidth="1"/>
    <col min="10244" max="10244" width="8.875" style="61" customWidth="1"/>
    <col min="10245" max="10245" width="17.75" style="61" customWidth="1"/>
    <col min="10246" max="10246" width="6.375" style="61" customWidth="1"/>
    <col min="10247" max="10247" width="8.875" style="61" customWidth="1"/>
    <col min="10248" max="10248" width="9.75" style="61" customWidth="1"/>
    <col min="10249" max="10249" width="17.5" style="61" bestFit="1" customWidth="1"/>
    <col min="10250" max="10250" width="15.625" style="61" customWidth="1"/>
    <col min="10251" max="10251" width="13.75" style="61" bestFit="1" customWidth="1"/>
    <col min="10252" max="10252" width="10.875" style="61" bestFit="1" customWidth="1"/>
    <col min="10253" max="10496" width="9" style="61"/>
    <col min="10497" max="10497" width="0.5" style="61" customWidth="1"/>
    <col min="10498" max="10498" width="5.25" style="61" bestFit="1" customWidth="1"/>
    <col min="10499" max="10499" width="7.375" style="61" customWidth="1"/>
    <col min="10500" max="10500" width="8.875" style="61" customWidth="1"/>
    <col min="10501" max="10501" width="17.75" style="61" customWidth="1"/>
    <col min="10502" max="10502" width="6.375" style="61" customWidth="1"/>
    <col min="10503" max="10503" width="8.875" style="61" customWidth="1"/>
    <col min="10504" max="10504" width="9.75" style="61" customWidth="1"/>
    <col min="10505" max="10505" width="17.5" style="61" bestFit="1" customWidth="1"/>
    <col min="10506" max="10506" width="15.625" style="61" customWidth="1"/>
    <col min="10507" max="10507" width="13.75" style="61" bestFit="1" customWidth="1"/>
    <col min="10508" max="10508" width="10.875" style="61" bestFit="1" customWidth="1"/>
    <col min="10509" max="10752" width="9" style="61"/>
    <col min="10753" max="10753" width="0.5" style="61" customWidth="1"/>
    <col min="10754" max="10754" width="5.25" style="61" bestFit="1" customWidth="1"/>
    <col min="10755" max="10755" width="7.375" style="61" customWidth="1"/>
    <col min="10756" max="10756" width="8.875" style="61" customWidth="1"/>
    <col min="10757" max="10757" width="17.75" style="61" customWidth="1"/>
    <col min="10758" max="10758" width="6.375" style="61" customWidth="1"/>
    <col min="10759" max="10759" width="8.875" style="61" customWidth="1"/>
    <col min="10760" max="10760" width="9.75" style="61" customWidth="1"/>
    <col min="10761" max="10761" width="17.5" style="61" bestFit="1" customWidth="1"/>
    <col min="10762" max="10762" width="15.625" style="61" customWidth="1"/>
    <col min="10763" max="10763" width="13.75" style="61" bestFit="1" customWidth="1"/>
    <col min="10764" max="10764" width="10.875" style="61" bestFit="1" customWidth="1"/>
    <col min="10765" max="11008" width="9" style="61"/>
    <col min="11009" max="11009" width="0.5" style="61" customWidth="1"/>
    <col min="11010" max="11010" width="5.25" style="61" bestFit="1" customWidth="1"/>
    <col min="11011" max="11011" width="7.375" style="61" customWidth="1"/>
    <col min="11012" max="11012" width="8.875" style="61" customWidth="1"/>
    <col min="11013" max="11013" width="17.75" style="61" customWidth="1"/>
    <col min="11014" max="11014" width="6.375" style="61" customWidth="1"/>
    <col min="11015" max="11015" width="8.875" style="61" customWidth="1"/>
    <col min="11016" max="11016" width="9.75" style="61" customWidth="1"/>
    <col min="11017" max="11017" width="17.5" style="61" bestFit="1" customWidth="1"/>
    <col min="11018" max="11018" width="15.625" style="61" customWidth="1"/>
    <col min="11019" max="11019" width="13.75" style="61" bestFit="1" customWidth="1"/>
    <col min="11020" max="11020" width="10.875" style="61" bestFit="1" customWidth="1"/>
    <col min="11021" max="11264" width="9" style="61"/>
    <col min="11265" max="11265" width="0.5" style="61" customWidth="1"/>
    <col min="11266" max="11266" width="5.25" style="61" bestFit="1" customWidth="1"/>
    <col min="11267" max="11267" width="7.375" style="61" customWidth="1"/>
    <col min="11268" max="11268" width="8.875" style="61" customWidth="1"/>
    <col min="11269" max="11269" width="17.75" style="61" customWidth="1"/>
    <col min="11270" max="11270" width="6.375" style="61" customWidth="1"/>
    <col min="11271" max="11271" width="8.875" style="61" customWidth="1"/>
    <col min="11272" max="11272" width="9.75" style="61" customWidth="1"/>
    <col min="11273" max="11273" width="17.5" style="61" bestFit="1" customWidth="1"/>
    <col min="11274" max="11274" width="15.625" style="61" customWidth="1"/>
    <col min="11275" max="11275" width="13.75" style="61" bestFit="1" customWidth="1"/>
    <col min="11276" max="11276" width="10.875" style="61" bestFit="1" customWidth="1"/>
    <col min="11277" max="11520" width="9" style="61"/>
    <col min="11521" max="11521" width="0.5" style="61" customWidth="1"/>
    <col min="11522" max="11522" width="5.25" style="61" bestFit="1" customWidth="1"/>
    <col min="11523" max="11523" width="7.375" style="61" customWidth="1"/>
    <col min="11524" max="11524" width="8.875" style="61" customWidth="1"/>
    <col min="11525" max="11525" width="17.75" style="61" customWidth="1"/>
    <col min="11526" max="11526" width="6.375" style="61" customWidth="1"/>
    <col min="11527" max="11527" width="8.875" style="61" customWidth="1"/>
    <col min="11528" max="11528" width="9.75" style="61" customWidth="1"/>
    <col min="11529" max="11529" width="17.5" style="61" bestFit="1" customWidth="1"/>
    <col min="11530" max="11530" width="15.625" style="61" customWidth="1"/>
    <col min="11531" max="11531" width="13.75" style="61" bestFit="1" customWidth="1"/>
    <col min="11532" max="11532" width="10.875" style="61" bestFit="1" customWidth="1"/>
    <col min="11533" max="11776" width="9" style="61"/>
    <col min="11777" max="11777" width="0.5" style="61" customWidth="1"/>
    <col min="11778" max="11778" width="5.25" style="61" bestFit="1" customWidth="1"/>
    <col min="11779" max="11779" width="7.375" style="61" customWidth="1"/>
    <col min="11780" max="11780" width="8.875" style="61" customWidth="1"/>
    <col min="11781" max="11781" width="17.75" style="61" customWidth="1"/>
    <col min="11782" max="11782" width="6.375" style="61" customWidth="1"/>
    <col min="11783" max="11783" width="8.875" style="61" customWidth="1"/>
    <col min="11784" max="11784" width="9.75" style="61" customWidth="1"/>
    <col min="11785" max="11785" width="17.5" style="61" bestFit="1" customWidth="1"/>
    <col min="11786" max="11786" width="15.625" style="61" customWidth="1"/>
    <col min="11787" max="11787" width="13.75" style="61" bestFit="1" customWidth="1"/>
    <col min="11788" max="11788" width="10.875" style="61" bestFit="1" customWidth="1"/>
    <col min="11789" max="12032" width="9" style="61"/>
    <col min="12033" max="12033" width="0.5" style="61" customWidth="1"/>
    <col min="12034" max="12034" width="5.25" style="61" bestFit="1" customWidth="1"/>
    <col min="12035" max="12035" width="7.375" style="61" customWidth="1"/>
    <col min="12036" max="12036" width="8.875" style="61" customWidth="1"/>
    <col min="12037" max="12037" width="17.75" style="61" customWidth="1"/>
    <col min="12038" max="12038" width="6.375" style="61" customWidth="1"/>
    <col min="12039" max="12039" width="8.875" style="61" customWidth="1"/>
    <col min="12040" max="12040" width="9.75" style="61" customWidth="1"/>
    <col min="12041" max="12041" width="17.5" style="61" bestFit="1" customWidth="1"/>
    <col min="12042" max="12042" width="15.625" style="61" customWidth="1"/>
    <col min="12043" max="12043" width="13.75" style="61" bestFit="1" customWidth="1"/>
    <col min="12044" max="12044" width="10.875" style="61" bestFit="1" customWidth="1"/>
    <col min="12045" max="12288" width="9" style="61"/>
    <col min="12289" max="12289" width="0.5" style="61" customWidth="1"/>
    <col min="12290" max="12290" width="5.25" style="61" bestFit="1" customWidth="1"/>
    <col min="12291" max="12291" width="7.375" style="61" customWidth="1"/>
    <col min="12292" max="12292" width="8.875" style="61" customWidth="1"/>
    <col min="12293" max="12293" width="17.75" style="61" customWidth="1"/>
    <col min="12294" max="12294" width="6.375" style="61" customWidth="1"/>
    <col min="12295" max="12295" width="8.875" style="61" customWidth="1"/>
    <col min="12296" max="12296" width="9.75" style="61" customWidth="1"/>
    <col min="12297" max="12297" width="17.5" style="61" bestFit="1" customWidth="1"/>
    <col min="12298" max="12298" width="15.625" style="61" customWidth="1"/>
    <col min="12299" max="12299" width="13.75" style="61" bestFit="1" customWidth="1"/>
    <col min="12300" max="12300" width="10.875" style="61" bestFit="1" customWidth="1"/>
    <col min="12301" max="12544" width="9" style="61"/>
    <col min="12545" max="12545" width="0.5" style="61" customWidth="1"/>
    <col min="12546" max="12546" width="5.25" style="61" bestFit="1" customWidth="1"/>
    <col min="12547" max="12547" width="7.375" style="61" customWidth="1"/>
    <col min="12548" max="12548" width="8.875" style="61" customWidth="1"/>
    <col min="12549" max="12549" width="17.75" style="61" customWidth="1"/>
    <col min="12550" max="12550" width="6.375" style="61" customWidth="1"/>
    <col min="12551" max="12551" width="8.875" style="61" customWidth="1"/>
    <col min="12552" max="12552" width="9.75" style="61" customWidth="1"/>
    <col min="12553" max="12553" width="17.5" style="61" bestFit="1" customWidth="1"/>
    <col min="12554" max="12554" width="15.625" style="61" customWidth="1"/>
    <col min="12555" max="12555" width="13.75" style="61" bestFit="1" customWidth="1"/>
    <col min="12556" max="12556" width="10.875" style="61" bestFit="1" customWidth="1"/>
    <col min="12557" max="12800" width="9" style="61"/>
    <col min="12801" max="12801" width="0.5" style="61" customWidth="1"/>
    <col min="12802" max="12802" width="5.25" style="61" bestFit="1" customWidth="1"/>
    <col min="12803" max="12803" width="7.375" style="61" customWidth="1"/>
    <col min="12804" max="12804" width="8.875" style="61" customWidth="1"/>
    <col min="12805" max="12805" width="17.75" style="61" customWidth="1"/>
    <col min="12806" max="12806" width="6.375" style="61" customWidth="1"/>
    <col min="12807" max="12807" width="8.875" style="61" customWidth="1"/>
    <col min="12808" max="12808" width="9.75" style="61" customWidth="1"/>
    <col min="12809" max="12809" width="17.5" style="61" bestFit="1" customWidth="1"/>
    <col min="12810" max="12810" width="15.625" style="61" customWidth="1"/>
    <col min="12811" max="12811" width="13.75" style="61" bestFit="1" customWidth="1"/>
    <col min="12812" max="12812" width="10.875" style="61" bestFit="1" customWidth="1"/>
    <col min="12813" max="13056" width="9" style="61"/>
    <col min="13057" max="13057" width="0.5" style="61" customWidth="1"/>
    <col min="13058" max="13058" width="5.25" style="61" bestFit="1" customWidth="1"/>
    <col min="13059" max="13059" width="7.375" style="61" customWidth="1"/>
    <col min="13060" max="13060" width="8.875" style="61" customWidth="1"/>
    <col min="13061" max="13061" width="17.75" style="61" customWidth="1"/>
    <col min="13062" max="13062" width="6.375" style="61" customWidth="1"/>
    <col min="13063" max="13063" width="8.875" style="61" customWidth="1"/>
    <col min="13064" max="13064" width="9.75" style="61" customWidth="1"/>
    <col min="13065" max="13065" width="17.5" style="61" bestFit="1" customWidth="1"/>
    <col min="13066" max="13066" width="15.625" style="61" customWidth="1"/>
    <col min="13067" max="13067" width="13.75" style="61" bestFit="1" customWidth="1"/>
    <col min="13068" max="13068" width="10.875" style="61" bestFit="1" customWidth="1"/>
    <col min="13069" max="13312" width="9" style="61"/>
    <col min="13313" max="13313" width="0.5" style="61" customWidth="1"/>
    <col min="13314" max="13314" width="5.25" style="61" bestFit="1" customWidth="1"/>
    <col min="13315" max="13315" width="7.375" style="61" customWidth="1"/>
    <col min="13316" max="13316" width="8.875" style="61" customWidth="1"/>
    <col min="13317" max="13317" width="17.75" style="61" customWidth="1"/>
    <col min="13318" max="13318" width="6.375" style="61" customWidth="1"/>
    <col min="13319" max="13319" width="8.875" style="61" customWidth="1"/>
    <col min="13320" max="13320" width="9.75" style="61" customWidth="1"/>
    <col min="13321" max="13321" width="17.5" style="61" bestFit="1" customWidth="1"/>
    <col min="13322" max="13322" width="15.625" style="61" customWidth="1"/>
    <col min="13323" max="13323" width="13.75" style="61" bestFit="1" customWidth="1"/>
    <col min="13324" max="13324" width="10.875" style="61" bestFit="1" customWidth="1"/>
    <col min="13325" max="13568" width="9" style="61"/>
    <col min="13569" max="13569" width="0.5" style="61" customWidth="1"/>
    <col min="13570" max="13570" width="5.25" style="61" bestFit="1" customWidth="1"/>
    <col min="13571" max="13571" width="7.375" style="61" customWidth="1"/>
    <col min="13572" max="13572" width="8.875" style="61" customWidth="1"/>
    <col min="13573" max="13573" width="17.75" style="61" customWidth="1"/>
    <col min="13574" max="13574" width="6.375" style="61" customWidth="1"/>
    <col min="13575" max="13575" width="8.875" style="61" customWidth="1"/>
    <col min="13576" max="13576" width="9.75" style="61" customWidth="1"/>
    <col min="13577" max="13577" width="17.5" style="61" bestFit="1" customWidth="1"/>
    <col min="13578" max="13578" width="15.625" style="61" customWidth="1"/>
    <col min="13579" max="13579" width="13.75" style="61" bestFit="1" customWidth="1"/>
    <col min="13580" max="13580" width="10.875" style="61" bestFit="1" customWidth="1"/>
    <col min="13581" max="13824" width="9" style="61"/>
    <col min="13825" max="13825" width="0.5" style="61" customWidth="1"/>
    <col min="13826" max="13826" width="5.25" style="61" bestFit="1" customWidth="1"/>
    <col min="13827" max="13827" width="7.375" style="61" customWidth="1"/>
    <col min="13828" max="13828" width="8.875" style="61" customWidth="1"/>
    <col min="13829" max="13829" width="17.75" style="61" customWidth="1"/>
    <col min="13830" max="13830" width="6.375" style="61" customWidth="1"/>
    <col min="13831" max="13831" width="8.875" style="61" customWidth="1"/>
    <col min="13832" max="13832" width="9.75" style="61" customWidth="1"/>
    <col min="13833" max="13833" width="17.5" style="61" bestFit="1" customWidth="1"/>
    <col min="13834" max="13834" width="15.625" style="61" customWidth="1"/>
    <col min="13835" max="13835" width="13.75" style="61" bestFit="1" customWidth="1"/>
    <col min="13836" max="13836" width="10.875" style="61" bestFit="1" customWidth="1"/>
    <col min="13837" max="14080" width="9" style="61"/>
    <col min="14081" max="14081" width="0.5" style="61" customWidth="1"/>
    <col min="14082" max="14082" width="5.25" style="61" bestFit="1" customWidth="1"/>
    <col min="14083" max="14083" width="7.375" style="61" customWidth="1"/>
    <col min="14084" max="14084" width="8.875" style="61" customWidth="1"/>
    <col min="14085" max="14085" width="17.75" style="61" customWidth="1"/>
    <col min="14086" max="14086" width="6.375" style="61" customWidth="1"/>
    <col min="14087" max="14087" width="8.875" style="61" customWidth="1"/>
    <col min="14088" max="14088" width="9.75" style="61" customWidth="1"/>
    <col min="14089" max="14089" width="17.5" style="61" bestFit="1" customWidth="1"/>
    <col min="14090" max="14090" width="15.625" style="61" customWidth="1"/>
    <col min="14091" max="14091" width="13.75" style="61" bestFit="1" customWidth="1"/>
    <col min="14092" max="14092" width="10.875" style="61" bestFit="1" customWidth="1"/>
    <col min="14093" max="14336" width="9" style="61"/>
    <col min="14337" max="14337" width="0.5" style="61" customWidth="1"/>
    <col min="14338" max="14338" width="5.25" style="61" bestFit="1" customWidth="1"/>
    <col min="14339" max="14339" width="7.375" style="61" customWidth="1"/>
    <col min="14340" max="14340" width="8.875" style="61" customWidth="1"/>
    <col min="14341" max="14341" width="17.75" style="61" customWidth="1"/>
    <col min="14342" max="14342" width="6.375" style="61" customWidth="1"/>
    <col min="14343" max="14343" width="8.875" style="61" customWidth="1"/>
    <col min="14344" max="14344" width="9.75" style="61" customWidth="1"/>
    <col min="14345" max="14345" width="17.5" style="61" bestFit="1" customWidth="1"/>
    <col min="14346" max="14346" width="15.625" style="61" customWidth="1"/>
    <col min="14347" max="14347" width="13.75" style="61" bestFit="1" customWidth="1"/>
    <col min="14348" max="14348" width="10.875" style="61" bestFit="1" customWidth="1"/>
    <col min="14349" max="14592" width="9" style="61"/>
    <col min="14593" max="14593" width="0.5" style="61" customWidth="1"/>
    <col min="14594" max="14594" width="5.25" style="61" bestFit="1" customWidth="1"/>
    <col min="14595" max="14595" width="7.375" style="61" customWidth="1"/>
    <col min="14596" max="14596" width="8.875" style="61" customWidth="1"/>
    <col min="14597" max="14597" width="17.75" style="61" customWidth="1"/>
    <col min="14598" max="14598" width="6.375" style="61" customWidth="1"/>
    <col min="14599" max="14599" width="8.875" style="61" customWidth="1"/>
    <col min="14600" max="14600" width="9.75" style="61" customWidth="1"/>
    <col min="14601" max="14601" width="17.5" style="61" bestFit="1" customWidth="1"/>
    <col min="14602" max="14602" width="15.625" style="61" customWidth="1"/>
    <col min="14603" max="14603" width="13.75" style="61" bestFit="1" customWidth="1"/>
    <col min="14604" max="14604" width="10.875" style="61" bestFit="1" customWidth="1"/>
    <col min="14605" max="14848" width="9" style="61"/>
    <col min="14849" max="14849" width="0.5" style="61" customWidth="1"/>
    <col min="14850" max="14850" width="5.25" style="61" bestFit="1" customWidth="1"/>
    <col min="14851" max="14851" width="7.375" style="61" customWidth="1"/>
    <col min="14852" max="14852" width="8.875" style="61" customWidth="1"/>
    <col min="14853" max="14853" width="17.75" style="61" customWidth="1"/>
    <col min="14854" max="14854" width="6.375" style="61" customWidth="1"/>
    <col min="14855" max="14855" width="8.875" style="61" customWidth="1"/>
    <col min="14856" max="14856" width="9.75" style="61" customWidth="1"/>
    <col min="14857" max="14857" width="17.5" style="61" bestFit="1" customWidth="1"/>
    <col min="14858" max="14858" width="15.625" style="61" customWidth="1"/>
    <col min="14859" max="14859" width="13.75" style="61" bestFit="1" customWidth="1"/>
    <col min="14860" max="14860" width="10.875" style="61" bestFit="1" customWidth="1"/>
    <col min="14861" max="15104" width="9" style="61"/>
    <col min="15105" max="15105" width="0.5" style="61" customWidth="1"/>
    <col min="15106" max="15106" width="5.25" style="61" bestFit="1" customWidth="1"/>
    <col min="15107" max="15107" width="7.375" style="61" customWidth="1"/>
    <col min="15108" max="15108" width="8.875" style="61" customWidth="1"/>
    <col min="15109" max="15109" width="17.75" style="61" customWidth="1"/>
    <col min="15110" max="15110" width="6.375" style="61" customWidth="1"/>
    <col min="15111" max="15111" width="8.875" style="61" customWidth="1"/>
    <col min="15112" max="15112" width="9.75" style="61" customWidth="1"/>
    <col min="15113" max="15113" width="17.5" style="61" bestFit="1" customWidth="1"/>
    <col min="15114" max="15114" width="15.625" style="61" customWidth="1"/>
    <col min="15115" max="15115" width="13.75" style="61" bestFit="1" customWidth="1"/>
    <col min="15116" max="15116" width="10.875" style="61" bestFit="1" customWidth="1"/>
    <col min="15117" max="15360" width="9" style="61"/>
    <col min="15361" max="15361" width="0.5" style="61" customWidth="1"/>
    <col min="15362" max="15362" width="5.25" style="61" bestFit="1" customWidth="1"/>
    <col min="15363" max="15363" width="7.375" style="61" customWidth="1"/>
    <col min="15364" max="15364" width="8.875" style="61" customWidth="1"/>
    <col min="15365" max="15365" width="17.75" style="61" customWidth="1"/>
    <col min="15366" max="15366" width="6.375" style="61" customWidth="1"/>
    <col min="15367" max="15367" width="8.875" style="61" customWidth="1"/>
    <col min="15368" max="15368" width="9.75" style="61" customWidth="1"/>
    <col min="15369" max="15369" width="17.5" style="61" bestFit="1" customWidth="1"/>
    <col min="15370" max="15370" width="15.625" style="61" customWidth="1"/>
    <col min="15371" max="15371" width="13.75" style="61" bestFit="1" customWidth="1"/>
    <col min="15372" max="15372" width="10.875" style="61" bestFit="1" customWidth="1"/>
    <col min="15373" max="15616" width="9" style="61"/>
    <col min="15617" max="15617" width="0.5" style="61" customWidth="1"/>
    <col min="15618" max="15618" width="5.25" style="61" bestFit="1" customWidth="1"/>
    <col min="15619" max="15619" width="7.375" style="61" customWidth="1"/>
    <col min="15620" max="15620" width="8.875" style="61" customWidth="1"/>
    <col min="15621" max="15621" width="17.75" style="61" customWidth="1"/>
    <col min="15622" max="15622" width="6.375" style="61" customWidth="1"/>
    <col min="15623" max="15623" width="8.875" style="61" customWidth="1"/>
    <col min="15624" max="15624" width="9.75" style="61" customWidth="1"/>
    <col min="15625" max="15625" width="17.5" style="61" bestFit="1" customWidth="1"/>
    <col min="15626" max="15626" width="15.625" style="61" customWidth="1"/>
    <col min="15627" max="15627" width="13.75" style="61" bestFit="1" customWidth="1"/>
    <col min="15628" max="15628" width="10.875" style="61" bestFit="1" customWidth="1"/>
    <col min="15629" max="15872" width="9" style="61"/>
    <col min="15873" max="15873" width="0.5" style="61" customWidth="1"/>
    <col min="15874" max="15874" width="5.25" style="61" bestFit="1" customWidth="1"/>
    <col min="15875" max="15875" width="7.375" style="61" customWidth="1"/>
    <col min="15876" max="15876" width="8.875" style="61" customWidth="1"/>
    <col min="15877" max="15877" width="17.75" style="61" customWidth="1"/>
    <col min="15878" max="15878" width="6.375" style="61" customWidth="1"/>
    <col min="15879" max="15879" width="8.875" style="61" customWidth="1"/>
    <col min="15880" max="15880" width="9.75" style="61" customWidth="1"/>
    <col min="15881" max="15881" width="17.5" style="61" bestFit="1" customWidth="1"/>
    <col min="15882" max="15882" width="15.625" style="61" customWidth="1"/>
    <col min="15883" max="15883" width="13.75" style="61" bestFit="1" customWidth="1"/>
    <col min="15884" max="15884" width="10.875" style="61" bestFit="1" customWidth="1"/>
    <col min="15885" max="16128" width="9" style="61"/>
    <col min="16129" max="16129" width="0.5" style="61" customWidth="1"/>
    <col min="16130" max="16130" width="5.25" style="61" bestFit="1" customWidth="1"/>
    <col min="16131" max="16131" width="7.375" style="61" customWidth="1"/>
    <col min="16132" max="16132" width="8.875" style="61" customWidth="1"/>
    <col min="16133" max="16133" width="17.75" style="61" customWidth="1"/>
    <col min="16134" max="16134" width="6.375" style="61" customWidth="1"/>
    <col min="16135" max="16135" width="8.875" style="61" customWidth="1"/>
    <col min="16136" max="16136" width="9.75" style="61" customWidth="1"/>
    <col min="16137" max="16137" width="17.5" style="61" bestFit="1" customWidth="1"/>
    <col min="16138" max="16138" width="15.625" style="61" customWidth="1"/>
    <col min="16139" max="16139" width="13.75" style="61" bestFit="1" customWidth="1"/>
    <col min="16140" max="16140" width="10.875" style="61" bestFit="1" customWidth="1"/>
    <col min="16141" max="16384" width="9" style="61"/>
  </cols>
  <sheetData>
    <row r="2" spans="2:11" s="59" customFormat="1" ht="26.25" customHeight="1">
      <c r="B2" s="52"/>
      <c r="C2" s="53" t="s">
        <v>36</v>
      </c>
      <c r="D2" s="54"/>
      <c r="E2" s="54"/>
      <c r="F2" s="55"/>
      <c r="G2" s="56"/>
      <c r="H2" s="57"/>
      <c r="I2" s="57"/>
      <c r="J2" s="54"/>
      <c r="K2" s="58"/>
    </row>
    <row r="3" spans="2:11" s="59" customFormat="1" ht="19.5" customHeight="1">
      <c r="B3" s="52"/>
      <c r="C3" s="53"/>
      <c r="D3" s="54"/>
      <c r="E3" s="54"/>
      <c r="F3" s="55"/>
      <c r="G3" s="56"/>
      <c r="H3" s="57"/>
      <c r="I3" s="57"/>
      <c r="J3" s="54"/>
      <c r="K3" s="58"/>
    </row>
    <row r="4" spans="2:11" ht="30" customHeight="1">
      <c r="B4" s="60" t="s">
        <v>37</v>
      </c>
      <c r="D4" s="62"/>
      <c r="J4" s="63"/>
    </row>
    <row r="5" spans="2:11" s="63" customFormat="1" ht="8.25" customHeight="1">
      <c r="B5" s="67"/>
      <c r="C5" s="478"/>
      <c r="D5" s="479"/>
      <c r="E5" s="480"/>
      <c r="F5" s="68"/>
      <c r="G5" s="69"/>
      <c r="H5" s="69"/>
      <c r="I5" s="69"/>
      <c r="J5" s="70"/>
      <c r="K5" s="71"/>
    </row>
    <row r="6" spans="2:11" s="63" customFormat="1" ht="22.5" customHeight="1" thickBot="1">
      <c r="B6" s="72" t="s">
        <v>38</v>
      </c>
      <c r="C6" s="481" t="s">
        <v>39</v>
      </c>
      <c r="D6" s="482"/>
      <c r="E6" s="483"/>
      <c r="F6" s="73" t="s">
        <v>40</v>
      </c>
      <c r="G6" s="74" t="s">
        <v>41</v>
      </c>
      <c r="H6" s="74" t="s">
        <v>42</v>
      </c>
      <c r="I6" s="74" t="s">
        <v>43</v>
      </c>
      <c r="J6" s="75" t="s">
        <v>44</v>
      </c>
      <c r="K6" s="71"/>
    </row>
    <row r="7" spans="2:11" ht="19.5" customHeight="1" thickTop="1">
      <c r="B7" s="468">
        <v>1</v>
      </c>
      <c r="C7" s="484" t="s">
        <v>45</v>
      </c>
      <c r="D7" s="473" t="s">
        <v>46</v>
      </c>
      <c r="E7" s="76" t="s">
        <v>47</v>
      </c>
      <c r="F7" s="77" t="s">
        <v>48</v>
      </c>
      <c r="G7" s="78">
        <f>'포승 I-Pin 헤어핀 성형기'!F47+'U핀 가정열 설비'!F30+'I핀 가정열 설비'!F30+'절연지 삽입'!F42+'코어 자동화 로딩기'!F46+인서팅!F25+확관!F24+트위스팅!F40+하부컷팅!F20+'납품, 현지설치 및 이벤트 양산대응'!F36</f>
        <v>0</v>
      </c>
      <c r="H7" s="79"/>
      <c r="I7" s="79">
        <f>'포승 I-Pin 헤어핀 성형기'!H41+'U핀 가정열 설비'!H24+'I핀 가정열 설비'!H24+'절연지 삽입'!H36+'코어 자동화 로딩기'!H40+인서팅!H19+확관!H18+트위스팅!H34+하부컷팅!H15+'납품, 현지설치 및 이벤트 양산대응'!H24</f>
        <v>1060772400</v>
      </c>
      <c r="J7" s="80" t="s">
        <v>49</v>
      </c>
    </row>
    <row r="8" spans="2:11" ht="19.5" customHeight="1">
      <c r="B8" s="468"/>
      <c r="C8" s="473"/>
      <c r="D8" s="473"/>
      <c r="E8" s="81" t="s">
        <v>50</v>
      </c>
      <c r="F8" s="82" t="s">
        <v>51</v>
      </c>
      <c r="G8" s="83">
        <v>1</v>
      </c>
      <c r="H8" s="84"/>
      <c r="I8" s="84">
        <f>'포승 I-Pin 헤어핀 성형기'!H114+'U핀 가정열 설비'!H63+'I핀 가정열 설비'!H58+'절연지 삽입'!H92+'코어 자동화 로딩기'!H107+인서팅!H66+확관!H63+트위스팅!H70+하부컷팅!H46+'납품, 현지설치 및 이벤트 양산대응'!H53</f>
        <v>868463420</v>
      </c>
      <c r="J8" s="85" t="s">
        <v>52</v>
      </c>
    </row>
    <row r="9" spans="2:11" ht="19.5" customHeight="1">
      <c r="B9" s="468"/>
      <c r="C9" s="473"/>
      <c r="D9" s="473"/>
      <c r="E9" s="81" t="s">
        <v>53</v>
      </c>
      <c r="F9" s="82" t="s">
        <v>51</v>
      </c>
      <c r="G9" s="86">
        <v>1</v>
      </c>
      <c r="H9" s="84"/>
      <c r="I9" s="84">
        <f>'포승 I-Pin 헤어핀 성형기'!H122+'U핀 가정열 설비'!H71+'I핀 가정열 설비'!H66+'절연지 삽입'!H100+'코어 자동화 로딩기'!H115+인서팅!H74+확관!H71+트위스팅!H78+하부컷팅!H54+'납품, 현지설치 및 이벤트 양산대응'!H61</f>
        <v>40000000</v>
      </c>
      <c r="J9" s="85" t="s">
        <v>54</v>
      </c>
    </row>
    <row r="10" spans="2:11" ht="19.5" customHeight="1">
      <c r="B10" s="468"/>
      <c r="C10" s="473"/>
      <c r="D10" s="473"/>
      <c r="E10" s="87" t="s">
        <v>55</v>
      </c>
      <c r="F10" s="88" t="s">
        <v>51</v>
      </c>
      <c r="G10" s="89">
        <v>1</v>
      </c>
      <c r="H10" s="90"/>
      <c r="I10" s="90">
        <f>'포승 I-Pin 헤어핀 성형기'!H47+'U핀 가정열 설비'!H30+'I핀 가정열 설비'!H30+'절연지 삽입'!H42+'코어 자동화 로딩기'!H46+인서팅!H25+확관!H24+트위스팅!H40+하부컷팅!H20+'납품, 현지설치 및 이벤트 양산대응'!H36</f>
        <v>410505000</v>
      </c>
      <c r="J10" s="91" t="s">
        <v>56</v>
      </c>
    </row>
    <row r="11" spans="2:11" ht="19.5" customHeight="1">
      <c r="B11" s="468"/>
      <c r="C11" s="473"/>
      <c r="D11" s="443"/>
      <c r="E11" s="92" t="s">
        <v>57</v>
      </c>
      <c r="F11" s="449"/>
      <c r="G11" s="450"/>
      <c r="H11" s="451"/>
      <c r="I11" s="93">
        <f>SUM(I7:I10)</f>
        <v>2379740820</v>
      </c>
      <c r="J11" s="85"/>
    </row>
    <row r="12" spans="2:11" ht="19.5" customHeight="1">
      <c r="B12" s="468"/>
      <c r="C12" s="473"/>
      <c r="D12" s="477" t="s">
        <v>58</v>
      </c>
      <c r="E12" s="94" t="s">
        <v>59</v>
      </c>
      <c r="F12" s="88" t="s">
        <v>60</v>
      </c>
      <c r="G12" s="90">
        <f>'포승 I-Pin 헤어핀 성형기'!F124+'U핀 가정열 설비'!F73+'I핀 가정열 설비'!F68+'절연지 삽입'!F102+'코어 자동화 로딩기'!F117+인서팅!F76+확관!F73+트위스팅!F80+하부컷팅!F56+'납품, 현지설치 및 이벤트 양산대응'!F63</f>
        <v>0</v>
      </c>
      <c r="H12" s="90" t="str">
        <f>IF('포승 I-Pin 헤어핀 성형기'!G124&gt;0,'포승 I-Pin 헤어핀 성형기'!G124,"")</f>
        <v/>
      </c>
      <c r="I12" s="90">
        <f>'포승 I-Pin 헤어핀 성형기'!H124+'U핀 가정열 설비'!H73+'I핀 가정열 설비'!H68+'절연지 삽입'!H102+'코어 자동화 로딩기'!H117+인서팅!H76+확관!H73+트위스팅!H80+하부컷팅!H56+'납품, 현지설치 및 이벤트 양산대응'!H63</f>
        <v>0</v>
      </c>
      <c r="J12" s="85" t="s">
        <v>61</v>
      </c>
    </row>
    <row r="13" spans="2:11" ht="19.5" customHeight="1">
      <c r="B13" s="468"/>
      <c r="C13" s="473"/>
      <c r="D13" s="473"/>
      <c r="E13" s="81" t="s">
        <v>62</v>
      </c>
      <c r="F13" s="82" t="s">
        <v>60</v>
      </c>
      <c r="G13" s="84">
        <f>'포승 I-Pin 헤어핀 성형기'!F125+'U핀 가정열 설비'!F74+'I핀 가정열 설비'!F69+'절연지 삽입'!F103+'코어 자동화 로딩기'!F118+인서팅!F77+확관!F74+트위스팅!F81+하부컷팅!F57+'납품, 현지설치 및 이벤트 양산대응'!F64</f>
        <v>0</v>
      </c>
      <c r="H13" s="84" t="str">
        <f>IF('포승 I-Pin 헤어핀 성형기'!G125&gt;0,'포승 I-Pin 헤어핀 성형기'!G125,"")</f>
        <v/>
      </c>
      <c r="I13" s="84">
        <f>'포승 I-Pin 헤어핀 성형기'!H125+'U핀 가정열 설비'!H74+'I핀 가정열 설비'!H69+'절연지 삽입'!H103+'코어 자동화 로딩기'!H118+인서팅!H77+확관!H74+트위스팅!H81+하부컷팅!H57+'납품, 현지설치 및 이벤트 양산대응'!H64</f>
        <v>0</v>
      </c>
      <c r="J13" s="85"/>
    </row>
    <row r="14" spans="2:11" ht="19.5" customHeight="1">
      <c r="B14" s="468"/>
      <c r="C14" s="473"/>
      <c r="D14" s="473"/>
      <c r="E14" s="81" t="s">
        <v>63</v>
      </c>
      <c r="F14" s="82" t="s">
        <v>60</v>
      </c>
      <c r="G14" s="84">
        <f>'포승 I-Pin 헤어핀 성형기'!F126+'U핀 가정열 설비'!F75+'I핀 가정열 설비'!F70+'절연지 삽입'!F104+'코어 자동화 로딩기'!F119+인서팅!F78+확관!F75+트위스팅!F82+하부컷팅!F58+'납품, 현지설치 및 이벤트 양산대응'!F65</f>
        <v>0</v>
      </c>
      <c r="H14" s="84" t="str">
        <f>IF('포승 I-Pin 헤어핀 성형기'!G126&gt;0,'포승 I-Pin 헤어핀 성형기'!G126,"")</f>
        <v/>
      </c>
      <c r="I14" s="84">
        <f>'포승 I-Pin 헤어핀 성형기'!H126+'U핀 가정열 설비'!H75+'I핀 가정열 설비'!H70+'절연지 삽입'!H104+'코어 자동화 로딩기'!H119+인서팅!H78+확관!H75+트위스팅!H82+하부컷팅!H58+'납품, 현지설치 및 이벤트 양산대응'!H65</f>
        <v>0</v>
      </c>
      <c r="J14" s="85"/>
    </row>
    <row r="15" spans="2:11" ht="19.5" customHeight="1">
      <c r="B15" s="468"/>
      <c r="C15" s="473"/>
      <c r="D15" s="473"/>
      <c r="E15" s="81" t="s">
        <v>64</v>
      </c>
      <c r="F15" s="82" t="s">
        <v>60</v>
      </c>
      <c r="G15" s="84">
        <f>'포승 I-Pin 헤어핀 성형기'!F127+'U핀 가정열 설비'!F76+'I핀 가정열 설비'!F71+'절연지 삽입'!F105+'코어 자동화 로딩기'!F120+인서팅!F79+확관!F76+트위스팅!F83+하부컷팅!F59+'납품, 현지설치 및 이벤트 양산대응'!F66</f>
        <v>0</v>
      </c>
      <c r="H15" s="84" t="str">
        <f>IF('포승 I-Pin 헤어핀 성형기'!G127&gt;0,'포승 I-Pin 헤어핀 성형기'!G127,"")</f>
        <v/>
      </c>
      <c r="I15" s="84">
        <f>'포승 I-Pin 헤어핀 성형기'!H127+'U핀 가정열 설비'!H76+'I핀 가정열 설비'!H71+'절연지 삽입'!H105+'코어 자동화 로딩기'!H120+인서팅!H79+확관!H76+트위스팅!H83+하부컷팅!H59+'납품, 현지설치 및 이벤트 양산대응'!H66</f>
        <v>0</v>
      </c>
      <c r="J15" s="85" t="s">
        <v>65</v>
      </c>
    </row>
    <row r="16" spans="2:11" ht="19.5" customHeight="1">
      <c r="B16" s="468"/>
      <c r="C16" s="473"/>
      <c r="D16" s="473"/>
      <c r="E16" s="94" t="s">
        <v>66</v>
      </c>
      <c r="F16" s="88" t="s">
        <v>60</v>
      </c>
      <c r="G16" s="90">
        <f>'포승 I-Pin 헤어핀 성형기'!F128+'U핀 가정열 설비'!F77+'I핀 가정열 설비'!F72+'절연지 삽입'!F106+'코어 자동화 로딩기'!F121+인서팅!F80+확관!F77+트위스팅!F84+하부컷팅!F60+'납품, 현지설치 및 이벤트 양산대응'!F67</f>
        <v>0</v>
      </c>
      <c r="H16" s="90" t="str">
        <f>IF('포승 I-Pin 헤어핀 성형기'!G128&gt;0,'포승 I-Pin 헤어핀 성형기'!G128,"")</f>
        <v/>
      </c>
      <c r="I16" s="90">
        <f>'포승 I-Pin 헤어핀 성형기'!H128+'U핀 가정열 설비'!H77+'I핀 가정열 설비'!H72+'절연지 삽입'!H106+'코어 자동화 로딩기'!H121+인서팅!H80+확관!H77+트위스팅!H84+하부컷팅!H60+'납품, 현지설치 및 이벤트 양산대응'!H67</f>
        <v>0</v>
      </c>
      <c r="J16" s="85"/>
    </row>
    <row r="17" spans="2:10" ht="19.5" customHeight="1">
      <c r="B17" s="468"/>
      <c r="C17" s="473"/>
      <c r="D17" s="473"/>
      <c r="E17" s="94" t="s">
        <v>67</v>
      </c>
      <c r="F17" s="88" t="s">
        <v>60</v>
      </c>
      <c r="G17" s="90">
        <f>'포승 I-Pin 헤어핀 성형기'!F129+'U핀 가정열 설비'!F78+'I핀 가정열 설비'!F73+'절연지 삽입'!F107+'코어 자동화 로딩기'!F122+인서팅!F81+확관!F78+트위스팅!F85+하부컷팅!F61+'납품, 현지설치 및 이벤트 양산대응'!F68</f>
        <v>0</v>
      </c>
      <c r="H17" s="90" t="str">
        <f>IF('포승 I-Pin 헤어핀 성형기'!G129&gt;0,'포승 I-Pin 헤어핀 성형기'!G129,"")</f>
        <v/>
      </c>
      <c r="I17" s="90">
        <f>'포승 I-Pin 헤어핀 성형기'!H129+'U핀 가정열 설비'!H78+'I핀 가정열 설비'!H73+'절연지 삽입'!H107+'코어 자동화 로딩기'!H122+인서팅!H81+확관!H78+트위스팅!H85+하부컷팅!H61+'납품, 현지설치 및 이벤트 양산대응'!H68</f>
        <v>0</v>
      </c>
      <c r="J17" s="85"/>
    </row>
    <row r="18" spans="2:10" ht="19.5" customHeight="1">
      <c r="B18" s="468"/>
      <c r="C18" s="473"/>
      <c r="D18" s="473"/>
      <c r="E18" s="81" t="s">
        <v>68</v>
      </c>
      <c r="F18" s="82" t="s">
        <v>60</v>
      </c>
      <c r="G18" s="84">
        <f>'포승 I-Pin 헤어핀 성형기'!F130+'U핀 가정열 설비'!F79+'I핀 가정열 설비'!F74+'절연지 삽입'!F108+'코어 자동화 로딩기'!F123+인서팅!F82+확관!F79+트위스팅!F86+하부컷팅!F62+'납품, 현지설치 및 이벤트 양산대응'!F69</f>
        <v>0</v>
      </c>
      <c r="H18" s="84" t="str">
        <f>IF('포승 I-Pin 헤어핀 성형기'!G130&gt;0,'포승 I-Pin 헤어핀 성형기'!G130,"")</f>
        <v/>
      </c>
      <c r="I18" s="84">
        <f>'포승 I-Pin 헤어핀 성형기'!H130+'U핀 가정열 설비'!H79+'I핀 가정열 설비'!H74+'절연지 삽입'!H108+'코어 자동화 로딩기'!H123+인서팅!H82+확관!H79+트위스팅!H86+하부컷팅!H62+'납품, 현지설치 및 이벤트 양산대응'!H69</f>
        <v>0</v>
      </c>
      <c r="J18" s="85"/>
    </row>
    <row r="19" spans="2:10" ht="19.5" customHeight="1">
      <c r="B19" s="468"/>
      <c r="C19" s="473"/>
      <c r="D19" s="473"/>
      <c r="E19" s="81" t="s">
        <v>69</v>
      </c>
      <c r="F19" s="82" t="s">
        <v>60</v>
      </c>
      <c r="G19" s="84">
        <f>'포승 I-Pin 헤어핀 성형기'!F131+'U핀 가정열 설비'!F80+'I핀 가정열 설비'!F75+'절연지 삽입'!F109+'코어 자동화 로딩기'!F124+인서팅!F83+확관!F80+트위스팅!F87+하부컷팅!F63+'납품, 현지설치 및 이벤트 양산대응'!F70</f>
        <v>0</v>
      </c>
      <c r="H19" s="84" t="str">
        <f>IF('포승 I-Pin 헤어핀 성형기'!G131&gt;0,'포승 I-Pin 헤어핀 성형기'!G131,"")</f>
        <v/>
      </c>
      <c r="I19" s="84">
        <f>'포승 I-Pin 헤어핀 성형기'!H131+'U핀 가정열 설비'!H80+'I핀 가정열 설비'!H75+'절연지 삽입'!H109+'코어 자동화 로딩기'!H124+인서팅!H83+확관!H80+트위스팅!H87+하부컷팅!H63+'납품, 현지설치 및 이벤트 양산대응'!H70</f>
        <v>0</v>
      </c>
      <c r="J19" s="85"/>
    </row>
    <row r="20" spans="2:10" ht="19.5" customHeight="1">
      <c r="B20" s="468"/>
      <c r="C20" s="473"/>
      <c r="D20" s="443"/>
      <c r="E20" s="92" t="s">
        <v>57</v>
      </c>
      <c r="F20" s="449"/>
      <c r="G20" s="450"/>
      <c r="H20" s="451"/>
      <c r="I20" s="93">
        <f>SUM(I12:I19)</f>
        <v>0</v>
      </c>
      <c r="J20" s="85"/>
    </row>
    <row r="21" spans="2:10" ht="19.5" customHeight="1">
      <c r="B21" s="468"/>
      <c r="C21" s="473"/>
      <c r="D21" s="95" t="s">
        <v>70</v>
      </c>
      <c r="E21" s="96"/>
      <c r="F21" s="449"/>
      <c r="G21" s="450"/>
      <c r="H21" s="451"/>
      <c r="I21" s="97">
        <f>'포승 I-Pin 헤어핀 성형기'!H134+'포승 I-Pin 헤어핀 성형기'!H135+'U핀 가정열 설비'!H83+'U핀 가정열 설비'!H84+'I핀 가정열 설비'!H78+'I핀 가정열 설비'!H79+'절연지 삽입'!H112+'절연지 삽입'!H113+'코어 자동화 로딩기'!H127+'코어 자동화 로딩기'!H128+인서팅!H85+인서팅!H86+확관!H82+확관!H83+트위스팅!H90+트위스팅!H91+하부컷팅!H66+하부컷팅!H67+'납품, 현지설치 및 이벤트 양산대응'!H73+'납품, 현지설치 및 이벤트 양산대응'!H74</f>
        <v>356961123</v>
      </c>
      <c r="J21" s="98"/>
    </row>
    <row r="22" spans="2:10" ht="19.5" customHeight="1">
      <c r="B22" s="469"/>
      <c r="C22" s="474"/>
      <c r="D22" s="99"/>
      <c r="E22" s="100" t="s">
        <v>71</v>
      </c>
      <c r="F22" s="425"/>
      <c r="G22" s="426"/>
      <c r="H22" s="427"/>
      <c r="I22" s="101">
        <f>I20+I11+I21</f>
        <v>2736701943</v>
      </c>
      <c r="J22" s="102"/>
    </row>
    <row r="23" spans="2:10" ht="19.5" customHeight="1">
      <c r="B23" s="467">
        <v>2</v>
      </c>
      <c r="C23" s="470" t="s">
        <v>72</v>
      </c>
      <c r="D23" s="475" t="s">
        <v>46</v>
      </c>
      <c r="E23" s="103" t="s">
        <v>73</v>
      </c>
      <c r="F23" s="104" t="s">
        <v>51</v>
      </c>
      <c r="G23" s="105">
        <v>1</v>
      </c>
      <c r="H23" s="105"/>
      <c r="I23" s="105">
        <f>전기!H55-I24</f>
        <v>0</v>
      </c>
      <c r="J23" s="106"/>
    </row>
    <row r="24" spans="2:10" ht="19.5" customHeight="1">
      <c r="B24" s="468"/>
      <c r="C24" s="471"/>
      <c r="D24" s="476"/>
      <c r="E24" s="87" t="s">
        <v>55</v>
      </c>
      <c r="F24" s="107" t="s">
        <v>51</v>
      </c>
      <c r="G24" s="108">
        <v>1</v>
      </c>
      <c r="H24" s="108"/>
      <c r="I24" s="108">
        <f>전기!H16</f>
        <v>0</v>
      </c>
      <c r="J24" s="91" t="s">
        <v>56</v>
      </c>
    </row>
    <row r="25" spans="2:10" ht="19.5" customHeight="1">
      <c r="B25" s="468"/>
      <c r="C25" s="472"/>
      <c r="D25" s="477" t="s">
        <v>58</v>
      </c>
      <c r="E25" s="94" t="s">
        <v>74</v>
      </c>
      <c r="F25" s="88" t="s">
        <v>60</v>
      </c>
      <c r="G25" s="90">
        <f>전기!F56</f>
        <v>0</v>
      </c>
      <c r="H25" s="90" t="str">
        <f>IF(전기!G56&gt;0,전기!G56,"")</f>
        <v/>
      </c>
      <c r="I25" s="90">
        <f>전기!H56</f>
        <v>0</v>
      </c>
      <c r="J25" s="85"/>
    </row>
    <row r="26" spans="2:10" ht="19.5" customHeight="1">
      <c r="B26" s="468"/>
      <c r="C26" s="472"/>
      <c r="D26" s="473"/>
      <c r="E26" s="81" t="s">
        <v>75</v>
      </c>
      <c r="F26" s="82" t="s">
        <v>60</v>
      </c>
      <c r="G26" s="84">
        <f>전기!F57</f>
        <v>0</v>
      </c>
      <c r="H26" s="84" t="str">
        <f>IF(전기!G57&gt;0,전기!G57,"")</f>
        <v/>
      </c>
      <c r="I26" s="84">
        <f>전기!H57</f>
        <v>0</v>
      </c>
      <c r="J26" s="85"/>
    </row>
    <row r="27" spans="2:10" ht="19.5" customHeight="1">
      <c r="B27" s="468"/>
      <c r="C27" s="472"/>
      <c r="D27" s="473"/>
      <c r="E27" s="81" t="s">
        <v>76</v>
      </c>
      <c r="F27" s="82" t="s">
        <v>60</v>
      </c>
      <c r="G27" s="84">
        <f>전기!F58</f>
        <v>0</v>
      </c>
      <c r="H27" s="84" t="str">
        <f>IF(전기!G58&gt;0,전기!G58,"")</f>
        <v/>
      </c>
      <c r="I27" s="84">
        <f>전기!H58</f>
        <v>0</v>
      </c>
      <c r="J27" s="85"/>
    </row>
    <row r="28" spans="2:10" ht="19.5" customHeight="1">
      <c r="B28" s="468"/>
      <c r="C28" s="472"/>
      <c r="D28" s="473"/>
      <c r="E28" s="81" t="s">
        <v>64</v>
      </c>
      <c r="F28" s="82" t="s">
        <v>60</v>
      </c>
      <c r="G28" s="84">
        <f>전기!F59</f>
        <v>0</v>
      </c>
      <c r="H28" s="84" t="str">
        <f>IF(전기!G59&gt;0,전기!G59,"")</f>
        <v/>
      </c>
      <c r="I28" s="84">
        <f>전기!H59</f>
        <v>0</v>
      </c>
      <c r="J28" s="85"/>
    </row>
    <row r="29" spans="2:10" ht="19.5" customHeight="1">
      <c r="B29" s="468"/>
      <c r="C29" s="472"/>
      <c r="D29" s="473"/>
      <c r="E29" s="94" t="s">
        <v>66</v>
      </c>
      <c r="F29" s="88" t="s">
        <v>60</v>
      </c>
      <c r="G29" s="90">
        <f>전기!F60</f>
        <v>0</v>
      </c>
      <c r="H29" s="90" t="str">
        <f>IF(전기!G60&gt;0,전기!G60,"")</f>
        <v/>
      </c>
      <c r="I29" s="90">
        <f>전기!H60</f>
        <v>0</v>
      </c>
      <c r="J29" s="85"/>
    </row>
    <row r="30" spans="2:10" ht="19.5" customHeight="1">
      <c r="B30" s="468"/>
      <c r="C30" s="472"/>
      <c r="D30" s="473"/>
      <c r="E30" s="94" t="s">
        <v>67</v>
      </c>
      <c r="F30" s="88" t="s">
        <v>60</v>
      </c>
      <c r="G30" s="90">
        <f>전기!F61</f>
        <v>0</v>
      </c>
      <c r="H30" s="90" t="str">
        <f>IF(전기!G61&gt;0,전기!G61,"")</f>
        <v/>
      </c>
      <c r="I30" s="90">
        <f>전기!H61</f>
        <v>0</v>
      </c>
      <c r="J30" s="85"/>
    </row>
    <row r="31" spans="2:10" ht="19.5" customHeight="1">
      <c r="B31" s="468"/>
      <c r="C31" s="472"/>
      <c r="D31" s="473"/>
      <c r="E31" s="81" t="s">
        <v>68</v>
      </c>
      <c r="F31" s="82" t="s">
        <v>60</v>
      </c>
      <c r="G31" s="84">
        <f>전기!F62</f>
        <v>0</v>
      </c>
      <c r="H31" s="84" t="str">
        <f>IF(전기!G62&gt;0,전기!G62,"")</f>
        <v/>
      </c>
      <c r="I31" s="84">
        <f>전기!H62</f>
        <v>0</v>
      </c>
      <c r="J31" s="85"/>
    </row>
    <row r="32" spans="2:10" ht="19.5" customHeight="1">
      <c r="B32" s="468"/>
      <c r="C32" s="472"/>
      <c r="D32" s="443"/>
      <c r="E32" s="92" t="s">
        <v>77</v>
      </c>
      <c r="F32" s="449"/>
      <c r="G32" s="450"/>
      <c r="H32" s="451"/>
      <c r="I32" s="93">
        <f>SUM(I25:I31)</f>
        <v>0</v>
      </c>
      <c r="J32" s="85"/>
    </row>
    <row r="33" spans="2:13" ht="19.5" customHeight="1">
      <c r="B33" s="468"/>
      <c r="C33" s="473"/>
      <c r="D33" s="95" t="s">
        <v>70</v>
      </c>
      <c r="E33" s="96"/>
      <c r="F33" s="449"/>
      <c r="G33" s="450"/>
      <c r="H33" s="451"/>
      <c r="I33" s="97">
        <f>전기!H65+전기!H66</f>
        <v>0</v>
      </c>
      <c r="J33" s="98"/>
    </row>
    <row r="34" spans="2:13" ht="19.5" customHeight="1">
      <c r="B34" s="469"/>
      <c r="C34" s="474"/>
      <c r="D34" s="99"/>
      <c r="E34" s="100" t="s">
        <v>78</v>
      </c>
      <c r="F34" s="425"/>
      <c r="G34" s="426"/>
      <c r="H34" s="427"/>
      <c r="I34" s="101">
        <f>I32+I23+I33+I24</f>
        <v>0</v>
      </c>
      <c r="J34" s="102"/>
    </row>
    <row r="35" spans="2:13" ht="19.5" customHeight="1">
      <c r="B35" s="458">
        <v>3</v>
      </c>
      <c r="C35" s="461" t="s">
        <v>79</v>
      </c>
      <c r="D35" s="462"/>
      <c r="E35" s="463"/>
      <c r="F35" s="461"/>
      <c r="G35" s="462"/>
      <c r="H35" s="463"/>
      <c r="I35" s="109">
        <f>I23+I11+I24</f>
        <v>2379740820</v>
      </c>
      <c r="J35" s="106"/>
    </row>
    <row r="36" spans="2:13" ht="19.5" customHeight="1">
      <c r="B36" s="459"/>
      <c r="C36" s="449" t="s">
        <v>80</v>
      </c>
      <c r="D36" s="450"/>
      <c r="E36" s="451"/>
      <c r="F36" s="449"/>
      <c r="G36" s="450"/>
      <c r="H36" s="451"/>
      <c r="I36" s="93">
        <f>I32+I20</f>
        <v>0</v>
      </c>
      <c r="J36" s="85"/>
    </row>
    <row r="37" spans="2:13" ht="19.5" customHeight="1" thickBot="1">
      <c r="B37" s="460"/>
      <c r="C37" s="464" t="s">
        <v>81</v>
      </c>
      <c r="D37" s="464"/>
      <c r="E37" s="465"/>
      <c r="F37" s="466"/>
      <c r="G37" s="464"/>
      <c r="H37" s="465"/>
      <c r="I37" s="110">
        <f>I36+I35</f>
        <v>2379740820</v>
      </c>
      <c r="J37" s="111"/>
    </row>
    <row r="38" spans="2:13" ht="20.25" customHeight="1">
      <c r="B38" s="112">
        <v>4</v>
      </c>
      <c r="C38" s="443" t="s">
        <v>82</v>
      </c>
      <c r="D38" s="444"/>
      <c r="E38" s="445"/>
      <c r="F38" s="446"/>
      <c r="G38" s="447"/>
      <c r="H38" s="448"/>
      <c r="I38" s="113">
        <v>64000000</v>
      </c>
      <c r="J38" s="114"/>
    </row>
    <row r="39" spans="2:13" ht="22.5" customHeight="1">
      <c r="B39" s="115">
        <v>5</v>
      </c>
      <c r="C39" s="449" t="s">
        <v>83</v>
      </c>
      <c r="D39" s="450"/>
      <c r="E39" s="451"/>
      <c r="F39" s="452" t="s">
        <v>84</v>
      </c>
      <c r="G39" s="453"/>
      <c r="H39" s="454"/>
      <c r="I39" s="116"/>
      <c r="J39" s="117">
        <f>I30+I29+I25+I24+I17+I16+I12+I10</f>
        <v>410505000</v>
      </c>
      <c r="K39" s="118"/>
      <c r="M39" s="118"/>
    </row>
    <row r="40" spans="2:13" ht="20.25" customHeight="1">
      <c r="B40" s="115">
        <v>6</v>
      </c>
      <c r="C40" s="449" t="s">
        <v>85</v>
      </c>
      <c r="D40" s="450"/>
      <c r="E40" s="451"/>
      <c r="F40" s="455"/>
      <c r="G40" s="456"/>
      <c r="H40" s="457"/>
      <c r="I40" s="93">
        <f>전기!H65+'포승 I-Pin 헤어핀 성형기'!H134+'U핀 가정열 설비'!H83+'I핀 가정열 설비'!H78+'절연지 삽입'!H112+'코어 자동화 로딩기'!H127+인서팅!H85+확관!H82+트위스팅!H90+하부컷팅!H66+'납품, 현지설치 및 이벤트 양산대응'!H73</f>
        <v>118987041</v>
      </c>
      <c r="J40" s="85"/>
    </row>
    <row r="41" spans="2:13" ht="20.25" customHeight="1">
      <c r="B41" s="119">
        <v>7</v>
      </c>
      <c r="C41" s="425" t="s">
        <v>86</v>
      </c>
      <c r="D41" s="426"/>
      <c r="E41" s="427"/>
      <c r="F41" s="428"/>
      <c r="G41" s="429"/>
      <c r="H41" s="430"/>
      <c r="I41" s="97">
        <f>전기!H66+'포승 I-Pin 헤어핀 성형기'!H135+'U핀 가정열 설비'!H84+'I핀 가정열 설비'!H79+'절연지 삽입'!H113+'코어 자동화 로딩기'!H128+인서팅!H86+확관!H83+트위스팅!H91+하부컷팅!H67+'납품, 현지설치 및 이벤트 양산대응'!H74</f>
        <v>237974082</v>
      </c>
      <c r="J41" s="98"/>
      <c r="K41" s="61"/>
    </row>
    <row r="42" spans="2:13" ht="28.5" customHeight="1" thickBot="1">
      <c r="B42" s="120"/>
      <c r="C42" s="431" t="s">
        <v>87</v>
      </c>
      <c r="D42" s="431"/>
      <c r="E42" s="431"/>
      <c r="F42" s="432" t="s">
        <v>88</v>
      </c>
      <c r="G42" s="433"/>
      <c r="H42" s="434"/>
      <c r="I42" s="121">
        <f>I22+I34+I38+I39</f>
        <v>2800701943</v>
      </c>
      <c r="J42" s="122"/>
      <c r="K42" s="61"/>
    </row>
    <row r="43" spans="2:13" ht="19.5" customHeight="1">
      <c r="B43" s="123" t="s">
        <v>89</v>
      </c>
      <c r="C43" s="63"/>
      <c r="D43" s="63"/>
      <c r="E43" s="63"/>
    </row>
    <row r="44" spans="2:13" ht="19.5" customHeight="1">
      <c r="B44" s="123" t="s">
        <v>90</v>
      </c>
      <c r="C44" s="63"/>
      <c r="D44" s="63"/>
      <c r="E44" s="63"/>
    </row>
    <row r="45" spans="2:13" ht="19.5" customHeight="1">
      <c r="B45" s="61" t="s">
        <v>91</v>
      </c>
      <c r="C45" s="63"/>
      <c r="D45" s="63"/>
      <c r="E45" s="63"/>
    </row>
    <row r="46" spans="2:13" ht="19.5" customHeight="1">
      <c r="C46" s="63"/>
      <c r="D46" s="63"/>
      <c r="E46" s="63"/>
    </row>
    <row r="47" spans="2:13" ht="19.5" customHeight="1">
      <c r="C47" s="63"/>
      <c r="D47" s="63"/>
      <c r="E47" s="435" t="s">
        <v>92</v>
      </c>
      <c r="F47" s="438" t="s">
        <v>93</v>
      </c>
      <c r="G47" s="439"/>
      <c r="H47" s="440"/>
      <c r="I47" s="124" t="s">
        <v>94</v>
      </c>
      <c r="J47" s="125" t="s">
        <v>95</v>
      </c>
      <c r="K47" s="126" t="s">
        <v>96</v>
      </c>
    </row>
    <row r="48" spans="2:13" ht="19.5" customHeight="1">
      <c r="C48" s="63"/>
      <c r="D48" s="63"/>
      <c r="E48" s="436"/>
      <c r="F48" s="441" t="s">
        <v>97</v>
      </c>
      <c r="G48" s="442"/>
      <c r="H48" s="442"/>
      <c r="I48" s="93">
        <f>IF(J48&lt;500000000,J48*0.0315,1)+IF(J48&gt;500000000,J48*0.0253+3300000)*IF(J48&gt;5000000000,0,1)+IF(J48&gt;5000000000,J48*0.026,0)</f>
        <v>65126643.745999999</v>
      </c>
      <c r="J48" s="127">
        <f>SUM(I7:I10,I12:I19,I23:I31,I38)</f>
        <v>2443740820</v>
      </c>
      <c r="K48" s="127" t="s">
        <v>98</v>
      </c>
    </row>
    <row r="49" spans="5:11" ht="19.5" customHeight="1">
      <c r="E49" s="437"/>
      <c r="F49" s="441" t="s">
        <v>99</v>
      </c>
      <c r="G49" s="442"/>
      <c r="H49" s="442"/>
      <c r="I49" s="93">
        <f>(IF(J49&lt;500000000,J49*0.0315,1)+IF(J49&gt;500000000,J49*0.0253+3300000)*IF(J49&gt;5000000000,0,1)+IF(J49&gt;5000000000,J49*0.026,0))*1.2</f>
        <v>15517089</v>
      </c>
      <c r="J49" s="128">
        <f>SUM(I10,I24,I12,I16:I17,I25,I29:I30)</f>
        <v>410505000</v>
      </c>
      <c r="K49" s="127" t="s">
        <v>100</v>
      </c>
    </row>
    <row r="50" spans="5:11" ht="19.5" customHeight="1">
      <c r="G50" s="129" t="s">
        <v>101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7:E49"/>
    <mergeCell ref="F47:H47"/>
    <mergeCell ref="F48:H48"/>
    <mergeCell ref="F49:H49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1244-E042-48E7-8452-8C0034D481E3}">
  <sheetPr>
    <pageSetUpPr fitToPage="1"/>
  </sheetPr>
  <dimension ref="A2:P22"/>
  <sheetViews>
    <sheetView zoomScale="74" zoomScaleNormal="74" workbookViewId="0">
      <selection activeCell="N23" sqref="N23"/>
    </sheetView>
  </sheetViews>
  <sheetFormatPr defaultColWidth="9" defaultRowHeight="17.25" customHeight="1"/>
  <cols>
    <col min="1" max="1" width="5" style="130" customWidth="1"/>
    <col min="2" max="2" width="20.125" style="130" customWidth="1"/>
    <col min="3" max="3" width="6.25" style="130" customWidth="1"/>
    <col min="4" max="4" width="15.125" style="130" customWidth="1"/>
    <col min="5" max="8" width="11.875" style="130" customWidth="1"/>
    <col min="9" max="9" width="13" style="130" customWidth="1"/>
    <col min="10" max="10" width="17.875" style="130" customWidth="1"/>
    <col min="11" max="11" width="13.875" style="130" customWidth="1"/>
    <col min="12" max="12" width="12.5" style="130" bestFit="1" customWidth="1"/>
    <col min="13" max="13" width="15" style="130" bestFit="1" customWidth="1"/>
    <col min="14" max="14" width="17.625" style="130" customWidth="1"/>
    <col min="15" max="15" width="9.625" style="130" customWidth="1"/>
    <col min="16" max="16" width="12.625" style="130" hidden="1" customWidth="1"/>
    <col min="17" max="17" width="10" style="130" customWidth="1"/>
    <col min="18" max="256" width="9" style="130"/>
    <col min="257" max="257" width="5" style="130" customWidth="1"/>
    <col min="258" max="258" width="20.125" style="130" customWidth="1"/>
    <col min="259" max="259" width="6.25" style="130" customWidth="1"/>
    <col min="260" max="264" width="11.875" style="130" customWidth="1"/>
    <col min="265" max="265" width="13" style="130" customWidth="1"/>
    <col min="266" max="267" width="13.875" style="130" customWidth="1"/>
    <col min="268" max="268" width="12.5" style="130" bestFit="1" customWidth="1"/>
    <col min="269" max="269" width="15" style="130" bestFit="1" customWidth="1"/>
    <col min="270" max="270" width="13.875" style="130" customWidth="1"/>
    <col min="271" max="271" width="9.625" style="130" customWidth="1"/>
    <col min="272" max="272" width="0" style="130" hidden="1" customWidth="1"/>
    <col min="273" max="273" width="10" style="130" customWidth="1"/>
    <col min="274" max="512" width="9" style="130"/>
    <col min="513" max="513" width="5" style="130" customWidth="1"/>
    <col min="514" max="514" width="20.125" style="130" customWidth="1"/>
    <col min="515" max="515" width="6.25" style="130" customWidth="1"/>
    <col min="516" max="520" width="11.875" style="130" customWidth="1"/>
    <col min="521" max="521" width="13" style="130" customWidth="1"/>
    <col min="522" max="523" width="13.875" style="130" customWidth="1"/>
    <col min="524" max="524" width="12.5" style="130" bestFit="1" customWidth="1"/>
    <col min="525" max="525" width="15" style="130" bestFit="1" customWidth="1"/>
    <col min="526" max="526" width="13.875" style="130" customWidth="1"/>
    <col min="527" max="527" width="9.625" style="130" customWidth="1"/>
    <col min="528" max="528" width="0" style="130" hidden="1" customWidth="1"/>
    <col min="529" max="529" width="10" style="130" customWidth="1"/>
    <col min="530" max="768" width="9" style="130"/>
    <col min="769" max="769" width="5" style="130" customWidth="1"/>
    <col min="770" max="770" width="20.125" style="130" customWidth="1"/>
    <col min="771" max="771" width="6.25" style="130" customWidth="1"/>
    <col min="772" max="776" width="11.875" style="130" customWidth="1"/>
    <col min="777" max="777" width="13" style="130" customWidth="1"/>
    <col min="778" max="779" width="13.875" style="130" customWidth="1"/>
    <col min="780" max="780" width="12.5" style="130" bestFit="1" customWidth="1"/>
    <col min="781" max="781" width="15" style="130" bestFit="1" customWidth="1"/>
    <col min="782" max="782" width="13.875" style="130" customWidth="1"/>
    <col min="783" max="783" width="9.625" style="130" customWidth="1"/>
    <col min="784" max="784" width="0" style="130" hidden="1" customWidth="1"/>
    <col min="785" max="785" width="10" style="130" customWidth="1"/>
    <col min="786" max="1024" width="9" style="130"/>
    <col min="1025" max="1025" width="5" style="130" customWidth="1"/>
    <col min="1026" max="1026" width="20.125" style="130" customWidth="1"/>
    <col min="1027" max="1027" width="6.25" style="130" customWidth="1"/>
    <col min="1028" max="1032" width="11.875" style="130" customWidth="1"/>
    <col min="1033" max="1033" width="13" style="130" customWidth="1"/>
    <col min="1034" max="1035" width="13.875" style="130" customWidth="1"/>
    <col min="1036" max="1036" width="12.5" style="130" bestFit="1" customWidth="1"/>
    <col min="1037" max="1037" width="15" style="130" bestFit="1" customWidth="1"/>
    <col min="1038" max="1038" width="13.875" style="130" customWidth="1"/>
    <col min="1039" max="1039" width="9.625" style="130" customWidth="1"/>
    <col min="1040" max="1040" width="0" style="130" hidden="1" customWidth="1"/>
    <col min="1041" max="1041" width="10" style="130" customWidth="1"/>
    <col min="1042" max="1280" width="9" style="130"/>
    <col min="1281" max="1281" width="5" style="130" customWidth="1"/>
    <col min="1282" max="1282" width="20.125" style="130" customWidth="1"/>
    <col min="1283" max="1283" width="6.25" style="130" customWidth="1"/>
    <col min="1284" max="1288" width="11.875" style="130" customWidth="1"/>
    <col min="1289" max="1289" width="13" style="130" customWidth="1"/>
    <col min="1290" max="1291" width="13.875" style="130" customWidth="1"/>
    <col min="1292" max="1292" width="12.5" style="130" bestFit="1" customWidth="1"/>
    <col min="1293" max="1293" width="15" style="130" bestFit="1" customWidth="1"/>
    <col min="1294" max="1294" width="13.875" style="130" customWidth="1"/>
    <col min="1295" max="1295" width="9.625" style="130" customWidth="1"/>
    <col min="1296" max="1296" width="0" style="130" hidden="1" customWidth="1"/>
    <col min="1297" max="1297" width="10" style="130" customWidth="1"/>
    <col min="1298" max="1536" width="9" style="130"/>
    <col min="1537" max="1537" width="5" style="130" customWidth="1"/>
    <col min="1538" max="1538" width="20.125" style="130" customWidth="1"/>
    <col min="1539" max="1539" width="6.25" style="130" customWidth="1"/>
    <col min="1540" max="1544" width="11.875" style="130" customWidth="1"/>
    <col min="1545" max="1545" width="13" style="130" customWidth="1"/>
    <col min="1546" max="1547" width="13.875" style="130" customWidth="1"/>
    <col min="1548" max="1548" width="12.5" style="130" bestFit="1" customWidth="1"/>
    <col min="1549" max="1549" width="15" style="130" bestFit="1" customWidth="1"/>
    <col min="1550" max="1550" width="13.875" style="130" customWidth="1"/>
    <col min="1551" max="1551" width="9.625" style="130" customWidth="1"/>
    <col min="1552" max="1552" width="0" style="130" hidden="1" customWidth="1"/>
    <col min="1553" max="1553" width="10" style="130" customWidth="1"/>
    <col min="1554" max="1792" width="9" style="130"/>
    <col min="1793" max="1793" width="5" style="130" customWidth="1"/>
    <col min="1794" max="1794" width="20.125" style="130" customWidth="1"/>
    <col min="1795" max="1795" width="6.25" style="130" customWidth="1"/>
    <col min="1796" max="1800" width="11.875" style="130" customWidth="1"/>
    <col min="1801" max="1801" width="13" style="130" customWidth="1"/>
    <col min="1802" max="1803" width="13.875" style="130" customWidth="1"/>
    <col min="1804" max="1804" width="12.5" style="130" bestFit="1" customWidth="1"/>
    <col min="1805" max="1805" width="15" style="130" bestFit="1" customWidth="1"/>
    <col min="1806" max="1806" width="13.875" style="130" customWidth="1"/>
    <col min="1807" max="1807" width="9.625" style="130" customWidth="1"/>
    <col min="1808" max="1808" width="0" style="130" hidden="1" customWidth="1"/>
    <col min="1809" max="1809" width="10" style="130" customWidth="1"/>
    <col min="1810" max="2048" width="9" style="130"/>
    <col min="2049" max="2049" width="5" style="130" customWidth="1"/>
    <col min="2050" max="2050" width="20.125" style="130" customWidth="1"/>
    <col min="2051" max="2051" width="6.25" style="130" customWidth="1"/>
    <col min="2052" max="2056" width="11.875" style="130" customWidth="1"/>
    <col min="2057" max="2057" width="13" style="130" customWidth="1"/>
    <col min="2058" max="2059" width="13.875" style="130" customWidth="1"/>
    <col min="2060" max="2060" width="12.5" style="130" bestFit="1" customWidth="1"/>
    <col min="2061" max="2061" width="15" style="130" bestFit="1" customWidth="1"/>
    <col min="2062" max="2062" width="13.875" style="130" customWidth="1"/>
    <col min="2063" max="2063" width="9.625" style="130" customWidth="1"/>
    <col min="2064" max="2064" width="0" style="130" hidden="1" customWidth="1"/>
    <col min="2065" max="2065" width="10" style="130" customWidth="1"/>
    <col min="2066" max="2304" width="9" style="130"/>
    <col min="2305" max="2305" width="5" style="130" customWidth="1"/>
    <col min="2306" max="2306" width="20.125" style="130" customWidth="1"/>
    <col min="2307" max="2307" width="6.25" style="130" customWidth="1"/>
    <col min="2308" max="2312" width="11.875" style="130" customWidth="1"/>
    <col min="2313" max="2313" width="13" style="130" customWidth="1"/>
    <col min="2314" max="2315" width="13.875" style="130" customWidth="1"/>
    <col min="2316" max="2316" width="12.5" style="130" bestFit="1" customWidth="1"/>
    <col min="2317" max="2317" width="15" style="130" bestFit="1" customWidth="1"/>
    <col min="2318" max="2318" width="13.875" style="130" customWidth="1"/>
    <col min="2319" max="2319" width="9.625" style="130" customWidth="1"/>
    <col min="2320" max="2320" width="0" style="130" hidden="1" customWidth="1"/>
    <col min="2321" max="2321" width="10" style="130" customWidth="1"/>
    <col min="2322" max="2560" width="9" style="130"/>
    <col min="2561" max="2561" width="5" style="130" customWidth="1"/>
    <col min="2562" max="2562" width="20.125" style="130" customWidth="1"/>
    <col min="2563" max="2563" width="6.25" style="130" customWidth="1"/>
    <col min="2564" max="2568" width="11.875" style="130" customWidth="1"/>
    <col min="2569" max="2569" width="13" style="130" customWidth="1"/>
    <col min="2570" max="2571" width="13.875" style="130" customWidth="1"/>
    <col min="2572" max="2572" width="12.5" style="130" bestFit="1" customWidth="1"/>
    <col min="2573" max="2573" width="15" style="130" bestFit="1" customWidth="1"/>
    <col min="2574" max="2574" width="13.875" style="130" customWidth="1"/>
    <col min="2575" max="2575" width="9.625" style="130" customWidth="1"/>
    <col min="2576" max="2576" width="0" style="130" hidden="1" customWidth="1"/>
    <col min="2577" max="2577" width="10" style="130" customWidth="1"/>
    <col min="2578" max="2816" width="9" style="130"/>
    <col min="2817" max="2817" width="5" style="130" customWidth="1"/>
    <col min="2818" max="2818" width="20.125" style="130" customWidth="1"/>
    <col min="2819" max="2819" width="6.25" style="130" customWidth="1"/>
    <col min="2820" max="2824" width="11.875" style="130" customWidth="1"/>
    <col min="2825" max="2825" width="13" style="130" customWidth="1"/>
    <col min="2826" max="2827" width="13.875" style="130" customWidth="1"/>
    <col min="2828" max="2828" width="12.5" style="130" bestFit="1" customWidth="1"/>
    <col min="2829" max="2829" width="15" style="130" bestFit="1" customWidth="1"/>
    <col min="2830" max="2830" width="13.875" style="130" customWidth="1"/>
    <col min="2831" max="2831" width="9.625" style="130" customWidth="1"/>
    <col min="2832" max="2832" width="0" style="130" hidden="1" customWidth="1"/>
    <col min="2833" max="2833" width="10" style="130" customWidth="1"/>
    <col min="2834" max="3072" width="9" style="130"/>
    <col min="3073" max="3073" width="5" style="130" customWidth="1"/>
    <col min="3074" max="3074" width="20.125" style="130" customWidth="1"/>
    <col min="3075" max="3075" width="6.25" style="130" customWidth="1"/>
    <col min="3076" max="3080" width="11.875" style="130" customWidth="1"/>
    <col min="3081" max="3081" width="13" style="130" customWidth="1"/>
    <col min="3082" max="3083" width="13.875" style="130" customWidth="1"/>
    <col min="3084" max="3084" width="12.5" style="130" bestFit="1" customWidth="1"/>
    <col min="3085" max="3085" width="15" style="130" bestFit="1" customWidth="1"/>
    <col min="3086" max="3086" width="13.875" style="130" customWidth="1"/>
    <col min="3087" max="3087" width="9.625" style="130" customWidth="1"/>
    <col min="3088" max="3088" width="0" style="130" hidden="1" customWidth="1"/>
    <col min="3089" max="3089" width="10" style="130" customWidth="1"/>
    <col min="3090" max="3328" width="9" style="130"/>
    <col min="3329" max="3329" width="5" style="130" customWidth="1"/>
    <col min="3330" max="3330" width="20.125" style="130" customWidth="1"/>
    <col min="3331" max="3331" width="6.25" style="130" customWidth="1"/>
    <col min="3332" max="3336" width="11.875" style="130" customWidth="1"/>
    <col min="3337" max="3337" width="13" style="130" customWidth="1"/>
    <col min="3338" max="3339" width="13.875" style="130" customWidth="1"/>
    <col min="3340" max="3340" width="12.5" style="130" bestFit="1" customWidth="1"/>
    <col min="3341" max="3341" width="15" style="130" bestFit="1" customWidth="1"/>
    <col min="3342" max="3342" width="13.875" style="130" customWidth="1"/>
    <col min="3343" max="3343" width="9.625" style="130" customWidth="1"/>
    <col min="3344" max="3344" width="0" style="130" hidden="1" customWidth="1"/>
    <col min="3345" max="3345" width="10" style="130" customWidth="1"/>
    <col min="3346" max="3584" width="9" style="130"/>
    <col min="3585" max="3585" width="5" style="130" customWidth="1"/>
    <col min="3586" max="3586" width="20.125" style="130" customWidth="1"/>
    <col min="3587" max="3587" width="6.25" style="130" customWidth="1"/>
    <col min="3588" max="3592" width="11.875" style="130" customWidth="1"/>
    <col min="3593" max="3593" width="13" style="130" customWidth="1"/>
    <col min="3594" max="3595" width="13.875" style="130" customWidth="1"/>
    <col min="3596" max="3596" width="12.5" style="130" bestFit="1" customWidth="1"/>
    <col min="3597" max="3597" width="15" style="130" bestFit="1" customWidth="1"/>
    <col min="3598" max="3598" width="13.875" style="130" customWidth="1"/>
    <col min="3599" max="3599" width="9.625" style="130" customWidth="1"/>
    <col min="3600" max="3600" width="0" style="130" hidden="1" customWidth="1"/>
    <col min="3601" max="3601" width="10" style="130" customWidth="1"/>
    <col min="3602" max="3840" width="9" style="130"/>
    <col min="3841" max="3841" width="5" style="130" customWidth="1"/>
    <col min="3842" max="3842" width="20.125" style="130" customWidth="1"/>
    <col min="3843" max="3843" width="6.25" style="130" customWidth="1"/>
    <col min="3844" max="3848" width="11.875" style="130" customWidth="1"/>
    <col min="3849" max="3849" width="13" style="130" customWidth="1"/>
    <col min="3850" max="3851" width="13.875" style="130" customWidth="1"/>
    <col min="3852" max="3852" width="12.5" style="130" bestFit="1" customWidth="1"/>
    <col min="3853" max="3853" width="15" style="130" bestFit="1" customWidth="1"/>
    <col min="3854" max="3854" width="13.875" style="130" customWidth="1"/>
    <col min="3855" max="3855" width="9.625" style="130" customWidth="1"/>
    <col min="3856" max="3856" width="0" style="130" hidden="1" customWidth="1"/>
    <col min="3857" max="3857" width="10" style="130" customWidth="1"/>
    <col min="3858" max="4096" width="9" style="130"/>
    <col min="4097" max="4097" width="5" style="130" customWidth="1"/>
    <col min="4098" max="4098" width="20.125" style="130" customWidth="1"/>
    <col min="4099" max="4099" width="6.25" style="130" customWidth="1"/>
    <col min="4100" max="4104" width="11.875" style="130" customWidth="1"/>
    <col min="4105" max="4105" width="13" style="130" customWidth="1"/>
    <col min="4106" max="4107" width="13.875" style="130" customWidth="1"/>
    <col min="4108" max="4108" width="12.5" style="130" bestFit="1" customWidth="1"/>
    <col min="4109" max="4109" width="15" style="130" bestFit="1" customWidth="1"/>
    <col min="4110" max="4110" width="13.875" style="130" customWidth="1"/>
    <col min="4111" max="4111" width="9.625" style="130" customWidth="1"/>
    <col min="4112" max="4112" width="0" style="130" hidden="1" customWidth="1"/>
    <col min="4113" max="4113" width="10" style="130" customWidth="1"/>
    <col min="4114" max="4352" width="9" style="130"/>
    <col min="4353" max="4353" width="5" style="130" customWidth="1"/>
    <col min="4354" max="4354" width="20.125" style="130" customWidth="1"/>
    <col min="4355" max="4355" width="6.25" style="130" customWidth="1"/>
    <col min="4356" max="4360" width="11.875" style="130" customWidth="1"/>
    <col min="4361" max="4361" width="13" style="130" customWidth="1"/>
    <col min="4362" max="4363" width="13.875" style="130" customWidth="1"/>
    <col min="4364" max="4364" width="12.5" style="130" bestFit="1" customWidth="1"/>
    <col min="4365" max="4365" width="15" style="130" bestFit="1" customWidth="1"/>
    <col min="4366" max="4366" width="13.875" style="130" customWidth="1"/>
    <col min="4367" max="4367" width="9.625" style="130" customWidth="1"/>
    <col min="4368" max="4368" width="0" style="130" hidden="1" customWidth="1"/>
    <col min="4369" max="4369" width="10" style="130" customWidth="1"/>
    <col min="4370" max="4608" width="9" style="130"/>
    <col min="4609" max="4609" width="5" style="130" customWidth="1"/>
    <col min="4610" max="4610" width="20.125" style="130" customWidth="1"/>
    <col min="4611" max="4611" width="6.25" style="130" customWidth="1"/>
    <col min="4612" max="4616" width="11.875" style="130" customWidth="1"/>
    <col min="4617" max="4617" width="13" style="130" customWidth="1"/>
    <col min="4618" max="4619" width="13.875" style="130" customWidth="1"/>
    <col min="4620" max="4620" width="12.5" style="130" bestFit="1" customWidth="1"/>
    <col min="4621" max="4621" width="15" style="130" bestFit="1" customWidth="1"/>
    <col min="4622" max="4622" width="13.875" style="130" customWidth="1"/>
    <col min="4623" max="4623" width="9.625" style="130" customWidth="1"/>
    <col min="4624" max="4624" width="0" style="130" hidden="1" customWidth="1"/>
    <col min="4625" max="4625" width="10" style="130" customWidth="1"/>
    <col min="4626" max="4864" width="9" style="130"/>
    <col min="4865" max="4865" width="5" style="130" customWidth="1"/>
    <col min="4866" max="4866" width="20.125" style="130" customWidth="1"/>
    <col min="4867" max="4867" width="6.25" style="130" customWidth="1"/>
    <col min="4868" max="4872" width="11.875" style="130" customWidth="1"/>
    <col min="4873" max="4873" width="13" style="130" customWidth="1"/>
    <col min="4874" max="4875" width="13.875" style="130" customWidth="1"/>
    <col min="4876" max="4876" width="12.5" style="130" bestFit="1" customWidth="1"/>
    <col min="4877" max="4877" width="15" style="130" bestFit="1" customWidth="1"/>
    <col min="4878" max="4878" width="13.875" style="130" customWidth="1"/>
    <col min="4879" max="4879" width="9.625" style="130" customWidth="1"/>
    <col min="4880" max="4880" width="0" style="130" hidden="1" customWidth="1"/>
    <col min="4881" max="4881" width="10" style="130" customWidth="1"/>
    <col min="4882" max="5120" width="9" style="130"/>
    <col min="5121" max="5121" width="5" style="130" customWidth="1"/>
    <col min="5122" max="5122" width="20.125" style="130" customWidth="1"/>
    <col min="5123" max="5123" width="6.25" style="130" customWidth="1"/>
    <col min="5124" max="5128" width="11.875" style="130" customWidth="1"/>
    <col min="5129" max="5129" width="13" style="130" customWidth="1"/>
    <col min="5130" max="5131" width="13.875" style="130" customWidth="1"/>
    <col min="5132" max="5132" width="12.5" style="130" bestFit="1" customWidth="1"/>
    <col min="5133" max="5133" width="15" style="130" bestFit="1" customWidth="1"/>
    <col min="5134" max="5134" width="13.875" style="130" customWidth="1"/>
    <col min="5135" max="5135" width="9.625" style="130" customWidth="1"/>
    <col min="5136" max="5136" width="0" style="130" hidden="1" customWidth="1"/>
    <col min="5137" max="5137" width="10" style="130" customWidth="1"/>
    <col min="5138" max="5376" width="9" style="130"/>
    <col min="5377" max="5377" width="5" style="130" customWidth="1"/>
    <col min="5378" max="5378" width="20.125" style="130" customWidth="1"/>
    <col min="5379" max="5379" width="6.25" style="130" customWidth="1"/>
    <col min="5380" max="5384" width="11.875" style="130" customWidth="1"/>
    <col min="5385" max="5385" width="13" style="130" customWidth="1"/>
    <col min="5386" max="5387" width="13.875" style="130" customWidth="1"/>
    <col min="5388" max="5388" width="12.5" style="130" bestFit="1" customWidth="1"/>
    <col min="5389" max="5389" width="15" style="130" bestFit="1" customWidth="1"/>
    <col min="5390" max="5390" width="13.875" style="130" customWidth="1"/>
    <col min="5391" max="5391" width="9.625" style="130" customWidth="1"/>
    <col min="5392" max="5392" width="0" style="130" hidden="1" customWidth="1"/>
    <col min="5393" max="5393" width="10" style="130" customWidth="1"/>
    <col min="5394" max="5632" width="9" style="130"/>
    <col min="5633" max="5633" width="5" style="130" customWidth="1"/>
    <col min="5634" max="5634" width="20.125" style="130" customWidth="1"/>
    <col min="5635" max="5635" width="6.25" style="130" customWidth="1"/>
    <col min="5636" max="5640" width="11.875" style="130" customWidth="1"/>
    <col min="5641" max="5641" width="13" style="130" customWidth="1"/>
    <col min="5642" max="5643" width="13.875" style="130" customWidth="1"/>
    <col min="5644" max="5644" width="12.5" style="130" bestFit="1" customWidth="1"/>
    <col min="5645" max="5645" width="15" style="130" bestFit="1" customWidth="1"/>
    <col min="5646" max="5646" width="13.875" style="130" customWidth="1"/>
    <col min="5647" max="5647" width="9.625" style="130" customWidth="1"/>
    <col min="5648" max="5648" width="0" style="130" hidden="1" customWidth="1"/>
    <col min="5649" max="5649" width="10" style="130" customWidth="1"/>
    <col min="5650" max="5888" width="9" style="130"/>
    <col min="5889" max="5889" width="5" style="130" customWidth="1"/>
    <col min="5890" max="5890" width="20.125" style="130" customWidth="1"/>
    <col min="5891" max="5891" width="6.25" style="130" customWidth="1"/>
    <col min="5892" max="5896" width="11.875" style="130" customWidth="1"/>
    <col min="5897" max="5897" width="13" style="130" customWidth="1"/>
    <col min="5898" max="5899" width="13.875" style="130" customWidth="1"/>
    <col min="5900" max="5900" width="12.5" style="130" bestFit="1" customWidth="1"/>
    <col min="5901" max="5901" width="15" style="130" bestFit="1" customWidth="1"/>
    <col min="5902" max="5902" width="13.875" style="130" customWidth="1"/>
    <col min="5903" max="5903" width="9.625" style="130" customWidth="1"/>
    <col min="5904" max="5904" width="0" style="130" hidden="1" customWidth="1"/>
    <col min="5905" max="5905" width="10" style="130" customWidth="1"/>
    <col min="5906" max="6144" width="9" style="130"/>
    <col min="6145" max="6145" width="5" style="130" customWidth="1"/>
    <col min="6146" max="6146" width="20.125" style="130" customWidth="1"/>
    <col min="6147" max="6147" width="6.25" style="130" customWidth="1"/>
    <col min="6148" max="6152" width="11.875" style="130" customWidth="1"/>
    <col min="6153" max="6153" width="13" style="130" customWidth="1"/>
    <col min="6154" max="6155" width="13.875" style="130" customWidth="1"/>
    <col min="6156" max="6156" width="12.5" style="130" bestFit="1" customWidth="1"/>
    <col min="6157" max="6157" width="15" style="130" bestFit="1" customWidth="1"/>
    <col min="6158" max="6158" width="13.875" style="130" customWidth="1"/>
    <col min="6159" max="6159" width="9.625" style="130" customWidth="1"/>
    <col min="6160" max="6160" width="0" style="130" hidden="1" customWidth="1"/>
    <col min="6161" max="6161" width="10" style="130" customWidth="1"/>
    <col min="6162" max="6400" width="9" style="130"/>
    <col min="6401" max="6401" width="5" style="130" customWidth="1"/>
    <col min="6402" max="6402" width="20.125" style="130" customWidth="1"/>
    <col min="6403" max="6403" width="6.25" style="130" customWidth="1"/>
    <col min="6404" max="6408" width="11.875" style="130" customWidth="1"/>
    <col min="6409" max="6409" width="13" style="130" customWidth="1"/>
    <col min="6410" max="6411" width="13.875" style="130" customWidth="1"/>
    <col min="6412" max="6412" width="12.5" style="130" bestFit="1" customWidth="1"/>
    <col min="6413" max="6413" width="15" style="130" bestFit="1" customWidth="1"/>
    <col min="6414" max="6414" width="13.875" style="130" customWidth="1"/>
    <col min="6415" max="6415" width="9.625" style="130" customWidth="1"/>
    <col min="6416" max="6416" width="0" style="130" hidden="1" customWidth="1"/>
    <col min="6417" max="6417" width="10" style="130" customWidth="1"/>
    <col min="6418" max="6656" width="9" style="130"/>
    <col min="6657" max="6657" width="5" style="130" customWidth="1"/>
    <col min="6658" max="6658" width="20.125" style="130" customWidth="1"/>
    <col min="6659" max="6659" width="6.25" style="130" customWidth="1"/>
    <col min="6660" max="6664" width="11.875" style="130" customWidth="1"/>
    <col min="6665" max="6665" width="13" style="130" customWidth="1"/>
    <col min="6666" max="6667" width="13.875" style="130" customWidth="1"/>
    <col min="6668" max="6668" width="12.5" style="130" bestFit="1" customWidth="1"/>
    <col min="6669" max="6669" width="15" style="130" bestFit="1" customWidth="1"/>
    <col min="6670" max="6670" width="13.875" style="130" customWidth="1"/>
    <col min="6671" max="6671" width="9.625" style="130" customWidth="1"/>
    <col min="6672" max="6672" width="0" style="130" hidden="1" customWidth="1"/>
    <col min="6673" max="6673" width="10" style="130" customWidth="1"/>
    <col min="6674" max="6912" width="9" style="130"/>
    <col min="6913" max="6913" width="5" style="130" customWidth="1"/>
    <col min="6914" max="6914" width="20.125" style="130" customWidth="1"/>
    <col min="6915" max="6915" width="6.25" style="130" customWidth="1"/>
    <col min="6916" max="6920" width="11.875" style="130" customWidth="1"/>
    <col min="6921" max="6921" width="13" style="130" customWidth="1"/>
    <col min="6922" max="6923" width="13.875" style="130" customWidth="1"/>
    <col min="6924" max="6924" width="12.5" style="130" bestFit="1" customWidth="1"/>
    <col min="6925" max="6925" width="15" style="130" bestFit="1" customWidth="1"/>
    <col min="6926" max="6926" width="13.875" style="130" customWidth="1"/>
    <col min="6927" max="6927" width="9.625" style="130" customWidth="1"/>
    <col min="6928" max="6928" width="0" style="130" hidden="1" customWidth="1"/>
    <col min="6929" max="6929" width="10" style="130" customWidth="1"/>
    <col min="6930" max="7168" width="9" style="130"/>
    <col min="7169" max="7169" width="5" style="130" customWidth="1"/>
    <col min="7170" max="7170" width="20.125" style="130" customWidth="1"/>
    <col min="7171" max="7171" width="6.25" style="130" customWidth="1"/>
    <col min="7172" max="7176" width="11.875" style="130" customWidth="1"/>
    <col min="7177" max="7177" width="13" style="130" customWidth="1"/>
    <col min="7178" max="7179" width="13.875" style="130" customWidth="1"/>
    <col min="7180" max="7180" width="12.5" style="130" bestFit="1" customWidth="1"/>
    <col min="7181" max="7181" width="15" style="130" bestFit="1" customWidth="1"/>
    <col min="7182" max="7182" width="13.875" style="130" customWidth="1"/>
    <col min="7183" max="7183" width="9.625" style="130" customWidth="1"/>
    <col min="7184" max="7184" width="0" style="130" hidden="1" customWidth="1"/>
    <col min="7185" max="7185" width="10" style="130" customWidth="1"/>
    <col min="7186" max="7424" width="9" style="130"/>
    <col min="7425" max="7425" width="5" style="130" customWidth="1"/>
    <col min="7426" max="7426" width="20.125" style="130" customWidth="1"/>
    <col min="7427" max="7427" width="6.25" style="130" customWidth="1"/>
    <col min="7428" max="7432" width="11.875" style="130" customWidth="1"/>
    <col min="7433" max="7433" width="13" style="130" customWidth="1"/>
    <col min="7434" max="7435" width="13.875" style="130" customWidth="1"/>
    <col min="7436" max="7436" width="12.5" style="130" bestFit="1" customWidth="1"/>
    <col min="7437" max="7437" width="15" style="130" bestFit="1" customWidth="1"/>
    <col min="7438" max="7438" width="13.875" style="130" customWidth="1"/>
    <col min="7439" max="7439" width="9.625" style="130" customWidth="1"/>
    <col min="7440" max="7440" width="0" style="130" hidden="1" customWidth="1"/>
    <col min="7441" max="7441" width="10" style="130" customWidth="1"/>
    <col min="7442" max="7680" width="9" style="130"/>
    <col min="7681" max="7681" width="5" style="130" customWidth="1"/>
    <col min="7682" max="7682" width="20.125" style="130" customWidth="1"/>
    <col min="7683" max="7683" width="6.25" style="130" customWidth="1"/>
    <col min="7684" max="7688" width="11.875" style="130" customWidth="1"/>
    <col min="7689" max="7689" width="13" style="130" customWidth="1"/>
    <col min="7690" max="7691" width="13.875" style="130" customWidth="1"/>
    <col min="7692" max="7692" width="12.5" style="130" bestFit="1" customWidth="1"/>
    <col min="7693" max="7693" width="15" style="130" bestFit="1" customWidth="1"/>
    <col min="7694" max="7694" width="13.875" style="130" customWidth="1"/>
    <col min="7695" max="7695" width="9.625" style="130" customWidth="1"/>
    <col min="7696" max="7696" width="0" style="130" hidden="1" customWidth="1"/>
    <col min="7697" max="7697" width="10" style="130" customWidth="1"/>
    <col min="7698" max="7936" width="9" style="130"/>
    <col min="7937" max="7937" width="5" style="130" customWidth="1"/>
    <col min="7938" max="7938" width="20.125" style="130" customWidth="1"/>
    <col min="7939" max="7939" width="6.25" style="130" customWidth="1"/>
    <col min="7940" max="7944" width="11.875" style="130" customWidth="1"/>
    <col min="7945" max="7945" width="13" style="130" customWidth="1"/>
    <col min="7946" max="7947" width="13.875" style="130" customWidth="1"/>
    <col min="7948" max="7948" width="12.5" style="130" bestFit="1" customWidth="1"/>
    <col min="7949" max="7949" width="15" style="130" bestFit="1" customWidth="1"/>
    <col min="7950" max="7950" width="13.875" style="130" customWidth="1"/>
    <col min="7951" max="7951" width="9.625" style="130" customWidth="1"/>
    <col min="7952" max="7952" width="0" style="130" hidden="1" customWidth="1"/>
    <col min="7953" max="7953" width="10" style="130" customWidth="1"/>
    <col min="7954" max="8192" width="9" style="130"/>
    <col min="8193" max="8193" width="5" style="130" customWidth="1"/>
    <col min="8194" max="8194" width="20.125" style="130" customWidth="1"/>
    <col min="8195" max="8195" width="6.25" style="130" customWidth="1"/>
    <col min="8196" max="8200" width="11.875" style="130" customWidth="1"/>
    <col min="8201" max="8201" width="13" style="130" customWidth="1"/>
    <col min="8202" max="8203" width="13.875" style="130" customWidth="1"/>
    <col min="8204" max="8204" width="12.5" style="130" bestFit="1" customWidth="1"/>
    <col min="8205" max="8205" width="15" style="130" bestFit="1" customWidth="1"/>
    <col min="8206" max="8206" width="13.875" style="130" customWidth="1"/>
    <col min="8207" max="8207" width="9.625" style="130" customWidth="1"/>
    <col min="8208" max="8208" width="0" style="130" hidden="1" customWidth="1"/>
    <col min="8209" max="8209" width="10" style="130" customWidth="1"/>
    <col min="8210" max="8448" width="9" style="130"/>
    <col min="8449" max="8449" width="5" style="130" customWidth="1"/>
    <col min="8450" max="8450" width="20.125" style="130" customWidth="1"/>
    <col min="8451" max="8451" width="6.25" style="130" customWidth="1"/>
    <col min="8452" max="8456" width="11.875" style="130" customWidth="1"/>
    <col min="8457" max="8457" width="13" style="130" customWidth="1"/>
    <col min="8458" max="8459" width="13.875" style="130" customWidth="1"/>
    <col min="8460" max="8460" width="12.5" style="130" bestFit="1" customWidth="1"/>
    <col min="8461" max="8461" width="15" style="130" bestFit="1" customWidth="1"/>
    <col min="8462" max="8462" width="13.875" style="130" customWidth="1"/>
    <col min="8463" max="8463" width="9.625" style="130" customWidth="1"/>
    <col min="8464" max="8464" width="0" style="130" hidden="1" customWidth="1"/>
    <col min="8465" max="8465" width="10" style="130" customWidth="1"/>
    <col min="8466" max="8704" width="9" style="130"/>
    <col min="8705" max="8705" width="5" style="130" customWidth="1"/>
    <col min="8706" max="8706" width="20.125" style="130" customWidth="1"/>
    <col min="8707" max="8707" width="6.25" style="130" customWidth="1"/>
    <col min="8708" max="8712" width="11.875" style="130" customWidth="1"/>
    <col min="8713" max="8713" width="13" style="130" customWidth="1"/>
    <col min="8714" max="8715" width="13.875" style="130" customWidth="1"/>
    <col min="8716" max="8716" width="12.5" style="130" bestFit="1" customWidth="1"/>
    <col min="8717" max="8717" width="15" style="130" bestFit="1" customWidth="1"/>
    <col min="8718" max="8718" width="13.875" style="130" customWidth="1"/>
    <col min="8719" max="8719" width="9.625" style="130" customWidth="1"/>
    <col min="8720" max="8720" width="0" style="130" hidden="1" customWidth="1"/>
    <col min="8721" max="8721" width="10" style="130" customWidth="1"/>
    <col min="8722" max="8960" width="9" style="130"/>
    <col min="8961" max="8961" width="5" style="130" customWidth="1"/>
    <col min="8962" max="8962" width="20.125" style="130" customWidth="1"/>
    <col min="8963" max="8963" width="6.25" style="130" customWidth="1"/>
    <col min="8964" max="8968" width="11.875" style="130" customWidth="1"/>
    <col min="8969" max="8969" width="13" style="130" customWidth="1"/>
    <col min="8970" max="8971" width="13.875" style="130" customWidth="1"/>
    <col min="8972" max="8972" width="12.5" style="130" bestFit="1" customWidth="1"/>
    <col min="8973" max="8973" width="15" style="130" bestFit="1" customWidth="1"/>
    <col min="8974" max="8974" width="13.875" style="130" customWidth="1"/>
    <col min="8975" max="8975" width="9.625" style="130" customWidth="1"/>
    <col min="8976" max="8976" width="0" style="130" hidden="1" customWidth="1"/>
    <col min="8977" max="8977" width="10" style="130" customWidth="1"/>
    <col min="8978" max="9216" width="9" style="130"/>
    <col min="9217" max="9217" width="5" style="130" customWidth="1"/>
    <col min="9218" max="9218" width="20.125" style="130" customWidth="1"/>
    <col min="9219" max="9219" width="6.25" style="130" customWidth="1"/>
    <col min="9220" max="9224" width="11.875" style="130" customWidth="1"/>
    <col min="9225" max="9225" width="13" style="130" customWidth="1"/>
    <col min="9226" max="9227" width="13.875" style="130" customWidth="1"/>
    <col min="9228" max="9228" width="12.5" style="130" bestFit="1" customWidth="1"/>
    <col min="9229" max="9229" width="15" style="130" bestFit="1" customWidth="1"/>
    <col min="9230" max="9230" width="13.875" style="130" customWidth="1"/>
    <col min="9231" max="9231" width="9.625" style="130" customWidth="1"/>
    <col min="9232" max="9232" width="0" style="130" hidden="1" customWidth="1"/>
    <col min="9233" max="9233" width="10" style="130" customWidth="1"/>
    <col min="9234" max="9472" width="9" style="130"/>
    <col min="9473" max="9473" width="5" style="130" customWidth="1"/>
    <col min="9474" max="9474" width="20.125" style="130" customWidth="1"/>
    <col min="9475" max="9475" width="6.25" style="130" customWidth="1"/>
    <col min="9476" max="9480" width="11.875" style="130" customWidth="1"/>
    <col min="9481" max="9481" width="13" style="130" customWidth="1"/>
    <col min="9482" max="9483" width="13.875" style="130" customWidth="1"/>
    <col min="9484" max="9484" width="12.5" style="130" bestFit="1" customWidth="1"/>
    <col min="9485" max="9485" width="15" style="130" bestFit="1" customWidth="1"/>
    <col min="9486" max="9486" width="13.875" style="130" customWidth="1"/>
    <col min="9487" max="9487" width="9.625" style="130" customWidth="1"/>
    <col min="9488" max="9488" width="0" style="130" hidden="1" customWidth="1"/>
    <col min="9489" max="9489" width="10" style="130" customWidth="1"/>
    <col min="9490" max="9728" width="9" style="130"/>
    <col min="9729" max="9729" width="5" style="130" customWidth="1"/>
    <col min="9730" max="9730" width="20.125" style="130" customWidth="1"/>
    <col min="9731" max="9731" width="6.25" style="130" customWidth="1"/>
    <col min="9732" max="9736" width="11.875" style="130" customWidth="1"/>
    <col min="9737" max="9737" width="13" style="130" customWidth="1"/>
    <col min="9738" max="9739" width="13.875" style="130" customWidth="1"/>
    <col min="9740" max="9740" width="12.5" style="130" bestFit="1" customWidth="1"/>
    <col min="9741" max="9741" width="15" style="130" bestFit="1" customWidth="1"/>
    <col min="9742" max="9742" width="13.875" style="130" customWidth="1"/>
    <col min="9743" max="9743" width="9.625" style="130" customWidth="1"/>
    <col min="9744" max="9744" width="0" style="130" hidden="1" customWidth="1"/>
    <col min="9745" max="9745" width="10" style="130" customWidth="1"/>
    <col min="9746" max="9984" width="9" style="130"/>
    <col min="9985" max="9985" width="5" style="130" customWidth="1"/>
    <col min="9986" max="9986" width="20.125" style="130" customWidth="1"/>
    <col min="9987" max="9987" width="6.25" style="130" customWidth="1"/>
    <col min="9988" max="9992" width="11.875" style="130" customWidth="1"/>
    <col min="9993" max="9993" width="13" style="130" customWidth="1"/>
    <col min="9994" max="9995" width="13.875" style="130" customWidth="1"/>
    <col min="9996" max="9996" width="12.5" style="130" bestFit="1" customWidth="1"/>
    <col min="9997" max="9997" width="15" style="130" bestFit="1" customWidth="1"/>
    <col min="9998" max="9998" width="13.875" style="130" customWidth="1"/>
    <col min="9999" max="9999" width="9.625" style="130" customWidth="1"/>
    <col min="10000" max="10000" width="0" style="130" hidden="1" customWidth="1"/>
    <col min="10001" max="10001" width="10" style="130" customWidth="1"/>
    <col min="10002" max="10240" width="9" style="130"/>
    <col min="10241" max="10241" width="5" style="130" customWidth="1"/>
    <col min="10242" max="10242" width="20.125" style="130" customWidth="1"/>
    <col min="10243" max="10243" width="6.25" style="130" customWidth="1"/>
    <col min="10244" max="10248" width="11.875" style="130" customWidth="1"/>
    <col min="10249" max="10249" width="13" style="130" customWidth="1"/>
    <col min="10250" max="10251" width="13.875" style="130" customWidth="1"/>
    <col min="10252" max="10252" width="12.5" style="130" bestFit="1" customWidth="1"/>
    <col min="10253" max="10253" width="15" style="130" bestFit="1" customWidth="1"/>
    <col min="10254" max="10254" width="13.875" style="130" customWidth="1"/>
    <col min="10255" max="10255" width="9.625" style="130" customWidth="1"/>
    <col min="10256" max="10256" width="0" style="130" hidden="1" customWidth="1"/>
    <col min="10257" max="10257" width="10" style="130" customWidth="1"/>
    <col min="10258" max="10496" width="9" style="130"/>
    <col min="10497" max="10497" width="5" style="130" customWidth="1"/>
    <col min="10498" max="10498" width="20.125" style="130" customWidth="1"/>
    <col min="10499" max="10499" width="6.25" style="130" customWidth="1"/>
    <col min="10500" max="10504" width="11.875" style="130" customWidth="1"/>
    <col min="10505" max="10505" width="13" style="130" customWidth="1"/>
    <col min="10506" max="10507" width="13.875" style="130" customWidth="1"/>
    <col min="10508" max="10508" width="12.5" style="130" bestFit="1" customWidth="1"/>
    <col min="10509" max="10509" width="15" style="130" bestFit="1" customWidth="1"/>
    <col min="10510" max="10510" width="13.875" style="130" customWidth="1"/>
    <col min="10511" max="10511" width="9.625" style="130" customWidth="1"/>
    <col min="10512" max="10512" width="0" style="130" hidden="1" customWidth="1"/>
    <col min="10513" max="10513" width="10" style="130" customWidth="1"/>
    <col min="10514" max="10752" width="9" style="130"/>
    <col min="10753" max="10753" width="5" style="130" customWidth="1"/>
    <col min="10754" max="10754" width="20.125" style="130" customWidth="1"/>
    <col min="10755" max="10755" width="6.25" style="130" customWidth="1"/>
    <col min="10756" max="10760" width="11.875" style="130" customWidth="1"/>
    <col min="10761" max="10761" width="13" style="130" customWidth="1"/>
    <col min="10762" max="10763" width="13.875" style="130" customWidth="1"/>
    <col min="10764" max="10764" width="12.5" style="130" bestFit="1" customWidth="1"/>
    <col min="10765" max="10765" width="15" style="130" bestFit="1" customWidth="1"/>
    <col min="10766" max="10766" width="13.875" style="130" customWidth="1"/>
    <col min="10767" max="10767" width="9.625" style="130" customWidth="1"/>
    <col min="10768" max="10768" width="0" style="130" hidden="1" customWidth="1"/>
    <col min="10769" max="10769" width="10" style="130" customWidth="1"/>
    <col min="10770" max="11008" width="9" style="130"/>
    <col min="11009" max="11009" width="5" style="130" customWidth="1"/>
    <col min="11010" max="11010" width="20.125" style="130" customWidth="1"/>
    <col min="11011" max="11011" width="6.25" style="130" customWidth="1"/>
    <col min="11012" max="11016" width="11.875" style="130" customWidth="1"/>
    <col min="11017" max="11017" width="13" style="130" customWidth="1"/>
    <col min="11018" max="11019" width="13.875" style="130" customWidth="1"/>
    <col min="11020" max="11020" width="12.5" style="130" bestFit="1" customWidth="1"/>
    <col min="11021" max="11021" width="15" style="130" bestFit="1" customWidth="1"/>
    <col min="11022" max="11022" width="13.875" style="130" customWidth="1"/>
    <col min="11023" max="11023" width="9.625" style="130" customWidth="1"/>
    <col min="11024" max="11024" width="0" style="130" hidden="1" customWidth="1"/>
    <col min="11025" max="11025" width="10" style="130" customWidth="1"/>
    <col min="11026" max="11264" width="9" style="130"/>
    <col min="11265" max="11265" width="5" style="130" customWidth="1"/>
    <col min="11266" max="11266" width="20.125" style="130" customWidth="1"/>
    <col min="11267" max="11267" width="6.25" style="130" customWidth="1"/>
    <col min="11268" max="11272" width="11.875" style="130" customWidth="1"/>
    <col min="11273" max="11273" width="13" style="130" customWidth="1"/>
    <col min="11274" max="11275" width="13.875" style="130" customWidth="1"/>
    <col min="11276" max="11276" width="12.5" style="130" bestFit="1" customWidth="1"/>
    <col min="11277" max="11277" width="15" style="130" bestFit="1" customWidth="1"/>
    <col min="11278" max="11278" width="13.875" style="130" customWidth="1"/>
    <col min="11279" max="11279" width="9.625" style="130" customWidth="1"/>
    <col min="11280" max="11280" width="0" style="130" hidden="1" customWidth="1"/>
    <col min="11281" max="11281" width="10" style="130" customWidth="1"/>
    <col min="11282" max="11520" width="9" style="130"/>
    <col min="11521" max="11521" width="5" style="130" customWidth="1"/>
    <col min="11522" max="11522" width="20.125" style="130" customWidth="1"/>
    <col min="11523" max="11523" width="6.25" style="130" customWidth="1"/>
    <col min="11524" max="11528" width="11.875" style="130" customWidth="1"/>
    <col min="11529" max="11529" width="13" style="130" customWidth="1"/>
    <col min="11530" max="11531" width="13.875" style="130" customWidth="1"/>
    <col min="11532" max="11532" width="12.5" style="130" bestFit="1" customWidth="1"/>
    <col min="11533" max="11533" width="15" style="130" bestFit="1" customWidth="1"/>
    <col min="11534" max="11534" width="13.875" style="130" customWidth="1"/>
    <col min="11535" max="11535" width="9.625" style="130" customWidth="1"/>
    <col min="11536" max="11536" width="0" style="130" hidden="1" customWidth="1"/>
    <col min="11537" max="11537" width="10" style="130" customWidth="1"/>
    <col min="11538" max="11776" width="9" style="130"/>
    <col min="11777" max="11777" width="5" style="130" customWidth="1"/>
    <col min="11778" max="11778" width="20.125" style="130" customWidth="1"/>
    <col min="11779" max="11779" width="6.25" style="130" customWidth="1"/>
    <col min="11780" max="11784" width="11.875" style="130" customWidth="1"/>
    <col min="11785" max="11785" width="13" style="130" customWidth="1"/>
    <col min="11786" max="11787" width="13.875" style="130" customWidth="1"/>
    <col min="11788" max="11788" width="12.5" style="130" bestFit="1" customWidth="1"/>
    <col min="11789" max="11789" width="15" style="130" bestFit="1" customWidth="1"/>
    <col min="11790" max="11790" width="13.875" style="130" customWidth="1"/>
    <col min="11791" max="11791" width="9.625" style="130" customWidth="1"/>
    <col min="11792" max="11792" width="0" style="130" hidden="1" customWidth="1"/>
    <col min="11793" max="11793" width="10" style="130" customWidth="1"/>
    <col min="11794" max="12032" width="9" style="130"/>
    <col min="12033" max="12033" width="5" style="130" customWidth="1"/>
    <col min="12034" max="12034" width="20.125" style="130" customWidth="1"/>
    <col min="12035" max="12035" width="6.25" style="130" customWidth="1"/>
    <col min="12036" max="12040" width="11.875" style="130" customWidth="1"/>
    <col min="12041" max="12041" width="13" style="130" customWidth="1"/>
    <col min="12042" max="12043" width="13.875" style="130" customWidth="1"/>
    <col min="12044" max="12044" width="12.5" style="130" bestFit="1" customWidth="1"/>
    <col min="12045" max="12045" width="15" style="130" bestFit="1" customWidth="1"/>
    <col min="12046" max="12046" width="13.875" style="130" customWidth="1"/>
    <col min="12047" max="12047" width="9.625" style="130" customWidth="1"/>
    <col min="12048" max="12048" width="0" style="130" hidden="1" customWidth="1"/>
    <col min="12049" max="12049" width="10" style="130" customWidth="1"/>
    <col min="12050" max="12288" width="9" style="130"/>
    <col min="12289" max="12289" width="5" style="130" customWidth="1"/>
    <col min="12290" max="12290" width="20.125" style="130" customWidth="1"/>
    <col min="12291" max="12291" width="6.25" style="130" customWidth="1"/>
    <col min="12292" max="12296" width="11.875" style="130" customWidth="1"/>
    <col min="12297" max="12297" width="13" style="130" customWidth="1"/>
    <col min="12298" max="12299" width="13.875" style="130" customWidth="1"/>
    <col min="12300" max="12300" width="12.5" style="130" bestFit="1" customWidth="1"/>
    <col min="12301" max="12301" width="15" style="130" bestFit="1" customWidth="1"/>
    <col min="12302" max="12302" width="13.875" style="130" customWidth="1"/>
    <col min="12303" max="12303" width="9.625" style="130" customWidth="1"/>
    <col min="12304" max="12304" width="0" style="130" hidden="1" customWidth="1"/>
    <col min="12305" max="12305" width="10" style="130" customWidth="1"/>
    <col min="12306" max="12544" width="9" style="130"/>
    <col min="12545" max="12545" width="5" style="130" customWidth="1"/>
    <col min="12546" max="12546" width="20.125" style="130" customWidth="1"/>
    <col min="12547" max="12547" width="6.25" style="130" customWidth="1"/>
    <col min="12548" max="12552" width="11.875" style="130" customWidth="1"/>
    <col min="12553" max="12553" width="13" style="130" customWidth="1"/>
    <col min="12554" max="12555" width="13.875" style="130" customWidth="1"/>
    <col min="12556" max="12556" width="12.5" style="130" bestFit="1" customWidth="1"/>
    <col min="12557" max="12557" width="15" style="130" bestFit="1" customWidth="1"/>
    <col min="12558" max="12558" width="13.875" style="130" customWidth="1"/>
    <col min="12559" max="12559" width="9.625" style="130" customWidth="1"/>
    <col min="12560" max="12560" width="0" style="130" hidden="1" customWidth="1"/>
    <col min="12561" max="12561" width="10" style="130" customWidth="1"/>
    <col min="12562" max="12800" width="9" style="130"/>
    <col min="12801" max="12801" width="5" style="130" customWidth="1"/>
    <col min="12802" max="12802" width="20.125" style="130" customWidth="1"/>
    <col min="12803" max="12803" width="6.25" style="130" customWidth="1"/>
    <col min="12804" max="12808" width="11.875" style="130" customWidth="1"/>
    <col min="12809" max="12809" width="13" style="130" customWidth="1"/>
    <col min="12810" max="12811" width="13.875" style="130" customWidth="1"/>
    <col min="12812" max="12812" width="12.5" style="130" bestFit="1" customWidth="1"/>
    <col min="12813" max="12813" width="15" style="130" bestFit="1" customWidth="1"/>
    <col min="12814" max="12814" width="13.875" style="130" customWidth="1"/>
    <col min="12815" max="12815" width="9.625" style="130" customWidth="1"/>
    <col min="12816" max="12816" width="0" style="130" hidden="1" customWidth="1"/>
    <col min="12817" max="12817" width="10" style="130" customWidth="1"/>
    <col min="12818" max="13056" width="9" style="130"/>
    <col min="13057" max="13057" width="5" style="130" customWidth="1"/>
    <col min="13058" max="13058" width="20.125" style="130" customWidth="1"/>
    <col min="13059" max="13059" width="6.25" style="130" customWidth="1"/>
    <col min="13060" max="13064" width="11.875" style="130" customWidth="1"/>
    <col min="13065" max="13065" width="13" style="130" customWidth="1"/>
    <col min="13066" max="13067" width="13.875" style="130" customWidth="1"/>
    <col min="13068" max="13068" width="12.5" style="130" bestFit="1" customWidth="1"/>
    <col min="13069" max="13069" width="15" style="130" bestFit="1" customWidth="1"/>
    <col min="13070" max="13070" width="13.875" style="130" customWidth="1"/>
    <col min="13071" max="13071" width="9.625" style="130" customWidth="1"/>
    <col min="13072" max="13072" width="0" style="130" hidden="1" customWidth="1"/>
    <col min="13073" max="13073" width="10" style="130" customWidth="1"/>
    <col min="13074" max="13312" width="9" style="130"/>
    <col min="13313" max="13313" width="5" style="130" customWidth="1"/>
    <col min="13314" max="13314" width="20.125" style="130" customWidth="1"/>
    <col min="13315" max="13315" width="6.25" style="130" customWidth="1"/>
    <col min="13316" max="13320" width="11.875" style="130" customWidth="1"/>
    <col min="13321" max="13321" width="13" style="130" customWidth="1"/>
    <col min="13322" max="13323" width="13.875" style="130" customWidth="1"/>
    <col min="13324" max="13324" width="12.5" style="130" bestFit="1" customWidth="1"/>
    <col min="13325" max="13325" width="15" style="130" bestFit="1" customWidth="1"/>
    <col min="13326" max="13326" width="13.875" style="130" customWidth="1"/>
    <col min="13327" max="13327" width="9.625" style="130" customWidth="1"/>
    <col min="13328" max="13328" width="0" style="130" hidden="1" customWidth="1"/>
    <col min="13329" max="13329" width="10" style="130" customWidth="1"/>
    <col min="13330" max="13568" width="9" style="130"/>
    <col min="13569" max="13569" width="5" style="130" customWidth="1"/>
    <col min="13570" max="13570" width="20.125" style="130" customWidth="1"/>
    <col min="13571" max="13571" width="6.25" style="130" customWidth="1"/>
    <col min="13572" max="13576" width="11.875" style="130" customWidth="1"/>
    <col min="13577" max="13577" width="13" style="130" customWidth="1"/>
    <col min="13578" max="13579" width="13.875" style="130" customWidth="1"/>
    <col min="13580" max="13580" width="12.5" style="130" bestFit="1" customWidth="1"/>
    <col min="13581" max="13581" width="15" style="130" bestFit="1" customWidth="1"/>
    <col min="13582" max="13582" width="13.875" style="130" customWidth="1"/>
    <col min="13583" max="13583" width="9.625" style="130" customWidth="1"/>
    <col min="13584" max="13584" width="0" style="130" hidden="1" customWidth="1"/>
    <col min="13585" max="13585" width="10" style="130" customWidth="1"/>
    <col min="13586" max="13824" width="9" style="130"/>
    <col min="13825" max="13825" width="5" style="130" customWidth="1"/>
    <col min="13826" max="13826" width="20.125" style="130" customWidth="1"/>
    <col min="13827" max="13827" width="6.25" style="130" customWidth="1"/>
    <col min="13828" max="13832" width="11.875" style="130" customWidth="1"/>
    <col min="13833" max="13833" width="13" style="130" customWidth="1"/>
    <col min="13834" max="13835" width="13.875" style="130" customWidth="1"/>
    <col min="13836" max="13836" width="12.5" style="130" bestFit="1" customWidth="1"/>
    <col min="13837" max="13837" width="15" style="130" bestFit="1" customWidth="1"/>
    <col min="13838" max="13838" width="13.875" style="130" customWidth="1"/>
    <col min="13839" max="13839" width="9.625" style="130" customWidth="1"/>
    <col min="13840" max="13840" width="0" style="130" hidden="1" customWidth="1"/>
    <col min="13841" max="13841" width="10" style="130" customWidth="1"/>
    <col min="13842" max="14080" width="9" style="130"/>
    <col min="14081" max="14081" width="5" style="130" customWidth="1"/>
    <col min="14082" max="14082" width="20.125" style="130" customWidth="1"/>
    <col min="14083" max="14083" width="6.25" style="130" customWidth="1"/>
    <col min="14084" max="14088" width="11.875" style="130" customWidth="1"/>
    <col min="14089" max="14089" width="13" style="130" customWidth="1"/>
    <col min="14090" max="14091" width="13.875" style="130" customWidth="1"/>
    <col min="14092" max="14092" width="12.5" style="130" bestFit="1" customWidth="1"/>
    <col min="14093" max="14093" width="15" style="130" bestFit="1" customWidth="1"/>
    <col min="14094" max="14094" width="13.875" style="130" customWidth="1"/>
    <col min="14095" max="14095" width="9.625" style="130" customWidth="1"/>
    <col min="14096" max="14096" width="0" style="130" hidden="1" customWidth="1"/>
    <col min="14097" max="14097" width="10" style="130" customWidth="1"/>
    <col min="14098" max="14336" width="9" style="130"/>
    <col min="14337" max="14337" width="5" style="130" customWidth="1"/>
    <col min="14338" max="14338" width="20.125" style="130" customWidth="1"/>
    <col min="14339" max="14339" width="6.25" style="130" customWidth="1"/>
    <col min="14340" max="14344" width="11.875" style="130" customWidth="1"/>
    <col min="14345" max="14345" width="13" style="130" customWidth="1"/>
    <col min="14346" max="14347" width="13.875" style="130" customWidth="1"/>
    <col min="14348" max="14348" width="12.5" style="130" bestFit="1" customWidth="1"/>
    <col min="14349" max="14349" width="15" style="130" bestFit="1" customWidth="1"/>
    <col min="14350" max="14350" width="13.875" style="130" customWidth="1"/>
    <col min="14351" max="14351" width="9.625" style="130" customWidth="1"/>
    <col min="14352" max="14352" width="0" style="130" hidden="1" customWidth="1"/>
    <col min="14353" max="14353" width="10" style="130" customWidth="1"/>
    <col min="14354" max="14592" width="9" style="130"/>
    <col min="14593" max="14593" width="5" style="130" customWidth="1"/>
    <col min="14594" max="14594" width="20.125" style="130" customWidth="1"/>
    <col min="14595" max="14595" width="6.25" style="130" customWidth="1"/>
    <col min="14596" max="14600" width="11.875" style="130" customWidth="1"/>
    <col min="14601" max="14601" width="13" style="130" customWidth="1"/>
    <col min="14602" max="14603" width="13.875" style="130" customWidth="1"/>
    <col min="14604" max="14604" width="12.5" style="130" bestFit="1" customWidth="1"/>
    <col min="14605" max="14605" width="15" style="130" bestFit="1" customWidth="1"/>
    <col min="14606" max="14606" width="13.875" style="130" customWidth="1"/>
    <col min="14607" max="14607" width="9.625" style="130" customWidth="1"/>
    <col min="14608" max="14608" width="0" style="130" hidden="1" customWidth="1"/>
    <col min="14609" max="14609" width="10" style="130" customWidth="1"/>
    <col min="14610" max="14848" width="9" style="130"/>
    <col min="14849" max="14849" width="5" style="130" customWidth="1"/>
    <col min="14850" max="14850" width="20.125" style="130" customWidth="1"/>
    <col min="14851" max="14851" width="6.25" style="130" customWidth="1"/>
    <col min="14852" max="14856" width="11.875" style="130" customWidth="1"/>
    <col min="14857" max="14857" width="13" style="130" customWidth="1"/>
    <col min="14858" max="14859" width="13.875" style="130" customWidth="1"/>
    <col min="14860" max="14860" width="12.5" style="130" bestFit="1" customWidth="1"/>
    <col min="14861" max="14861" width="15" style="130" bestFit="1" customWidth="1"/>
    <col min="14862" max="14862" width="13.875" style="130" customWidth="1"/>
    <col min="14863" max="14863" width="9.625" style="130" customWidth="1"/>
    <col min="14864" max="14864" width="0" style="130" hidden="1" customWidth="1"/>
    <col min="14865" max="14865" width="10" style="130" customWidth="1"/>
    <col min="14866" max="15104" width="9" style="130"/>
    <col min="15105" max="15105" width="5" style="130" customWidth="1"/>
    <col min="15106" max="15106" width="20.125" style="130" customWidth="1"/>
    <col min="15107" max="15107" width="6.25" style="130" customWidth="1"/>
    <col min="15108" max="15112" width="11.875" style="130" customWidth="1"/>
    <col min="15113" max="15113" width="13" style="130" customWidth="1"/>
    <col min="15114" max="15115" width="13.875" style="130" customWidth="1"/>
    <col min="15116" max="15116" width="12.5" style="130" bestFit="1" customWidth="1"/>
    <col min="15117" max="15117" width="15" style="130" bestFit="1" customWidth="1"/>
    <col min="15118" max="15118" width="13.875" style="130" customWidth="1"/>
    <col min="15119" max="15119" width="9.625" style="130" customWidth="1"/>
    <col min="15120" max="15120" width="0" style="130" hidden="1" customWidth="1"/>
    <col min="15121" max="15121" width="10" style="130" customWidth="1"/>
    <col min="15122" max="15360" width="9" style="130"/>
    <col min="15361" max="15361" width="5" style="130" customWidth="1"/>
    <col min="15362" max="15362" width="20.125" style="130" customWidth="1"/>
    <col min="15363" max="15363" width="6.25" style="130" customWidth="1"/>
    <col min="15364" max="15368" width="11.875" style="130" customWidth="1"/>
    <col min="15369" max="15369" width="13" style="130" customWidth="1"/>
    <col min="15370" max="15371" width="13.875" style="130" customWidth="1"/>
    <col min="15372" max="15372" width="12.5" style="130" bestFit="1" customWidth="1"/>
    <col min="15373" max="15373" width="15" style="130" bestFit="1" customWidth="1"/>
    <col min="15374" max="15374" width="13.875" style="130" customWidth="1"/>
    <col min="15375" max="15375" width="9.625" style="130" customWidth="1"/>
    <col min="15376" max="15376" width="0" style="130" hidden="1" customWidth="1"/>
    <col min="15377" max="15377" width="10" style="130" customWidth="1"/>
    <col min="15378" max="15616" width="9" style="130"/>
    <col min="15617" max="15617" width="5" style="130" customWidth="1"/>
    <col min="15618" max="15618" width="20.125" style="130" customWidth="1"/>
    <col min="15619" max="15619" width="6.25" style="130" customWidth="1"/>
    <col min="15620" max="15624" width="11.875" style="130" customWidth="1"/>
    <col min="15625" max="15625" width="13" style="130" customWidth="1"/>
    <col min="15626" max="15627" width="13.875" style="130" customWidth="1"/>
    <col min="15628" max="15628" width="12.5" style="130" bestFit="1" customWidth="1"/>
    <col min="15629" max="15629" width="15" style="130" bestFit="1" customWidth="1"/>
    <col min="15630" max="15630" width="13.875" style="130" customWidth="1"/>
    <col min="15631" max="15631" width="9.625" style="130" customWidth="1"/>
    <col min="15632" max="15632" width="0" style="130" hidden="1" customWidth="1"/>
    <col min="15633" max="15633" width="10" style="130" customWidth="1"/>
    <col min="15634" max="15872" width="9" style="130"/>
    <col min="15873" max="15873" width="5" style="130" customWidth="1"/>
    <col min="15874" max="15874" width="20.125" style="130" customWidth="1"/>
    <col min="15875" max="15875" width="6.25" style="130" customWidth="1"/>
    <col min="15876" max="15880" width="11.875" style="130" customWidth="1"/>
    <col min="15881" max="15881" width="13" style="130" customWidth="1"/>
    <col min="15882" max="15883" width="13.875" style="130" customWidth="1"/>
    <col min="15884" max="15884" width="12.5" style="130" bestFit="1" customWidth="1"/>
    <col min="15885" max="15885" width="15" style="130" bestFit="1" customWidth="1"/>
    <col min="15886" max="15886" width="13.875" style="130" customWidth="1"/>
    <col min="15887" max="15887" width="9.625" style="130" customWidth="1"/>
    <col min="15888" max="15888" width="0" style="130" hidden="1" customWidth="1"/>
    <col min="15889" max="15889" width="10" style="130" customWidth="1"/>
    <col min="15890" max="16128" width="9" style="130"/>
    <col min="16129" max="16129" width="5" style="130" customWidth="1"/>
    <col min="16130" max="16130" width="20.125" style="130" customWidth="1"/>
    <col min="16131" max="16131" width="6.25" style="130" customWidth="1"/>
    <col min="16132" max="16136" width="11.875" style="130" customWidth="1"/>
    <col min="16137" max="16137" width="13" style="130" customWidth="1"/>
    <col min="16138" max="16139" width="13.875" style="130" customWidth="1"/>
    <col min="16140" max="16140" width="12.5" style="130" bestFit="1" customWidth="1"/>
    <col min="16141" max="16141" width="15" style="130" bestFit="1" customWidth="1"/>
    <col min="16142" max="16142" width="13.875" style="130" customWidth="1"/>
    <col min="16143" max="16143" width="9.625" style="130" customWidth="1"/>
    <col min="16144" max="16144" width="0" style="130" hidden="1" customWidth="1"/>
    <col min="16145" max="16145" width="10" style="130" customWidth="1"/>
    <col min="16146" max="16384" width="9" style="130"/>
  </cols>
  <sheetData>
    <row r="2" spans="1:16" ht="31.5" customHeight="1">
      <c r="A2" s="53" t="s">
        <v>102</v>
      </c>
    </row>
    <row r="3" spans="1:16" ht="17.25" customHeight="1" thickBot="1">
      <c r="N3" s="130" t="s">
        <v>103</v>
      </c>
    </row>
    <row r="4" spans="1:16" s="136" customFormat="1" ht="8.25" customHeight="1">
      <c r="A4" s="131"/>
      <c r="B4" s="131"/>
      <c r="C4" s="131"/>
      <c r="D4" s="485"/>
      <c r="E4" s="486"/>
      <c r="F4" s="486"/>
      <c r="G4" s="486"/>
      <c r="H4" s="486"/>
      <c r="I4" s="486"/>
      <c r="J4" s="487"/>
      <c r="K4" s="132"/>
      <c r="L4" s="132"/>
      <c r="M4" s="133"/>
      <c r="N4" s="134"/>
      <c r="O4" s="135"/>
    </row>
    <row r="5" spans="1:16" s="136" customFormat="1" ht="25.5" customHeight="1">
      <c r="A5" s="137"/>
      <c r="B5" s="137"/>
      <c r="C5" s="137"/>
      <c r="D5" s="138"/>
      <c r="E5" s="139"/>
      <c r="F5" s="139"/>
      <c r="G5" s="139"/>
      <c r="H5" s="139"/>
      <c r="I5" s="140" t="s">
        <v>104</v>
      </c>
      <c r="J5" s="141"/>
      <c r="K5" s="142"/>
      <c r="L5" s="142" t="s">
        <v>105</v>
      </c>
      <c r="M5" s="143" t="s">
        <v>85</v>
      </c>
      <c r="N5" s="144"/>
      <c r="O5" s="145"/>
    </row>
    <row r="6" spans="1:16" s="136" customFormat="1" ht="25.5" customHeight="1" thickBot="1">
      <c r="A6" s="146" t="s">
        <v>38</v>
      </c>
      <c r="B6" s="146" t="s">
        <v>106</v>
      </c>
      <c r="C6" s="146" t="s">
        <v>41</v>
      </c>
      <c r="D6" s="147" t="s">
        <v>46</v>
      </c>
      <c r="E6" s="148" t="s">
        <v>107</v>
      </c>
      <c r="F6" s="148" t="s">
        <v>76</v>
      </c>
      <c r="G6" s="148" t="s">
        <v>108</v>
      </c>
      <c r="H6" s="148" t="s">
        <v>68</v>
      </c>
      <c r="I6" s="149" t="s">
        <v>109</v>
      </c>
      <c r="J6" s="150" t="s">
        <v>110</v>
      </c>
      <c r="K6" s="151" t="s">
        <v>111</v>
      </c>
      <c r="L6" s="151" t="s">
        <v>112</v>
      </c>
      <c r="M6" s="152" t="s">
        <v>113</v>
      </c>
      <c r="N6" s="153" t="s">
        <v>114</v>
      </c>
      <c r="O6" s="154" t="s">
        <v>21</v>
      </c>
    </row>
    <row r="7" spans="1:16" s="165" customFormat="1" ht="25.5" customHeight="1" thickTop="1">
      <c r="A7" s="155">
        <f>IF(B7&gt;0,1,"")</f>
        <v>1</v>
      </c>
      <c r="B7" s="156" t="str">
        <f>'포승 I-Pin 헤어핀 성형기'!C$1</f>
        <v>포승 I-Pin 헤어핀 성형기</v>
      </c>
      <c r="C7" s="155" t="s">
        <v>115</v>
      </c>
      <c r="D7" s="157">
        <f>'포승 I-Pin 헤어핀 성형기'!H123</f>
        <v>289226400</v>
      </c>
      <c r="E7" s="158">
        <f>'포승 I-Pin 헤어핀 성형기'!H124</f>
        <v>0</v>
      </c>
      <c r="F7" s="158">
        <f>'포승 I-Pin 헤어핀 성형기'!H125+'포승 I-Pin 헤어핀 성형기'!H126+'포승 I-Pin 헤어핀 성형기'!H127+'포승 I-Pin 헤어핀 성형기'!H131</f>
        <v>0</v>
      </c>
      <c r="G7" s="158">
        <f>'포승 I-Pin 헤어핀 성형기'!H128+'포승 I-Pin 헤어핀 성형기'!H129</f>
        <v>0</v>
      </c>
      <c r="H7" s="158">
        <f>'포승 I-Pin 헤어핀 성형기'!H130</f>
        <v>0</v>
      </c>
      <c r="I7" s="159">
        <f>IF($B7&gt;0,'원가항목별(집계)'!I$38*$P7/$P$17,0)</f>
        <v>7778363.6959255086</v>
      </c>
      <c r="J7" s="160">
        <f>SUM(D7:I7)</f>
        <v>297004763.69592553</v>
      </c>
      <c r="K7" s="161">
        <f>IF(B7&gt;0,'원가항목별(집계)'!I$34*P7/P$17,0)</f>
        <v>0</v>
      </c>
      <c r="L7" s="161"/>
      <c r="M7" s="162">
        <f>'포승 I-Pin 헤어핀 성형기'!H134+'포승 I-Pin 헤어핀 성형기'!H135</f>
        <v>43383960</v>
      </c>
      <c r="N7" s="163">
        <f>SUM(J7:M7)</f>
        <v>340388723.69592553</v>
      </c>
      <c r="O7" s="164"/>
      <c r="P7" s="165">
        <f>D7+E7+F7+G7+H7+M7</f>
        <v>332610360</v>
      </c>
    </row>
    <row r="8" spans="1:16" s="165" customFormat="1" ht="25.5" customHeight="1">
      <c r="A8" s="166">
        <f t="shared" ref="A8:A16" si="0">IF(B8&gt;0,A7+1,"")</f>
        <v>2</v>
      </c>
      <c r="B8" s="167" t="str">
        <f>'U핀 가정열 설비'!C$1</f>
        <v>U핀 가정열 설비</v>
      </c>
      <c r="C8" s="166" t="s">
        <v>115</v>
      </c>
      <c r="D8" s="168">
        <f>'U핀 가정열 설비'!H72</f>
        <v>280594640</v>
      </c>
      <c r="E8" s="169">
        <f>'U핀 가정열 설비'!H73</f>
        <v>0</v>
      </c>
      <c r="F8" s="169">
        <f>'U핀 가정열 설비'!H74+'U핀 가정열 설비'!H75+'U핀 가정열 설비'!H76+'U핀 가정열 설비'!H80</f>
        <v>0</v>
      </c>
      <c r="G8" s="169">
        <f>'U핀 가정열 설비'!H77+'U핀 가정열 설비'!H78</f>
        <v>0</v>
      </c>
      <c r="H8" s="169">
        <f>'U핀 가정열 설비'!H79</f>
        <v>0</v>
      </c>
      <c r="I8" s="170">
        <f>IF($B8&gt;0,'원가항목별(집계)'!I$38*$P8/$P$17,0)</f>
        <v>7546223.8614707626</v>
      </c>
      <c r="J8" s="171">
        <f>SUM(D8:I8)</f>
        <v>288140863.86147076</v>
      </c>
      <c r="K8" s="172">
        <f>IF(B8&gt;0,'원가항목별(집계)'!I$34*P8/P$17,0)</f>
        <v>0</v>
      </c>
      <c r="L8" s="172"/>
      <c r="M8" s="173">
        <f>'U핀 가정열 설비'!H83+'U핀 가정열 설비'!H84</f>
        <v>42089196</v>
      </c>
      <c r="N8" s="174">
        <f t="shared" ref="N8:N16" si="1">SUM(J8:M8)</f>
        <v>330230059.86147076</v>
      </c>
      <c r="O8" s="175"/>
      <c r="P8" s="165">
        <f t="shared" ref="P8:P16" si="2">D8+E8+F8+G8+H8+M8</f>
        <v>322683836</v>
      </c>
    </row>
    <row r="9" spans="1:16" s="165" customFormat="1" ht="25.5" customHeight="1">
      <c r="A9" s="166">
        <f t="shared" si="0"/>
        <v>3</v>
      </c>
      <c r="B9" s="167" t="str">
        <f>'I핀 가정열 설비'!C$1</f>
        <v>I핀 가정열 설비</v>
      </c>
      <c r="C9" s="166" t="s">
        <v>116</v>
      </c>
      <c r="D9" s="168">
        <f>'I핀 가정열 설비'!H67</f>
        <v>86846400</v>
      </c>
      <c r="E9" s="169">
        <f>'I핀 가정열 설비'!H68</f>
        <v>0</v>
      </c>
      <c r="F9" s="169">
        <f>'I핀 가정열 설비'!H69+'I핀 가정열 설비'!H70+'I핀 가정열 설비'!H71+'I핀 가정열 설비'!H75</f>
        <v>0</v>
      </c>
      <c r="G9" s="169">
        <f>'I핀 가정열 설비'!H72+'I핀 가정열 설비'!H73</f>
        <v>0</v>
      </c>
      <c r="H9" s="169">
        <f>'I핀 가정열 설비'!H74</f>
        <v>0</v>
      </c>
      <c r="I9" s="170">
        <f>IF($B9&gt;0,'원가항목별(집계)'!I$38*$P9/$P$17,0)</f>
        <v>2335619.7251766268</v>
      </c>
      <c r="J9" s="171">
        <f t="shared" ref="J9:J17" si="3">SUM(D9:I9)</f>
        <v>89182019.725176632</v>
      </c>
      <c r="K9" s="172">
        <f>IF(B9&gt;0,'원가항목별(집계)'!I$34*P9/P$17,0)</f>
        <v>0</v>
      </c>
      <c r="L9" s="172"/>
      <c r="M9" s="173">
        <f>'I핀 가정열 설비'!H78+'I핀 가정열 설비'!H79</f>
        <v>13026960</v>
      </c>
      <c r="N9" s="174">
        <f t="shared" si="1"/>
        <v>102208979.72517663</v>
      </c>
      <c r="O9" s="175"/>
      <c r="P9" s="165">
        <f t="shared" si="2"/>
        <v>99873360</v>
      </c>
    </row>
    <row r="10" spans="1:16" s="165" customFormat="1" ht="25.5" customHeight="1">
      <c r="A10" s="166">
        <f t="shared" si="0"/>
        <v>4</v>
      </c>
      <c r="B10" s="167" t="str">
        <f>'코어 자동화 로딩기'!C1</f>
        <v>코어 자동화 로딩기</v>
      </c>
      <c r="C10" s="166" t="s">
        <v>116</v>
      </c>
      <c r="D10" s="168">
        <f>'코어 자동화 로딩기'!H116</f>
        <v>611443000</v>
      </c>
      <c r="E10" s="169">
        <f>'코어 자동화 로딩기'!H117</f>
        <v>0</v>
      </c>
      <c r="F10" s="169">
        <f>'코어 자동화 로딩기'!H118+'코어 자동화 로딩기'!H119+'코어 자동화 로딩기'!H120+'코어 자동화 로딩기'!H124</f>
        <v>0</v>
      </c>
      <c r="G10" s="169">
        <f>'코어 자동화 로딩기'!H121+'코어 자동화 로딩기'!H122</f>
        <v>0</v>
      </c>
      <c r="H10" s="169">
        <f>'코어 자동화 로딩기'!H123</f>
        <v>0</v>
      </c>
      <c r="I10" s="170">
        <f>IF($B10&gt;0,'원가항목별(집계)'!I$38*$P10/$P$17,0)</f>
        <v>16443955.43881119</v>
      </c>
      <c r="J10" s="171">
        <f t="shared" si="3"/>
        <v>627886955.43881118</v>
      </c>
      <c r="K10" s="172">
        <f>IF(B10&gt;0,'원가항목별(집계)'!I$34*P10/P$17,0)</f>
        <v>0</v>
      </c>
      <c r="L10" s="172"/>
      <c r="M10" s="173">
        <f>'코어 자동화 로딩기'!H127+'코어 자동화 로딩기'!H128</f>
        <v>91716450</v>
      </c>
      <c r="N10" s="174">
        <f t="shared" si="1"/>
        <v>719603405.43881118</v>
      </c>
      <c r="O10" s="175"/>
      <c r="P10" s="165">
        <f t="shared" si="2"/>
        <v>703159450</v>
      </c>
    </row>
    <row r="11" spans="1:16" s="165" customFormat="1" ht="25.5" customHeight="1">
      <c r="A11" s="166">
        <f t="shared" si="0"/>
        <v>5</v>
      </c>
      <c r="B11" s="167" t="str">
        <f>'절연지 삽입'!C1</f>
        <v>절연지 삽입</v>
      </c>
      <c r="C11" s="166" t="s">
        <v>116</v>
      </c>
      <c r="D11" s="168">
        <f>'절연지 삽입'!H101</f>
        <v>150095600</v>
      </c>
      <c r="E11" s="169">
        <f>'절연지 삽입'!H102</f>
        <v>0</v>
      </c>
      <c r="F11" s="169">
        <f>'절연지 삽입'!H103+'절연지 삽입'!H104+'절연지 삽입'!H105+'절연지 삽입'!H109</f>
        <v>0</v>
      </c>
      <c r="G11" s="169">
        <f>'절연지 삽입'!H106+'절연지 삽입'!H107</f>
        <v>0</v>
      </c>
      <c r="H11" s="169">
        <f>'절연지 삽입'!H108</f>
        <v>0</v>
      </c>
      <c r="I11" s="170">
        <f>IF($B11&gt;0,'원가항목별(집계)'!I$38*$P11/$P$17,0)</f>
        <v>4036623.7866189145</v>
      </c>
      <c r="J11" s="171">
        <f t="shared" si="3"/>
        <v>154132223.78661892</v>
      </c>
      <c r="K11" s="172">
        <f>IF(B11&gt;0,'원가항목별(집계)'!I$34*P11/P$17,0)</f>
        <v>0</v>
      </c>
      <c r="L11" s="172"/>
      <c r="M11" s="173">
        <f>'절연지 삽입'!H112+'절연지 삽입'!H113</f>
        <v>22514340</v>
      </c>
      <c r="N11" s="174">
        <f t="shared" si="1"/>
        <v>176646563.78661892</v>
      </c>
      <c r="O11" s="175"/>
      <c r="P11" s="165">
        <f t="shared" si="2"/>
        <v>172609940</v>
      </c>
    </row>
    <row r="12" spans="1:16" s="165" customFormat="1" ht="25.5" customHeight="1">
      <c r="A12" s="166">
        <f t="shared" si="0"/>
        <v>6</v>
      </c>
      <c r="B12" s="167" t="str">
        <f>인서팅!C$1</f>
        <v>인서팅</v>
      </c>
      <c r="C12" s="166" t="s">
        <v>116</v>
      </c>
      <c r="D12" s="168">
        <f>인서팅!H75</f>
        <v>146509300</v>
      </c>
      <c r="E12" s="169">
        <f>인서팅!H76</f>
        <v>0</v>
      </c>
      <c r="F12" s="169">
        <f>인서팅!H77+인서팅!H78+인서팅!H79+인서팅!H83</f>
        <v>0</v>
      </c>
      <c r="G12" s="169">
        <f>인서팅!H80+인서팅!H81</f>
        <v>0</v>
      </c>
      <c r="H12" s="169">
        <f>인서팅!H82</f>
        <v>0</v>
      </c>
      <c r="I12" s="170">
        <f>IF($B12&gt;0,'원가항목별(집계)'!I$38*$P12/$P$17,0)</f>
        <v>3940174.9640954598</v>
      </c>
      <c r="J12" s="171">
        <f t="shared" si="3"/>
        <v>150449474.96409547</v>
      </c>
      <c r="K12" s="172">
        <f>IF(B12&gt;0,'원가항목별(집계)'!I$34*P12/P$17,0)</f>
        <v>0</v>
      </c>
      <c r="L12" s="172"/>
      <c r="M12" s="173">
        <f>인서팅!H85+인서팅!H86</f>
        <v>21976395</v>
      </c>
      <c r="N12" s="174">
        <f t="shared" si="1"/>
        <v>172425869.96409547</v>
      </c>
      <c r="O12" s="175"/>
      <c r="P12" s="165">
        <f t="shared" si="2"/>
        <v>168485695</v>
      </c>
    </row>
    <row r="13" spans="1:16" s="165" customFormat="1" ht="25.5" customHeight="1">
      <c r="A13" s="166">
        <f t="shared" si="0"/>
        <v>7</v>
      </c>
      <c r="B13" s="167" t="str">
        <f>확관!C$1</f>
        <v>확관</v>
      </c>
      <c r="C13" s="166" t="s">
        <v>116</v>
      </c>
      <c r="D13" s="168">
        <f>확관!H72</f>
        <v>143892580</v>
      </c>
      <c r="E13" s="169">
        <f>확관!H73</f>
        <v>0</v>
      </c>
      <c r="F13" s="169">
        <f>확관!H74+확관!H75+확관!H76+확관!H80</f>
        <v>0</v>
      </c>
      <c r="G13" s="169">
        <f>확관!H77+확관!H78</f>
        <v>0</v>
      </c>
      <c r="H13" s="169">
        <f>확관!H79</f>
        <v>0</v>
      </c>
      <c r="I13" s="170">
        <f>IF($B13&gt;0,'원가항목별(집계)'!I$38*$P13/$P$17,0)</f>
        <v>3869801.7206764556</v>
      </c>
      <c r="J13" s="171">
        <f t="shared" si="3"/>
        <v>147762381.72067645</v>
      </c>
      <c r="K13" s="172">
        <f>IF(B13&gt;0,'원가항목별(집계)'!I$34*P13/P$17,0)</f>
        <v>0</v>
      </c>
      <c r="L13" s="172"/>
      <c r="M13" s="173">
        <f>확관!H82+확관!H83</f>
        <v>21583887</v>
      </c>
      <c r="N13" s="174">
        <f t="shared" si="1"/>
        <v>169346268.72067645</v>
      </c>
      <c r="O13" s="175"/>
      <c r="P13" s="165">
        <f t="shared" si="2"/>
        <v>165476467</v>
      </c>
    </row>
    <row r="14" spans="1:16" s="165" customFormat="1" ht="25.5" customHeight="1">
      <c r="A14" s="166">
        <f t="shared" si="0"/>
        <v>8</v>
      </c>
      <c r="B14" s="167" t="str">
        <f>트위스팅!C$1</f>
        <v>트위스팅</v>
      </c>
      <c r="C14" s="166" t="s">
        <v>116</v>
      </c>
      <c r="D14" s="168">
        <f>트위스팅!H79</f>
        <v>280407100</v>
      </c>
      <c r="E14" s="169">
        <f>트위스팅!H80</f>
        <v>0</v>
      </c>
      <c r="F14" s="169">
        <f>트위스팅!H81+트위스팅!H82+트위스팅!H83+트위스팅!H87</f>
        <v>0</v>
      </c>
      <c r="G14" s="169">
        <f>트위스팅!H84+트위스팅!H85</f>
        <v>0</v>
      </c>
      <c r="H14" s="169">
        <f>트위스팅!H86</f>
        <v>0</v>
      </c>
      <c r="I14" s="170">
        <f>IF($B14&gt;0,'원가항목별(집계)'!I$38*$P14/$P$17,0)</f>
        <v>7541180.2197854472</v>
      </c>
      <c r="J14" s="171">
        <f t="shared" si="3"/>
        <v>287948280.21978545</v>
      </c>
      <c r="K14" s="172">
        <f>IF(B14&gt;0,'원가항목별(집계)'!I$34*P14/P$17,0)</f>
        <v>0</v>
      </c>
      <c r="L14" s="172"/>
      <c r="M14" s="173">
        <f>트위스팅!H90+트위스팅!H91</f>
        <v>42061065</v>
      </c>
      <c r="N14" s="174">
        <f t="shared" si="1"/>
        <v>330009345.21978545</v>
      </c>
      <c r="O14" s="175"/>
      <c r="P14" s="165">
        <f t="shared" si="2"/>
        <v>322468165</v>
      </c>
    </row>
    <row r="15" spans="1:16" s="165" customFormat="1" ht="25.5" customHeight="1">
      <c r="A15" s="166">
        <f t="shared" si="0"/>
        <v>9</v>
      </c>
      <c r="B15" s="167" t="str">
        <f>하부컷팅!C$1</f>
        <v>하부컷팅</v>
      </c>
      <c r="C15" s="166" t="s">
        <v>116</v>
      </c>
      <c r="D15" s="168">
        <f>하부컷팅!H55</f>
        <v>93525800</v>
      </c>
      <c r="E15" s="169">
        <f>하부컷팅!H56</f>
        <v>0</v>
      </c>
      <c r="F15" s="169">
        <f>하부컷팅!H57+하부컷팅!H58+하부컷팅!H59+하부컷팅!H60</f>
        <v>0</v>
      </c>
      <c r="G15" s="169">
        <f>하부컷팅!H61+하부컷팅!H72</f>
        <v>0</v>
      </c>
      <c r="H15" s="169">
        <f>하부컷팅!H63</f>
        <v>0</v>
      </c>
      <c r="I15" s="170">
        <f>IF($B15&gt;0,'원가항목별(집계)'!I$38*$P15/$P$17,0)</f>
        <v>2515253.4047804414</v>
      </c>
      <c r="J15" s="171">
        <f t="shared" si="3"/>
        <v>96041053.404780447</v>
      </c>
      <c r="K15" s="172">
        <f>IF(B15&gt;0,'원가항목별(집계)'!I$34*P15/P$17,0)</f>
        <v>0</v>
      </c>
      <c r="L15" s="172"/>
      <c r="M15" s="173">
        <f>하부컷팅!H66+하부컷팅!H67</f>
        <v>14028870</v>
      </c>
      <c r="N15" s="174">
        <f t="shared" si="1"/>
        <v>110069923.40478045</v>
      </c>
      <c r="O15" s="175"/>
      <c r="P15" s="165">
        <f t="shared" si="2"/>
        <v>107554670</v>
      </c>
    </row>
    <row r="16" spans="1:16" s="165" customFormat="1" ht="25.5" customHeight="1">
      <c r="A16" s="176">
        <f t="shared" si="0"/>
        <v>10</v>
      </c>
      <c r="B16" s="177" t="str">
        <f>'납품, 현지설치 및 이벤트 양산대응'!C$1</f>
        <v>납품, 현지설치 및 이벤트 양산대응</v>
      </c>
      <c r="C16" s="176" t="s">
        <v>116</v>
      </c>
      <c r="D16" s="178">
        <f>'납품, 현지설치 및 이벤트 양산대응'!H64</f>
        <v>0</v>
      </c>
      <c r="E16" s="179">
        <f>'납품, 현지설치 및 이벤트 양산대응'!H65</f>
        <v>0</v>
      </c>
      <c r="F16" s="179">
        <f>'납품, 현지설치 및 이벤트 양산대응'!H66+'납품, 현지설치 및 이벤트 양산대응'!H67+'납품, 현지설치 및 이벤트 양산대응'!H68+'납품, 현지설치 및 이벤트 양산대응'!H72</f>
        <v>0</v>
      </c>
      <c r="G16" s="179">
        <f>'납품, 현지설치 및 이벤트 양산대응'!H69+'납품, 현지설치 및 이벤트 양산대응'!H70</f>
        <v>0</v>
      </c>
      <c r="H16" s="179">
        <f>'납품, 현지설치 및 이벤트 양산대응'!H71</f>
        <v>0</v>
      </c>
      <c r="I16" s="180">
        <f>IF($B16&gt;0,'원가항목별(집계)'!I$38*$P16/$P$17,0)</f>
        <v>7992803.1826591939</v>
      </c>
      <c r="J16" s="181">
        <f t="shared" si="3"/>
        <v>7992803.1826591939</v>
      </c>
      <c r="K16" s="182">
        <f>IF(B16&gt;0,'원가항목별(집계)'!I$34*P16/P$17,0)</f>
        <v>0</v>
      </c>
      <c r="L16" s="182"/>
      <c r="M16" s="183">
        <f>'납품, 현지설치 및 이벤트 양산대응'!H75+'납품, 현지설치 및 이벤트 양산대응'!H76</f>
        <v>341780000</v>
      </c>
      <c r="N16" s="184">
        <f t="shared" si="1"/>
        <v>349772803.18265921</v>
      </c>
      <c r="O16" s="185"/>
      <c r="P16" s="165">
        <f t="shared" si="2"/>
        <v>341780000</v>
      </c>
    </row>
    <row r="17" spans="1:16" s="165" customFormat="1" ht="33" customHeight="1">
      <c r="A17" s="488" t="s">
        <v>117</v>
      </c>
      <c r="B17" s="489"/>
      <c r="C17" s="490"/>
      <c r="D17" s="186">
        <f t="shared" ref="D17:M17" si="4">SUM(D7:D16)</f>
        <v>2082540820</v>
      </c>
      <c r="E17" s="187">
        <f t="shared" si="4"/>
        <v>0</v>
      </c>
      <c r="F17" s="187">
        <f t="shared" si="4"/>
        <v>0</v>
      </c>
      <c r="G17" s="187">
        <f t="shared" si="4"/>
        <v>0</v>
      </c>
      <c r="H17" s="187">
        <f t="shared" si="4"/>
        <v>0</v>
      </c>
      <c r="I17" s="188">
        <f t="shared" si="4"/>
        <v>63999999.999999985</v>
      </c>
      <c r="J17" s="189">
        <f t="shared" si="3"/>
        <v>2146540820</v>
      </c>
      <c r="K17" s="190">
        <f>SUM(K7:K16)</f>
        <v>0</v>
      </c>
      <c r="L17" s="190">
        <f t="shared" si="4"/>
        <v>0</v>
      </c>
      <c r="M17" s="191">
        <f t="shared" si="4"/>
        <v>654161123</v>
      </c>
      <c r="N17" s="192">
        <f>SUM(N7:N16)</f>
        <v>2800701943</v>
      </c>
      <c r="O17" s="193"/>
      <c r="P17" s="165">
        <f>SUM(P7:P16)</f>
        <v>2736701943</v>
      </c>
    </row>
    <row r="18" spans="1:16" s="206" customFormat="1" ht="18.75" customHeight="1">
      <c r="A18" s="194"/>
      <c r="B18" s="195"/>
      <c r="C18" s="196"/>
      <c r="D18" s="197">
        <f t="shared" ref="D18:N18" si="5">IF(D17=0,"",D17/$N17)</f>
        <v>0.74357816803928289</v>
      </c>
      <c r="E18" s="198" t="str">
        <f t="shared" si="5"/>
        <v/>
      </c>
      <c r="F18" s="198" t="str">
        <f t="shared" si="5"/>
        <v/>
      </c>
      <c r="G18" s="198" t="str">
        <f t="shared" si="5"/>
        <v/>
      </c>
      <c r="H18" s="198" t="str">
        <f t="shared" si="5"/>
        <v/>
      </c>
      <c r="I18" s="199">
        <f t="shared" si="5"/>
        <v>2.285141414635709E-2</v>
      </c>
      <c r="J18" s="200">
        <f t="shared" si="5"/>
        <v>0.76642958218563995</v>
      </c>
      <c r="K18" s="201" t="str">
        <f t="shared" si="5"/>
        <v/>
      </c>
      <c r="L18" s="202" t="str">
        <f t="shared" si="5"/>
        <v/>
      </c>
      <c r="M18" s="203">
        <f t="shared" si="5"/>
        <v>0.23357041781436005</v>
      </c>
      <c r="N18" s="204">
        <f t="shared" si="5"/>
        <v>1</v>
      </c>
      <c r="O18" s="205"/>
    </row>
    <row r="19" spans="1:16" ht="28.5" customHeight="1">
      <c r="A19" s="130" t="s">
        <v>118</v>
      </c>
      <c r="H19" s="207"/>
      <c r="I19" s="207"/>
      <c r="J19" s="207"/>
      <c r="K19" s="207"/>
      <c r="L19" s="207"/>
    </row>
    <row r="20" spans="1:16" ht="17.25" customHeight="1">
      <c r="H20" s="208"/>
      <c r="I20" s="208"/>
      <c r="J20" s="208"/>
      <c r="K20" s="208"/>
      <c r="L20" s="208"/>
      <c r="M20" s="209"/>
      <c r="N20" s="210" t="str">
        <f>IF('원가항목별(집계)'!I42='단위공사별(집계)'!N17,"","DATA오류입니다!")</f>
        <v/>
      </c>
    </row>
    <row r="21" spans="1:16" ht="17.25" customHeight="1">
      <c r="H21" s="211"/>
      <c r="I21" s="211"/>
      <c r="J21" s="211"/>
      <c r="K21" s="211"/>
      <c r="L21" s="211"/>
      <c r="N21" s="211"/>
    </row>
    <row r="22" spans="1:16" ht="17.25" customHeight="1">
      <c r="H22" s="165"/>
      <c r="I22" s="165"/>
      <c r="J22" s="165"/>
      <c r="L22" s="165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DCF8-0EFC-48D0-BC4B-9302C77AC7F0}">
  <sheetPr>
    <tabColor rgb="FF00B050"/>
    <pageSetUpPr fitToPage="1"/>
  </sheetPr>
  <dimension ref="A1:K68"/>
  <sheetViews>
    <sheetView zoomScale="85" workbookViewId="0">
      <pane xSplit="3" ySplit="2" topLeftCell="D36" activePane="bottomRight" state="frozen"/>
      <selection activeCell="K5" sqref="K5"/>
      <selection pane="topRight" activeCell="K5" sqref="K5"/>
      <selection pane="bottomLeft" activeCell="K5" sqref="K5"/>
      <selection pane="bottomRight" activeCell="L48" sqref="L48"/>
    </sheetView>
  </sheetViews>
  <sheetFormatPr defaultColWidth="9" defaultRowHeight="13.5"/>
  <cols>
    <col min="1" max="1" width="5" style="130" customWidth="1"/>
    <col min="2" max="2" width="13" style="130" customWidth="1"/>
    <col min="3" max="3" width="23.625" style="130" customWidth="1"/>
    <col min="4" max="4" width="18.25" style="130" customWidth="1"/>
    <col min="5" max="5" width="5.25" style="136" bestFit="1" customWidth="1"/>
    <col min="6" max="6" width="6.75" style="304" customWidth="1"/>
    <col min="7" max="7" width="11.875" style="165" customWidth="1"/>
    <col min="8" max="8" width="13.625" style="165" customWidth="1"/>
    <col min="9" max="9" width="12.75" style="130" customWidth="1"/>
    <col min="10" max="10" width="9.25" style="130" customWidth="1"/>
    <col min="11" max="11" width="11.5" style="130" bestFit="1" customWidth="1"/>
    <col min="12" max="256" width="9" style="130"/>
    <col min="257" max="257" width="5" style="130" customWidth="1"/>
    <col min="258" max="258" width="13" style="130" customWidth="1"/>
    <col min="259" max="259" width="23.625" style="130" customWidth="1"/>
    <col min="260" max="260" width="18.25" style="130" customWidth="1"/>
    <col min="261" max="261" width="5.25" style="130" bestFit="1" customWidth="1"/>
    <col min="262" max="262" width="6.75" style="130" customWidth="1"/>
    <col min="263" max="263" width="11.875" style="130" customWidth="1"/>
    <col min="264" max="264" width="13.625" style="130" customWidth="1"/>
    <col min="265" max="265" width="12.75" style="130" customWidth="1"/>
    <col min="266" max="266" width="9.25" style="130" customWidth="1"/>
    <col min="267" max="267" width="11.5" style="130" bestFit="1" customWidth="1"/>
    <col min="268" max="512" width="9" style="130"/>
    <col min="513" max="513" width="5" style="130" customWidth="1"/>
    <col min="514" max="514" width="13" style="130" customWidth="1"/>
    <col min="515" max="515" width="23.625" style="130" customWidth="1"/>
    <col min="516" max="516" width="18.25" style="130" customWidth="1"/>
    <col min="517" max="517" width="5.25" style="130" bestFit="1" customWidth="1"/>
    <col min="518" max="518" width="6.75" style="130" customWidth="1"/>
    <col min="519" max="519" width="11.875" style="130" customWidth="1"/>
    <col min="520" max="520" width="13.625" style="130" customWidth="1"/>
    <col min="521" max="521" width="12.75" style="130" customWidth="1"/>
    <col min="522" max="522" width="9.25" style="130" customWidth="1"/>
    <col min="523" max="523" width="11.5" style="130" bestFit="1" customWidth="1"/>
    <col min="524" max="768" width="9" style="130"/>
    <col min="769" max="769" width="5" style="130" customWidth="1"/>
    <col min="770" max="770" width="13" style="130" customWidth="1"/>
    <col min="771" max="771" width="23.625" style="130" customWidth="1"/>
    <col min="772" max="772" width="18.25" style="130" customWidth="1"/>
    <col min="773" max="773" width="5.25" style="130" bestFit="1" customWidth="1"/>
    <col min="774" max="774" width="6.75" style="130" customWidth="1"/>
    <col min="775" max="775" width="11.875" style="130" customWidth="1"/>
    <col min="776" max="776" width="13.625" style="130" customWidth="1"/>
    <col min="777" max="777" width="12.75" style="130" customWidth="1"/>
    <col min="778" max="778" width="9.25" style="130" customWidth="1"/>
    <col min="779" max="779" width="11.5" style="130" bestFit="1" customWidth="1"/>
    <col min="780" max="1024" width="9" style="130"/>
    <col min="1025" max="1025" width="5" style="130" customWidth="1"/>
    <col min="1026" max="1026" width="13" style="130" customWidth="1"/>
    <col min="1027" max="1027" width="23.625" style="130" customWidth="1"/>
    <col min="1028" max="1028" width="18.25" style="130" customWidth="1"/>
    <col min="1029" max="1029" width="5.25" style="130" bestFit="1" customWidth="1"/>
    <col min="1030" max="1030" width="6.75" style="130" customWidth="1"/>
    <col min="1031" max="1031" width="11.875" style="130" customWidth="1"/>
    <col min="1032" max="1032" width="13.625" style="130" customWidth="1"/>
    <col min="1033" max="1033" width="12.75" style="130" customWidth="1"/>
    <col min="1034" max="1034" width="9.25" style="130" customWidth="1"/>
    <col min="1035" max="1035" width="11.5" style="130" bestFit="1" customWidth="1"/>
    <col min="1036" max="1280" width="9" style="130"/>
    <col min="1281" max="1281" width="5" style="130" customWidth="1"/>
    <col min="1282" max="1282" width="13" style="130" customWidth="1"/>
    <col min="1283" max="1283" width="23.625" style="130" customWidth="1"/>
    <col min="1284" max="1284" width="18.25" style="130" customWidth="1"/>
    <col min="1285" max="1285" width="5.25" style="130" bestFit="1" customWidth="1"/>
    <col min="1286" max="1286" width="6.75" style="130" customWidth="1"/>
    <col min="1287" max="1287" width="11.875" style="130" customWidth="1"/>
    <col min="1288" max="1288" width="13.625" style="130" customWidth="1"/>
    <col min="1289" max="1289" width="12.75" style="130" customWidth="1"/>
    <col min="1290" max="1290" width="9.25" style="130" customWidth="1"/>
    <col min="1291" max="1291" width="11.5" style="130" bestFit="1" customWidth="1"/>
    <col min="1292" max="1536" width="9" style="130"/>
    <col min="1537" max="1537" width="5" style="130" customWidth="1"/>
    <col min="1538" max="1538" width="13" style="130" customWidth="1"/>
    <col min="1539" max="1539" width="23.625" style="130" customWidth="1"/>
    <col min="1540" max="1540" width="18.25" style="130" customWidth="1"/>
    <col min="1541" max="1541" width="5.25" style="130" bestFit="1" customWidth="1"/>
    <col min="1542" max="1542" width="6.75" style="130" customWidth="1"/>
    <col min="1543" max="1543" width="11.875" style="130" customWidth="1"/>
    <col min="1544" max="1544" width="13.625" style="130" customWidth="1"/>
    <col min="1545" max="1545" width="12.75" style="130" customWidth="1"/>
    <col min="1546" max="1546" width="9.25" style="130" customWidth="1"/>
    <col min="1547" max="1547" width="11.5" style="130" bestFit="1" customWidth="1"/>
    <col min="1548" max="1792" width="9" style="130"/>
    <col min="1793" max="1793" width="5" style="130" customWidth="1"/>
    <col min="1794" max="1794" width="13" style="130" customWidth="1"/>
    <col min="1795" max="1795" width="23.625" style="130" customWidth="1"/>
    <col min="1796" max="1796" width="18.25" style="130" customWidth="1"/>
    <col min="1797" max="1797" width="5.25" style="130" bestFit="1" customWidth="1"/>
    <col min="1798" max="1798" width="6.75" style="130" customWidth="1"/>
    <col min="1799" max="1799" width="11.875" style="130" customWidth="1"/>
    <col min="1800" max="1800" width="13.625" style="130" customWidth="1"/>
    <col min="1801" max="1801" width="12.75" style="130" customWidth="1"/>
    <col min="1802" max="1802" width="9.25" style="130" customWidth="1"/>
    <col min="1803" max="1803" width="11.5" style="130" bestFit="1" customWidth="1"/>
    <col min="1804" max="2048" width="9" style="130"/>
    <col min="2049" max="2049" width="5" style="130" customWidth="1"/>
    <col min="2050" max="2050" width="13" style="130" customWidth="1"/>
    <col min="2051" max="2051" width="23.625" style="130" customWidth="1"/>
    <col min="2052" max="2052" width="18.25" style="130" customWidth="1"/>
    <col min="2053" max="2053" width="5.25" style="130" bestFit="1" customWidth="1"/>
    <col min="2054" max="2054" width="6.75" style="130" customWidth="1"/>
    <col min="2055" max="2055" width="11.875" style="130" customWidth="1"/>
    <col min="2056" max="2056" width="13.625" style="130" customWidth="1"/>
    <col min="2057" max="2057" width="12.75" style="130" customWidth="1"/>
    <col min="2058" max="2058" width="9.25" style="130" customWidth="1"/>
    <col min="2059" max="2059" width="11.5" style="130" bestFit="1" customWidth="1"/>
    <col min="2060" max="2304" width="9" style="130"/>
    <col min="2305" max="2305" width="5" style="130" customWidth="1"/>
    <col min="2306" max="2306" width="13" style="130" customWidth="1"/>
    <col min="2307" max="2307" width="23.625" style="130" customWidth="1"/>
    <col min="2308" max="2308" width="18.25" style="130" customWidth="1"/>
    <col min="2309" max="2309" width="5.25" style="130" bestFit="1" customWidth="1"/>
    <col min="2310" max="2310" width="6.75" style="130" customWidth="1"/>
    <col min="2311" max="2311" width="11.875" style="130" customWidth="1"/>
    <col min="2312" max="2312" width="13.625" style="130" customWidth="1"/>
    <col min="2313" max="2313" width="12.75" style="130" customWidth="1"/>
    <col min="2314" max="2314" width="9.25" style="130" customWidth="1"/>
    <col min="2315" max="2315" width="11.5" style="130" bestFit="1" customWidth="1"/>
    <col min="2316" max="2560" width="9" style="130"/>
    <col min="2561" max="2561" width="5" style="130" customWidth="1"/>
    <col min="2562" max="2562" width="13" style="130" customWidth="1"/>
    <col min="2563" max="2563" width="23.625" style="130" customWidth="1"/>
    <col min="2564" max="2564" width="18.25" style="130" customWidth="1"/>
    <col min="2565" max="2565" width="5.25" style="130" bestFit="1" customWidth="1"/>
    <col min="2566" max="2566" width="6.75" style="130" customWidth="1"/>
    <col min="2567" max="2567" width="11.875" style="130" customWidth="1"/>
    <col min="2568" max="2568" width="13.625" style="130" customWidth="1"/>
    <col min="2569" max="2569" width="12.75" style="130" customWidth="1"/>
    <col min="2570" max="2570" width="9.25" style="130" customWidth="1"/>
    <col min="2571" max="2571" width="11.5" style="130" bestFit="1" customWidth="1"/>
    <col min="2572" max="2816" width="9" style="130"/>
    <col min="2817" max="2817" width="5" style="130" customWidth="1"/>
    <col min="2818" max="2818" width="13" style="130" customWidth="1"/>
    <col min="2819" max="2819" width="23.625" style="130" customWidth="1"/>
    <col min="2820" max="2820" width="18.25" style="130" customWidth="1"/>
    <col min="2821" max="2821" width="5.25" style="130" bestFit="1" customWidth="1"/>
    <col min="2822" max="2822" width="6.75" style="130" customWidth="1"/>
    <col min="2823" max="2823" width="11.875" style="130" customWidth="1"/>
    <col min="2824" max="2824" width="13.625" style="130" customWidth="1"/>
    <col min="2825" max="2825" width="12.75" style="130" customWidth="1"/>
    <col min="2826" max="2826" width="9.25" style="130" customWidth="1"/>
    <col min="2827" max="2827" width="11.5" style="130" bestFit="1" customWidth="1"/>
    <col min="2828" max="3072" width="9" style="130"/>
    <col min="3073" max="3073" width="5" style="130" customWidth="1"/>
    <col min="3074" max="3074" width="13" style="130" customWidth="1"/>
    <col min="3075" max="3075" width="23.625" style="130" customWidth="1"/>
    <col min="3076" max="3076" width="18.25" style="130" customWidth="1"/>
    <col min="3077" max="3077" width="5.25" style="130" bestFit="1" customWidth="1"/>
    <col min="3078" max="3078" width="6.75" style="130" customWidth="1"/>
    <col min="3079" max="3079" width="11.875" style="130" customWidth="1"/>
    <col min="3080" max="3080" width="13.625" style="130" customWidth="1"/>
    <col min="3081" max="3081" width="12.75" style="130" customWidth="1"/>
    <col min="3082" max="3082" width="9.25" style="130" customWidth="1"/>
    <col min="3083" max="3083" width="11.5" style="130" bestFit="1" customWidth="1"/>
    <col min="3084" max="3328" width="9" style="130"/>
    <col min="3329" max="3329" width="5" style="130" customWidth="1"/>
    <col min="3330" max="3330" width="13" style="130" customWidth="1"/>
    <col min="3331" max="3331" width="23.625" style="130" customWidth="1"/>
    <col min="3332" max="3332" width="18.25" style="130" customWidth="1"/>
    <col min="3333" max="3333" width="5.25" style="130" bestFit="1" customWidth="1"/>
    <col min="3334" max="3334" width="6.75" style="130" customWidth="1"/>
    <col min="3335" max="3335" width="11.875" style="130" customWidth="1"/>
    <col min="3336" max="3336" width="13.625" style="130" customWidth="1"/>
    <col min="3337" max="3337" width="12.75" style="130" customWidth="1"/>
    <col min="3338" max="3338" width="9.25" style="130" customWidth="1"/>
    <col min="3339" max="3339" width="11.5" style="130" bestFit="1" customWidth="1"/>
    <col min="3340" max="3584" width="9" style="130"/>
    <col min="3585" max="3585" width="5" style="130" customWidth="1"/>
    <col min="3586" max="3586" width="13" style="130" customWidth="1"/>
    <col min="3587" max="3587" width="23.625" style="130" customWidth="1"/>
    <col min="3588" max="3588" width="18.25" style="130" customWidth="1"/>
    <col min="3589" max="3589" width="5.25" style="130" bestFit="1" customWidth="1"/>
    <col min="3590" max="3590" width="6.75" style="130" customWidth="1"/>
    <col min="3591" max="3591" width="11.875" style="130" customWidth="1"/>
    <col min="3592" max="3592" width="13.625" style="130" customWidth="1"/>
    <col min="3593" max="3593" width="12.75" style="130" customWidth="1"/>
    <col min="3594" max="3594" width="9.25" style="130" customWidth="1"/>
    <col min="3595" max="3595" width="11.5" style="130" bestFit="1" customWidth="1"/>
    <col min="3596" max="3840" width="9" style="130"/>
    <col min="3841" max="3841" width="5" style="130" customWidth="1"/>
    <col min="3842" max="3842" width="13" style="130" customWidth="1"/>
    <col min="3843" max="3843" width="23.625" style="130" customWidth="1"/>
    <col min="3844" max="3844" width="18.25" style="130" customWidth="1"/>
    <col min="3845" max="3845" width="5.25" style="130" bestFit="1" customWidth="1"/>
    <col min="3846" max="3846" width="6.75" style="130" customWidth="1"/>
    <col min="3847" max="3847" width="11.875" style="130" customWidth="1"/>
    <col min="3848" max="3848" width="13.625" style="130" customWidth="1"/>
    <col min="3849" max="3849" width="12.75" style="130" customWidth="1"/>
    <col min="3850" max="3850" width="9.25" style="130" customWidth="1"/>
    <col min="3851" max="3851" width="11.5" style="130" bestFit="1" customWidth="1"/>
    <col min="3852" max="4096" width="9" style="130"/>
    <col min="4097" max="4097" width="5" style="130" customWidth="1"/>
    <col min="4098" max="4098" width="13" style="130" customWidth="1"/>
    <col min="4099" max="4099" width="23.625" style="130" customWidth="1"/>
    <col min="4100" max="4100" width="18.25" style="130" customWidth="1"/>
    <col min="4101" max="4101" width="5.25" style="130" bestFit="1" customWidth="1"/>
    <col min="4102" max="4102" width="6.75" style="130" customWidth="1"/>
    <col min="4103" max="4103" width="11.875" style="130" customWidth="1"/>
    <col min="4104" max="4104" width="13.625" style="130" customWidth="1"/>
    <col min="4105" max="4105" width="12.75" style="130" customWidth="1"/>
    <col min="4106" max="4106" width="9.25" style="130" customWidth="1"/>
    <col min="4107" max="4107" width="11.5" style="130" bestFit="1" customWidth="1"/>
    <col min="4108" max="4352" width="9" style="130"/>
    <col min="4353" max="4353" width="5" style="130" customWidth="1"/>
    <col min="4354" max="4354" width="13" style="130" customWidth="1"/>
    <col min="4355" max="4355" width="23.625" style="130" customWidth="1"/>
    <col min="4356" max="4356" width="18.25" style="130" customWidth="1"/>
    <col min="4357" max="4357" width="5.25" style="130" bestFit="1" customWidth="1"/>
    <col min="4358" max="4358" width="6.75" style="130" customWidth="1"/>
    <col min="4359" max="4359" width="11.875" style="130" customWidth="1"/>
    <col min="4360" max="4360" width="13.625" style="130" customWidth="1"/>
    <col min="4361" max="4361" width="12.75" style="130" customWidth="1"/>
    <col min="4362" max="4362" width="9.25" style="130" customWidth="1"/>
    <col min="4363" max="4363" width="11.5" style="130" bestFit="1" customWidth="1"/>
    <col min="4364" max="4608" width="9" style="130"/>
    <col min="4609" max="4609" width="5" style="130" customWidth="1"/>
    <col min="4610" max="4610" width="13" style="130" customWidth="1"/>
    <col min="4611" max="4611" width="23.625" style="130" customWidth="1"/>
    <col min="4612" max="4612" width="18.25" style="130" customWidth="1"/>
    <col min="4613" max="4613" width="5.25" style="130" bestFit="1" customWidth="1"/>
    <col min="4614" max="4614" width="6.75" style="130" customWidth="1"/>
    <col min="4615" max="4615" width="11.875" style="130" customWidth="1"/>
    <col min="4616" max="4616" width="13.625" style="130" customWidth="1"/>
    <col min="4617" max="4617" width="12.75" style="130" customWidth="1"/>
    <col min="4618" max="4618" width="9.25" style="130" customWidth="1"/>
    <col min="4619" max="4619" width="11.5" style="130" bestFit="1" customWidth="1"/>
    <col min="4620" max="4864" width="9" style="130"/>
    <col min="4865" max="4865" width="5" style="130" customWidth="1"/>
    <col min="4866" max="4866" width="13" style="130" customWidth="1"/>
    <col min="4867" max="4867" width="23.625" style="130" customWidth="1"/>
    <col min="4868" max="4868" width="18.25" style="130" customWidth="1"/>
    <col min="4869" max="4869" width="5.25" style="130" bestFit="1" customWidth="1"/>
    <col min="4870" max="4870" width="6.75" style="130" customWidth="1"/>
    <col min="4871" max="4871" width="11.875" style="130" customWidth="1"/>
    <col min="4872" max="4872" width="13.625" style="130" customWidth="1"/>
    <col min="4873" max="4873" width="12.75" style="130" customWidth="1"/>
    <col min="4874" max="4874" width="9.25" style="130" customWidth="1"/>
    <col min="4875" max="4875" width="11.5" style="130" bestFit="1" customWidth="1"/>
    <col min="4876" max="5120" width="9" style="130"/>
    <col min="5121" max="5121" width="5" style="130" customWidth="1"/>
    <col min="5122" max="5122" width="13" style="130" customWidth="1"/>
    <col min="5123" max="5123" width="23.625" style="130" customWidth="1"/>
    <col min="5124" max="5124" width="18.25" style="130" customWidth="1"/>
    <col min="5125" max="5125" width="5.25" style="130" bestFit="1" customWidth="1"/>
    <col min="5126" max="5126" width="6.75" style="130" customWidth="1"/>
    <col min="5127" max="5127" width="11.875" style="130" customWidth="1"/>
    <col min="5128" max="5128" width="13.625" style="130" customWidth="1"/>
    <col min="5129" max="5129" width="12.75" style="130" customWidth="1"/>
    <col min="5130" max="5130" width="9.25" style="130" customWidth="1"/>
    <col min="5131" max="5131" width="11.5" style="130" bestFit="1" customWidth="1"/>
    <col min="5132" max="5376" width="9" style="130"/>
    <col min="5377" max="5377" width="5" style="130" customWidth="1"/>
    <col min="5378" max="5378" width="13" style="130" customWidth="1"/>
    <col min="5379" max="5379" width="23.625" style="130" customWidth="1"/>
    <col min="5380" max="5380" width="18.25" style="130" customWidth="1"/>
    <col min="5381" max="5381" width="5.25" style="130" bestFit="1" customWidth="1"/>
    <col min="5382" max="5382" width="6.75" style="130" customWidth="1"/>
    <col min="5383" max="5383" width="11.875" style="130" customWidth="1"/>
    <col min="5384" max="5384" width="13.625" style="130" customWidth="1"/>
    <col min="5385" max="5385" width="12.75" style="130" customWidth="1"/>
    <col min="5386" max="5386" width="9.25" style="130" customWidth="1"/>
    <col min="5387" max="5387" width="11.5" style="130" bestFit="1" customWidth="1"/>
    <col min="5388" max="5632" width="9" style="130"/>
    <col min="5633" max="5633" width="5" style="130" customWidth="1"/>
    <col min="5634" max="5634" width="13" style="130" customWidth="1"/>
    <col min="5635" max="5635" width="23.625" style="130" customWidth="1"/>
    <col min="5636" max="5636" width="18.25" style="130" customWidth="1"/>
    <col min="5637" max="5637" width="5.25" style="130" bestFit="1" customWidth="1"/>
    <col min="5638" max="5638" width="6.75" style="130" customWidth="1"/>
    <col min="5639" max="5639" width="11.875" style="130" customWidth="1"/>
    <col min="5640" max="5640" width="13.625" style="130" customWidth="1"/>
    <col min="5641" max="5641" width="12.75" style="130" customWidth="1"/>
    <col min="5642" max="5642" width="9.25" style="130" customWidth="1"/>
    <col min="5643" max="5643" width="11.5" style="130" bestFit="1" customWidth="1"/>
    <col min="5644" max="5888" width="9" style="130"/>
    <col min="5889" max="5889" width="5" style="130" customWidth="1"/>
    <col min="5890" max="5890" width="13" style="130" customWidth="1"/>
    <col min="5891" max="5891" width="23.625" style="130" customWidth="1"/>
    <col min="5892" max="5892" width="18.25" style="130" customWidth="1"/>
    <col min="5893" max="5893" width="5.25" style="130" bestFit="1" customWidth="1"/>
    <col min="5894" max="5894" width="6.75" style="130" customWidth="1"/>
    <col min="5895" max="5895" width="11.875" style="130" customWidth="1"/>
    <col min="5896" max="5896" width="13.625" style="130" customWidth="1"/>
    <col min="5897" max="5897" width="12.75" style="130" customWidth="1"/>
    <col min="5898" max="5898" width="9.25" style="130" customWidth="1"/>
    <col min="5899" max="5899" width="11.5" style="130" bestFit="1" customWidth="1"/>
    <col min="5900" max="6144" width="9" style="130"/>
    <col min="6145" max="6145" width="5" style="130" customWidth="1"/>
    <col min="6146" max="6146" width="13" style="130" customWidth="1"/>
    <col min="6147" max="6147" width="23.625" style="130" customWidth="1"/>
    <col min="6148" max="6148" width="18.25" style="130" customWidth="1"/>
    <col min="6149" max="6149" width="5.25" style="130" bestFit="1" customWidth="1"/>
    <col min="6150" max="6150" width="6.75" style="130" customWidth="1"/>
    <col min="6151" max="6151" width="11.875" style="130" customWidth="1"/>
    <col min="6152" max="6152" width="13.625" style="130" customWidth="1"/>
    <col min="6153" max="6153" width="12.75" style="130" customWidth="1"/>
    <col min="6154" max="6154" width="9.25" style="130" customWidth="1"/>
    <col min="6155" max="6155" width="11.5" style="130" bestFit="1" customWidth="1"/>
    <col min="6156" max="6400" width="9" style="130"/>
    <col min="6401" max="6401" width="5" style="130" customWidth="1"/>
    <col min="6402" max="6402" width="13" style="130" customWidth="1"/>
    <col min="6403" max="6403" width="23.625" style="130" customWidth="1"/>
    <col min="6404" max="6404" width="18.25" style="130" customWidth="1"/>
    <col min="6405" max="6405" width="5.25" style="130" bestFit="1" customWidth="1"/>
    <col min="6406" max="6406" width="6.75" style="130" customWidth="1"/>
    <col min="6407" max="6407" width="11.875" style="130" customWidth="1"/>
    <col min="6408" max="6408" width="13.625" style="130" customWidth="1"/>
    <col min="6409" max="6409" width="12.75" style="130" customWidth="1"/>
    <col min="6410" max="6410" width="9.25" style="130" customWidth="1"/>
    <col min="6411" max="6411" width="11.5" style="130" bestFit="1" customWidth="1"/>
    <col min="6412" max="6656" width="9" style="130"/>
    <col min="6657" max="6657" width="5" style="130" customWidth="1"/>
    <col min="6658" max="6658" width="13" style="130" customWidth="1"/>
    <col min="6659" max="6659" width="23.625" style="130" customWidth="1"/>
    <col min="6660" max="6660" width="18.25" style="130" customWidth="1"/>
    <col min="6661" max="6661" width="5.25" style="130" bestFit="1" customWidth="1"/>
    <col min="6662" max="6662" width="6.75" style="130" customWidth="1"/>
    <col min="6663" max="6663" width="11.875" style="130" customWidth="1"/>
    <col min="6664" max="6664" width="13.625" style="130" customWidth="1"/>
    <col min="6665" max="6665" width="12.75" style="130" customWidth="1"/>
    <col min="6666" max="6666" width="9.25" style="130" customWidth="1"/>
    <col min="6667" max="6667" width="11.5" style="130" bestFit="1" customWidth="1"/>
    <col min="6668" max="6912" width="9" style="130"/>
    <col min="6913" max="6913" width="5" style="130" customWidth="1"/>
    <col min="6914" max="6914" width="13" style="130" customWidth="1"/>
    <col min="6915" max="6915" width="23.625" style="130" customWidth="1"/>
    <col min="6916" max="6916" width="18.25" style="130" customWidth="1"/>
    <col min="6917" max="6917" width="5.25" style="130" bestFit="1" customWidth="1"/>
    <col min="6918" max="6918" width="6.75" style="130" customWidth="1"/>
    <col min="6919" max="6919" width="11.875" style="130" customWidth="1"/>
    <col min="6920" max="6920" width="13.625" style="130" customWidth="1"/>
    <col min="6921" max="6921" width="12.75" style="130" customWidth="1"/>
    <col min="6922" max="6922" width="9.25" style="130" customWidth="1"/>
    <col min="6923" max="6923" width="11.5" style="130" bestFit="1" customWidth="1"/>
    <col min="6924" max="7168" width="9" style="130"/>
    <col min="7169" max="7169" width="5" style="130" customWidth="1"/>
    <col min="7170" max="7170" width="13" style="130" customWidth="1"/>
    <col min="7171" max="7171" width="23.625" style="130" customWidth="1"/>
    <col min="7172" max="7172" width="18.25" style="130" customWidth="1"/>
    <col min="7173" max="7173" width="5.25" style="130" bestFit="1" customWidth="1"/>
    <col min="7174" max="7174" width="6.75" style="130" customWidth="1"/>
    <col min="7175" max="7175" width="11.875" style="130" customWidth="1"/>
    <col min="7176" max="7176" width="13.625" style="130" customWidth="1"/>
    <col min="7177" max="7177" width="12.75" style="130" customWidth="1"/>
    <col min="7178" max="7178" width="9.25" style="130" customWidth="1"/>
    <col min="7179" max="7179" width="11.5" style="130" bestFit="1" customWidth="1"/>
    <col min="7180" max="7424" width="9" style="130"/>
    <col min="7425" max="7425" width="5" style="130" customWidth="1"/>
    <col min="7426" max="7426" width="13" style="130" customWidth="1"/>
    <col min="7427" max="7427" width="23.625" style="130" customWidth="1"/>
    <col min="7428" max="7428" width="18.25" style="130" customWidth="1"/>
    <col min="7429" max="7429" width="5.25" style="130" bestFit="1" customWidth="1"/>
    <col min="7430" max="7430" width="6.75" style="130" customWidth="1"/>
    <col min="7431" max="7431" width="11.875" style="130" customWidth="1"/>
    <col min="7432" max="7432" width="13.625" style="130" customWidth="1"/>
    <col min="7433" max="7433" width="12.75" style="130" customWidth="1"/>
    <col min="7434" max="7434" width="9.25" style="130" customWidth="1"/>
    <col min="7435" max="7435" width="11.5" style="130" bestFit="1" customWidth="1"/>
    <col min="7436" max="7680" width="9" style="130"/>
    <col min="7681" max="7681" width="5" style="130" customWidth="1"/>
    <col min="7682" max="7682" width="13" style="130" customWidth="1"/>
    <col min="7683" max="7683" width="23.625" style="130" customWidth="1"/>
    <col min="7684" max="7684" width="18.25" style="130" customWidth="1"/>
    <col min="7685" max="7685" width="5.25" style="130" bestFit="1" customWidth="1"/>
    <col min="7686" max="7686" width="6.75" style="130" customWidth="1"/>
    <col min="7687" max="7687" width="11.875" style="130" customWidth="1"/>
    <col min="7688" max="7688" width="13.625" style="130" customWidth="1"/>
    <col min="7689" max="7689" width="12.75" style="130" customWidth="1"/>
    <col min="7690" max="7690" width="9.25" style="130" customWidth="1"/>
    <col min="7691" max="7691" width="11.5" style="130" bestFit="1" customWidth="1"/>
    <col min="7692" max="7936" width="9" style="130"/>
    <col min="7937" max="7937" width="5" style="130" customWidth="1"/>
    <col min="7938" max="7938" width="13" style="130" customWidth="1"/>
    <col min="7939" max="7939" width="23.625" style="130" customWidth="1"/>
    <col min="7940" max="7940" width="18.25" style="130" customWidth="1"/>
    <col min="7941" max="7941" width="5.25" style="130" bestFit="1" customWidth="1"/>
    <col min="7942" max="7942" width="6.75" style="130" customWidth="1"/>
    <col min="7943" max="7943" width="11.875" style="130" customWidth="1"/>
    <col min="7944" max="7944" width="13.625" style="130" customWidth="1"/>
    <col min="7945" max="7945" width="12.75" style="130" customWidth="1"/>
    <col min="7946" max="7946" width="9.25" style="130" customWidth="1"/>
    <col min="7947" max="7947" width="11.5" style="130" bestFit="1" customWidth="1"/>
    <col min="7948" max="8192" width="9" style="130"/>
    <col min="8193" max="8193" width="5" style="130" customWidth="1"/>
    <col min="8194" max="8194" width="13" style="130" customWidth="1"/>
    <col min="8195" max="8195" width="23.625" style="130" customWidth="1"/>
    <col min="8196" max="8196" width="18.25" style="130" customWidth="1"/>
    <col min="8197" max="8197" width="5.25" style="130" bestFit="1" customWidth="1"/>
    <col min="8198" max="8198" width="6.75" style="130" customWidth="1"/>
    <col min="8199" max="8199" width="11.875" style="130" customWidth="1"/>
    <col min="8200" max="8200" width="13.625" style="130" customWidth="1"/>
    <col min="8201" max="8201" width="12.75" style="130" customWidth="1"/>
    <col min="8202" max="8202" width="9.25" style="130" customWidth="1"/>
    <col min="8203" max="8203" width="11.5" style="130" bestFit="1" customWidth="1"/>
    <col min="8204" max="8448" width="9" style="130"/>
    <col min="8449" max="8449" width="5" style="130" customWidth="1"/>
    <col min="8450" max="8450" width="13" style="130" customWidth="1"/>
    <col min="8451" max="8451" width="23.625" style="130" customWidth="1"/>
    <col min="8452" max="8452" width="18.25" style="130" customWidth="1"/>
    <col min="8453" max="8453" width="5.25" style="130" bestFit="1" customWidth="1"/>
    <col min="8454" max="8454" width="6.75" style="130" customWidth="1"/>
    <col min="8455" max="8455" width="11.875" style="130" customWidth="1"/>
    <col min="8456" max="8456" width="13.625" style="130" customWidth="1"/>
    <col min="8457" max="8457" width="12.75" style="130" customWidth="1"/>
    <col min="8458" max="8458" width="9.25" style="130" customWidth="1"/>
    <col min="8459" max="8459" width="11.5" style="130" bestFit="1" customWidth="1"/>
    <col min="8460" max="8704" width="9" style="130"/>
    <col min="8705" max="8705" width="5" style="130" customWidth="1"/>
    <col min="8706" max="8706" width="13" style="130" customWidth="1"/>
    <col min="8707" max="8707" width="23.625" style="130" customWidth="1"/>
    <col min="8708" max="8708" width="18.25" style="130" customWidth="1"/>
    <col min="8709" max="8709" width="5.25" style="130" bestFit="1" customWidth="1"/>
    <col min="8710" max="8710" width="6.75" style="130" customWidth="1"/>
    <col min="8711" max="8711" width="11.875" style="130" customWidth="1"/>
    <col min="8712" max="8712" width="13.625" style="130" customWidth="1"/>
    <col min="8713" max="8713" width="12.75" style="130" customWidth="1"/>
    <col min="8714" max="8714" width="9.25" style="130" customWidth="1"/>
    <col min="8715" max="8715" width="11.5" style="130" bestFit="1" customWidth="1"/>
    <col min="8716" max="8960" width="9" style="130"/>
    <col min="8961" max="8961" width="5" style="130" customWidth="1"/>
    <col min="8962" max="8962" width="13" style="130" customWidth="1"/>
    <col min="8963" max="8963" width="23.625" style="130" customWidth="1"/>
    <col min="8964" max="8964" width="18.25" style="130" customWidth="1"/>
    <col min="8965" max="8965" width="5.25" style="130" bestFit="1" customWidth="1"/>
    <col min="8966" max="8966" width="6.75" style="130" customWidth="1"/>
    <col min="8967" max="8967" width="11.875" style="130" customWidth="1"/>
    <col min="8968" max="8968" width="13.625" style="130" customWidth="1"/>
    <col min="8969" max="8969" width="12.75" style="130" customWidth="1"/>
    <col min="8970" max="8970" width="9.25" style="130" customWidth="1"/>
    <col min="8971" max="8971" width="11.5" style="130" bestFit="1" customWidth="1"/>
    <col min="8972" max="9216" width="9" style="130"/>
    <col min="9217" max="9217" width="5" style="130" customWidth="1"/>
    <col min="9218" max="9218" width="13" style="130" customWidth="1"/>
    <col min="9219" max="9219" width="23.625" style="130" customWidth="1"/>
    <col min="9220" max="9220" width="18.25" style="130" customWidth="1"/>
    <col min="9221" max="9221" width="5.25" style="130" bestFit="1" customWidth="1"/>
    <col min="9222" max="9222" width="6.75" style="130" customWidth="1"/>
    <col min="9223" max="9223" width="11.875" style="130" customWidth="1"/>
    <col min="9224" max="9224" width="13.625" style="130" customWidth="1"/>
    <col min="9225" max="9225" width="12.75" style="130" customWidth="1"/>
    <col min="9226" max="9226" width="9.25" style="130" customWidth="1"/>
    <col min="9227" max="9227" width="11.5" style="130" bestFit="1" customWidth="1"/>
    <col min="9228" max="9472" width="9" style="130"/>
    <col min="9473" max="9473" width="5" style="130" customWidth="1"/>
    <col min="9474" max="9474" width="13" style="130" customWidth="1"/>
    <col min="9475" max="9475" width="23.625" style="130" customWidth="1"/>
    <col min="9476" max="9476" width="18.25" style="130" customWidth="1"/>
    <col min="9477" max="9477" width="5.25" style="130" bestFit="1" customWidth="1"/>
    <col min="9478" max="9478" width="6.75" style="130" customWidth="1"/>
    <col min="9479" max="9479" width="11.875" style="130" customWidth="1"/>
    <col min="9480" max="9480" width="13.625" style="130" customWidth="1"/>
    <col min="9481" max="9481" width="12.75" style="130" customWidth="1"/>
    <col min="9482" max="9482" width="9.25" style="130" customWidth="1"/>
    <col min="9483" max="9483" width="11.5" style="130" bestFit="1" customWidth="1"/>
    <col min="9484" max="9728" width="9" style="130"/>
    <col min="9729" max="9729" width="5" style="130" customWidth="1"/>
    <col min="9730" max="9730" width="13" style="130" customWidth="1"/>
    <col min="9731" max="9731" width="23.625" style="130" customWidth="1"/>
    <col min="9732" max="9732" width="18.25" style="130" customWidth="1"/>
    <col min="9733" max="9733" width="5.25" style="130" bestFit="1" customWidth="1"/>
    <col min="9734" max="9734" width="6.75" style="130" customWidth="1"/>
    <col min="9735" max="9735" width="11.875" style="130" customWidth="1"/>
    <col min="9736" max="9736" width="13.625" style="130" customWidth="1"/>
    <col min="9737" max="9737" width="12.75" style="130" customWidth="1"/>
    <col min="9738" max="9738" width="9.25" style="130" customWidth="1"/>
    <col min="9739" max="9739" width="11.5" style="130" bestFit="1" customWidth="1"/>
    <col min="9740" max="9984" width="9" style="130"/>
    <col min="9985" max="9985" width="5" style="130" customWidth="1"/>
    <col min="9986" max="9986" width="13" style="130" customWidth="1"/>
    <col min="9987" max="9987" width="23.625" style="130" customWidth="1"/>
    <col min="9988" max="9988" width="18.25" style="130" customWidth="1"/>
    <col min="9989" max="9989" width="5.25" style="130" bestFit="1" customWidth="1"/>
    <col min="9990" max="9990" width="6.75" style="130" customWidth="1"/>
    <col min="9991" max="9991" width="11.875" style="130" customWidth="1"/>
    <col min="9992" max="9992" width="13.625" style="130" customWidth="1"/>
    <col min="9993" max="9993" width="12.75" style="130" customWidth="1"/>
    <col min="9994" max="9994" width="9.25" style="130" customWidth="1"/>
    <col min="9995" max="9995" width="11.5" style="130" bestFit="1" customWidth="1"/>
    <col min="9996" max="10240" width="9" style="130"/>
    <col min="10241" max="10241" width="5" style="130" customWidth="1"/>
    <col min="10242" max="10242" width="13" style="130" customWidth="1"/>
    <col min="10243" max="10243" width="23.625" style="130" customWidth="1"/>
    <col min="10244" max="10244" width="18.25" style="130" customWidth="1"/>
    <col min="10245" max="10245" width="5.25" style="130" bestFit="1" customWidth="1"/>
    <col min="10246" max="10246" width="6.75" style="130" customWidth="1"/>
    <col min="10247" max="10247" width="11.875" style="130" customWidth="1"/>
    <col min="10248" max="10248" width="13.625" style="130" customWidth="1"/>
    <col min="10249" max="10249" width="12.75" style="130" customWidth="1"/>
    <col min="10250" max="10250" width="9.25" style="130" customWidth="1"/>
    <col min="10251" max="10251" width="11.5" style="130" bestFit="1" customWidth="1"/>
    <col min="10252" max="10496" width="9" style="130"/>
    <col min="10497" max="10497" width="5" style="130" customWidth="1"/>
    <col min="10498" max="10498" width="13" style="130" customWidth="1"/>
    <col min="10499" max="10499" width="23.625" style="130" customWidth="1"/>
    <col min="10500" max="10500" width="18.25" style="130" customWidth="1"/>
    <col min="10501" max="10501" width="5.25" style="130" bestFit="1" customWidth="1"/>
    <col min="10502" max="10502" width="6.75" style="130" customWidth="1"/>
    <col min="10503" max="10503" width="11.875" style="130" customWidth="1"/>
    <col min="10504" max="10504" width="13.625" style="130" customWidth="1"/>
    <col min="10505" max="10505" width="12.75" style="130" customWidth="1"/>
    <col min="10506" max="10506" width="9.25" style="130" customWidth="1"/>
    <col min="10507" max="10507" width="11.5" style="130" bestFit="1" customWidth="1"/>
    <col min="10508" max="10752" width="9" style="130"/>
    <col min="10753" max="10753" width="5" style="130" customWidth="1"/>
    <col min="10754" max="10754" width="13" style="130" customWidth="1"/>
    <col min="10755" max="10755" width="23.625" style="130" customWidth="1"/>
    <col min="10756" max="10756" width="18.25" style="130" customWidth="1"/>
    <col min="10757" max="10757" width="5.25" style="130" bestFit="1" customWidth="1"/>
    <col min="10758" max="10758" width="6.75" style="130" customWidth="1"/>
    <col min="10759" max="10759" width="11.875" style="130" customWidth="1"/>
    <col min="10760" max="10760" width="13.625" style="130" customWidth="1"/>
    <col min="10761" max="10761" width="12.75" style="130" customWidth="1"/>
    <col min="10762" max="10762" width="9.25" style="130" customWidth="1"/>
    <col min="10763" max="10763" width="11.5" style="130" bestFit="1" customWidth="1"/>
    <col min="10764" max="11008" width="9" style="130"/>
    <col min="11009" max="11009" width="5" style="130" customWidth="1"/>
    <col min="11010" max="11010" width="13" style="130" customWidth="1"/>
    <col min="11011" max="11011" width="23.625" style="130" customWidth="1"/>
    <col min="11012" max="11012" width="18.25" style="130" customWidth="1"/>
    <col min="11013" max="11013" width="5.25" style="130" bestFit="1" customWidth="1"/>
    <col min="11014" max="11014" width="6.75" style="130" customWidth="1"/>
    <col min="11015" max="11015" width="11.875" style="130" customWidth="1"/>
    <col min="11016" max="11016" width="13.625" style="130" customWidth="1"/>
    <col min="11017" max="11017" width="12.75" style="130" customWidth="1"/>
    <col min="11018" max="11018" width="9.25" style="130" customWidth="1"/>
    <col min="11019" max="11019" width="11.5" style="130" bestFit="1" customWidth="1"/>
    <col min="11020" max="11264" width="9" style="130"/>
    <col min="11265" max="11265" width="5" style="130" customWidth="1"/>
    <col min="11266" max="11266" width="13" style="130" customWidth="1"/>
    <col min="11267" max="11267" width="23.625" style="130" customWidth="1"/>
    <col min="11268" max="11268" width="18.25" style="130" customWidth="1"/>
    <col min="11269" max="11269" width="5.25" style="130" bestFit="1" customWidth="1"/>
    <col min="11270" max="11270" width="6.75" style="130" customWidth="1"/>
    <col min="11271" max="11271" width="11.875" style="130" customWidth="1"/>
    <col min="11272" max="11272" width="13.625" style="130" customWidth="1"/>
    <col min="11273" max="11273" width="12.75" style="130" customWidth="1"/>
    <col min="11274" max="11274" width="9.25" style="130" customWidth="1"/>
    <col min="11275" max="11275" width="11.5" style="130" bestFit="1" customWidth="1"/>
    <col min="11276" max="11520" width="9" style="130"/>
    <col min="11521" max="11521" width="5" style="130" customWidth="1"/>
    <col min="11522" max="11522" width="13" style="130" customWidth="1"/>
    <col min="11523" max="11523" width="23.625" style="130" customWidth="1"/>
    <col min="11524" max="11524" width="18.25" style="130" customWidth="1"/>
    <col min="11525" max="11525" width="5.25" style="130" bestFit="1" customWidth="1"/>
    <col min="11526" max="11526" width="6.75" style="130" customWidth="1"/>
    <col min="11527" max="11527" width="11.875" style="130" customWidth="1"/>
    <col min="11528" max="11528" width="13.625" style="130" customWidth="1"/>
    <col min="11529" max="11529" width="12.75" style="130" customWidth="1"/>
    <col min="11530" max="11530" width="9.25" style="130" customWidth="1"/>
    <col min="11531" max="11531" width="11.5" style="130" bestFit="1" customWidth="1"/>
    <col min="11532" max="11776" width="9" style="130"/>
    <col min="11777" max="11777" width="5" style="130" customWidth="1"/>
    <col min="11778" max="11778" width="13" style="130" customWidth="1"/>
    <col min="11779" max="11779" width="23.625" style="130" customWidth="1"/>
    <col min="11780" max="11780" width="18.25" style="130" customWidth="1"/>
    <col min="11781" max="11781" width="5.25" style="130" bestFit="1" customWidth="1"/>
    <col min="11782" max="11782" width="6.75" style="130" customWidth="1"/>
    <col min="11783" max="11783" width="11.875" style="130" customWidth="1"/>
    <col min="11784" max="11784" width="13.625" style="130" customWidth="1"/>
    <col min="11785" max="11785" width="12.75" style="130" customWidth="1"/>
    <col min="11786" max="11786" width="9.25" style="130" customWidth="1"/>
    <col min="11787" max="11787" width="11.5" style="130" bestFit="1" customWidth="1"/>
    <col min="11788" max="12032" width="9" style="130"/>
    <col min="12033" max="12033" width="5" style="130" customWidth="1"/>
    <col min="12034" max="12034" width="13" style="130" customWidth="1"/>
    <col min="12035" max="12035" width="23.625" style="130" customWidth="1"/>
    <col min="12036" max="12036" width="18.25" style="130" customWidth="1"/>
    <col min="12037" max="12037" width="5.25" style="130" bestFit="1" customWidth="1"/>
    <col min="12038" max="12038" width="6.75" style="130" customWidth="1"/>
    <col min="12039" max="12039" width="11.875" style="130" customWidth="1"/>
    <col min="12040" max="12040" width="13.625" style="130" customWidth="1"/>
    <col min="12041" max="12041" width="12.75" style="130" customWidth="1"/>
    <col min="12042" max="12042" width="9.25" style="130" customWidth="1"/>
    <col min="12043" max="12043" width="11.5" style="130" bestFit="1" customWidth="1"/>
    <col min="12044" max="12288" width="9" style="130"/>
    <col min="12289" max="12289" width="5" style="130" customWidth="1"/>
    <col min="12290" max="12290" width="13" style="130" customWidth="1"/>
    <col min="12291" max="12291" width="23.625" style="130" customWidth="1"/>
    <col min="12292" max="12292" width="18.25" style="130" customWidth="1"/>
    <col min="12293" max="12293" width="5.25" style="130" bestFit="1" customWidth="1"/>
    <col min="12294" max="12294" width="6.75" style="130" customWidth="1"/>
    <col min="12295" max="12295" width="11.875" style="130" customWidth="1"/>
    <col min="12296" max="12296" width="13.625" style="130" customWidth="1"/>
    <col min="12297" max="12297" width="12.75" style="130" customWidth="1"/>
    <col min="12298" max="12298" width="9.25" style="130" customWidth="1"/>
    <col min="12299" max="12299" width="11.5" style="130" bestFit="1" customWidth="1"/>
    <col min="12300" max="12544" width="9" style="130"/>
    <col min="12545" max="12545" width="5" style="130" customWidth="1"/>
    <col min="12546" max="12546" width="13" style="130" customWidth="1"/>
    <col min="12547" max="12547" width="23.625" style="130" customWidth="1"/>
    <col min="12548" max="12548" width="18.25" style="130" customWidth="1"/>
    <col min="12549" max="12549" width="5.25" style="130" bestFit="1" customWidth="1"/>
    <col min="12550" max="12550" width="6.75" style="130" customWidth="1"/>
    <col min="12551" max="12551" width="11.875" style="130" customWidth="1"/>
    <col min="12552" max="12552" width="13.625" style="130" customWidth="1"/>
    <col min="12553" max="12553" width="12.75" style="130" customWidth="1"/>
    <col min="12554" max="12554" width="9.25" style="130" customWidth="1"/>
    <col min="12555" max="12555" width="11.5" style="130" bestFit="1" customWidth="1"/>
    <col min="12556" max="12800" width="9" style="130"/>
    <col min="12801" max="12801" width="5" style="130" customWidth="1"/>
    <col min="12802" max="12802" width="13" style="130" customWidth="1"/>
    <col min="12803" max="12803" width="23.625" style="130" customWidth="1"/>
    <col min="12804" max="12804" width="18.25" style="130" customWidth="1"/>
    <col min="12805" max="12805" width="5.25" style="130" bestFit="1" customWidth="1"/>
    <col min="12806" max="12806" width="6.75" style="130" customWidth="1"/>
    <col min="12807" max="12807" width="11.875" style="130" customWidth="1"/>
    <col min="12808" max="12808" width="13.625" style="130" customWidth="1"/>
    <col min="12809" max="12809" width="12.75" style="130" customWidth="1"/>
    <col min="12810" max="12810" width="9.25" style="130" customWidth="1"/>
    <col min="12811" max="12811" width="11.5" style="130" bestFit="1" customWidth="1"/>
    <col min="12812" max="13056" width="9" style="130"/>
    <col min="13057" max="13057" width="5" style="130" customWidth="1"/>
    <col min="13058" max="13058" width="13" style="130" customWidth="1"/>
    <col min="13059" max="13059" width="23.625" style="130" customWidth="1"/>
    <col min="13060" max="13060" width="18.25" style="130" customWidth="1"/>
    <col min="13061" max="13061" width="5.25" style="130" bestFit="1" customWidth="1"/>
    <col min="13062" max="13062" width="6.75" style="130" customWidth="1"/>
    <col min="13063" max="13063" width="11.875" style="130" customWidth="1"/>
    <col min="13064" max="13064" width="13.625" style="130" customWidth="1"/>
    <col min="13065" max="13065" width="12.75" style="130" customWidth="1"/>
    <col min="13066" max="13066" width="9.25" style="130" customWidth="1"/>
    <col min="13067" max="13067" width="11.5" style="130" bestFit="1" customWidth="1"/>
    <col min="13068" max="13312" width="9" style="130"/>
    <col min="13313" max="13313" width="5" style="130" customWidth="1"/>
    <col min="13314" max="13314" width="13" style="130" customWidth="1"/>
    <col min="13315" max="13315" width="23.625" style="130" customWidth="1"/>
    <col min="13316" max="13316" width="18.25" style="130" customWidth="1"/>
    <col min="13317" max="13317" width="5.25" style="130" bestFit="1" customWidth="1"/>
    <col min="13318" max="13318" width="6.75" style="130" customWidth="1"/>
    <col min="13319" max="13319" width="11.875" style="130" customWidth="1"/>
    <col min="13320" max="13320" width="13.625" style="130" customWidth="1"/>
    <col min="13321" max="13321" width="12.75" style="130" customWidth="1"/>
    <col min="13322" max="13322" width="9.25" style="130" customWidth="1"/>
    <col min="13323" max="13323" width="11.5" style="130" bestFit="1" customWidth="1"/>
    <col min="13324" max="13568" width="9" style="130"/>
    <col min="13569" max="13569" width="5" style="130" customWidth="1"/>
    <col min="13570" max="13570" width="13" style="130" customWidth="1"/>
    <col min="13571" max="13571" width="23.625" style="130" customWidth="1"/>
    <col min="13572" max="13572" width="18.25" style="130" customWidth="1"/>
    <col min="13573" max="13573" width="5.25" style="130" bestFit="1" customWidth="1"/>
    <col min="13574" max="13574" width="6.75" style="130" customWidth="1"/>
    <col min="13575" max="13575" width="11.875" style="130" customWidth="1"/>
    <col min="13576" max="13576" width="13.625" style="130" customWidth="1"/>
    <col min="13577" max="13577" width="12.75" style="130" customWidth="1"/>
    <col min="13578" max="13578" width="9.25" style="130" customWidth="1"/>
    <col min="13579" max="13579" width="11.5" style="130" bestFit="1" customWidth="1"/>
    <col min="13580" max="13824" width="9" style="130"/>
    <col min="13825" max="13825" width="5" style="130" customWidth="1"/>
    <col min="13826" max="13826" width="13" style="130" customWidth="1"/>
    <col min="13827" max="13827" width="23.625" style="130" customWidth="1"/>
    <col min="13828" max="13828" width="18.25" style="130" customWidth="1"/>
    <col min="13829" max="13829" width="5.25" style="130" bestFit="1" customWidth="1"/>
    <col min="13830" max="13830" width="6.75" style="130" customWidth="1"/>
    <col min="13831" max="13831" width="11.875" style="130" customWidth="1"/>
    <col min="13832" max="13832" width="13.625" style="130" customWidth="1"/>
    <col min="13833" max="13833" width="12.75" style="130" customWidth="1"/>
    <col min="13834" max="13834" width="9.25" style="130" customWidth="1"/>
    <col min="13835" max="13835" width="11.5" style="130" bestFit="1" customWidth="1"/>
    <col min="13836" max="14080" width="9" style="130"/>
    <col min="14081" max="14081" width="5" style="130" customWidth="1"/>
    <col min="14082" max="14082" width="13" style="130" customWidth="1"/>
    <col min="14083" max="14083" width="23.625" style="130" customWidth="1"/>
    <col min="14084" max="14084" width="18.25" style="130" customWidth="1"/>
    <col min="14085" max="14085" width="5.25" style="130" bestFit="1" customWidth="1"/>
    <col min="14086" max="14086" width="6.75" style="130" customWidth="1"/>
    <col min="14087" max="14087" width="11.875" style="130" customWidth="1"/>
    <col min="14088" max="14088" width="13.625" style="130" customWidth="1"/>
    <col min="14089" max="14089" width="12.75" style="130" customWidth="1"/>
    <col min="14090" max="14090" width="9.25" style="130" customWidth="1"/>
    <col min="14091" max="14091" width="11.5" style="130" bestFit="1" customWidth="1"/>
    <col min="14092" max="14336" width="9" style="130"/>
    <col min="14337" max="14337" width="5" style="130" customWidth="1"/>
    <col min="14338" max="14338" width="13" style="130" customWidth="1"/>
    <col min="14339" max="14339" width="23.625" style="130" customWidth="1"/>
    <col min="14340" max="14340" width="18.25" style="130" customWidth="1"/>
    <col min="14341" max="14341" width="5.25" style="130" bestFit="1" customWidth="1"/>
    <col min="14342" max="14342" width="6.75" style="130" customWidth="1"/>
    <col min="14343" max="14343" width="11.875" style="130" customWidth="1"/>
    <col min="14344" max="14344" width="13.625" style="130" customWidth="1"/>
    <col min="14345" max="14345" width="12.75" style="130" customWidth="1"/>
    <col min="14346" max="14346" width="9.25" style="130" customWidth="1"/>
    <col min="14347" max="14347" width="11.5" style="130" bestFit="1" customWidth="1"/>
    <col min="14348" max="14592" width="9" style="130"/>
    <col min="14593" max="14593" width="5" style="130" customWidth="1"/>
    <col min="14594" max="14594" width="13" style="130" customWidth="1"/>
    <col min="14595" max="14595" width="23.625" style="130" customWidth="1"/>
    <col min="14596" max="14596" width="18.25" style="130" customWidth="1"/>
    <col min="14597" max="14597" width="5.25" style="130" bestFit="1" customWidth="1"/>
    <col min="14598" max="14598" width="6.75" style="130" customWidth="1"/>
    <col min="14599" max="14599" width="11.875" style="130" customWidth="1"/>
    <col min="14600" max="14600" width="13.625" style="130" customWidth="1"/>
    <col min="14601" max="14601" width="12.75" style="130" customWidth="1"/>
    <col min="14602" max="14602" width="9.25" style="130" customWidth="1"/>
    <col min="14603" max="14603" width="11.5" style="130" bestFit="1" customWidth="1"/>
    <col min="14604" max="14848" width="9" style="130"/>
    <col min="14849" max="14849" width="5" style="130" customWidth="1"/>
    <col min="14850" max="14850" width="13" style="130" customWidth="1"/>
    <col min="14851" max="14851" width="23.625" style="130" customWidth="1"/>
    <col min="14852" max="14852" width="18.25" style="130" customWidth="1"/>
    <col min="14853" max="14853" width="5.25" style="130" bestFit="1" customWidth="1"/>
    <col min="14854" max="14854" width="6.75" style="130" customWidth="1"/>
    <col min="14855" max="14855" width="11.875" style="130" customWidth="1"/>
    <col min="14856" max="14856" width="13.625" style="130" customWidth="1"/>
    <col min="14857" max="14857" width="12.75" style="130" customWidth="1"/>
    <col min="14858" max="14858" width="9.25" style="130" customWidth="1"/>
    <col min="14859" max="14859" width="11.5" style="130" bestFit="1" customWidth="1"/>
    <col min="14860" max="15104" width="9" style="130"/>
    <col min="15105" max="15105" width="5" style="130" customWidth="1"/>
    <col min="15106" max="15106" width="13" style="130" customWidth="1"/>
    <col min="15107" max="15107" width="23.625" style="130" customWidth="1"/>
    <col min="15108" max="15108" width="18.25" style="130" customWidth="1"/>
    <col min="15109" max="15109" width="5.25" style="130" bestFit="1" customWidth="1"/>
    <col min="15110" max="15110" width="6.75" style="130" customWidth="1"/>
    <col min="15111" max="15111" width="11.875" style="130" customWidth="1"/>
    <col min="15112" max="15112" width="13.625" style="130" customWidth="1"/>
    <col min="15113" max="15113" width="12.75" style="130" customWidth="1"/>
    <col min="15114" max="15114" width="9.25" style="130" customWidth="1"/>
    <col min="15115" max="15115" width="11.5" style="130" bestFit="1" customWidth="1"/>
    <col min="15116" max="15360" width="9" style="130"/>
    <col min="15361" max="15361" width="5" style="130" customWidth="1"/>
    <col min="15362" max="15362" width="13" style="130" customWidth="1"/>
    <col min="15363" max="15363" width="23.625" style="130" customWidth="1"/>
    <col min="15364" max="15364" width="18.25" style="130" customWidth="1"/>
    <col min="15365" max="15365" width="5.25" style="130" bestFit="1" customWidth="1"/>
    <col min="15366" max="15366" width="6.75" style="130" customWidth="1"/>
    <col min="15367" max="15367" width="11.875" style="130" customWidth="1"/>
    <col min="15368" max="15368" width="13.625" style="130" customWidth="1"/>
    <col min="15369" max="15369" width="12.75" style="130" customWidth="1"/>
    <col min="15370" max="15370" width="9.25" style="130" customWidth="1"/>
    <col min="15371" max="15371" width="11.5" style="130" bestFit="1" customWidth="1"/>
    <col min="15372" max="15616" width="9" style="130"/>
    <col min="15617" max="15617" width="5" style="130" customWidth="1"/>
    <col min="15618" max="15618" width="13" style="130" customWidth="1"/>
    <col min="15619" max="15619" width="23.625" style="130" customWidth="1"/>
    <col min="15620" max="15620" width="18.25" style="130" customWidth="1"/>
    <col min="15621" max="15621" width="5.25" style="130" bestFit="1" customWidth="1"/>
    <col min="15622" max="15622" width="6.75" style="130" customWidth="1"/>
    <col min="15623" max="15623" width="11.875" style="130" customWidth="1"/>
    <col min="15624" max="15624" width="13.625" style="130" customWidth="1"/>
    <col min="15625" max="15625" width="12.75" style="130" customWidth="1"/>
    <col min="15626" max="15626" width="9.25" style="130" customWidth="1"/>
    <col min="15627" max="15627" width="11.5" style="130" bestFit="1" customWidth="1"/>
    <col min="15628" max="15872" width="9" style="130"/>
    <col min="15873" max="15873" width="5" style="130" customWidth="1"/>
    <col min="15874" max="15874" width="13" style="130" customWidth="1"/>
    <col min="15875" max="15875" width="23.625" style="130" customWidth="1"/>
    <col min="15876" max="15876" width="18.25" style="130" customWidth="1"/>
    <col min="15877" max="15877" width="5.25" style="130" bestFit="1" customWidth="1"/>
    <col min="15878" max="15878" width="6.75" style="130" customWidth="1"/>
    <col min="15879" max="15879" width="11.875" style="130" customWidth="1"/>
    <col min="15880" max="15880" width="13.625" style="130" customWidth="1"/>
    <col min="15881" max="15881" width="12.75" style="130" customWidth="1"/>
    <col min="15882" max="15882" width="9.25" style="130" customWidth="1"/>
    <col min="15883" max="15883" width="11.5" style="130" bestFit="1" customWidth="1"/>
    <col min="15884" max="16128" width="9" style="130"/>
    <col min="16129" max="16129" width="5" style="130" customWidth="1"/>
    <col min="16130" max="16130" width="13" style="130" customWidth="1"/>
    <col min="16131" max="16131" width="23.625" style="130" customWidth="1"/>
    <col min="16132" max="16132" width="18.25" style="130" customWidth="1"/>
    <col min="16133" max="16133" width="5.25" style="130" bestFit="1" customWidth="1"/>
    <col min="16134" max="16134" width="6.75" style="130" customWidth="1"/>
    <col min="16135" max="16135" width="11.875" style="130" customWidth="1"/>
    <col min="16136" max="16136" width="13.625" style="130" customWidth="1"/>
    <col min="16137" max="16137" width="12.75" style="130" customWidth="1"/>
    <col min="16138" max="16138" width="9.25" style="130" customWidth="1"/>
    <col min="16139" max="16139" width="11.5" style="130" bestFit="1" customWidth="1"/>
    <col min="16140" max="16384" width="9" style="130"/>
  </cols>
  <sheetData>
    <row r="1" spans="1:9" ht="22.5" customHeight="1">
      <c r="B1" s="212" t="s">
        <v>119</v>
      </c>
      <c r="C1" s="213"/>
      <c r="F1" s="214"/>
      <c r="I1" s="130" t="s">
        <v>120</v>
      </c>
    </row>
    <row r="2" spans="1:9" s="136" customFormat="1" ht="16.5" customHeight="1">
      <c r="A2" s="378" t="s">
        <v>121</v>
      </c>
      <c r="B2" s="491"/>
      <c r="C2" s="215" t="s">
        <v>122</v>
      </c>
      <c r="D2" s="216" t="s">
        <v>123</v>
      </c>
      <c r="E2" s="216" t="s">
        <v>40</v>
      </c>
      <c r="F2" s="217" t="s">
        <v>41</v>
      </c>
      <c r="G2" s="217" t="s">
        <v>124</v>
      </c>
      <c r="H2" s="217" t="s">
        <v>125</v>
      </c>
      <c r="I2" s="216" t="s">
        <v>126</v>
      </c>
    </row>
    <row r="3" spans="1:9" ht="15.95" customHeight="1">
      <c r="A3" s="492" t="s">
        <v>127</v>
      </c>
      <c r="B3" s="218" t="s">
        <v>128</v>
      </c>
      <c r="C3" s="219"/>
      <c r="D3" s="219"/>
      <c r="E3" s="220"/>
      <c r="F3" s="221"/>
      <c r="G3" s="222"/>
      <c r="H3" s="223">
        <f t="shared" ref="H3:H8" si="0">IF(F3=0,G3,G3*F3)</f>
        <v>0</v>
      </c>
      <c r="I3" s="224"/>
    </row>
    <row r="4" spans="1:9" ht="15.95" customHeight="1">
      <c r="A4" s="493"/>
      <c r="B4" s="218"/>
      <c r="C4" s="225"/>
      <c r="D4" s="219"/>
      <c r="E4" s="220"/>
      <c r="F4" s="221"/>
      <c r="G4" s="222"/>
      <c r="H4" s="175">
        <f t="shared" si="0"/>
        <v>0</v>
      </c>
      <c r="I4" s="38"/>
    </row>
    <row r="5" spans="1:9" ht="15.95" customHeight="1">
      <c r="A5" s="493"/>
      <c r="B5" s="218"/>
      <c r="C5" s="225"/>
      <c r="D5" s="219"/>
      <c r="E5" s="220"/>
      <c r="F5" s="221"/>
      <c r="G5" s="222"/>
      <c r="H5" s="175">
        <f t="shared" si="0"/>
        <v>0</v>
      </c>
      <c r="I5" s="38"/>
    </row>
    <row r="6" spans="1:9" ht="15.95" customHeight="1">
      <c r="A6" s="493"/>
      <c r="B6" s="218"/>
      <c r="C6" s="225"/>
      <c r="D6" s="219"/>
      <c r="E6" s="220"/>
      <c r="F6" s="221"/>
      <c r="G6" s="222"/>
      <c r="H6" s="175">
        <f t="shared" si="0"/>
        <v>0</v>
      </c>
      <c r="I6" s="38"/>
    </row>
    <row r="7" spans="1:9" ht="15.95" customHeight="1">
      <c r="A7" s="493"/>
      <c r="B7" s="218"/>
      <c r="C7" s="225"/>
      <c r="D7" s="225"/>
      <c r="E7" s="226"/>
      <c r="F7" s="227"/>
      <c r="G7" s="228"/>
      <c r="H7" s="175">
        <f t="shared" si="0"/>
        <v>0</v>
      </c>
      <c r="I7" s="38"/>
    </row>
    <row r="8" spans="1:9" ht="15.95" customHeight="1">
      <c r="A8" s="493"/>
      <c r="B8" s="218"/>
      <c r="C8" s="229"/>
      <c r="D8" s="229"/>
      <c r="E8" s="230"/>
      <c r="F8" s="231"/>
      <c r="G8" s="232"/>
      <c r="H8" s="175">
        <f t="shared" si="0"/>
        <v>0</v>
      </c>
      <c r="I8" s="233"/>
    </row>
    <row r="9" spans="1:9" ht="15.95" customHeight="1">
      <c r="A9" s="493"/>
      <c r="B9" s="234"/>
      <c r="C9" s="235"/>
      <c r="D9" s="236"/>
      <c r="E9" s="215"/>
      <c r="F9" s="237"/>
      <c r="G9" s="238"/>
      <c r="H9" s="239">
        <f>SUM(H3:H8)</f>
        <v>0</v>
      </c>
      <c r="I9" s="240"/>
    </row>
    <row r="10" spans="1:9" ht="15.95" customHeight="1">
      <c r="A10" s="493"/>
      <c r="B10" s="241" t="s">
        <v>129</v>
      </c>
      <c r="C10" s="242"/>
      <c r="D10" s="242"/>
      <c r="E10" s="243"/>
      <c r="F10" s="244"/>
      <c r="G10" s="245"/>
      <c r="H10" s="246">
        <f t="shared" ref="H10:H53" si="1">IF(F10=0,G10,G10*F10)</f>
        <v>0</v>
      </c>
      <c r="I10" s="247"/>
    </row>
    <row r="11" spans="1:9" ht="15.95" customHeight="1">
      <c r="A11" s="493"/>
      <c r="B11" s="248" t="s">
        <v>130</v>
      </c>
      <c r="C11" s="225"/>
      <c r="D11" s="225"/>
      <c r="E11" s="226"/>
      <c r="F11" s="227"/>
      <c r="G11" s="228"/>
      <c r="H11" s="175">
        <f t="shared" si="1"/>
        <v>0</v>
      </c>
      <c r="I11" s="38"/>
    </row>
    <row r="12" spans="1:9" ht="15.95" customHeight="1">
      <c r="A12" s="493"/>
      <c r="B12" s="248" t="s">
        <v>131</v>
      </c>
      <c r="C12" s="225"/>
      <c r="D12" s="225"/>
      <c r="E12" s="226"/>
      <c r="F12" s="227"/>
      <c r="G12" s="228"/>
      <c r="H12" s="175">
        <f t="shared" si="1"/>
        <v>0</v>
      </c>
      <c r="I12" s="38"/>
    </row>
    <row r="13" spans="1:9" ht="15.95" customHeight="1">
      <c r="A13" s="493"/>
      <c r="B13" s="218"/>
      <c r="C13" s="225"/>
      <c r="D13" s="225"/>
      <c r="E13" s="226"/>
      <c r="F13" s="227"/>
      <c r="G13" s="228"/>
      <c r="H13" s="175">
        <f t="shared" si="1"/>
        <v>0</v>
      </c>
      <c r="I13" s="38"/>
    </row>
    <row r="14" spans="1:9" ht="15.95" customHeight="1">
      <c r="A14" s="493"/>
      <c r="B14" s="218"/>
      <c r="C14" s="225"/>
      <c r="D14" s="225"/>
      <c r="E14" s="226"/>
      <c r="F14" s="227"/>
      <c r="G14" s="228"/>
      <c r="H14" s="175">
        <f t="shared" si="1"/>
        <v>0</v>
      </c>
      <c r="I14" s="38"/>
    </row>
    <row r="15" spans="1:9" ht="15.95" customHeight="1">
      <c r="A15" s="493"/>
      <c r="B15" s="218"/>
      <c r="C15" s="229" t="s">
        <v>132</v>
      </c>
      <c r="D15" s="249"/>
      <c r="E15" s="230" t="s">
        <v>133</v>
      </c>
      <c r="F15" s="250"/>
      <c r="G15" s="251"/>
      <c r="H15" s="252">
        <f t="shared" si="1"/>
        <v>0</v>
      </c>
      <c r="I15" s="253"/>
    </row>
    <row r="16" spans="1:9" ht="15.95" customHeight="1">
      <c r="A16" s="493"/>
      <c r="B16" s="218"/>
      <c r="C16" s="254"/>
      <c r="D16" s="255"/>
      <c r="E16" s="256"/>
      <c r="F16" s="257"/>
      <c r="G16" s="258"/>
      <c r="H16" s="259">
        <f>SUM(H10:H15)</f>
        <v>0</v>
      </c>
      <c r="I16" s="260"/>
    </row>
    <row r="17" spans="1:9" ht="15.95" customHeight="1">
      <c r="A17" s="493"/>
      <c r="B17" s="261" t="s">
        <v>134</v>
      </c>
      <c r="C17" s="262"/>
      <c r="D17" s="262"/>
      <c r="E17" s="263"/>
      <c r="F17" s="264"/>
      <c r="G17" s="265"/>
      <c r="H17" s="246">
        <f>IF(F17=0,G17,G17*F17)</f>
        <v>0</v>
      </c>
      <c r="I17" s="247"/>
    </row>
    <row r="18" spans="1:9" ht="15.95" customHeight="1">
      <c r="A18" s="493"/>
      <c r="B18" s="218"/>
      <c r="C18" s="266"/>
      <c r="D18" s="266"/>
      <c r="E18" s="267"/>
      <c r="F18" s="268"/>
      <c r="G18" s="269"/>
      <c r="H18" s="175">
        <f t="shared" si="1"/>
        <v>0</v>
      </c>
      <c r="I18" s="38"/>
    </row>
    <row r="19" spans="1:9" ht="15.95" customHeight="1">
      <c r="A19" s="493"/>
      <c r="B19" s="218"/>
      <c r="C19" s="266"/>
      <c r="D19" s="266"/>
      <c r="E19" s="267"/>
      <c r="F19" s="268"/>
      <c r="G19" s="269"/>
      <c r="H19" s="175">
        <f t="shared" si="1"/>
        <v>0</v>
      </c>
      <c r="I19" s="38"/>
    </row>
    <row r="20" spans="1:9" ht="15.95" customHeight="1">
      <c r="A20" s="493"/>
      <c r="B20" s="218"/>
      <c r="C20" s="266"/>
      <c r="D20" s="266"/>
      <c r="E20" s="267"/>
      <c r="F20" s="268"/>
      <c r="G20" s="269"/>
      <c r="H20" s="175">
        <f t="shared" si="1"/>
        <v>0</v>
      </c>
      <c r="I20" s="38"/>
    </row>
    <row r="21" spans="1:9" ht="15.95" customHeight="1">
      <c r="A21" s="493"/>
      <c r="B21" s="218"/>
      <c r="C21" s="266"/>
      <c r="D21" s="266"/>
      <c r="E21" s="267"/>
      <c r="F21" s="268"/>
      <c r="G21" s="269"/>
      <c r="H21" s="175">
        <f t="shared" si="1"/>
        <v>0</v>
      </c>
      <c r="I21" s="38"/>
    </row>
    <row r="22" spans="1:9" ht="15.95" customHeight="1">
      <c r="A22" s="493"/>
      <c r="B22" s="218"/>
      <c r="C22" s="266"/>
      <c r="D22" s="266"/>
      <c r="E22" s="267"/>
      <c r="F22" s="268"/>
      <c r="G22" s="269"/>
      <c r="H22" s="175">
        <f t="shared" si="1"/>
        <v>0</v>
      </c>
      <c r="I22" s="38"/>
    </row>
    <row r="23" spans="1:9" ht="15.95" customHeight="1">
      <c r="A23" s="493"/>
      <c r="B23" s="218"/>
      <c r="C23" s="266"/>
      <c r="D23" s="266"/>
      <c r="E23" s="267"/>
      <c r="F23" s="268"/>
      <c r="G23" s="269"/>
      <c r="H23" s="175">
        <f t="shared" si="1"/>
        <v>0</v>
      </c>
      <c r="I23" s="38"/>
    </row>
    <row r="24" spans="1:9" ht="15.95" customHeight="1">
      <c r="A24" s="493"/>
      <c r="B24" s="218"/>
      <c r="C24" s="270"/>
      <c r="D24" s="270"/>
      <c r="E24" s="271"/>
      <c r="F24" s="272"/>
      <c r="G24" s="273"/>
      <c r="H24" s="175">
        <f t="shared" si="1"/>
        <v>0</v>
      </c>
      <c r="I24" s="38"/>
    </row>
    <row r="25" spans="1:9" ht="15.95" customHeight="1">
      <c r="A25" s="493"/>
      <c r="B25" s="218"/>
      <c r="C25" s="274"/>
      <c r="D25" s="274"/>
      <c r="E25" s="267"/>
      <c r="F25" s="275"/>
      <c r="G25" s="276"/>
      <c r="H25" s="175">
        <f t="shared" si="1"/>
        <v>0</v>
      </c>
      <c r="I25" s="38"/>
    </row>
    <row r="26" spans="1:9" ht="15.95" customHeight="1">
      <c r="A26" s="493"/>
      <c r="B26" s="218"/>
      <c r="C26" s="274"/>
      <c r="D26" s="274"/>
      <c r="E26" s="267"/>
      <c r="F26" s="275"/>
      <c r="G26" s="276"/>
      <c r="H26" s="175">
        <f t="shared" si="1"/>
        <v>0</v>
      </c>
      <c r="I26" s="38"/>
    </row>
    <row r="27" spans="1:9" ht="15.95" customHeight="1">
      <c r="A27" s="493"/>
      <c r="B27" s="218"/>
      <c r="C27" s="266"/>
      <c r="D27" s="274"/>
      <c r="E27" s="267"/>
      <c r="F27" s="275"/>
      <c r="G27" s="276"/>
      <c r="H27" s="175">
        <f t="shared" si="1"/>
        <v>0</v>
      </c>
      <c r="I27" s="38"/>
    </row>
    <row r="28" spans="1:9" ht="15.95" customHeight="1">
      <c r="A28" s="493"/>
      <c r="B28" s="218"/>
      <c r="C28" s="270"/>
      <c r="D28" s="274"/>
      <c r="E28" s="271"/>
      <c r="F28" s="277"/>
      <c r="G28" s="278"/>
      <c r="H28" s="175">
        <f t="shared" si="1"/>
        <v>0</v>
      </c>
      <c r="I28" s="38"/>
    </row>
    <row r="29" spans="1:9" ht="15.95" customHeight="1">
      <c r="A29" s="493"/>
      <c r="B29" s="218"/>
      <c r="C29" s="270"/>
      <c r="D29" s="274"/>
      <c r="E29" s="271"/>
      <c r="F29" s="277"/>
      <c r="G29" s="278"/>
      <c r="H29" s="175">
        <f t="shared" si="1"/>
        <v>0</v>
      </c>
      <c r="I29" s="38"/>
    </row>
    <row r="30" spans="1:9" ht="15.95" customHeight="1">
      <c r="A30" s="493"/>
      <c r="B30" s="218"/>
      <c r="C30" s="270"/>
      <c r="D30" s="274"/>
      <c r="E30" s="271"/>
      <c r="F30" s="277"/>
      <c r="G30" s="278"/>
      <c r="H30" s="175">
        <f t="shared" si="1"/>
        <v>0</v>
      </c>
      <c r="I30" s="38"/>
    </row>
    <row r="31" spans="1:9" ht="15.95" customHeight="1">
      <c r="A31" s="493"/>
      <c r="B31" s="218"/>
      <c r="C31" s="270"/>
      <c r="D31" s="274"/>
      <c r="E31" s="271"/>
      <c r="F31" s="277"/>
      <c r="G31" s="278"/>
      <c r="H31" s="175">
        <f t="shared" si="1"/>
        <v>0</v>
      </c>
      <c r="I31" s="38"/>
    </row>
    <row r="32" spans="1:9" ht="15.95" customHeight="1">
      <c r="A32" s="493"/>
      <c r="B32" s="218"/>
      <c r="C32" s="274"/>
      <c r="D32" s="274"/>
      <c r="E32" s="267"/>
      <c r="F32" s="275"/>
      <c r="G32" s="276"/>
      <c r="H32" s="175">
        <f t="shared" si="1"/>
        <v>0</v>
      </c>
      <c r="I32" s="38"/>
    </row>
    <row r="33" spans="1:9" ht="15.95" customHeight="1">
      <c r="A33" s="493"/>
      <c r="B33" s="218"/>
      <c r="C33" s="274"/>
      <c r="D33" s="274"/>
      <c r="E33" s="267"/>
      <c r="F33" s="275"/>
      <c r="G33" s="276"/>
      <c r="H33" s="175">
        <f t="shared" si="1"/>
        <v>0</v>
      </c>
      <c r="I33" s="38"/>
    </row>
    <row r="34" spans="1:9" ht="15.95" customHeight="1">
      <c r="A34" s="493"/>
      <c r="B34" s="218"/>
      <c r="C34" s="274"/>
      <c r="D34" s="274"/>
      <c r="E34" s="267"/>
      <c r="F34" s="275"/>
      <c r="G34" s="276"/>
      <c r="H34" s="175">
        <f t="shared" si="1"/>
        <v>0</v>
      </c>
      <c r="I34" s="38"/>
    </row>
    <row r="35" spans="1:9" ht="15.95" customHeight="1">
      <c r="A35" s="493"/>
      <c r="B35" s="218"/>
      <c r="C35" s="266"/>
      <c r="D35" s="266"/>
      <c r="E35" s="267"/>
      <c r="F35" s="268"/>
      <c r="G35" s="269"/>
      <c r="H35" s="175">
        <f t="shared" si="1"/>
        <v>0</v>
      </c>
      <c r="I35" s="38"/>
    </row>
    <row r="36" spans="1:9" ht="15.95" customHeight="1">
      <c r="A36" s="493"/>
      <c r="B36" s="218"/>
      <c r="C36" s="266"/>
      <c r="D36" s="266"/>
      <c r="E36" s="267"/>
      <c r="F36" s="279"/>
      <c r="G36" s="280"/>
      <c r="H36" s="175">
        <f t="shared" si="1"/>
        <v>0</v>
      </c>
      <c r="I36" s="38"/>
    </row>
    <row r="37" spans="1:9" ht="15.95" customHeight="1">
      <c r="A37" s="493"/>
      <c r="B37" s="218"/>
      <c r="C37" s="225"/>
      <c r="D37" s="225"/>
      <c r="E37" s="226"/>
      <c r="F37" s="227"/>
      <c r="G37" s="228"/>
      <c r="H37" s="175">
        <f t="shared" si="1"/>
        <v>0</v>
      </c>
      <c r="I37" s="38"/>
    </row>
    <row r="38" spans="1:9" ht="15.95" customHeight="1">
      <c r="A38" s="493"/>
      <c r="B38" s="218"/>
      <c r="C38" s="225"/>
      <c r="D38" s="225"/>
      <c r="E38" s="226"/>
      <c r="F38" s="227"/>
      <c r="G38" s="228"/>
      <c r="H38" s="175">
        <f t="shared" si="1"/>
        <v>0</v>
      </c>
      <c r="I38" s="38"/>
    </row>
    <row r="39" spans="1:9" ht="15.95" customHeight="1">
      <c r="A39" s="493"/>
      <c r="B39" s="218"/>
      <c r="C39" s="225"/>
      <c r="D39" s="225"/>
      <c r="E39" s="226"/>
      <c r="F39" s="227"/>
      <c r="G39" s="228"/>
      <c r="H39" s="175">
        <f t="shared" si="1"/>
        <v>0</v>
      </c>
      <c r="I39" s="38"/>
    </row>
    <row r="40" spans="1:9" ht="15.95" customHeight="1">
      <c r="A40" s="493"/>
      <c r="B40" s="218"/>
      <c r="C40" s="225"/>
      <c r="D40" s="225"/>
      <c r="E40" s="226"/>
      <c r="F40" s="227"/>
      <c r="G40" s="228"/>
      <c r="H40" s="175">
        <f t="shared" si="1"/>
        <v>0</v>
      </c>
      <c r="I40" s="38"/>
    </row>
    <row r="41" spans="1:9" ht="15.95" customHeight="1">
      <c r="A41" s="493"/>
      <c r="B41" s="218"/>
      <c r="C41" s="225"/>
      <c r="D41" s="225"/>
      <c r="E41" s="226"/>
      <c r="F41" s="227"/>
      <c r="G41" s="228"/>
      <c r="H41" s="175">
        <f t="shared" si="1"/>
        <v>0</v>
      </c>
      <c r="I41" s="38"/>
    </row>
    <row r="42" spans="1:9" ht="15.95" customHeight="1">
      <c r="A42" s="493"/>
      <c r="B42" s="218"/>
      <c r="C42" s="225"/>
      <c r="D42" s="225"/>
      <c r="E42" s="226"/>
      <c r="F42" s="227"/>
      <c r="G42" s="228"/>
      <c r="H42" s="175">
        <f t="shared" si="1"/>
        <v>0</v>
      </c>
      <c r="I42" s="38"/>
    </row>
    <row r="43" spans="1:9" ht="15.95" customHeight="1">
      <c r="A43" s="493"/>
      <c r="B43" s="218"/>
      <c r="C43" s="225"/>
      <c r="D43" s="225"/>
      <c r="E43" s="226"/>
      <c r="F43" s="227"/>
      <c r="G43" s="228"/>
      <c r="H43" s="175">
        <f t="shared" si="1"/>
        <v>0</v>
      </c>
      <c r="I43" s="38"/>
    </row>
    <row r="44" spans="1:9" ht="15.95" customHeight="1">
      <c r="A44" s="493"/>
      <c r="B44" s="218"/>
      <c r="C44" s="225"/>
      <c r="D44" s="225"/>
      <c r="E44" s="226"/>
      <c r="F44" s="227"/>
      <c r="G44" s="228"/>
      <c r="H44" s="175">
        <f t="shared" si="1"/>
        <v>0</v>
      </c>
      <c r="I44" s="38"/>
    </row>
    <row r="45" spans="1:9" ht="15.95" customHeight="1">
      <c r="A45" s="493"/>
      <c r="B45" s="218"/>
      <c r="C45" s="225"/>
      <c r="D45" s="225"/>
      <c r="E45" s="226"/>
      <c r="F45" s="227"/>
      <c r="G45" s="228"/>
      <c r="H45" s="175">
        <f t="shared" si="1"/>
        <v>0</v>
      </c>
      <c r="I45" s="38"/>
    </row>
    <row r="46" spans="1:9" ht="15.95" customHeight="1">
      <c r="A46" s="493"/>
      <c r="B46" s="218"/>
      <c r="C46" s="225"/>
      <c r="D46" s="225"/>
      <c r="E46" s="226"/>
      <c r="F46" s="227"/>
      <c r="G46" s="228"/>
      <c r="H46" s="175">
        <f t="shared" si="1"/>
        <v>0</v>
      </c>
      <c r="I46" s="38"/>
    </row>
    <row r="47" spans="1:9" ht="15.95" customHeight="1">
      <c r="A47" s="493"/>
      <c r="B47" s="218"/>
      <c r="C47" s="225"/>
      <c r="D47" s="225"/>
      <c r="E47" s="226"/>
      <c r="F47" s="227"/>
      <c r="G47" s="228"/>
      <c r="H47" s="175">
        <f t="shared" si="1"/>
        <v>0</v>
      </c>
      <c r="I47" s="38"/>
    </row>
    <row r="48" spans="1:9" ht="15.95" customHeight="1">
      <c r="A48" s="493"/>
      <c r="B48" s="218"/>
      <c r="C48" s="225"/>
      <c r="D48" s="225"/>
      <c r="E48" s="226"/>
      <c r="F48" s="227"/>
      <c r="G48" s="228"/>
      <c r="H48" s="175">
        <f t="shared" si="1"/>
        <v>0</v>
      </c>
      <c r="I48" s="38"/>
    </row>
    <row r="49" spans="1:9" ht="15.95" customHeight="1">
      <c r="A49" s="493"/>
      <c r="B49" s="218"/>
      <c r="C49" s="225"/>
      <c r="D49" s="225"/>
      <c r="E49" s="226"/>
      <c r="F49" s="227"/>
      <c r="G49" s="228"/>
      <c r="H49" s="175">
        <f t="shared" si="1"/>
        <v>0</v>
      </c>
      <c r="I49" s="38"/>
    </row>
    <row r="50" spans="1:9" ht="15.95" customHeight="1">
      <c r="A50" s="493"/>
      <c r="B50" s="218"/>
      <c r="C50" s="225"/>
      <c r="D50" s="225"/>
      <c r="E50" s="226"/>
      <c r="F50" s="227"/>
      <c r="G50" s="228"/>
      <c r="H50" s="175">
        <f t="shared" si="1"/>
        <v>0</v>
      </c>
      <c r="I50" s="38"/>
    </row>
    <row r="51" spans="1:9" ht="15.95" customHeight="1">
      <c r="A51" s="493"/>
      <c r="B51" s="218"/>
      <c r="C51" s="225"/>
      <c r="D51" s="225"/>
      <c r="E51" s="226"/>
      <c r="F51" s="227"/>
      <c r="G51" s="228"/>
      <c r="H51" s="175">
        <f t="shared" si="1"/>
        <v>0</v>
      </c>
      <c r="I51" s="38"/>
    </row>
    <row r="52" spans="1:9" ht="15.95" customHeight="1">
      <c r="A52" s="493"/>
      <c r="B52" s="218"/>
      <c r="C52" s="225"/>
      <c r="D52" s="225"/>
      <c r="E52" s="226"/>
      <c r="F52" s="227"/>
      <c r="G52" s="228"/>
      <c r="H52" s="175">
        <f t="shared" si="1"/>
        <v>0</v>
      </c>
      <c r="I52" s="38"/>
    </row>
    <row r="53" spans="1:9" ht="15.95" customHeight="1">
      <c r="A53" s="493"/>
      <c r="B53" s="218"/>
      <c r="C53" s="229"/>
      <c r="D53" s="229"/>
      <c r="E53" s="230"/>
      <c r="F53" s="231"/>
      <c r="G53" s="232"/>
      <c r="H53" s="185">
        <f t="shared" si="1"/>
        <v>0</v>
      </c>
      <c r="I53" s="233"/>
    </row>
    <row r="54" spans="1:9" ht="15.95" customHeight="1">
      <c r="A54" s="493"/>
      <c r="B54" s="234"/>
      <c r="C54" s="235"/>
      <c r="D54" s="236"/>
      <c r="E54" s="215"/>
      <c r="F54" s="237"/>
      <c r="G54" s="238"/>
      <c r="H54" s="239">
        <f>SUM(H17:H53)</f>
        <v>0</v>
      </c>
      <c r="I54" s="240"/>
    </row>
    <row r="55" spans="1:9" ht="15.95" customHeight="1">
      <c r="A55" s="281"/>
      <c r="B55" s="282" t="s">
        <v>135</v>
      </c>
      <c r="C55" s="283"/>
      <c r="D55" s="240"/>
      <c r="E55" s="216"/>
      <c r="F55" s="284"/>
      <c r="G55" s="285"/>
      <c r="H55" s="239">
        <f>SUM(H54,H9,H16)</f>
        <v>0</v>
      </c>
      <c r="I55" s="240"/>
    </row>
    <row r="56" spans="1:9" ht="15.95" customHeight="1">
      <c r="A56" s="494" t="s">
        <v>136</v>
      </c>
      <c r="B56" s="286" t="s">
        <v>59</v>
      </c>
      <c r="C56" s="283"/>
      <c r="D56" s="240"/>
      <c r="E56" s="287" t="s">
        <v>60</v>
      </c>
      <c r="F56" s="288"/>
      <c r="G56" s="289"/>
      <c r="H56" s="290">
        <f t="shared" ref="H56:H62" si="2">F56*G56</f>
        <v>0</v>
      </c>
      <c r="I56" s="240"/>
    </row>
    <row r="57" spans="1:9" ht="15.95" customHeight="1">
      <c r="A57" s="495"/>
      <c r="B57" s="291" t="s">
        <v>137</v>
      </c>
      <c r="C57" s="292"/>
      <c r="D57" s="247"/>
      <c r="E57" s="293" t="s">
        <v>138</v>
      </c>
      <c r="F57" s="243"/>
      <c r="G57" s="245"/>
      <c r="H57" s="246">
        <f t="shared" si="2"/>
        <v>0</v>
      </c>
      <c r="I57" s="247"/>
    </row>
    <row r="58" spans="1:9" ht="15.95" customHeight="1">
      <c r="A58" s="495"/>
      <c r="B58" s="294" t="s">
        <v>139</v>
      </c>
      <c r="C58" s="295"/>
      <c r="D58" s="38"/>
      <c r="E58" s="296" t="s">
        <v>138</v>
      </c>
      <c r="F58" s="221"/>
      <c r="G58" s="228"/>
      <c r="H58" s="175">
        <f t="shared" si="2"/>
        <v>0</v>
      </c>
      <c r="I58" s="38"/>
    </row>
    <row r="59" spans="1:9" ht="15.95" customHeight="1">
      <c r="A59" s="495"/>
      <c r="B59" s="294" t="s">
        <v>140</v>
      </c>
      <c r="C59" s="295"/>
      <c r="D59" s="38"/>
      <c r="E59" s="296" t="s">
        <v>138</v>
      </c>
      <c r="F59" s="227"/>
      <c r="G59" s="228"/>
      <c r="H59" s="175">
        <f>F59*G59</f>
        <v>0</v>
      </c>
      <c r="I59" s="38"/>
    </row>
    <row r="60" spans="1:9" ht="15.95" customHeight="1">
      <c r="A60" s="495"/>
      <c r="B60" s="294" t="s">
        <v>141</v>
      </c>
      <c r="C60" s="295"/>
      <c r="D60" s="38"/>
      <c r="E60" s="296" t="s">
        <v>138</v>
      </c>
      <c r="F60" s="227"/>
      <c r="G60" s="228"/>
      <c r="H60" s="175">
        <f t="shared" si="2"/>
        <v>0</v>
      </c>
      <c r="I60" s="38"/>
    </row>
    <row r="61" spans="1:9" ht="15.95" customHeight="1">
      <c r="A61" s="495"/>
      <c r="B61" s="294" t="s">
        <v>142</v>
      </c>
      <c r="C61" s="295"/>
      <c r="D61" s="38"/>
      <c r="E61" s="296" t="s">
        <v>138</v>
      </c>
      <c r="F61" s="250"/>
      <c r="G61" s="251"/>
      <c r="H61" s="175">
        <f t="shared" si="2"/>
        <v>0</v>
      </c>
      <c r="I61" s="38"/>
    </row>
    <row r="62" spans="1:9" ht="15.95" customHeight="1">
      <c r="A62" s="495"/>
      <c r="B62" s="297" t="s">
        <v>143</v>
      </c>
      <c r="C62" s="298"/>
      <c r="D62" s="233"/>
      <c r="E62" s="299" t="s">
        <v>138</v>
      </c>
      <c r="F62" s="231"/>
      <c r="G62" s="232"/>
      <c r="H62" s="185">
        <f t="shared" si="2"/>
        <v>0</v>
      </c>
      <c r="I62" s="233"/>
    </row>
    <row r="63" spans="1:9" ht="15.95" customHeight="1">
      <c r="A63" s="281"/>
      <c r="B63" s="300" t="s">
        <v>144</v>
      </c>
      <c r="C63" s="283"/>
      <c r="D63" s="240"/>
      <c r="E63" s="216"/>
      <c r="F63" s="237"/>
      <c r="G63" s="238"/>
      <c r="H63" s="239">
        <f>SUM(H56:H62)</f>
        <v>0</v>
      </c>
      <c r="I63" s="240"/>
    </row>
    <row r="64" spans="1:9" ht="15.95" customHeight="1">
      <c r="A64" s="287"/>
      <c r="B64" s="300" t="s">
        <v>145</v>
      </c>
      <c r="C64" s="283"/>
      <c r="D64" s="240"/>
      <c r="E64" s="216"/>
      <c r="F64" s="217"/>
      <c r="G64" s="301" t="s">
        <v>146</v>
      </c>
      <c r="H64" s="285">
        <v>0</v>
      </c>
      <c r="I64" s="240"/>
    </row>
    <row r="65" spans="1:11" ht="15.95" customHeight="1">
      <c r="A65" s="287"/>
      <c r="B65" s="300" t="s">
        <v>85</v>
      </c>
      <c r="C65" s="283"/>
      <c r="D65" s="240"/>
      <c r="E65" s="216"/>
      <c r="F65" s="217"/>
      <c r="G65" s="302"/>
      <c r="H65" s="303">
        <f>(H63+H55)*0.05</f>
        <v>0</v>
      </c>
      <c r="I65" s="283"/>
    </row>
    <row r="66" spans="1:11" ht="15.95" customHeight="1">
      <c r="A66" s="287"/>
      <c r="B66" s="300" t="s">
        <v>147</v>
      </c>
      <c r="C66" s="283"/>
      <c r="D66" s="240"/>
      <c r="E66" s="216"/>
      <c r="F66" s="217"/>
      <c r="G66" s="302"/>
      <c r="H66" s="303">
        <f>(H63+H55)*0.1</f>
        <v>0</v>
      </c>
      <c r="I66" s="283"/>
    </row>
    <row r="67" spans="1:11" ht="15.95" customHeight="1">
      <c r="A67" s="287"/>
      <c r="B67" s="300" t="s">
        <v>148</v>
      </c>
      <c r="C67" s="283"/>
      <c r="D67" s="240"/>
      <c r="E67" s="216"/>
      <c r="F67" s="217"/>
      <c r="G67" s="239"/>
      <c r="H67" s="238">
        <f>H55+H63+H64+H65+H66</f>
        <v>0</v>
      </c>
      <c r="I67" s="240"/>
      <c r="K67" s="165"/>
    </row>
    <row r="68" spans="1:11">
      <c r="A68" s="136"/>
    </row>
  </sheetData>
  <mergeCells count="3">
    <mergeCell ref="A2:B2"/>
    <mergeCell ref="A3:A54"/>
    <mergeCell ref="A56:A62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A0CE-69E8-4B49-84FF-8FB5FBBCCF95}">
  <sheetPr>
    <tabColor rgb="FF00B050"/>
    <pageSetUpPr fitToPage="1"/>
  </sheetPr>
  <dimension ref="A1:I137"/>
  <sheetViews>
    <sheetView zoomScale="85" zoomScaleNormal="85" workbookViewId="0">
      <pane xSplit="2" ySplit="2" topLeftCell="C52" activePane="bottomRight" state="frozen"/>
      <selection activeCell="K5" sqref="K5"/>
      <selection pane="topRight" activeCell="K5" sqref="K5"/>
      <selection pane="bottomLeft" activeCell="K5" sqref="K5"/>
      <selection pane="bottomRight" activeCell="I75" sqref="C75:I75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37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6" customWidth="1"/>
    <col min="10" max="232" width="9" style="130"/>
    <col min="233" max="233" width="5" style="130" customWidth="1"/>
    <col min="234" max="234" width="17.875" style="130" bestFit="1" customWidth="1"/>
    <col min="235" max="235" width="23.625" style="130" customWidth="1"/>
    <col min="236" max="236" width="18.25" style="130" customWidth="1"/>
    <col min="237" max="237" width="5.25" style="130" bestFit="1" customWidth="1"/>
    <col min="238" max="238" width="9" style="130"/>
    <col min="239" max="239" width="11.875" style="130" customWidth="1"/>
    <col min="240" max="240" width="13.625" style="130" customWidth="1"/>
    <col min="241" max="241" width="12.75" style="130" customWidth="1"/>
    <col min="242" max="242" width="9" style="130"/>
    <col min="243" max="243" width="10" style="130" bestFit="1" customWidth="1"/>
    <col min="244" max="488" width="9" style="130"/>
    <col min="489" max="489" width="5" style="130" customWidth="1"/>
    <col min="490" max="490" width="17.875" style="130" bestFit="1" customWidth="1"/>
    <col min="491" max="491" width="23.625" style="130" customWidth="1"/>
    <col min="492" max="492" width="18.25" style="130" customWidth="1"/>
    <col min="493" max="493" width="5.25" style="130" bestFit="1" customWidth="1"/>
    <col min="494" max="494" width="9" style="130"/>
    <col min="495" max="495" width="11.875" style="130" customWidth="1"/>
    <col min="496" max="496" width="13.625" style="130" customWidth="1"/>
    <col min="497" max="497" width="12.75" style="130" customWidth="1"/>
    <col min="498" max="498" width="9" style="130"/>
    <col min="499" max="499" width="10" style="130" bestFit="1" customWidth="1"/>
    <col min="500" max="744" width="9" style="130"/>
    <col min="745" max="745" width="5" style="130" customWidth="1"/>
    <col min="746" max="746" width="17.875" style="130" bestFit="1" customWidth="1"/>
    <col min="747" max="747" width="23.625" style="130" customWidth="1"/>
    <col min="748" max="748" width="18.25" style="130" customWidth="1"/>
    <col min="749" max="749" width="5.25" style="130" bestFit="1" customWidth="1"/>
    <col min="750" max="750" width="9" style="130"/>
    <col min="751" max="751" width="11.875" style="130" customWidth="1"/>
    <col min="752" max="752" width="13.625" style="130" customWidth="1"/>
    <col min="753" max="753" width="12.75" style="130" customWidth="1"/>
    <col min="754" max="754" width="9" style="130"/>
    <col min="755" max="755" width="10" style="130" bestFit="1" customWidth="1"/>
    <col min="756" max="1000" width="9" style="130"/>
    <col min="1001" max="1001" width="5" style="130" customWidth="1"/>
    <col min="1002" max="1002" width="17.875" style="130" bestFit="1" customWidth="1"/>
    <col min="1003" max="1003" width="23.625" style="130" customWidth="1"/>
    <col min="1004" max="1004" width="18.25" style="130" customWidth="1"/>
    <col min="1005" max="1005" width="5.25" style="130" bestFit="1" customWidth="1"/>
    <col min="1006" max="1006" width="9" style="130"/>
    <col min="1007" max="1007" width="11.875" style="130" customWidth="1"/>
    <col min="1008" max="1008" width="13.625" style="130" customWidth="1"/>
    <col min="1009" max="1009" width="12.75" style="130" customWidth="1"/>
    <col min="1010" max="1010" width="9" style="130"/>
    <col min="1011" max="1011" width="10" style="130" bestFit="1" customWidth="1"/>
    <col min="1012" max="1256" width="9" style="130"/>
    <col min="1257" max="1257" width="5" style="130" customWidth="1"/>
    <col min="1258" max="1258" width="17.875" style="130" bestFit="1" customWidth="1"/>
    <col min="1259" max="1259" width="23.625" style="130" customWidth="1"/>
    <col min="1260" max="1260" width="18.25" style="130" customWidth="1"/>
    <col min="1261" max="1261" width="5.25" style="130" bestFit="1" customWidth="1"/>
    <col min="1262" max="1262" width="9" style="130"/>
    <col min="1263" max="1263" width="11.875" style="130" customWidth="1"/>
    <col min="1264" max="1264" width="13.625" style="130" customWidth="1"/>
    <col min="1265" max="1265" width="12.75" style="130" customWidth="1"/>
    <col min="1266" max="1266" width="9" style="130"/>
    <col min="1267" max="1267" width="10" style="130" bestFit="1" customWidth="1"/>
    <col min="1268" max="1512" width="9" style="130"/>
    <col min="1513" max="1513" width="5" style="130" customWidth="1"/>
    <col min="1514" max="1514" width="17.875" style="130" bestFit="1" customWidth="1"/>
    <col min="1515" max="1515" width="23.625" style="130" customWidth="1"/>
    <col min="1516" max="1516" width="18.25" style="130" customWidth="1"/>
    <col min="1517" max="1517" width="5.25" style="130" bestFit="1" customWidth="1"/>
    <col min="1518" max="1518" width="9" style="130"/>
    <col min="1519" max="1519" width="11.875" style="130" customWidth="1"/>
    <col min="1520" max="1520" width="13.625" style="130" customWidth="1"/>
    <col min="1521" max="1521" width="12.75" style="130" customWidth="1"/>
    <col min="1522" max="1522" width="9" style="130"/>
    <col min="1523" max="1523" width="10" style="130" bestFit="1" customWidth="1"/>
    <col min="1524" max="1768" width="9" style="130"/>
    <col min="1769" max="1769" width="5" style="130" customWidth="1"/>
    <col min="1770" max="1770" width="17.875" style="130" bestFit="1" customWidth="1"/>
    <col min="1771" max="1771" width="23.625" style="130" customWidth="1"/>
    <col min="1772" max="1772" width="18.25" style="130" customWidth="1"/>
    <col min="1773" max="1773" width="5.25" style="130" bestFit="1" customWidth="1"/>
    <col min="1774" max="1774" width="9" style="130"/>
    <col min="1775" max="1775" width="11.875" style="130" customWidth="1"/>
    <col min="1776" max="1776" width="13.625" style="130" customWidth="1"/>
    <col min="1777" max="1777" width="12.75" style="130" customWidth="1"/>
    <col min="1778" max="1778" width="9" style="130"/>
    <col min="1779" max="1779" width="10" style="130" bestFit="1" customWidth="1"/>
    <col min="1780" max="2024" width="9" style="130"/>
    <col min="2025" max="2025" width="5" style="130" customWidth="1"/>
    <col min="2026" max="2026" width="17.875" style="130" bestFit="1" customWidth="1"/>
    <col min="2027" max="2027" width="23.625" style="130" customWidth="1"/>
    <col min="2028" max="2028" width="18.25" style="130" customWidth="1"/>
    <col min="2029" max="2029" width="5.25" style="130" bestFit="1" customWidth="1"/>
    <col min="2030" max="2030" width="9" style="130"/>
    <col min="2031" max="2031" width="11.875" style="130" customWidth="1"/>
    <col min="2032" max="2032" width="13.625" style="130" customWidth="1"/>
    <col min="2033" max="2033" width="12.75" style="130" customWidth="1"/>
    <col min="2034" max="2034" width="9" style="130"/>
    <col min="2035" max="2035" width="10" style="130" bestFit="1" customWidth="1"/>
    <col min="2036" max="2280" width="9" style="130"/>
    <col min="2281" max="2281" width="5" style="130" customWidth="1"/>
    <col min="2282" max="2282" width="17.875" style="130" bestFit="1" customWidth="1"/>
    <col min="2283" max="2283" width="23.625" style="130" customWidth="1"/>
    <col min="2284" max="2284" width="18.25" style="130" customWidth="1"/>
    <col min="2285" max="2285" width="5.25" style="130" bestFit="1" customWidth="1"/>
    <col min="2286" max="2286" width="9" style="130"/>
    <col min="2287" max="2287" width="11.875" style="130" customWidth="1"/>
    <col min="2288" max="2288" width="13.625" style="130" customWidth="1"/>
    <col min="2289" max="2289" width="12.75" style="130" customWidth="1"/>
    <col min="2290" max="2290" width="9" style="130"/>
    <col min="2291" max="2291" width="10" style="130" bestFit="1" customWidth="1"/>
    <col min="2292" max="2536" width="9" style="130"/>
    <col min="2537" max="2537" width="5" style="130" customWidth="1"/>
    <col min="2538" max="2538" width="17.875" style="130" bestFit="1" customWidth="1"/>
    <col min="2539" max="2539" width="23.625" style="130" customWidth="1"/>
    <col min="2540" max="2540" width="18.25" style="130" customWidth="1"/>
    <col min="2541" max="2541" width="5.25" style="130" bestFit="1" customWidth="1"/>
    <col min="2542" max="2542" width="9" style="130"/>
    <col min="2543" max="2543" width="11.875" style="130" customWidth="1"/>
    <col min="2544" max="2544" width="13.625" style="130" customWidth="1"/>
    <col min="2545" max="2545" width="12.75" style="130" customWidth="1"/>
    <col min="2546" max="2546" width="9" style="130"/>
    <col min="2547" max="2547" width="10" style="130" bestFit="1" customWidth="1"/>
    <col min="2548" max="2792" width="9" style="130"/>
    <col min="2793" max="2793" width="5" style="130" customWidth="1"/>
    <col min="2794" max="2794" width="17.875" style="130" bestFit="1" customWidth="1"/>
    <col min="2795" max="2795" width="23.625" style="130" customWidth="1"/>
    <col min="2796" max="2796" width="18.25" style="130" customWidth="1"/>
    <col min="2797" max="2797" width="5.25" style="130" bestFit="1" customWidth="1"/>
    <col min="2798" max="2798" width="9" style="130"/>
    <col min="2799" max="2799" width="11.875" style="130" customWidth="1"/>
    <col min="2800" max="2800" width="13.625" style="130" customWidth="1"/>
    <col min="2801" max="2801" width="12.75" style="130" customWidth="1"/>
    <col min="2802" max="2802" width="9" style="130"/>
    <col min="2803" max="2803" width="10" style="130" bestFit="1" customWidth="1"/>
    <col min="2804" max="3048" width="9" style="130"/>
    <col min="3049" max="3049" width="5" style="130" customWidth="1"/>
    <col min="3050" max="3050" width="17.875" style="130" bestFit="1" customWidth="1"/>
    <col min="3051" max="3051" width="23.625" style="130" customWidth="1"/>
    <col min="3052" max="3052" width="18.25" style="130" customWidth="1"/>
    <col min="3053" max="3053" width="5.25" style="130" bestFit="1" customWidth="1"/>
    <col min="3054" max="3054" width="9" style="130"/>
    <col min="3055" max="3055" width="11.875" style="130" customWidth="1"/>
    <col min="3056" max="3056" width="13.625" style="130" customWidth="1"/>
    <col min="3057" max="3057" width="12.75" style="130" customWidth="1"/>
    <col min="3058" max="3058" width="9" style="130"/>
    <col min="3059" max="3059" width="10" style="130" bestFit="1" customWidth="1"/>
    <col min="3060" max="3304" width="9" style="130"/>
    <col min="3305" max="3305" width="5" style="130" customWidth="1"/>
    <col min="3306" max="3306" width="17.875" style="130" bestFit="1" customWidth="1"/>
    <col min="3307" max="3307" width="23.625" style="130" customWidth="1"/>
    <col min="3308" max="3308" width="18.25" style="130" customWidth="1"/>
    <col min="3309" max="3309" width="5.25" style="130" bestFit="1" customWidth="1"/>
    <col min="3310" max="3310" width="9" style="130"/>
    <col min="3311" max="3311" width="11.875" style="130" customWidth="1"/>
    <col min="3312" max="3312" width="13.625" style="130" customWidth="1"/>
    <col min="3313" max="3313" width="12.75" style="130" customWidth="1"/>
    <col min="3314" max="3314" width="9" style="130"/>
    <col min="3315" max="3315" width="10" style="130" bestFit="1" customWidth="1"/>
    <col min="3316" max="3560" width="9" style="130"/>
    <col min="3561" max="3561" width="5" style="130" customWidth="1"/>
    <col min="3562" max="3562" width="17.875" style="130" bestFit="1" customWidth="1"/>
    <col min="3563" max="3563" width="23.625" style="130" customWidth="1"/>
    <col min="3564" max="3564" width="18.25" style="130" customWidth="1"/>
    <col min="3565" max="3565" width="5.25" style="130" bestFit="1" customWidth="1"/>
    <col min="3566" max="3566" width="9" style="130"/>
    <col min="3567" max="3567" width="11.875" style="130" customWidth="1"/>
    <col min="3568" max="3568" width="13.625" style="130" customWidth="1"/>
    <col min="3569" max="3569" width="12.75" style="130" customWidth="1"/>
    <col min="3570" max="3570" width="9" style="130"/>
    <col min="3571" max="3571" width="10" style="130" bestFit="1" customWidth="1"/>
    <col min="3572" max="3816" width="9" style="130"/>
    <col min="3817" max="3817" width="5" style="130" customWidth="1"/>
    <col min="3818" max="3818" width="17.875" style="130" bestFit="1" customWidth="1"/>
    <col min="3819" max="3819" width="23.625" style="130" customWidth="1"/>
    <col min="3820" max="3820" width="18.25" style="130" customWidth="1"/>
    <col min="3821" max="3821" width="5.25" style="130" bestFit="1" customWidth="1"/>
    <col min="3822" max="3822" width="9" style="130"/>
    <col min="3823" max="3823" width="11.875" style="130" customWidth="1"/>
    <col min="3824" max="3824" width="13.625" style="130" customWidth="1"/>
    <col min="3825" max="3825" width="12.75" style="130" customWidth="1"/>
    <col min="3826" max="3826" width="9" style="130"/>
    <col min="3827" max="3827" width="10" style="130" bestFit="1" customWidth="1"/>
    <col min="3828" max="4072" width="9" style="130"/>
    <col min="4073" max="4073" width="5" style="130" customWidth="1"/>
    <col min="4074" max="4074" width="17.875" style="130" bestFit="1" customWidth="1"/>
    <col min="4075" max="4075" width="23.625" style="130" customWidth="1"/>
    <col min="4076" max="4076" width="18.25" style="130" customWidth="1"/>
    <col min="4077" max="4077" width="5.25" style="130" bestFit="1" customWidth="1"/>
    <col min="4078" max="4078" width="9" style="130"/>
    <col min="4079" max="4079" width="11.875" style="130" customWidth="1"/>
    <col min="4080" max="4080" width="13.625" style="130" customWidth="1"/>
    <col min="4081" max="4081" width="12.75" style="130" customWidth="1"/>
    <col min="4082" max="4082" width="9" style="130"/>
    <col min="4083" max="4083" width="10" style="130" bestFit="1" customWidth="1"/>
    <col min="4084" max="4328" width="9" style="130"/>
    <col min="4329" max="4329" width="5" style="130" customWidth="1"/>
    <col min="4330" max="4330" width="17.875" style="130" bestFit="1" customWidth="1"/>
    <col min="4331" max="4331" width="23.625" style="130" customWidth="1"/>
    <col min="4332" max="4332" width="18.25" style="130" customWidth="1"/>
    <col min="4333" max="4333" width="5.25" style="130" bestFit="1" customWidth="1"/>
    <col min="4334" max="4334" width="9" style="130"/>
    <col min="4335" max="4335" width="11.875" style="130" customWidth="1"/>
    <col min="4336" max="4336" width="13.625" style="130" customWidth="1"/>
    <col min="4337" max="4337" width="12.75" style="130" customWidth="1"/>
    <col min="4338" max="4338" width="9" style="130"/>
    <col min="4339" max="4339" width="10" style="130" bestFit="1" customWidth="1"/>
    <col min="4340" max="4584" width="9" style="130"/>
    <col min="4585" max="4585" width="5" style="130" customWidth="1"/>
    <col min="4586" max="4586" width="17.875" style="130" bestFit="1" customWidth="1"/>
    <col min="4587" max="4587" width="23.625" style="130" customWidth="1"/>
    <col min="4588" max="4588" width="18.25" style="130" customWidth="1"/>
    <col min="4589" max="4589" width="5.25" style="130" bestFit="1" customWidth="1"/>
    <col min="4590" max="4590" width="9" style="130"/>
    <col min="4591" max="4591" width="11.875" style="130" customWidth="1"/>
    <col min="4592" max="4592" width="13.625" style="130" customWidth="1"/>
    <col min="4593" max="4593" width="12.75" style="130" customWidth="1"/>
    <col min="4594" max="4594" width="9" style="130"/>
    <col min="4595" max="4595" width="10" style="130" bestFit="1" customWidth="1"/>
    <col min="4596" max="4840" width="9" style="130"/>
    <col min="4841" max="4841" width="5" style="130" customWidth="1"/>
    <col min="4842" max="4842" width="17.875" style="130" bestFit="1" customWidth="1"/>
    <col min="4843" max="4843" width="23.625" style="130" customWidth="1"/>
    <col min="4844" max="4844" width="18.25" style="130" customWidth="1"/>
    <col min="4845" max="4845" width="5.25" style="130" bestFit="1" customWidth="1"/>
    <col min="4846" max="4846" width="9" style="130"/>
    <col min="4847" max="4847" width="11.875" style="130" customWidth="1"/>
    <col min="4848" max="4848" width="13.625" style="130" customWidth="1"/>
    <col min="4849" max="4849" width="12.75" style="130" customWidth="1"/>
    <col min="4850" max="4850" width="9" style="130"/>
    <col min="4851" max="4851" width="10" style="130" bestFit="1" customWidth="1"/>
    <col min="4852" max="5096" width="9" style="130"/>
    <col min="5097" max="5097" width="5" style="130" customWidth="1"/>
    <col min="5098" max="5098" width="17.875" style="130" bestFit="1" customWidth="1"/>
    <col min="5099" max="5099" width="23.625" style="130" customWidth="1"/>
    <col min="5100" max="5100" width="18.25" style="130" customWidth="1"/>
    <col min="5101" max="5101" width="5.25" style="130" bestFit="1" customWidth="1"/>
    <col min="5102" max="5102" width="9" style="130"/>
    <col min="5103" max="5103" width="11.875" style="130" customWidth="1"/>
    <col min="5104" max="5104" width="13.625" style="130" customWidth="1"/>
    <col min="5105" max="5105" width="12.75" style="130" customWidth="1"/>
    <col min="5106" max="5106" width="9" style="130"/>
    <col min="5107" max="5107" width="10" style="130" bestFit="1" customWidth="1"/>
    <col min="5108" max="5352" width="9" style="130"/>
    <col min="5353" max="5353" width="5" style="130" customWidth="1"/>
    <col min="5354" max="5354" width="17.875" style="130" bestFit="1" customWidth="1"/>
    <col min="5355" max="5355" width="23.625" style="130" customWidth="1"/>
    <col min="5356" max="5356" width="18.25" style="130" customWidth="1"/>
    <col min="5357" max="5357" width="5.25" style="130" bestFit="1" customWidth="1"/>
    <col min="5358" max="5358" width="9" style="130"/>
    <col min="5359" max="5359" width="11.875" style="130" customWidth="1"/>
    <col min="5360" max="5360" width="13.625" style="130" customWidth="1"/>
    <col min="5361" max="5361" width="12.75" style="130" customWidth="1"/>
    <col min="5362" max="5362" width="9" style="130"/>
    <col min="5363" max="5363" width="10" style="130" bestFit="1" customWidth="1"/>
    <col min="5364" max="5608" width="9" style="130"/>
    <col min="5609" max="5609" width="5" style="130" customWidth="1"/>
    <col min="5610" max="5610" width="17.875" style="130" bestFit="1" customWidth="1"/>
    <col min="5611" max="5611" width="23.625" style="130" customWidth="1"/>
    <col min="5612" max="5612" width="18.25" style="130" customWidth="1"/>
    <col min="5613" max="5613" width="5.25" style="130" bestFit="1" customWidth="1"/>
    <col min="5614" max="5614" width="9" style="130"/>
    <col min="5615" max="5615" width="11.875" style="130" customWidth="1"/>
    <col min="5616" max="5616" width="13.625" style="130" customWidth="1"/>
    <col min="5617" max="5617" width="12.75" style="130" customWidth="1"/>
    <col min="5618" max="5618" width="9" style="130"/>
    <col min="5619" max="5619" width="10" style="130" bestFit="1" customWidth="1"/>
    <col min="5620" max="5864" width="9" style="130"/>
    <col min="5865" max="5865" width="5" style="130" customWidth="1"/>
    <col min="5866" max="5866" width="17.875" style="130" bestFit="1" customWidth="1"/>
    <col min="5867" max="5867" width="23.625" style="130" customWidth="1"/>
    <col min="5868" max="5868" width="18.25" style="130" customWidth="1"/>
    <col min="5869" max="5869" width="5.25" style="130" bestFit="1" customWidth="1"/>
    <col min="5870" max="5870" width="9" style="130"/>
    <col min="5871" max="5871" width="11.875" style="130" customWidth="1"/>
    <col min="5872" max="5872" width="13.625" style="130" customWidth="1"/>
    <col min="5873" max="5873" width="12.75" style="130" customWidth="1"/>
    <col min="5874" max="5874" width="9" style="130"/>
    <col min="5875" max="5875" width="10" style="130" bestFit="1" customWidth="1"/>
    <col min="5876" max="6120" width="9" style="130"/>
    <col min="6121" max="6121" width="5" style="130" customWidth="1"/>
    <col min="6122" max="6122" width="17.875" style="130" bestFit="1" customWidth="1"/>
    <col min="6123" max="6123" width="23.625" style="130" customWidth="1"/>
    <col min="6124" max="6124" width="18.25" style="130" customWidth="1"/>
    <col min="6125" max="6125" width="5.25" style="130" bestFit="1" customWidth="1"/>
    <col min="6126" max="6126" width="9" style="130"/>
    <col min="6127" max="6127" width="11.875" style="130" customWidth="1"/>
    <col min="6128" max="6128" width="13.625" style="130" customWidth="1"/>
    <col min="6129" max="6129" width="12.75" style="130" customWidth="1"/>
    <col min="6130" max="6130" width="9" style="130"/>
    <col min="6131" max="6131" width="10" style="130" bestFit="1" customWidth="1"/>
    <col min="6132" max="6376" width="9" style="130"/>
    <col min="6377" max="6377" width="5" style="130" customWidth="1"/>
    <col min="6378" max="6378" width="17.875" style="130" bestFit="1" customWidth="1"/>
    <col min="6379" max="6379" width="23.625" style="130" customWidth="1"/>
    <col min="6380" max="6380" width="18.25" style="130" customWidth="1"/>
    <col min="6381" max="6381" width="5.25" style="130" bestFit="1" customWidth="1"/>
    <col min="6382" max="6382" width="9" style="130"/>
    <col min="6383" max="6383" width="11.875" style="130" customWidth="1"/>
    <col min="6384" max="6384" width="13.625" style="130" customWidth="1"/>
    <col min="6385" max="6385" width="12.75" style="130" customWidth="1"/>
    <col min="6386" max="6386" width="9" style="130"/>
    <col min="6387" max="6387" width="10" style="130" bestFit="1" customWidth="1"/>
    <col min="6388" max="6632" width="9" style="130"/>
    <col min="6633" max="6633" width="5" style="130" customWidth="1"/>
    <col min="6634" max="6634" width="17.875" style="130" bestFit="1" customWidth="1"/>
    <col min="6635" max="6635" width="23.625" style="130" customWidth="1"/>
    <col min="6636" max="6636" width="18.25" style="130" customWidth="1"/>
    <col min="6637" max="6637" width="5.25" style="130" bestFit="1" customWidth="1"/>
    <col min="6638" max="6638" width="9" style="130"/>
    <col min="6639" max="6639" width="11.875" style="130" customWidth="1"/>
    <col min="6640" max="6640" width="13.625" style="130" customWidth="1"/>
    <col min="6641" max="6641" width="12.75" style="130" customWidth="1"/>
    <col min="6642" max="6642" width="9" style="130"/>
    <col min="6643" max="6643" width="10" style="130" bestFit="1" customWidth="1"/>
    <col min="6644" max="6888" width="9" style="130"/>
    <col min="6889" max="6889" width="5" style="130" customWidth="1"/>
    <col min="6890" max="6890" width="17.875" style="130" bestFit="1" customWidth="1"/>
    <col min="6891" max="6891" width="23.625" style="130" customWidth="1"/>
    <col min="6892" max="6892" width="18.25" style="130" customWidth="1"/>
    <col min="6893" max="6893" width="5.25" style="130" bestFit="1" customWidth="1"/>
    <col min="6894" max="6894" width="9" style="130"/>
    <col min="6895" max="6895" width="11.875" style="130" customWidth="1"/>
    <col min="6896" max="6896" width="13.625" style="130" customWidth="1"/>
    <col min="6897" max="6897" width="12.75" style="130" customWidth="1"/>
    <col min="6898" max="6898" width="9" style="130"/>
    <col min="6899" max="6899" width="10" style="130" bestFit="1" customWidth="1"/>
    <col min="6900" max="7144" width="9" style="130"/>
    <col min="7145" max="7145" width="5" style="130" customWidth="1"/>
    <col min="7146" max="7146" width="17.875" style="130" bestFit="1" customWidth="1"/>
    <col min="7147" max="7147" width="23.625" style="130" customWidth="1"/>
    <col min="7148" max="7148" width="18.25" style="130" customWidth="1"/>
    <col min="7149" max="7149" width="5.25" style="130" bestFit="1" customWidth="1"/>
    <col min="7150" max="7150" width="9" style="130"/>
    <col min="7151" max="7151" width="11.875" style="130" customWidth="1"/>
    <col min="7152" max="7152" width="13.625" style="130" customWidth="1"/>
    <col min="7153" max="7153" width="12.75" style="130" customWidth="1"/>
    <col min="7154" max="7154" width="9" style="130"/>
    <col min="7155" max="7155" width="10" style="130" bestFit="1" customWidth="1"/>
    <col min="7156" max="7400" width="9" style="130"/>
    <col min="7401" max="7401" width="5" style="130" customWidth="1"/>
    <col min="7402" max="7402" width="17.875" style="130" bestFit="1" customWidth="1"/>
    <col min="7403" max="7403" width="23.625" style="130" customWidth="1"/>
    <col min="7404" max="7404" width="18.25" style="130" customWidth="1"/>
    <col min="7405" max="7405" width="5.25" style="130" bestFit="1" customWidth="1"/>
    <col min="7406" max="7406" width="9" style="130"/>
    <col min="7407" max="7407" width="11.875" style="130" customWidth="1"/>
    <col min="7408" max="7408" width="13.625" style="130" customWidth="1"/>
    <col min="7409" max="7409" width="12.75" style="130" customWidth="1"/>
    <col min="7410" max="7410" width="9" style="130"/>
    <col min="7411" max="7411" width="10" style="130" bestFit="1" customWidth="1"/>
    <col min="7412" max="7656" width="9" style="130"/>
    <col min="7657" max="7657" width="5" style="130" customWidth="1"/>
    <col min="7658" max="7658" width="17.875" style="130" bestFit="1" customWidth="1"/>
    <col min="7659" max="7659" width="23.625" style="130" customWidth="1"/>
    <col min="7660" max="7660" width="18.25" style="130" customWidth="1"/>
    <col min="7661" max="7661" width="5.25" style="130" bestFit="1" customWidth="1"/>
    <col min="7662" max="7662" width="9" style="130"/>
    <col min="7663" max="7663" width="11.875" style="130" customWidth="1"/>
    <col min="7664" max="7664" width="13.625" style="130" customWidth="1"/>
    <col min="7665" max="7665" width="12.75" style="130" customWidth="1"/>
    <col min="7666" max="7666" width="9" style="130"/>
    <col min="7667" max="7667" width="10" style="130" bestFit="1" customWidth="1"/>
    <col min="7668" max="7912" width="9" style="130"/>
    <col min="7913" max="7913" width="5" style="130" customWidth="1"/>
    <col min="7914" max="7914" width="17.875" style="130" bestFit="1" customWidth="1"/>
    <col min="7915" max="7915" width="23.625" style="130" customWidth="1"/>
    <col min="7916" max="7916" width="18.25" style="130" customWidth="1"/>
    <col min="7917" max="7917" width="5.25" style="130" bestFit="1" customWidth="1"/>
    <col min="7918" max="7918" width="9" style="130"/>
    <col min="7919" max="7919" width="11.875" style="130" customWidth="1"/>
    <col min="7920" max="7920" width="13.625" style="130" customWidth="1"/>
    <col min="7921" max="7921" width="12.75" style="130" customWidth="1"/>
    <col min="7922" max="7922" width="9" style="130"/>
    <col min="7923" max="7923" width="10" style="130" bestFit="1" customWidth="1"/>
    <col min="7924" max="8168" width="9" style="130"/>
    <col min="8169" max="8169" width="5" style="130" customWidth="1"/>
    <col min="8170" max="8170" width="17.875" style="130" bestFit="1" customWidth="1"/>
    <col min="8171" max="8171" width="23.625" style="130" customWidth="1"/>
    <col min="8172" max="8172" width="18.25" style="130" customWidth="1"/>
    <col min="8173" max="8173" width="5.25" style="130" bestFit="1" customWidth="1"/>
    <col min="8174" max="8174" width="9" style="130"/>
    <col min="8175" max="8175" width="11.875" style="130" customWidth="1"/>
    <col min="8176" max="8176" width="13.625" style="130" customWidth="1"/>
    <col min="8177" max="8177" width="12.75" style="130" customWidth="1"/>
    <col min="8178" max="8178" width="9" style="130"/>
    <col min="8179" max="8179" width="10" style="130" bestFit="1" customWidth="1"/>
    <col min="8180" max="8424" width="9" style="130"/>
    <col min="8425" max="8425" width="5" style="130" customWidth="1"/>
    <col min="8426" max="8426" width="17.875" style="130" bestFit="1" customWidth="1"/>
    <col min="8427" max="8427" width="23.625" style="130" customWidth="1"/>
    <col min="8428" max="8428" width="18.25" style="130" customWidth="1"/>
    <col min="8429" max="8429" width="5.25" style="130" bestFit="1" customWidth="1"/>
    <col min="8430" max="8430" width="9" style="130"/>
    <col min="8431" max="8431" width="11.875" style="130" customWidth="1"/>
    <col min="8432" max="8432" width="13.625" style="130" customWidth="1"/>
    <col min="8433" max="8433" width="12.75" style="130" customWidth="1"/>
    <col min="8434" max="8434" width="9" style="130"/>
    <col min="8435" max="8435" width="10" style="130" bestFit="1" customWidth="1"/>
    <col min="8436" max="8680" width="9" style="130"/>
    <col min="8681" max="8681" width="5" style="130" customWidth="1"/>
    <col min="8682" max="8682" width="17.875" style="130" bestFit="1" customWidth="1"/>
    <col min="8683" max="8683" width="23.625" style="130" customWidth="1"/>
    <col min="8684" max="8684" width="18.25" style="130" customWidth="1"/>
    <col min="8685" max="8685" width="5.25" style="130" bestFit="1" customWidth="1"/>
    <col min="8686" max="8686" width="9" style="130"/>
    <col min="8687" max="8687" width="11.875" style="130" customWidth="1"/>
    <col min="8688" max="8688" width="13.625" style="130" customWidth="1"/>
    <col min="8689" max="8689" width="12.75" style="130" customWidth="1"/>
    <col min="8690" max="8690" width="9" style="130"/>
    <col min="8691" max="8691" width="10" style="130" bestFit="1" customWidth="1"/>
    <col min="8692" max="8936" width="9" style="130"/>
    <col min="8937" max="8937" width="5" style="130" customWidth="1"/>
    <col min="8938" max="8938" width="17.875" style="130" bestFit="1" customWidth="1"/>
    <col min="8939" max="8939" width="23.625" style="130" customWidth="1"/>
    <col min="8940" max="8940" width="18.25" style="130" customWidth="1"/>
    <col min="8941" max="8941" width="5.25" style="130" bestFit="1" customWidth="1"/>
    <col min="8942" max="8942" width="9" style="130"/>
    <col min="8943" max="8943" width="11.875" style="130" customWidth="1"/>
    <col min="8944" max="8944" width="13.625" style="130" customWidth="1"/>
    <col min="8945" max="8945" width="12.75" style="130" customWidth="1"/>
    <col min="8946" max="8946" width="9" style="130"/>
    <col min="8947" max="8947" width="10" style="130" bestFit="1" customWidth="1"/>
    <col min="8948" max="9192" width="9" style="130"/>
    <col min="9193" max="9193" width="5" style="130" customWidth="1"/>
    <col min="9194" max="9194" width="17.875" style="130" bestFit="1" customWidth="1"/>
    <col min="9195" max="9195" width="23.625" style="130" customWidth="1"/>
    <col min="9196" max="9196" width="18.25" style="130" customWidth="1"/>
    <col min="9197" max="9197" width="5.25" style="130" bestFit="1" customWidth="1"/>
    <col min="9198" max="9198" width="9" style="130"/>
    <col min="9199" max="9199" width="11.875" style="130" customWidth="1"/>
    <col min="9200" max="9200" width="13.625" style="130" customWidth="1"/>
    <col min="9201" max="9201" width="12.75" style="130" customWidth="1"/>
    <col min="9202" max="9202" width="9" style="130"/>
    <col min="9203" max="9203" width="10" style="130" bestFit="1" customWidth="1"/>
    <col min="9204" max="9448" width="9" style="130"/>
    <col min="9449" max="9449" width="5" style="130" customWidth="1"/>
    <col min="9450" max="9450" width="17.875" style="130" bestFit="1" customWidth="1"/>
    <col min="9451" max="9451" width="23.625" style="130" customWidth="1"/>
    <col min="9452" max="9452" width="18.25" style="130" customWidth="1"/>
    <col min="9453" max="9453" width="5.25" style="130" bestFit="1" customWidth="1"/>
    <col min="9454" max="9454" width="9" style="130"/>
    <col min="9455" max="9455" width="11.875" style="130" customWidth="1"/>
    <col min="9456" max="9456" width="13.625" style="130" customWidth="1"/>
    <col min="9457" max="9457" width="12.75" style="130" customWidth="1"/>
    <col min="9458" max="9458" width="9" style="130"/>
    <col min="9459" max="9459" width="10" style="130" bestFit="1" customWidth="1"/>
    <col min="9460" max="9704" width="9" style="130"/>
    <col min="9705" max="9705" width="5" style="130" customWidth="1"/>
    <col min="9706" max="9706" width="17.875" style="130" bestFit="1" customWidth="1"/>
    <col min="9707" max="9707" width="23.625" style="130" customWidth="1"/>
    <col min="9708" max="9708" width="18.25" style="130" customWidth="1"/>
    <col min="9709" max="9709" width="5.25" style="130" bestFit="1" customWidth="1"/>
    <col min="9710" max="9710" width="9" style="130"/>
    <col min="9711" max="9711" width="11.875" style="130" customWidth="1"/>
    <col min="9712" max="9712" width="13.625" style="130" customWidth="1"/>
    <col min="9713" max="9713" width="12.75" style="130" customWidth="1"/>
    <col min="9714" max="9714" width="9" style="130"/>
    <col min="9715" max="9715" width="10" style="130" bestFit="1" customWidth="1"/>
    <col min="9716" max="9960" width="9" style="130"/>
    <col min="9961" max="9961" width="5" style="130" customWidth="1"/>
    <col min="9962" max="9962" width="17.875" style="130" bestFit="1" customWidth="1"/>
    <col min="9963" max="9963" width="23.625" style="130" customWidth="1"/>
    <col min="9964" max="9964" width="18.25" style="130" customWidth="1"/>
    <col min="9965" max="9965" width="5.25" style="130" bestFit="1" customWidth="1"/>
    <col min="9966" max="9966" width="9" style="130"/>
    <col min="9967" max="9967" width="11.875" style="130" customWidth="1"/>
    <col min="9968" max="9968" width="13.625" style="130" customWidth="1"/>
    <col min="9969" max="9969" width="12.75" style="130" customWidth="1"/>
    <col min="9970" max="9970" width="9" style="130"/>
    <col min="9971" max="9971" width="10" style="130" bestFit="1" customWidth="1"/>
    <col min="9972" max="10216" width="9" style="130"/>
    <col min="10217" max="10217" width="5" style="130" customWidth="1"/>
    <col min="10218" max="10218" width="17.875" style="130" bestFit="1" customWidth="1"/>
    <col min="10219" max="10219" width="23.625" style="130" customWidth="1"/>
    <col min="10220" max="10220" width="18.25" style="130" customWidth="1"/>
    <col min="10221" max="10221" width="5.25" style="130" bestFit="1" customWidth="1"/>
    <col min="10222" max="10222" width="9" style="130"/>
    <col min="10223" max="10223" width="11.875" style="130" customWidth="1"/>
    <col min="10224" max="10224" width="13.625" style="130" customWidth="1"/>
    <col min="10225" max="10225" width="12.75" style="130" customWidth="1"/>
    <col min="10226" max="10226" width="9" style="130"/>
    <col min="10227" max="10227" width="10" style="130" bestFit="1" customWidth="1"/>
    <col min="10228" max="10472" width="9" style="130"/>
    <col min="10473" max="10473" width="5" style="130" customWidth="1"/>
    <col min="10474" max="10474" width="17.875" style="130" bestFit="1" customWidth="1"/>
    <col min="10475" max="10475" width="23.625" style="130" customWidth="1"/>
    <col min="10476" max="10476" width="18.25" style="130" customWidth="1"/>
    <col min="10477" max="10477" width="5.25" style="130" bestFit="1" customWidth="1"/>
    <col min="10478" max="10478" width="9" style="130"/>
    <col min="10479" max="10479" width="11.875" style="130" customWidth="1"/>
    <col min="10480" max="10480" width="13.625" style="130" customWidth="1"/>
    <col min="10481" max="10481" width="12.75" style="130" customWidth="1"/>
    <col min="10482" max="10482" width="9" style="130"/>
    <col min="10483" max="10483" width="10" style="130" bestFit="1" customWidth="1"/>
    <col min="10484" max="10728" width="9" style="130"/>
    <col min="10729" max="10729" width="5" style="130" customWidth="1"/>
    <col min="10730" max="10730" width="17.875" style="130" bestFit="1" customWidth="1"/>
    <col min="10731" max="10731" width="23.625" style="130" customWidth="1"/>
    <col min="10732" max="10732" width="18.25" style="130" customWidth="1"/>
    <col min="10733" max="10733" width="5.25" style="130" bestFit="1" customWidth="1"/>
    <col min="10734" max="10734" width="9" style="130"/>
    <col min="10735" max="10735" width="11.875" style="130" customWidth="1"/>
    <col min="10736" max="10736" width="13.625" style="130" customWidth="1"/>
    <col min="10737" max="10737" width="12.75" style="130" customWidth="1"/>
    <col min="10738" max="10738" width="9" style="130"/>
    <col min="10739" max="10739" width="10" style="130" bestFit="1" customWidth="1"/>
    <col min="10740" max="10984" width="9" style="130"/>
    <col min="10985" max="10985" width="5" style="130" customWidth="1"/>
    <col min="10986" max="10986" width="17.875" style="130" bestFit="1" customWidth="1"/>
    <col min="10987" max="10987" width="23.625" style="130" customWidth="1"/>
    <col min="10988" max="10988" width="18.25" style="130" customWidth="1"/>
    <col min="10989" max="10989" width="5.25" style="130" bestFit="1" customWidth="1"/>
    <col min="10990" max="10990" width="9" style="130"/>
    <col min="10991" max="10991" width="11.875" style="130" customWidth="1"/>
    <col min="10992" max="10992" width="13.625" style="130" customWidth="1"/>
    <col min="10993" max="10993" width="12.75" style="130" customWidth="1"/>
    <col min="10994" max="10994" width="9" style="130"/>
    <col min="10995" max="10995" width="10" style="130" bestFit="1" customWidth="1"/>
    <col min="10996" max="11240" width="9" style="130"/>
    <col min="11241" max="11241" width="5" style="130" customWidth="1"/>
    <col min="11242" max="11242" width="17.875" style="130" bestFit="1" customWidth="1"/>
    <col min="11243" max="11243" width="23.625" style="130" customWidth="1"/>
    <col min="11244" max="11244" width="18.25" style="130" customWidth="1"/>
    <col min="11245" max="11245" width="5.25" style="130" bestFit="1" customWidth="1"/>
    <col min="11246" max="11246" width="9" style="130"/>
    <col min="11247" max="11247" width="11.875" style="130" customWidth="1"/>
    <col min="11248" max="11248" width="13.625" style="130" customWidth="1"/>
    <col min="11249" max="11249" width="12.75" style="130" customWidth="1"/>
    <col min="11250" max="11250" width="9" style="130"/>
    <col min="11251" max="11251" width="10" style="130" bestFit="1" customWidth="1"/>
    <col min="11252" max="11496" width="9" style="130"/>
    <col min="11497" max="11497" width="5" style="130" customWidth="1"/>
    <col min="11498" max="11498" width="17.875" style="130" bestFit="1" customWidth="1"/>
    <col min="11499" max="11499" width="23.625" style="130" customWidth="1"/>
    <col min="11500" max="11500" width="18.25" style="130" customWidth="1"/>
    <col min="11501" max="11501" width="5.25" style="130" bestFit="1" customWidth="1"/>
    <col min="11502" max="11502" width="9" style="130"/>
    <col min="11503" max="11503" width="11.875" style="130" customWidth="1"/>
    <col min="11504" max="11504" width="13.625" style="130" customWidth="1"/>
    <col min="11505" max="11505" width="12.75" style="130" customWidth="1"/>
    <col min="11506" max="11506" width="9" style="130"/>
    <col min="11507" max="11507" width="10" style="130" bestFit="1" customWidth="1"/>
    <col min="11508" max="11752" width="9" style="130"/>
    <col min="11753" max="11753" width="5" style="130" customWidth="1"/>
    <col min="11754" max="11754" width="17.875" style="130" bestFit="1" customWidth="1"/>
    <col min="11755" max="11755" width="23.625" style="130" customWidth="1"/>
    <col min="11756" max="11756" width="18.25" style="130" customWidth="1"/>
    <col min="11757" max="11757" width="5.25" style="130" bestFit="1" customWidth="1"/>
    <col min="11758" max="11758" width="9" style="130"/>
    <col min="11759" max="11759" width="11.875" style="130" customWidth="1"/>
    <col min="11760" max="11760" width="13.625" style="130" customWidth="1"/>
    <col min="11761" max="11761" width="12.75" style="130" customWidth="1"/>
    <col min="11762" max="11762" width="9" style="130"/>
    <col min="11763" max="11763" width="10" style="130" bestFit="1" customWidth="1"/>
    <col min="11764" max="12008" width="9" style="130"/>
    <col min="12009" max="12009" width="5" style="130" customWidth="1"/>
    <col min="12010" max="12010" width="17.875" style="130" bestFit="1" customWidth="1"/>
    <col min="12011" max="12011" width="23.625" style="130" customWidth="1"/>
    <col min="12012" max="12012" width="18.25" style="130" customWidth="1"/>
    <col min="12013" max="12013" width="5.25" style="130" bestFit="1" customWidth="1"/>
    <col min="12014" max="12014" width="9" style="130"/>
    <col min="12015" max="12015" width="11.875" style="130" customWidth="1"/>
    <col min="12016" max="12016" width="13.625" style="130" customWidth="1"/>
    <col min="12017" max="12017" width="12.75" style="130" customWidth="1"/>
    <col min="12018" max="12018" width="9" style="130"/>
    <col min="12019" max="12019" width="10" style="130" bestFit="1" customWidth="1"/>
    <col min="12020" max="12264" width="9" style="130"/>
    <col min="12265" max="12265" width="5" style="130" customWidth="1"/>
    <col min="12266" max="12266" width="17.875" style="130" bestFit="1" customWidth="1"/>
    <col min="12267" max="12267" width="23.625" style="130" customWidth="1"/>
    <col min="12268" max="12268" width="18.25" style="130" customWidth="1"/>
    <col min="12269" max="12269" width="5.25" style="130" bestFit="1" customWidth="1"/>
    <col min="12270" max="12270" width="9" style="130"/>
    <col min="12271" max="12271" width="11.875" style="130" customWidth="1"/>
    <col min="12272" max="12272" width="13.625" style="130" customWidth="1"/>
    <col min="12273" max="12273" width="12.75" style="130" customWidth="1"/>
    <col min="12274" max="12274" width="9" style="130"/>
    <col min="12275" max="12275" width="10" style="130" bestFit="1" customWidth="1"/>
    <col min="12276" max="12520" width="9" style="130"/>
    <col min="12521" max="12521" width="5" style="130" customWidth="1"/>
    <col min="12522" max="12522" width="17.875" style="130" bestFit="1" customWidth="1"/>
    <col min="12523" max="12523" width="23.625" style="130" customWidth="1"/>
    <col min="12524" max="12524" width="18.25" style="130" customWidth="1"/>
    <col min="12525" max="12525" width="5.25" style="130" bestFit="1" customWidth="1"/>
    <col min="12526" max="12526" width="9" style="130"/>
    <col min="12527" max="12527" width="11.875" style="130" customWidth="1"/>
    <col min="12528" max="12528" width="13.625" style="130" customWidth="1"/>
    <col min="12529" max="12529" width="12.75" style="130" customWidth="1"/>
    <col min="12530" max="12530" width="9" style="130"/>
    <col min="12531" max="12531" width="10" style="130" bestFit="1" customWidth="1"/>
    <col min="12532" max="12776" width="9" style="130"/>
    <col min="12777" max="12777" width="5" style="130" customWidth="1"/>
    <col min="12778" max="12778" width="17.875" style="130" bestFit="1" customWidth="1"/>
    <col min="12779" max="12779" width="23.625" style="130" customWidth="1"/>
    <col min="12780" max="12780" width="18.25" style="130" customWidth="1"/>
    <col min="12781" max="12781" width="5.25" style="130" bestFit="1" customWidth="1"/>
    <col min="12782" max="12782" width="9" style="130"/>
    <col min="12783" max="12783" width="11.875" style="130" customWidth="1"/>
    <col min="12784" max="12784" width="13.625" style="130" customWidth="1"/>
    <col min="12785" max="12785" width="12.75" style="130" customWidth="1"/>
    <col min="12786" max="12786" width="9" style="130"/>
    <col min="12787" max="12787" width="10" style="130" bestFit="1" customWidth="1"/>
    <col min="12788" max="13032" width="9" style="130"/>
    <col min="13033" max="13033" width="5" style="130" customWidth="1"/>
    <col min="13034" max="13034" width="17.875" style="130" bestFit="1" customWidth="1"/>
    <col min="13035" max="13035" width="23.625" style="130" customWidth="1"/>
    <col min="13036" max="13036" width="18.25" style="130" customWidth="1"/>
    <col min="13037" max="13037" width="5.25" style="130" bestFit="1" customWidth="1"/>
    <col min="13038" max="13038" width="9" style="130"/>
    <col min="13039" max="13039" width="11.875" style="130" customWidth="1"/>
    <col min="13040" max="13040" width="13.625" style="130" customWidth="1"/>
    <col min="13041" max="13041" width="12.75" style="130" customWidth="1"/>
    <col min="13042" max="13042" width="9" style="130"/>
    <col min="13043" max="13043" width="10" style="130" bestFit="1" customWidth="1"/>
    <col min="13044" max="13288" width="9" style="130"/>
    <col min="13289" max="13289" width="5" style="130" customWidth="1"/>
    <col min="13290" max="13290" width="17.875" style="130" bestFit="1" customWidth="1"/>
    <col min="13291" max="13291" width="23.625" style="130" customWidth="1"/>
    <col min="13292" max="13292" width="18.25" style="130" customWidth="1"/>
    <col min="13293" max="13293" width="5.25" style="130" bestFit="1" customWidth="1"/>
    <col min="13294" max="13294" width="9" style="130"/>
    <col min="13295" max="13295" width="11.875" style="130" customWidth="1"/>
    <col min="13296" max="13296" width="13.625" style="130" customWidth="1"/>
    <col min="13297" max="13297" width="12.75" style="130" customWidth="1"/>
    <col min="13298" max="13298" width="9" style="130"/>
    <col min="13299" max="13299" width="10" style="130" bestFit="1" customWidth="1"/>
    <col min="13300" max="13544" width="9" style="130"/>
    <col min="13545" max="13545" width="5" style="130" customWidth="1"/>
    <col min="13546" max="13546" width="17.875" style="130" bestFit="1" customWidth="1"/>
    <col min="13547" max="13547" width="23.625" style="130" customWidth="1"/>
    <col min="13548" max="13548" width="18.25" style="130" customWidth="1"/>
    <col min="13549" max="13549" width="5.25" style="130" bestFit="1" customWidth="1"/>
    <col min="13550" max="13550" width="9" style="130"/>
    <col min="13551" max="13551" width="11.875" style="130" customWidth="1"/>
    <col min="13552" max="13552" width="13.625" style="130" customWidth="1"/>
    <col min="13553" max="13553" width="12.75" style="130" customWidth="1"/>
    <col min="13554" max="13554" width="9" style="130"/>
    <col min="13555" max="13555" width="10" style="130" bestFit="1" customWidth="1"/>
    <col min="13556" max="13800" width="9" style="130"/>
    <col min="13801" max="13801" width="5" style="130" customWidth="1"/>
    <col min="13802" max="13802" width="17.875" style="130" bestFit="1" customWidth="1"/>
    <col min="13803" max="13803" width="23.625" style="130" customWidth="1"/>
    <col min="13804" max="13804" width="18.25" style="130" customWidth="1"/>
    <col min="13805" max="13805" width="5.25" style="130" bestFit="1" customWidth="1"/>
    <col min="13806" max="13806" width="9" style="130"/>
    <col min="13807" max="13807" width="11.875" style="130" customWidth="1"/>
    <col min="13808" max="13808" width="13.625" style="130" customWidth="1"/>
    <col min="13809" max="13809" width="12.75" style="130" customWidth="1"/>
    <col min="13810" max="13810" width="9" style="130"/>
    <col min="13811" max="13811" width="10" style="130" bestFit="1" customWidth="1"/>
    <col min="13812" max="14056" width="9" style="130"/>
    <col min="14057" max="14057" width="5" style="130" customWidth="1"/>
    <col min="14058" max="14058" width="17.875" style="130" bestFit="1" customWidth="1"/>
    <col min="14059" max="14059" width="23.625" style="130" customWidth="1"/>
    <col min="14060" max="14060" width="18.25" style="130" customWidth="1"/>
    <col min="14061" max="14061" width="5.25" style="130" bestFit="1" customWidth="1"/>
    <col min="14062" max="14062" width="9" style="130"/>
    <col min="14063" max="14063" width="11.875" style="130" customWidth="1"/>
    <col min="14064" max="14064" width="13.625" style="130" customWidth="1"/>
    <col min="14065" max="14065" width="12.75" style="130" customWidth="1"/>
    <col min="14066" max="14066" width="9" style="130"/>
    <col min="14067" max="14067" width="10" style="130" bestFit="1" customWidth="1"/>
    <col min="14068" max="14312" width="9" style="130"/>
    <col min="14313" max="14313" width="5" style="130" customWidth="1"/>
    <col min="14314" max="14314" width="17.875" style="130" bestFit="1" customWidth="1"/>
    <col min="14315" max="14315" width="23.625" style="130" customWidth="1"/>
    <col min="14316" max="14316" width="18.25" style="130" customWidth="1"/>
    <col min="14317" max="14317" width="5.25" style="130" bestFit="1" customWidth="1"/>
    <col min="14318" max="14318" width="9" style="130"/>
    <col min="14319" max="14319" width="11.875" style="130" customWidth="1"/>
    <col min="14320" max="14320" width="13.625" style="130" customWidth="1"/>
    <col min="14321" max="14321" width="12.75" style="130" customWidth="1"/>
    <col min="14322" max="14322" width="9" style="130"/>
    <col min="14323" max="14323" width="10" style="130" bestFit="1" customWidth="1"/>
    <col min="14324" max="14568" width="9" style="130"/>
    <col min="14569" max="14569" width="5" style="130" customWidth="1"/>
    <col min="14570" max="14570" width="17.875" style="130" bestFit="1" customWidth="1"/>
    <col min="14571" max="14571" width="23.625" style="130" customWidth="1"/>
    <col min="14572" max="14572" width="18.25" style="130" customWidth="1"/>
    <col min="14573" max="14573" width="5.25" style="130" bestFit="1" customWidth="1"/>
    <col min="14574" max="14574" width="9" style="130"/>
    <col min="14575" max="14575" width="11.875" style="130" customWidth="1"/>
    <col min="14576" max="14576" width="13.625" style="130" customWidth="1"/>
    <col min="14577" max="14577" width="12.75" style="130" customWidth="1"/>
    <col min="14578" max="14578" width="9" style="130"/>
    <col min="14579" max="14579" width="10" style="130" bestFit="1" customWidth="1"/>
    <col min="14580" max="14824" width="9" style="130"/>
    <col min="14825" max="14825" width="5" style="130" customWidth="1"/>
    <col min="14826" max="14826" width="17.875" style="130" bestFit="1" customWidth="1"/>
    <col min="14827" max="14827" width="23.625" style="130" customWidth="1"/>
    <col min="14828" max="14828" width="18.25" style="130" customWidth="1"/>
    <col min="14829" max="14829" width="5.25" style="130" bestFit="1" customWidth="1"/>
    <col min="14830" max="14830" width="9" style="130"/>
    <col min="14831" max="14831" width="11.875" style="130" customWidth="1"/>
    <col min="14832" max="14832" width="13.625" style="130" customWidth="1"/>
    <col min="14833" max="14833" width="12.75" style="130" customWidth="1"/>
    <col min="14834" max="14834" width="9" style="130"/>
    <col min="14835" max="14835" width="10" style="130" bestFit="1" customWidth="1"/>
    <col min="14836" max="15080" width="9" style="130"/>
    <col min="15081" max="15081" width="5" style="130" customWidth="1"/>
    <col min="15082" max="15082" width="17.875" style="130" bestFit="1" customWidth="1"/>
    <col min="15083" max="15083" width="23.625" style="130" customWidth="1"/>
    <col min="15084" max="15084" width="18.25" style="130" customWidth="1"/>
    <col min="15085" max="15085" width="5.25" style="130" bestFit="1" customWidth="1"/>
    <col min="15086" max="15086" width="9" style="130"/>
    <col min="15087" max="15087" width="11.875" style="130" customWidth="1"/>
    <col min="15088" max="15088" width="13.625" style="130" customWidth="1"/>
    <col min="15089" max="15089" width="12.75" style="130" customWidth="1"/>
    <col min="15090" max="15090" width="9" style="130"/>
    <col min="15091" max="15091" width="10" style="130" bestFit="1" customWidth="1"/>
    <col min="15092" max="15336" width="9" style="130"/>
    <col min="15337" max="15337" width="5" style="130" customWidth="1"/>
    <col min="15338" max="15338" width="17.875" style="130" bestFit="1" customWidth="1"/>
    <col min="15339" max="15339" width="23.625" style="130" customWidth="1"/>
    <col min="15340" max="15340" width="18.25" style="130" customWidth="1"/>
    <col min="15341" max="15341" width="5.25" style="130" bestFit="1" customWidth="1"/>
    <col min="15342" max="15342" width="9" style="130"/>
    <col min="15343" max="15343" width="11.875" style="130" customWidth="1"/>
    <col min="15344" max="15344" width="13.625" style="130" customWidth="1"/>
    <col min="15345" max="15345" width="12.75" style="130" customWidth="1"/>
    <col min="15346" max="15346" width="9" style="130"/>
    <col min="15347" max="15347" width="10" style="130" bestFit="1" customWidth="1"/>
    <col min="15348" max="15592" width="9" style="130"/>
    <col min="15593" max="15593" width="5" style="130" customWidth="1"/>
    <col min="15594" max="15594" width="17.875" style="130" bestFit="1" customWidth="1"/>
    <col min="15595" max="15595" width="23.625" style="130" customWidth="1"/>
    <col min="15596" max="15596" width="18.25" style="130" customWidth="1"/>
    <col min="15597" max="15597" width="5.25" style="130" bestFit="1" customWidth="1"/>
    <col min="15598" max="15598" width="9" style="130"/>
    <col min="15599" max="15599" width="11.875" style="130" customWidth="1"/>
    <col min="15600" max="15600" width="13.625" style="130" customWidth="1"/>
    <col min="15601" max="15601" width="12.75" style="130" customWidth="1"/>
    <col min="15602" max="15602" width="9" style="130"/>
    <col min="15603" max="15603" width="10" style="130" bestFit="1" customWidth="1"/>
    <col min="15604" max="15848" width="9" style="130"/>
    <col min="15849" max="15849" width="5" style="130" customWidth="1"/>
    <col min="15850" max="15850" width="17.875" style="130" bestFit="1" customWidth="1"/>
    <col min="15851" max="15851" width="23.625" style="130" customWidth="1"/>
    <col min="15852" max="15852" width="18.25" style="130" customWidth="1"/>
    <col min="15853" max="15853" width="5.25" style="130" bestFit="1" customWidth="1"/>
    <col min="15854" max="15854" width="9" style="130"/>
    <col min="15855" max="15855" width="11.875" style="130" customWidth="1"/>
    <col min="15856" max="15856" width="13.625" style="130" customWidth="1"/>
    <col min="15857" max="15857" width="12.75" style="130" customWidth="1"/>
    <col min="15858" max="15858" width="9" style="130"/>
    <col min="15859" max="15859" width="10" style="130" bestFit="1" customWidth="1"/>
    <col min="15860" max="16104" width="9" style="130"/>
    <col min="16105" max="16105" width="5" style="130" customWidth="1"/>
    <col min="16106" max="16106" width="17.875" style="130" bestFit="1" customWidth="1"/>
    <col min="16107" max="16107" width="23.625" style="130" customWidth="1"/>
    <col min="16108" max="16108" width="18.25" style="130" customWidth="1"/>
    <col min="16109" max="16109" width="5.25" style="130" bestFit="1" customWidth="1"/>
    <col min="16110" max="16110" width="9" style="130"/>
    <col min="16111" max="16111" width="11.875" style="130" customWidth="1"/>
    <col min="16112" max="16112" width="13.625" style="130" customWidth="1"/>
    <col min="16113" max="16113" width="12.75" style="130" customWidth="1"/>
    <col min="16114" max="16114" width="9" style="130"/>
    <col min="16115" max="16115" width="10" style="130" bestFit="1" customWidth="1"/>
    <col min="16116" max="16384" width="9" style="130"/>
  </cols>
  <sheetData>
    <row r="1" spans="1:9" ht="22.5" customHeight="1">
      <c r="B1" s="212" t="s">
        <v>149</v>
      </c>
      <c r="C1" s="305" t="s">
        <v>177</v>
      </c>
      <c r="F1" s="306"/>
      <c r="I1" s="136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6" t="s">
        <v>127</v>
      </c>
      <c r="B3" s="218" t="s">
        <v>128</v>
      </c>
      <c r="C3" s="225" t="s">
        <v>178</v>
      </c>
      <c r="D3" s="307"/>
      <c r="E3" s="226" t="s">
        <v>51</v>
      </c>
      <c r="F3" s="227">
        <v>1</v>
      </c>
      <c r="G3" s="228">
        <v>4824000</v>
      </c>
      <c r="H3" s="175">
        <f t="shared" ref="H3:H27" si="0">F3*G3</f>
        <v>4824000</v>
      </c>
      <c r="I3" s="314"/>
    </row>
    <row r="4" spans="1:9" ht="15.95" customHeight="1">
      <c r="A4" s="496"/>
      <c r="B4" s="218"/>
      <c r="C4" s="309" t="s">
        <v>219</v>
      </c>
      <c r="D4" s="309"/>
      <c r="E4" s="226" t="s">
        <v>51</v>
      </c>
      <c r="F4" s="227">
        <v>1</v>
      </c>
      <c r="G4" s="311">
        <v>2592000</v>
      </c>
      <c r="H4" s="175">
        <f t="shared" si="0"/>
        <v>2592000</v>
      </c>
      <c r="I4" s="314"/>
    </row>
    <row r="5" spans="1:9" ht="15.95" customHeight="1">
      <c r="A5" s="496"/>
      <c r="B5" s="218"/>
      <c r="C5" s="309" t="s">
        <v>179</v>
      </c>
      <c r="D5" s="309"/>
      <c r="E5" s="226" t="s">
        <v>51</v>
      </c>
      <c r="F5" s="227">
        <v>1</v>
      </c>
      <c r="G5" s="311">
        <v>7128000</v>
      </c>
      <c r="H5" s="175">
        <f t="shared" si="0"/>
        <v>7128000</v>
      </c>
      <c r="I5" s="314"/>
    </row>
    <row r="6" spans="1:9" ht="15.95" customHeight="1">
      <c r="A6" s="496"/>
      <c r="B6" s="218"/>
      <c r="C6" s="309" t="s">
        <v>220</v>
      </c>
      <c r="D6" s="309"/>
      <c r="E6" s="226" t="s">
        <v>51</v>
      </c>
      <c r="F6" s="227">
        <v>1</v>
      </c>
      <c r="G6" s="311">
        <v>2304000</v>
      </c>
      <c r="H6" s="175">
        <f t="shared" si="0"/>
        <v>2304000</v>
      </c>
      <c r="I6" s="314"/>
    </row>
    <row r="7" spans="1:9" ht="15.95" customHeight="1">
      <c r="A7" s="496"/>
      <c r="B7" s="218"/>
      <c r="C7" s="309" t="s">
        <v>221</v>
      </c>
      <c r="D7" s="309"/>
      <c r="E7" s="226" t="s">
        <v>51</v>
      </c>
      <c r="F7" s="227">
        <v>1</v>
      </c>
      <c r="G7" s="311">
        <v>1152000</v>
      </c>
      <c r="H7" s="175">
        <f t="shared" si="0"/>
        <v>1152000</v>
      </c>
      <c r="I7" s="314"/>
    </row>
    <row r="8" spans="1:9" ht="15.95" customHeight="1">
      <c r="A8" s="496"/>
      <c r="B8" s="218"/>
      <c r="C8" s="309" t="s">
        <v>223</v>
      </c>
      <c r="D8" s="309"/>
      <c r="E8" s="226" t="s">
        <v>51</v>
      </c>
      <c r="F8" s="227">
        <v>1</v>
      </c>
      <c r="G8" s="311">
        <v>2664000</v>
      </c>
      <c r="H8" s="175">
        <f t="shared" si="0"/>
        <v>2664000</v>
      </c>
      <c r="I8" s="314"/>
    </row>
    <row r="9" spans="1:9" ht="15.95" customHeight="1">
      <c r="A9" s="496"/>
      <c r="B9" s="218"/>
      <c r="C9" s="309" t="s">
        <v>224</v>
      </c>
      <c r="D9" s="309"/>
      <c r="E9" s="226" t="s">
        <v>51</v>
      </c>
      <c r="F9" s="227">
        <v>1</v>
      </c>
      <c r="G9" s="311">
        <v>1296000</v>
      </c>
      <c r="H9" s="175">
        <f t="shared" si="0"/>
        <v>1296000</v>
      </c>
      <c r="I9" s="314"/>
    </row>
    <row r="10" spans="1:9" ht="15.95" customHeight="1">
      <c r="A10" s="496"/>
      <c r="B10" s="218"/>
      <c r="C10" s="309" t="s">
        <v>222</v>
      </c>
      <c r="D10" s="309"/>
      <c r="E10" s="226" t="s">
        <v>51</v>
      </c>
      <c r="F10" s="227">
        <v>1</v>
      </c>
      <c r="G10" s="311">
        <v>1008000</v>
      </c>
      <c r="H10" s="175">
        <f t="shared" si="0"/>
        <v>1008000</v>
      </c>
      <c r="I10" s="314"/>
    </row>
    <row r="11" spans="1:9" ht="15.95" customHeight="1">
      <c r="A11" s="496"/>
      <c r="B11" s="218"/>
      <c r="C11" s="309" t="s">
        <v>225</v>
      </c>
      <c r="D11" s="309"/>
      <c r="E11" s="226" t="s">
        <v>51</v>
      </c>
      <c r="F11" s="227">
        <v>1</v>
      </c>
      <c r="G11" s="311">
        <v>2952000</v>
      </c>
      <c r="H11" s="175">
        <f t="shared" si="0"/>
        <v>2952000</v>
      </c>
      <c r="I11" s="314"/>
    </row>
    <row r="12" spans="1:9" ht="15.95" customHeight="1">
      <c r="A12" s="496"/>
      <c r="B12" s="218"/>
      <c r="C12" s="309" t="s">
        <v>225</v>
      </c>
      <c r="D12" s="309"/>
      <c r="E12" s="226" t="s">
        <v>51</v>
      </c>
      <c r="F12" s="227">
        <v>1</v>
      </c>
      <c r="G12" s="311">
        <v>2160000</v>
      </c>
      <c r="H12" s="175">
        <f t="shared" si="0"/>
        <v>2160000</v>
      </c>
      <c r="I12" s="314"/>
    </row>
    <row r="13" spans="1:9" ht="15.95" customHeight="1">
      <c r="A13" s="496"/>
      <c r="B13" s="218"/>
      <c r="C13" s="309" t="s">
        <v>226</v>
      </c>
      <c r="D13" s="309"/>
      <c r="E13" s="226" t="s">
        <v>51</v>
      </c>
      <c r="F13" s="227">
        <v>1</v>
      </c>
      <c r="G13" s="311">
        <v>4032000</v>
      </c>
      <c r="H13" s="175">
        <f t="shared" si="0"/>
        <v>4032000</v>
      </c>
      <c r="I13" s="314"/>
    </row>
    <row r="14" spans="1:9" ht="15.95" customHeight="1">
      <c r="A14" s="496"/>
      <c r="B14" s="218"/>
      <c r="C14" s="309" t="s">
        <v>227</v>
      </c>
      <c r="D14" s="309"/>
      <c r="E14" s="226" t="s">
        <v>51</v>
      </c>
      <c r="F14" s="227">
        <v>1</v>
      </c>
      <c r="G14" s="311">
        <v>3024000</v>
      </c>
      <c r="H14" s="175">
        <f t="shared" si="0"/>
        <v>3024000</v>
      </c>
      <c r="I14" s="314"/>
    </row>
    <row r="15" spans="1:9" ht="15.95" customHeight="1">
      <c r="A15" s="496"/>
      <c r="B15" s="218"/>
      <c r="C15" s="309" t="s">
        <v>228</v>
      </c>
      <c r="D15" s="309"/>
      <c r="E15" s="226" t="s">
        <v>51</v>
      </c>
      <c r="F15" s="227">
        <v>2</v>
      </c>
      <c r="G15" s="311">
        <v>2808000</v>
      </c>
      <c r="H15" s="175">
        <f t="shared" si="0"/>
        <v>5616000</v>
      </c>
      <c r="I15" s="314"/>
    </row>
    <row r="16" spans="1:9" ht="15.95" customHeight="1">
      <c r="A16" s="496"/>
      <c r="B16" s="218"/>
      <c r="C16" s="309" t="s">
        <v>180</v>
      </c>
      <c r="D16" s="309"/>
      <c r="E16" s="226" t="s">
        <v>51</v>
      </c>
      <c r="F16" s="227">
        <v>1</v>
      </c>
      <c r="G16" s="311">
        <v>432000</v>
      </c>
      <c r="H16" s="175">
        <f t="shared" si="0"/>
        <v>432000</v>
      </c>
      <c r="I16" s="314"/>
    </row>
    <row r="17" spans="1:9" ht="15.95" customHeight="1">
      <c r="A17" s="496"/>
      <c r="B17" s="218"/>
      <c r="C17" s="309" t="s">
        <v>229</v>
      </c>
      <c r="D17" s="309"/>
      <c r="E17" s="226" t="s">
        <v>51</v>
      </c>
      <c r="F17" s="227">
        <v>1</v>
      </c>
      <c r="G17" s="311">
        <v>4968000</v>
      </c>
      <c r="H17" s="175">
        <f t="shared" si="0"/>
        <v>4968000</v>
      </c>
      <c r="I17" s="314"/>
    </row>
    <row r="18" spans="1:9" ht="15.95" customHeight="1">
      <c r="A18" s="496"/>
      <c r="B18" s="218"/>
      <c r="C18" s="309" t="s">
        <v>230</v>
      </c>
      <c r="D18" s="309"/>
      <c r="E18" s="226" t="s">
        <v>51</v>
      </c>
      <c r="F18" s="227">
        <v>1</v>
      </c>
      <c r="G18" s="311">
        <v>2376000</v>
      </c>
      <c r="H18" s="175">
        <f t="shared" si="0"/>
        <v>2376000</v>
      </c>
      <c r="I18" s="314"/>
    </row>
    <row r="19" spans="1:9" ht="15.95" customHeight="1">
      <c r="A19" s="496"/>
      <c r="B19" s="218"/>
      <c r="C19" s="309" t="s">
        <v>231</v>
      </c>
      <c r="D19" s="309"/>
      <c r="E19" s="226" t="s">
        <v>51</v>
      </c>
      <c r="F19" s="227">
        <v>1</v>
      </c>
      <c r="G19" s="311">
        <v>3744000</v>
      </c>
      <c r="H19" s="175">
        <f t="shared" si="0"/>
        <v>3744000</v>
      </c>
      <c r="I19" s="314"/>
    </row>
    <row r="20" spans="1:9" ht="15.95" customHeight="1">
      <c r="A20" s="496"/>
      <c r="B20" s="218"/>
      <c r="C20" s="309" t="s">
        <v>232</v>
      </c>
      <c r="D20" s="309"/>
      <c r="E20" s="226" t="s">
        <v>51</v>
      </c>
      <c r="F20" s="227">
        <v>1</v>
      </c>
      <c r="G20" s="311">
        <v>1368000</v>
      </c>
      <c r="H20" s="175">
        <f t="shared" si="0"/>
        <v>1368000</v>
      </c>
      <c r="I20" s="314"/>
    </row>
    <row r="21" spans="1:9" ht="15.95" customHeight="1">
      <c r="A21" s="496"/>
      <c r="B21" s="218"/>
      <c r="C21" s="309" t="s">
        <v>234</v>
      </c>
      <c r="D21" s="309"/>
      <c r="E21" s="226" t="s">
        <v>51</v>
      </c>
      <c r="F21" s="227">
        <v>1</v>
      </c>
      <c r="G21" s="311">
        <v>4248000</v>
      </c>
      <c r="H21" s="175">
        <f t="shared" si="0"/>
        <v>4248000</v>
      </c>
      <c r="I21" s="314"/>
    </row>
    <row r="22" spans="1:9" ht="15.95" customHeight="1">
      <c r="A22" s="496"/>
      <c r="B22" s="218"/>
      <c r="C22" s="309" t="s">
        <v>233</v>
      </c>
      <c r="D22" s="309"/>
      <c r="E22" s="226" t="s">
        <v>51</v>
      </c>
      <c r="F22" s="227">
        <v>1</v>
      </c>
      <c r="G22" s="311">
        <v>2448000</v>
      </c>
      <c r="H22" s="175">
        <f t="shared" si="0"/>
        <v>2448000</v>
      </c>
      <c r="I22" s="314"/>
    </row>
    <row r="23" spans="1:9" ht="15.95" customHeight="1">
      <c r="A23" s="496"/>
      <c r="B23" s="218"/>
      <c r="C23" s="309" t="s">
        <v>235</v>
      </c>
      <c r="D23" s="309"/>
      <c r="E23" s="226" t="s">
        <v>51</v>
      </c>
      <c r="F23" s="227">
        <v>1</v>
      </c>
      <c r="G23" s="311">
        <v>288000</v>
      </c>
      <c r="H23" s="175">
        <f t="shared" si="0"/>
        <v>288000</v>
      </c>
      <c r="I23" s="314"/>
    </row>
    <row r="24" spans="1:9" ht="15.95" customHeight="1">
      <c r="A24" s="496"/>
      <c r="B24" s="218"/>
      <c r="C24" s="309" t="s">
        <v>178</v>
      </c>
      <c r="D24" s="309"/>
      <c r="E24" s="226" t="s">
        <v>51</v>
      </c>
      <c r="F24" s="227">
        <v>1</v>
      </c>
      <c r="G24" s="311">
        <v>7560000</v>
      </c>
      <c r="H24" s="175">
        <f t="shared" si="0"/>
        <v>7560000</v>
      </c>
      <c r="I24" s="314"/>
    </row>
    <row r="25" spans="1:9" ht="15.95" customHeight="1">
      <c r="A25" s="496"/>
      <c r="B25" s="218"/>
      <c r="C25" s="309" t="s">
        <v>239</v>
      </c>
      <c r="D25" s="309"/>
      <c r="E25" s="226" t="s">
        <v>51</v>
      </c>
      <c r="F25" s="227">
        <v>1</v>
      </c>
      <c r="G25" s="311">
        <v>5616000</v>
      </c>
      <c r="H25" s="175">
        <f t="shared" si="0"/>
        <v>5616000</v>
      </c>
      <c r="I25" s="314"/>
    </row>
    <row r="26" spans="1:9" ht="15.95" customHeight="1">
      <c r="A26" s="496"/>
      <c r="B26" s="218"/>
      <c r="C26" s="309" t="s">
        <v>237</v>
      </c>
      <c r="D26" s="309"/>
      <c r="E26" s="226" t="s">
        <v>51</v>
      </c>
      <c r="F26" s="227">
        <v>1</v>
      </c>
      <c r="G26" s="311">
        <v>684000</v>
      </c>
      <c r="H26" s="175">
        <f t="shared" si="0"/>
        <v>684000</v>
      </c>
      <c r="I26" s="314"/>
    </row>
    <row r="27" spans="1:9" ht="15.95" customHeight="1">
      <c r="A27" s="496"/>
      <c r="B27" s="218"/>
      <c r="C27" s="309" t="s">
        <v>236</v>
      </c>
      <c r="D27" s="309"/>
      <c r="E27" s="226" t="s">
        <v>51</v>
      </c>
      <c r="F27" s="227">
        <v>1</v>
      </c>
      <c r="G27" s="311">
        <v>3312000</v>
      </c>
      <c r="H27" s="175">
        <f t="shared" si="0"/>
        <v>3312000</v>
      </c>
      <c r="I27" s="314"/>
    </row>
    <row r="28" spans="1:9" ht="15.95" customHeight="1">
      <c r="A28" s="496"/>
      <c r="B28" s="218"/>
      <c r="C28" s="309" t="s">
        <v>216</v>
      </c>
      <c r="D28" s="309"/>
      <c r="E28" s="226" t="s">
        <v>51</v>
      </c>
      <c r="F28" s="227">
        <v>1</v>
      </c>
      <c r="G28" s="311">
        <v>2448000</v>
      </c>
      <c r="H28" s="175">
        <f t="shared" ref="H28:H34" si="1">F28*G28</f>
        <v>2448000</v>
      </c>
      <c r="I28" s="314"/>
    </row>
    <row r="29" spans="1:9" ht="15.95" customHeight="1">
      <c r="A29" s="496"/>
      <c r="B29" s="218"/>
      <c r="C29" s="309" t="s">
        <v>238</v>
      </c>
      <c r="D29" s="309"/>
      <c r="E29" s="226" t="s">
        <v>51</v>
      </c>
      <c r="F29" s="227">
        <v>8</v>
      </c>
      <c r="G29" s="311">
        <v>1152000</v>
      </c>
      <c r="H29" s="175">
        <f t="shared" si="1"/>
        <v>9216000</v>
      </c>
      <c r="I29" s="314"/>
    </row>
    <row r="30" spans="1:9" ht="15.95" customHeight="1">
      <c r="A30" s="496"/>
      <c r="B30" s="218"/>
      <c r="C30" s="309" t="s">
        <v>178</v>
      </c>
      <c r="D30" s="309"/>
      <c r="E30" s="226" t="s">
        <v>51</v>
      </c>
      <c r="F30" s="227">
        <v>1</v>
      </c>
      <c r="G30" s="311">
        <v>3744000</v>
      </c>
      <c r="H30" s="175">
        <f t="shared" si="1"/>
        <v>3744000</v>
      </c>
      <c r="I30" s="314"/>
    </row>
    <row r="31" spans="1:9" ht="15.95" customHeight="1">
      <c r="A31" s="496"/>
      <c r="B31" s="218"/>
      <c r="C31" s="309" t="s">
        <v>217</v>
      </c>
      <c r="D31" s="309"/>
      <c r="E31" s="226" t="s">
        <v>51</v>
      </c>
      <c r="F31" s="227">
        <v>1</v>
      </c>
      <c r="G31" s="311">
        <v>2952000</v>
      </c>
      <c r="H31" s="175">
        <f t="shared" si="1"/>
        <v>2952000</v>
      </c>
      <c r="I31" s="314"/>
    </row>
    <row r="32" spans="1:9" ht="15.95" customHeight="1">
      <c r="A32" s="496"/>
      <c r="B32" s="218"/>
      <c r="C32" s="309" t="s">
        <v>242</v>
      </c>
      <c r="D32" s="309"/>
      <c r="E32" s="226" t="s">
        <v>51</v>
      </c>
      <c r="F32" s="227">
        <v>1</v>
      </c>
      <c r="G32" s="311">
        <v>9360000</v>
      </c>
      <c r="H32" s="175">
        <f t="shared" si="1"/>
        <v>9360000</v>
      </c>
      <c r="I32" s="314"/>
    </row>
    <row r="33" spans="1:9" ht="15.95" customHeight="1">
      <c r="A33" s="496"/>
      <c r="B33" s="218"/>
      <c r="C33" s="309" t="s">
        <v>243</v>
      </c>
      <c r="D33" s="309"/>
      <c r="E33" s="226" t="s">
        <v>51</v>
      </c>
      <c r="F33" s="227">
        <v>1</v>
      </c>
      <c r="G33" s="311">
        <v>9360000</v>
      </c>
      <c r="H33" s="175">
        <f t="shared" si="1"/>
        <v>9360000</v>
      </c>
      <c r="I33" s="314"/>
    </row>
    <row r="34" spans="1:9" ht="15.95" customHeight="1">
      <c r="A34" s="496"/>
      <c r="B34" s="218"/>
      <c r="C34" s="309" t="s">
        <v>244</v>
      </c>
      <c r="D34" s="309"/>
      <c r="E34" s="226" t="s">
        <v>51</v>
      </c>
      <c r="F34" s="227">
        <v>1</v>
      </c>
      <c r="G34" s="311">
        <v>23040000</v>
      </c>
      <c r="H34" s="175">
        <f t="shared" si="1"/>
        <v>23040000</v>
      </c>
      <c r="I34" s="314"/>
    </row>
    <row r="35" spans="1:9" ht="15.95" customHeight="1">
      <c r="A35" s="496"/>
      <c r="B35" s="218"/>
      <c r="C35" s="309" t="s">
        <v>181</v>
      </c>
      <c r="D35" s="309"/>
      <c r="E35" s="226" t="s">
        <v>51</v>
      </c>
      <c r="F35" s="227">
        <v>1</v>
      </c>
      <c r="G35" s="311">
        <v>2520000</v>
      </c>
      <c r="H35" s="175">
        <f t="shared" ref="H35:H38" si="2">F35*G35</f>
        <v>2520000</v>
      </c>
      <c r="I35" s="314"/>
    </row>
    <row r="36" spans="1:9" ht="15.95" customHeight="1">
      <c r="A36" s="496"/>
      <c r="B36" s="218"/>
      <c r="C36" s="309" t="s">
        <v>182</v>
      </c>
      <c r="D36" s="309"/>
      <c r="E36" s="226" t="s">
        <v>51</v>
      </c>
      <c r="F36" s="227">
        <v>1</v>
      </c>
      <c r="G36" s="311">
        <v>144000</v>
      </c>
      <c r="H36" s="175">
        <f t="shared" si="2"/>
        <v>144000</v>
      </c>
      <c r="I36" s="314"/>
    </row>
    <row r="37" spans="1:9" ht="15.95" customHeight="1">
      <c r="A37" s="496"/>
      <c r="B37" s="218"/>
      <c r="C37" s="309" t="s">
        <v>218</v>
      </c>
      <c r="D37" s="309"/>
      <c r="E37" s="226" t="s">
        <v>51</v>
      </c>
      <c r="F37" s="227">
        <v>1</v>
      </c>
      <c r="G37" s="311">
        <v>504000</v>
      </c>
      <c r="H37" s="175">
        <f t="shared" si="2"/>
        <v>504000</v>
      </c>
      <c r="I37" s="314"/>
    </row>
    <row r="38" spans="1:9" ht="15.95" customHeight="1">
      <c r="A38" s="496"/>
      <c r="B38" s="218"/>
      <c r="C38" s="309" t="s">
        <v>286</v>
      </c>
      <c r="D38" s="309"/>
      <c r="E38" s="226" t="s">
        <v>51</v>
      </c>
      <c r="F38" s="227">
        <v>1</v>
      </c>
      <c r="G38" s="311">
        <v>720000</v>
      </c>
      <c r="H38" s="175">
        <f t="shared" si="2"/>
        <v>720000</v>
      </c>
      <c r="I38" s="314"/>
    </row>
    <row r="39" spans="1:9" ht="15.95" customHeight="1">
      <c r="A39" s="496"/>
      <c r="B39" s="218"/>
      <c r="C39" s="225" t="s">
        <v>284</v>
      </c>
      <c r="D39" s="225"/>
      <c r="E39" s="225" t="s">
        <v>542</v>
      </c>
      <c r="F39" s="228">
        <v>1</v>
      </c>
      <c r="G39" s="228">
        <v>4320000</v>
      </c>
      <c r="H39" s="175">
        <v>4320000</v>
      </c>
      <c r="I39" s="314"/>
    </row>
    <row r="40" spans="1:9" ht="15.95" customHeight="1">
      <c r="A40" s="496"/>
      <c r="B40" s="218"/>
      <c r="C40" s="229"/>
      <c r="D40" s="230"/>
      <c r="E40" s="230"/>
      <c r="F40" s="231"/>
      <c r="G40" s="232"/>
      <c r="H40" s="252">
        <f t="shared" ref="H40:H121" si="3">IF(F40=0,G40,G40*F40)</f>
        <v>0</v>
      </c>
      <c r="I40" s="364"/>
    </row>
    <row r="41" spans="1:9" ht="15.95" customHeight="1">
      <c r="A41" s="496"/>
      <c r="B41" s="234"/>
      <c r="C41" s="260"/>
      <c r="D41" s="260"/>
      <c r="E41" s="260"/>
      <c r="F41" s="258"/>
      <c r="G41" s="258"/>
      <c r="H41" s="290">
        <f>SUM(H3:H40)</f>
        <v>146124000</v>
      </c>
      <c r="I41" s="256"/>
    </row>
    <row r="42" spans="1:9" ht="15.95" customHeight="1">
      <c r="A42" s="496"/>
      <c r="B42" s="218" t="s">
        <v>150</v>
      </c>
      <c r="C42" s="219" t="s">
        <v>154</v>
      </c>
      <c r="D42" s="219"/>
      <c r="E42" s="226" t="s">
        <v>138</v>
      </c>
      <c r="F42" s="316">
        <v>7</v>
      </c>
      <c r="G42" s="245">
        <v>300000</v>
      </c>
      <c r="H42" s="223">
        <f t="shared" si="3"/>
        <v>2100000</v>
      </c>
      <c r="I42" s="365"/>
    </row>
    <row r="43" spans="1:9" ht="15.95" customHeight="1">
      <c r="A43" s="496"/>
      <c r="B43" s="218" t="s">
        <v>151</v>
      </c>
      <c r="C43" s="225" t="s">
        <v>156</v>
      </c>
      <c r="D43" s="225"/>
      <c r="E43" s="226" t="s">
        <v>138</v>
      </c>
      <c r="F43" s="317">
        <v>18</v>
      </c>
      <c r="G43" s="228">
        <v>300000</v>
      </c>
      <c r="H43" s="175">
        <f t="shared" si="3"/>
        <v>5400000</v>
      </c>
      <c r="I43" s="314"/>
    </row>
    <row r="44" spans="1:9" ht="15.95" customHeight="1">
      <c r="A44" s="496"/>
      <c r="B44" s="218"/>
      <c r="C44" s="225" t="s">
        <v>158</v>
      </c>
      <c r="D44" s="225"/>
      <c r="E44" s="226" t="s">
        <v>138</v>
      </c>
      <c r="F44" s="317">
        <v>25</v>
      </c>
      <c r="G44" s="228">
        <v>300000</v>
      </c>
      <c r="H44" s="175">
        <f t="shared" si="3"/>
        <v>7500000</v>
      </c>
      <c r="I44" s="314"/>
    </row>
    <row r="45" spans="1:9" ht="15.95" customHeight="1">
      <c r="A45" s="496"/>
      <c r="B45" s="218"/>
      <c r="C45" s="225"/>
      <c r="D45" s="225"/>
      <c r="E45" s="226"/>
      <c r="F45" s="317"/>
      <c r="G45" s="228"/>
      <c r="H45" s="175">
        <f t="shared" si="3"/>
        <v>0</v>
      </c>
      <c r="I45" s="314"/>
    </row>
    <row r="46" spans="1:9" ht="15.95" customHeight="1">
      <c r="A46" s="496"/>
      <c r="B46" s="218"/>
      <c r="C46" s="229"/>
      <c r="D46" s="229"/>
      <c r="E46" s="230"/>
      <c r="F46" s="362"/>
      <c r="G46" s="232"/>
      <c r="H46" s="185">
        <f t="shared" si="3"/>
        <v>0</v>
      </c>
      <c r="I46" s="366"/>
    </row>
    <row r="47" spans="1:9" ht="15.95" customHeight="1">
      <c r="A47" s="496"/>
      <c r="B47" s="234"/>
      <c r="C47" s="235"/>
      <c r="D47" s="236"/>
      <c r="E47" s="236"/>
      <c r="F47" s="312"/>
      <c r="G47" s="238"/>
      <c r="H47" s="238">
        <f>SUM(H42:H46)</f>
        <v>15000000</v>
      </c>
      <c r="I47" s="216"/>
    </row>
    <row r="48" spans="1:9" ht="15.95" customHeight="1">
      <c r="A48" s="496"/>
      <c r="B48" s="261" t="s">
        <v>152</v>
      </c>
      <c r="C48" s="309" t="s">
        <v>192</v>
      </c>
      <c r="D48" s="309"/>
      <c r="E48" s="226" t="s">
        <v>51</v>
      </c>
      <c r="F48" s="227">
        <v>1</v>
      </c>
      <c r="G48" s="311">
        <v>360000</v>
      </c>
      <c r="H48" s="175">
        <f t="shared" ref="H48:H58" si="4">IF(F48=0,G48,G48*F48)</f>
        <v>360000</v>
      </c>
      <c r="I48" s="314" t="s">
        <v>198</v>
      </c>
    </row>
    <row r="49" spans="1:9" ht="15.95" customHeight="1">
      <c r="A49" s="496"/>
      <c r="B49" s="218" t="s">
        <v>153</v>
      </c>
      <c r="C49" s="309" t="s">
        <v>191</v>
      </c>
      <c r="D49" s="309"/>
      <c r="E49" s="226" t="s">
        <v>51</v>
      </c>
      <c r="F49" s="227">
        <v>1</v>
      </c>
      <c r="G49" s="311">
        <v>3600000</v>
      </c>
      <c r="H49" s="175">
        <f t="shared" si="4"/>
        <v>3600000</v>
      </c>
      <c r="I49" s="314" t="s">
        <v>198</v>
      </c>
    </row>
    <row r="50" spans="1:9" ht="15.95" customHeight="1">
      <c r="A50" s="496"/>
      <c r="B50" s="218"/>
      <c r="C50" s="309" t="s">
        <v>183</v>
      </c>
      <c r="D50" s="309"/>
      <c r="E50" s="226" t="s">
        <v>51</v>
      </c>
      <c r="F50" s="227">
        <v>1</v>
      </c>
      <c r="G50" s="311">
        <v>1260000</v>
      </c>
      <c r="H50" s="175">
        <f t="shared" si="4"/>
        <v>1260000</v>
      </c>
      <c r="I50" s="314" t="s">
        <v>198</v>
      </c>
    </row>
    <row r="51" spans="1:9" ht="15.95" customHeight="1">
      <c r="A51" s="496"/>
      <c r="B51" s="218"/>
      <c r="C51" s="309" t="s">
        <v>190</v>
      </c>
      <c r="D51" s="309"/>
      <c r="E51" s="226" t="s">
        <v>51</v>
      </c>
      <c r="F51" s="227">
        <v>1</v>
      </c>
      <c r="G51" s="311">
        <v>324000</v>
      </c>
      <c r="H51" s="175">
        <f t="shared" si="4"/>
        <v>324000</v>
      </c>
      <c r="I51" s="314" t="s">
        <v>198</v>
      </c>
    </row>
    <row r="52" spans="1:9" ht="15.95" customHeight="1">
      <c r="A52" s="496"/>
      <c r="B52" s="218"/>
      <c r="C52" s="309" t="s">
        <v>189</v>
      </c>
      <c r="D52" s="309"/>
      <c r="E52" s="226" t="s">
        <v>51</v>
      </c>
      <c r="F52" s="227">
        <v>1</v>
      </c>
      <c r="G52" s="311">
        <v>576000</v>
      </c>
      <c r="H52" s="175">
        <f t="shared" si="4"/>
        <v>576000</v>
      </c>
      <c r="I52" s="314" t="s">
        <v>198</v>
      </c>
    </row>
    <row r="53" spans="1:9" ht="15.95" customHeight="1">
      <c r="A53" s="496"/>
      <c r="B53" s="218"/>
      <c r="C53" s="309" t="s">
        <v>188</v>
      </c>
      <c r="D53" s="309"/>
      <c r="E53" s="226" t="s">
        <v>51</v>
      </c>
      <c r="F53" s="227">
        <v>1</v>
      </c>
      <c r="G53" s="311">
        <v>648000</v>
      </c>
      <c r="H53" s="175">
        <f t="shared" si="4"/>
        <v>648000</v>
      </c>
      <c r="I53" s="314" t="s">
        <v>198</v>
      </c>
    </row>
    <row r="54" spans="1:9" ht="15.95" customHeight="1">
      <c r="A54" s="496"/>
      <c r="B54" s="218"/>
      <c r="C54" s="225" t="s">
        <v>187</v>
      </c>
      <c r="D54" s="309"/>
      <c r="E54" s="226" t="s">
        <v>51</v>
      </c>
      <c r="F54" s="227">
        <v>1</v>
      </c>
      <c r="G54" s="228">
        <v>108000</v>
      </c>
      <c r="H54" s="175">
        <f t="shared" si="4"/>
        <v>108000</v>
      </c>
      <c r="I54" s="314" t="s">
        <v>198</v>
      </c>
    </row>
    <row r="55" spans="1:9" ht="15.95" customHeight="1">
      <c r="A55" s="496"/>
      <c r="B55" s="218"/>
      <c r="C55" s="225" t="s">
        <v>210</v>
      </c>
      <c r="D55" s="309"/>
      <c r="E55" s="226" t="s">
        <v>51</v>
      </c>
      <c r="F55" s="310">
        <v>3</v>
      </c>
      <c r="G55" s="228">
        <v>2664000</v>
      </c>
      <c r="H55" s="175">
        <f>IF(F55=0,G55,G55*F55)</f>
        <v>7992000</v>
      </c>
      <c r="I55" s="314" t="s">
        <v>293</v>
      </c>
    </row>
    <row r="56" spans="1:9" ht="15.95" customHeight="1">
      <c r="A56" s="496"/>
      <c r="B56" s="218"/>
      <c r="C56" s="225" t="s">
        <v>186</v>
      </c>
      <c r="D56" s="309"/>
      <c r="E56" s="226" t="s">
        <v>51</v>
      </c>
      <c r="F56" s="227">
        <v>1</v>
      </c>
      <c r="G56" s="228">
        <v>396000</v>
      </c>
      <c r="H56" s="175">
        <f t="shared" si="4"/>
        <v>396000</v>
      </c>
      <c r="I56" s="314" t="s">
        <v>198</v>
      </c>
    </row>
    <row r="57" spans="1:9" ht="15.95" customHeight="1">
      <c r="A57" s="496"/>
      <c r="B57" s="218"/>
      <c r="C57" s="225" t="s">
        <v>185</v>
      </c>
      <c r="D57" s="309"/>
      <c r="E57" s="226" t="s">
        <v>51</v>
      </c>
      <c r="F57" s="227">
        <v>1</v>
      </c>
      <c r="G57" s="228">
        <v>1728000</v>
      </c>
      <c r="H57" s="175">
        <f t="shared" si="4"/>
        <v>1728000</v>
      </c>
      <c r="I57" s="314" t="s">
        <v>198</v>
      </c>
    </row>
    <row r="58" spans="1:9" ht="15.95" customHeight="1">
      <c r="A58" s="496"/>
      <c r="B58" s="218"/>
      <c r="C58" s="225" t="s">
        <v>184</v>
      </c>
      <c r="D58" s="309"/>
      <c r="E58" s="226" t="s">
        <v>51</v>
      </c>
      <c r="F58" s="227">
        <v>1</v>
      </c>
      <c r="G58" s="228">
        <v>1296000</v>
      </c>
      <c r="H58" s="175">
        <f t="shared" si="4"/>
        <v>1296000</v>
      </c>
      <c r="I58" s="314" t="s">
        <v>198</v>
      </c>
    </row>
    <row r="59" spans="1:9" ht="15.95" customHeight="1">
      <c r="A59" s="496"/>
      <c r="B59" s="218"/>
      <c r="C59" s="309" t="s">
        <v>249</v>
      </c>
      <c r="D59" s="309"/>
      <c r="E59" s="226" t="s">
        <v>51</v>
      </c>
      <c r="F59" s="310">
        <v>1</v>
      </c>
      <c r="G59" s="311">
        <v>4176000</v>
      </c>
      <c r="H59" s="175">
        <f>IF(F59=0,G59,G59*F59)</f>
        <v>4176000</v>
      </c>
      <c r="I59" s="314" t="s">
        <v>532</v>
      </c>
    </row>
    <row r="60" spans="1:9" ht="15.95" customHeight="1">
      <c r="A60" s="496"/>
      <c r="B60" s="218"/>
      <c r="C60" s="309" t="s">
        <v>292</v>
      </c>
      <c r="D60" s="309"/>
      <c r="E60" s="226" t="s">
        <v>51</v>
      </c>
      <c r="F60" s="310">
        <v>1</v>
      </c>
      <c r="G60" s="311">
        <v>1368000</v>
      </c>
      <c r="H60" s="175">
        <f>IF(F60=0,G60,G60*F60)</f>
        <v>1368000</v>
      </c>
      <c r="I60" s="314" t="s">
        <v>294</v>
      </c>
    </row>
    <row r="61" spans="1:9" ht="15.95" customHeight="1">
      <c r="A61" s="496"/>
      <c r="B61" s="218"/>
      <c r="C61" s="225" t="s">
        <v>194</v>
      </c>
      <c r="D61" s="309"/>
      <c r="E61" s="226" t="s">
        <v>51</v>
      </c>
      <c r="F61" s="310">
        <v>22</v>
      </c>
      <c r="G61" s="227"/>
      <c r="H61" s="357" t="s">
        <v>195</v>
      </c>
      <c r="I61" s="314" t="s">
        <v>535</v>
      </c>
    </row>
    <row r="62" spans="1:9" ht="15.95" customHeight="1">
      <c r="A62" s="496"/>
      <c r="B62" s="218"/>
      <c r="C62" s="225" t="s">
        <v>205</v>
      </c>
      <c r="D62" s="309"/>
      <c r="E62" s="226" t="s">
        <v>51</v>
      </c>
      <c r="F62" s="310">
        <v>1</v>
      </c>
      <c r="G62" s="228">
        <v>180000</v>
      </c>
      <c r="H62" s="175">
        <f t="shared" ref="H62:H72" si="5">IF(F62=0,G62,G62*F62)</f>
        <v>180000</v>
      </c>
      <c r="I62" s="358" t="s">
        <v>534</v>
      </c>
    </row>
    <row r="63" spans="1:9" ht="15.95" customHeight="1">
      <c r="A63" s="496"/>
      <c r="B63" s="218"/>
      <c r="C63" s="225" t="s">
        <v>196</v>
      </c>
      <c r="D63" s="309"/>
      <c r="E63" s="226" t="s">
        <v>51</v>
      </c>
      <c r="F63" s="310">
        <v>1</v>
      </c>
      <c r="G63" s="228">
        <v>1872000</v>
      </c>
      <c r="H63" s="175">
        <f t="shared" si="5"/>
        <v>1872000</v>
      </c>
      <c r="I63" s="314" t="s">
        <v>536</v>
      </c>
    </row>
    <row r="64" spans="1:9" ht="15.95" customHeight="1">
      <c r="A64" s="496"/>
      <c r="B64" s="218"/>
      <c r="C64" s="225" t="s">
        <v>199</v>
      </c>
      <c r="D64" s="309"/>
      <c r="E64" s="226" t="s">
        <v>51</v>
      </c>
      <c r="F64" s="310">
        <v>8</v>
      </c>
      <c r="G64" s="228">
        <v>828000</v>
      </c>
      <c r="H64" s="175">
        <f t="shared" si="5"/>
        <v>6624000</v>
      </c>
      <c r="I64" s="314" t="s">
        <v>200</v>
      </c>
    </row>
    <row r="65" spans="1:9" ht="15.95" customHeight="1">
      <c r="A65" s="496"/>
      <c r="B65" s="218"/>
      <c r="C65" s="225" t="s">
        <v>201</v>
      </c>
      <c r="D65" s="309"/>
      <c r="E65" s="226" t="s">
        <v>51</v>
      </c>
      <c r="F65" s="310">
        <v>1</v>
      </c>
      <c r="G65" s="228">
        <v>1584000</v>
      </c>
      <c r="H65" s="175">
        <f t="shared" si="5"/>
        <v>1584000</v>
      </c>
      <c r="I65" s="314" t="s">
        <v>203</v>
      </c>
    </row>
    <row r="66" spans="1:9" ht="15.95" customHeight="1">
      <c r="A66" s="496"/>
      <c r="B66" s="218"/>
      <c r="C66" s="309" t="s">
        <v>202</v>
      </c>
      <c r="D66" s="309"/>
      <c r="E66" s="226" t="s">
        <v>51</v>
      </c>
      <c r="F66" s="313">
        <v>5</v>
      </c>
      <c r="G66" s="311">
        <v>921600</v>
      </c>
      <c r="H66" s="175">
        <f t="shared" si="5"/>
        <v>4608000</v>
      </c>
      <c r="I66" s="314" t="s">
        <v>203</v>
      </c>
    </row>
    <row r="67" spans="1:9" ht="15.95" customHeight="1">
      <c r="A67" s="496"/>
      <c r="B67" s="218"/>
      <c r="C67" s="309" t="s">
        <v>204</v>
      </c>
      <c r="D67" s="309"/>
      <c r="E67" s="226" t="s">
        <v>51</v>
      </c>
      <c r="F67" s="313">
        <v>4</v>
      </c>
      <c r="G67" s="311">
        <v>666000</v>
      </c>
      <c r="H67" s="175">
        <f t="shared" si="5"/>
        <v>2664000</v>
      </c>
      <c r="I67" s="314" t="s">
        <v>537</v>
      </c>
    </row>
    <row r="68" spans="1:9" ht="15.95" customHeight="1">
      <c r="A68" s="496"/>
      <c r="B68" s="218"/>
      <c r="C68" s="309" t="s">
        <v>206</v>
      </c>
      <c r="D68" s="309"/>
      <c r="E68" s="226" t="s">
        <v>51</v>
      </c>
      <c r="F68" s="313">
        <v>8</v>
      </c>
      <c r="G68" s="311">
        <v>244800</v>
      </c>
      <c r="H68" s="175">
        <f t="shared" si="5"/>
        <v>1958400</v>
      </c>
      <c r="I68" s="314" t="s">
        <v>538</v>
      </c>
    </row>
    <row r="69" spans="1:9" ht="15.95" customHeight="1">
      <c r="A69" s="496"/>
      <c r="B69" s="218"/>
      <c r="C69" s="225" t="s">
        <v>207</v>
      </c>
      <c r="D69" s="309"/>
      <c r="E69" s="226" t="s">
        <v>51</v>
      </c>
      <c r="F69" s="310">
        <v>8</v>
      </c>
      <c r="G69" s="228">
        <v>374400</v>
      </c>
      <c r="H69" s="175">
        <f t="shared" si="5"/>
        <v>2995200</v>
      </c>
      <c r="I69" s="314" t="s">
        <v>538</v>
      </c>
    </row>
    <row r="70" spans="1:9" ht="15.95" customHeight="1">
      <c r="A70" s="496"/>
      <c r="B70" s="218"/>
      <c r="C70" s="225" t="s">
        <v>209</v>
      </c>
      <c r="D70" s="309"/>
      <c r="E70" s="226" t="s">
        <v>51</v>
      </c>
      <c r="F70" s="310">
        <v>5</v>
      </c>
      <c r="G70" s="228">
        <v>8179200</v>
      </c>
      <c r="H70" s="175">
        <f t="shared" si="5"/>
        <v>40896000</v>
      </c>
      <c r="I70" s="314" t="s">
        <v>208</v>
      </c>
    </row>
    <row r="71" spans="1:9" ht="15.95" customHeight="1">
      <c r="A71" s="496"/>
      <c r="B71" s="218"/>
      <c r="C71" s="225" t="s">
        <v>289</v>
      </c>
      <c r="D71" s="309"/>
      <c r="E71" s="226" t="s">
        <v>51</v>
      </c>
      <c r="F71" s="313">
        <v>1</v>
      </c>
      <c r="G71" s="228">
        <v>5616000</v>
      </c>
      <c r="H71" s="175">
        <f t="shared" si="5"/>
        <v>5616000</v>
      </c>
      <c r="I71" s="314" t="s">
        <v>573</v>
      </c>
    </row>
    <row r="72" spans="1:9" ht="15.95" customHeight="1">
      <c r="A72" s="496"/>
      <c r="B72" s="218"/>
      <c r="C72" s="309" t="s">
        <v>215</v>
      </c>
      <c r="D72" s="309"/>
      <c r="E72" s="226" t="s">
        <v>51</v>
      </c>
      <c r="F72" s="313">
        <v>1</v>
      </c>
      <c r="G72" s="311">
        <v>2124000</v>
      </c>
      <c r="H72" s="175">
        <f t="shared" si="5"/>
        <v>2124000</v>
      </c>
      <c r="I72" s="314" t="s">
        <v>208</v>
      </c>
    </row>
    <row r="73" spans="1:9" ht="15.95" customHeight="1">
      <c r="A73" s="496"/>
      <c r="B73" s="218"/>
      <c r="C73" s="225" t="s">
        <v>211</v>
      </c>
      <c r="D73" s="309"/>
      <c r="E73" s="226" t="s">
        <v>51</v>
      </c>
      <c r="F73" s="310">
        <v>1</v>
      </c>
      <c r="G73" s="228">
        <v>4608000</v>
      </c>
      <c r="H73" s="175">
        <f>IF(F73=0,G73,G73*F73)</f>
        <v>4608000</v>
      </c>
      <c r="I73" s="314" t="s">
        <v>212</v>
      </c>
    </row>
    <row r="74" spans="1:9" ht="15.95" customHeight="1">
      <c r="A74" s="496"/>
      <c r="B74" s="218"/>
      <c r="C74" s="225" t="s">
        <v>213</v>
      </c>
      <c r="D74" s="309"/>
      <c r="E74" s="226" t="s">
        <v>51</v>
      </c>
      <c r="F74" s="310">
        <v>1</v>
      </c>
      <c r="G74" s="227"/>
      <c r="H74" s="357" t="s">
        <v>195</v>
      </c>
      <c r="I74" s="314" t="s">
        <v>214</v>
      </c>
    </row>
    <row r="75" spans="1:9" ht="15.95" customHeight="1">
      <c r="A75" s="496"/>
      <c r="B75" s="218"/>
      <c r="C75" s="225" t="s">
        <v>291</v>
      </c>
      <c r="D75" s="309"/>
      <c r="E75" s="226" t="s">
        <v>51</v>
      </c>
      <c r="F75" s="310">
        <v>1</v>
      </c>
      <c r="G75" s="228">
        <v>8280000</v>
      </c>
      <c r="H75" s="175">
        <f>IF(F75=0,G75,G75*F75)</f>
        <v>8280000</v>
      </c>
      <c r="I75" s="314" t="s">
        <v>539</v>
      </c>
    </row>
    <row r="76" spans="1:9" ht="15.95" customHeight="1">
      <c r="A76" s="496"/>
      <c r="B76" s="218"/>
      <c r="C76" s="225" t="s">
        <v>290</v>
      </c>
      <c r="D76" s="309"/>
      <c r="E76" s="226" t="s">
        <v>51</v>
      </c>
      <c r="F76" s="310">
        <v>1</v>
      </c>
      <c r="G76" s="228">
        <v>5184000</v>
      </c>
      <c r="H76" s="175">
        <f>IF(F76=0,G76,G76*F76)</f>
        <v>5184000</v>
      </c>
      <c r="I76" s="314" t="s">
        <v>556</v>
      </c>
    </row>
    <row r="77" spans="1:9" ht="15.95" customHeight="1">
      <c r="A77" s="496"/>
      <c r="B77" s="218"/>
      <c r="C77" s="225" t="s">
        <v>241</v>
      </c>
      <c r="D77" s="309"/>
      <c r="E77" s="226" t="s">
        <v>51</v>
      </c>
      <c r="F77" s="310">
        <v>8</v>
      </c>
      <c r="G77" s="228">
        <v>518400</v>
      </c>
      <c r="H77" s="175">
        <f>IF(F77=0,G77,G77*F77)</f>
        <v>4147200</v>
      </c>
      <c r="I77" s="314" t="s">
        <v>559</v>
      </c>
    </row>
    <row r="78" spans="1:9" ht="15.95" customHeight="1">
      <c r="A78" s="496"/>
      <c r="B78" s="218"/>
      <c r="C78" s="309" t="s">
        <v>245</v>
      </c>
      <c r="D78" s="309"/>
      <c r="E78" s="226"/>
      <c r="F78" s="310"/>
      <c r="G78" s="310"/>
      <c r="H78" s="357" t="s">
        <v>247</v>
      </c>
      <c r="I78" s="314" t="s">
        <v>540</v>
      </c>
    </row>
    <row r="79" spans="1:9" ht="15.95" customHeight="1">
      <c r="A79" s="496"/>
      <c r="B79" s="218"/>
      <c r="C79" s="309" t="s">
        <v>246</v>
      </c>
      <c r="D79" s="309"/>
      <c r="E79" s="226"/>
      <c r="F79" s="310"/>
      <c r="G79" s="310"/>
      <c r="H79" s="357" t="s">
        <v>247</v>
      </c>
      <c r="I79" s="314" t="s">
        <v>540</v>
      </c>
    </row>
    <row r="80" spans="1:9" ht="15.95" customHeight="1">
      <c r="A80" s="496"/>
      <c r="B80" s="218"/>
      <c r="C80" s="309" t="s">
        <v>251</v>
      </c>
      <c r="D80" s="309" t="s">
        <v>252</v>
      </c>
      <c r="E80" s="226" t="s">
        <v>51</v>
      </c>
      <c r="F80" s="310">
        <v>1</v>
      </c>
      <c r="G80" s="311">
        <v>1728000</v>
      </c>
      <c r="H80" s="175">
        <f t="shared" ref="H80:H92" si="6">IF(F80=0,G80,G80*F80)</f>
        <v>1728000</v>
      </c>
      <c r="I80" s="314" t="s">
        <v>253</v>
      </c>
    </row>
    <row r="81" spans="1:9" ht="15.95" customHeight="1">
      <c r="A81" s="496"/>
      <c r="B81" s="218"/>
      <c r="C81" s="225" t="s">
        <v>259</v>
      </c>
      <c r="D81" s="309" t="s">
        <v>255</v>
      </c>
      <c r="E81" s="226" t="s">
        <v>51</v>
      </c>
      <c r="F81" s="310">
        <v>1</v>
      </c>
      <c r="G81" s="228">
        <v>720000</v>
      </c>
      <c r="H81" s="175">
        <f t="shared" si="6"/>
        <v>720000</v>
      </c>
      <c r="I81" s="314" t="s">
        <v>203</v>
      </c>
    </row>
    <row r="82" spans="1:9" ht="15.95" customHeight="1">
      <c r="A82" s="496"/>
      <c r="B82" s="218"/>
      <c r="C82" s="225" t="s">
        <v>260</v>
      </c>
      <c r="D82" s="309" t="s">
        <v>256</v>
      </c>
      <c r="E82" s="226" t="s">
        <v>51</v>
      </c>
      <c r="F82" s="310">
        <v>1</v>
      </c>
      <c r="G82" s="228">
        <v>309600</v>
      </c>
      <c r="H82" s="175">
        <f t="shared" si="6"/>
        <v>309600</v>
      </c>
      <c r="I82" s="314" t="s">
        <v>254</v>
      </c>
    </row>
    <row r="83" spans="1:9" ht="15.95" customHeight="1">
      <c r="A83" s="496"/>
      <c r="B83" s="218"/>
      <c r="C83" s="225" t="s">
        <v>264</v>
      </c>
      <c r="D83" s="309"/>
      <c r="E83" s="226" t="s">
        <v>51</v>
      </c>
      <c r="F83" s="310">
        <v>1</v>
      </c>
      <c r="G83" s="228">
        <v>144000</v>
      </c>
      <c r="H83" s="175">
        <f t="shared" si="6"/>
        <v>144000</v>
      </c>
      <c r="I83" s="314" t="s">
        <v>555</v>
      </c>
    </row>
    <row r="84" spans="1:9" ht="15.95" customHeight="1">
      <c r="A84" s="496"/>
      <c r="B84" s="218"/>
      <c r="C84" s="225" t="s">
        <v>265</v>
      </c>
      <c r="D84" s="309"/>
      <c r="E84" s="226" t="s">
        <v>51</v>
      </c>
      <c r="F84" s="310">
        <v>1</v>
      </c>
      <c r="G84" s="228">
        <v>144000</v>
      </c>
      <c r="H84" s="175">
        <f t="shared" si="6"/>
        <v>144000</v>
      </c>
      <c r="I84" s="314" t="s">
        <v>555</v>
      </c>
    </row>
    <row r="85" spans="1:9" ht="15.95" customHeight="1">
      <c r="A85" s="496"/>
      <c r="B85" s="218"/>
      <c r="C85" s="225" t="s">
        <v>287</v>
      </c>
      <c r="D85" s="309"/>
      <c r="E85" s="226" t="s">
        <v>51</v>
      </c>
      <c r="F85" s="310">
        <v>1</v>
      </c>
      <c r="G85" s="228">
        <v>144000</v>
      </c>
      <c r="H85" s="175">
        <f t="shared" ref="H85" si="7">IF(F85=0,G85,G85*F85)</f>
        <v>144000</v>
      </c>
      <c r="I85" s="314" t="s">
        <v>555</v>
      </c>
    </row>
    <row r="86" spans="1:9" ht="15.95" customHeight="1">
      <c r="A86" s="496"/>
      <c r="B86" s="218"/>
      <c r="C86" s="225" t="s">
        <v>266</v>
      </c>
      <c r="D86" s="309"/>
      <c r="E86" s="226" t="s">
        <v>51</v>
      </c>
      <c r="F86" s="310">
        <v>1</v>
      </c>
      <c r="G86" s="228">
        <v>36000</v>
      </c>
      <c r="H86" s="175">
        <f t="shared" si="6"/>
        <v>36000</v>
      </c>
      <c r="I86" s="314" t="s">
        <v>555</v>
      </c>
    </row>
    <row r="87" spans="1:9" ht="15.95" customHeight="1">
      <c r="A87" s="496"/>
      <c r="B87" s="218"/>
      <c r="C87" s="225" t="s">
        <v>267</v>
      </c>
      <c r="D87" s="309"/>
      <c r="E87" s="226" t="s">
        <v>51</v>
      </c>
      <c r="F87" s="310">
        <v>1</v>
      </c>
      <c r="G87" s="228">
        <v>360000</v>
      </c>
      <c r="H87" s="175">
        <f t="shared" si="6"/>
        <v>360000</v>
      </c>
      <c r="I87" s="314" t="s">
        <v>555</v>
      </c>
    </row>
    <row r="88" spans="1:9" ht="15.95" customHeight="1">
      <c r="A88" s="496"/>
      <c r="B88" s="218"/>
      <c r="C88" s="225" t="s">
        <v>268</v>
      </c>
      <c r="D88" s="309"/>
      <c r="E88" s="226" t="s">
        <v>51</v>
      </c>
      <c r="F88" s="310">
        <v>1</v>
      </c>
      <c r="G88" s="228">
        <v>36000</v>
      </c>
      <c r="H88" s="175">
        <f t="shared" si="6"/>
        <v>36000</v>
      </c>
      <c r="I88" s="314" t="s">
        <v>555</v>
      </c>
    </row>
    <row r="89" spans="1:9" ht="15.95" customHeight="1">
      <c r="A89" s="496"/>
      <c r="B89" s="218"/>
      <c r="C89" s="225" t="s">
        <v>269</v>
      </c>
      <c r="D89" s="309"/>
      <c r="E89" s="226" t="s">
        <v>51</v>
      </c>
      <c r="F89" s="310">
        <v>1</v>
      </c>
      <c r="G89" s="228">
        <v>36000</v>
      </c>
      <c r="H89" s="175">
        <f t="shared" si="6"/>
        <v>36000</v>
      </c>
      <c r="I89" s="314" t="s">
        <v>555</v>
      </c>
    </row>
    <row r="90" spans="1:9" ht="15.95" customHeight="1">
      <c r="A90" s="496"/>
      <c r="B90" s="218"/>
      <c r="C90" s="309" t="s">
        <v>270</v>
      </c>
      <c r="D90" s="309"/>
      <c r="E90" s="226" t="s">
        <v>51</v>
      </c>
      <c r="F90" s="310">
        <v>1</v>
      </c>
      <c r="G90" s="311">
        <v>576000</v>
      </c>
      <c r="H90" s="175">
        <f t="shared" si="6"/>
        <v>576000</v>
      </c>
      <c r="I90" s="314" t="s">
        <v>555</v>
      </c>
    </row>
    <row r="91" spans="1:9" ht="15.95" customHeight="1">
      <c r="A91" s="496"/>
      <c r="B91" s="218"/>
      <c r="C91" s="309" t="s">
        <v>271</v>
      </c>
      <c r="D91" s="309"/>
      <c r="E91" s="226" t="s">
        <v>51</v>
      </c>
      <c r="F91" s="310">
        <v>1</v>
      </c>
      <c r="G91" s="311">
        <v>432000</v>
      </c>
      <c r="H91" s="175">
        <f t="shared" si="6"/>
        <v>432000</v>
      </c>
      <c r="I91" s="314" t="s">
        <v>555</v>
      </c>
    </row>
    <row r="92" spans="1:9" ht="15.95" customHeight="1">
      <c r="A92" s="496"/>
      <c r="B92" s="218"/>
      <c r="C92" s="309" t="s">
        <v>272</v>
      </c>
      <c r="D92" s="309"/>
      <c r="E92" s="226" t="s">
        <v>51</v>
      </c>
      <c r="F92" s="310">
        <v>1</v>
      </c>
      <c r="G92" s="311">
        <v>324000</v>
      </c>
      <c r="H92" s="175">
        <f t="shared" si="6"/>
        <v>324000</v>
      </c>
      <c r="I92" s="314" t="s">
        <v>555</v>
      </c>
    </row>
    <row r="93" spans="1:9" ht="15.95" customHeight="1">
      <c r="A93" s="496"/>
      <c r="B93" s="218"/>
      <c r="C93" s="309" t="s">
        <v>273</v>
      </c>
      <c r="D93" s="309"/>
      <c r="E93" s="226" t="s">
        <v>51</v>
      </c>
      <c r="F93" s="310">
        <v>1</v>
      </c>
      <c r="G93" s="311">
        <v>324000</v>
      </c>
      <c r="H93" s="175">
        <f t="shared" si="3"/>
        <v>324000</v>
      </c>
      <c r="I93" s="314" t="s">
        <v>555</v>
      </c>
    </row>
    <row r="94" spans="1:9" ht="15.95" customHeight="1">
      <c r="A94" s="496"/>
      <c r="B94" s="218"/>
      <c r="C94" s="225" t="s">
        <v>274</v>
      </c>
      <c r="D94" s="309"/>
      <c r="E94" s="226" t="s">
        <v>51</v>
      </c>
      <c r="F94" s="310">
        <v>2</v>
      </c>
      <c r="G94" s="228">
        <v>108000</v>
      </c>
      <c r="H94" s="175">
        <f t="shared" si="3"/>
        <v>216000</v>
      </c>
      <c r="I94" s="314" t="s">
        <v>555</v>
      </c>
    </row>
    <row r="95" spans="1:9" ht="15.95" customHeight="1">
      <c r="A95" s="496"/>
      <c r="B95" s="218"/>
      <c r="C95" s="225" t="s">
        <v>275</v>
      </c>
      <c r="D95" s="309"/>
      <c r="E95" s="226" t="s">
        <v>51</v>
      </c>
      <c r="F95" s="310">
        <v>1</v>
      </c>
      <c r="G95" s="228">
        <v>108000</v>
      </c>
      <c r="H95" s="175">
        <f t="shared" si="3"/>
        <v>108000</v>
      </c>
      <c r="I95" s="314" t="s">
        <v>555</v>
      </c>
    </row>
    <row r="96" spans="1:9" ht="15.95" customHeight="1">
      <c r="A96" s="496"/>
      <c r="B96" s="218"/>
      <c r="C96" s="225" t="s">
        <v>276</v>
      </c>
      <c r="D96" s="309"/>
      <c r="E96" s="226" t="s">
        <v>51</v>
      </c>
      <c r="F96" s="310">
        <v>1</v>
      </c>
      <c r="G96" s="228">
        <v>108000</v>
      </c>
      <c r="H96" s="175">
        <f t="shared" si="3"/>
        <v>108000</v>
      </c>
      <c r="I96" s="314" t="s">
        <v>555</v>
      </c>
    </row>
    <row r="97" spans="1:9" ht="15.95" customHeight="1">
      <c r="A97" s="496"/>
      <c r="B97" s="218"/>
      <c r="C97" s="225" t="s">
        <v>261</v>
      </c>
      <c r="D97" s="309"/>
      <c r="E97" s="226" t="s">
        <v>51</v>
      </c>
      <c r="F97" s="310">
        <v>1</v>
      </c>
      <c r="G97" s="228">
        <v>72000</v>
      </c>
      <c r="H97" s="175">
        <f t="shared" si="3"/>
        <v>72000</v>
      </c>
      <c r="I97" s="314" t="s">
        <v>555</v>
      </c>
    </row>
    <row r="98" spans="1:9" ht="15.95" customHeight="1">
      <c r="A98" s="496"/>
      <c r="B98" s="218"/>
      <c r="C98" s="225" t="s">
        <v>263</v>
      </c>
      <c r="D98" s="309"/>
      <c r="E98" s="226" t="s">
        <v>51</v>
      </c>
      <c r="F98" s="310">
        <v>1</v>
      </c>
      <c r="G98" s="228">
        <v>36000</v>
      </c>
      <c r="H98" s="175">
        <f t="shared" si="3"/>
        <v>36000</v>
      </c>
      <c r="I98" s="314" t="s">
        <v>555</v>
      </c>
    </row>
    <row r="99" spans="1:9" ht="15.95" customHeight="1">
      <c r="A99" s="496"/>
      <c r="B99" s="218"/>
      <c r="C99" s="225" t="s">
        <v>262</v>
      </c>
      <c r="D99" s="309"/>
      <c r="E99" s="226" t="s">
        <v>51</v>
      </c>
      <c r="F99" s="310">
        <v>1</v>
      </c>
      <c r="G99" s="228">
        <v>432000</v>
      </c>
      <c r="H99" s="175">
        <f t="shared" si="3"/>
        <v>432000</v>
      </c>
      <c r="I99" s="314" t="s">
        <v>555</v>
      </c>
    </row>
    <row r="100" spans="1:9" ht="15.95" customHeight="1">
      <c r="A100" s="496"/>
      <c r="B100" s="218"/>
      <c r="C100" s="225" t="s">
        <v>277</v>
      </c>
      <c r="D100" s="309"/>
      <c r="E100" s="226" t="s">
        <v>51</v>
      </c>
      <c r="F100" s="310">
        <v>1</v>
      </c>
      <c r="G100" s="228">
        <v>108000</v>
      </c>
      <c r="H100" s="175">
        <f t="shared" si="3"/>
        <v>108000</v>
      </c>
      <c r="I100" s="314" t="s">
        <v>555</v>
      </c>
    </row>
    <row r="101" spans="1:9" ht="15.95" customHeight="1">
      <c r="A101" s="496"/>
      <c r="B101" s="218"/>
      <c r="C101" s="225" t="s">
        <v>264</v>
      </c>
      <c r="D101" s="309"/>
      <c r="E101" s="226" t="s">
        <v>51</v>
      </c>
      <c r="F101" s="310">
        <v>1</v>
      </c>
      <c r="G101" s="228">
        <v>144000</v>
      </c>
      <c r="H101" s="175">
        <f t="shared" si="3"/>
        <v>144000</v>
      </c>
      <c r="I101" s="314" t="s">
        <v>555</v>
      </c>
    </row>
    <row r="102" spans="1:9" ht="15.95" customHeight="1">
      <c r="A102" s="496"/>
      <c r="B102" s="218"/>
      <c r="C102" s="225" t="s">
        <v>278</v>
      </c>
      <c r="D102" s="309"/>
      <c r="E102" s="226" t="s">
        <v>51</v>
      </c>
      <c r="F102" s="310">
        <v>1</v>
      </c>
      <c r="G102" s="228">
        <v>144000</v>
      </c>
      <c r="H102" s="175">
        <f t="shared" ref="H102" si="8">IF(F102=0,G102,G102*F102)</f>
        <v>144000</v>
      </c>
      <c r="I102" s="314" t="s">
        <v>555</v>
      </c>
    </row>
    <row r="103" spans="1:9" ht="15.95" customHeight="1">
      <c r="A103" s="496"/>
      <c r="B103" s="218"/>
      <c r="C103" s="225" t="s">
        <v>279</v>
      </c>
      <c r="D103" s="309"/>
      <c r="E103" s="226" t="s">
        <v>51</v>
      </c>
      <c r="F103" s="310">
        <v>1</v>
      </c>
      <c r="G103" s="228">
        <v>144000</v>
      </c>
      <c r="H103" s="175">
        <f t="shared" ref="H103" si="9">IF(F103=0,G103,G103*F103)</f>
        <v>144000</v>
      </c>
      <c r="I103" s="314" t="s">
        <v>555</v>
      </c>
    </row>
    <row r="104" spans="1:9" ht="15.95" customHeight="1">
      <c r="A104" s="496"/>
      <c r="B104" s="218"/>
      <c r="C104" s="225" t="s">
        <v>280</v>
      </c>
      <c r="D104" s="309"/>
      <c r="E104" s="226" t="s">
        <v>51</v>
      </c>
      <c r="F104" s="310">
        <v>8</v>
      </c>
      <c r="G104" s="228">
        <v>144000</v>
      </c>
      <c r="H104" s="175">
        <f t="shared" ref="H104:H107" si="10">IF(F104=0,G104,G104*F104)</f>
        <v>1152000</v>
      </c>
      <c r="I104" s="314" t="s">
        <v>555</v>
      </c>
    </row>
    <row r="105" spans="1:9" ht="15.95" customHeight="1">
      <c r="A105" s="496"/>
      <c r="B105" s="218"/>
      <c r="C105" s="225" t="s">
        <v>281</v>
      </c>
      <c r="D105" s="309"/>
      <c r="E105" s="226" t="s">
        <v>51</v>
      </c>
      <c r="F105" s="310">
        <v>1</v>
      </c>
      <c r="G105" s="228">
        <v>288000</v>
      </c>
      <c r="H105" s="175">
        <f t="shared" si="10"/>
        <v>288000</v>
      </c>
      <c r="I105" s="314" t="s">
        <v>555</v>
      </c>
    </row>
    <row r="106" spans="1:9" ht="15.95" customHeight="1">
      <c r="A106" s="496"/>
      <c r="B106" s="218"/>
      <c r="C106" s="225" t="s">
        <v>282</v>
      </c>
      <c r="D106" s="309"/>
      <c r="E106" s="226" t="s">
        <v>51</v>
      </c>
      <c r="F106" s="310">
        <v>1</v>
      </c>
      <c r="G106" s="228">
        <v>864000</v>
      </c>
      <c r="H106" s="175">
        <f t="shared" si="10"/>
        <v>864000</v>
      </c>
      <c r="I106" s="314" t="s">
        <v>555</v>
      </c>
    </row>
    <row r="107" spans="1:9" ht="15.95" customHeight="1">
      <c r="A107" s="496"/>
      <c r="B107" s="218"/>
      <c r="C107" s="225" t="s">
        <v>283</v>
      </c>
      <c r="D107" s="309"/>
      <c r="E107" s="226" t="s">
        <v>51</v>
      </c>
      <c r="F107" s="310">
        <v>1</v>
      </c>
      <c r="G107" s="228">
        <v>1800000</v>
      </c>
      <c r="H107" s="175">
        <f t="shared" si="10"/>
        <v>1800000</v>
      </c>
      <c r="I107" s="314" t="s">
        <v>555</v>
      </c>
    </row>
    <row r="108" spans="1:9" ht="15.95" customHeight="1">
      <c r="A108" s="496"/>
      <c r="B108" s="218"/>
      <c r="C108" s="225" t="s">
        <v>543</v>
      </c>
      <c r="D108" s="309"/>
      <c r="E108" s="226" t="s">
        <v>542</v>
      </c>
      <c r="F108" s="310">
        <v>1</v>
      </c>
      <c r="G108" s="228"/>
      <c r="H108" s="175">
        <v>0</v>
      </c>
      <c r="I108" s="314" t="s">
        <v>557</v>
      </c>
    </row>
    <row r="109" spans="1:9" ht="15.95" customHeight="1">
      <c r="A109" s="496"/>
      <c r="B109" s="218"/>
      <c r="C109" s="225" t="s">
        <v>545</v>
      </c>
      <c r="D109" s="309"/>
      <c r="E109" s="226" t="s">
        <v>542</v>
      </c>
      <c r="F109" s="310">
        <v>1</v>
      </c>
      <c r="G109" s="228"/>
      <c r="H109" s="175">
        <v>0</v>
      </c>
      <c r="I109" s="314" t="s">
        <v>557</v>
      </c>
    </row>
    <row r="110" spans="1:9" ht="15.95" customHeight="1">
      <c r="A110" s="496"/>
      <c r="B110" s="218"/>
      <c r="C110" s="225" t="s">
        <v>546</v>
      </c>
      <c r="D110" s="309"/>
      <c r="E110" s="226" t="s">
        <v>542</v>
      </c>
      <c r="F110" s="310">
        <v>1</v>
      </c>
      <c r="G110" s="228"/>
      <c r="H110" s="175">
        <v>0</v>
      </c>
      <c r="I110" s="314" t="s">
        <v>557</v>
      </c>
    </row>
    <row r="111" spans="1:9" ht="15.95" customHeight="1">
      <c r="A111" s="496"/>
      <c r="B111" s="218"/>
      <c r="C111" s="225"/>
      <c r="D111" s="309"/>
      <c r="E111" s="226"/>
      <c r="F111" s="310"/>
      <c r="G111" s="228"/>
      <c r="H111" s="175"/>
      <c r="I111" s="314"/>
    </row>
    <row r="112" spans="1:9" ht="15.95" customHeight="1">
      <c r="A112" s="496"/>
      <c r="B112" s="218"/>
      <c r="C112" s="225"/>
      <c r="D112" s="309"/>
      <c r="E112" s="307"/>
      <c r="F112" s="310"/>
      <c r="G112" s="228"/>
      <c r="H112" s="175"/>
      <c r="I112" s="314"/>
    </row>
    <row r="113" spans="1:9" ht="15.95" customHeight="1">
      <c r="A113" s="496"/>
      <c r="B113" s="218"/>
      <c r="C113" s="229"/>
      <c r="D113" s="229"/>
      <c r="E113" s="230"/>
      <c r="F113" s="231"/>
      <c r="G113" s="232"/>
      <c r="H113" s="252"/>
      <c r="I113" s="364"/>
    </row>
    <row r="114" spans="1:9" ht="15.95" customHeight="1">
      <c r="A114" s="496"/>
      <c r="B114" s="234"/>
      <c r="C114" s="283"/>
      <c r="D114" s="240"/>
      <c r="E114" s="240"/>
      <c r="F114" s="239"/>
      <c r="G114" s="239"/>
      <c r="H114" s="239">
        <f>SUM(H48:H113)</f>
        <v>128102400</v>
      </c>
      <c r="I114" s="216"/>
    </row>
    <row r="115" spans="1:9" ht="15.95" customHeight="1">
      <c r="A115" s="496"/>
      <c r="B115" s="261" t="s">
        <v>53</v>
      </c>
      <c r="C115" s="225"/>
      <c r="D115" s="307"/>
      <c r="E115" s="307"/>
      <c r="F115" s="310"/>
      <c r="G115" s="228"/>
      <c r="H115" s="175">
        <f t="shared" si="3"/>
        <v>0</v>
      </c>
      <c r="I115" s="33"/>
    </row>
    <row r="116" spans="1:9" ht="15.95" customHeight="1">
      <c r="A116" s="496"/>
      <c r="B116" s="218"/>
      <c r="C116" s="225"/>
      <c r="D116" s="307"/>
      <c r="E116" s="307"/>
      <c r="F116" s="310"/>
      <c r="G116" s="228"/>
      <c r="H116" s="175">
        <f t="shared" si="3"/>
        <v>0</v>
      </c>
      <c r="I116" s="314"/>
    </row>
    <row r="117" spans="1:9" ht="15.95" customHeight="1">
      <c r="A117" s="496"/>
      <c r="B117" s="218"/>
      <c r="C117" s="225"/>
      <c r="D117" s="225"/>
      <c r="E117" s="226"/>
      <c r="F117" s="227"/>
      <c r="G117" s="228"/>
      <c r="H117" s="175">
        <f t="shared" si="3"/>
        <v>0</v>
      </c>
      <c r="I117" s="314"/>
    </row>
    <row r="118" spans="1:9" ht="15.95" customHeight="1">
      <c r="A118" s="496"/>
      <c r="B118" s="218"/>
      <c r="C118" s="225"/>
      <c r="D118" s="225"/>
      <c r="E118" s="226"/>
      <c r="F118" s="227"/>
      <c r="G118" s="228"/>
      <c r="H118" s="175">
        <f t="shared" si="3"/>
        <v>0</v>
      </c>
      <c r="I118" s="314"/>
    </row>
    <row r="119" spans="1:9" ht="15.95" customHeight="1">
      <c r="A119" s="496"/>
      <c r="B119" s="218"/>
      <c r="C119" s="225"/>
      <c r="D119" s="307"/>
      <c r="E119" s="307"/>
      <c r="F119" s="310"/>
      <c r="G119" s="228"/>
      <c r="H119" s="175">
        <f t="shared" si="3"/>
        <v>0</v>
      </c>
      <c r="I119" s="314"/>
    </row>
    <row r="120" spans="1:9" ht="15.95" customHeight="1">
      <c r="A120" s="496"/>
      <c r="B120" s="218"/>
      <c r="C120" s="225"/>
      <c r="D120" s="307"/>
      <c r="E120" s="307"/>
      <c r="F120" s="228"/>
      <c r="G120" s="228"/>
      <c r="H120" s="175">
        <f t="shared" si="3"/>
        <v>0</v>
      </c>
      <c r="I120" s="314"/>
    </row>
    <row r="121" spans="1:9" ht="15.95" customHeight="1">
      <c r="A121" s="496"/>
      <c r="B121" s="218"/>
      <c r="C121" s="229"/>
      <c r="D121" s="229"/>
      <c r="E121" s="229"/>
      <c r="F121" s="232"/>
      <c r="G121" s="232"/>
      <c r="H121" s="185">
        <f t="shared" si="3"/>
        <v>0</v>
      </c>
      <c r="I121" s="366"/>
    </row>
    <row r="122" spans="1:9" ht="15.95" customHeight="1">
      <c r="A122" s="496"/>
      <c r="B122" s="234"/>
      <c r="C122" s="235"/>
      <c r="D122" s="236"/>
      <c r="E122" s="236"/>
      <c r="F122" s="238"/>
      <c r="G122" s="238"/>
      <c r="H122" s="239">
        <f>SUM(H115:H121)</f>
        <v>0</v>
      </c>
      <c r="I122" s="216"/>
    </row>
    <row r="123" spans="1:9" ht="15.95" customHeight="1">
      <c r="A123" s="216"/>
      <c r="B123" s="282" t="s">
        <v>135</v>
      </c>
      <c r="C123" s="283"/>
      <c r="D123" s="240"/>
      <c r="E123" s="240"/>
      <c r="F123" s="285"/>
      <c r="G123" s="285"/>
      <c r="H123" s="239">
        <f>SUM(H122,H114,H47,H41)</f>
        <v>289226400</v>
      </c>
      <c r="I123" s="216"/>
    </row>
    <row r="124" spans="1:9" ht="15.95" customHeight="1">
      <c r="A124" s="492" t="s">
        <v>136</v>
      </c>
      <c r="B124" s="286" t="s">
        <v>59</v>
      </c>
      <c r="C124" s="283"/>
      <c r="D124" s="240"/>
      <c r="E124" s="286" t="s">
        <v>60</v>
      </c>
      <c r="F124" s="315"/>
      <c r="G124" s="289"/>
      <c r="H124" s="290">
        <f>F124*G124</f>
        <v>0</v>
      </c>
      <c r="I124" s="216"/>
    </row>
    <row r="125" spans="1:9" ht="15.95" customHeight="1">
      <c r="A125" s="497"/>
      <c r="B125" s="291" t="s">
        <v>154</v>
      </c>
      <c r="C125" s="292"/>
      <c r="D125" s="247"/>
      <c r="E125" s="291" t="s">
        <v>138</v>
      </c>
      <c r="F125" s="316"/>
      <c r="G125" s="245"/>
      <c r="H125" s="246">
        <f t="shared" ref="H125:H131" si="11">F125*G125</f>
        <v>0</v>
      </c>
      <c r="I125" s="33"/>
    </row>
    <row r="126" spans="1:9" ht="15.95" customHeight="1">
      <c r="A126" s="497"/>
      <c r="B126" s="294" t="s">
        <v>155</v>
      </c>
      <c r="C126" s="295"/>
      <c r="D126" s="38"/>
      <c r="E126" s="294" t="s">
        <v>138</v>
      </c>
      <c r="F126" s="317"/>
      <c r="G126" s="228"/>
      <c r="H126" s="175">
        <f t="shared" si="11"/>
        <v>0</v>
      </c>
      <c r="I126" s="314"/>
    </row>
    <row r="127" spans="1:9" ht="15.95" customHeight="1">
      <c r="A127" s="497"/>
      <c r="B127" s="294" t="s">
        <v>156</v>
      </c>
      <c r="C127" s="295"/>
      <c r="D127" s="38"/>
      <c r="E127" s="294" t="s">
        <v>138</v>
      </c>
      <c r="F127" s="317"/>
      <c r="G127" s="228"/>
      <c r="H127" s="175">
        <f t="shared" si="11"/>
        <v>0</v>
      </c>
      <c r="I127" s="314"/>
    </row>
    <row r="128" spans="1:9" ht="15.95" customHeight="1">
      <c r="A128" s="497"/>
      <c r="B128" s="294" t="s">
        <v>157</v>
      </c>
      <c r="C128" s="295"/>
      <c r="D128" s="38"/>
      <c r="E128" s="294" t="s">
        <v>138</v>
      </c>
      <c r="F128" s="317"/>
      <c r="G128" s="228"/>
      <c r="H128" s="175">
        <f t="shared" si="11"/>
        <v>0</v>
      </c>
      <c r="I128" s="314"/>
    </row>
    <row r="129" spans="1:9" ht="15.95" customHeight="1">
      <c r="A129" s="497"/>
      <c r="B129" s="294" t="s">
        <v>158</v>
      </c>
      <c r="C129" s="295"/>
      <c r="D129" s="38"/>
      <c r="E129" s="294"/>
      <c r="F129" s="317"/>
      <c r="G129" s="228"/>
      <c r="H129" s="175">
        <f t="shared" si="11"/>
        <v>0</v>
      </c>
      <c r="I129" s="314"/>
    </row>
    <row r="130" spans="1:9" ht="15.95" customHeight="1">
      <c r="A130" s="497"/>
      <c r="B130" s="294" t="s">
        <v>159</v>
      </c>
      <c r="C130" s="295"/>
      <c r="D130" s="38"/>
      <c r="E130" s="294"/>
      <c r="F130" s="317"/>
      <c r="G130" s="228"/>
      <c r="H130" s="175">
        <f t="shared" si="11"/>
        <v>0</v>
      </c>
      <c r="I130" s="314"/>
    </row>
    <row r="131" spans="1:9" ht="15.95" customHeight="1">
      <c r="A131" s="497"/>
      <c r="B131" s="318" t="s">
        <v>160</v>
      </c>
      <c r="C131" s="298"/>
      <c r="D131" s="233"/>
      <c r="E131" s="297" t="s">
        <v>60</v>
      </c>
      <c r="F131" s="319"/>
      <c r="G131" s="232"/>
      <c r="H131" s="185">
        <f t="shared" si="11"/>
        <v>0</v>
      </c>
      <c r="I131" s="366"/>
    </row>
    <row r="132" spans="1:9" ht="15.95" customHeight="1">
      <c r="A132" s="281"/>
      <c r="B132" s="300" t="s">
        <v>144</v>
      </c>
      <c r="C132" s="283"/>
      <c r="D132" s="240"/>
      <c r="E132" s="240"/>
      <c r="F132" s="239"/>
      <c r="G132" s="239"/>
      <c r="H132" s="239">
        <f>SUM(H124:H131)</f>
        <v>0</v>
      </c>
      <c r="I132" s="215"/>
    </row>
    <row r="133" spans="1:9" ht="15.95" customHeight="1">
      <c r="A133" s="287"/>
      <c r="B133" s="300" t="s">
        <v>161</v>
      </c>
      <c r="C133" s="283"/>
      <c r="D133" s="240"/>
      <c r="E133" s="216" t="s">
        <v>51</v>
      </c>
      <c r="F133" s="239"/>
      <c r="G133" s="239"/>
      <c r="H133" s="285"/>
      <c r="I133" s="216"/>
    </row>
    <row r="134" spans="1:9" ht="15.95" customHeight="1">
      <c r="A134" s="287"/>
      <c r="B134" s="300" t="s">
        <v>85</v>
      </c>
      <c r="C134" s="283"/>
      <c r="D134" s="240"/>
      <c r="E134" s="216"/>
      <c r="F134" s="239"/>
      <c r="G134" s="302"/>
      <c r="H134" s="303">
        <f>(H132+H123)*0.05</f>
        <v>14461320</v>
      </c>
      <c r="I134" s="363"/>
    </row>
    <row r="135" spans="1:9" ht="15.95" customHeight="1">
      <c r="A135" s="287"/>
      <c r="B135" s="300" t="s">
        <v>147</v>
      </c>
      <c r="C135" s="283"/>
      <c r="D135" s="240"/>
      <c r="E135" s="216"/>
      <c r="F135" s="239"/>
      <c r="G135" s="302"/>
      <c r="H135" s="303">
        <f>(H132+H123)*0.1</f>
        <v>28922640</v>
      </c>
      <c r="I135" s="363"/>
    </row>
    <row r="136" spans="1:9" ht="15.95" customHeight="1">
      <c r="A136" s="287"/>
      <c r="B136" s="300" t="s">
        <v>148</v>
      </c>
      <c r="C136" s="283"/>
      <c r="D136" s="240"/>
      <c r="E136" s="240"/>
      <c r="F136" s="239"/>
      <c r="G136" s="239"/>
      <c r="H136" s="238">
        <f>H123+H132+H133+H134+H135</f>
        <v>332610360</v>
      </c>
      <c r="I136" s="216"/>
    </row>
    <row r="137" spans="1:9">
      <c r="A137" s="136"/>
    </row>
  </sheetData>
  <mergeCells count="3">
    <mergeCell ref="A2:B2"/>
    <mergeCell ref="A3:A122"/>
    <mergeCell ref="A124:A13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47 H41 H114" formula="1"/>
  </ignoredError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C0DE-70A5-4DC8-A162-CB847C599234}">
  <sheetPr>
    <tabColor rgb="FF00B050"/>
    <pageSetUpPr fitToPage="1"/>
  </sheetPr>
  <dimension ref="A1:I86"/>
  <sheetViews>
    <sheetView zoomScale="85" workbookViewId="0">
      <pane xSplit="2" ySplit="2" topLeftCell="C22" activePane="bottomRight" state="frozen"/>
      <selection activeCell="K5" sqref="K5"/>
      <selection pane="topRight" activeCell="K5" sqref="K5"/>
      <selection pane="bottomLeft" activeCell="K5" sqref="K5"/>
      <selection pane="bottomRight" activeCell="N56" sqref="N56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43.25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39" width="9" style="130"/>
    <col min="240" max="240" width="5" style="130" customWidth="1"/>
    <col min="241" max="241" width="17.875" style="130" bestFit="1" customWidth="1"/>
    <col min="242" max="242" width="23.625" style="130" customWidth="1"/>
    <col min="243" max="243" width="18.25" style="130" customWidth="1"/>
    <col min="244" max="244" width="5.25" style="130" bestFit="1" customWidth="1"/>
    <col min="245" max="245" width="9" style="130"/>
    <col min="246" max="246" width="11.875" style="130" customWidth="1"/>
    <col min="247" max="247" width="13.625" style="130" customWidth="1"/>
    <col min="248" max="248" width="12.75" style="130" customWidth="1"/>
    <col min="249" max="495" width="9" style="130"/>
    <col min="496" max="496" width="5" style="130" customWidth="1"/>
    <col min="497" max="497" width="17.875" style="130" bestFit="1" customWidth="1"/>
    <col min="498" max="498" width="23.625" style="130" customWidth="1"/>
    <col min="499" max="499" width="18.25" style="130" customWidth="1"/>
    <col min="500" max="500" width="5.25" style="130" bestFit="1" customWidth="1"/>
    <col min="501" max="501" width="9" style="130"/>
    <col min="502" max="502" width="11.875" style="130" customWidth="1"/>
    <col min="503" max="503" width="13.625" style="130" customWidth="1"/>
    <col min="504" max="504" width="12.75" style="130" customWidth="1"/>
    <col min="505" max="751" width="9" style="130"/>
    <col min="752" max="752" width="5" style="130" customWidth="1"/>
    <col min="753" max="753" width="17.875" style="130" bestFit="1" customWidth="1"/>
    <col min="754" max="754" width="23.625" style="130" customWidth="1"/>
    <col min="755" max="755" width="18.25" style="130" customWidth="1"/>
    <col min="756" max="756" width="5.25" style="130" bestFit="1" customWidth="1"/>
    <col min="757" max="757" width="9" style="130"/>
    <col min="758" max="758" width="11.875" style="130" customWidth="1"/>
    <col min="759" max="759" width="13.625" style="130" customWidth="1"/>
    <col min="760" max="760" width="12.75" style="130" customWidth="1"/>
    <col min="761" max="1007" width="9" style="130"/>
    <col min="1008" max="1008" width="5" style="130" customWidth="1"/>
    <col min="1009" max="1009" width="17.875" style="130" bestFit="1" customWidth="1"/>
    <col min="1010" max="1010" width="23.625" style="130" customWidth="1"/>
    <col min="1011" max="1011" width="18.25" style="130" customWidth="1"/>
    <col min="1012" max="1012" width="5.25" style="130" bestFit="1" customWidth="1"/>
    <col min="1013" max="1013" width="9" style="130"/>
    <col min="1014" max="1014" width="11.875" style="130" customWidth="1"/>
    <col min="1015" max="1015" width="13.625" style="130" customWidth="1"/>
    <col min="1016" max="1016" width="12.75" style="130" customWidth="1"/>
    <col min="1017" max="1263" width="9" style="130"/>
    <col min="1264" max="1264" width="5" style="130" customWidth="1"/>
    <col min="1265" max="1265" width="17.875" style="130" bestFit="1" customWidth="1"/>
    <col min="1266" max="1266" width="23.625" style="130" customWidth="1"/>
    <col min="1267" max="1267" width="18.25" style="130" customWidth="1"/>
    <col min="1268" max="1268" width="5.25" style="130" bestFit="1" customWidth="1"/>
    <col min="1269" max="1269" width="9" style="130"/>
    <col min="1270" max="1270" width="11.875" style="130" customWidth="1"/>
    <col min="1271" max="1271" width="13.625" style="130" customWidth="1"/>
    <col min="1272" max="1272" width="12.75" style="130" customWidth="1"/>
    <col min="1273" max="1519" width="9" style="130"/>
    <col min="1520" max="1520" width="5" style="130" customWidth="1"/>
    <col min="1521" max="1521" width="17.875" style="130" bestFit="1" customWidth="1"/>
    <col min="1522" max="1522" width="23.625" style="130" customWidth="1"/>
    <col min="1523" max="1523" width="18.25" style="130" customWidth="1"/>
    <col min="1524" max="1524" width="5.25" style="130" bestFit="1" customWidth="1"/>
    <col min="1525" max="1525" width="9" style="130"/>
    <col min="1526" max="1526" width="11.875" style="130" customWidth="1"/>
    <col min="1527" max="1527" width="13.625" style="130" customWidth="1"/>
    <col min="1528" max="1528" width="12.75" style="130" customWidth="1"/>
    <col min="1529" max="1775" width="9" style="130"/>
    <col min="1776" max="1776" width="5" style="130" customWidth="1"/>
    <col min="1777" max="1777" width="17.875" style="130" bestFit="1" customWidth="1"/>
    <col min="1778" max="1778" width="23.625" style="130" customWidth="1"/>
    <col min="1779" max="1779" width="18.25" style="130" customWidth="1"/>
    <col min="1780" max="1780" width="5.25" style="130" bestFit="1" customWidth="1"/>
    <col min="1781" max="1781" width="9" style="130"/>
    <col min="1782" max="1782" width="11.875" style="130" customWidth="1"/>
    <col min="1783" max="1783" width="13.625" style="130" customWidth="1"/>
    <col min="1784" max="1784" width="12.75" style="130" customWidth="1"/>
    <col min="1785" max="2031" width="9" style="130"/>
    <col min="2032" max="2032" width="5" style="130" customWidth="1"/>
    <col min="2033" max="2033" width="17.875" style="130" bestFit="1" customWidth="1"/>
    <col min="2034" max="2034" width="23.625" style="130" customWidth="1"/>
    <col min="2035" max="2035" width="18.25" style="130" customWidth="1"/>
    <col min="2036" max="2036" width="5.25" style="130" bestFit="1" customWidth="1"/>
    <col min="2037" max="2037" width="9" style="130"/>
    <col min="2038" max="2038" width="11.875" style="130" customWidth="1"/>
    <col min="2039" max="2039" width="13.625" style="130" customWidth="1"/>
    <col min="2040" max="2040" width="12.75" style="130" customWidth="1"/>
    <col min="2041" max="2287" width="9" style="130"/>
    <col min="2288" max="2288" width="5" style="130" customWidth="1"/>
    <col min="2289" max="2289" width="17.875" style="130" bestFit="1" customWidth="1"/>
    <col min="2290" max="2290" width="23.625" style="130" customWidth="1"/>
    <col min="2291" max="2291" width="18.25" style="130" customWidth="1"/>
    <col min="2292" max="2292" width="5.25" style="130" bestFit="1" customWidth="1"/>
    <col min="2293" max="2293" width="9" style="130"/>
    <col min="2294" max="2294" width="11.875" style="130" customWidth="1"/>
    <col min="2295" max="2295" width="13.625" style="130" customWidth="1"/>
    <col min="2296" max="2296" width="12.75" style="130" customWidth="1"/>
    <col min="2297" max="2543" width="9" style="130"/>
    <col min="2544" max="2544" width="5" style="130" customWidth="1"/>
    <col min="2545" max="2545" width="17.875" style="130" bestFit="1" customWidth="1"/>
    <col min="2546" max="2546" width="23.625" style="130" customWidth="1"/>
    <col min="2547" max="2547" width="18.25" style="130" customWidth="1"/>
    <col min="2548" max="2548" width="5.25" style="130" bestFit="1" customWidth="1"/>
    <col min="2549" max="2549" width="9" style="130"/>
    <col min="2550" max="2550" width="11.875" style="130" customWidth="1"/>
    <col min="2551" max="2551" width="13.625" style="130" customWidth="1"/>
    <col min="2552" max="2552" width="12.75" style="130" customWidth="1"/>
    <col min="2553" max="2799" width="9" style="130"/>
    <col min="2800" max="2800" width="5" style="130" customWidth="1"/>
    <col min="2801" max="2801" width="17.875" style="130" bestFit="1" customWidth="1"/>
    <col min="2802" max="2802" width="23.625" style="130" customWidth="1"/>
    <col min="2803" max="2803" width="18.25" style="130" customWidth="1"/>
    <col min="2804" max="2804" width="5.25" style="130" bestFit="1" customWidth="1"/>
    <col min="2805" max="2805" width="9" style="130"/>
    <col min="2806" max="2806" width="11.875" style="130" customWidth="1"/>
    <col min="2807" max="2807" width="13.625" style="130" customWidth="1"/>
    <col min="2808" max="2808" width="12.75" style="130" customWidth="1"/>
    <col min="2809" max="3055" width="9" style="130"/>
    <col min="3056" max="3056" width="5" style="130" customWidth="1"/>
    <col min="3057" max="3057" width="17.875" style="130" bestFit="1" customWidth="1"/>
    <col min="3058" max="3058" width="23.625" style="130" customWidth="1"/>
    <col min="3059" max="3059" width="18.25" style="130" customWidth="1"/>
    <col min="3060" max="3060" width="5.25" style="130" bestFit="1" customWidth="1"/>
    <col min="3061" max="3061" width="9" style="130"/>
    <col min="3062" max="3062" width="11.875" style="130" customWidth="1"/>
    <col min="3063" max="3063" width="13.625" style="130" customWidth="1"/>
    <col min="3064" max="3064" width="12.75" style="130" customWidth="1"/>
    <col min="3065" max="3311" width="9" style="130"/>
    <col min="3312" max="3312" width="5" style="130" customWidth="1"/>
    <col min="3313" max="3313" width="17.875" style="130" bestFit="1" customWidth="1"/>
    <col min="3314" max="3314" width="23.625" style="130" customWidth="1"/>
    <col min="3315" max="3315" width="18.25" style="130" customWidth="1"/>
    <col min="3316" max="3316" width="5.25" style="130" bestFit="1" customWidth="1"/>
    <col min="3317" max="3317" width="9" style="130"/>
    <col min="3318" max="3318" width="11.875" style="130" customWidth="1"/>
    <col min="3319" max="3319" width="13.625" style="130" customWidth="1"/>
    <col min="3320" max="3320" width="12.75" style="130" customWidth="1"/>
    <col min="3321" max="3567" width="9" style="130"/>
    <col min="3568" max="3568" width="5" style="130" customWidth="1"/>
    <col min="3569" max="3569" width="17.875" style="130" bestFit="1" customWidth="1"/>
    <col min="3570" max="3570" width="23.625" style="130" customWidth="1"/>
    <col min="3571" max="3571" width="18.25" style="130" customWidth="1"/>
    <col min="3572" max="3572" width="5.25" style="130" bestFit="1" customWidth="1"/>
    <col min="3573" max="3573" width="9" style="130"/>
    <col min="3574" max="3574" width="11.875" style="130" customWidth="1"/>
    <col min="3575" max="3575" width="13.625" style="130" customWidth="1"/>
    <col min="3576" max="3576" width="12.75" style="130" customWidth="1"/>
    <col min="3577" max="3823" width="9" style="130"/>
    <col min="3824" max="3824" width="5" style="130" customWidth="1"/>
    <col min="3825" max="3825" width="17.875" style="130" bestFit="1" customWidth="1"/>
    <col min="3826" max="3826" width="23.625" style="130" customWidth="1"/>
    <col min="3827" max="3827" width="18.25" style="130" customWidth="1"/>
    <col min="3828" max="3828" width="5.25" style="130" bestFit="1" customWidth="1"/>
    <col min="3829" max="3829" width="9" style="130"/>
    <col min="3830" max="3830" width="11.875" style="130" customWidth="1"/>
    <col min="3831" max="3831" width="13.625" style="130" customWidth="1"/>
    <col min="3832" max="3832" width="12.75" style="130" customWidth="1"/>
    <col min="3833" max="4079" width="9" style="130"/>
    <col min="4080" max="4080" width="5" style="130" customWidth="1"/>
    <col min="4081" max="4081" width="17.875" style="130" bestFit="1" customWidth="1"/>
    <col min="4082" max="4082" width="23.625" style="130" customWidth="1"/>
    <col min="4083" max="4083" width="18.25" style="130" customWidth="1"/>
    <col min="4084" max="4084" width="5.25" style="130" bestFit="1" customWidth="1"/>
    <col min="4085" max="4085" width="9" style="130"/>
    <col min="4086" max="4086" width="11.875" style="130" customWidth="1"/>
    <col min="4087" max="4087" width="13.625" style="130" customWidth="1"/>
    <col min="4088" max="4088" width="12.75" style="130" customWidth="1"/>
    <col min="4089" max="4335" width="9" style="130"/>
    <col min="4336" max="4336" width="5" style="130" customWidth="1"/>
    <col min="4337" max="4337" width="17.875" style="130" bestFit="1" customWidth="1"/>
    <col min="4338" max="4338" width="23.625" style="130" customWidth="1"/>
    <col min="4339" max="4339" width="18.25" style="130" customWidth="1"/>
    <col min="4340" max="4340" width="5.25" style="130" bestFit="1" customWidth="1"/>
    <col min="4341" max="4341" width="9" style="130"/>
    <col min="4342" max="4342" width="11.875" style="130" customWidth="1"/>
    <col min="4343" max="4343" width="13.625" style="130" customWidth="1"/>
    <col min="4344" max="4344" width="12.75" style="130" customWidth="1"/>
    <col min="4345" max="4591" width="9" style="130"/>
    <col min="4592" max="4592" width="5" style="130" customWidth="1"/>
    <col min="4593" max="4593" width="17.875" style="130" bestFit="1" customWidth="1"/>
    <col min="4594" max="4594" width="23.625" style="130" customWidth="1"/>
    <col min="4595" max="4595" width="18.25" style="130" customWidth="1"/>
    <col min="4596" max="4596" width="5.25" style="130" bestFit="1" customWidth="1"/>
    <col min="4597" max="4597" width="9" style="130"/>
    <col min="4598" max="4598" width="11.875" style="130" customWidth="1"/>
    <col min="4599" max="4599" width="13.625" style="130" customWidth="1"/>
    <col min="4600" max="4600" width="12.75" style="130" customWidth="1"/>
    <col min="4601" max="4847" width="9" style="130"/>
    <col min="4848" max="4848" width="5" style="130" customWidth="1"/>
    <col min="4849" max="4849" width="17.875" style="130" bestFit="1" customWidth="1"/>
    <col min="4850" max="4850" width="23.625" style="130" customWidth="1"/>
    <col min="4851" max="4851" width="18.25" style="130" customWidth="1"/>
    <col min="4852" max="4852" width="5.25" style="130" bestFit="1" customWidth="1"/>
    <col min="4853" max="4853" width="9" style="130"/>
    <col min="4854" max="4854" width="11.875" style="130" customWidth="1"/>
    <col min="4855" max="4855" width="13.625" style="130" customWidth="1"/>
    <col min="4856" max="4856" width="12.75" style="130" customWidth="1"/>
    <col min="4857" max="5103" width="9" style="130"/>
    <col min="5104" max="5104" width="5" style="130" customWidth="1"/>
    <col min="5105" max="5105" width="17.875" style="130" bestFit="1" customWidth="1"/>
    <col min="5106" max="5106" width="23.625" style="130" customWidth="1"/>
    <col min="5107" max="5107" width="18.25" style="130" customWidth="1"/>
    <col min="5108" max="5108" width="5.25" style="130" bestFit="1" customWidth="1"/>
    <col min="5109" max="5109" width="9" style="130"/>
    <col min="5110" max="5110" width="11.875" style="130" customWidth="1"/>
    <col min="5111" max="5111" width="13.625" style="130" customWidth="1"/>
    <col min="5112" max="5112" width="12.75" style="130" customWidth="1"/>
    <col min="5113" max="5359" width="9" style="130"/>
    <col min="5360" max="5360" width="5" style="130" customWidth="1"/>
    <col min="5361" max="5361" width="17.875" style="130" bestFit="1" customWidth="1"/>
    <col min="5362" max="5362" width="23.625" style="130" customWidth="1"/>
    <col min="5363" max="5363" width="18.25" style="130" customWidth="1"/>
    <col min="5364" max="5364" width="5.25" style="130" bestFit="1" customWidth="1"/>
    <col min="5365" max="5365" width="9" style="130"/>
    <col min="5366" max="5366" width="11.875" style="130" customWidth="1"/>
    <col min="5367" max="5367" width="13.625" style="130" customWidth="1"/>
    <col min="5368" max="5368" width="12.75" style="130" customWidth="1"/>
    <col min="5369" max="5615" width="9" style="130"/>
    <col min="5616" max="5616" width="5" style="130" customWidth="1"/>
    <col min="5617" max="5617" width="17.875" style="130" bestFit="1" customWidth="1"/>
    <col min="5618" max="5618" width="23.625" style="130" customWidth="1"/>
    <col min="5619" max="5619" width="18.25" style="130" customWidth="1"/>
    <col min="5620" max="5620" width="5.25" style="130" bestFit="1" customWidth="1"/>
    <col min="5621" max="5621" width="9" style="130"/>
    <col min="5622" max="5622" width="11.875" style="130" customWidth="1"/>
    <col min="5623" max="5623" width="13.625" style="130" customWidth="1"/>
    <col min="5624" max="5624" width="12.75" style="130" customWidth="1"/>
    <col min="5625" max="5871" width="9" style="130"/>
    <col min="5872" max="5872" width="5" style="130" customWidth="1"/>
    <col min="5873" max="5873" width="17.875" style="130" bestFit="1" customWidth="1"/>
    <col min="5874" max="5874" width="23.625" style="130" customWidth="1"/>
    <col min="5875" max="5875" width="18.25" style="130" customWidth="1"/>
    <col min="5876" max="5876" width="5.25" style="130" bestFit="1" customWidth="1"/>
    <col min="5877" max="5877" width="9" style="130"/>
    <col min="5878" max="5878" width="11.875" style="130" customWidth="1"/>
    <col min="5879" max="5879" width="13.625" style="130" customWidth="1"/>
    <col min="5880" max="5880" width="12.75" style="130" customWidth="1"/>
    <col min="5881" max="6127" width="9" style="130"/>
    <col min="6128" max="6128" width="5" style="130" customWidth="1"/>
    <col min="6129" max="6129" width="17.875" style="130" bestFit="1" customWidth="1"/>
    <col min="6130" max="6130" width="23.625" style="130" customWidth="1"/>
    <col min="6131" max="6131" width="18.25" style="130" customWidth="1"/>
    <col min="6132" max="6132" width="5.25" style="130" bestFit="1" customWidth="1"/>
    <col min="6133" max="6133" width="9" style="130"/>
    <col min="6134" max="6134" width="11.875" style="130" customWidth="1"/>
    <col min="6135" max="6135" width="13.625" style="130" customWidth="1"/>
    <col min="6136" max="6136" width="12.75" style="130" customWidth="1"/>
    <col min="6137" max="6383" width="9" style="130"/>
    <col min="6384" max="6384" width="5" style="130" customWidth="1"/>
    <col min="6385" max="6385" width="17.875" style="130" bestFit="1" customWidth="1"/>
    <col min="6386" max="6386" width="23.625" style="130" customWidth="1"/>
    <col min="6387" max="6387" width="18.25" style="130" customWidth="1"/>
    <col min="6388" max="6388" width="5.25" style="130" bestFit="1" customWidth="1"/>
    <col min="6389" max="6389" width="9" style="130"/>
    <col min="6390" max="6390" width="11.875" style="130" customWidth="1"/>
    <col min="6391" max="6391" width="13.625" style="130" customWidth="1"/>
    <col min="6392" max="6392" width="12.75" style="130" customWidth="1"/>
    <col min="6393" max="6639" width="9" style="130"/>
    <col min="6640" max="6640" width="5" style="130" customWidth="1"/>
    <col min="6641" max="6641" width="17.875" style="130" bestFit="1" customWidth="1"/>
    <col min="6642" max="6642" width="23.625" style="130" customWidth="1"/>
    <col min="6643" max="6643" width="18.25" style="130" customWidth="1"/>
    <col min="6644" max="6644" width="5.25" style="130" bestFit="1" customWidth="1"/>
    <col min="6645" max="6645" width="9" style="130"/>
    <col min="6646" max="6646" width="11.875" style="130" customWidth="1"/>
    <col min="6647" max="6647" width="13.625" style="130" customWidth="1"/>
    <col min="6648" max="6648" width="12.75" style="130" customWidth="1"/>
    <col min="6649" max="6895" width="9" style="130"/>
    <col min="6896" max="6896" width="5" style="130" customWidth="1"/>
    <col min="6897" max="6897" width="17.875" style="130" bestFit="1" customWidth="1"/>
    <col min="6898" max="6898" width="23.625" style="130" customWidth="1"/>
    <col min="6899" max="6899" width="18.25" style="130" customWidth="1"/>
    <col min="6900" max="6900" width="5.25" style="130" bestFit="1" customWidth="1"/>
    <col min="6901" max="6901" width="9" style="130"/>
    <col min="6902" max="6902" width="11.875" style="130" customWidth="1"/>
    <col min="6903" max="6903" width="13.625" style="130" customWidth="1"/>
    <col min="6904" max="6904" width="12.75" style="130" customWidth="1"/>
    <col min="6905" max="7151" width="9" style="130"/>
    <col min="7152" max="7152" width="5" style="130" customWidth="1"/>
    <col min="7153" max="7153" width="17.875" style="130" bestFit="1" customWidth="1"/>
    <col min="7154" max="7154" width="23.625" style="130" customWidth="1"/>
    <col min="7155" max="7155" width="18.25" style="130" customWidth="1"/>
    <col min="7156" max="7156" width="5.25" style="130" bestFit="1" customWidth="1"/>
    <col min="7157" max="7157" width="9" style="130"/>
    <col min="7158" max="7158" width="11.875" style="130" customWidth="1"/>
    <col min="7159" max="7159" width="13.625" style="130" customWidth="1"/>
    <col min="7160" max="7160" width="12.75" style="130" customWidth="1"/>
    <col min="7161" max="7407" width="9" style="130"/>
    <col min="7408" max="7408" width="5" style="130" customWidth="1"/>
    <col min="7409" max="7409" width="17.875" style="130" bestFit="1" customWidth="1"/>
    <col min="7410" max="7410" width="23.625" style="130" customWidth="1"/>
    <col min="7411" max="7411" width="18.25" style="130" customWidth="1"/>
    <col min="7412" max="7412" width="5.25" style="130" bestFit="1" customWidth="1"/>
    <col min="7413" max="7413" width="9" style="130"/>
    <col min="7414" max="7414" width="11.875" style="130" customWidth="1"/>
    <col min="7415" max="7415" width="13.625" style="130" customWidth="1"/>
    <col min="7416" max="7416" width="12.75" style="130" customWidth="1"/>
    <col min="7417" max="7663" width="9" style="130"/>
    <col min="7664" max="7664" width="5" style="130" customWidth="1"/>
    <col min="7665" max="7665" width="17.875" style="130" bestFit="1" customWidth="1"/>
    <col min="7666" max="7666" width="23.625" style="130" customWidth="1"/>
    <col min="7667" max="7667" width="18.25" style="130" customWidth="1"/>
    <col min="7668" max="7668" width="5.25" style="130" bestFit="1" customWidth="1"/>
    <col min="7669" max="7669" width="9" style="130"/>
    <col min="7670" max="7670" width="11.875" style="130" customWidth="1"/>
    <col min="7671" max="7671" width="13.625" style="130" customWidth="1"/>
    <col min="7672" max="7672" width="12.75" style="130" customWidth="1"/>
    <col min="7673" max="7919" width="9" style="130"/>
    <col min="7920" max="7920" width="5" style="130" customWidth="1"/>
    <col min="7921" max="7921" width="17.875" style="130" bestFit="1" customWidth="1"/>
    <col min="7922" max="7922" width="23.625" style="130" customWidth="1"/>
    <col min="7923" max="7923" width="18.25" style="130" customWidth="1"/>
    <col min="7924" max="7924" width="5.25" style="130" bestFit="1" customWidth="1"/>
    <col min="7925" max="7925" width="9" style="130"/>
    <col min="7926" max="7926" width="11.875" style="130" customWidth="1"/>
    <col min="7927" max="7927" width="13.625" style="130" customWidth="1"/>
    <col min="7928" max="7928" width="12.75" style="130" customWidth="1"/>
    <col min="7929" max="8175" width="9" style="130"/>
    <col min="8176" max="8176" width="5" style="130" customWidth="1"/>
    <col min="8177" max="8177" width="17.875" style="130" bestFit="1" customWidth="1"/>
    <col min="8178" max="8178" width="23.625" style="130" customWidth="1"/>
    <col min="8179" max="8179" width="18.25" style="130" customWidth="1"/>
    <col min="8180" max="8180" width="5.25" style="130" bestFit="1" customWidth="1"/>
    <col min="8181" max="8181" width="9" style="130"/>
    <col min="8182" max="8182" width="11.875" style="130" customWidth="1"/>
    <col min="8183" max="8183" width="13.625" style="130" customWidth="1"/>
    <col min="8184" max="8184" width="12.75" style="130" customWidth="1"/>
    <col min="8185" max="8431" width="9" style="130"/>
    <col min="8432" max="8432" width="5" style="130" customWidth="1"/>
    <col min="8433" max="8433" width="17.875" style="130" bestFit="1" customWidth="1"/>
    <col min="8434" max="8434" width="23.625" style="130" customWidth="1"/>
    <col min="8435" max="8435" width="18.25" style="130" customWidth="1"/>
    <col min="8436" max="8436" width="5.25" style="130" bestFit="1" customWidth="1"/>
    <col min="8437" max="8437" width="9" style="130"/>
    <col min="8438" max="8438" width="11.875" style="130" customWidth="1"/>
    <col min="8439" max="8439" width="13.625" style="130" customWidth="1"/>
    <col min="8440" max="8440" width="12.75" style="130" customWidth="1"/>
    <col min="8441" max="8687" width="9" style="130"/>
    <col min="8688" max="8688" width="5" style="130" customWidth="1"/>
    <col min="8689" max="8689" width="17.875" style="130" bestFit="1" customWidth="1"/>
    <col min="8690" max="8690" width="23.625" style="130" customWidth="1"/>
    <col min="8691" max="8691" width="18.25" style="130" customWidth="1"/>
    <col min="8692" max="8692" width="5.25" style="130" bestFit="1" customWidth="1"/>
    <col min="8693" max="8693" width="9" style="130"/>
    <col min="8694" max="8694" width="11.875" style="130" customWidth="1"/>
    <col min="8695" max="8695" width="13.625" style="130" customWidth="1"/>
    <col min="8696" max="8696" width="12.75" style="130" customWidth="1"/>
    <col min="8697" max="8943" width="9" style="130"/>
    <col min="8944" max="8944" width="5" style="130" customWidth="1"/>
    <col min="8945" max="8945" width="17.875" style="130" bestFit="1" customWidth="1"/>
    <col min="8946" max="8946" width="23.625" style="130" customWidth="1"/>
    <col min="8947" max="8947" width="18.25" style="130" customWidth="1"/>
    <col min="8948" max="8948" width="5.25" style="130" bestFit="1" customWidth="1"/>
    <col min="8949" max="8949" width="9" style="130"/>
    <col min="8950" max="8950" width="11.875" style="130" customWidth="1"/>
    <col min="8951" max="8951" width="13.625" style="130" customWidth="1"/>
    <col min="8952" max="8952" width="12.75" style="130" customWidth="1"/>
    <col min="8953" max="9199" width="9" style="130"/>
    <col min="9200" max="9200" width="5" style="130" customWidth="1"/>
    <col min="9201" max="9201" width="17.875" style="130" bestFit="1" customWidth="1"/>
    <col min="9202" max="9202" width="23.625" style="130" customWidth="1"/>
    <col min="9203" max="9203" width="18.25" style="130" customWidth="1"/>
    <col min="9204" max="9204" width="5.25" style="130" bestFit="1" customWidth="1"/>
    <col min="9205" max="9205" width="9" style="130"/>
    <col min="9206" max="9206" width="11.875" style="130" customWidth="1"/>
    <col min="9207" max="9207" width="13.625" style="130" customWidth="1"/>
    <col min="9208" max="9208" width="12.75" style="130" customWidth="1"/>
    <col min="9209" max="9455" width="9" style="130"/>
    <col min="9456" max="9456" width="5" style="130" customWidth="1"/>
    <col min="9457" max="9457" width="17.875" style="130" bestFit="1" customWidth="1"/>
    <col min="9458" max="9458" width="23.625" style="130" customWidth="1"/>
    <col min="9459" max="9459" width="18.25" style="130" customWidth="1"/>
    <col min="9460" max="9460" width="5.25" style="130" bestFit="1" customWidth="1"/>
    <col min="9461" max="9461" width="9" style="130"/>
    <col min="9462" max="9462" width="11.875" style="130" customWidth="1"/>
    <col min="9463" max="9463" width="13.625" style="130" customWidth="1"/>
    <col min="9464" max="9464" width="12.75" style="130" customWidth="1"/>
    <col min="9465" max="9711" width="9" style="130"/>
    <col min="9712" max="9712" width="5" style="130" customWidth="1"/>
    <col min="9713" max="9713" width="17.875" style="130" bestFit="1" customWidth="1"/>
    <col min="9714" max="9714" width="23.625" style="130" customWidth="1"/>
    <col min="9715" max="9715" width="18.25" style="130" customWidth="1"/>
    <col min="9716" max="9716" width="5.25" style="130" bestFit="1" customWidth="1"/>
    <col min="9717" max="9717" width="9" style="130"/>
    <col min="9718" max="9718" width="11.875" style="130" customWidth="1"/>
    <col min="9719" max="9719" width="13.625" style="130" customWidth="1"/>
    <col min="9720" max="9720" width="12.75" style="130" customWidth="1"/>
    <col min="9721" max="9967" width="9" style="130"/>
    <col min="9968" max="9968" width="5" style="130" customWidth="1"/>
    <col min="9969" max="9969" width="17.875" style="130" bestFit="1" customWidth="1"/>
    <col min="9970" max="9970" width="23.625" style="130" customWidth="1"/>
    <col min="9971" max="9971" width="18.25" style="130" customWidth="1"/>
    <col min="9972" max="9972" width="5.25" style="130" bestFit="1" customWidth="1"/>
    <col min="9973" max="9973" width="9" style="130"/>
    <col min="9974" max="9974" width="11.875" style="130" customWidth="1"/>
    <col min="9975" max="9975" width="13.625" style="130" customWidth="1"/>
    <col min="9976" max="9976" width="12.75" style="130" customWidth="1"/>
    <col min="9977" max="10223" width="9" style="130"/>
    <col min="10224" max="10224" width="5" style="130" customWidth="1"/>
    <col min="10225" max="10225" width="17.875" style="130" bestFit="1" customWidth="1"/>
    <col min="10226" max="10226" width="23.625" style="130" customWidth="1"/>
    <col min="10227" max="10227" width="18.25" style="130" customWidth="1"/>
    <col min="10228" max="10228" width="5.25" style="130" bestFit="1" customWidth="1"/>
    <col min="10229" max="10229" width="9" style="130"/>
    <col min="10230" max="10230" width="11.875" style="130" customWidth="1"/>
    <col min="10231" max="10231" width="13.625" style="130" customWidth="1"/>
    <col min="10232" max="10232" width="12.75" style="130" customWidth="1"/>
    <col min="10233" max="10479" width="9" style="130"/>
    <col min="10480" max="10480" width="5" style="130" customWidth="1"/>
    <col min="10481" max="10481" width="17.875" style="130" bestFit="1" customWidth="1"/>
    <col min="10482" max="10482" width="23.625" style="130" customWidth="1"/>
    <col min="10483" max="10483" width="18.25" style="130" customWidth="1"/>
    <col min="10484" max="10484" width="5.25" style="130" bestFit="1" customWidth="1"/>
    <col min="10485" max="10485" width="9" style="130"/>
    <col min="10486" max="10486" width="11.875" style="130" customWidth="1"/>
    <col min="10487" max="10487" width="13.625" style="130" customWidth="1"/>
    <col min="10488" max="10488" width="12.75" style="130" customWidth="1"/>
    <col min="10489" max="10735" width="9" style="130"/>
    <col min="10736" max="10736" width="5" style="130" customWidth="1"/>
    <col min="10737" max="10737" width="17.875" style="130" bestFit="1" customWidth="1"/>
    <col min="10738" max="10738" width="23.625" style="130" customWidth="1"/>
    <col min="10739" max="10739" width="18.25" style="130" customWidth="1"/>
    <col min="10740" max="10740" width="5.25" style="130" bestFit="1" customWidth="1"/>
    <col min="10741" max="10741" width="9" style="130"/>
    <col min="10742" max="10742" width="11.875" style="130" customWidth="1"/>
    <col min="10743" max="10743" width="13.625" style="130" customWidth="1"/>
    <col min="10744" max="10744" width="12.75" style="130" customWidth="1"/>
    <col min="10745" max="10991" width="9" style="130"/>
    <col min="10992" max="10992" width="5" style="130" customWidth="1"/>
    <col min="10993" max="10993" width="17.875" style="130" bestFit="1" customWidth="1"/>
    <col min="10994" max="10994" width="23.625" style="130" customWidth="1"/>
    <col min="10995" max="10995" width="18.25" style="130" customWidth="1"/>
    <col min="10996" max="10996" width="5.25" style="130" bestFit="1" customWidth="1"/>
    <col min="10997" max="10997" width="9" style="130"/>
    <col min="10998" max="10998" width="11.875" style="130" customWidth="1"/>
    <col min="10999" max="10999" width="13.625" style="130" customWidth="1"/>
    <col min="11000" max="11000" width="12.75" style="130" customWidth="1"/>
    <col min="11001" max="11247" width="9" style="130"/>
    <col min="11248" max="11248" width="5" style="130" customWidth="1"/>
    <col min="11249" max="11249" width="17.875" style="130" bestFit="1" customWidth="1"/>
    <col min="11250" max="11250" width="23.625" style="130" customWidth="1"/>
    <col min="11251" max="11251" width="18.25" style="130" customWidth="1"/>
    <col min="11252" max="11252" width="5.25" style="130" bestFit="1" customWidth="1"/>
    <col min="11253" max="11253" width="9" style="130"/>
    <col min="11254" max="11254" width="11.875" style="130" customWidth="1"/>
    <col min="11255" max="11255" width="13.625" style="130" customWidth="1"/>
    <col min="11256" max="11256" width="12.75" style="130" customWidth="1"/>
    <col min="11257" max="11503" width="9" style="130"/>
    <col min="11504" max="11504" width="5" style="130" customWidth="1"/>
    <col min="11505" max="11505" width="17.875" style="130" bestFit="1" customWidth="1"/>
    <col min="11506" max="11506" width="23.625" style="130" customWidth="1"/>
    <col min="11507" max="11507" width="18.25" style="130" customWidth="1"/>
    <col min="11508" max="11508" width="5.25" style="130" bestFit="1" customWidth="1"/>
    <col min="11509" max="11509" width="9" style="130"/>
    <col min="11510" max="11510" width="11.875" style="130" customWidth="1"/>
    <col min="11511" max="11511" width="13.625" style="130" customWidth="1"/>
    <col min="11512" max="11512" width="12.75" style="130" customWidth="1"/>
    <col min="11513" max="11759" width="9" style="130"/>
    <col min="11760" max="11760" width="5" style="130" customWidth="1"/>
    <col min="11761" max="11761" width="17.875" style="130" bestFit="1" customWidth="1"/>
    <col min="11762" max="11762" width="23.625" style="130" customWidth="1"/>
    <col min="11763" max="11763" width="18.25" style="130" customWidth="1"/>
    <col min="11764" max="11764" width="5.25" style="130" bestFit="1" customWidth="1"/>
    <col min="11765" max="11765" width="9" style="130"/>
    <col min="11766" max="11766" width="11.875" style="130" customWidth="1"/>
    <col min="11767" max="11767" width="13.625" style="130" customWidth="1"/>
    <col min="11768" max="11768" width="12.75" style="130" customWidth="1"/>
    <col min="11769" max="12015" width="9" style="130"/>
    <col min="12016" max="12016" width="5" style="130" customWidth="1"/>
    <col min="12017" max="12017" width="17.875" style="130" bestFit="1" customWidth="1"/>
    <col min="12018" max="12018" width="23.625" style="130" customWidth="1"/>
    <col min="12019" max="12019" width="18.25" style="130" customWidth="1"/>
    <col min="12020" max="12020" width="5.25" style="130" bestFit="1" customWidth="1"/>
    <col min="12021" max="12021" width="9" style="130"/>
    <col min="12022" max="12022" width="11.875" style="130" customWidth="1"/>
    <col min="12023" max="12023" width="13.625" style="130" customWidth="1"/>
    <col min="12024" max="12024" width="12.75" style="130" customWidth="1"/>
    <col min="12025" max="12271" width="9" style="130"/>
    <col min="12272" max="12272" width="5" style="130" customWidth="1"/>
    <col min="12273" max="12273" width="17.875" style="130" bestFit="1" customWidth="1"/>
    <col min="12274" max="12274" width="23.625" style="130" customWidth="1"/>
    <col min="12275" max="12275" width="18.25" style="130" customWidth="1"/>
    <col min="12276" max="12276" width="5.25" style="130" bestFit="1" customWidth="1"/>
    <col min="12277" max="12277" width="9" style="130"/>
    <col min="12278" max="12278" width="11.875" style="130" customWidth="1"/>
    <col min="12279" max="12279" width="13.625" style="130" customWidth="1"/>
    <col min="12280" max="12280" width="12.75" style="130" customWidth="1"/>
    <col min="12281" max="12527" width="9" style="130"/>
    <col min="12528" max="12528" width="5" style="130" customWidth="1"/>
    <col min="12529" max="12529" width="17.875" style="130" bestFit="1" customWidth="1"/>
    <col min="12530" max="12530" width="23.625" style="130" customWidth="1"/>
    <col min="12531" max="12531" width="18.25" style="130" customWidth="1"/>
    <col min="12532" max="12532" width="5.25" style="130" bestFit="1" customWidth="1"/>
    <col min="12533" max="12533" width="9" style="130"/>
    <col min="12534" max="12534" width="11.875" style="130" customWidth="1"/>
    <col min="12535" max="12535" width="13.625" style="130" customWidth="1"/>
    <col min="12536" max="12536" width="12.75" style="130" customWidth="1"/>
    <col min="12537" max="12783" width="9" style="130"/>
    <col min="12784" max="12784" width="5" style="130" customWidth="1"/>
    <col min="12785" max="12785" width="17.875" style="130" bestFit="1" customWidth="1"/>
    <col min="12786" max="12786" width="23.625" style="130" customWidth="1"/>
    <col min="12787" max="12787" width="18.25" style="130" customWidth="1"/>
    <col min="12788" max="12788" width="5.25" style="130" bestFit="1" customWidth="1"/>
    <col min="12789" max="12789" width="9" style="130"/>
    <col min="12790" max="12790" width="11.875" style="130" customWidth="1"/>
    <col min="12791" max="12791" width="13.625" style="130" customWidth="1"/>
    <col min="12792" max="12792" width="12.75" style="130" customWidth="1"/>
    <col min="12793" max="13039" width="9" style="130"/>
    <col min="13040" max="13040" width="5" style="130" customWidth="1"/>
    <col min="13041" max="13041" width="17.875" style="130" bestFit="1" customWidth="1"/>
    <col min="13042" max="13042" width="23.625" style="130" customWidth="1"/>
    <col min="13043" max="13043" width="18.25" style="130" customWidth="1"/>
    <col min="13044" max="13044" width="5.25" style="130" bestFit="1" customWidth="1"/>
    <col min="13045" max="13045" width="9" style="130"/>
    <col min="13046" max="13046" width="11.875" style="130" customWidth="1"/>
    <col min="13047" max="13047" width="13.625" style="130" customWidth="1"/>
    <col min="13048" max="13048" width="12.75" style="130" customWidth="1"/>
    <col min="13049" max="13295" width="9" style="130"/>
    <col min="13296" max="13296" width="5" style="130" customWidth="1"/>
    <col min="13297" max="13297" width="17.875" style="130" bestFit="1" customWidth="1"/>
    <col min="13298" max="13298" width="23.625" style="130" customWidth="1"/>
    <col min="13299" max="13299" width="18.25" style="130" customWidth="1"/>
    <col min="13300" max="13300" width="5.25" style="130" bestFit="1" customWidth="1"/>
    <col min="13301" max="13301" width="9" style="130"/>
    <col min="13302" max="13302" width="11.875" style="130" customWidth="1"/>
    <col min="13303" max="13303" width="13.625" style="130" customWidth="1"/>
    <col min="13304" max="13304" width="12.75" style="130" customWidth="1"/>
    <col min="13305" max="13551" width="9" style="130"/>
    <col min="13552" max="13552" width="5" style="130" customWidth="1"/>
    <col min="13553" max="13553" width="17.875" style="130" bestFit="1" customWidth="1"/>
    <col min="13554" max="13554" width="23.625" style="130" customWidth="1"/>
    <col min="13555" max="13555" width="18.25" style="130" customWidth="1"/>
    <col min="13556" max="13556" width="5.25" style="130" bestFit="1" customWidth="1"/>
    <col min="13557" max="13557" width="9" style="130"/>
    <col min="13558" max="13558" width="11.875" style="130" customWidth="1"/>
    <col min="13559" max="13559" width="13.625" style="130" customWidth="1"/>
    <col min="13560" max="13560" width="12.75" style="130" customWidth="1"/>
    <col min="13561" max="13807" width="9" style="130"/>
    <col min="13808" max="13808" width="5" style="130" customWidth="1"/>
    <col min="13809" max="13809" width="17.875" style="130" bestFit="1" customWidth="1"/>
    <col min="13810" max="13810" width="23.625" style="130" customWidth="1"/>
    <col min="13811" max="13811" width="18.25" style="130" customWidth="1"/>
    <col min="13812" max="13812" width="5.25" style="130" bestFit="1" customWidth="1"/>
    <col min="13813" max="13813" width="9" style="130"/>
    <col min="13814" max="13814" width="11.875" style="130" customWidth="1"/>
    <col min="13815" max="13815" width="13.625" style="130" customWidth="1"/>
    <col min="13816" max="13816" width="12.75" style="130" customWidth="1"/>
    <col min="13817" max="14063" width="9" style="130"/>
    <col min="14064" max="14064" width="5" style="130" customWidth="1"/>
    <col min="14065" max="14065" width="17.875" style="130" bestFit="1" customWidth="1"/>
    <col min="14066" max="14066" width="23.625" style="130" customWidth="1"/>
    <col min="14067" max="14067" width="18.25" style="130" customWidth="1"/>
    <col min="14068" max="14068" width="5.25" style="130" bestFit="1" customWidth="1"/>
    <col min="14069" max="14069" width="9" style="130"/>
    <col min="14070" max="14070" width="11.875" style="130" customWidth="1"/>
    <col min="14071" max="14071" width="13.625" style="130" customWidth="1"/>
    <col min="14072" max="14072" width="12.75" style="130" customWidth="1"/>
    <col min="14073" max="14319" width="9" style="130"/>
    <col min="14320" max="14320" width="5" style="130" customWidth="1"/>
    <col min="14321" max="14321" width="17.875" style="130" bestFit="1" customWidth="1"/>
    <col min="14322" max="14322" width="23.625" style="130" customWidth="1"/>
    <col min="14323" max="14323" width="18.25" style="130" customWidth="1"/>
    <col min="14324" max="14324" width="5.25" style="130" bestFit="1" customWidth="1"/>
    <col min="14325" max="14325" width="9" style="130"/>
    <col min="14326" max="14326" width="11.875" style="130" customWidth="1"/>
    <col min="14327" max="14327" width="13.625" style="130" customWidth="1"/>
    <col min="14328" max="14328" width="12.75" style="130" customWidth="1"/>
    <col min="14329" max="14575" width="9" style="130"/>
    <col min="14576" max="14576" width="5" style="130" customWidth="1"/>
    <col min="14577" max="14577" width="17.875" style="130" bestFit="1" customWidth="1"/>
    <col min="14578" max="14578" width="23.625" style="130" customWidth="1"/>
    <col min="14579" max="14579" width="18.25" style="130" customWidth="1"/>
    <col min="14580" max="14580" width="5.25" style="130" bestFit="1" customWidth="1"/>
    <col min="14581" max="14581" width="9" style="130"/>
    <col min="14582" max="14582" width="11.875" style="130" customWidth="1"/>
    <col min="14583" max="14583" width="13.625" style="130" customWidth="1"/>
    <col min="14584" max="14584" width="12.75" style="130" customWidth="1"/>
    <col min="14585" max="14831" width="9" style="130"/>
    <col min="14832" max="14832" width="5" style="130" customWidth="1"/>
    <col min="14833" max="14833" width="17.875" style="130" bestFit="1" customWidth="1"/>
    <col min="14834" max="14834" width="23.625" style="130" customWidth="1"/>
    <col min="14835" max="14835" width="18.25" style="130" customWidth="1"/>
    <col min="14836" max="14836" width="5.25" style="130" bestFit="1" customWidth="1"/>
    <col min="14837" max="14837" width="9" style="130"/>
    <col min="14838" max="14838" width="11.875" style="130" customWidth="1"/>
    <col min="14839" max="14839" width="13.625" style="130" customWidth="1"/>
    <col min="14840" max="14840" width="12.75" style="130" customWidth="1"/>
    <col min="14841" max="15087" width="9" style="130"/>
    <col min="15088" max="15088" width="5" style="130" customWidth="1"/>
    <col min="15089" max="15089" width="17.875" style="130" bestFit="1" customWidth="1"/>
    <col min="15090" max="15090" width="23.625" style="130" customWidth="1"/>
    <col min="15091" max="15091" width="18.25" style="130" customWidth="1"/>
    <col min="15092" max="15092" width="5.25" style="130" bestFit="1" customWidth="1"/>
    <col min="15093" max="15093" width="9" style="130"/>
    <col min="15094" max="15094" width="11.875" style="130" customWidth="1"/>
    <col min="15095" max="15095" width="13.625" style="130" customWidth="1"/>
    <col min="15096" max="15096" width="12.75" style="130" customWidth="1"/>
    <col min="15097" max="15343" width="9" style="130"/>
    <col min="15344" max="15344" width="5" style="130" customWidth="1"/>
    <col min="15345" max="15345" width="17.875" style="130" bestFit="1" customWidth="1"/>
    <col min="15346" max="15346" width="23.625" style="130" customWidth="1"/>
    <col min="15347" max="15347" width="18.25" style="130" customWidth="1"/>
    <col min="15348" max="15348" width="5.25" style="130" bestFit="1" customWidth="1"/>
    <col min="15349" max="15349" width="9" style="130"/>
    <col min="15350" max="15350" width="11.875" style="130" customWidth="1"/>
    <col min="15351" max="15351" width="13.625" style="130" customWidth="1"/>
    <col min="15352" max="15352" width="12.75" style="130" customWidth="1"/>
    <col min="15353" max="15599" width="9" style="130"/>
    <col min="15600" max="15600" width="5" style="130" customWidth="1"/>
    <col min="15601" max="15601" width="17.875" style="130" bestFit="1" customWidth="1"/>
    <col min="15602" max="15602" width="23.625" style="130" customWidth="1"/>
    <col min="15603" max="15603" width="18.25" style="130" customWidth="1"/>
    <col min="15604" max="15604" width="5.25" style="130" bestFit="1" customWidth="1"/>
    <col min="15605" max="15605" width="9" style="130"/>
    <col min="15606" max="15606" width="11.875" style="130" customWidth="1"/>
    <col min="15607" max="15607" width="13.625" style="130" customWidth="1"/>
    <col min="15608" max="15608" width="12.75" style="130" customWidth="1"/>
    <col min="15609" max="15855" width="9" style="130"/>
    <col min="15856" max="15856" width="5" style="130" customWidth="1"/>
    <col min="15857" max="15857" width="17.875" style="130" bestFit="1" customWidth="1"/>
    <col min="15858" max="15858" width="23.625" style="130" customWidth="1"/>
    <col min="15859" max="15859" width="18.25" style="130" customWidth="1"/>
    <col min="15860" max="15860" width="5.25" style="130" bestFit="1" customWidth="1"/>
    <col min="15861" max="15861" width="9" style="130"/>
    <col min="15862" max="15862" width="11.875" style="130" customWidth="1"/>
    <col min="15863" max="15863" width="13.625" style="130" customWidth="1"/>
    <col min="15864" max="15864" width="12.75" style="130" customWidth="1"/>
    <col min="15865" max="16111" width="9" style="130"/>
    <col min="16112" max="16112" width="5" style="130" customWidth="1"/>
    <col min="16113" max="16113" width="17.875" style="130" bestFit="1" customWidth="1"/>
    <col min="16114" max="16114" width="23.625" style="130" customWidth="1"/>
    <col min="16115" max="16115" width="18.25" style="130" customWidth="1"/>
    <col min="16116" max="16116" width="5.25" style="130" bestFit="1" customWidth="1"/>
    <col min="16117" max="16117" width="9" style="130"/>
    <col min="16118" max="16118" width="11.875" style="130" customWidth="1"/>
    <col min="16119" max="16119" width="13.625" style="130" customWidth="1"/>
    <col min="16120" max="16120" width="12.75" style="130" customWidth="1"/>
    <col min="16121" max="16384" width="9" style="130"/>
  </cols>
  <sheetData>
    <row r="1" spans="1:9" ht="22.5" customHeight="1">
      <c r="B1" s="212" t="s">
        <v>149</v>
      </c>
      <c r="C1" s="305" t="s">
        <v>295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25" t="s">
        <v>296</v>
      </c>
      <c r="D3" s="307"/>
      <c r="E3" s="226" t="s">
        <v>51</v>
      </c>
      <c r="F3" s="313">
        <v>1</v>
      </c>
      <c r="G3" s="228">
        <v>2880000</v>
      </c>
      <c r="H3" s="175">
        <f t="shared" ref="H3:H15" si="0">IF(F3=0,G3,G3*F3)</f>
        <v>2880000</v>
      </c>
      <c r="I3" s="38"/>
    </row>
    <row r="4" spans="1:9" ht="15.95" customHeight="1">
      <c r="A4" s="497"/>
      <c r="B4" s="218"/>
      <c r="C4" s="309" t="s">
        <v>297</v>
      </c>
      <c r="D4" s="320"/>
      <c r="E4" s="226" t="s">
        <v>51</v>
      </c>
      <c r="F4" s="313">
        <v>1</v>
      </c>
      <c r="G4" s="311">
        <v>3960000</v>
      </c>
      <c r="H4" s="175">
        <f t="shared" si="0"/>
        <v>3960000</v>
      </c>
      <c r="I4" s="38"/>
    </row>
    <row r="5" spans="1:9" ht="15.95" customHeight="1">
      <c r="A5" s="497"/>
      <c r="B5" s="218"/>
      <c r="C5" s="309" t="s">
        <v>298</v>
      </c>
      <c r="D5" s="320"/>
      <c r="E5" s="226" t="s">
        <v>51</v>
      </c>
      <c r="F5" s="313">
        <v>1</v>
      </c>
      <c r="G5" s="311">
        <v>7200000</v>
      </c>
      <c r="H5" s="175">
        <f t="shared" si="0"/>
        <v>7200000</v>
      </c>
      <c r="I5" s="38"/>
    </row>
    <row r="6" spans="1:9" ht="15.95" customHeight="1">
      <c r="A6" s="497"/>
      <c r="B6" s="218"/>
      <c r="C6" s="309" t="s">
        <v>299</v>
      </c>
      <c r="D6" s="309"/>
      <c r="E6" s="226" t="s">
        <v>51</v>
      </c>
      <c r="F6" s="313">
        <v>10</v>
      </c>
      <c r="G6" s="311">
        <v>216000</v>
      </c>
      <c r="H6" s="175">
        <f t="shared" si="0"/>
        <v>2160000</v>
      </c>
      <c r="I6" s="38"/>
    </row>
    <row r="7" spans="1:9" ht="15.95" customHeight="1">
      <c r="A7" s="497"/>
      <c r="B7" s="218"/>
      <c r="C7" s="309" t="s">
        <v>300</v>
      </c>
      <c r="D7" s="309"/>
      <c r="E7" s="226" t="s">
        <v>51</v>
      </c>
      <c r="F7" s="313">
        <v>8</v>
      </c>
      <c r="G7" s="311">
        <v>1440000</v>
      </c>
      <c r="H7" s="175">
        <f t="shared" si="0"/>
        <v>11520000</v>
      </c>
      <c r="I7" s="38"/>
    </row>
    <row r="8" spans="1:9" ht="15.95" customHeight="1">
      <c r="A8" s="497"/>
      <c r="B8" s="218"/>
      <c r="C8" s="309" t="s">
        <v>301</v>
      </c>
      <c r="D8" s="309"/>
      <c r="E8" s="226" t="s">
        <v>51</v>
      </c>
      <c r="F8" s="313">
        <v>1</v>
      </c>
      <c r="G8" s="311">
        <v>4320000</v>
      </c>
      <c r="H8" s="175">
        <f t="shared" si="0"/>
        <v>4320000</v>
      </c>
      <c r="I8" s="38"/>
    </row>
    <row r="9" spans="1:9" ht="15.95" customHeight="1">
      <c r="A9" s="497"/>
      <c r="B9" s="218"/>
      <c r="C9" s="309" t="s">
        <v>302</v>
      </c>
      <c r="D9" s="309"/>
      <c r="E9" s="226" t="s">
        <v>51</v>
      </c>
      <c r="F9" s="313">
        <v>1</v>
      </c>
      <c r="G9" s="311">
        <v>1152000</v>
      </c>
      <c r="H9" s="175">
        <f t="shared" si="0"/>
        <v>1152000</v>
      </c>
      <c r="I9" s="38"/>
    </row>
    <row r="10" spans="1:9" ht="15.95" customHeight="1">
      <c r="A10" s="497"/>
      <c r="B10" s="218"/>
      <c r="C10" s="309" t="s">
        <v>303</v>
      </c>
      <c r="D10" s="309"/>
      <c r="E10" s="226" t="s">
        <v>51</v>
      </c>
      <c r="F10" s="313">
        <v>2</v>
      </c>
      <c r="G10" s="311">
        <v>2880000</v>
      </c>
      <c r="H10" s="175">
        <f t="shared" si="0"/>
        <v>5760000</v>
      </c>
      <c r="I10" s="38"/>
    </row>
    <row r="11" spans="1:9" ht="15.95" customHeight="1">
      <c r="A11" s="497"/>
      <c r="B11" s="218"/>
      <c r="C11" s="225" t="s">
        <v>304</v>
      </c>
      <c r="D11" s="225"/>
      <c r="E11" s="226" t="s">
        <v>51</v>
      </c>
      <c r="F11" s="313">
        <v>2</v>
      </c>
      <c r="G11" s="228">
        <v>1944000</v>
      </c>
      <c r="H11" s="175">
        <f t="shared" si="0"/>
        <v>3888000</v>
      </c>
      <c r="I11" s="38"/>
    </row>
    <row r="12" spans="1:9" ht="15.95" customHeight="1">
      <c r="A12" s="497"/>
      <c r="B12" s="218"/>
      <c r="C12" s="225" t="s">
        <v>305</v>
      </c>
      <c r="D12" s="225"/>
      <c r="E12" s="226" t="s">
        <v>51</v>
      </c>
      <c r="F12" s="313">
        <v>2</v>
      </c>
      <c r="G12" s="228">
        <v>7560000</v>
      </c>
      <c r="H12" s="175">
        <f t="shared" si="0"/>
        <v>15120000</v>
      </c>
      <c r="I12" s="38"/>
    </row>
    <row r="13" spans="1:9" ht="15.95" customHeight="1">
      <c r="A13" s="497"/>
      <c r="B13" s="218"/>
      <c r="C13" s="225" t="s">
        <v>306</v>
      </c>
      <c r="D13" s="225"/>
      <c r="E13" s="226" t="s">
        <v>51</v>
      </c>
      <c r="F13" s="313">
        <v>1</v>
      </c>
      <c r="G13" s="228">
        <v>2880000</v>
      </c>
      <c r="H13" s="175">
        <f t="shared" si="0"/>
        <v>2880000</v>
      </c>
      <c r="I13" s="38"/>
    </row>
    <row r="14" spans="1:9" ht="15.95" customHeight="1">
      <c r="A14" s="497"/>
      <c r="B14" s="218"/>
      <c r="C14" s="225" t="s">
        <v>307</v>
      </c>
      <c r="D14" s="225"/>
      <c r="E14" s="226" t="s">
        <v>51</v>
      </c>
      <c r="F14" s="313">
        <v>1</v>
      </c>
      <c r="G14" s="228">
        <v>1152000</v>
      </c>
      <c r="H14" s="175">
        <f t="shared" si="0"/>
        <v>1152000</v>
      </c>
      <c r="I14" s="38"/>
    </row>
    <row r="15" spans="1:9" ht="15.95" customHeight="1">
      <c r="A15" s="497"/>
      <c r="B15" s="218"/>
      <c r="C15" s="225" t="s">
        <v>308</v>
      </c>
      <c r="D15" s="225"/>
      <c r="E15" s="226" t="s">
        <v>51</v>
      </c>
      <c r="F15" s="313">
        <v>1</v>
      </c>
      <c r="G15" s="228">
        <v>518400</v>
      </c>
      <c r="H15" s="175">
        <f t="shared" si="0"/>
        <v>518400</v>
      </c>
      <c r="I15" s="38"/>
    </row>
    <row r="16" spans="1:9" ht="15.95" customHeight="1">
      <c r="A16" s="497"/>
      <c r="B16" s="218"/>
      <c r="C16" s="225" t="s">
        <v>286</v>
      </c>
      <c r="D16" s="225"/>
      <c r="E16" s="226" t="s">
        <v>51</v>
      </c>
      <c r="F16" s="313">
        <v>1</v>
      </c>
      <c r="G16" s="228">
        <v>720000</v>
      </c>
      <c r="H16" s="175">
        <f t="shared" ref="H16:H70" si="1">IF(F16=0,G16,G16*F16)</f>
        <v>720000</v>
      </c>
      <c r="I16" s="38"/>
    </row>
    <row r="17" spans="1:9" ht="15.95" customHeight="1">
      <c r="A17" s="497"/>
      <c r="B17" s="218"/>
      <c r="C17" s="225" t="s">
        <v>522</v>
      </c>
      <c r="D17" s="225"/>
      <c r="E17" s="226" t="s">
        <v>521</v>
      </c>
      <c r="F17" s="307">
        <v>20</v>
      </c>
      <c r="G17" s="228">
        <v>2232000</v>
      </c>
      <c r="H17" s="175">
        <f t="shared" si="1"/>
        <v>44640000</v>
      </c>
      <c r="I17" s="38"/>
    </row>
    <row r="18" spans="1:9" ht="15.95" customHeight="1">
      <c r="A18" s="497"/>
      <c r="B18" s="218"/>
      <c r="C18" s="225" t="s">
        <v>523</v>
      </c>
      <c r="D18" s="225"/>
      <c r="E18" s="226" t="s">
        <v>521</v>
      </c>
      <c r="F18" s="307">
        <v>88</v>
      </c>
      <c r="G18" s="228">
        <v>1080000</v>
      </c>
      <c r="H18" s="175">
        <f t="shared" si="1"/>
        <v>95040000</v>
      </c>
      <c r="I18" s="38"/>
    </row>
    <row r="19" spans="1:9" ht="15.95" customHeight="1">
      <c r="A19" s="497"/>
      <c r="B19" s="218"/>
      <c r="C19" s="225"/>
      <c r="D19" s="225"/>
      <c r="E19" s="226"/>
      <c r="F19" s="227"/>
      <c r="G19" s="228"/>
      <c r="H19" s="175">
        <f t="shared" si="1"/>
        <v>0</v>
      </c>
      <c r="I19" s="38"/>
    </row>
    <row r="20" spans="1:9" ht="15.95" customHeight="1">
      <c r="A20" s="497"/>
      <c r="B20" s="218"/>
      <c r="C20" s="225"/>
      <c r="D20" s="225"/>
      <c r="E20" s="226"/>
      <c r="F20" s="227"/>
      <c r="G20" s="228"/>
      <c r="H20" s="175">
        <f t="shared" si="1"/>
        <v>0</v>
      </c>
      <c r="I20" s="38"/>
    </row>
    <row r="21" spans="1:9" ht="15.95" customHeight="1">
      <c r="A21" s="497"/>
      <c r="B21" s="218"/>
      <c r="C21" s="225"/>
      <c r="D21" s="225"/>
      <c r="E21" s="226"/>
      <c r="F21" s="227"/>
      <c r="G21" s="228"/>
      <c r="H21" s="175">
        <f t="shared" si="1"/>
        <v>0</v>
      </c>
      <c r="I21" s="38"/>
    </row>
    <row r="22" spans="1:9" ht="15.95" customHeight="1">
      <c r="A22" s="497"/>
      <c r="B22" s="218"/>
      <c r="C22" s="225"/>
      <c r="D22" s="225"/>
      <c r="E22" s="226"/>
      <c r="F22" s="227"/>
      <c r="G22" s="228"/>
      <c r="H22" s="175">
        <f t="shared" si="1"/>
        <v>0</v>
      </c>
      <c r="I22" s="38"/>
    </row>
    <row r="23" spans="1:9" ht="15.95" customHeight="1">
      <c r="A23" s="497"/>
      <c r="B23" s="218"/>
      <c r="C23" s="229"/>
      <c r="D23" s="230"/>
      <c r="E23" s="230"/>
      <c r="F23" s="231"/>
      <c r="G23" s="232"/>
      <c r="H23" s="252">
        <f t="shared" si="1"/>
        <v>0</v>
      </c>
      <c r="I23" s="253"/>
    </row>
    <row r="24" spans="1:9" ht="15.95" customHeight="1">
      <c r="A24" s="497"/>
      <c r="B24" s="234"/>
      <c r="C24" s="260"/>
      <c r="D24" s="260"/>
      <c r="E24" s="260"/>
      <c r="F24" s="258"/>
      <c r="G24" s="258"/>
      <c r="H24" s="290">
        <f>SUM(H3:H23)</f>
        <v>202910400</v>
      </c>
      <c r="I24" s="260"/>
    </row>
    <row r="25" spans="1:9" ht="15.95" customHeight="1">
      <c r="A25" s="497"/>
      <c r="B25" s="218" t="s">
        <v>150</v>
      </c>
      <c r="C25" s="219" t="s">
        <v>527</v>
      </c>
      <c r="D25" s="219"/>
      <c r="E25" s="220"/>
      <c r="F25" s="307">
        <v>9</v>
      </c>
      <c r="G25" s="228">
        <v>300000</v>
      </c>
      <c r="H25" s="223">
        <f t="shared" si="1"/>
        <v>2700000</v>
      </c>
      <c r="I25" s="224"/>
    </row>
    <row r="26" spans="1:9" ht="15.95" customHeight="1">
      <c r="A26" s="497"/>
      <c r="B26" s="218" t="s">
        <v>151</v>
      </c>
      <c r="C26" s="225" t="s">
        <v>528</v>
      </c>
      <c r="D26" s="225"/>
      <c r="E26" s="225"/>
      <c r="F26" s="307">
        <v>15</v>
      </c>
      <c r="G26" s="228">
        <v>300000</v>
      </c>
      <c r="H26" s="223">
        <f t="shared" si="1"/>
        <v>4500000</v>
      </c>
      <c r="I26" s="38"/>
    </row>
    <row r="27" spans="1:9" ht="15.95" customHeight="1">
      <c r="A27" s="497"/>
      <c r="B27" s="218"/>
      <c r="C27" s="225" t="s">
        <v>529</v>
      </c>
      <c r="D27" s="225"/>
      <c r="E27" s="225"/>
      <c r="F27" s="317">
        <v>18</v>
      </c>
      <c r="G27" s="228">
        <v>300000</v>
      </c>
      <c r="H27" s="223">
        <f t="shared" si="1"/>
        <v>5400000</v>
      </c>
      <c r="I27" s="38"/>
    </row>
    <row r="28" spans="1:9" ht="15.95" customHeight="1">
      <c r="A28" s="497"/>
      <c r="B28" s="218"/>
      <c r="C28" s="225"/>
      <c r="D28" s="225"/>
      <c r="E28" s="225"/>
      <c r="F28" s="317"/>
      <c r="G28" s="228"/>
      <c r="H28" s="175"/>
      <c r="I28" s="38"/>
    </row>
    <row r="29" spans="1:9" ht="15.95" customHeight="1">
      <c r="A29" s="497"/>
      <c r="B29" s="218"/>
      <c r="C29" s="229"/>
      <c r="D29" s="229"/>
      <c r="E29" s="229"/>
      <c r="F29" s="317"/>
      <c r="G29" s="228"/>
      <c r="H29" s="175"/>
      <c r="I29" s="233"/>
    </row>
    <row r="30" spans="1:9" ht="15.95" customHeight="1">
      <c r="A30" s="497"/>
      <c r="B30" s="234"/>
      <c r="C30" s="235"/>
      <c r="D30" s="236"/>
      <c r="E30" s="236"/>
      <c r="F30" s="312"/>
      <c r="G30" s="238"/>
      <c r="H30" s="239">
        <f>SUM(H25:H29)</f>
        <v>12600000</v>
      </c>
      <c r="I30" s="240"/>
    </row>
    <row r="31" spans="1:9" ht="15.95" customHeight="1">
      <c r="A31" s="497"/>
      <c r="B31" s="261" t="s">
        <v>152</v>
      </c>
      <c r="C31" s="309" t="s">
        <v>309</v>
      </c>
      <c r="D31" s="309"/>
      <c r="E31" s="307" t="s">
        <v>51</v>
      </c>
      <c r="F31" s="313">
        <v>6</v>
      </c>
      <c r="G31" s="311">
        <v>918000</v>
      </c>
      <c r="H31" s="175">
        <f t="shared" ref="H31" si="2">IF(F31=0,G31,G31*F31)</f>
        <v>5508000</v>
      </c>
      <c r="I31" s="247" t="s">
        <v>198</v>
      </c>
    </row>
    <row r="32" spans="1:9" ht="15.95" customHeight="1">
      <c r="A32" s="497"/>
      <c r="B32" s="218" t="s">
        <v>153</v>
      </c>
      <c r="C32" s="309" t="s">
        <v>249</v>
      </c>
      <c r="D32" s="309"/>
      <c r="E32" s="307" t="s">
        <v>51</v>
      </c>
      <c r="F32" s="313">
        <v>1</v>
      </c>
      <c r="G32" s="311">
        <v>2160000</v>
      </c>
      <c r="H32" s="175">
        <f t="shared" ref="H32" si="3">IF(F32=0,G32,G32*F32)</f>
        <v>2160000</v>
      </c>
      <c r="I32" s="38" t="s">
        <v>198</v>
      </c>
    </row>
    <row r="33" spans="1:9" ht="15.95" customHeight="1">
      <c r="A33" s="497"/>
      <c r="B33" s="218"/>
      <c r="C33" s="309" t="s">
        <v>240</v>
      </c>
      <c r="D33" s="309"/>
      <c r="E33" s="307" t="s">
        <v>51</v>
      </c>
      <c r="F33" s="313" t="s">
        <v>327</v>
      </c>
      <c r="G33" s="311">
        <v>518400</v>
      </c>
      <c r="H33" s="175">
        <f t="shared" ref="H33:H44" si="4">IF(F33=0,G33,G33*F33)</f>
        <v>5184000</v>
      </c>
      <c r="I33" s="38" t="s">
        <v>321</v>
      </c>
    </row>
    <row r="34" spans="1:9" ht="15.95" customHeight="1">
      <c r="A34" s="497"/>
      <c r="B34" s="218"/>
      <c r="C34" s="309" t="s">
        <v>313</v>
      </c>
      <c r="D34" s="309"/>
      <c r="E34" s="307" t="s">
        <v>51</v>
      </c>
      <c r="F34" s="313" t="s">
        <v>328</v>
      </c>
      <c r="G34" s="311">
        <v>17280</v>
      </c>
      <c r="H34" s="175">
        <f t="shared" si="4"/>
        <v>1866240</v>
      </c>
      <c r="I34" s="38" t="s">
        <v>321</v>
      </c>
    </row>
    <row r="35" spans="1:9" ht="15.95" customHeight="1">
      <c r="A35" s="497"/>
      <c r="B35" s="218"/>
      <c r="C35" s="309" t="s">
        <v>314</v>
      </c>
      <c r="D35" s="309"/>
      <c r="E35" s="307" t="s">
        <v>51</v>
      </c>
      <c r="F35" s="313" t="s">
        <v>329</v>
      </c>
      <c r="G35" s="311">
        <v>18720000</v>
      </c>
      <c r="H35" s="175">
        <f t="shared" si="4"/>
        <v>18720000</v>
      </c>
      <c r="I35" s="38" t="s">
        <v>322</v>
      </c>
    </row>
    <row r="36" spans="1:9" ht="15.95" customHeight="1">
      <c r="A36" s="497"/>
      <c r="B36" s="218"/>
      <c r="C36" s="309" t="s">
        <v>315</v>
      </c>
      <c r="D36" s="309"/>
      <c r="E36" s="307" t="s">
        <v>51</v>
      </c>
      <c r="F36" s="313" t="s">
        <v>329</v>
      </c>
      <c r="G36" s="311">
        <v>540000</v>
      </c>
      <c r="H36" s="175">
        <f t="shared" si="4"/>
        <v>540000</v>
      </c>
      <c r="I36" s="38" t="s">
        <v>323</v>
      </c>
    </row>
    <row r="37" spans="1:9" ht="15.95" customHeight="1">
      <c r="A37" s="497"/>
      <c r="B37" s="218"/>
      <c r="C37" s="309" t="s">
        <v>315</v>
      </c>
      <c r="D37" s="309"/>
      <c r="E37" s="307" t="s">
        <v>51</v>
      </c>
      <c r="F37" s="313" t="s">
        <v>330</v>
      </c>
      <c r="G37" s="311">
        <v>864000</v>
      </c>
      <c r="H37" s="175">
        <f t="shared" si="4"/>
        <v>1728000</v>
      </c>
      <c r="I37" s="38" t="s">
        <v>323</v>
      </c>
    </row>
    <row r="38" spans="1:9" ht="15.95" customHeight="1">
      <c r="A38" s="497"/>
      <c r="B38" s="218"/>
      <c r="C38" s="309" t="s">
        <v>193</v>
      </c>
      <c r="D38" s="309"/>
      <c r="E38" s="307" t="s">
        <v>51</v>
      </c>
      <c r="F38" s="313" t="s">
        <v>330</v>
      </c>
      <c r="G38" s="311">
        <v>540000</v>
      </c>
      <c r="H38" s="175">
        <f t="shared" si="4"/>
        <v>1080000</v>
      </c>
      <c r="I38" s="38" t="s">
        <v>324</v>
      </c>
    </row>
    <row r="39" spans="1:9" ht="15.95" customHeight="1">
      <c r="A39" s="497"/>
      <c r="B39" s="218"/>
      <c r="C39" s="309" t="s">
        <v>316</v>
      </c>
      <c r="D39" s="309"/>
      <c r="E39" s="307" t="s">
        <v>51</v>
      </c>
      <c r="F39" s="313" t="s">
        <v>330</v>
      </c>
      <c r="G39" s="311">
        <v>684000</v>
      </c>
      <c r="H39" s="175">
        <f t="shared" si="4"/>
        <v>1368000</v>
      </c>
      <c r="I39" s="38" t="s">
        <v>325</v>
      </c>
    </row>
    <row r="40" spans="1:9" ht="15.95" customHeight="1">
      <c r="A40" s="497"/>
      <c r="B40" s="218"/>
      <c r="C40" s="309" t="s">
        <v>317</v>
      </c>
      <c r="D40" s="309"/>
      <c r="E40" s="307" t="s">
        <v>51</v>
      </c>
      <c r="F40" s="313" t="s">
        <v>330</v>
      </c>
      <c r="G40" s="311">
        <v>1404000</v>
      </c>
      <c r="H40" s="175">
        <f t="shared" si="4"/>
        <v>2808000</v>
      </c>
      <c r="I40" s="38" t="s">
        <v>198</v>
      </c>
    </row>
    <row r="41" spans="1:9" ht="15.95" customHeight="1">
      <c r="A41" s="497"/>
      <c r="B41" s="218"/>
      <c r="C41" s="309" t="s">
        <v>316</v>
      </c>
      <c r="D41" s="309"/>
      <c r="E41" s="307" t="s">
        <v>51</v>
      </c>
      <c r="F41" s="313" t="s">
        <v>330</v>
      </c>
      <c r="G41" s="311">
        <v>432000</v>
      </c>
      <c r="H41" s="175">
        <f t="shared" si="4"/>
        <v>864000</v>
      </c>
      <c r="I41" s="38" t="s">
        <v>325</v>
      </c>
    </row>
    <row r="42" spans="1:9" ht="15.95" customHeight="1">
      <c r="A42" s="497"/>
      <c r="B42" s="218"/>
      <c r="C42" s="225" t="s">
        <v>193</v>
      </c>
      <c r="D42" s="225"/>
      <c r="E42" s="307" t="s">
        <v>51</v>
      </c>
      <c r="F42" s="313" t="s">
        <v>329</v>
      </c>
      <c r="G42" s="311">
        <v>612000</v>
      </c>
      <c r="H42" s="175">
        <f t="shared" si="4"/>
        <v>612000</v>
      </c>
      <c r="I42" s="38" t="s">
        <v>324</v>
      </c>
    </row>
    <row r="43" spans="1:9" ht="15.95" customHeight="1">
      <c r="A43" s="497"/>
      <c r="B43" s="218"/>
      <c r="C43" s="225" t="s">
        <v>318</v>
      </c>
      <c r="D43" s="225"/>
      <c r="E43" s="307" t="s">
        <v>51</v>
      </c>
      <c r="F43" s="313" t="s">
        <v>329</v>
      </c>
      <c r="G43" s="311">
        <v>432000</v>
      </c>
      <c r="H43" s="175">
        <f t="shared" si="4"/>
        <v>432000</v>
      </c>
      <c r="I43" s="38" t="s">
        <v>325</v>
      </c>
    </row>
    <row r="44" spans="1:9" ht="15.95" customHeight="1">
      <c r="A44" s="497"/>
      <c r="B44" s="218"/>
      <c r="C44" s="225" t="s">
        <v>315</v>
      </c>
      <c r="D44" s="225"/>
      <c r="E44" s="307" t="s">
        <v>51</v>
      </c>
      <c r="F44" s="313" t="s">
        <v>329</v>
      </c>
      <c r="G44" s="311">
        <v>432000</v>
      </c>
      <c r="H44" s="175">
        <f t="shared" si="4"/>
        <v>432000</v>
      </c>
      <c r="I44" s="38" t="s">
        <v>323</v>
      </c>
    </row>
    <row r="45" spans="1:9" ht="15.95" customHeight="1">
      <c r="A45" s="497"/>
      <c r="B45" s="218"/>
      <c r="C45" s="225" t="s">
        <v>319</v>
      </c>
      <c r="D45" s="225" t="s">
        <v>337</v>
      </c>
      <c r="E45" s="307" t="s">
        <v>51</v>
      </c>
      <c r="F45" s="313" t="s">
        <v>329</v>
      </c>
      <c r="G45" s="311"/>
      <c r="H45" s="175">
        <v>9600000</v>
      </c>
      <c r="I45" s="38" t="s">
        <v>326</v>
      </c>
    </row>
    <row r="46" spans="1:9" ht="15.95" customHeight="1">
      <c r="A46" s="497"/>
      <c r="B46" s="218"/>
      <c r="C46" s="225" t="s">
        <v>250</v>
      </c>
      <c r="D46" s="225" t="s">
        <v>338</v>
      </c>
      <c r="E46" s="307" t="s">
        <v>51</v>
      </c>
      <c r="F46" s="313" t="s">
        <v>329</v>
      </c>
      <c r="G46" s="311"/>
      <c r="H46" s="175">
        <v>2400000</v>
      </c>
      <c r="I46" s="38" t="s">
        <v>253</v>
      </c>
    </row>
    <row r="47" spans="1:9" ht="15.95" customHeight="1">
      <c r="A47" s="497"/>
      <c r="B47" s="218"/>
      <c r="C47" s="321" t="s">
        <v>258</v>
      </c>
      <c r="D47" s="321" t="s">
        <v>339</v>
      </c>
      <c r="E47" s="307" t="s">
        <v>51</v>
      </c>
      <c r="F47" s="313" t="s">
        <v>329</v>
      </c>
      <c r="G47" s="311"/>
      <c r="H47" s="175">
        <v>1000000</v>
      </c>
      <c r="I47" s="38" t="s">
        <v>203</v>
      </c>
    </row>
    <row r="48" spans="1:9" ht="15.95" customHeight="1">
      <c r="A48" s="497"/>
      <c r="B48" s="218"/>
      <c r="C48" s="309" t="s">
        <v>257</v>
      </c>
      <c r="D48" s="309" t="s">
        <v>340</v>
      </c>
      <c r="E48" s="307" t="s">
        <v>51</v>
      </c>
      <c r="F48" s="313" t="s">
        <v>329</v>
      </c>
      <c r="G48" s="311"/>
      <c r="H48" s="175">
        <v>430000</v>
      </c>
      <c r="I48" s="38" t="s">
        <v>254</v>
      </c>
    </row>
    <row r="49" spans="1:9" ht="15.95" customHeight="1">
      <c r="A49" s="497"/>
      <c r="B49" s="218"/>
      <c r="C49" s="309" t="s">
        <v>320</v>
      </c>
      <c r="D49" s="309"/>
      <c r="E49" s="307" t="s">
        <v>51</v>
      </c>
      <c r="F49" s="313" t="s">
        <v>330</v>
      </c>
      <c r="G49" s="311">
        <v>720000</v>
      </c>
      <c r="H49" s="175">
        <f t="shared" ref="H49" si="5">IF(F49=0,G49,G49*F49)</f>
        <v>1440000</v>
      </c>
      <c r="I49" s="38" t="s">
        <v>203</v>
      </c>
    </row>
    <row r="50" spans="1:9" ht="15.95" customHeight="1">
      <c r="A50" s="497"/>
      <c r="B50" s="218"/>
      <c r="C50" s="309" t="s">
        <v>331</v>
      </c>
      <c r="D50" s="309"/>
      <c r="E50" s="307" t="s">
        <v>51</v>
      </c>
      <c r="F50" s="313" t="s">
        <v>329</v>
      </c>
      <c r="G50" s="311">
        <v>864000</v>
      </c>
      <c r="H50" s="175">
        <f t="shared" si="1"/>
        <v>864000</v>
      </c>
      <c r="I50" s="38" t="s">
        <v>555</v>
      </c>
    </row>
    <row r="51" spans="1:9" ht="15.95" customHeight="1">
      <c r="A51" s="497"/>
      <c r="B51" s="218"/>
      <c r="C51" s="309" t="s">
        <v>332</v>
      </c>
      <c r="D51" s="309"/>
      <c r="E51" s="307" t="s">
        <v>51</v>
      </c>
      <c r="F51" s="313" t="s">
        <v>329</v>
      </c>
      <c r="G51" s="311">
        <v>432000</v>
      </c>
      <c r="H51" s="175">
        <f t="shared" ref="H51:H52" si="6">IF(F51=0,G51,G51*F51)</f>
        <v>432000</v>
      </c>
      <c r="I51" s="38" t="s">
        <v>555</v>
      </c>
    </row>
    <row r="52" spans="1:9" ht="15.95" customHeight="1">
      <c r="A52" s="497"/>
      <c r="B52" s="218"/>
      <c r="C52" s="309" t="s">
        <v>333</v>
      </c>
      <c r="D52" s="309"/>
      <c r="E52" s="307" t="s">
        <v>51</v>
      </c>
      <c r="F52" s="313" t="s">
        <v>330</v>
      </c>
      <c r="G52" s="311">
        <v>432000</v>
      </c>
      <c r="H52" s="175">
        <f t="shared" si="6"/>
        <v>864000</v>
      </c>
      <c r="I52" s="38" t="s">
        <v>555</v>
      </c>
    </row>
    <row r="53" spans="1:9" ht="15.95" customHeight="1">
      <c r="A53" s="497"/>
      <c r="B53" s="218"/>
      <c r="C53" s="309" t="s">
        <v>288</v>
      </c>
      <c r="D53" s="309"/>
      <c r="E53" s="307" t="s">
        <v>51</v>
      </c>
      <c r="F53" s="313" t="s">
        <v>330</v>
      </c>
      <c r="G53" s="311">
        <v>288000</v>
      </c>
      <c r="H53" s="175">
        <f t="shared" si="1"/>
        <v>576000</v>
      </c>
      <c r="I53" s="38" t="s">
        <v>555</v>
      </c>
    </row>
    <row r="54" spans="1:9" ht="15.95" customHeight="1">
      <c r="A54" s="497"/>
      <c r="B54" s="218"/>
      <c r="C54" s="225" t="s">
        <v>334</v>
      </c>
      <c r="D54" s="225"/>
      <c r="E54" s="307" t="s">
        <v>51</v>
      </c>
      <c r="F54" s="313" t="s">
        <v>330</v>
      </c>
      <c r="G54" s="228">
        <v>216000</v>
      </c>
      <c r="H54" s="175">
        <f t="shared" si="1"/>
        <v>432000</v>
      </c>
      <c r="I54" s="38" t="s">
        <v>555</v>
      </c>
    </row>
    <row r="55" spans="1:9" ht="15.95" customHeight="1">
      <c r="A55" s="497"/>
      <c r="B55" s="218"/>
      <c r="C55" s="225" t="s">
        <v>335</v>
      </c>
      <c r="D55" s="225"/>
      <c r="E55" s="307" t="s">
        <v>51</v>
      </c>
      <c r="F55" s="313" t="s">
        <v>329</v>
      </c>
      <c r="G55" s="228">
        <v>216000</v>
      </c>
      <c r="H55" s="175">
        <f t="shared" si="1"/>
        <v>216000</v>
      </c>
      <c r="I55" s="38" t="s">
        <v>541</v>
      </c>
    </row>
    <row r="56" spans="1:9" ht="15.95" customHeight="1">
      <c r="A56" s="497"/>
      <c r="B56" s="218"/>
      <c r="C56" s="225" t="s">
        <v>336</v>
      </c>
      <c r="D56" s="225"/>
      <c r="E56" s="307" t="s">
        <v>51</v>
      </c>
      <c r="F56" s="313" t="s">
        <v>329</v>
      </c>
      <c r="G56" s="228">
        <v>288000</v>
      </c>
      <c r="H56" s="175">
        <f t="shared" si="1"/>
        <v>288000</v>
      </c>
      <c r="I56" s="38" t="s">
        <v>555</v>
      </c>
    </row>
    <row r="57" spans="1:9" ht="15.95" customHeight="1">
      <c r="A57" s="497"/>
      <c r="B57" s="218"/>
      <c r="C57" s="225" t="s">
        <v>285</v>
      </c>
      <c r="D57" s="225"/>
      <c r="E57" s="307" t="s">
        <v>51</v>
      </c>
      <c r="F57" s="313" t="s">
        <v>329</v>
      </c>
      <c r="G57" s="228">
        <v>3240000</v>
      </c>
      <c r="H57" s="175">
        <f t="shared" si="1"/>
        <v>3240000</v>
      </c>
      <c r="I57" s="38" t="s">
        <v>555</v>
      </c>
    </row>
    <row r="58" spans="1:9" ht="15.95" customHeight="1">
      <c r="A58" s="497"/>
      <c r="B58" s="218"/>
      <c r="C58" s="225" t="s">
        <v>310</v>
      </c>
      <c r="D58" s="225"/>
      <c r="E58" s="307" t="s">
        <v>51</v>
      </c>
      <c r="F58" s="313" t="s">
        <v>329</v>
      </c>
      <c r="G58" s="227"/>
      <c r="H58" s="357" t="s">
        <v>195</v>
      </c>
      <c r="I58" s="314" t="s">
        <v>533</v>
      </c>
    </row>
    <row r="59" spans="1:9" ht="15.95" customHeight="1">
      <c r="A59" s="497"/>
      <c r="B59" s="218"/>
      <c r="C59" s="225" t="s">
        <v>341</v>
      </c>
      <c r="D59" s="225"/>
      <c r="E59" s="307" t="s">
        <v>51</v>
      </c>
      <c r="F59" s="313" t="s">
        <v>329</v>
      </c>
      <c r="G59" s="227"/>
      <c r="H59" s="357" t="s">
        <v>195</v>
      </c>
      <c r="I59" s="314" t="s">
        <v>533</v>
      </c>
    </row>
    <row r="60" spans="1:9" ht="15.95" customHeight="1">
      <c r="A60" s="497"/>
      <c r="B60" s="218"/>
      <c r="C60" s="225" t="s">
        <v>311</v>
      </c>
      <c r="D60" s="225"/>
      <c r="E60" s="307" t="s">
        <v>51</v>
      </c>
      <c r="F60" s="313" t="s">
        <v>329</v>
      </c>
      <c r="G60" s="227"/>
      <c r="H60" s="357" t="s">
        <v>195</v>
      </c>
      <c r="I60" s="314" t="s">
        <v>533</v>
      </c>
    </row>
    <row r="61" spans="1:9" ht="15.95" customHeight="1">
      <c r="A61" s="497"/>
      <c r="B61" s="218"/>
      <c r="C61" s="321" t="s">
        <v>312</v>
      </c>
      <c r="D61" s="321"/>
      <c r="E61" s="307" t="s">
        <v>51</v>
      </c>
      <c r="F61" s="313" t="s">
        <v>329</v>
      </c>
      <c r="G61" s="227"/>
      <c r="H61" s="357" t="s">
        <v>195</v>
      </c>
      <c r="I61" s="314" t="s">
        <v>533</v>
      </c>
    </row>
    <row r="62" spans="1:9" ht="15.95" customHeight="1">
      <c r="A62" s="497"/>
      <c r="B62" s="218"/>
      <c r="C62" s="229"/>
      <c r="D62" s="229"/>
      <c r="E62" s="230"/>
      <c r="F62" s="231"/>
      <c r="G62" s="232"/>
      <c r="H62" s="185">
        <f t="shared" si="1"/>
        <v>0</v>
      </c>
      <c r="I62" s="233"/>
    </row>
    <row r="63" spans="1:9" ht="15.95" customHeight="1">
      <c r="A63" s="497"/>
      <c r="B63" s="234"/>
      <c r="C63" s="235"/>
      <c r="D63" s="236"/>
      <c r="E63" s="236"/>
      <c r="F63" s="238"/>
      <c r="G63" s="238"/>
      <c r="H63" s="239">
        <f>SUM(H31:H62)</f>
        <v>65084240</v>
      </c>
      <c r="I63" s="240"/>
    </row>
    <row r="64" spans="1:9" ht="15.95" customHeight="1">
      <c r="A64" s="497"/>
      <c r="B64" s="261" t="s">
        <v>53</v>
      </c>
      <c r="C64" s="225"/>
      <c r="D64" s="307"/>
      <c r="E64" s="307"/>
      <c r="F64" s="310"/>
      <c r="G64" s="228"/>
      <c r="H64" s="246"/>
      <c r="I64" s="247"/>
    </row>
    <row r="65" spans="1:9" ht="15.95" customHeight="1">
      <c r="A65" s="497"/>
      <c r="B65" s="218"/>
      <c r="C65" s="225"/>
      <c r="D65" s="307"/>
      <c r="E65" s="307"/>
      <c r="F65" s="310"/>
      <c r="G65" s="228"/>
      <c r="H65" s="175">
        <f>IF(F65=0,G65,G65*F65)</f>
        <v>0</v>
      </c>
      <c r="I65" s="38"/>
    </row>
    <row r="66" spans="1:9" ht="15.95" customHeight="1">
      <c r="A66" s="497"/>
      <c r="B66" s="218"/>
      <c r="C66" s="225"/>
      <c r="D66" s="225"/>
      <c r="E66" s="226"/>
      <c r="F66" s="227"/>
      <c r="G66" s="228"/>
      <c r="H66" s="175">
        <f t="shared" si="1"/>
        <v>0</v>
      </c>
      <c r="I66" s="38"/>
    </row>
    <row r="67" spans="1:9" ht="15.95" customHeight="1">
      <c r="A67" s="497"/>
      <c r="B67" s="218"/>
      <c r="C67" s="225"/>
      <c r="D67" s="225"/>
      <c r="E67" s="226"/>
      <c r="F67" s="227"/>
      <c r="G67" s="228"/>
      <c r="H67" s="175">
        <f t="shared" si="1"/>
        <v>0</v>
      </c>
      <c r="I67" s="38"/>
    </row>
    <row r="68" spans="1:9" ht="15.95" customHeight="1">
      <c r="A68" s="497"/>
      <c r="B68" s="218"/>
      <c r="C68" s="225"/>
      <c r="D68" s="307"/>
      <c r="E68" s="307"/>
      <c r="F68" s="310"/>
      <c r="G68" s="228"/>
      <c r="H68" s="175">
        <f t="shared" si="1"/>
        <v>0</v>
      </c>
      <c r="I68" s="38"/>
    </row>
    <row r="69" spans="1:9" ht="15.95" customHeight="1">
      <c r="A69" s="497"/>
      <c r="B69" s="218"/>
      <c r="C69" s="225"/>
      <c r="D69" s="225"/>
      <c r="E69" s="226"/>
      <c r="F69" s="227"/>
      <c r="G69" s="228"/>
      <c r="H69" s="175">
        <f t="shared" si="1"/>
        <v>0</v>
      </c>
      <c r="I69" s="38"/>
    </row>
    <row r="70" spans="1:9" ht="15.95" customHeight="1">
      <c r="A70" s="497"/>
      <c r="B70" s="218"/>
      <c r="C70" s="229"/>
      <c r="D70" s="229"/>
      <c r="E70" s="229"/>
      <c r="F70" s="232"/>
      <c r="G70" s="232"/>
      <c r="H70" s="185">
        <f t="shared" si="1"/>
        <v>0</v>
      </c>
      <c r="I70" s="233"/>
    </row>
    <row r="71" spans="1:9" ht="15.95" customHeight="1">
      <c r="A71" s="497"/>
      <c r="B71" s="234"/>
      <c r="C71" s="235"/>
      <c r="D71" s="236"/>
      <c r="E71" s="236"/>
      <c r="F71" s="238"/>
      <c r="G71" s="238"/>
      <c r="H71" s="239">
        <f>SUM(H64:H70)</f>
        <v>0</v>
      </c>
      <c r="I71" s="240"/>
    </row>
    <row r="72" spans="1:9" ht="15.95" customHeight="1">
      <c r="A72" s="281"/>
      <c r="B72" s="322" t="s">
        <v>135</v>
      </c>
      <c r="C72" s="323"/>
      <c r="D72" s="308"/>
      <c r="E72" s="308"/>
      <c r="F72" s="285"/>
      <c r="G72" s="285"/>
      <c r="H72" s="285">
        <f>SUM(H71,H63,H30,H24)</f>
        <v>280594640</v>
      </c>
      <c r="I72" s="308"/>
    </row>
    <row r="73" spans="1:9" ht="15.95" customHeight="1">
      <c r="A73" s="498" t="s">
        <v>136</v>
      </c>
      <c r="B73" s="291" t="s">
        <v>59</v>
      </c>
      <c r="C73" s="292"/>
      <c r="D73" s="247"/>
      <c r="E73" s="291" t="s">
        <v>60</v>
      </c>
      <c r="F73" s="244"/>
      <c r="G73" s="245"/>
      <c r="H73" s="246">
        <f>F73*G73</f>
        <v>0</v>
      </c>
      <c r="I73" s="247"/>
    </row>
    <row r="74" spans="1:9" ht="15.95" customHeight="1">
      <c r="A74" s="497"/>
      <c r="B74" s="294" t="s">
        <v>154</v>
      </c>
      <c r="C74" s="295"/>
      <c r="D74" s="38"/>
      <c r="E74" s="294" t="s">
        <v>138</v>
      </c>
      <c r="F74" s="307"/>
      <c r="G74" s="228"/>
      <c r="H74" s="175">
        <f t="shared" ref="H74:H80" si="7">F74*G74</f>
        <v>0</v>
      </c>
      <c r="I74" s="38"/>
    </row>
    <row r="75" spans="1:9" ht="15.95" customHeight="1">
      <c r="A75" s="497"/>
      <c r="B75" s="324" t="s">
        <v>155</v>
      </c>
      <c r="C75" s="295"/>
      <c r="D75" s="38"/>
      <c r="E75" s="294" t="s">
        <v>138</v>
      </c>
      <c r="F75" s="307"/>
      <c r="G75" s="228"/>
      <c r="H75" s="175">
        <f t="shared" si="7"/>
        <v>0</v>
      </c>
      <c r="I75" s="38"/>
    </row>
    <row r="76" spans="1:9" ht="15.95" customHeight="1">
      <c r="A76" s="497"/>
      <c r="B76" s="294" t="s">
        <v>156</v>
      </c>
      <c r="C76" s="295"/>
      <c r="D76" s="38"/>
      <c r="E76" s="294" t="s">
        <v>138</v>
      </c>
      <c r="F76" s="307"/>
      <c r="G76" s="228"/>
      <c r="H76" s="175">
        <f t="shared" si="7"/>
        <v>0</v>
      </c>
      <c r="I76" s="38"/>
    </row>
    <row r="77" spans="1:9" ht="15.95" customHeight="1">
      <c r="A77" s="497"/>
      <c r="B77" s="294" t="s">
        <v>157</v>
      </c>
      <c r="C77" s="295"/>
      <c r="D77" s="38"/>
      <c r="E77" s="294" t="s">
        <v>138</v>
      </c>
      <c r="F77" s="317"/>
      <c r="G77" s="228"/>
      <c r="H77" s="175">
        <f t="shared" si="7"/>
        <v>0</v>
      </c>
      <c r="I77" s="38"/>
    </row>
    <row r="78" spans="1:9" ht="15.95" customHeight="1">
      <c r="A78" s="497"/>
      <c r="B78" s="294" t="s">
        <v>158</v>
      </c>
      <c r="C78" s="295"/>
      <c r="D78" s="38"/>
      <c r="E78" s="294" t="s">
        <v>138</v>
      </c>
      <c r="F78" s="317"/>
      <c r="G78" s="228"/>
      <c r="H78" s="175">
        <f t="shared" si="7"/>
        <v>0</v>
      </c>
      <c r="I78" s="38"/>
    </row>
    <row r="79" spans="1:9" ht="15.95" customHeight="1">
      <c r="A79" s="497"/>
      <c r="B79" s="325" t="s">
        <v>162</v>
      </c>
      <c r="C79" s="295"/>
      <c r="D79" s="38"/>
      <c r="E79" s="294" t="s">
        <v>138</v>
      </c>
      <c r="F79" s="317"/>
      <c r="G79" s="228"/>
      <c r="H79" s="175">
        <f t="shared" si="7"/>
        <v>0</v>
      </c>
      <c r="I79" s="38"/>
    </row>
    <row r="80" spans="1:9" ht="15.95" customHeight="1">
      <c r="A80" s="497"/>
      <c r="B80" s="326" t="s">
        <v>160</v>
      </c>
      <c r="C80" s="327"/>
      <c r="D80" s="253"/>
      <c r="E80" s="328" t="s">
        <v>138</v>
      </c>
      <c r="F80" s="329"/>
      <c r="G80" s="251"/>
      <c r="H80" s="252">
        <f t="shared" si="7"/>
        <v>0</v>
      </c>
      <c r="I80" s="253"/>
    </row>
    <row r="81" spans="1:9" ht="15.95" customHeight="1">
      <c r="A81" s="281"/>
      <c r="B81" s="300" t="s">
        <v>144</v>
      </c>
      <c r="C81" s="283"/>
      <c r="D81" s="240"/>
      <c r="E81" s="240"/>
      <c r="F81" s="239"/>
      <c r="G81" s="239"/>
      <c r="H81" s="239">
        <f>SUM(H73:H80)</f>
        <v>0</v>
      </c>
      <c r="I81" s="240"/>
    </row>
    <row r="82" spans="1:9" ht="15.95" customHeight="1">
      <c r="A82" s="287"/>
      <c r="B82" s="300" t="s">
        <v>161</v>
      </c>
      <c r="C82" s="283"/>
      <c r="D82" s="240"/>
      <c r="E82" s="216" t="s">
        <v>51</v>
      </c>
      <c r="F82" s="239"/>
      <c r="G82" s="239"/>
      <c r="H82" s="285"/>
      <c r="I82" s="240"/>
    </row>
    <row r="83" spans="1:9" ht="15.95" customHeight="1">
      <c r="A83" s="287"/>
      <c r="B83" s="300" t="s">
        <v>85</v>
      </c>
      <c r="C83" s="283"/>
      <c r="D83" s="240"/>
      <c r="E83" s="240"/>
      <c r="F83" s="239"/>
      <c r="G83" s="302"/>
      <c r="H83" s="239">
        <f>(H81+H72)*0.05</f>
        <v>14029732</v>
      </c>
      <c r="I83" s="283"/>
    </row>
    <row r="84" spans="1:9" ht="15.95" customHeight="1">
      <c r="A84" s="287"/>
      <c r="B84" s="300" t="s">
        <v>147</v>
      </c>
      <c r="C84" s="283"/>
      <c r="D84" s="240"/>
      <c r="E84" s="240"/>
      <c r="F84" s="239"/>
      <c r="G84" s="302"/>
      <c r="H84" s="239">
        <f>(H81+H72)*0.1</f>
        <v>28059464</v>
      </c>
      <c r="I84" s="283"/>
    </row>
    <row r="85" spans="1:9" ht="15.95" customHeight="1">
      <c r="A85" s="287"/>
      <c r="B85" s="300" t="s">
        <v>148</v>
      </c>
      <c r="C85" s="283"/>
      <c r="D85" s="240"/>
      <c r="E85" s="240"/>
      <c r="F85" s="239"/>
      <c r="G85" s="239"/>
      <c r="H85" s="238">
        <f>H72+H81+H82+H83+H84</f>
        <v>322683836</v>
      </c>
      <c r="I85" s="240"/>
    </row>
    <row r="86" spans="1:9">
      <c r="A86" s="136"/>
    </row>
  </sheetData>
  <mergeCells count="3">
    <mergeCell ref="A2:B2"/>
    <mergeCell ref="A3:A71"/>
    <mergeCell ref="A73:A8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4 H30" formula="1"/>
    <ignoredError sqref="F33:F49 F50:F56 E57:F61" numberStoredAsText="1"/>
  </ignoredError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E306-4BC5-4B13-A293-2485D20698C7}">
  <sheetPr>
    <tabColor rgb="FF00B050"/>
    <pageSetUpPr fitToPage="1"/>
  </sheetPr>
  <dimension ref="A1:I81"/>
  <sheetViews>
    <sheetView zoomScale="85" workbookViewId="0">
      <pane xSplit="2" ySplit="2" topLeftCell="C18" activePane="bottomRight" state="frozen"/>
      <selection activeCell="K5" sqref="K5"/>
      <selection pane="topRight" activeCell="K5" sqref="K5"/>
      <selection pane="bottomLeft" activeCell="K5" sqref="K5"/>
      <selection pane="bottomRight" activeCell="P47" sqref="P47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35.375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39" width="9" style="130"/>
    <col min="240" max="240" width="5" style="130" customWidth="1"/>
    <col min="241" max="241" width="17.875" style="130" bestFit="1" customWidth="1"/>
    <col min="242" max="242" width="23.625" style="130" customWidth="1"/>
    <col min="243" max="243" width="18.25" style="130" customWidth="1"/>
    <col min="244" max="244" width="5.25" style="130" bestFit="1" customWidth="1"/>
    <col min="245" max="245" width="9" style="130"/>
    <col min="246" max="246" width="11.875" style="130" customWidth="1"/>
    <col min="247" max="247" width="13.625" style="130" customWidth="1"/>
    <col min="248" max="248" width="12.75" style="130" customWidth="1"/>
    <col min="249" max="495" width="9" style="130"/>
    <col min="496" max="496" width="5" style="130" customWidth="1"/>
    <col min="497" max="497" width="17.875" style="130" bestFit="1" customWidth="1"/>
    <col min="498" max="498" width="23.625" style="130" customWidth="1"/>
    <col min="499" max="499" width="18.25" style="130" customWidth="1"/>
    <col min="500" max="500" width="5.25" style="130" bestFit="1" customWidth="1"/>
    <col min="501" max="501" width="9" style="130"/>
    <col min="502" max="502" width="11.875" style="130" customWidth="1"/>
    <col min="503" max="503" width="13.625" style="130" customWidth="1"/>
    <col min="504" max="504" width="12.75" style="130" customWidth="1"/>
    <col min="505" max="751" width="9" style="130"/>
    <col min="752" max="752" width="5" style="130" customWidth="1"/>
    <col min="753" max="753" width="17.875" style="130" bestFit="1" customWidth="1"/>
    <col min="754" max="754" width="23.625" style="130" customWidth="1"/>
    <col min="755" max="755" width="18.25" style="130" customWidth="1"/>
    <col min="756" max="756" width="5.25" style="130" bestFit="1" customWidth="1"/>
    <col min="757" max="757" width="9" style="130"/>
    <col min="758" max="758" width="11.875" style="130" customWidth="1"/>
    <col min="759" max="759" width="13.625" style="130" customWidth="1"/>
    <col min="760" max="760" width="12.75" style="130" customWidth="1"/>
    <col min="761" max="1007" width="9" style="130"/>
    <col min="1008" max="1008" width="5" style="130" customWidth="1"/>
    <col min="1009" max="1009" width="17.875" style="130" bestFit="1" customWidth="1"/>
    <col min="1010" max="1010" width="23.625" style="130" customWidth="1"/>
    <col min="1011" max="1011" width="18.25" style="130" customWidth="1"/>
    <col min="1012" max="1012" width="5.25" style="130" bestFit="1" customWidth="1"/>
    <col min="1013" max="1013" width="9" style="130"/>
    <col min="1014" max="1014" width="11.875" style="130" customWidth="1"/>
    <col min="1015" max="1015" width="13.625" style="130" customWidth="1"/>
    <col min="1016" max="1016" width="12.75" style="130" customWidth="1"/>
    <col min="1017" max="1263" width="9" style="130"/>
    <col min="1264" max="1264" width="5" style="130" customWidth="1"/>
    <col min="1265" max="1265" width="17.875" style="130" bestFit="1" customWidth="1"/>
    <col min="1266" max="1266" width="23.625" style="130" customWidth="1"/>
    <col min="1267" max="1267" width="18.25" style="130" customWidth="1"/>
    <col min="1268" max="1268" width="5.25" style="130" bestFit="1" customWidth="1"/>
    <col min="1269" max="1269" width="9" style="130"/>
    <col min="1270" max="1270" width="11.875" style="130" customWidth="1"/>
    <col min="1271" max="1271" width="13.625" style="130" customWidth="1"/>
    <col min="1272" max="1272" width="12.75" style="130" customWidth="1"/>
    <col min="1273" max="1519" width="9" style="130"/>
    <col min="1520" max="1520" width="5" style="130" customWidth="1"/>
    <col min="1521" max="1521" width="17.875" style="130" bestFit="1" customWidth="1"/>
    <col min="1522" max="1522" width="23.625" style="130" customWidth="1"/>
    <col min="1523" max="1523" width="18.25" style="130" customWidth="1"/>
    <col min="1524" max="1524" width="5.25" style="130" bestFit="1" customWidth="1"/>
    <col min="1525" max="1525" width="9" style="130"/>
    <col min="1526" max="1526" width="11.875" style="130" customWidth="1"/>
    <col min="1527" max="1527" width="13.625" style="130" customWidth="1"/>
    <col min="1528" max="1528" width="12.75" style="130" customWidth="1"/>
    <col min="1529" max="1775" width="9" style="130"/>
    <col min="1776" max="1776" width="5" style="130" customWidth="1"/>
    <col min="1777" max="1777" width="17.875" style="130" bestFit="1" customWidth="1"/>
    <col min="1778" max="1778" width="23.625" style="130" customWidth="1"/>
    <col min="1779" max="1779" width="18.25" style="130" customWidth="1"/>
    <col min="1780" max="1780" width="5.25" style="130" bestFit="1" customWidth="1"/>
    <col min="1781" max="1781" width="9" style="130"/>
    <col min="1782" max="1782" width="11.875" style="130" customWidth="1"/>
    <col min="1783" max="1783" width="13.625" style="130" customWidth="1"/>
    <col min="1784" max="1784" width="12.75" style="130" customWidth="1"/>
    <col min="1785" max="2031" width="9" style="130"/>
    <col min="2032" max="2032" width="5" style="130" customWidth="1"/>
    <col min="2033" max="2033" width="17.875" style="130" bestFit="1" customWidth="1"/>
    <col min="2034" max="2034" width="23.625" style="130" customWidth="1"/>
    <col min="2035" max="2035" width="18.25" style="130" customWidth="1"/>
    <col min="2036" max="2036" width="5.25" style="130" bestFit="1" customWidth="1"/>
    <col min="2037" max="2037" width="9" style="130"/>
    <col min="2038" max="2038" width="11.875" style="130" customWidth="1"/>
    <col min="2039" max="2039" width="13.625" style="130" customWidth="1"/>
    <col min="2040" max="2040" width="12.75" style="130" customWidth="1"/>
    <col min="2041" max="2287" width="9" style="130"/>
    <col min="2288" max="2288" width="5" style="130" customWidth="1"/>
    <col min="2289" max="2289" width="17.875" style="130" bestFit="1" customWidth="1"/>
    <col min="2290" max="2290" width="23.625" style="130" customWidth="1"/>
    <col min="2291" max="2291" width="18.25" style="130" customWidth="1"/>
    <col min="2292" max="2292" width="5.25" style="130" bestFit="1" customWidth="1"/>
    <col min="2293" max="2293" width="9" style="130"/>
    <col min="2294" max="2294" width="11.875" style="130" customWidth="1"/>
    <col min="2295" max="2295" width="13.625" style="130" customWidth="1"/>
    <col min="2296" max="2296" width="12.75" style="130" customWidth="1"/>
    <col min="2297" max="2543" width="9" style="130"/>
    <col min="2544" max="2544" width="5" style="130" customWidth="1"/>
    <col min="2545" max="2545" width="17.875" style="130" bestFit="1" customWidth="1"/>
    <col min="2546" max="2546" width="23.625" style="130" customWidth="1"/>
    <col min="2547" max="2547" width="18.25" style="130" customWidth="1"/>
    <col min="2548" max="2548" width="5.25" style="130" bestFit="1" customWidth="1"/>
    <col min="2549" max="2549" width="9" style="130"/>
    <col min="2550" max="2550" width="11.875" style="130" customWidth="1"/>
    <col min="2551" max="2551" width="13.625" style="130" customWidth="1"/>
    <col min="2552" max="2552" width="12.75" style="130" customWidth="1"/>
    <col min="2553" max="2799" width="9" style="130"/>
    <col min="2800" max="2800" width="5" style="130" customWidth="1"/>
    <col min="2801" max="2801" width="17.875" style="130" bestFit="1" customWidth="1"/>
    <col min="2802" max="2802" width="23.625" style="130" customWidth="1"/>
    <col min="2803" max="2803" width="18.25" style="130" customWidth="1"/>
    <col min="2804" max="2804" width="5.25" style="130" bestFit="1" customWidth="1"/>
    <col min="2805" max="2805" width="9" style="130"/>
    <col min="2806" max="2806" width="11.875" style="130" customWidth="1"/>
    <col min="2807" max="2807" width="13.625" style="130" customWidth="1"/>
    <col min="2808" max="2808" width="12.75" style="130" customWidth="1"/>
    <col min="2809" max="3055" width="9" style="130"/>
    <col min="3056" max="3056" width="5" style="130" customWidth="1"/>
    <col min="3057" max="3057" width="17.875" style="130" bestFit="1" customWidth="1"/>
    <col min="3058" max="3058" width="23.625" style="130" customWidth="1"/>
    <col min="3059" max="3059" width="18.25" style="130" customWidth="1"/>
    <col min="3060" max="3060" width="5.25" style="130" bestFit="1" customWidth="1"/>
    <col min="3061" max="3061" width="9" style="130"/>
    <col min="3062" max="3062" width="11.875" style="130" customWidth="1"/>
    <col min="3063" max="3063" width="13.625" style="130" customWidth="1"/>
    <col min="3064" max="3064" width="12.75" style="130" customWidth="1"/>
    <col min="3065" max="3311" width="9" style="130"/>
    <col min="3312" max="3312" width="5" style="130" customWidth="1"/>
    <col min="3313" max="3313" width="17.875" style="130" bestFit="1" customWidth="1"/>
    <col min="3314" max="3314" width="23.625" style="130" customWidth="1"/>
    <col min="3315" max="3315" width="18.25" style="130" customWidth="1"/>
    <col min="3316" max="3316" width="5.25" style="130" bestFit="1" customWidth="1"/>
    <col min="3317" max="3317" width="9" style="130"/>
    <col min="3318" max="3318" width="11.875" style="130" customWidth="1"/>
    <col min="3319" max="3319" width="13.625" style="130" customWidth="1"/>
    <col min="3320" max="3320" width="12.75" style="130" customWidth="1"/>
    <col min="3321" max="3567" width="9" style="130"/>
    <col min="3568" max="3568" width="5" style="130" customWidth="1"/>
    <col min="3569" max="3569" width="17.875" style="130" bestFit="1" customWidth="1"/>
    <col min="3570" max="3570" width="23.625" style="130" customWidth="1"/>
    <col min="3571" max="3571" width="18.25" style="130" customWidth="1"/>
    <col min="3572" max="3572" width="5.25" style="130" bestFit="1" customWidth="1"/>
    <col min="3573" max="3573" width="9" style="130"/>
    <col min="3574" max="3574" width="11.875" style="130" customWidth="1"/>
    <col min="3575" max="3575" width="13.625" style="130" customWidth="1"/>
    <col min="3576" max="3576" width="12.75" style="130" customWidth="1"/>
    <col min="3577" max="3823" width="9" style="130"/>
    <col min="3824" max="3824" width="5" style="130" customWidth="1"/>
    <col min="3825" max="3825" width="17.875" style="130" bestFit="1" customWidth="1"/>
    <col min="3826" max="3826" width="23.625" style="130" customWidth="1"/>
    <col min="3827" max="3827" width="18.25" style="130" customWidth="1"/>
    <col min="3828" max="3828" width="5.25" style="130" bestFit="1" customWidth="1"/>
    <col min="3829" max="3829" width="9" style="130"/>
    <col min="3830" max="3830" width="11.875" style="130" customWidth="1"/>
    <col min="3831" max="3831" width="13.625" style="130" customWidth="1"/>
    <col min="3832" max="3832" width="12.75" style="130" customWidth="1"/>
    <col min="3833" max="4079" width="9" style="130"/>
    <col min="4080" max="4080" width="5" style="130" customWidth="1"/>
    <col min="4081" max="4081" width="17.875" style="130" bestFit="1" customWidth="1"/>
    <col min="4082" max="4082" width="23.625" style="130" customWidth="1"/>
    <col min="4083" max="4083" width="18.25" style="130" customWidth="1"/>
    <col min="4084" max="4084" width="5.25" style="130" bestFit="1" customWidth="1"/>
    <col min="4085" max="4085" width="9" style="130"/>
    <col min="4086" max="4086" width="11.875" style="130" customWidth="1"/>
    <col min="4087" max="4087" width="13.625" style="130" customWidth="1"/>
    <col min="4088" max="4088" width="12.75" style="130" customWidth="1"/>
    <col min="4089" max="4335" width="9" style="130"/>
    <col min="4336" max="4336" width="5" style="130" customWidth="1"/>
    <col min="4337" max="4337" width="17.875" style="130" bestFit="1" customWidth="1"/>
    <col min="4338" max="4338" width="23.625" style="130" customWidth="1"/>
    <col min="4339" max="4339" width="18.25" style="130" customWidth="1"/>
    <col min="4340" max="4340" width="5.25" style="130" bestFit="1" customWidth="1"/>
    <col min="4341" max="4341" width="9" style="130"/>
    <col min="4342" max="4342" width="11.875" style="130" customWidth="1"/>
    <col min="4343" max="4343" width="13.625" style="130" customWidth="1"/>
    <col min="4344" max="4344" width="12.75" style="130" customWidth="1"/>
    <col min="4345" max="4591" width="9" style="130"/>
    <col min="4592" max="4592" width="5" style="130" customWidth="1"/>
    <col min="4593" max="4593" width="17.875" style="130" bestFit="1" customWidth="1"/>
    <col min="4594" max="4594" width="23.625" style="130" customWidth="1"/>
    <col min="4595" max="4595" width="18.25" style="130" customWidth="1"/>
    <col min="4596" max="4596" width="5.25" style="130" bestFit="1" customWidth="1"/>
    <col min="4597" max="4597" width="9" style="130"/>
    <col min="4598" max="4598" width="11.875" style="130" customWidth="1"/>
    <col min="4599" max="4599" width="13.625" style="130" customWidth="1"/>
    <col min="4600" max="4600" width="12.75" style="130" customWidth="1"/>
    <col min="4601" max="4847" width="9" style="130"/>
    <col min="4848" max="4848" width="5" style="130" customWidth="1"/>
    <col min="4849" max="4849" width="17.875" style="130" bestFit="1" customWidth="1"/>
    <col min="4850" max="4850" width="23.625" style="130" customWidth="1"/>
    <col min="4851" max="4851" width="18.25" style="130" customWidth="1"/>
    <col min="4852" max="4852" width="5.25" style="130" bestFit="1" customWidth="1"/>
    <col min="4853" max="4853" width="9" style="130"/>
    <col min="4854" max="4854" width="11.875" style="130" customWidth="1"/>
    <col min="4855" max="4855" width="13.625" style="130" customWidth="1"/>
    <col min="4856" max="4856" width="12.75" style="130" customWidth="1"/>
    <col min="4857" max="5103" width="9" style="130"/>
    <col min="5104" max="5104" width="5" style="130" customWidth="1"/>
    <col min="5105" max="5105" width="17.875" style="130" bestFit="1" customWidth="1"/>
    <col min="5106" max="5106" width="23.625" style="130" customWidth="1"/>
    <col min="5107" max="5107" width="18.25" style="130" customWidth="1"/>
    <col min="5108" max="5108" width="5.25" style="130" bestFit="1" customWidth="1"/>
    <col min="5109" max="5109" width="9" style="130"/>
    <col min="5110" max="5110" width="11.875" style="130" customWidth="1"/>
    <col min="5111" max="5111" width="13.625" style="130" customWidth="1"/>
    <col min="5112" max="5112" width="12.75" style="130" customWidth="1"/>
    <col min="5113" max="5359" width="9" style="130"/>
    <col min="5360" max="5360" width="5" style="130" customWidth="1"/>
    <col min="5361" max="5361" width="17.875" style="130" bestFit="1" customWidth="1"/>
    <col min="5362" max="5362" width="23.625" style="130" customWidth="1"/>
    <col min="5363" max="5363" width="18.25" style="130" customWidth="1"/>
    <col min="5364" max="5364" width="5.25" style="130" bestFit="1" customWidth="1"/>
    <col min="5365" max="5365" width="9" style="130"/>
    <col min="5366" max="5366" width="11.875" style="130" customWidth="1"/>
    <col min="5367" max="5367" width="13.625" style="130" customWidth="1"/>
    <col min="5368" max="5368" width="12.75" style="130" customWidth="1"/>
    <col min="5369" max="5615" width="9" style="130"/>
    <col min="5616" max="5616" width="5" style="130" customWidth="1"/>
    <col min="5617" max="5617" width="17.875" style="130" bestFit="1" customWidth="1"/>
    <col min="5618" max="5618" width="23.625" style="130" customWidth="1"/>
    <col min="5619" max="5619" width="18.25" style="130" customWidth="1"/>
    <col min="5620" max="5620" width="5.25" style="130" bestFit="1" customWidth="1"/>
    <col min="5621" max="5621" width="9" style="130"/>
    <col min="5622" max="5622" width="11.875" style="130" customWidth="1"/>
    <col min="5623" max="5623" width="13.625" style="130" customWidth="1"/>
    <col min="5624" max="5624" width="12.75" style="130" customWidth="1"/>
    <col min="5625" max="5871" width="9" style="130"/>
    <col min="5872" max="5872" width="5" style="130" customWidth="1"/>
    <col min="5873" max="5873" width="17.875" style="130" bestFit="1" customWidth="1"/>
    <col min="5874" max="5874" width="23.625" style="130" customWidth="1"/>
    <col min="5875" max="5875" width="18.25" style="130" customWidth="1"/>
    <col min="5876" max="5876" width="5.25" style="130" bestFit="1" customWidth="1"/>
    <col min="5877" max="5877" width="9" style="130"/>
    <col min="5878" max="5878" width="11.875" style="130" customWidth="1"/>
    <col min="5879" max="5879" width="13.625" style="130" customWidth="1"/>
    <col min="5880" max="5880" width="12.75" style="130" customWidth="1"/>
    <col min="5881" max="6127" width="9" style="130"/>
    <col min="6128" max="6128" width="5" style="130" customWidth="1"/>
    <col min="6129" max="6129" width="17.875" style="130" bestFit="1" customWidth="1"/>
    <col min="6130" max="6130" width="23.625" style="130" customWidth="1"/>
    <col min="6131" max="6131" width="18.25" style="130" customWidth="1"/>
    <col min="6132" max="6132" width="5.25" style="130" bestFit="1" customWidth="1"/>
    <col min="6133" max="6133" width="9" style="130"/>
    <col min="6134" max="6134" width="11.875" style="130" customWidth="1"/>
    <col min="6135" max="6135" width="13.625" style="130" customWidth="1"/>
    <col min="6136" max="6136" width="12.75" style="130" customWidth="1"/>
    <col min="6137" max="6383" width="9" style="130"/>
    <col min="6384" max="6384" width="5" style="130" customWidth="1"/>
    <col min="6385" max="6385" width="17.875" style="130" bestFit="1" customWidth="1"/>
    <col min="6386" max="6386" width="23.625" style="130" customWidth="1"/>
    <col min="6387" max="6387" width="18.25" style="130" customWidth="1"/>
    <col min="6388" max="6388" width="5.25" style="130" bestFit="1" customWidth="1"/>
    <col min="6389" max="6389" width="9" style="130"/>
    <col min="6390" max="6390" width="11.875" style="130" customWidth="1"/>
    <col min="6391" max="6391" width="13.625" style="130" customWidth="1"/>
    <col min="6392" max="6392" width="12.75" style="130" customWidth="1"/>
    <col min="6393" max="6639" width="9" style="130"/>
    <col min="6640" max="6640" width="5" style="130" customWidth="1"/>
    <col min="6641" max="6641" width="17.875" style="130" bestFit="1" customWidth="1"/>
    <col min="6642" max="6642" width="23.625" style="130" customWidth="1"/>
    <col min="6643" max="6643" width="18.25" style="130" customWidth="1"/>
    <col min="6644" max="6644" width="5.25" style="130" bestFit="1" customWidth="1"/>
    <col min="6645" max="6645" width="9" style="130"/>
    <col min="6646" max="6646" width="11.875" style="130" customWidth="1"/>
    <col min="6647" max="6647" width="13.625" style="130" customWidth="1"/>
    <col min="6648" max="6648" width="12.75" style="130" customWidth="1"/>
    <col min="6649" max="6895" width="9" style="130"/>
    <col min="6896" max="6896" width="5" style="130" customWidth="1"/>
    <col min="6897" max="6897" width="17.875" style="130" bestFit="1" customWidth="1"/>
    <col min="6898" max="6898" width="23.625" style="130" customWidth="1"/>
    <col min="6899" max="6899" width="18.25" style="130" customWidth="1"/>
    <col min="6900" max="6900" width="5.25" style="130" bestFit="1" customWidth="1"/>
    <col min="6901" max="6901" width="9" style="130"/>
    <col min="6902" max="6902" width="11.875" style="130" customWidth="1"/>
    <col min="6903" max="6903" width="13.625" style="130" customWidth="1"/>
    <col min="6904" max="6904" width="12.75" style="130" customWidth="1"/>
    <col min="6905" max="7151" width="9" style="130"/>
    <col min="7152" max="7152" width="5" style="130" customWidth="1"/>
    <col min="7153" max="7153" width="17.875" style="130" bestFit="1" customWidth="1"/>
    <col min="7154" max="7154" width="23.625" style="130" customWidth="1"/>
    <col min="7155" max="7155" width="18.25" style="130" customWidth="1"/>
    <col min="7156" max="7156" width="5.25" style="130" bestFit="1" customWidth="1"/>
    <col min="7157" max="7157" width="9" style="130"/>
    <col min="7158" max="7158" width="11.875" style="130" customWidth="1"/>
    <col min="7159" max="7159" width="13.625" style="130" customWidth="1"/>
    <col min="7160" max="7160" width="12.75" style="130" customWidth="1"/>
    <col min="7161" max="7407" width="9" style="130"/>
    <col min="7408" max="7408" width="5" style="130" customWidth="1"/>
    <col min="7409" max="7409" width="17.875" style="130" bestFit="1" customWidth="1"/>
    <col min="7410" max="7410" width="23.625" style="130" customWidth="1"/>
    <col min="7411" max="7411" width="18.25" style="130" customWidth="1"/>
    <col min="7412" max="7412" width="5.25" style="130" bestFit="1" customWidth="1"/>
    <col min="7413" max="7413" width="9" style="130"/>
    <col min="7414" max="7414" width="11.875" style="130" customWidth="1"/>
    <col min="7415" max="7415" width="13.625" style="130" customWidth="1"/>
    <col min="7416" max="7416" width="12.75" style="130" customWidth="1"/>
    <col min="7417" max="7663" width="9" style="130"/>
    <col min="7664" max="7664" width="5" style="130" customWidth="1"/>
    <col min="7665" max="7665" width="17.875" style="130" bestFit="1" customWidth="1"/>
    <col min="7666" max="7666" width="23.625" style="130" customWidth="1"/>
    <col min="7667" max="7667" width="18.25" style="130" customWidth="1"/>
    <col min="7668" max="7668" width="5.25" style="130" bestFit="1" customWidth="1"/>
    <col min="7669" max="7669" width="9" style="130"/>
    <col min="7670" max="7670" width="11.875" style="130" customWidth="1"/>
    <col min="7671" max="7671" width="13.625" style="130" customWidth="1"/>
    <col min="7672" max="7672" width="12.75" style="130" customWidth="1"/>
    <col min="7673" max="7919" width="9" style="130"/>
    <col min="7920" max="7920" width="5" style="130" customWidth="1"/>
    <col min="7921" max="7921" width="17.875" style="130" bestFit="1" customWidth="1"/>
    <col min="7922" max="7922" width="23.625" style="130" customWidth="1"/>
    <col min="7923" max="7923" width="18.25" style="130" customWidth="1"/>
    <col min="7924" max="7924" width="5.25" style="130" bestFit="1" customWidth="1"/>
    <col min="7925" max="7925" width="9" style="130"/>
    <col min="7926" max="7926" width="11.875" style="130" customWidth="1"/>
    <col min="7927" max="7927" width="13.625" style="130" customWidth="1"/>
    <col min="7928" max="7928" width="12.75" style="130" customWidth="1"/>
    <col min="7929" max="8175" width="9" style="130"/>
    <col min="8176" max="8176" width="5" style="130" customWidth="1"/>
    <col min="8177" max="8177" width="17.875" style="130" bestFit="1" customWidth="1"/>
    <col min="8178" max="8178" width="23.625" style="130" customWidth="1"/>
    <col min="8179" max="8179" width="18.25" style="130" customWidth="1"/>
    <col min="8180" max="8180" width="5.25" style="130" bestFit="1" customWidth="1"/>
    <col min="8181" max="8181" width="9" style="130"/>
    <col min="8182" max="8182" width="11.875" style="130" customWidth="1"/>
    <col min="8183" max="8183" width="13.625" style="130" customWidth="1"/>
    <col min="8184" max="8184" width="12.75" style="130" customWidth="1"/>
    <col min="8185" max="8431" width="9" style="130"/>
    <col min="8432" max="8432" width="5" style="130" customWidth="1"/>
    <col min="8433" max="8433" width="17.875" style="130" bestFit="1" customWidth="1"/>
    <col min="8434" max="8434" width="23.625" style="130" customWidth="1"/>
    <col min="8435" max="8435" width="18.25" style="130" customWidth="1"/>
    <col min="8436" max="8436" width="5.25" style="130" bestFit="1" customWidth="1"/>
    <col min="8437" max="8437" width="9" style="130"/>
    <col min="8438" max="8438" width="11.875" style="130" customWidth="1"/>
    <col min="8439" max="8439" width="13.625" style="130" customWidth="1"/>
    <col min="8440" max="8440" width="12.75" style="130" customWidth="1"/>
    <col min="8441" max="8687" width="9" style="130"/>
    <col min="8688" max="8688" width="5" style="130" customWidth="1"/>
    <col min="8689" max="8689" width="17.875" style="130" bestFit="1" customWidth="1"/>
    <col min="8690" max="8690" width="23.625" style="130" customWidth="1"/>
    <col min="8691" max="8691" width="18.25" style="130" customWidth="1"/>
    <col min="8692" max="8692" width="5.25" style="130" bestFit="1" customWidth="1"/>
    <col min="8693" max="8693" width="9" style="130"/>
    <col min="8694" max="8694" width="11.875" style="130" customWidth="1"/>
    <col min="8695" max="8695" width="13.625" style="130" customWidth="1"/>
    <col min="8696" max="8696" width="12.75" style="130" customWidth="1"/>
    <col min="8697" max="8943" width="9" style="130"/>
    <col min="8944" max="8944" width="5" style="130" customWidth="1"/>
    <col min="8945" max="8945" width="17.875" style="130" bestFit="1" customWidth="1"/>
    <col min="8946" max="8946" width="23.625" style="130" customWidth="1"/>
    <col min="8947" max="8947" width="18.25" style="130" customWidth="1"/>
    <col min="8948" max="8948" width="5.25" style="130" bestFit="1" customWidth="1"/>
    <col min="8949" max="8949" width="9" style="130"/>
    <col min="8950" max="8950" width="11.875" style="130" customWidth="1"/>
    <col min="8951" max="8951" width="13.625" style="130" customWidth="1"/>
    <col min="8952" max="8952" width="12.75" style="130" customWidth="1"/>
    <col min="8953" max="9199" width="9" style="130"/>
    <col min="9200" max="9200" width="5" style="130" customWidth="1"/>
    <col min="9201" max="9201" width="17.875" style="130" bestFit="1" customWidth="1"/>
    <col min="9202" max="9202" width="23.625" style="130" customWidth="1"/>
    <col min="9203" max="9203" width="18.25" style="130" customWidth="1"/>
    <col min="9204" max="9204" width="5.25" style="130" bestFit="1" customWidth="1"/>
    <col min="9205" max="9205" width="9" style="130"/>
    <col min="9206" max="9206" width="11.875" style="130" customWidth="1"/>
    <col min="9207" max="9207" width="13.625" style="130" customWidth="1"/>
    <col min="9208" max="9208" width="12.75" style="130" customWidth="1"/>
    <col min="9209" max="9455" width="9" style="130"/>
    <col min="9456" max="9456" width="5" style="130" customWidth="1"/>
    <col min="9457" max="9457" width="17.875" style="130" bestFit="1" customWidth="1"/>
    <col min="9458" max="9458" width="23.625" style="130" customWidth="1"/>
    <col min="9459" max="9459" width="18.25" style="130" customWidth="1"/>
    <col min="9460" max="9460" width="5.25" style="130" bestFit="1" customWidth="1"/>
    <col min="9461" max="9461" width="9" style="130"/>
    <col min="9462" max="9462" width="11.875" style="130" customWidth="1"/>
    <col min="9463" max="9463" width="13.625" style="130" customWidth="1"/>
    <col min="9464" max="9464" width="12.75" style="130" customWidth="1"/>
    <col min="9465" max="9711" width="9" style="130"/>
    <col min="9712" max="9712" width="5" style="130" customWidth="1"/>
    <col min="9713" max="9713" width="17.875" style="130" bestFit="1" customWidth="1"/>
    <col min="9714" max="9714" width="23.625" style="130" customWidth="1"/>
    <col min="9715" max="9715" width="18.25" style="130" customWidth="1"/>
    <col min="9716" max="9716" width="5.25" style="130" bestFit="1" customWidth="1"/>
    <col min="9717" max="9717" width="9" style="130"/>
    <col min="9718" max="9718" width="11.875" style="130" customWidth="1"/>
    <col min="9719" max="9719" width="13.625" style="130" customWidth="1"/>
    <col min="9720" max="9720" width="12.75" style="130" customWidth="1"/>
    <col min="9721" max="9967" width="9" style="130"/>
    <col min="9968" max="9968" width="5" style="130" customWidth="1"/>
    <col min="9969" max="9969" width="17.875" style="130" bestFit="1" customWidth="1"/>
    <col min="9970" max="9970" width="23.625" style="130" customWidth="1"/>
    <col min="9971" max="9971" width="18.25" style="130" customWidth="1"/>
    <col min="9972" max="9972" width="5.25" style="130" bestFit="1" customWidth="1"/>
    <col min="9973" max="9973" width="9" style="130"/>
    <col min="9974" max="9974" width="11.875" style="130" customWidth="1"/>
    <col min="9975" max="9975" width="13.625" style="130" customWidth="1"/>
    <col min="9976" max="9976" width="12.75" style="130" customWidth="1"/>
    <col min="9977" max="10223" width="9" style="130"/>
    <col min="10224" max="10224" width="5" style="130" customWidth="1"/>
    <col min="10225" max="10225" width="17.875" style="130" bestFit="1" customWidth="1"/>
    <col min="10226" max="10226" width="23.625" style="130" customWidth="1"/>
    <col min="10227" max="10227" width="18.25" style="130" customWidth="1"/>
    <col min="10228" max="10228" width="5.25" style="130" bestFit="1" customWidth="1"/>
    <col min="10229" max="10229" width="9" style="130"/>
    <col min="10230" max="10230" width="11.875" style="130" customWidth="1"/>
    <col min="10231" max="10231" width="13.625" style="130" customWidth="1"/>
    <col min="10232" max="10232" width="12.75" style="130" customWidth="1"/>
    <col min="10233" max="10479" width="9" style="130"/>
    <col min="10480" max="10480" width="5" style="130" customWidth="1"/>
    <col min="10481" max="10481" width="17.875" style="130" bestFit="1" customWidth="1"/>
    <col min="10482" max="10482" width="23.625" style="130" customWidth="1"/>
    <col min="10483" max="10483" width="18.25" style="130" customWidth="1"/>
    <col min="10484" max="10484" width="5.25" style="130" bestFit="1" customWidth="1"/>
    <col min="10485" max="10485" width="9" style="130"/>
    <col min="10486" max="10486" width="11.875" style="130" customWidth="1"/>
    <col min="10487" max="10487" width="13.625" style="130" customWidth="1"/>
    <col min="10488" max="10488" width="12.75" style="130" customWidth="1"/>
    <col min="10489" max="10735" width="9" style="130"/>
    <col min="10736" max="10736" width="5" style="130" customWidth="1"/>
    <col min="10737" max="10737" width="17.875" style="130" bestFit="1" customWidth="1"/>
    <col min="10738" max="10738" width="23.625" style="130" customWidth="1"/>
    <col min="10739" max="10739" width="18.25" style="130" customWidth="1"/>
    <col min="10740" max="10740" width="5.25" style="130" bestFit="1" customWidth="1"/>
    <col min="10741" max="10741" width="9" style="130"/>
    <col min="10742" max="10742" width="11.875" style="130" customWidth="1"/>
    <col min="10743" max="10743" width="13.625" style="130" customWidth="1"/>
    <col min="10744" max="10744" width="12.75" style="130" customWidth="1"/>
    <col min="10745" max="10991" width="9" style="130"/>
    <col min="10992" max="10992" width="5" style="130" customWidth="1"/>
    <col min="10993" max="10993" width="17.875" style="130" bestFit="1" customWidth="1"/>
    <col min="10994" max="10994" width="23.625" style="130" customWidth="1"/>
    <col min="10995" max="10995" width="18.25" style="130" customWidth="1"/>
    <col min="10996" max="10996" width="5.25" style="130" bestFit="1" customWidth="1"/>
    <col min="10997" max="10997" width="9" style="130"/>
    <col min="10998" max="10998" width="11.875" style="130" customWidth="1"/>
    <col min="10999" max="10999" width="13.625" style="130" customWidth="1"/>
    <col min="11000" max="11000" width="12.75" style="130" customWidth="1"/>
    <col min="11001" max="11247" width="9" style="130"/>
    <col min="11248" max="11248" width="5" style="130" customWidth="1"/>
    <col min="11249" max="11249" width="17.875" style="130" bestFit="1" customWidth="1"/>
    <col min="11250" max="11250" width="23.625" style="130" customWidth="1"/>
    <col min="11251" max="11251" width="18.25" style="130" customWidth="1"/>
    <col min="11252" max="11252" width="5.25" style="130" bestFit="1" customWidth="1"/>
    <col min="11253" max="11253" width="9" style="130"/>
    <col min="11254" max="11254" width="11.875" style="130" customWidth="1"/>
    <col min="11255" max="11255" width="13.625" style="130" customWidth="1"/>
    <col min="11256" max="11256" width="12.75" style="130" customWidth="1"/>
    <col min="11257" max="11503" width="9" style="130"/>
    <col min="11504" max="11504" width="5" style="130" customWidth="1"/>
    <col min="11505" max="11505" width="17.875" style="130" bestFit="1" customWidth="1"/>
    <col min="11506" max="11506" width="23.625" style="130" customWidth="1"/>
    <col min="11507" max="11507" width="18.25" style="130" customWidth="1"/>
    <col min="11508" max="11508" width="5.25" style="130" bestFit="1" customWidth="1"/>
    <col min="11509" max="11509" width="9" style="130"/>
    <col min="11510" max="11510" width="11.875" style="130" customWidth="1"/>
    <col min="11511" max="11511" width="13.625" style="130" customWidth="1"/>
    <col min="11512" max="11512" width="12.75" style="130" customWidth="1"/>
    <col min="11513" max="11759" width="9" style="130"/>
    <col min="11760" max="11760" width="5" style="130" customWidth="1"/>
    <col min="11761" max="11761" width="17.875" style="130" bestFit="1" customWidth="1"/>
    <col min="11762" max="11762" width="23.625" style="130" customWidth="1"/>
    <col min="11763" max="11763" width="18.25" style="130" customWidth="1"/>
    <col min="11764" max="11764" width="5.25" style="130" bestFit="1" customWidth="1"/>
    <col min="11765" max="11765" width="9" style="130"/>
    <col min="11766" max="11766" width="11.875" style="130" customWidth="1"/>
    <col min="11767" max="11767" width="13.625" style="130" customWidth="1"/>
    <col min="11768" max="11768" width="12.75" style="130" customWidth="1"/>
    <col min="11769" max="12015" width="9" style="130"/>
    <col min="12016" max="12016" width="5" style="130" customWidth="1"/>
    <col min="12017" max="12017" width="17.875" style="130" bestFit="1" customWidth="1"/>
    <col min="12018" max="12018" width="23.625" style="130" customWidth="1"/>
    <col min="12019" max="12019" width="18.25" style="130" customWidth="1"/>
    <col min="12020" max="12020" width="5.25" style="130" bestFit="1" customWidth="1"/>
    <col min="12021" max="12021" width="9" style="130"/>
    <col min="12022" max="12022" width="11.875" style="130" customWidth="1"/>
    <col min="12023" max="12023" width="13.625" style="130" customWidth="1"/>
    <col min="12024" max="12024" width="12.75" style="130" customWidth="1"/>
    <col min="12025" max="12271" width="9" style="130"/>
    <col min="12272" max="12272" width="5" style="130" customWidth="1"/>
    <col min="12273" max="12273" width="17.875" style="130" bestFit="1" customWidth="1"/>
    <col min="12274" max="12274" width="23.625" style="130" customWidth="1"/>
    <col min="12275" max="12275" width="18.25" style="130" customWidth="1"/>
    <col min="12276" max="12276" width="5.25" style="130" bestFit="1" customWidth="1"/>
    <col min="12277" max="12277" width="9" style="130"/>
    <col min="12278" max="12278" width="11.875" style="130" customWidth="1"/>
    <col min="12279" max="12279" width="13.625" style="130" customWidth="1"/>
    <col min="12280" max="12280" width="12.75" style="130" customWidth="1"/>
    <col min="12281" max="12527" width="9" style="130"/>
    <col min="12528" max="12528" width="5" style="130" customWidth="1"/>
    <col min="12529" max="12529" width="17.875" style="130" bestFit="1" customWidth="1"/>
    <col min="12530" max="12530" width="23.625" style="130" customWidth="1"/>
    <col min="12531" max="12531" width="18.25" style="130" customWidth="1"/>
    <col min="12532" max="12532" width="5.25" style="130" bestFit="1" customWidth="1"/>
    <col min="12533" max="12533" width="9" style="130"/>
    <col min="12534" max="12534" width="11.875" style="130" customWidth="1"/>
    <col min="12535" max="12535" width="13.625" style="130" customWidth="1"/>
    <col min="12536" max="12536" width="12.75" style="130" customWidth="1"/>
    <col min="12537" max="12783" width="9" style="130"/>
    <col min="12784" max="12784" width="5" style="130" customWidth="1"/>
    <col min="12785" max="12785" width="17.875" style="130" bestFit="1" customWidth="1"/>
    <col min="12786" max="12786" width="23.625" style="130" customWidth="1"/>
    <col min="12787" max="12787" width="18.25" style="130" customWidth="1"/>
    <col min="12788" max="12788" width="5.25" style="130" bestFit="1" customWidth="1"/>
    <col min="12789" max="12789" width="9" style="130"/>
    <col min="12790" max="12790" width="11.875" style="130" customWidth="1"/>
    <col min="12791" max="12791" width="13.625" style="130" customWidth="1"/>
    <col min="12792" max="12792" width="12.75" style="130" customWidth="1"/>
    <col min="12793" max="13039" width="9" style="130"/>
    <col min="13040" max="13040" width="5" style="130" customWidth="1"/>
    <col min="13041" max="13041" width="17.875" style="130" bestFit="1" customWidth="1"/>
    <col min="13042" max="13042" width="23.625" style="130" customWidth="1"/>
    <col min="13043" max="13043" width="18.25" style="130" customWidth="1"/>
    <col min="13044" max="13044" width="5.25" style="130" bestFit="1" customWidth="1"/>
    <col min="13045" max="13045" width="9" style="130"/>
    <col min="13046" max="13046" width="11.875" style="130" customWidth="1"/>
    <col min="13047" max="13047" width="13.625" style="130" customWidth="1"/>
    <col min="13048" max="13048" width="12.75" style="130" customWidth="1"/>
    <col min="13049" max="13295" width="9" style="130"/>
    <col min="13296" max="13296" width="5" style="130" customWidth="1"/>
    <col min="13297" max="13297" width="17.875" style="130" bestFit="1" customWidth="1"/>
    <col min="13298" max="13298" width="23.625" style="130" customWidth="1"/>
    <col min="13299" max="13299" width="18.25" style="130" customWidth="1"/>
    <col min="13300" max="13300" width="5.25" style="130" bestFit="1" customWidth="1"/>
    <col min="13301" max="13301" width="9" style="130"/>
    <col min="13302" max="13302" width="11.875" style="130" customWidth="1"/>
    <col min="13303" max="13303" width="13.625" style="130" customWidth="1"/>
    <col min="13304" max="13304" width="12.75" style="130" customWidth="1"/>
    <col min="13305" max="13551" width="9" style="130"/>
    <col min="13552" max="13552" width="5" style="130" customWidth="1"/>
    <col min="13553" max="13553" width="17.875" style="130" bestFit="1" customWidth="1"/>
    <col min="13554" max="13554" width="23.625" style="130" customWidth="1"/>
    <col min="13555" max="13555" width="18.25" style="130" customWidth="1"/>
    <col min="13556" max="13556" width="5.25" style="130" bestFit="1" customWidth="1"/>
    <col min="13557" max="13557" width="9" style="130"/>
    <col min="13558" max="13558" width="11.875" style="130" customWidth="1"/>
    <col min="13559" max="13559" width="13.625" style="130" customWidth="1"/>
    <col min="13560" max="13560" width="12.75" style="130" customWidth="1"/>
    <col min="13561" max="13807" width="9" style="130"/>
    <col min="13808" max="13808" width="5" style="130" customWidth="1"/>
    <col min="13809" max="13809" width="17.875" style="130" bestFit="1" customWidth="1"/>
    <col min="13810" max="13810" width="23.625" style="130" customWidth="1"/>
    <col min="13811" max="13811" width="18.25" style="130" customWidth="1"/>
    <col min="13812" max="13812" width="5.25" style="130" bestFit="1" customWidth="1"/>
    <col min="13813" max="13813" width="9" style="130"/>
    <col min="13814" max="13814" width="11.875" style="130" customWidth="1"/>
    <col min="13815" max="13815" width="13.625" style="130" customWidth="1"/>
    <col min="13816" max="13816" width="12.75" style="130" customWidth="1"/>
    <col min="13817" max="14063" width="9" style="130"/>
    <col min="14064" max="14064" width="5" style="130" customWidth="1"/>
    <col min="14065" max="14065" width="17.875" style="130" bestFit="1" customWidth="1"/>
    <col min="14066" max="14066" width="23.625" style="130" customWidth="1"/>
    <col min="14067" max="14067" width="18.25" style="130" customWidth="1"/>
    <col min="14068" max="14068" width="5.25" style="130" bestFit="1" customWidth="1"/>
    <col min="14069" max="14069" width="9" style="130"/>
    <col min="14070" max="14070" width="11.875" style="130" customWidth="1"/>
    <col min="14071" max="14071" width="13.625" style="130" customWidth="1"/>
    <col min="14072" max="14072" width="12.75" style="130" customWidth="1"/>
    <col min="14073" max="14319" width="9" style="130"/>
    <col min="14320" max="14320" width="5" style="130" customWidth="1"/>
    <col min="14321" max="14321" width="17.875" style="130" bestFit="1" customWidth="1"/>
    <col min="14322" max="14322" width="23.625" style="130" customWidth="1"/>
    <col min="14323" max="14323" width="18.25" style="130" customWidth="1"/>
    <col min="14324" max="14324" width="5.25" style="130" bestFit="1" customWidth="1"/>
    <col min="14325" max="14325" width="9" style="130"/>
    <col min="14326" max="14326" width="11.875" style="130" customWidth="1"/>
    <col min="14327" max="14327" width="13.625" style="130" customWidth="1"/>
    <col min="14328" max="14328" width="12.75" style="130" customWidth="1"/>
    <col min="14329" max="14575" width="9" style="130"/>
    <col min="14576" max="14576" width="5" style="130" customWidth="1"/>
    <col min="14577" max="14577" width="17.875" style="130" bestFit="1" customWidth="1"/>
    <col min="14578" max="14578" width="23.625" style="130" customWidth="1"/>
    <col min="14579" max="14579" width="18.25" style="130" customWidth="1"/>
    <col min="14580" max="14580" width="5.25" style="130" bestFit="1" customWidth="1"/>
    <col min="14581" max="14581" width="9" style="130"/>
    <col min="14582" max="14582" width="11.875" style="130" customWidth="1"/>
    <col min="14583" max="14583" width="13.625" style="130" customWidth="1"/>
    <col min="14584" max="14584" width="12.75" style="130" customWidth="1"/>
    <col min="14585" max="14831" width="9" style="130"/>
    <col min="14832" max="14832" width="5" style="130" customWidth="1"/>
    <col min="14833" max="14833" width="17.875" style="130" bestFit="1" customWidth="1"/>
    <col min="14834" max="14834" width="23.625" style="130" customWidth="1"/>
    <col min="14835" max="14835" width="18.25" style="130" customWidth="1"/>
    <col min="14836" max="14836" width="5.25" style="130" bestFit="1" customWidth="1"/>
    <col min="14837" max="14837" width="9" style="130"/>
    <col min="14838" max="14838" width="11.875" style="130" customWidth="1"/>
    <col min="14839" max="14839" width="13.625" style="130" customWidth="1"/>
    <col min="14840" max="14840" width="12.75" style="130" customWidth="1"/>
    <col min="14841" max="15087" width="9" style="130"/>
    <col min="15088" max="15088" width="5" style="130" customWidth="1"/>
    <col min="15089" max="15089" width="17.875" style="130" bestFit="1" customWidth="1"/>
    <col min="15090" max="15090" width="23.625" style="130" customWidth="1"/>
    <col min="15091" max="15091" width="18.25" style="130" customWidth="1"/>
    <col min="15092" max="15092" width="5.25" style="130" bestFit="1" customWidth="1"/>
    <col min="15093" max="15093" width="9" style="130"/>
    <col min="15094" max="15094" width="11.875" style="130" customWidth="1"/>
    <col min="15095" max="15095" width="13.625" style="130" customWidth="1"/>
    <col min="15096" max="15096" width="12.75" style="130" customWidth="1"/>
    <col min="15097" max="15343" width="9" style="130"/>
    <col min="15344" max="15344" width="5" style="130" customWidth="1"/>
    <col min="15345" max="15345" width="17.875" style="130" bestFit="1" customWidth="1"/>
    <col min="15346" max="15346" width="23.625" style="130" customWidth="1"/>
    <col min="15347" max="15347" width="18.25" style="130" customWidth="1"/>
    <col min="15348" max="15348" width="5.25" style="130" bestFit="1" customWidth="1"/>
    <col min="15349" max="15349" width="9" style="130"/>
    <col min="15350" max="15350" width="11.875" style="130" customWidth="1"/>
    <col min="15351" max="15351" width="13.625" style="130" customWidth="1"/>
    <col min="15352" max="15352" width="12.75" style="130" customWidth="1"/>
    <col min="15353" max="15599" width="9" style="130"/>
    <col min="15600" max="15600" width="5" style="130" customWidth="1"/>
    <col min="15601" max="15601" width="17.875" style="130" bestFit="1" customWidth="1"/>
    <col min="15602" max="15602" width="23.625" style="130" customWidth="1"/>
    <col min="15603" max="15603" width="18.25" style="130" customWidth="1"/>
    <col min="15604" max="15604" width="5.25" style="130" bestFit="1" customWidth="1"/>
    <col min="15605" max="15605" width="9" style="130"/>
    <col min="15606" max="15606" width="11.875" style="130" customWidth="1"/>
    <col min="15607" max="15607" width="13.625" style="130" customWidth="1"/>
    <col min="15608" max="15608" width="12.75" style="130" customWidth="1"/>
    <col min="15609" max="15855" width="9" style="130"/>
    <col min="15856" max="15856" width="5" style="130" customWidth="1"/>
    <col min="15857" max="15857" width="17.875" style="130" bestFit="1" customWidth="1"/>
    <col min="15858" max="15858" width="23.625" style="130" customWidth="1"/>
    <col min="15859" max="15859" width="18.25" style="130" customWidth="1"/>
    <col min="15860" max="15860" width="5.25" style="130" bestFit="1" customWidth="1"/>
    <col min="15861" max="15861" width="9" style="130"/>
    <col min="15862" max="15862" width="11.875" style="130" customWidth="1"/>
    <col min="15863" max="15863" width="13.625" style="130" customWidth="1"/>
    <col min="15864" max="15864" width="12.75" style="130" customWidth="1"/>
    <col min="15865" max="16111" width="9" style="130"/>
    <col min="16112" max="16112" width="5" style="130" customWidth="1"/>
    <col min="16113" max="16113" width="17.875" style="130" bestFit="1" customWidth="1"/>
    <col min="16114" max="16114" width="23.625" style="130" customWidth="1"/>
    <col min="16115" max="16115" width="18.25" style="130" customWidth="1"/>
    <col min="16116" max="16116" width="5.25" style="130" bestFit="1" customWidth="1"/>
    <col min="16117" max="16117" width="9" style="130"/>
    <col min="16118" max="16118" width="11.875" style="130" customWidth="1"/>
    <col min="16119" max="16119" width="13.625" style="130" customWidth="1"/>
    <col min="16120" max="16120" width="12.75" style="130" customWidth="1"/>
    <col min="16121" max="16384" width="9" style="130"/>
  </cols>
  <sheetData>
    <row r="1" spans="1:9" ht="22.5" customHeight="1">
      <c r="B1" s="212" t="s">
        <v>149</v>
      </c>
      <c r="C1" s="305" t="s">
        <v>342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25" t="s">
        <v>344</v>
      </c>
      <c r="D3" s="307"/>
      <c r="E3" s="226" t="s">
        <v>51</v>
      </c>
      <c r="F3" s="226">
        <v>1</v>
      </c>
      <c r="G3" s="228">
        <v>1440000</v>
      </c>
      <c r="H3" s="175">
        <f t="shared" ref="H3:H65" si="0">IF(F3=0,G3,G3*F3)</f>
        <v>1440000</v>
      </c>
      <c r="I3" s="38"/>
    </row>
    <row r="4" spans="1:9" ht="15.95" customHeight="1">
      <c r="A4" s="497"/>
      <c r="B4" s="218"/>
      <c r="C4" s="225" t="s">
        <v>345</v>
      </c>
      <c r="D4" s="307"/>
      <c r="E4" s="226" t="s">
        <v>51</v>
      </c>
      <c r="F4" s="226">
        <v>1</v>
      </c>
      <c r="G4" s="228">
        <v>1440000</v>
      </c>
      <c r="H4" s="175">
        <f t="shared" si="0"/>
        <v>1440000</v>
      </c>
      <c r="I4" s="38"/>
    </row>
    <row r="5" spans="1:9" ht="15.95" customHeight="1">
      <c r="A5" s="497"/>
      <c r="B5" s="218"/>
      <c r="C5" s="225" t="s">
        <v>346</v>
      </c>
      <c r="D5" s="225"/>
      <c r="E5" s="226" t="s">
        <v>51</v>
      </c>
      <c r="F5" s="226">
        <v>1</v>
      </c>
      <c r="G5" s="228">
        <v>2880000</v>
      </c>
      <c r="H5" s="175">
        <f t="shared" si="0"/>
        <v>2880000</v>
      </c>
      <c r="I5" s="38"/>
    </row>
    <row r="6" spans="1:9" ht="15.95" customHeight="1">
      <c r="A6" s="497"/>
      <c r="B6" s="218"/>
      <c r="C6" s="225" t="s">
        <v>347</v>
      </c>
      <c r="D6" s="225"/>
      <c r="E6" s="226" t="s">
        <v>51</v>
      </c>
      <c r="F6" s="226">
        <v>1</v>
      </c>
      <c r="G6" s="228">
        <v>1152000</v>
      </c>
      <c r="H6" s="175">
        <f t="shared" si="0"/>
        <v>1152000</v>
      </c>
      <c r="I6" s="38"/>
    </row>
    <row r="7" spans="1:9" ht="15.95" customHeight="1">
      <c r="A7" s="497"/>
      <c r="B7" s="218"/>
      <c r="C7" s="225" t="s">
        <v>348</v>
      </c>
      <c r="D7" s="225"/>
      <c r="E7" s="226" t="s">
        <v>51</v>
      </c>
      <c r="F7" s="226">
        <v>2</v>
      </c>
      <c r="G7" s="228">
        <v>1944000</v>
      </c>
      <c r="H7" s="175">
        <f t="shared" si="0"/>
        <v>3888000</v>
      </c>
      <c r="I7" s="38"/>
    </row>
    <row r="8" spans="1:9" ht="15.95" customHeight="1">
      <c r="A8" s="497"/>
      <c r="B8" s="218"/>
      <c r="C8" s="225" t="s">
        <v>349</v>
      </c>
      <c r="D8" s="225"/>
      <c r="E8" s="226" t="s">
        <v>51</v>
      </c>
      <c r="F8" s="226">
        <v>2</v>
      </c>
      <c r="G8" s="228">
        <v>216000</v>
      </c>
      <c r="H8" s="175">
        <f t="shared" si="0"/>
        <v>432000</v>
      </c>
      <c r="I8" s="38"/>
    </row>
    <row r="9" spans="1:9" ht="15.95" customHeight="1">
      <c r="A9" s="497"/>
      <c r="B9" s="218"/>
      <c r="C9" s="225" t="s">
        <v>249</v>
      </c>
      <c r="D9" s="225"/>
      <c r="E9" s="226" t="s">
        <v>51</v>
      </c>
      <c r="F9" s="226">
        <v>1</v>
      </c>
      <c r="G9" s="228">
        <v>1440000</v>
      </c>
      <c r="H9" s="175">
        <f t="shared" si="0"/>
        <v>1440000</v>
      </c>
      <c r="I9" s="38"/>
    </row>
    <row r="10" spans="1:9" ht="15.95" customHeight="1">
      <c r="A10" s="497"/>
      <c r="B10" s="218"/>
      <c r="C10" s="225" t="s">
        <v>524</v>
      </c>
      <c r="D10" s="225"/>
      <c r="E10" s="226" t="s">
        <v>521</v>
      </c>
      <c r="F10" s="227">
        <v>10</v>
      </c>
      <c r="G10" s="228">
        <v>1080000</v>
      </c>
      <c r="H10" s="175">
        <f t="shared" si="0"/>
        <v>10800000</v>
      </c>
      <c r="I10" s="38"/>
    </row>
    <row r="11" spans="1:9" ht="15.95" customHeight="1">
      <c r="A11" s="497"/>
      <c r="B11" s="218"/>
      <c r="C11" s="225" t="s">
        <v>525</v>
      </c>
      <c r="D11" s="225"/>
      <c r="E11" s="226" t="s">
        <v>521</v>
      </c>
      <c r="F11" s="227">
        <v>50</v>
      </c>
      <c r="G11" s="228">
        <v>864000</v>
      </c>
      <c r="H11" s="175">
        <f t="shared" si="0"/>
        <v>43200000</v>
      </c>
      <c r="I11" s="38"/>
    </row>
    <row r="12" spans="1:9" ht="15.95" customHeight="1">
      <c r="A12" s="497"/>
      <c r="B12" s="218"/>
      <c r="C12" s="225" t="s">
        <v>356</v>
      </c>
      <c r="D12" s="225"/>
      <c r="E12" s="225" t="s">
        <v>542</v>
      </c>
      <c r="F12" s="228">
        <v>1</v>
      </c>
      <c r="G12" s="228">
        <v>1008000</v>
      </c>
      <c r="H12" s="175">
        <v>1008000</v>
      </c>
      <c r="I12" s="38"/>
    </row>
    <row r="13" spans="1:9" ht="15.95" customHeight="1">
      <c r="A13" s="497"/>
      <c r="B13" s="218"/>
      <c r="C13" s="225" t="s">
        <v>284</v>
      </c>
      <c r="D13" s="225"/>
      <c r="E13" s="225" t="s">
        <v>542</v>
      </c>
      <c r="F13" s="228">
        <v>1</v>
      </c>
      <c r="G13" s="228">
        <v>1440000</v>
      </c>
      <c r="H13" s="175">
        <v>1440000</v>
      </c>
      <c r="I13" s="38"/>
    </row>
    <row r="14" spans="1:9" ht="15.95" customHeight="1">
      <c r="A14" s="497"/>
      <c r="B14" s="218"/>
      <c r="C14" s="225" t="s">
        <v>549</v>
      </c>
      <c r="D14" s="225"/>
      <c r="E14" s="225" t="s">
        <v>542</v>
      </c>
      <c r="F14" s="228">
        <v>2</v>
      </c>
      <c r="G14" s="228">
        <v>216000</v>
      </c>
      <c r="H14" s="175">
        <v>432000</v>
      </c>
      <c r="I14" s="38"/>
    </row>
    <row r="15" spans="1:9" ht="15.95" customHeight="1">
      <c r="A15" s="497"/>
      <c r="B15" s="218"/>
      <c r="C15" s="225" t="s">
        <v>418</v>
      </c>
      <c r="D15" s="225"/>
      <c r="E15" s="225" t="s">
        <v>542</v>
      </c>
      <c r="F15" s="228">
        <v>1</v>
      </c>
      <c r="G15" s="228">
        <v>360000</v>
      </c>
      <c r="H15" s="175">
        <v>360000</v>
      </c>
      <c r="I15" s="38"/>
    </row>
    <row r="16" spans="1:9" ht="15.95" customHeight="1">
      <c r="A16" s="497"/>
      <c r="B16" s="218"/>
      <c r="C16" s="225" t="s">
        <v>308</v>
      </c>
      <c r="D16" s="225"/>
      <c r="E16" s="225" t="s">
        <v>542</v>
      </c>
      <c r="F16" s="228">
        <v>1</v>
      </c>
      <c r="G16" s="228">
        <v>432000</v>
      </c>
      <c r="H16" s="175">
        <v>432000</v>
      </c>
      <c r="I16" s="38" t="s">
        <v>350</v>
      </c>
    </row>
    <row r="17" spans="1:9" ht="15.95" customHeight="1">
      <c r="A17" s="497"/>
      <c r="B17" s="218"/>
      <c r="C17" s="225"/>
      <c r="D17" s="225"/>
      <c r="E17" s="225"/>
      <c r="F17" s="228"/>
      <c r="G17" s="228"/>
      <c r="H17" s="175">
        <f t="shared" si="0"/>
        <v>0</v>
      </c>
      <c r="I17" s="38"/>
    </row>
    <row r="18" spans="1:9" ht="15.95" customHeight="1">
      <c r="A18" s="497"/>
      <c r="B18" s="218"/>
      <c r="C18" s="225"/>
      <c r="D18" s="225"/>
      <c r="E18" s="225"/>
      <c r="F18" s="228"/>
      <c r="G18" s="228"/>
      <c r="H18" s="175">
        <f t="shared" si="0"/>
        <v>0</v>
      </c>
      <c r="I18" s="38"/>
    </row>
    <row r="19" spans="1:9" ht="15.95" customHeight="1">
      <c r="A19" s="497"/>
      <c r="B19" s="218"/>
      <c r="C19" s="225"/>
      <c r="D19" s="225"/>
      <c r="E19" s="225"/>
      <c r="F19" s="228"/>
      <c r="G19" s="228"/>
      <c r="H19" s="175">
        <f t="shared" si="0"/>
        <v>0</v>
      </c>
      <c r="I19" s="38"/>
    </row>
    <row r="20" spans="1:9" ht="15.95" customHeight="1">
      <c r="A20" s="497"/>
      <c r="B20" s="218"/>
      <c r="C20" s="225"/>
      <c r="D20" s="225"/>
      <c r="E20" s="225"/>
      <c r="F20" s="228"/>
      <c r="G20" s="228"/>
      <c r="H20" s="175">
        <f t="shared" si="0"/>
        <v>0</v>
      </c>
      <c r="I20" s="38"/>
    </row>
    <row r="21" spans="1:9" ht="15.95" customHeight="1">
      <c r="A21" s="497"/>
      <c r="B21" s="218"/>
      <c r="C21" s="225"/>
      <c r="D21" s="225"/>
      <c r="E21" s="225"/>
      <c r="F21" s="228"/>
      <c r="G21" s="228"/>
      <c r="H21" s="175">
        <f t="shared" si="0"/>
        <v>0</v>
      </c>
      <c r="I21" s="38"/>
    </row>
    <row r="22" spans="1:9" ht="15.95" customHeight="1">
      <c r="A22" s="497"/>
      <c r="B22" s="218"/>
      <c r="C22" s="225"/>
      <c r="D22" s="225"/>
      <c r="E22" s="225"/>
      <c r="F22" s="228"/>
      <c r="G22" s="228"/>
      <c r="H22" s="175">
        <f t="shared" si="0"/>
        <v>0</v>
      </c>
      <c r="I22" s="38"/>
    </row>
    <row r="23" spans="1:9" ht="15.95" customHeight="1">
      <c r="A23" s="497"/>
      <c r="B23" s="218"/>
      <c r="C23" s="229"/>
      <c r="D23" s="230"/>
      <c r="E23" s="230"/>
      <c r="F23" s="231"/>
      <c r="G23" s="232"/>
      <c r="H23" s="252">
        <f t="shared" si="0"/>
        <v>0</v>
      </c>
      <c r="I23" s="253"/>
    </row>
    <row r="24" spans="1:9" ht="15.95" customHeight="1">
      <c r="A24" s="497"/>
      <c r="B24" s="234"/>
      <c r="C24" s="260"/>
      <c r="D24" s="260"/>
      <c r="E24" s="260"/>
      <c r="F24" s="258"/>
      <c r="G24" s="258"/>
      <c r="H24" s="290">
        <f>SUM(H3:H23)</f>
        <v>70344000</v>
      </c>
      <c r="I24" s="260"/>
    </row>
    <row r="25" spans="1:9" ht="15.95" customHeight="1">
      <c r="A25" s="497"/>
      <c r="B25" s="218" t="s">
        <v>150</v>
      </c>
      <c r="C25" s="219" t="s">
        <v>527</v>
      </c>
      <c r="D25" s="219"/>
      <c r="E25" s="316" t="s">
        <v>60</v>
      </c>
      <c r="F25" s="245">
        <v>7</v>
      </c>
      <c r="G25" s="222">
        <v>300000</v>
      </c>
      <c r="H25" s="223">
        <f t="shared" si="0"/>
        <v>2100000</v>
      </c>
      <c r="I25" s="224"/>
    </row>
    <row r="26" spans="1:9" ht="15.95" customHeight="1">
      <c r="A26" s="497"/>
      <c r="B26" s="218" t="s">
        <v>151</v>
      </c>
      <c r="C26" s="225" t="s">
        <v>528</v>
      </c>
      <c r="D26" s="225"/>
      <c r="E26" s="316" t="s">
        <v>60</v>
      </c>
      <c r="F26" s="228">
        <v>7</v>
      </c>
      <c r="G26" s="228">
        <v>300000</v>
      </c>
      <c r="H26" s="223">
        <f t="shared" si="0"/>
        <v>2100000</v>
      </c>
      <c r="I26" s="38"/>
    </row>
    <row r="27" spans="1:9" ht="15.95" customHeight="1">
      <c r="A27" s="497"/>
      <c r="B27" s="218"/>
      <c r="C27" s="225" t="s">
        <v>529</v>
      </c>
      <c r="D27" s="225"/>
      <c r="E27" s="316" t="s">
        <v>60</v>
      </c>
      <c r="F27" s="228">
        <v>7</v>
      </c>
      <c r="G27" s="228">
        <v>300000</v>
      </c>
      <c r="H27" s="223">
        <f t="shared" si="0"/>
        <v>2100000</v>
      </c>
      <c r="I27" s="38"/>
    </row>
    <row r="28" spans="1:9" ht="15.95" customHeight="1">
      <c r="A28" s="497"/>
      <c r="B28" s="218"/>
      <c r="C28" s="225"/>
      <c r="D28" s="225"/>
      <c r="E28" s="317"/>
      <c r="F28" s="228"/>
      <c r="G28" s="228"/>
      <c r="H28" s="175">
        <f t="shared" si="0"/>
        <v>0</v>
      </c>
      <c r="I28" s="38"/>
    </row>
    <row r="29" spans="1:9" ht="15.95" customHeight="1">
      <c r="A29" s="497"/>
      <c r="B29" s="218"/>
      <c r="C29" s="229"/>
      <c r="D29" s="229"/>
      <c r="E29" s="317"/>
      <c r="F29" s="228"/>
      <c r="G29" s="232"/>
      <c r="H29" s="175">
        <f>IF(F27=0,G29,G29*F27)</f>
        <v>0</v>
      </c>
      <c r="I29" s="233"/>
    </row>
    <row r="30" spans="1:9" ht="15.95" customHeight="1">
      <c r="A30" s="497"/>
      <c r="B30" s="234"/>
      <c r="C30" s="235"/>
      <c r="D30" s="236"/>
      <c r="E30" s="236"/>
      <c r="F30" s="312"/>
      <c r="G30" s="238"/>
      <c r="H30" s="239">
        <f>SUM(H25:H29)</f>
        <v>6300000</v>
      </c>
      <c r="I30" s="240"/>
    </row>
    <row r="31" spans="1:9" ht="15.95" customHeight="1">
      <c r="A31" s="497"/>
      <c r="B31" s="261" t="s">
        <v>152</v>
      </c>
      <c r="C31" s="225" t="s">
        <v>355</v>
      </c>
      <c r="D31" s="309"/>
      <c r="E31" s="226" t="s">
        <v>51</v>
      </c>
      <c r="F31" s="310">
        <v>1</v>
      </c>
      <c r="G31" s="228">
        <v>864000</v>
      </c>
      <c r="H31" s="175">
        <f t="shared" ref="H31:H32" si="1">IF(F31=0,G31,G31*F31)</f>
        <v>864000</v>
      </c>
      <c r="I31" s="38" t="s">
        <v>198</v>
      </c>
    </row>
    <row r="32" spans="1:9" ht="15.95" customHeight="1">
      <c r="A32" s="497"/>
      <c r="B32" s="218" t="s">
        <v>153</v>
      </c>
      <c r="C32" s="225" t="s">
        <v>358</v>
      </c>
      <c r="D32" s="225"/>
      <c r="E32" s="226" t="s">
        <v>51</v>
      </c>
      <c r="F32" s="250">
        <v>1</v>
      </c>
      <c r="G32" s="228">
        <v>684000</v>
      </c>
      <c r="H32" s="175">
        <f t="shared" si="1"/>
        <v>684000</v>
      </c>
      <c r="I32" s="38" t="s">
        <v>198</v>
      </c>
    </row>
    <row r="33" spans="1:9" ht="15.95" customHeight="1">
      <c r="A33" s="497"/>
      <c r="B33" s="218"/>
      <c r="C33" s="249" t="s">
        <v>359</v>
      </c>
      <c r="D33" s="249"/>
      <c r="E33" s="226" t="s">
        <v>51</v>
      </c>
      <c r="F33" s="250">
        <v>2</v>
      </c>
      <c r="G33" s="251">
        <v>288000</v>
      </c>
      <c r="H33" s="252">
        <f t="shared" ref="H33" si="2">IF(F33=0,G33,G33*F33)</f>
        <v>576000</v>
      </c>
      <c r="I33" s="38" t="s">
        <v>198</v>
      </c>
    </row>
    <row r="34" spans="1:9" ht="15.95" customHeight="1">
      <c r="A34" s="497"/>
      <c r="B34" s="218"/>
      <c r="C34" s="249" t="s">
        <v>199</v>
      </c>
      <c r="D34" s="249"/>
      <c r="E34" s="226" t="s">
        <v>51</v>
      </c>
      <c r="F34" s="250">
        <v>1</v>
      </c>
      <c r="G34" s="251">
        <v>612000</v>
      </c>
      <c r="H34" s="175">
        <f t="shared" ref="H34:H42" si="3">IF(F34=0,G34,G34*F34)</f>
        <v>612000</v>
      </c>
      <c r="I34" s="358" t="s">
        <v>324</v>
      </c>
    </row>
    <row r="35" spans="1:9" ht="15.95" customHeight="1">
      <c r="A35" s="497"/>
      <c r="B35" s="218"/>
      <c r="C35" s="225" t="s">
        <v>351</v>
      </c>
      <c r="D35" s="225"/>
      <c r="E35" s="226" t="s">
        <v>51</v>
      </c>
      <c r="F35" s="227">
        <v>1</v>
      </c>
      <c r="G35" s="228">
        <v>432000</v>
      </c>
      <c r="H35" s="175">
        <f t="shared" si="3"/>
        <v>432000</v>
      </c>
      <c r="I35" s="358" t="s">
        <v>325</v>
      </c>
    </row>
    <row r="36" spans="1:9" ht="15.95" customHeight="1">
      <c r="A36" s="497"/>
      <c r="B36" s="218"/>
      <c r="C36" s="225" t="s">
        <v>202</v>
      </c>
      <c r="D36" s="225"/>
      <c r="E36" s="226" t="s">
        <v>51</v>
      </c>
      <c r="F36" s="227">
        <v>1</v>
      </c>
      <c r="G36" s="228">
        <v>432000</v>
      </c>
      <c r="H36" s="175">
        <f t="shared" si="3"/>
        <v>432000</v>
      </c>
      <c r="I36" s="358" t="s">
        <v>323</v>
      </c>
    </row>
    <row r="37" spans="1:9" ht="15.95" customHeight="1">
      <c r="A37" s="497"/>
      <c r="B37" s="218"/>
      <c r="C37" s="225" t="s">
        <v>202</v>
      </c>
      <c r="D37" s="309"/>
      <c r="E37" s="226" t="s">
        <v>51</v>
      </c>
      <c r="F37" s="310">
        <v>2</v>
      </c>
      <c r="G37" s="228">
        <v>216000</v>
      </c>
      <c r="H37" s="175">
        <f t="shared" si="3"/>
        <v>432000</v>
      </c>
      <c r="I37" s="358" t="s">
        <v>323</v>
      </c>
    </row>
    <row r="38" spans="1:9" ht="15.95" customHeight="1">
      <c r="A38" s="497"/>
      <c r="B38" s="218"/>
      <c r="C38" s="225" t="s">
        <v>241</v>
      </c>
      <c r="D38" s="309"/>
      <c r="E38" s="226" t="s">
        <v>51</v>
      </c>
      <c r="F38" s="310">
        <v>2</v>
      </c>
      <c r="G38" s="228">
        <v>684000</v>
      </c>
      <c r="H38" s="175">
        <f t="shared" si="3"/>
        <v>1368000</v>
      </c>
      <c r="I38" s="358" t="s">
        <v>321</v>
      </c>
    </row>
    <row r="39" spans="1:9" ht="15.95" customHeight="1">
      <c r="A39" s="497"/>
      <c r="B39" s="218"/>
      <c r="C39" s="225" t="s">
        <v>352</v>
      </c>
      <c r="D39" s="309"/>
      <c r="E39" s="226" t="s">
        <v>51</v>
      </c>
      <c r="F39" s="310">
        <v>10</v>
      </c>
      <c r="G39" s="228">
        <v>17280</v>
      </c>
      <c r="H39" s="175">
        <f t="shared" si="3"/>
        <v>172800</v>
      </c>
      <c r="I39" s="358" t="s">
        <v>321</v>
      </c>
    </row>
    <row r="40" spans="1:9" ht="15.95" customHeight="1">
      <c r="A40" s="497"/>
      <c r="B40" s="218"/>
      <c r="C40" s="225" t="s">
        <v>574</v>
      </c>
      <c r="D40" s="309"/>
      <c r="E40" s="226" t="s">
        <v>542</v>
      </c>
      <c r="F40" s="310">
        <v>1</v>
      </c>
      <c r="G40" s="228">
        <v>216000</v>
      </c>
      <c r="H40" s="175">
        <v>216000</v>
      </c>
      <c r="I40" s="358" t="s">
        <v>575</v>
      </c>
    </row>
    <row r="41" spans="1:9" ht="15.95" customHeight="1">
      <c r="A41" s="497"/>
      <c r="B41" s="218"/>
      <c r="C41" s="249" t="s">
        <v>576</v>
      </c>
      <c r="D41" s="249"/>
      <c r="E41" s="226" t="s">
        <v>542</v>
      </c>
      <c r="F41" s="250">
        <v>1</v>
      </c>
      <c r="G41" s="251">
        <v>216000</v>
      </c>
      <c r="H41" s="175">
        <v>216000</v>
      </c>
      <c r="I41" s="253" t="s">
        <v>577</v>
      </c>
    </row>
    <row r="42" spans="1:9" ht="15.95" customHeight="1">
      <c r="A42" s="497"/>
      <c r="B42" s="218"/>
      <c r="C42" s="249" t="s">
        <v>550</v>
      </c>
      <c r="D42" s="249" t="s">
        <v>252</v>
      </c>
      <c r="E42" s="226" t="s">
        <v>542</v>
      </c>
      <c r="F42" s="250">
        <v>1</v>
      </c>
      <c r="G42" s="251">
        <v>1728000</v>
      </c>
      <c r="H42" s="175">
        <v>1728000</v>
      </c>
      <c r="I42" s="253" t="s">
        <v>253</v>
      </c>
    </row>
    <row r="43" spans="1:9" ht="15.95" customHeight="1">
      <c r="A43" s="497"/>
      <c r="B43" s="218"/>
      <c r="C43" s="249" t="s">
        <v>551</v>
      </c>
      <c r="D43" s="249" t="s">
        <v>255</v>
      </c>
      <c r="E43" s="226" t="s">
        <v>542</v>
      </c>
      <c r="F43" s="250">
        <v>1</v>
      </c>
      <c r="G43" s="251">
        <v>720000</v>
      </c>
      <c r="H43" s="175">
        <v>720000</v>
      </c>
      <c r="I43" s="253" t="s">
        <v>203</v>
      </c>
    </row>
    <row r="44" spans="1:9" ht="15.95" customHeight="1">
      <c r="A44" s="497"/>
      <c r="B44" s="218"/>
      <c r="C44" s="249" t="s">
        <v>552</v>
      </c>
      <c r="D44" s="249" t="s">
        <v>256</v>
      </c>
      <c r="E44" s="226" t="s">
        <v>542</v>
      </c>
      <c r="F44" s="250">
        <v>1</v>
      </c>
      <c r="G44" s="251">
        <v>309600</v>
      </c>
      <c r="H44" s="175">
        <v>309600</v>
      </c>
      <c r="I44" s="253" t="s">
        <v>254</v>
      </c>
    </row>
    <row r="45" spans="1:9" ht="15.95" customHeight="1">
      <c r="A45" s="497"/>
      <c r="B45" s="218"/>
      <c r="C45" s="249" t="s">
        <v>553</v>
      </c>
      <c r="D45" s="249"/>
      <c r="E45" s="226" t="s">
        <v>542</v>
      </c>
      <c r="F45" s="250">
        <v>2</v>
      </c>
      <c r="G45" s="251">
        <v>720000</v>
      </c>
      <c r="H45" s="175">
        <v>1440000</v>
      </c>
      <c r="I45" s="358" t="s">
        <v>203</v>
      </c>
    </row>
    <row r="46" spans="1:9" ht="15.95" customHeight="1">
      <c r="A46" s="497"/>
      <c r="B46" s="218"/>
      <c r="C46" s="249" t="s">
        <v>543</v>
      </c>
      <c r="D46" s="249"/>
      <c r="E46" s="226" t="s">
        <v>542</v>
      </c>
      <c r="F46" s="250">
        <v>1</v>
      </c>
      <c r="G46" s="251"/>
      <c r="H46" s="175" t="s">
        <v>533</v>
      </c>
      <c r="I46" s="358" t="s">
        <v>533</v>
      </c>
    </row>
    <row r="47" spans="1:9" ht="15.95" customHeight="1">
      <c r="A47" s="497"/>
      <c r="B47" s="218"/>
      <c r="C47" s="225" t="s">
        <v>544</v>
      </c>
      <c r="D47" s="225"/>
      <c r="E47" s="226" t="s">
        <v>542</v>
      </c>
      <c r="F47" s="227">
        <v>1</v>
      </c>
      <c r="G47" s="228"/>
      <c r="H47" s="357" t="s">
        <v>533</v>
      </c>
      <c r="I47" s="314" t="s">
        <v>533</v>
      </c>
    </row>
    <row r="48" spans="1:9" ht="15.95" customHeight="1">
      <c r="A48" s="497"/>
      <c r="B48" s="218"/>
      <c r="C48" s="225" t="s">
        <v>545</v>
      </c>
      <c r="D48" s="309"/>
      <c r="E48" s="226" t="s">
        <v>542</v>
      </c>
      <c r="F48" s="310">
        <v>1</v>
      </c>
      <c r="G48" s="228"/>
      <c r="H48" s="357" t="s">
        <v>533</v>
      </c>
      <c r="I48" s="314" t="s">
        <v>533</v>
      </c>
    </row>
    <row r="49" spans="1:9" ht="15.95" customHeight="1">
      <c r="A49" s="497"/>
      <c r="B49" s="218"/>
      <c r="C49" s="249" t="s">
        <v>546</v>
      </c>
      <c r="D49" s="249"/>
      <c r="E49" s="226" t="s">
        <v>542</v>
      </c>
      <c r="F49" s="227">
        <v>1</v>
      </c>
      <c r="G49" s="251"/>
      <c r="H49" s="357" t="s">
        <v>533</v>
      </c>
      <c r="I49" s="314" t="s">
        <v>533</v>
      </c>
    </row>
    <row r="50" spans="1:9" ht="15.95" customHeight="1">
      <c r="A50" s="497"/>
      <c r="B50" s="218"/>
      <c r="C50" s="225" t="s">
        <v>547</v>
      </c>
      <c r="D50" s="309"/>
      <c r="E50" s="226" t="s">
        <v>542</v>
      </c>
      <c r="F50" s="227">
        <v>1</v>
      </c>
      <c r="G50" s="228"/>
      <c r="H50" s="357" t="s">
        <v>548</v>
      </c>
      <c r="I50" s="314" t="s">
        <v>548</v>
      </c>
    </row>
    <row r="51" spans="1:9" ht="15.95" customHeight="1">
      <c r="A51" s="497"/>
      <c r="B51" s="218"/>
      <c r="C51" s="225"/>
      <c r="D51" s="309"/>
      <c r="E51" s="226"/>
      <c r="F51" s="227"/>
      <c r="G51" s="227"/>
      <c r="H51" s="357"/>
      <c r="I51" s="314"/>
    </row>
    <row r="52" spans="1:9" ht="15.95" customHeight="1">
      <c r="A52" s="497"/>
      <c r="B52" s="218"/>
      <c r="C52" s="225"/>
      <c r="D52" s="225"/>
      <c r="E52" s="226"/>
      <c r="F52" s="227"/>
      <c r="G52" s="227"/>
      <c r="H52" s="357"/>
      <c r="I52" s="38"/>
    </row>
    <row r="53" spans="1:9" ht="15.95" customHeight="1">
      <c r="A53" s="497"/>
      <c r="B53" s="218"/>
      <c r="C53" s="249"/>
      <c r="D53" s="249"/>
      <c r="E53" s="226"/>
      <c r="F53" s="227"/>
      <c r="G53" s="227"/>
      <c r="H53" s="357"/>
      <c r="I53" s="38"/>
    </row>
    <row r="54" spans="1:9" ht="15.95" customHeight="1">
      <c r="A54" s="497"/>
      <c r="B54" s="218"/>
      <c r="C54" s="249"/>
      <c r="D54" s="249"/>
      <c r="E54" s="226"/>
      <c r="F54" s="227"/>
      <c r="G54" s="227"/>
      <c r="H54" s="357"/>
      <c r="I54" s="253"/>
    </row>
    <row r="55" spans="1:9" ht="15.95" customHeight="1">
      <c r="A55" s="497"/>
      <c r="B55" s="218"/>
      <c r="C55" s="249"/>
      <c r="D55" s="249"/>
      <c r="E55" s="226"/>
      <c r="F55" s="227"/>
      <c r="G55" s="250"/>
      <c r="H55" s="357"/>
      <c r="I55" s="253"/>
    </row>
    <row r="56" spans="1:9" ht="15.95" customHeight="1">
      <c r="A56" s="497"/>
      <c r="B56" s="218"/>
      <c r="C56" s="249"/>
      <c r="D56" s="249"/>
      <c r="E56" s="359"/>
      <c r="F56" s="250"/>
      <c r="G56" s="251"/>
      <c r="H56" s="175"/>
      <c r="I56" s="253"/>
    </row>
    <row r="57" spans="1:9" ht="15.95" customHeight="1">
      <c r="A57" s="497"/>
      <c r="B57" s="218"/>
      <c r="C57" s="229"/>
      <c r="D57" s="229"/>
      <c r="E57" s="230"/>
      <c r="F57" s="231"/>
      <c r="G57" s="232"/>
      <c r="H57" s="185"/>
      <c r="I57" s="233"/>
    </row>
    <row r="58" spans="1:9" ht="15.95" customHeight="1">
      <c r="A58" s="497"/>
      <c r="B58" s="234"/>
      <c r="C58" s="235"/>
      <c r="D58" s="236"/>
      <c r="E58" s="236"/>
      <c r="F58" s="238"/>
      <c r="G58" s="238"/>
      <c r="H58" s="239">
        <f>SUM(H31:H57)</f>
        <v>10202400</v>
      </c>
      <c r="I58" s="240"/>
    </row>
    <row r="59" spans="1:9" ht="15.95" customHeight="1">
      <c r="A59" s="497"/>
      <c r="B59" s="261" t="s">
        <v>53</v>
      </c>
      <c r="C59" s="225"/>
      <c r="D59" s="307"/>
      <c r="E59" s="307"/>
      <c r="F59" s="310"/>
      <c r="G59" s="228"/>
      <c r="H59" s="246">
        <f>IF(F59=0,G59,G59*F59)</f>
        <v>0</v>
      </c>
      <c r="I59" s="247"/>
    </row>
    <row r="60" spans="1:9" ht="15.95" customHeight="1">
      <c r="A60" s="497"/>
      <c r="B60" s="218"/>
      <c r="C60" s="225"/>
      <c r="D60" s="307"/>
      <c r="E60" s="307"/>
      <c r="F60" s="310"/>
      <c r="G60" s="228"/>
      <c r="H60" s="175">
        <f>IF(F60=0,G60,G60*F60)</f>
        <v>0</v>
      </c>
      <c r="I60" s="38"/>
    </row>
    <row r="61" spans="1:9" ht="15.95" customHeight="1">
      <c r="A61" s="497"/>
      <c r="B61" s="218"/>
      <c r="C61" s="225"/>
      <c r="D61" s="225"/>
      <c r="E61" s="226"/>
      <c r="F61" s="227"/>
      <c r="G61" s="228"/>
      <c r="H61" s="175">
        <f>IF(F61=0,G61,G61*F61)</f>
        <v>0</v>
      </c>
      <c r="I61" s="38"/>
    </row>
    <row r="62" spans="1:9" ht="15.95" customHeight="1">
      <c r="A62" s="497"/>
      <c r="B62" s="218"/>
      <c r="C62" s="225"/>
      <c r="D62" s="225"/>
      <c r="E62" s="226"/>
      <c r="F62" s="227"/>
      <c r="G62" s="228"/>
      <c r="H62" s="175">
        <f t="shared" si="0"/>
        <v>0</v>
      </c>
      <c r="I62" s="38"/>
    </row>
    <row r="63" spans="1:9" ht="15.95" customHeight="1">
      <c r="A63" s="497"/>
      <c r="B63" s="218"/>
      <c r="C63" s="225"/>
      <c r="D63" s="307"/>
      <c r="E63" s="307"/>
      <c r="F63" s="310"/>
      <c r="G63" s="228"/>
      <c r="H63" s="175">
        <f t="shared" si="0"/>
        <v>0</v>
      </c>
      <c r="I63" s="38"/>
    </row>
    <row r="64" spans="1:9" ht="15.95" customHeight="1">
      <c r="A64" s="497"/>
      <c r="B64" s="218"/>
      <c r="C64" s="225"/>
      <c r="D64" s="225"/>
      <c r="E64" s="226"/>
      <c r="F64" s="227"/>
      <c r="G64" s="228"/>
      <c r="H64" s="175">
        <f t="shared" si="0"/>
        <v>0</v>
      </c>
      <c r="I64" s="38"/>
    </row>
    <row r="65" spans="1:9" ht="15.95" customHeight="1">
      <c r="A65" s="497"/>
      <c r="B65" s="218"/>
      <c r="C65" s="229"/>
      <c r="D65" s="229"/>
      <c r="E65" s="229"/>
      <c r="F65" s="232"/>
      <c r="G65" s="232"/>
      <c r="H65" s="185">
        <f t="shared" si="0"/>
        <v>0</v>
      </c>
      <c r="I65" s="233"/>
    </row>
    <row r="66" spans="1:9" ht="15.95" customHeight="1">
      <c r="A66" s="497"/>
      <c r="B66" s="234"/>
      <c r="C66" s="235"/>
      <c r="D66" s="236"/>
      <c r="E66" s="236"/>
      <c r="F66" s="238"/>
      <c r="G66" s="238"/>
      <c r="H66" s="239">
        <f>SUM(H59:H65)</f>
        <v>0</v>
      </c>
      <c r="I66" s="240"/>
    </row>
    <row r="67" spans="1:9" ht="15.95" customHeight="1">
      <c r="A67" s="281"/>
      <c r="B67" s="282" t="s">
        <v>135</v>
      </c>
      <c r="C67" s="283"/>
      <c r="D67" s="240"/>
      <c r="E67" s="240"/>
      <c r="F67" s="285"/>
      <c r="G67" s="285"/>
      <c r="H67" s="239">
        <f>SUM(H66,H58,H30,H24)</f>
        <v>86846400</v>
      </c>
      <c r="I67" s="240"/>
    </row>
    <row r="68" spans="1:9" ht="15.95" customHeight="1">
      <c r="A68" s="498" t="s">
        <v>136</v>
      </c>
      <c r="B68" s="286" t="s">
        <v>59</v>
      </c>
      <c r="C68" s="283"/>
      <c r="D68" s="240"/>
      <c r="E68" s="286" t="s">
        <v>60</v>
      </c>
      <c r="F68" s="303"/>
      <c r="G68" s="289"/>
      <c r="H68" s="290">
        <f>F68*G68</f>
        <v>0</v>
      </c>
      <c r="I68" s="240"/>
    </row>
    <row r="69" spans="1:9" ht="15.95" customHeight="1">
      <c r="A69" s="497"/>
      <c r="B69" s="291" t="s">
        <v>154</v>
      </c>
      <c r="C69" s="330"/>
      <c r="D69" s="331"/>
      <c r="E69" s="332" t="s">
        <v>138</v>
      </c>
      <c r="F69" s="316"/>
      <c r="G69" s="245"/>
      <c r="H69" s="246">
        <f t="shared" ref="H69:H75" si="4">F69*G69</f>
        <v>0</v>
      </c>
      <c r="I69" s="247"/>
    </row>
    <row r="70" spans="1:9" ht="15.95" customHeight="1">
      <c r="A70" s="497"/>
      <c r="B70" s="324" t="s">
        <v>155</v>
      </c>
      <c r="C70" s="333"/>
      <c r="D70" s="309"/>
      <c r="E70" s="325" t="s">
        <v>138</v>
      </c>
      <c r="F70" s="317"/>
      <c r="G70" s="228"/>
      <c r="H70" s="175">
        <f t="shared" si="4"/>
        <v>0</v>
      </c>
      <c r="I70" s="38"/>
    </row>
    <row r="71" spans="1:9" ht="15.95" customHeight="1">
      <c r="A71" s="497"/>
      <c r="B71" s="294" t="s">
        <v>156</v>
      </c>
      <c r="C71" s="333"/>
      <c r="D71" s="309"/>
      <c r="E71" s="325" t="s">
        <v>138</v>
      </c>
      <c r="F71" s="317"/>
      <c r="G71" s="228"/>
      <c r="H71" s="175">
        <f t="shared" si="4"/>
        <v>0</v>
      </c>
      <c r="I71" s="38"/>
    </row>
    <row r="72" spans="1:9" ht="15.95" customHeight="1">
      <c r="A72" s="497"/>
      <c r="B72" s="294" t="s">
        <v>157</v>
      </c>
      <c r="C72" s="333"/>
      <c r="D72" s="309"/>
      <c r="E72" s="325" t="s">
        <v>138</v>
      </c>
      <c r="F72" s="317"/>
      <c r="G72" s="228"/>
      <c r="H72" s="175">
        <f t="shared" si="4"/>
        <v>0</v>
      </c>
      <c r="I72" s="38"/>
    </row>
    <row r="73" spans="1:9" ht="15.95" customHeight="1">
      <c r="A73" s="497"/>
      <c r="B73" s="294" t="s">
        <v>158</v>
      </c>
      <c r="C73" s="333"/>
      <c r="D73" s="309"/>
      <c r="E73" s="325" t="s">
        <v>138</v>
      </c>
      <c r="F73" s="317"/>
      <c r="G73" s="228"/>
      <c r="H73" s="175">
        <f t="shared" si="4"/>
        <v>0</v>
      </c>
      <c r="I73" s="38"/>
    </row>
    <row r="74" spans="1:9" ht="15.95" customHeight="1">
      <c r="A74" s="497"/>
      <c r="B74" s="294" t="s">
        <v>159</v>
      </c>
      <c r="C74" s="333"/>
      <c r="D74" s="309"/>
      <c r="E74" s="325" t="s">
        <v>138</v>
      </c>
      <c r="F74" s="334"/>
      <c r="G74" s="228"/>
      <c r="H74" s="175">
        <f t="shared" si="4"/>
        <v>0</v>
      </c>
      <c r="I74" s="38"/>
    </row>
    <row r="75" spans="1:9" ht="15.95" customHeight="1">
      <c r="A75" s="497"/>
      <c r="B75" s="297" t="s">
        <v>163</v>
      </c>
      <c r="C75" s="335"/>
      <c r="D75" s="336"/>
      <c r="E75" s="318" t="s">
        <v>138</v>
      </c>
      <c r="F75" s="337"/>
      <c r="G75" s="232"/>
      <c r="H75" s="185">
        <f t="shared" si="4"/>
        <v>0</v>
      </c>
      <c r="I75" s="233"/>
    </row>
    <row r="76" spans="1:9" ht="15.95" customHeight="1">
      <c r="A76" s="281"/>
      <c r="B76" s="300" t="s">
        <v>144</v>
      </c>
      <c r="C76" s="283"/>
      <c r="D76" s="240"/>
      <c r="E76" s="240"/>
      <c r="F76" s="238"/>
      <c r="G76" s="238"/>
      <c r="H76" s="238">
        <f>SUM(H68:H75)</f>
        <v>0</v>
      </c>
      <c r="I76" s="236"/>
    </row>
    <row r="77" spans="1:9" ht="15.95" customHeight="1">
      <c r="A77" s="287"/>
      <c r="B77" s="300" t="s">
        <v>161</v>
      </c>
      <c r="C77" s="283"/>
      <c r="D77" s="240"/>
      <c r="E77" s="216" t="s">
        <v>51</v>
      </c>
      <c r="F77" s="239"/>
      <c r="G77" s="239"/>
      <c r="H77" s="285"/>
      <c r="I77" s="240"/>
    </row>
    <row r="78" spans="1:9" ht="15.95" customHeight="1">
      <c r="A78" s="287"/>
      <c r="B78" s="300" t="s">
        <v>85</v>
      </c>
      <c r="C78" s="283"/>
      <c r="D78" s="240"/>
      <c r="E78" s="240"/>
      <c r="F78" s="239"/>
      <c r="G78" s="302"/>
      <c r="H78" s="239">
        <f>(H76+H67)*0.05</f>
        <v>4342320</v>
      </c>
      <c r="I78" s="283"/>
    </row>
    <row r="79" spans="1:9" ht="15.95" customHeight="1">
      <c r="A79" s="287"/>
      <c r="B79" s="300" t="s">
        <v>147</v>
      </c>
      <c r="C79" s="283"/>
      <c r="D79" s="240"/>
      <c r="E79" s="240"/>
      <c r="F79" s="239"/>
      <c r="G79" s="302"/>
      <c r="H79" s="239">
        <f>(H76+H67)*0.1</f>
        <v>8684640</v>
      </c>
      <c r="I79" s="283"/>
    </row>
    <row r="80" spans="1:9" ht="15.95" customHeight="1">
      <c r="A80" s="287"/>
      <c r="B80" s="300" t="s">
        <v>148</v>
      </c>
      <c r="C80" s="283"/>
      <c r="D80" s="240"/>
      <c r="E80" s="240"/>
      <c r="F80" s="239"/>
      <c r="G80" s="239"/>
      <c r="H80" s="238">
        <f>H67+H76+H77+H78+H79</f>
        <v>99873360</v>
      </c>
      <c r="I80" s="240"/>
    </row>
    <row r="81" spans="1:1">
      <c r="A81" s="136"/>
    </row>
  </sheetData>
  <mergeCells count="3">
    <mergeCell ref="A2:B2"/>
    <mergeCell ref="A3:A66"/>
    <mergeCell ref="A68:A7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H24 H30" formula="1"/>
  </ignoredError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4CFD-03C9-410B-BCF6-FF551EBEB763}">
  <sheetPr>
    <tabColor rgb="FF00B050"/>
    <pageSetUpPr fitToPage="1"/>
  </sheetPr>
  <dimension ref="A1:I130"/>
  <sheetViews>
    <sheetView zoomScale="85" workbookViewId="0">
      <pane xSplit="2" ySplit="2" topLeftCell="C23" activePane="bottomRight" state="frozen"/>
      <selection activeCell="K5" sqref="K5"/>
      <selection pane="topRight" activeCell="K5" sqref="K5"/>
      <selection pane="bottomLeft" activeCell="K5" sqref="K5"/>
      <selection pane="bottomRight" activeCell="O67" sqref="O67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45.75" style="130" customWidth="1"/>
    <col min="4" max="4" width="18.25" style="130" customWidth="1"/>
    <col min="5" max="5" width="5.25" style="130" bestFit="1" customWidth="1"/>
    <col min="6" max="6" width="10.375" style="165" bestFit="1" customWidth="1"/>
    <col min="7" max="7" width="11.875" style="165" customWidth="1"/>
    <col min="8" max="8" width="13.625" style="165" customWidth="1"/>
    <col min="9" max="9" width="12.75" style="130" customWidth="1"/>
    <col min="10" max="243" width="9" style="130"/>
    <col min="244" max="244" width="5" style="130" customWidth="1"/>
    <col min="245" max="245" width="17.875" style="130" bestFit="1" customWidth="1"/>
    <col min="246" max="246" width="23.625" style="130" customWidth="1"/>
    <col min="247" max="247" width="18.25" style="130" customWidth="1"/>
    <col min="248" max="248" width="5.25" style="130" bestFit="1" customWidth="1"/>
    <col min="249" max="249" width="9" style="130"/>
    <col min="250" max="250" width="11.875" style="130" customWidth="1"/>
    <col min="251" max="251" width="13.625" style="130" customWidth="1"/>
    <col min="252" max="252" width="12.75" style="130" customWidth="1"/>
    <col min="253" max="499" width="9" style="130"/>
    <col min="500" max="500" width="5" style="130" customWidth="1"/>
    <col min="501" max="501" width="17.875" style="130" bestFit="1" customWidth="1"/>
    <col min="502" max="502" width="23.625" style="130" customWidth="1"/>
    <col min="503" max="503" width="18.25" style="130" customWidth="1"/>
    <col min="504" max="504" width="5.25" style="130" bestFit="1" customWidth="1"/>
    <col min="505" max="505" width="9" style="130"/>
    <col min="506" max="506" width="11.875" style="130" customWidth="1"/>
    <col min="507" max="507" width="13.625" style="130" customWidth="1"/>
    <col min="508" max="508" width="12.75" style="130" customWidth="1"/>
    <col min="509" max="755" width="9" style="130"/>
    <col min="756" max="756" width="5" style="130" customWidth="1"/>
    <col min="757" max="757" width="17.875" style="130" bestFit="1" customWidth="1"/>
    <col min="758" max="758" width="23.625" style="130" customWidth="1"/>
    <col min="759" max="759" width="18.25" style="130" customWidth="1"/>
    <col min="760" max="760" width="5.25" style="130" bestFit="1" customWidth="1"/>
    <col min="761" max="761" width="9" style="130"/>
    <col min="762" max="762" width="11.875" style="130" customWidth="1"/>
    <col min="763" max="763" width="13.625" style="130" customWidth="1"/>
    <col min="764" max="764" width="12.75" style="130" customWidth="1"/>
    <col min="765" max="1011" width="9" style="130"/>
    <col min="1012" max="1012" width="5" style="130" customWidth="1"/>
    <col min="1013" max="1013" width="17.875" style="130" bestFit="1" customWidth="1"/>
    <col min="1014" max="1014" width="23.625" style="130" customWidth="1"/>
    <col min="1015" max="1015" width="18.25" style="130" customWidth="1"/>
    <col min="1016" max="1016" width="5.25" style="130" bestFit="1" customWidth="1"/>
    <col min="1017" max="1017" width="9" style="130"/>
    <col min="1018" max="1018" width="11.875" style="130" customWidth="1"/>
    <col min="1019" max="1019" width="13.625" style="130" customWidth="1"/>
    <col min="1020" max="1020" width="12.75" style="130" customWidth="1"/>
    <col min="1021" max="1267" width="9" style="130"/>
    <col min="1268" max="1268" width="5" style="130" customWidth="1"/>
    <col min="1269" max="1269" width="17.875" style="130" bestFit="1" customWidth="1"/>
    <col min="1270" max="1270" width="23.625" style="130" customWidth="1"/>
    <col min="1271" max="1271" width="18.25" style="130" customWidth="1"/>
    <col min="1272" max="1272" width="5.25" style="130" bestFit="1" customWidth="1"/>
    <col min="1273" max="1273" width="9" style="130"/>
    <col min="1274" max="1274" width="11.875" style="130" customWidth="1"/>
    <col min="1275" max="1275" width="13.625" style="130" customWidth="1"/>
    <col min="1276" max="1276" width="12.75" style="130" customWidth="1"/>
    <col min="1277" max="1523" width="9" style="130"/>
    <col min="1524" max="1524" width="5" style="130" customWidth="1"/>
    <col min="1525" max="1525" width="17.875" style="130" bestFit="1" customWidth="1"/>
    <col min="1526" max="1526" width="23.625" style="130" customWidth="1"/>
    <col min="1527" max="1527" width="18.25" style="130" customWidth="1"/>
    <col min="1528" max="1528" width="5.25" style="130" bestFit="1" customWidth="1"/>
    <col min="1529" max="1529" width="9" style="130"/>
    <col min="1530" max="1530" width="11.875" style="130" customWidth="1"/>
    <col min="1531" max="1531" width="13.625" style="130" customWidth="1"/>
    <col min="1532" max="1532" width="12.75" style="130" customWidth="1"/>
    <col min="1533" max="1779" width="9" style="130"/>
    <col min="1780" max="1780" width="5" style="130" customWidth="1"/>
    <col min="1781" max="1781" width="17.875" style="130" bestFit="1" customWidth="1"/>
    <col min="1782" max="1782" width="23.625" style="130" customWidth="1"/>
    <col min="1783" max="1783" width="18.25" style="130" customWidth="1"/>
    <col min="1784" max="1784" width="5.25" style="130" bestFit="1" customWidth="1"/>
    <col min="1785" max="1785" width="9" style="130"/>
    <col min="1786" max="1786" width="11.875" style="130" customWidth="1"/>
    <col min="1787" max="1787" width="13.625" style="130" customWidth="1"/>
    <col min="1788" max="1788" width="12.75" style="130" customWidth="1"/>
    <col min="1789" max="2035" width="9" style="130"/>
    <col min="2036" max="2036" width="5" style="130" customWidth="1"/>
    <col min="2037" max="2037" width="17.875" style="130" bestFit="1" customWidth="1"/>
    <col min="2038" max="2038" width="23.625" style="130" customWidth="1"/>
    <col min="2039" max="2039" width="18.25" style="130" customWidth="1"/>
    <col min="2040" max="2040" width="5.25" style="130" bestFit="1" customWidth="1"/>
    <col min="2041" max="2041" width="9" style="130"/>
    <col min="2042" max="2042" width="11.875" style="130" customWidth="1"/>
    <col min="2043" max="2043" width="13.625" style="130" customWidth="1"/>
    <col min="2044" max="2044" width="12.75" style="130" customWidth="1"/>
    <col min="2045" max="2291" width="9" style="130"/>
    <col min="2292" max="2292" width="5" style="130" customWidth="1"/>
    <col min="2293" max="2293" width="17.875" style="130" bestFit="1" customWidth="1"/>
    <col min="2294" max="2294" width="23.625" style="130" customWidth="1"/>
    <col min="2295" max="2295" width="18.25" style="130" customWidth="1"/>
    <col min="2296" max="2296" width="5.25" style="130" bestFit="1" customWidth="1"/>
    <col min="2297" max="2297" width="9" style="130"/>
    <col min="2298" max="2298" width="11.875" style="130" customWidth="1"/>
    <col min="2299" max="2299" width="13.625" style="130" customWidth="1"/>
    <col min="2300" max="2300" width="12.75" style="130" customWidth="1"/>
    <col min="2301" max="2547" width="9" style="130"/>
    <col min="2548" max="2548" width="5" style="130" customWidth="1"/>
    <col min="2549" max="2549" width="17.875" style="130" bestFit="1" customWidth="1"/>
    <col min="2550" max="2550" width="23.625" style="130" customWidth="1"/>
    <col min="2551" max="2551" width="18.25" style="130" customWidth="1"/>
    <col min="2552" max="2552" width="5.25" style="130" bestFit="1" customWidth="1"/>
    <col min="2553" max="2553" width="9" style="130"/>
    <col min="2554" max="2554" width="11.875" style="130" customWidth="1"/>
    <col min="2555" max="2555" width="13.625" style="130" customWidth="1"/>
    <col min="2556" max="2556" width="12.75" style="130" customWidth="1"/>
    <col min="2557" max="2803" width="9" style="130"/>
    <col min="2804" max="2804" width="5" style="130" customWidth="1"/>
    <col min="2805" max="2805" width="17.875" style="130" bestFit="1" customWidth="1"/>
    <col min="2806" max="2806" width="23.625" style="130" customWidth="1"/>
    <col min="2807" max="2807" width="18.25" style="130" customWidth="1"/>
    <col min="2808" max="2808" width="5.25" style="130" bestFit="1" customWidth="1"/>
    <col min="2809" max="2809" width="9" style="130"/>
    <col min="2810" max="2810" width="11.875" style="130" customWidth="1"/>
    <col min="2811" max="2811" width="13.625" style="130" customWidth="1"/>
    <col min="2812" max="2812" width="12.75" style="130" customWidth="1"/>
    <col min="2813" max="3059" width="9" style="130"/>
    <col min="3060" max="3060" width="5" style="130" customWidth="1"/>
    <col min="3061" max="3061" width="17.875" style="130" bestFit="1" customWidth="1"/>
    <col min="3062" max="3062" width="23.625" style="130" customWidth="1"/>
    <col min="3063" max="3063" width="18.25" style="130" customWidth="1"/>
    <col min="3064" max="3064" width="5.25" style="130" bestFit="1" customWidth="1"/>
    <col min="3065" max="3065" width="9" style="130"/>
    <col min="3066" max="3066" width="11.875" style="130" customWidth="1"/>
    <col min="3067" max="3067" width="13.625" style="130" customWidth="1"/>
    <col min="3068" max="3068" width="12.75" style="130" customWidth="1"/>
    <col min="3069" max="3315" width="9" style="130"/>
    <col min="3316" max="3316" width="5" style="130" customWidth="1"/>
    <col min="3317" max="3317" width="17.875" style="130" bestFit="1" customWidth="1"/>
    <col min="3318" max="3318" width="23.625" style="130" customWidth="1"/>
    <col min="3319" max="3319" width="18.25" style="130" customWidth="1"/>
    <col min="3320" max="3320" width="5.25" style="130" bestFit="1" customWidth="1"/>
    <col min="3321" max="3321" width="9" style="130"/>
    <col min="3322" max="3322" width="11.875" style="130" customWidth="1"/>
    <col min="3323" max="3323" width="13.625" style="130" customWidth="1"/>
    <col min="3324" max="3324" width="12.75" style="130" customWidth="1"/>
    <col min="3325" max="3571" width="9" style="130"/>
    <col min="3572" max="3572" width="5" style="130" customWidth="1"/>
    <col min="3573" max="3573" width="17.875" style="130" bestFit="1" customWidth="1"/>
    <col min="3574" max="3574" width="23.625" style="130" customWidth="1"/>
    <col min="3575" max="3575" width="18.25" style="130" customWidth="1"/>
    <col min="3576" max="3576" width="5.25" style="130" bestFit="1" customWidth="1"/>
    <col min="3577" max="3577" width="9" style="130"/>
    <col min="3578" max="3578" width="11.875" style="130" customWidth="1"/>
    <col min="3579" max="3579" width="13.625" style="130" customWidth="1"/>
    <col min="3580" max="3580" width="12.75" style="130" customWidth="1"/>
    <col min="3581" max="3827" width="9" style="130"/>
    <col min="3828" max="3828" width="5" style="130" customWidth="1"/>
    <col min="3829" max="3829" width="17.875" style="130" bestFit="1" customWidth="1"/>
    <col min="3830" max="3830" width="23.625" style="130" customWidth="1"/>
    <col min="3831" max="3831" width="18.25" style="130" customWidth="1"/>
    <col min="3832" max="3832" width="5.25" style="130" bestFit="1" customWidth="1"/>
    <col min="3833" max="3833" width="9" style="130"/>
    <col min="3834" max="3834" width="11.875" style="130" customWidth="1"/>
    <col min="3835" max="3835" width="13.625" style="130" customWidth="1"/>
    <col min="3836" max="3836" width="12.75" style="130" customWidth="1"/>
    <col min="3837" max="4083" width="9" style="130"/>
    <col min="4084" max="4084" width="5" style="130" customWidth="1"/>
    <col min="4085" max="4085" width="17.875" style="130" bestFit="1" customWidth="1"/>
    <col min="4086" max="4086" width="23.625" style="130" customWidth="1"/>
    <col min="4087" max="4087" width="18.25" style="130" customWidth="1"/>
    <col min="4088" max="4088" width="5.25" style="130" bestFit="1" customWidth="1"/>
    <col min="4089" max="4089" width="9" style="130"/>
    <col min="4090" max="4090" width="11.875" style="130" customWidth="1"/>
    <col min="4091" max="4091" width="13.625" style="130" customWidth="1"/>
    <col min="4092" max="4092" width="12.75" style="130" customWidth="1"/>
    <col min="4093" max="4339" width="9" style="130"/>
    <col min="4340" max="4340" width="5" style="130" customWidth="1"/>
    <col min="4341" max="4341" width="17.875" style="130" bestFit="1" customWidth="1"/>
    <col min="4342" max="4342" width="23.625" style="130" customWidth="1"/>
    <col min="4343" max="4343" width="18.25" style="130" customWidth="1"/>
    <col min="4344" max="4344" width="5.25" style="130" bestFit="1" customWidth="1"/>
    <col min="4345" max="4345" width="9" style="130"/>
    <col min="4346" max="4346" width="11.875" style="130" customWidth="1"/>
    <col min="4347" max="4347" width="13.625" style="130" customWidth="1"/>
    <col min="4348" max="4348" width="12.75" style="130" customWidth="1"/>
    <col min="4349" max="4595" width="9" style="130"/>
    <col min="4596" max="4596" width="5" style="130" customWidth="1"/>
    <col min="4597" max="4597" width="17.875" style="130" bestFit="1" customWidth="1"/>
    <col min="4598" max="4598" width="23.625" style="130" customWidth="1"/>
    <col min="4599" max="4599" width="18.25" style="130" customWidth="1"/>
    <col min="4600" max="4600" width="5.25" style="130" bestFit="1" customWidth="1"/>
    <col min="4601" max="4601" width="9" style="130"/>
    <col min="4602" max="4602" width="11.875" style="130" customWidth="1"/>
    <col min="4603" max="4603" width="13.625" style="130" customWidth="1"/>
    <col min="4604" max="4604" width="12.75" style="130" customWidth="1"/>
    <col min="4605" max="4851" width="9" style="130"/>
    <col min="4852" max="4852" width="5" style="130" customWidth="1"/>
    <col min="4853" max="4853" width="17.875" style="130" bestFit="1" customWidth="1"/>
    <col min="4854" max="4854" width="23.625" style="130" customWidth="1"/>
    <col min="4855" max="4855" width="18.25" style="130" customWidth="1"/>
    <col min="4856" max="4856" width="5.25" style="130" bestFit="1" customWidth="1"/>
    <col min="4857" max="4857" width="9" style="130"/>
    <col min="4858" max="4858" width="11.875" style="130" customWidth="1"/>
    <col min="4859" max="4859" width="13.625" style="130" customWidth="1"/>
    <col min="4860" max="4860" width="12.75" style="130" customWidth="1"/>
    <col min="4861" max="5107" width="9" style="130"/>
    <col min="5108" max="5108" width="5" style="130" customWidth="1"/>
    <col min="5109" max="5109" width="17.875" style="130" bestFit="1" customWidth="1"/>
    <col min="5110" max="5110" width="23.625" style="130" customWidth="1"/>
    <col min="5111" max="5111" width="18.25" style="130" customWidth="1"/>
    <col min="5112" max="5112" width="5.25" style="130" bestFit="1" customWidth="1"/>
    <col min="5113" max="5113" width="9" style="130"/>
    <col min="5114" max="5114" width="11.875" style="130" customWidth="1"/>
    <col min="5115" max="5115" width="13.625" style="130" customWidth="1"/>
    <col min="5116" max="5116" width="12.75" style="130" customWidth="1"/>
    <col min="5117" max="5363" width="9" style="130"/>
    <col min="5364" max="5364" width="5" style="130" customWidth="1"/>
    <col min="5365" max="5365" width="17.875" style="130" bestFit="1" customWidth="1"/>
    <col min="5366" max="5366" width="23.625" style="130" customWidth="1"/>
    <col min="5367" max="5367" width="18.25" style="130" customWidth="1"/>
    <col min="5368" max="5368" width="5.25" style="130" bestFit="1" customWidth="1"/>
    <col min="5369" max="5369" width="9" style="130"/>
    <col min="5370" max="5370" width="11.875" style="130" customWidth="1"/>
    <col min="5371" max="5371" width="13.625" style="130" customWidth="1"/>
    <col min="5372" max="5372" width="12.75" style="130" customWidth="1"/>
    <col min="5373" max="5619" width="9" style="130"/>
    <col min="5620" max="5620" width="5" style="130" customWidth="1"/>
    <col min="5621" max="5621" width="17.875" style="130" bestFit="1" customWidth="1"/>
    <col min="5622" max="5622" width="23.625" style="130" customWidth="1"/>
    <col min="5623" max="5623" width="18.25" style="130" customWidth="1"/>
    <col min="5624" max="5624" width="5.25" style="130" bestFit="1" customWidth="1"/>
    <col min="5625" max="5625" width="9" style="130"/>
    <col min="5626" max="5626" width="11.875" style="130" customWidth="1"/>
    <col min="5627" max="5627" width="13.625" style="130" customWidth="1"/>
    <col min="5628" max="5628" width="12.75" style="130" customWidth="1"/>
    <col min="5629" max="5875" width="9" style="130"/>
    <col min="5876" max="5876" width="5" style="130" customWidth="1"/>
    <col min="5877" max="5877" width="17.875" style="130" bestFit="1" customWidth="1"/>
    <col min="5878" max="5878" width="23.625" style="130" customWidth="1"/>
    <col min="5879" max="5879" width="18.25" style="130" customWidth="1"/>
    <col min="5880" max="5880" width="5.25" style="130" bestFit="1" customWidth="1"/>
    <col min="5881" max="5881" width="9" style="130"/>
    <col min="5882" max="5882" width="11.875" style="130" customWidth="1"/>
    <col min="5883" max="5883" width="13.625" style="130" customWidth="1"/>
    <col min="5884" max="5884" width="12.75" style="130" customWidth="1"/>
    <col min="5885" max="6131" width="9" style="130"/>
    <col min="6132" max="6132" width="5" style="130" customWidth="1"/>
    <col min="6133" max="6133" width="17.875" style="130" bestFit="1" customWidth="1"/>
    <col min="6134" max="6134" width="23.625" style="130" customWidth="1"/>
    <col min="6135" max="6135" width="18.25" style="130" customWidth="1"/>
    <col min="6136" max="6136" width="5.25" style="130" bestFit="1" customWidth="1"/>
    <col min="6137" max="6137" width="9" style="130"/>
    <col min="6138" max="6138" width="11.875" style="130" customWidth="1"/>
    <col min="6139" max="6139" width="13.625" style="130" customWidth="1"/>
    <col min="6140" max="6140" width="12.75" style="130" customWidth="1"/>
    <col min="6141" max="6387" width="9" style="130"/>
    <col min="6388" max="6388" width="5" style="130" customWidth="1"/>
    <col min="6389" max="6389" width="17.875" style="130" bestFit="1" customWidth="1"/>
    <col min="6390" max="6390" width="23.625" style="130" customWidth="1"/>
    <col min="6391" max="6391" width="18.25" style="130" customWidth="1"/>
    <col min="6392" max="6392" width="5.25" style="130" bestFit="1" customWidth="1"/>
    <col min="6393" max="6393" width="9" style="130"/>
    <col min="6394" max="6394" width="11.875" style="130" customWidth="1"/>
    <col min="6395" max="6395" width="13.625" style="130" customWidth="1"/>
    <col min="6396" max="6396" width="12.75" style="130" customWidth="1"/>
    <col min="6397" max="6643" width="9" style="130"/>
    <col min="6644" max="6644" width="5" style="130" customWidth="1"/>
    <col min="6645" max="6645" width="17.875" style="130" bestFit="1" customWidth="1"/>
    <col min="6646" max="6646" width="23.625" style="130" customWidth="1"/>
    <col min="6647" max="6647" width="18.25" style="130" customWidth="1"/>
    <col min="6648" max="6648" width="5.25" style="130" bestFit="1" customWidth="1"/>
    <col min="6649" max="6649" width="9" style="130"/>
    <col min="6650" max="6650" width="11.875" style="130" customWidth="1"/>
    <col min="6651" max="6651" width="13.625" style="130" customWidth="1"/>
    <col min="6652" max="6652" width="12.75" style="130" customWidth="1"/>
    <col min="6653" max="6899" width="9" style="130"/>
    <col min="6900" max="6900" width="5" style="130" customWidth="1"/>
    <col min="6901" max="6901" width="17.875" style="130" bestFit="1" customWidth="1"/>
    <col min="6902" max="6902" width="23.625" style="130" customWidth="1"/>
    <col min="6903" max="6903" width="18.25" style="130" customWidth="1"/>
    <col min="6904" max="6904" width="5.25" style="130" bestFit="1" customWidth="1"/>
    <col min="6905" max="6905" width="9" style="130"/>
    <col min="6906" max="6906" width="11.875" style="130" customWidth="1"/>
    <col min="6907" max="6907" width="13.625" style="130" customWidth="1"/>
    <col min="6908" max="6908" width="12.75" style="130" customWidth="1"/>
    <col min="6909" max="7155" width="9" style="130"/>
    <col min="7156" max="7156" width="5" style="130" customWidth="1"/>
    <col min="7157" max="7157" width="17.875" style="130" bestFit="1" customWidth="1"/>
    <col min="7158" max="7158" width="23.625" style="130" customWidth="1"/>
    <col min="7159" max="7159" width="18.25" style="130" customWidth="1"/>
    <col min="7160" max="7160" width="5.25" style="130" bestFit="1" customWidth="1"/>
    <col min="7161" max="7161" width="9" style="130"/>
    <col min="7162" max="7162" width="11.875" style="130" customWidth="1"/>
    <col min="7163" max="7163" width="13.625" style="130" customWidth="1"/>
    <col min="7164" max="7164" width="12.75" style="130" customWidth="1"/>
    <col min="7165" max="7411" width="9" style="130"/>
    <col min="7412" max="7412" width="5" style="130" customWidth="1"/>
    <col min="7413" max="7413" width="17.875" style="130" bestFit="1" customWidth="1"/>
    <col min="7414" max="7414" width="23.625" style="130" customWidth="1"/>
    <col min="7415" max="7415" width="18.25" style="130" customWidth="1"/>
    <col min="7416" max="7416" width="5.25" style="130" bestFit="1" customWidth="1"/>
    <col min="7417" max="7417" width="9" style="130"/>
    <col min="7418" max="7418" width="11.875" style="130" customWidth="1"/>
    <col min="7419" max="7419" width="13.625" style="130" customWidth="1"/>
    <col min="7420" max="7420" width="12.75" style="130" customWidth="1"/>
    <col min="7421" max="7667" width="9" style="130"/>
    <col min="7668" max="7668" width="5" style="130" customWidth="1"/>
    <col min="7669" max="7669" width="17.875" style="130" bestFit="1" customWidth="1"/>
    <col min="7670" max="7670" width="23.625" style="130" customWidth="1"/>
    <col min="7671" max="7671" width="18.25" style="130" customWidth="1"/>
    <col min="7672" max="7672" width="5.25" style="130" bestFit="1" customWidth="1"/>
    <col min="7673" max="7673" width="9" style="130"/>
    <col min="7674" max="7674" width="11.875" style="130" customWidth="1"/>
    <col min="7675" max="7675" width="13.625" style="130" customWidth="1"/>
    <col min="7676" max="7676" width="12.75" style="130" customWidth="1"/>
    <col min="7677" max="7923" width="9" style="130"/>
    <col min="7924" max="7924" width="5" style="130" customWidth="1"/>
    <col min="7925" max="7925" width="17.875" style="130" bestFit="1" customWidth="1"/>
    <col min="7926" max="7926" width="23.625" style="130" customWidth="1"/>
    <col min="7927" max="7927" width="18.25" style="130" customWidth="1"/>
    <col min="7928" max="7928" width="5.25" style="130" bestFit="1" customWidth="1"/>
    <col min="7929" max="7929" width="9" style="130"/>
    <col min="7930" max="7930" width="11.875" style="130" customWidth="1"/>
    <col min="7931" max="7931" width="13.625" style="130" customWidth="1"/>
    <col min="7932" max="7932" width="12.75" style="130" customWidth="1"/>
    <col min="7933" max="8179" width="9" style="130"/>
    <col min="8180" max="8180" width="5" style="130" customWidth="1"/>
    <col min="8181" max="8181" width="17.875" style="130" bestFit="1" customWidth="1"/>
    <col min="8182" max="8182" width="23.625" style="130" customWidth="1"/>
    <col min="8183" max="8183" width="18.25" style="130" customWidth="1"/>
    <col min="8184" max="8184" width="5.25" style="130" bestFit="1" customWidth="1"/>
    <col min="8185" max="8185" width="9" style="130"/>
    <col min="8186" max="8186" width="11.875" style="130" customWidth="1"/>
    <col min="8187" max="8187" width="13.625" style="130" customWidth="1"/>
    <col min="8188" max="8188" width="12.75" style="130" customWidth="1"/>
    <col min="8189" max="8435" width="9" style="130"/>
    <col min="8436" max="8436" width="5" style="130" customWidth="1"/>
    <col min="8437" max="8437" width="17.875" style="130" bestFit="1" customWidth="1"/>
    <col min="8438" max="8438" width="23.625" style="130" customWidth="1"/>
    <col min="8439" max="8439" width="18.25" style="130" customWidth="1"/>
    <col min="8440" max="8440" width="5.25" style="130" bestFit="1" customWidth="1"/>
    <col min="8441" max="8441" width="9" style="130"/>
    <col min="8442" max="8442" width="11.875" style="130" customWidth="1"/>
    <col min="8443" max="8443" width="13.625" style="130" customWidth="1"/>
    <col min="8444" max="8444" width="12.75" style="130" customWidth="1"/>
    <col min="8445" max="8691" width="9" style="130"/>
    <col min="8692" max="8692" width="5" style="130" customWidth="1"/>
    <col min="8693" max="8693" width="17.875" style="130" bestFit="1" customWidth="1"/>
    <col min="8694" max="8694" width="23.625" style="130" customWidth="1"/>
    <col min="8695" max="8695" width="18.25" style="130" customWidth="1"/>
    <col min="8696" max="8696" width="5.25" style="130" bestFit="1" customWidth="1"/>
    <col min="8697" max="8697" width="9" style="130"/>
    <col min="8698" max="8698" width="11.875" style="130" customWidth="1"/>
    <col min="8699" max="8699" width="13.625" style="130" customWidth="1"/>
    <col min="8700" max="8700" width="12.75" style="130" customWidth="1"/>
    <col min="8701" max="8947" width="9" style="130"/>
    <col min="8948" max="8948" width="5" style="130" customWidth="1"/>
    <col min="8949" max="8949" width="17.875" style="130" bestFit="1" customWidth="1"/>
    <col min="8950" max="8950" width="23.625" style="130" customWidth="1"/>
    <col min="8951" max="8951" width="18.25" style="130" customWidth="1"/>
    <col min="8952" max="8952" width="5.25" style="130" bestFit="1" customWidth="1"/>
    <col min="8953" max="8953" width="9" style="130"/>
    <col min="8954" max="8954" width="11.875" style="130" customWidth="1"/>
    <col min="8955" max="8955" width="13.625" style="130" customWidth="1"/>
    <col min="8956" max="8956" width="12.75" style="130" customWidth="1"/>
    <col min="8957" max="9203" width="9" style="130"/>
    <col min="9204" max="9204" width="5" style="130" customWidth="1"/>
    <col min="9205" max="9205" width="17.875" style="130" bestFit="1" customWidth="1"/>
    <col min="9206" max="9206" width="23.625" style="130" customWidth="1"/>
    <col min="9207" max="9207" width="18.25" style="130" customWidth="1"/>
    <col min="9208" max="9208" width="5.25" style="130" bestFit="1" customWidth="1"/>
    <col min="9209" max="9209" width="9" style="130"/>
    <col min="9210" max="9210" width="11.875" style="130" customWidth="1"/>
    <col min="9211" max="9211" width="13.625" style="130" customWidth="1"/>
    <col min="9212" max="9212" width="12.75" style="130" customWidth="1"/>
    <col min="9213" max="9459" width="9" style="130"/>
    <col min="9460" max="9460" width="5" style="130" customWidth="1"/>
    <col min="9461" max="9461" width="17.875" style="130" bestFit="1" customWidth="1"/>
    <col min="9462" max="9462" width="23.625" style="130" customWidth="1"/>
    <col min="9463" max="9463" width="18.25" style="130" customWidth="1"/>
    <col min="9464" max="9464" width="5.25" style="130" bestFit="1" customWidth="1"/>
    <col min="9465" max="9465" width="9" style="130"/>
    <col min="9466" max="9466" width="11.875" style="130" customWidth="1"/>
    <col min="9467" max="9467" width="13.625" style="130" customWidth="1"/>
    <col min="9468" max="9468" width="12.75" style="130" customWidth="1"/>
    <col min="9469" max="9715" width="9" style="130"/>
    <col min="9716" max="9716" width="5" style="130" customWidth="1"/>
    <col min="9717" max="9717" width="17.875" style="130" bestFit="1" customWidth="1"/>
    <col min="9718" max="9718" width="23.625" style="130" customWidth="1"/>
    <col min="9719" max="9719" width="18.25" style="130" customWidth="1"/>
    <col min="9720" max="9720" width="5.25" style="130" bestFit="1" customWidth="1"/>
    <col min="9721" max="9721" width="9" style="130"/>
    <col min="9722" max="9722" width="11.875" style="130" customWidth="1"/>
    <col min="9723" max="9723" width="13.625" style="130" customWidth="1"/>
    <col min="9724" max="9724" width="12.75" style="130" customWidth="1"/>
    <col min="9725" max="9971" width="9" style="130"/>
    <col min="9972" max="9972" width="5" style="130" customWidth="1"/>
    <col min="9973" max="9973" width="17.875" style="130" bestFit="1" customWidth="1"/>
    <col min="9974" max="9974" width="23.625" style="130" customWidth="1"/>
    <col min="9975" max="9975" width="18.25" style="130" customWidth="1"/>
    <col min="9976" max="9976" width="5.25" style="130" bestFit="1" customWidth="1"/>
    <col min="9977" max="9977" width="9" style="130"/>
    <col min="9978" max="9978" width="11.875" style="130" customWidth="1"/>
    <col min="9979" max="9979" width="13.625" style="130" customWidth="1"/>
    <col min="9980" max="9980" width="12.75" style="130" customWidth="1"/>
    <col min="9981" max="10227" width="9" style="130"/>
    <col min="10228" max="10228" width="5" style="130" customWidth="1"/>
    <col min="10229" max="10229" width="17.875" style="130" bestFit="1" customWidth="1"/>
    <col min="10230" max="10230" width="23.625" style="130" customWidth="1"/>
    <col min="10231" max="10231" width="18.25" style="130" customWidth="1"/>
    <col min="10232" max="10232" width="5.25" style="130" bestFit="1" customWidth="1"/>
    <col min="10233" max="10233" width="9" style="130"/>
    <col min="10234" max="10234" width="11.875" style="130" customWidth="1"/>
    <col min="10235" max="10235" width="13.625" style="130" customWidth="1"/>
    <col min="10236" max="10236" width="12.75" style="130" customWidth="1"/>
    <col min="10237" max="10483" width="9" style="130"/>
    <col min="10484" max="10484" width="5" style="130" customWidth="1"/>
    <col min="10485" max="10485" width="17.875" style="130" bestFit="1" customWidth="1"/>
    <col min="10486" max="10486" width="23.625" style="130" customWidth="1"/>
    <col min="10487" max="10487" width="18.25" style="130" customWidth="1"/>
    <col min="10488" max="10488" width="5.25" style="130" bestFit="1" customWidth="1"/>
    <col min="10489" max="10489" width="9" style="130"/>
    <col min="10490" max="10490" width="11.875" style="130" customWidth="1"/>
    <col min="10491" max="10491" width="13.625" style="130" customWidth="1"/>
    <col min="10492" max="10492" width="12.75" style="130" customWidth="1"/>
    <col min="10493" max="10739" width="9" style="130"/>
    <col min="10740" max="10740" width="5" style="130" customWidth="1"/>
    <col min="10741" max="10741" width="17.875" style="130" bestFit="1" customWidth="1"/>
    <col min="10742" max="10742" width="23.625" style="130" customWidth="1"/>
    <col min="10743" max="10743" width="18.25" style="130" customWidth="1"/>
    <col min="10744" max="10744" width="5.25" style="130" bestFit="1" customWidth="1"/>
    <col min="10745" max="10745" width="9" style="130"/>
    <col min="10746" max="10746" width="11.875" style="130" customWidth="1"/>
    <col min="10747" max="10747" width="13.625" style="130" customWidth="1"/>
    <col min="10748" max="10748" width="12.75" style="130" customWidth="1"/>
    <col min="10749" max="10995" width="9" style="130"/>
    <col min="10996" max="10996" width="5" style="130" customWidth="1"/>
    <col min="10997" max="10997" width="17.875" style="130" bestFit="1" customWidth="1"/>
    <col min="10998" max="10998" width="23.625" style="130" customWidth="1"/>
    <col min="10999" max="10999" width="18.25" style="130" customWidth="1"/>
    <col min="11000" max="11000" width="5.25" style="130" bestFit="1" customWidth="1"/>
    <col min="11001" max="11001" width="9" style="130"/>
    <col min="11002" max="11002" width="11.875" style="130" customWidth="1"/>
    <col min="11003" max="11003" width="13.625" style="130" customWidth="1"/>
    <col min="11004" max="11004" width="12.75" style="130" customWidth="1"/>
    <col min="11005" max="11251" width="9" style="130"/>
    <col min="11252" max="11252" width="5" style="130" customWidth="1"/>
    <col min="11253" max="11253" width="17.875" style="130" bestFit="1" customWidth="1"/>
    <col min="11254" max="11254" width="23.625" style="130" customWidth="1"/>
    <col min="11255" max="11255" width="18.25" style="130" customWidth="1"/>
    <col min="11256" max="11256" width="5.25" style="130" bestFit="1" customWidth="1"/>
    <col min="11257" max="11257" width="9" style="130"/>
    <col min="11258" max="11258" width="11.875" style="130" customWidth="1"/>
    <col min="11259" max="11259" width="13.625" style="130" customWidth="1"/>
    <col min="11260" max="11260" width="12.75" style="130" customWidth="1"/>
    <col min="11261" max="11507" width="9" style="130"/>
    <col min="11508" max="11508" width="5" style="130" customWidth="1"/>
    <col min="11509" max="11509" width="17.875" style="130" bestFit="1" customWidth="1"/>
    <col min="11510" max="11510" width="23.625" style="130" customWidth="1"/>
    <col min="11511" max="11511" width="18.25" style="130" customWidth="1"/>
    <col min="11512" max="11512" width="5.25" style="130" bestFit="1" customWidth="1"/>
    <col min="11513" max="11513" width="9" style="130"/>
    <col min="11514" max="11514" width="11.875" style="130" customWidth="1"/>
    <col min="11515" max="11515" width="13.625" style="130" customWidth="1"/>
    <col min="11516" max="11516" width="12.75" style="130" customWidth="1"/>
    <col min="11517" max="11763" width="9" style="130"/>
    <col min="11764" max="11764" width="5" style="130" customWidth="1"/>
    <col min="11765" max="11765" width="17.875" style="130" bestFit="1" customWidth="1"/>
    <col min="11766" max="11766" width="23.625" style="130" customWidth="1"/>
    <col min="11767" max="11767" width="18.25" style="130" customWidth="1"/>
    <col min="11768" max="11768" width="5.25" style="130" bestFit="1" customWidth="1"/>
    <col min="11769" max="11769" width="9" style="130"/>
    <col min="11770" max="11770" width="11.875" style="130" customWidth="1"/>
    <col min="11771" max="11771" width="13.625" style="130" customWidth="1"/>
    <col min="11772" max="11772" width="12.75" style="130" customWidth="1"/>
    <col min="11773" max="12019" width="9" style="130"/>
    <col min="12020" max="12020" width="5" style="130" customWidth="1"/>
    <col min="12021" max="12021" width="17.875" style="130" bestFit="1" customWidth="1"/>
    <col min="12022" max="12022" width="23.625" style="130" customWidth="1"/>
    <col min="12023" max="12023" width="18.25" style="130" customWidth="1"/>
    <col min="12024" max="12024" width="5.25" style="130" bestFit="1" customWidth="1"/>
    <col min="12025" max="12025" width="9" style="130"/>
    <col min="12026" max="12026" width="11.875" style="130" customWidth="1"/>
    <col min="12027" max="12027" width="13.625" style="130" customWidth="1"/>
    <col min="12028" max="12028" width="12.75" style="130" customWidth="1"/>
    <col min="12029" max="12275" width="9" style="130"/>
    <col min="12276" max="12276" width="5" style="130" customWidth="1"/>
    <col min="12277" max="12277" width="17.875" style="130" bestFit="1" customWidth="1"/>
    <col min="12278" max="12278" width="23.625" style="130" customWidth="1"/>
    <col min="12279" max="12279" width="18.25" style="130" customWidth="1"/>
    <col min="12280" max="12280" width="5.25" style="130" bestFit="1" customWidth="1"/>
    <col min="12281" max="12281" width="9" style="130"/>
    <col min="12282" max="12282" width="11.875" style="130" customWidth="1"/>
    <col min="12283" max="12283" width="13.625" style="130" customWidth="1"/>
    <col min="12284" max="12284" width="12.75" style="130" customWidth="1"/>
    <col min="12285" max="12531" width="9" style="130"/>
    <col min="12532" max="12532" width="5" style="130" customWidth="1"/>
    <col min="12533" max="12533" width="17.875" style="130" bestFit="1" customWidth="1"/>
    <col min="12534" max="12534" width="23.625" style="130" customWidth="1"/>
    <col min="12535" max="12535" width="18.25" style="130" customWidth="1"/>
    <col min="12536" max="12536" width="5.25" style="130" bestFit="1" customWidth="1"/>
    <col min="12537" max="12537" width="9" style="130"/>
    <col min="12538" max="12538" width="11.875" style="130" customWidth="1"/>
    <col min="12539" max="12539" width="13.625" style="130" customWidth="1"/>
    <col min="12540" max="12540" width="12.75" style="130" customWidth="1"/>
    <col min="12541" max="12787" width="9" style="130"/>
    <col min="12788" max="12788" width="5" style="130" customWidth="1"/>
    <col min="12789" max="12789" width="17.875" style="130" bestFit="1" customWidth="1"/>
    <col min="12790" max="12790" width="23.625" style="130" customWidth="1"/>
    <col min="12791" max="12791" width="18.25" style="130" customWidth="1"/>
    <col min="12792" max="12792" width="5.25" style="130" bestFit="1" customWidth="1"/>
    <col min="12793" max="12793" width="9" style="130"/>
    <col min="12794" max="12794" width="11.875" style="130" customWidth="1"/>
    <col min="12795" max="12795" width="13.625" style="130" customWidth="1"/>
    <col min="12796" max="12796" width="12.75" style="130" customWidth="1"/>
    <col min="12797" max="13043" width="9" style="130"/>
    <col min="13044" max="13044" width="5" style="130" customWidth="1"/>
    <col min="13045" max="13045" width="17.875" style="130" bestFit="1" customWidth="1"/>
    <col min="13046" max="13046" width="23.625" style="130" customWidth="1"/>
    <col min="13047" max="13047" width="18.25" style="130" customWidth="1"/>
    <col min="13048" max="13048" width="5.25" style="130" bestFit="1" customWidth="1"/>
    <col min="13049" max="13049" width="9" style="130"/>
    <col min="13050" max="13050" width="11.875" style="130" customWidth="1"/>
    <col min="13051" max="13051" width="13.625" style="130" customWidth="1"/>
    <col min="13052" max="13052" width="12.75" style="130" customWidth="1"/>
    <col min="13053" max="13299" width="9" style="130"/>
    <col min="13300" max="13300" width="5" style="130" customWidth="1"/>
    <col min="13301" max="13301" width="17.875" style="130" bestFit="1" customWidth="1"/>
    <col min="13302" max="13302" width="23.625" style="130" customWidth="1"/>
    <col min="13303" max="13303" width="18.25" style="130" customWidth="1"/>
    <col min="13304" max="13304" width="5.25" style="130" bestFit="1" customWidth="1"/>
    <col min="13305" max="13305" width="9" style="130"/>
    <col min="13306" max="13306" width="11.875" style="130" customWidth="1"/>
    <col min="13307" max="13307" width="13.625" style="130" customWidth="1"/>
    <col min="13308" max="13308" width="12.75" style="130" customWidth="1"/>
    <col min="13309" max="13555" width="9" style="130"/>
    <col min="13556" max="13556" width="5" style="130" customWidth="1"/>
    <col min="13557" max="13557" width="17.875" style="130" bestFit="1" customWidth="1"/>
    <col min="13558" max="13558" width="23.625" style="130" customWidth="1"/>
    <col min="13559" max="13559" width="18.25" style="130" customWidth="1"/>
    <col min="13560" max="13560" width="5.25" style="130" bestFit="1" customWidth="1"/>
    <col min="13561" max="13561" width="9" style="130"/>
    <col min="13562" max="13562" width="11.875" style="130" customWidth="1"/>
    <col min="13563" max="13563" width="13.625" style="130" customWidth="1"/>
    <col min="13564" max="13564" width="12.75" style="130" customWidth="1"/>
    <col min="13565" max="13811" width="9" style="130"/>
    <col min="13812" max="13812" width="5" style="130" customWidth="1"/>
    <col min="13813" max="13813" width="17.875" style="130" bestFit="1" customWidth="1"/>
    <col min="13814" max="13814" width="23.625" style="130" customWidth="1"/>
    <col min="13815" max="13815" width="18.25" style="130" customWidth="1"/>
    <col min="13816" max="13816" width="5.25" style="130" bestFit="1" customWidth="1"/>
    <col min="13817" max="13817" width="9" style="130"/>
    <col min="13818" max="13818" width="11.875" style="130" customWidth="1"/>
    <col min="13819" max="13819" width="13.625" style="130" customWidth="1"/>
    <col min="13820" max="13820" width="12.75" style="130" customWidth="1"/>
    <col min="13821" max="14067" width="9" style="130"/>
    <col min="14068" max="14068" width="5" style="130" customWidth="1"/>
    <col min="14069" max="14069" width="17.875" style="130" bestFit="1" customWidth="1"/>
    <col min="14070" max="14070" width="23.625" style="130" customWidth="1"/>
    <col min="14071" max="14071" width="18.25" style="130" customWidth="1"/>
    <col min="14072" max="14072" width="5.25" style="130" bestFit="1" customWidth="1"/>
    <col min="14073" max="14073" width="9" style="130"/>
    <col min="14074" max="14074" width="11.875" style="130" customWidth="1"/>
    <col min="14075" max="14075" width="13.625" style="130" customWidth="1"/>
    <col min="14076" max="14076" width="12.75" style="130" customWidth="1"/>
    <col min="14077" max="14323" width="9" style="130"/>
    <col min="14324" max="14324" width="5" style="130" customWidth="1"/>
    <col min="14325" max="14325" width="17.875" style="130" bestFit="1" customWidth="1"/>
    <col min="14326" max="14326" width="23.625" style="130" customWidth="1"/>
    <col min="14327" max="14327" width="18.25" style="130" customWidth="1"/>
    <col min="14328" max="14328" width="5.25" style="130" bestFit="1" customWidth="1"/>
    <col min="14329" max="14329" width="9" style="130"/>
    <col min="14330" max="14330" width="11.875" style="130" customWidth="1"/>
    <col min="14331" max="14331" width="13.625" style="130" customWidth="1"/>
    <col min="14332" max="14332" width="12.75" style="130" customWidth="1"/>
    <col min="14333" max="14579" width="9" style="130"/>
    <col min="14580" max="14580" width="5" style="130" customWidth="1"/>
    <col min="14581" max="14581" width="17.875" style="130" bestFit="1" customWidth="1"/>
    <col min="14582" max="14582" width="23.625" style="130" customWidth="1"/>
    <col min="14583" max="14583" width="18.25" style="130" customWidth="1"/>
    <col min="14584" max="14584" width="5.25" style="130" bestFit="1" customWidth="1"/>
    <col min="14585" max="14585" width="9" style="130"/>
    <col min="14586" max="14586" width="11.875" style="130" customWidth="1"/>
    <col min="14587" max="14587" width="13.625" style="130" customWidth="1"/>
    <col min="14588" max="14588" width="12.75" style="130" customWidth="1"/>
    <col min="14589" max="14835" width="9" style="130"/>
    <col min="14836" max="14836" width="5" style="130" customWidth="1"/>
    <col min="14837" max="14837" width="17.875" style="130" bestFit="1" customWidth="1"/>
    <col min="14838" max="14838" width="23.625" style="130" customWidth="1"/>
    <col min="14839" max="14839" width="18.25" style="130" customWidth="1"/>
    <col min="14840" max="14840" width="5.25" style="130" bestFit="1" customWidth="1"/>
    <col min="14841" max="14841" width="9" style="130"/>
    <col min="14842" max="14842" width="11.875" style="130" customWidth="1"/>
    <col min="14843" max="14843" width="13.625" style="130" customWidth="1"/>
    <col min="14844" max="14844" width="12.75" style="130" customWidth="1"/>
    <col min="14845" max="15091" width="9" style="130"/>
    <col min="15092" max="15092" width="5" style="130" customWidth="1"/>
    <col min="15093" max="15093" width="17.875" style="130" bestFit="1" customWidth="1"/>
    <col min="15094" max="15094" width="23.625" style="130" customWidth="1"/>
    <col min="15095" max="15095" width="18.25" style="130" customWidth="1"/>
    <col min="15096" max="15096" width="5.25" style="130" bestFit="1" customWidth="1"/>
    <col min="15097" max="15097" width="9" style="130"/>
    <col min="15098" max="15098" width="11.875" style="130" customWidth="1"/>
    <col min="15099" max="15099" width="13.625" style="130" customWidth="1"/>
    <col min="15100" max="15100" width="12.75" style="130" customWidth="1"/>
    <col min="15101" max="15347" width="9" style="130"/>
    <col min="15348" max="15348" width="5" style="130" customWidth="1"/>
    <col min="15349" max="15349" width="17.875" style="130" bestFit="1" customWidth="1"/>
    <col min="15350" max="15350" width="23.625" style="130" customWidth="1"/>
    <col min="15351" max="15351" width="18.25" style="130" customWidth="1"/>
    <col min="15352" max="15352" width="5.25" style="130" bestFit="1" customWidth="1"/>
    <col min="15353" max="15353" width="9" style="130"/>
    <col min="15354" max="15354" width="11.875" style="130" customWidth="1"/>
    <col min="15355" max="15355" width="13.625" style="130" customWidth="1"/>
    <col min="15356" max="15356" width="12.75" style="130" customWidth="1"/>
    <col min="15357" max="15603" width="9" style="130"/>
    <col min="15604" max="15604" width="5" style="130" customWidth="1"/>
    <col min="15605" max="15605" width="17.875" style="130" bestFit="1" customWidth="1"/>
    <col min="15606" max="15606" width="23.625" style="130" customWidth="1"/>
    <col min="15607" max="15607" width="18.25" style="130" customWidth="1"/>
    <col min="15608" max="15608" width="5.25" style="130" bestFit="1" customWidth="1"/>
    <col min="15609" max="15609" width="9" style="130"/>
    <col min="15610" max="15610" width="11.875" style="130" customWidth="1"/>
    <col min="15611" max="15611" width="13.625" style="130" customWidth="1"/>
    <col min="15612" max="15612" width="12.75" style="130" customWidth="1"/>
    <col min="15613" max="15859" width="9" style="130"/>
    <col min="15860" max="15860" width="5" style="130" customWidth="1"/>
    <col min="15861" max="15861" width="17.875" style="130" bestFit="1" customWidth="1"/>
    <col min="15862" max="15862" width="23.625" style="130" customWidth="1"/>
    <col min="15863" max="15863" width="18.25" style="130" customWidth="1"/>
    <col min="15864" max="15864" width="5.25" style="130" bestFit="1" customWidth="1"/>
    <col min="15865" max="15865" width="9" style="130"/>
    <col min="15866" max="15866" width="11.875" style="130" customWidth="1"/>
    <col min="15867" max="15867" width="13.625" style="130" customWidth="1"/>
    <col min="15868" max="15868" width="12.75" style="130" customWidth="1"/>
    <col min="15869" max="16115" width="9" style="130"/>
    <col min="16116" max="16116" width="5" style="130" customWidth="1"/>
    <col min="16117" max="16117" width="17.875" style="130" bestFit="1" customWidth="1"/>
    <col min="16118" max="16118" width="23.625" style="130" customWidth="1"/>
    <col min="16119" max="16119" width="18.25" style="130" customWidth="1"/>
    <col min="16120" max="16120" width="5.25" style="130" bestFit="1" customWidth="1"/>
    <col min="16121" max="16121" width="9" style="130"/>
    <col min="16122" max="16122" width="11.875" style="130" customWidth="1"/>
    <col min="16123" max="16123" width="13.625" style="130" customWidth="1"/>
    <col min="16124" max="16124" width="12.75" style="130" customWidth="1"/>
    <col min="16125" max="16384" width="9" style="130"/>
  </cols>
  <sheetData>
    <row r="1" spans="1:9" ht="22.5" customHeight="1">
      <c r="B1" s="212" t="s">
        <v>149</v>
      </c>
      <c r="C1" s="305" t="s">
        <v>357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25" t="s">
        <v>372</v>
      </c>
      <c r="D3" s="320"/>
      <c r="E3" s="226" t="s">
        <v>51</v>
      </c>
      <c r="F3" s="227" t="s">
        <v>330</v>
      </c>
      <c r="G3" s="228">
        <v>3744000</v>
      </c>
      <c r="H3" s="175">
        <f t="shared" ref="H3:H114" si="0">IF(F3=0,G3,G3*F3)</f>
        <v>7488000</v>
      </c>
      <c r="I3" s="247"/>
    </row>
    <row r="4" spans="1:9" ht="15.95" customHeight="1">
      <c r="A4" s="497"/>
      <c r="B4" s="218"/>
      <c r="C4" s="225" t="s">
        <v>373</v>
      </c>
      <c r="D4" s="225"/>
      <c r="E4" s="226" t="s">
        <v>51</v>
      </c>
      <c r="F4" s="227" t="s">
        <v>330</v>
      </c>
      <c r="G4" s="228">
        <v>2880000</v>
      </c>
      <c r="H4" s="175">
        <f t="shared" si="0"/>
        <v>5760000</v>
      </c>
      <c r="I4" s="38"/>
    </row>
    <row r="5" spans="1:9" ht="15.95" customHeight="1">
      <c r="A5" s="497"/>
      <c r="B5" s="218"/>
      <c r="C5" s="225" t="s">
        <v>374</v>
      </c>
      <c r="D5" s="225"/>
      <c r="E5" s="226" t="s">
        <v>51</v>
      </c>
      <c r="F5" s="227" t="s">
        <v>330</v>
      </c>
      <c r="G5" s="228">
        <v>2880000</v>
      </c>
      <c r="H5" s="175">
        <f t="shared" si="0"/>
        <v>5760000</v>
      </c>
      <c r="I5" s="38"/>
    </row>
    <row r="6" spans="1:9" ht="15.95" customHeight="1">
      <c r="A6" s="497"/>
      <c r="B6" s="218"/>
      <c r="C6" s="225" t="s">
        <v>343</v>
      </c>
      <c r="D6" s="225"/>
      <c r="E6" s="226" t="s">
        <v>51</v>
      </c>
      <c r="F6" s="227" t="s">
        <v>329</v>
      </c>
      <c r="G6" s="228">
        <v>4320000</v>
      </c>
      <c r="H6" s="175">
        <f t="shared" si="0"/>
        <v>4320000</v>
      </c>
      <c r="I6" s="38"/>
    </row>
    <row r="7" spans="1:9" ht="15.95" customHeight="1">
      <c r="A7" s="497"/>
      <c r="B7" s="218"/>
      <c r="C7" s="225" t="s">
        <v>375</v>
      </c>
      <c r="D7" s="225"/>
      <c r="E7" s="226" t="s">
        <v>51</v>
      </c>
      <c r="F7" s="227" t="s">
        <v>329</v>
      </c>
      <c r="G7" s="228">
        <v>864000</v>
      </c>
      <c r="H7" s="175">
        <f t="shared" si="0"/>
        <v>864000</v>
      </c>
      <c r="I7" s="38"/>
    </row>
    <row r="8" spans="1:9" ht="15.95" customHeight="1">
      <c r="A8" s="497"/>
      <c r="B8" s="218"/>
      <c r="C8" s="225" t="s">
        <v>376</v>
      </c>
      <c r="D8" s="225"/>
      <c r="E8" s="226" t="s">
        <v>51</v>
      </c>
      <c r="F8" s="227" t="s">
        <v>329</v>
      </c>
      <c r="G8" s="228">
        <v>5760000</v>
      </c>
      <c r="H8" s="175">
        <f t="shared" si="0"/>
        <v>5760000</v>
      </c>
      <c r="I8" s="38"/>
    </row>
    <row r="9" spans="1:9" ht="15.95" customHeight="1">
      <c r="A9" s="497"/>
      <c r="B9" s="218"/>
      <c r="C9" s="225" t="s">
        <v>377</v>
      </c>
      <c r="D9" s="225"/>
      <c r="E9" s="226" t="s">
        <v>51</v>
      </c>
      <c r="F9" s="227" t="s">
        <v>329</v>
      </c>
      <c r="G9" s="228">
        <v>2160000</v>
      </c>
      <c r="H9" s="175">
        <f t="shared" si="0"/>
        <v>2160000</v>
      </c>
      <c r="I9" s="38"/>
    </row>
    <row r="10" spans="1:9" ht="15.95" customHeight="1">
      <c r="A10" s="497"/>
      <c r="B10" s="218"/>
      <c r="C10" s="225" t="s">
        <v>378</v>
      </c>
      <c r="D10" s="225"/>
      <c r="E10" s="226" t="s">
        <v>51</v>
      </c>
      <c r="F10" s="227" t="s">
        <v>330</v>
      </c>
      <c r="G10" s="228">
        <v>2160000</v>
      </c>
      <c r="H10" s="175">
        <f t="shared" si="0"/>
        <v>4320000</v>
      </c>
      <c r="I10" s="38"/>
    </row>
    <row r="11" spans="1:9" ht="15.95" customHeight="1">
      <c r="A11" s="497"/>
      <c r="B11" s="218"/>
      <c r="C11" s="225" t="s">
        <v>379</v>
      </c>
      <c r="D11" s="225"/>
      <c r="E11" s="226" t="s">
        <v>51</v>
      </c>
      <c r="F11" s="227" t="s">
        <v>329</v>
      </c>
      <c r="G11" s="228">
        <v>3456000</v>
      </c>
      <c r="H11" s="175">
        <f t="shared" si="0"/>
        <v>3456000</v>
      </c>
      <c r="I11" s="38"/>
    </row>
    <row r="12" spans="1:9" ht="15.95" customHeight="1">
      <c r="A12" s="497"/>
      <c r="B12" s="218"/>
      <c r="C12" s="225" t="s">
        <v>380</v>
      </c>
      <c r="D12" s="225"/>
      <c r="E12" s="226" t="s">
        <v>51</v>
      </c>
      <c r="F12" s="227" t="s">
        <v>329</v>
      </c>
      <c r="G12" s="228">
        <v>936000</v>
      </c>
      <c r="H12" s="175">
        <f t="shared" si="0"/>
        <v>936000</v>
      </c>
      <c r="I12" s="38"/>
    </row>
    <row r="13" spans="1:9" ht="15.95" customHeight="1">
      <c r="A13" s="497"/>
      <c r="B13" s="218"/>
      <c r="C13" s="225" t="s">
        <v>381</v>
      </c>
      <c r="D13" s="225"/>
      <c r="E13" s="226" t="s">
        <v>51</v>
      </c>
      <c r="F13" s="227" t="s">
        <v>330</v>
      </c>
      <c r="G13" s="228">
        <v>720000</v>
      </c>
      <c r="H13" s="175">
        <f t="shared" si="0"/>
        <v>1440000</v>
      </c>
      <c r="I13" s="38"/>
    </row>
    <row r="14" spans="1:9" ht="15.95" customHeight="1">
      <c r="A14" s="497"/>
      <c r="B14" s="218"/>
      <c r="C14" s="225" t="s">
        <v>382</v>
      </c>
      <c r="D14" s="225"/>
      <c r="E14" s="226" t="s">
        <v>51</v>
      </c>
      <c r="F14" s="227" t="s">
        <v>329</v>
      </c>
      <c r="G14" s="228">
        <v>1152000</v>
      </c>
      <c r="H14" s="175">
        <f t="shared" si="0"/>
        <v>1152000</v>
      </c>
      <c r="I14" s="38"/>
    </row>
    <row r="15" spans="1:9" ht="15.95" customHeight="1">
      <c r="A15" s="497"/>
      <c r="B15" s="218"/>
      <c r="C15" s="225" t="s">
        <v>383</v>
      </c>
      <c r="D15" s="225"/>
      <c r="E15" s="226" t="s">
        <v>51</v>
      </c>
      <c r="F15" s="227" t="s">
        <v>329</v>
      </c>
      <c r="G15" s="228">
        <v>1008000</v>
      </c>
      <c r="H15" s="175">
        <f t="shared" si="0"/>
        <v>1008000</v>
      </c>
      <c r="I15" s="38"/>
    </row>
    <row r="16" spans="1:9" ht="15.95" customHeight="1">
      <c r="A16" s="497"/>
      <c r="B16" s="218"/>
      <c r="C16" s="225" t="s">
        <v>384</v>
      </c>
      <c r="D16" s="225"/>
      <c r="E16" s="226" t="s">
        <v>51</v>
      </c>
      <c r="F16" s="227" t="s">
        <v>329</v>
      </c>
      <c r="G16" s="228">
        <v>5328000</v>
      </c>
      <c r="H16" s="175">
        <f t="shared" si="0"/>
        <v>5328000</v>
      </c>
      <c r="I16" s="38"/>
    </row>
    <row r="17" spans="1:9" ht="15.95" customHeight="1">
      <c r="A17" s="497"/>
      <c r="B17" s="218"/>
      <c r="C17" s="225" t="s">
        <v>385</v>
      </c>
      <c r="D17" s="225"/>
      <c r="E17" s="226" t="s">
        <v>51</v>
      </c>
      <c r="F17" s="227" t="s">
        <v>329</v>
      </c>
      <c r="G17" s="228">
        <v>7920000</v>
      </c>
      <c r="H17" s="175">
        <f t="shared" si="0"/>
        <v>7920000</v>
      </c>
      <c r="I17" s="38"/>
    </row>
    <row r="18" spans="1:9" ht="15.95" customHeight="1">
      <c r="A18" s="497"/>
      <c r="B18" s="218"/>
      <c r="C18" s="225" t="s">
        <v>381</v>
      </c>
      <c r="D18" s="225"/>
      <c r="E18" s="226" t="s">
        <v>51</v>
      </c>
      <c r="F18" s="227" t="s">
        <v>329</v>
      </c>
      <c r="G18" s="228">
        <v>720000</v>
      </c>
      <c r="H18" s="175">
        <f t="shared" si="0"/>
        <v>720000</v>
      </c>
      <c r="I18" s="38"/>
    </row>
    <row r="19" spans="1:9" ht="15.95" customHeight="1">
      <c r="A19" s="497"/>
      <c r="B19" s="218"/>
      <c r="C19" s="225" t="s">
        <v>386</v>
      </c>
      <c r="D19" s="225"/>
      <c r="E19" s="226" t="s">
        <v>51</v>
      </c>
      <c r="F19" s="227" t="s">
        <v>329</v>
      </c>
      <c r="G19" s="228">
        <v>144000</v>
      </c>
      <c r="H19" s="175">
        <f t="shared" si="0"/>
        <v>144000</v>
      </c>
      <c r="I19" s="38"/>
    </row>
    <row r="20" spans="1:9" ht="15.95" customHeight="1">
      <c r="A20" s="497"/>
      <c r="B20" s="218"/>
      <c r="C20" s="225" t="s">
        <v>248</v>
      </c>
      <c r="D20" s="225"/>
      <c r="E20" s="226" t="s">
        <v>51</v>
      </c>
      <c r="F20" s="227" t="s">
        <v>329</v>
      </c>
      <c r="G20" s="228">
        <v>2160000</v>
      </c>
      <c r="H20" s="175">
        <f t="shared" si="0"/>
        <v>2160000</v>
      </c>
      <c r="I20" s="38"/>
    </row>
    <row r="21" spans="1:9" ht="15.95" customHeight="1">
      <c r="A21" s="497"/>
      <c r="B21" s="218"/>
      <c r="C21" s="225" t="s">
        <v>286</v>
      </c>
      <c r="D21" s="225"/>
      <c r="E21" s="226" t="s">
        <v>51</v>
      </c>
      <c r="F21" s="227" t="s">
        <v>329</v>
      </c>
      <c r="G21" s="228">
        <v>1440000</v>
      </c>
      <c r="H21" s="175">
        <f t="shared" si="0"/>
        <v>1440000</v>
      </c>
      <c r="I21" s="38"/>
    </row>
    <row r="22" spans="1:9" ht="15.95" customHeight="1">
      <c r="A22" s="497"/>
      <c r="B22" s="218"/>
      <c r="C22" s="225" t="s">
        <v>520</v>
      </c>
      <c r="D22" s="225"/>
      <c r="E22" s="226" t="s">
        <v>521</v>
      </c>
      <c r="F22" s="227">
        <v>130</v>
      </c>
      <c r="G22" s="228">
        <v>864000</v>
      </c>
      <c r="H22" s="175">
        <f t="shared" si="0"/>
        <v>112320000</v>
      </c>
      <c r="I22" s="38"/>
    </row>
    <row r="23" spans="1:9" ht="15.95" customHeight="1">
      <c r="A23" s="497"/>
      <c r="B23" s="218"/>
      <c r="C23" s="225" t="s">
        <v>519</v>
      </c>
      <c r="D23" s="225"/>
      <c r="E23" s="226" t="s">
        <v>521</v>
      </c>
      <c r="F23" s="227">
        <v>8</v>
      </c>
      <c r="G23" s="228">
        <v>2880000</v>
      </c>
      <c r="H23" s="175">
        <f t="shared" si="0"/>
        <v>23040000</v>
      </c>
      <c r="I23" s="38"/>
    </row>
    <row r="24" spans="1:9" ht="15.95" customHeight="1">
      <c r="A24" s="497"/>
      <c r="B24" s="218"/>
      <c r="C24" s="225" t="s">
        <v>404</v>
      </c>
      <c r="D24" s="225"/>
      <c r="E24" s="225"/>
      <c r="F24" s="228">
        <v>1</v>
      </c>
      <c r="G24" s="228">
        <v>5304000</v>
      </c>
      <c r="H24" s="175">
        <v>5304000</v>
      </c>
      <c r="I24" s="38"/>
    </row>
    <row r="25" spans="1:9" ht="15.95" customHeight="1">
      <c r="A25" s="497"/>
      <c r="B25" s="218"/>
      <c r="C25" s="225" t="s">
        <v>284</v>
      </c>
      <c r="D25" s="225"/>
      <c r="E25" s="225"/>
      <c r="F25" s="228">
        <v>1</v>
      </c>
      <c r="G25" s="228">
        <v>2040000.0000000002</v>
      </c>
      <c r="H25" s="175">
        <v>2040000.0000000002</v>
      </c>
      <c r="I25" s="38"/>
    </row>
    <row r="26" spans="1:9" ht="15.95" customHeight="1">
      <c r="A26" s="497"/>
      <c r="B26" s="218"/>
      <c r="C26" s="225"/>
      <c r="D26" s="225"/>
      <c r="E26" s="225"/>
      <c r="F26" s="228"/>
      <c r="G26" s="228"/>
      <c r="H26" s="175">
        <f t="shared" si="0"/>
        <v>0</v>
      </c>
      <c r="I26" s="38"/>
    </row>
    <row r="27" spans="1:9" ht="15.95" customHeight="1">
      <c r="A27" s="497"/>
      <c r="B27" s="218"/>
      <c r="C27" s="225"/>
      <c r="D27" s="225"/>
      <c r="E27" s="225"/>
      <c r="F27" s="228"/>
      <c r="G27" s="228"/>
      <c r="H27" s="175">
        <f t="shared" si="0"/>
        <v>0</v>
      </c>
      <c r="I27" s="38"/>
    </row>
    <row r="28" spans="1:9" ht="15.95" customHeight="1">
      <c r="A28" s="497"/>
      <c r="B28" s="218"/>
      <c r="C28" s="225"/>
      <c r="D28" s="225"/>
      <c r="E28" s="225"/>
      <c r="F28" s="228"/>
      <c r="G28" s="228"/>
      <c r="H28" s="175">
        <f t="shared" si="0"/>
        <v>0</v>
      </c>
      <c r="I28" s="38"/>
    </row>
    <row r="29" spans="1:9" ht="15.95" customHeight="1">
      <c r="A29" s="497"/>
      <c r="B29" s="218"/>
      <c r="C29" s="225"/>
      <c r="D29" s="225"/>
      <c r="E29" s="225"/>
      <c r="F29" s="228"/>
      <c r="G29" s="228"/>
      <c r="H29" s="175">
        <f t="shared" si="0"/>
        <v>0</v>
      </c>
      <c r="I29" s="38"/>
    </row>
    <row r="30" spans="1:9" ht="15.95" customHeight="1">
      <c r="A30" s="497"/>
      <c r="B30" s="218"/>
      <c r="C30" s="225"/>
      <c r="D30" s="225"/>
      <c r="E30" s="225"/>
      <c r="F30" s="228"/>
      <c r="G30" s="228"/>
      <c r="H30" s="175">
        <f t="shared" si="0"/>
        <v>0</v>
      </c>
      <c r="I30" s="38"/>
    </row>
    <row r="31" spans="1:9" ht="15.95" customHeight="1">
      <c r="A31" s="497"/>
      <c r="B31" s="218"/>
      <c r="C31" s="225"/>
      <c r="D31" s="225"/>
      <c r="E31" s="225"/>
      <c r="F31" s="228"/>
      <c r="G31" s="228"/>
      <c r="H31" s="175">
        <f t="shared" si="0"/>
        <v>0</v>
      </c>
      <c r="I31" s="38"/>
    </row>
    <row r="32" spans="1:9" ht="15.95" customHeight="1">
      <c r="A32" s="497"/>
      <c r="B32" s="218"/>
      <c r="C32" s="225"/>
      <c r="D32" s="225"/>
      <c r="E32" s="225"/>
      <c r="F32" s="228"/>
      <c r="G32" s="228"/>
      <c r="H32" s="175">
        <f t="shared" si="0"/>
        <v>0</v>
      </c>
      <c r="I32" s="38"/>
    </row>
    <row r="33" spans="1:9" ht="15.95" customHeight="1">
      <c r="A33" s="497"/>
      <c r="B33" s="218"/>
      <c r="C33" s="225"/>
      <c r="D33" s="225"/>
      <c r="E33" s="225"/>
      <c r="F33" s="228"/>
      <c r="G33" s="228"/>
      <c r="H33" s="175">
        <f t="shared" si="0"/>
        <v>0</v>
      </c>
      <c r="I33" s="38"/>
    </row>
    <row r="34" spans="1:9" ht="15.95" customHeight="1">
      <c r="A34" s="497"/>
      <c r="B34" s="218"/>
      <c r="C34" s="225"/>
      <c r="D34" s="225"/>
      <c r="E34" s="225"/>
      <c r="F34" s="228"/>
      <c r="G34" s="228"/>
      <c r="H34" s="175">
        <f t="shared" si="0"/>
        <v>0</v>
      </c>
      <c r="I34" s="38"/>
    </row>
    <row r="35" spans="1:9" ht="15.95" customHeight="1">
      <c r="A35" s="497"/>
      <c r="B35" s="218"/>
      <c r="C35" s="225"/>
      <c r="D35" s="225"/>
      <c r="E35" s="225"/>
      <c r="F35" s="228"/>
      <c r="G35" s="228"/>
      <c r="H35" s="175">
        <f t="shared" si="0"/>
        <v>0</v>
      </c>
      <c r="I35" s="38"/>
    </row>
    <row r="36" spans="1:9" ht="15.95" customHeight="1">
      <c r="A36" s="497"/>
      <c r="B36" s="218"/>
      <c r="C36" s="225"/>
      <c r="D36" s="225"/>
      <c r="E36" s="225"/>
      <c r="F36" s="228"/>
      <c r="G36" s="228"/>
      <c r="H36" s="175">
        <f t="shared" si="0"/>
        <v>0</v>
      </c>
      <c r="I36" s="38"/>
    </row>
    <row r="37" spans="1:9" ht="15.95" customHeight="1">
      <c r="A37" s="497"/>
      <c r="B37" s="218"/>
      <c r="C37" s="225"/>
      <c r="D37" s="225"/>
      <c r="E37" s="225"/>
      <c r="F37" s="228"/>
      <c r="G37" s="228"/>
      <c r="H37" s="175">
        <f t="shared" si="0"/>
        <v>0</v>
      </c>
      <c r="I37" s="38"/>
    </row>
    <row r="38" spans="1:9" ht="15.95" customHeight="1">
      <c r="A38" s="497"/>
      <c r="B38" s="218"/>
      <c r="C38" s="225"/>
      <c r="D38" s="225"/>
      <c r="E38" s="225"/>
      <c r="F38" s="228"/>
      <c r="G38" s="228"/>
      <c r="H38" s="175">
        <f t="shared" si="0"/>
        <v>0</v>
      </c>
      <c r="I38" s="38"/>
    </row>
    <row r="39" spans="1:9" ht="15.95" customHeight="1">
      <c r="A39" s="497"/>
      <c r="B39" s="218"/>
      <c r="C39" s="229"/>
      <c r="D39" s="230"/>
      <c r="E39" s="230"/>
      <c r="F39" s="231"/>
      <c r="G39" s="232"/>
      <c r="H39" s="252">
        <f t="shared" si="0"/>
        <v>0</v>
      </c>
      <c r="I39" s="253"/>
    </row>
    <row r="40" spans="1:9" ht="15.95" customHeight="1">
      <c r="A40" s="497"/>
      <c r="B40" s="234"/>
      <c r="C40" s="260"/>
      <c r="D40" s="260"/>
      <c r="E40" s="260"/>
      <c r="F40" s="258"/>
      <c r="G40" s="258"/>
      <c r="H40" s="290">
        <f>SUM(H3:H39)</f>
        <v>204840000</v>
      </c>
      <c r="I40" s="260"/>
    </row>
    <row r="41" spans="1:9" ht="15.95" customHeight="1">
      <c r="A41" s="497"/>
      <c r="B41" s="218" t="s">
        <v>150</v>
      </c>
      <c r="C41" s="219" t="s">
        <v>527</v>
      </c>
      <c r="D41" s="219"/>
      <c r="E41" s="219" t="s">
        <v>60</v>
      </c>
      <c r="F41" s="245">
        <v>25</v>
      </c>
      <c r="G41" s="245">
        <v>219000</v>
      </c>
      <c r="H41" s="223">
        <f t="shared" si="0"/>
        <v>5475000</v>
      </c>
      <c r="I41" s="224"/>
    </row>
    <row r="42" spans="1:9" ht="15.95" customHeight="1">
      <c r="A42" s="497"/>
      <c r="B42" s="218" t="s">
        <v>151</v>
      </c>
      <c r="C42" s="225" t="s">
        <v>528</v>
      </c>
      <c r="D42" s="225"/>
      <c r="E42" s="219" t="s">
        <v>60</v>
      </c>
      <c r="F42" s="228">
        <v>25</v>
      </c>
      <c r="G42" s="228">
        <v>219000</v>
      </c>
      <c r="H42" s="175">
        <f t="shared" si="0"/>
        <v>5475000</v>
      </c>
      <c r="I42" s="38"/>
    </row>
    <row r="43" spans="1:9" ht="15.95" customHeight="1">
      <c r="A43" s="497"/>
      <c r="B43" s="218"/>
      <c r="C43" s="225" t="s">
        <v>529</v>
      </c>
      <c r="D43" s="225"/>
      <c r="E43" s="219" t="s">
        <v>60</v>
      </c>
      <c r="F43" s="228">
        <v>35</v>
      </c>
      <c r="G43" s="228">
        <v>219000</v>
      </c>
      <c r="H43" s="175">
        <f t="shared" si="0"/>
        <v>7665000</v>
      </c>
      <c r="I43" s="38"/>
    </row>
    <row r="44" spans="1:9" ht="15.95" customHeight="1">
      <c r="A44" s="497"/>
      <c r="B44" s="218"/>
      <c r="C44" s="225"/>
      <c r="D44" s="225"/>
      <c r="E44" s="225"/>
      <c r="F44" s="228"/>
      <c r="G44" s="228"/>
      <c r="H44" s="175">
        <f t="shared" si="0"/>
        <v>0</v>
      </c>
      <c r="I44" s="38"/>
    </row>
    <row r="45" spans="1:9" ht="15.95" customHeight="1">
      <c r="A45" s="497"/>
      <c r="B45" s="218"/>
      <c r="C45" s="229"/>
      <c r="D45" s="229"/>
      <c r="E45" s="229"/>
      <c r="F45" s="228"/>
      <c r="G45" s="228"/>
      <c r="H45" s="175">
        <f t="shared" si="0"/>
        <v>0</v>
      </c>
      <c r="I45" s="233"/>
    </row>
    <row r="46" spans="1:9" ht="15.95" customHeight="1">
      <c r="A46" s="497"/>
      <c r="B46" s="234"/>
      <c r="C46" s="235"/>
      <c r="D46" s="236"/>
      <c r="E46" s="236"/>
      <c r="F46" s="312"/>
      <c r="G46" s="238"/>
      <c r="H46" s="239">
        <f>SUM(H41:H45)</f>
        <v>18615000</v>
      </c>
      <c r="I46" s="240"/>
    </row>
    <row r="47" spans="1:9" ht="15.95" customHeight="1">
      <c r="A47" s="497"/>
      <c r="B47" s="261" t="s">
        <v>152</v>
      </c>
      <c r="C47" s="242" t="s">
        <v>360</v>
      </c>
      <c r="D47" s="242"/>
      <c r="E47" s="243"/>
      <c r="F47" s="244" t="s">
        <v>330</v>
      </c>
      <c r="G47" s="245">
        <v>2176000</v>
      </c>
      <c r="H47" s="175">
        <f t="shared" si="0"/>
        <v>4352000</v>
      </c>
      <c r="I47" s="247" t="s">
        <v>198</v>
      </c>
    </row>
    <row r="48" spans="1:9" ht="15.95" customHeight="1">
      <c r="A48" s="497"/>
      <c r="B48" s="218" t="s">
        <v>153</v>
      </c>
      <c r="C48" s="225" t="s">
        <v>361</v>
      </c>
      <c r="D48" s="225"/>
      <c r="E48" s="226"/>
      <c r="F48" s="227" t="s">
        <v>329</v>
      </c>
      <c r="G48" s="228">
        <v>2448000</v>
      </c>
      <c r="H48" s="175">
        <f t="shared" si="0"/>
        <v>2448000</v>
      </c>
      <c r="I48" s="38" t="s">
        <v>198</v>
      </c>
    </row>
    <row r="49" spans="1:9" ht="15.95" customHeight="1">
      <c r="A49" s="497"/>
      <c r="B49" s="218"/>
      <c r="C49" s="225" t="s">
        <v>362</v>
      </c>
      <c r="D49" s="225"/>
      <c r="E49" s="226"/>
      <c r="F49" s="227" t="s">
        <v>329</v>
      </c>
      <c r="G49" s="228">
        <v>1020000.0000000001</v>
      </c>
      <c r="H49" s="175">
        <f t="shared" si="0"/>
        <v>1020000.0000000001</v>
      </c>
      <c r="I49" s="38" t="s">
        <v>198</v>
      </c>
    </row>
    <row r="50" spans="1:9" ht="15.95" customHeight="1">
      <c r="A50" s="497"/>
      <c r="B50" s="218"/>
      <c r="C50" s="225" t="s">
        <v>363</v>
      </c>
      <c r="D50" s="225"/>
      <c r="E50" s="226"/>
      <c r="F50" s="227" t="s">
        <v>330</v>
      </c>
      <c r="G50" s="228">
        <v>1156000</v>
      </c>
      <c r="H50" s="175">
        <f t="shared" si="0"/>
        <v>2312000</v>
      </c>
      <c r="I50" s="38" t="s">
        <v>198</v>
      </c>
    </row>
    <row r="51" spans="1:9" ht="15.95" customHeight="1">
      <c r="A51" s="497"/>
      <c r="B51" s="218"/>
      <c r="C51" s="225" t="s">
        <v>364</v>
      </c>
      <c r="D51" s="225"/>
      <c r="E51" s="226"/>
      <c r="F51" s="227" t="s">
        <v>329</v>
      </c>
      <c r="G51" s="228">
        <v>2040000.0000000002</v>
      </c>
      <c r="H51" s="175">
        <f t="shared" si="0"/>
        <v>2040000.0000000002</v>
      </c>
      <c r="I51" s="38" t="s">
        <v>198</v>
      </c>
    </row>
    <row r="52" spans="1:9" ht="15.95" customHeight="1">
      <c r="A52" s="497"/>
      <c r="B52" s="218"/>
      <c r="C52" s="225" t="s">
        <v>365</v>
      </c>
      <c r="D52" s="338"/>
      <c r="E52" s="226"/>
      <c r="F52" s="227" t="s">
        <v>329</v>
      </c>
      <c r="G52" s="228">
        <v>1360000</v>
      </c>
      <c r="H52" s="175">
        <f t="shared" si="0"/>
        <v>1360000</v>
      </c>
      <c r="I52" s="38" t="s">
        <v>198</v>
      </c>
    </row>
    <row r="53" spans="1:9" ht="15.95" customHeight="1">
      <c r="A53" s="497"/>
      <c r="B53" s="218"/>
      <c r="C53" s="339" t="s">
        <v>366</v>
      </c>
      <c r="D53" s="309"/>
      <c r="E53" s="226"/>
      <c r="F53" s="227" t="s">
        <v>371</v>
      </c>
      <c r="G53" s="228">
        <v>680000</v>
      </c>
      <c r="H53" s="175">
        <f t="shared" si="0"/>
        <v>2720000</v>
      </c>
      <c r="I53" s="38" t="s">
        <v>198</v>
      </c>
    </row>
    <row r="54" spans="1:9" ht="15.95" customHeight="1">
      <c r="A54" s="497"/>
      <c r="B54" s="218"/>
      <c r="C54" s="249" t="s">
        <v>367</v>
      </c>
      <c r="D54" s="249"/>
      <c r="E54" s="225"/>
      <c r="F54" s="250" t="s">
        <v>330</v>
      </c>
      <c r="G54" s="251">
        <v>544000</v>
      </c>
      <c r="H54" s="175">
        <f t="shared" si="0"/>
        <v>1088000</v>
      </c>
      <c r="I54" s="38" t="s">
        <v>198</v>
      </c>
    </row>
    <row r="55" spans="1:9" ht="15.95" customHeight="1">
      <c r="A55" s="497"/>
      <c r="B55" s="218"/>
      <c r="C55" s="225" t="s">
        <v>368</v>
      </c>
      <c r="D55" s="225"/>
      <c r="E55" s="226"/>
      <c r="F55" s="227" t="s">
        <v>330</v>
      </c>
      <c r="G55" s="228">
        <v>1020000.0000000001</v>
      </c>
      <c r="H55" s="175">
        <f t="shared" si="0"/>
        <v>2040000.0000000002</v>
      </c>
      <c r="I55" s="38" t="s">
        <v>198</v>
      </c>
    </row>
    <row r="56" spans="1:9" ht="15.95" customHeight="1">
      <c r="A56" s="497"/>
      <c r="B56" s="218"/>
      <c r="C56" s="225" t="s">
        <v>369</v>
      </c>
      <c r="D56" s="225"/>
      <c r="E56" s="226"/>
      <c r="F56" s="227" t="s">
        <v>329</v>
      </c>
      <c r="G56" s="228">
        <v>272000</v>
      </c>
      <c r="H56" s="175">
        <f t="shared" si="0"/>
        <v>272000</v>
      </c>
      <c r="I56" s="38" t="s">
        <v>198</v>
      </c>
    </row>
    <row r="57" spans="1:9" ht="15.95" customHeight="1">
      <c r="A57" s="497"/>
      <c r="B57" s="218"/>
      <c r="C57" s="225" t="s">
        <v>370</v>
      </c>
      <c r="D57" s="225"/>
      <c r="E57" s="226"/>
      <c r="F57" s="227" t="s">
        <v>329</v>
      </c>
      <c r="G57" s="228">
        <v>476000.00000000006</v>
      </c>
      <c r="H57" s="175">
        <f t="shared" si="0"/>
        <v>476000.00000000006</v>
      </c>
      <c r="I57" s="38" t="s">
        <v>198</v>
      </c>
    </row>
    <row r="58" spans="1:9" ht="15.95" customHeight="1">
      <c r="A58" s="497"/>
      <c r="B58" s="218"/>
      <c r="C58" s="225" t="s">
        <v>367</v>
      </c>
      <c r="D58" s="225"/>
      <c r="E58" s="226"/>
      <c r="F58" s="227" t="s">
        <v>329</v>
      </c>
      <c r="G58" s="228">
        <v>544000</v>
      </c>
      <c r="H58" s="175">
        <f t="shared" si="0"/>
        <v>544000</v>
      </c>
      <c r="I58" s="38" t="s">
        <v>198</v>
      </c>
    </row>
    <row r="59" spans="1:9" ht="15.95" customHeight="1">
      <c r="A59" s="497"/>
      <c r="B59" s="218"/>
      <c r="C59" s="225" t="s">
        <v>391</v>
      </c>
      <c r="D59" s="225"/>
      <c r="E59" s="226"/>
      <c r="F59" s="227" t="s">
        <v>330</v>
      </c>
      <c r="G59" s="228">
        <v>2040000.0000000002</v>
      </c>
      <c r="H59" s="175">
        <f t="shared" ref="H59:H85" si="1">IF(F59=0,G59,G59*F59)</f>
        <v>4080000.0000000005</v>
      </c>
      <c r="I59" s="38" t="s">
        <v>558</v>
      </c>
    </row>
    <row r="60" spans="1:9" ht="15.95" customHeight="1">
      <c r="A60" s="497"/>
      <c r="B60" s="218"/>
      <c r="C60" s="225" t="s">
        <v>392</v>
      </c>
      <c r="D60" s="225"/>
      <c r="E60" s="226"/>
      <c r="F60" s="227" t="s">
        <v>330</v>
      </c>
      <c r="G60" s="228">
        <v>1224000</v>
      </c>
      <c r="H60" s="175">
        <f t="shared" si="1"/>
        <v>2448000</v>
      </c>
      <c r="I60" s="38" t="s">
        <v>203</v>
      </c>
    </row>
    <row r="61" spans="1:9" ht="15.95" customHeight="1">
      <c r="A61" s="497"/>
      <c r="B61" s="218"/>
      <c r="C61" s="225" t="s">
        <v>202</v>
      </c>
      <c r="D61" s="225"/>
      <c r="E61" s="226"/>
      <c r="F61" s="227" t="s">
        <v>330</v>
      </c>
      <c r="G61" s="228">
        <v>272000</v>
      </c>
      <c r="H61" s="175">
        <f t="shared" si="1"/>
        <v>544000</v>
      </c>
      <c r="I61" s="38" t="s">
        <v>214</v>
      </c>
    </row>
    <row r="62" spans="1:9" ht="15.95" customHeight="1">
      <c r="A62" s="497"/>
      <c r="B62" s="218"/>
      <c r="C62" s="225" t="s">
        <v>202</v>
      </c>
      <c r="D62" s="225"/>
      <c r="E62" s="226"/>
      <c r="F62" s="227" t="s">
        <v>329</v>
      </c>
      <c r="G62" s="228">
        <v>272000</v>
      </c>
      <c r="H62" s="175">
        <f t="shared" si="1"/>
        <v>272000</v>
      </c>
      <c r="I62" s="38" t="s">
        <v>214</v>
      </c>
    </row>
    <row r="63" spans="1:9" ht="15.95" customHeight="1">
      <c r="A63" s="497"/>
      <c r="B63" s="218"/>
      <c r="C63" s="225" t="s">
        <v>393</v>
      </c>
      <c r="D63" s="225"/>
      <c r="E63" s="226"/>
      <c r="F63" s="227" t="s">
        <v>330</v>
      </c>
      <c r="G63" s="228">
        <v>1190000</v>
      </c>
      <c r="H63" s="175">
        <f t="shared" si="1"/>
        <v>2380000</v>
      </c>
      <c r="I63" s="38" t="s">
        <v>560</v>
      </c>
    </row>
    <row r="64" spans="1:9" ht="15.95" customHeight="1">
      <c r="A64" s="497"/>
      <c r="B64" s="218"/>
      <c r="C64" s="225" t="s">
        <v>394</v>
      </c>
      <c r="D64" s="225"/>
      <c r="E64" s="226"/>
      <c r="F64" s="227" t="s">
        <v>329</v>
      </c>
      <c r="G64" s="228">
        <v>646000</v>
      </c>
      <c r="H64" s="175">
        <f t="shared" si="1"/>
        <v>646000</v>
      </c>
      <c r="I64" s="38" t="s">
        <v>561</v>
      </c>
    </row>
    <row r="65" spans="1:9" ht="15.95" customHeight="1">
      <c r="A65" s="497"/>
      <c r="B65" s="218"/>
      <c r="C65" s="225" t="s">
        <v>202</v>
      </c>
      <c r="D65" s="225"/>
      <c r="E65" s="226"/>
      <c r="F65" s="227" t="s">
        <v>329</v>
      </c>
      <c r="G65" s="228">
        <v>204000.00000000003</v>
      </c>
      <c r="H65" s="175">
        <f t="shared" si="1"/>
        <v>204000.00000000003</v>
      </c>
      <c r="I65" s="38" t="s">
        <v>214</v>
      </c>
    </row>
    <row r="66" spans="1:9" ht="15.95" customHeight="1">
      <c r="A66" s="497"/>
      <c r="B66" s="218"/>
      <c r="C66" s="225" t="s">
        <v>202</v>
      </c>
      <c r="D66" s="225"/>
      <c r="E66" s="226"/>
      <c r="F66" s="227" t="s">
        <v>329</v>
      </c>
      <c r="G66" s="228">
        <v>204000.00000000003</v>
      </c>
      <c r="H66" s="175">
        <f t="shared" si="1"/>
        <v>204000.00000000003</v>
      </c>
      <c r="I66" s="38" t="s">
        <v>214</v>
      </c>
    </row>
    <row r="67" spans="1:9" ht="15.95" customHeight="1">
      <c r="A67" s="497"/>
      <c r="B67" s="218"/>
      <c r="C67" s="225" t="s">
        <v>395</v>
      </c>
      <c r="D67" s="225"/>
      <c r="E67" s="226"/>
      <c r="F67" s="227" t="s">
        <v>330</v>
      </c>
      <c r="G67" s="228">
        <v>272000</v>
      </c>
      <c r="H67" s="175">
        <f t="shared" si="1"/>
        <v>544000</v>
      </c>
      <c r="I67" s="38" t="s">
        <v>562</v>
      </c>
    </row>
    <row r="68" spans="1:9" ht="15.95" customHeight="1">
      <c r="A68" s="497"/>
      <c r="B68" s="218"/>
      <c r="C68" s="225" t="s">
        <v>405</v>
      </c>
      <c r="D68" s="225"/>
      <c r="E68" s="226"/>
      <c r="F68" s="227">
        <v>1</v>
      </c>
      <c r="G68" s="228">
        <v>13600000.000000002</v>
      </c>
      <c r="H68" s="175">
        <f t="shared" si="1"/>
        <v>13600000.000000002</v>
      </c>
      <c r="I68" s="38" t="s">
        <v>322</v>
      </c>
    </row>
    <row r="69" spans="1:9" ht="15.95" customHeight="1">
      <c r="A69" s="497"/>
      <c r="B69" s="218"/>
      <c r="C69" s="225" t="s">
        <v>396</v>
      </c>
      <c r="D69" s="225"/>
      <c r="E69" s="226"/>
      <c r="F69" s="227" t="s">
        <v>329</v>
      </c>
      <c r="G69" s="228">
        <v>680000</v>
      </c>
      <c r="H69" s="175">
        <f t="shared" si="1"/>
        <v>680000</v>
      </c>
      <c r="I69" s="38" t="s">
        <v>562</v>
      </c>
    </row>
    <row r="70" spans="1:9" ht="15.95" customHeight="1">
      <c r="A70" s="497"/>
      <c r="B70" s="218"/>
      <c r="C70" s="225" t="s">
        <v>202</v>
      </c>
      <c r="D70" s="225"/>
      <c r="E70" s="226"/>
      <c r="F70" s="227" t="s">
        <v>329</v>
      </c>
      <c r="G70" s="228">
        <v>272000</v>
      </c>
      <c r="H70" s="175">
        <f t="shared" si="1"/>
        <v>272000</v>
      </c>
      <c r="I70" s="38" t="s">
        <v>214</v>
      </c>
    </row>
    <row r="71" spans="1:9" ht="15.95" customHeight="1">
      <c r="A71" s="497"/>
      <c r="B71" s="218"/>
      <c r="C71" s="225" t="s">
        <v>397</v>
      </c>
      <c r="D71" s="225"/>
      <c r="E71" s="226"/>
      <c r="F71" s="227" t="s">
        <v>371</v>
      </c>
      <c r="G71" s="228">
        <v>544000</v>
      </c>
      <c r="H71" s="175">
        <f t="shared" si="1"/>
        <v>2176000</v>
      </c>
      <c r="I71" s="38" t="s">
        <v>563</v>
      </c>
    </row>
    <row r="72" spans="1:9" ht="15.95" customHeight="1">
      <c r="A72" s="497"/>
      <c r="B72" s="218"/>
      <c r="C72" s="225" t="s">
        <v>398</v>
      </c>
      <c r="D72" s="225"/>
      <c r="E72" s="226"/>
      <c r="F72" s="227" t="s">
        <v>330</v>
      </c>
      <c r="G72" s="228">
        <v>340000</v>
      </c>
      <c r="H72" s="175">
        <f t="shared" si="1"/>
        <v>680000</v>
      </c>
      <c r="I72" s="38" t="s">
        <v>325</v>
      </c>
    </row>
    <row r="73" spans="1:9" ht="15.95" customHeight="1">
      <c r="A73" s="497"/>
      <c r="B73" s="218"/>
      <c r="C73" s="225" t="s">
        <v>399</v>
      </c>
      <c r="D73" s="225"/>
      <c r="E73" s="226"/>
      <c r="F73" s="227">
        <v>4</v>
      </c>
      <c r="G73" s="228">
        <v>748000</v>
      </c>
      <c r="H73" s="175">
        <f t="shared" si="1"/>
        <v>2992000</v>
      </c>
      <c r="I73" s="38" t="s">
        <v>214</v>
      </c>
    </row>
    <row r="74" spans="1:9" ht="15.95" customHeight="1">
      <c r="A74" s="497"/>
      <c r="B74" s="218"/>
      <c r="C74" s="225" t="s">
        <v>202</v>
      </c>
      <c r="D74" s="225"/>
      <c r="E74" s="226"/>
      <c r="F74" s="227" t="s">
        <v>329</v>
      </c>
      <c r="G74" s="228">
        <v>204000.00000000003</v>
      </c>
      <c r="H74" s="175">
        <f t="shared" si="1"/>
        <v>204000.00000000003</v>
      </c>
      <c r="I74" s="38" t="s">
        <v>214</v>
      </c>
    </row>
    <row r="75" spans="1:9" ht="15.95" customHeight="1">
      <c r="A75" s="497"/>
      <c r="B75" s="218"/>
      <c r="C75" s="225" t="s">
        <v>199</v>
      </c>
      <c r="D75" s="225"/>
      <c r="E75" s="226"/>
      <c r="F75" s="227" t="s">
        <v>329</v>
      </c>
      <c r="G75" s="228">
        <v>952000.00000000012</v>
      </c>
      <c r="H75" s="175">
        <f t="shared" si="1"/>
        <v>952000.00000000012</v>
      </c>
      <c r="I75" s="38" t="s">
        <v>200</v>
      </c>
    </row>
    <row r="76" spans="1:9" ht="15.95" customHeight="1">
      <c r="A76" s="497"/>
      <c r="B76" s="218"/>
      <c r="C76" s="225" t="s">
        <v>400</v>
      </c>
      <c r="D76" s="225"/>
      <c r="E76" s="226"/>
      <c r="F76" s="227" t="s">
        <v>329</v>
      </c>
      <c r="G76" s="228">
        <v>408000.00000000006</v>
      </c>
      <c r="H76" s="175">
        <f t="shared" si="1"/>
        <v>408000.00000000006</v>
      </c>
      <c r="I76" s="38" t="s">
        <v>562</v>
      </c>
    </row>
    <row r="77" spans="1:9" ht="15.95" customHeight="1">
      <c r="A77" s="497"/>
      <c r="B77" s="218"/>
      <c r="C77" s="225" t="s">
        <v>202</v>
      </c>
      <c r="D77" s="225"/>
      <c r="E77" s="226"/>
      <c r="F77" s="227" t="s">
        <v>329</v>
      </c>
      <c r="G77" s="228">
        <v>136000</v>
      </c>
      <c r="H77" s="175">
        <f t="shared" si="1"/>
        <v>136000</v>
      </c>
      <c r="I77" s="38" t="s">
        <v>214</v>
      </c>
    </row>
    <row r="78" spans="1:9" ht="15.95" customHeight="1">
      <c r="A78" s="497"/>
      <c r="B78" s="218"/>
      <c r="C78" s="225" t="s">
        <v>398</v>
      </c>
      <c r="D78" s="225"/>
      <c r="E78" s="226"/>
      <c r="F78" s="227" t="s">
        <v>329</v>
      </c>
      <c r="G78" s="228">
        <v>340000</v>
      </c>
      <c r="H78" s="175">
        <f t="shared" si="1"/>
        <v>340000</v>
      </c>
      <c r="I78" s="38" t="s">
        <v>325</v>
      </c>
    </row>
    <row r="79" spans="1:9" ht="15.95" customHeight="1">
      <c r="A79" s="497"/>
      <c r="B79" s="218"/>
      <c r="C79" s="225" t="s">
        <v>401</v>
      </c>
      <c r="D79" s="225"/>
      <c r="E79" s="226"/>
      <c r="F79" s="227" t="s">
        <v>329</v>
      </c>
      <c r="G79" s="228">
        <v>1020000.0000000001</v>
      </c>
      <c r="H79" s="175">
        <f t="shared" si="1"/>
        <v>1020000.0000000001</v>
      </c>
      <c r="I79" s="38" t="s">
        <v>483</v>
      </c>
    </row>
    <row r="80" spans="1:9" ht="15.95" customHeight="1">
      <c r="A80" s="497"/>
      <c r="B80" s="218"/>
      <c r="C80" s="225" t="s">
        <v>402</v>
      </c>
      <c r="D80" s="225"/>
      <c r="E80" s="226"/>
      <c r="F80" s="227" t="s">
        <v>330</v>
      </c>
      <c r="G80" s="228">
        <v>340000</v>
      </c>
      <c r="H80" s="175">
        <f t="shared" si="1"/>
        <v>680000</v>
      </c>
      <c r="I80" s="38" t="s">
        <v>483</v>
      </c>
    </row>
    <row r="81" spans="1:9" ht="15.95" customHeight="1">
      <c r="A81" s="497"/>
      <c r="B81" s="218"/>
      <c r="C81" s="225" t="s">
        <v>403</v>
      </c>
      <c r="D81" s="225"/>
      <c r="E81" s="226"/>
      <c r="F81" s="227" t="s">
        <v>329</v>
      </c>
      <c r="G81" s="228">
        <v>1496000</v>
      </c>
      <c r="H81" s="175">
        <f t="shared" si="1"/>
        <v>1496000</v>
      </c>
      <c r="I81" s="38" t="s">
        <v>203</v>
      </c>
    </row>
    <row r="82" spans="1:9" ht="15.95" customHeight="1">
      <c r="A82" s="497"/>
      <c r="B82" s="218"/>
      <c r="C82" s="225" t="s">
        <v>353</v>
      </c>
      <c r="D82" s="225"/>
      <c r="E82" s="226"/>
      <c r="F82" s="226">
        <v>2</v>
      </c>
      <c r="G82" s="228">
        <v>408000.00000000006</v>
      </c>
      <c r="H82" s="175">
        <v>600000</v>
      </c>
      <c r="I82" s="38" t="s">
        <v>350</v>
      </c>
    </row>
    <row r="83" spans="1:9" ht="15.95" customHeight="1">
      <c r="A83" s="497"/>
      <c r="B83" s="218"/>
      <c r="C83" s="225" t="s">
        <v>251</v>
      </c>
      <c r="D83" s="225"/>
      <c r="E83" s="226"/>
      <c r="F83" s="227" t="s">
        <v>329</v>
      </c>
      <c r="G83" s="228">
        <v>1632000.0000000002</v>
      </c>
      <c r="H83" s="175">
        <f t="shared" si="1"/>
        <v>1632000.0000000002</v>
      </c>
      <c r="I83" s="38" t="s">
        <v>253</v>
      </c>
    </row>
    <row r="84" spans="1:9" ht="15.95" customHeight="1">
      <c r="A84" s="497"/>
      <c r="B84" s="218"/>
      <c r="C84" s="225" t="s">
        <v>259</v>
      </c>
      <c r="D84" s="225"/>
      <c r="E84" s="226"/>
      <c r="F84" s="227" t="s">
        <v>329</v>
      </c>
      <c r="G84" s="228">
        <v>680000</v>
      </c>
      <c r="H84" s="175">
        <f t="shared" si="1"/>
        <v>680000</v>
      </c>
      <c r="I84" s="38" t="s">
        <v>203</v>
      </c>
    </row>
    <row r="85" spans="1:9" ht="15.95" customHeight="1">
      <c r="A85" s="497"/>
      <c r="B85" s="218"/>
      <c r="C85" s="225" t="s">
        <v>354</v>
      </c>
      <c r="D85" s="225"/>
      <c r="E85" s="226"/>
      <c r="F85" s="227" t="s">
        <v>330</v>
      </c>
      <c r="G85" s="228">
        <v>680000</v>
      </c>
      <c r="H85" s="175">
        <f t="shared" si="1"/>
        <v>1360000</v>
      </c>
      <c r="I85" s="38" t="s">
        <v>203</v>
      </c>
    </row>
    <row r="86" spans="1:9" ht="15.95" customHeight="1">
      <c r="A86" s="497"/>
      <c r="B86" s="218"/>
      <c r="C86" s="225" t="s">
        <v>406</v>
      </c>
      <c r="D86" s="338"/>
      <c r="E86" s="226"/>
      <c r="F86" s="226">
        <v>2</v>
      </c>
      <c r="G86" s="228">
        <v>816000.00000000012</v>
      </c>
      <c r="H86" s="175">
        <v>1632000.0000000002</v>
      </c>
      <c r="I86" s="38" t="s">
        <v>554</v>
      </c>
    </row>
    <row r="87" spans="1:9" ht="15.95" customHeight="1">
      <c r="A87" s="497"/>
      <c r="B87" s="218"/>
      <c r="C87" s="339" t="s">
        <v>407</v>
      </c>
      <c r="D87" s="309"/>
      <c r="E87" s="226"/>
      <c r="F87" s="226">
        <v>1</v>
      </c>
      <c r="G87" s="228">
        <v>476000.00000000006</v>
      </c>
      <c r="H87" s="175">
        <v>476000.00000000006</v>
      </c>
      <c r="I87" s="38" t="s">
        <v>554</v>
      </c>
    </row>
    <row r="88" spans="1:9" ht="15.95" customHeight="1">
      <c r="A88" s="497"/>
      <c r="B88" s="218"/>
      <c r="C88" s="249" t="s">
        <v>408</v>
      </c>
      <c r="D88" s="249"/>
      <c r="E88" s="225"/>
      <c r="F88" s="359">
        <v>1</v>
      </c>
      <c r="G88" s="251">
        <v>340000</v>
      </c>
      <c r="H88" s="175">
        <v>340000</v>
      </c>
      <c r="I88" s="38" t="s">
        <v>554</v>
      </c>
    </row>
    <row r="89" spans="1:9" ht="15.95" customHeight="1">
      <c r="A89" s="497"/>
      <c r="B89" s="218"/>
      <c r="C89" s="225" t="s">
        <v>409</v>
      </c>
      <c r="D89" s="225"/>
      <c r="E89" s="226"/>
      <c r="F89" s="226">
        <v>1</v>
      </c>
      <c r="G89" s="228">
        <v>204000.00000000003</v>
      </c>
      <c r="H89" s="175">
        <v>204000.00000000003</v>
      </c>
      <c r="I89" s="38" t="s">
        <v>554</v>
      </c>
    </row>
    <row r="90" spans="1:9" ht="15.95" customHeight="1">
      <c r="A90" s="497"/>
      <c r="B90" s="218"/>
      <c r="C90" s="225" t="s">
        <v>410</v>
      </c>
      <c r="D90" s="225"/>
      <c r="E90" s="226"/>
      <c r="F90" s="226">
        <v>2</v>
      </c>
      <c r="G90" s="228">
        <v>204000.00000000003</v>
      </c>
      <c r="H90" s="175">
        <v>408000.00000000006</v>
      </c>
      <c r="I90" s="38" t="s">
        <v>554</v>
      </c>
    </row>
    <row r="91" spans="1:9" ht="15.95" customHeight="1">
      <c r="A91" s="497"/>
      <c r="B91" s="218"/>
      <c r="C91" s="225" t="s">
        <v>411</v>
      </c>
      <c r="D91" s="225"/>
      <c r="E91" s="226"/>
      <c r="F91" s="226">
        <v>1</v>
      </c>
      <c r="G91" s="228">
        <v>204000.00000000003</v>
      </c>
      <c r="H91" s="175">
        <v>204000.00000000003</v>
      </c>
      <c r="I91" s="38" t="s">
        <v>554</v>
      </c>
    </row>
    <row r="92" spans="1:9" ht="15.95" customHeight="1">
      <c r="A92" s="497"/>
      <c r="B92" s="218"/>
      <c r="C92" s="225" t="s">
        <v>412</v>
      </c>
      <c r="D92" s="225"/>
      <c r="E92" s="226"/>
      <c r="F92" s="226">
        <v>1</v>
      </c>
      <c r="G92" s="228">
        <v>204000.00000000003</v>
      </c>
      <c r="H92" s="175">
        <v>204000.00000000003</v>
      </c>
      <c r="I92" s="38" t="s">
        <v>554</v>
      </c>
    </row>
    <row r="93" spans="1:9" ht="15.95" customHeight="1">
      <c r="A93" s="497"/>
      <c r="B93" s="218"/>
      <c r="C93" s="225" t="s">
        <v>413</v>
      </c>
      <c r="D93" s="225"/>
      <c r="E93" s="226"/>
      <c r="F93" s="226">
        <v>4</v>
      </c>
      <c r="G93" s="228">
        <v>204000.00000000003</v>
      </c>
      <c r="H93" s="175">
        <v>816000.00000000012</v>
      </c>
      <c r="I93" s="38" t="s">
        <v>554</v>
      </c>
    </row>
    <row r="94" spans="1:9" ht="15.95" customHeight="1">
      <c r="A94" s="497"/>
      <c r="B94" s="218"/>
      <c r="C94" s="225" t="s">
        <v>414</v>
      </c>
      <c r="D94" s="338"/>
      <c r="E94" s="226"/>
      <c r="F94" s="226">
        <v>2</v>
      </c>
      <c r="G94" s="228">
        <v>272000</v>
      </c>
      <c r="H94" s="175">
        <v>544000</v>
      </c>
      <c r="I94" s="38" t="s">
        <v>554</v>
      </c>
    </row>
    <row r="95" spans="1:9" ht="15.95" customHeight="1">
      <c r="A95" s="497"/>
      <c r="B95" s="218"/>
      <c r="C95" s="339" t="s">
        <v>415</v>
      </c>
      <c r="D95" s="309"/>
      <c r="E95" s="226"/>
      <c r="F95" s="226">
        <v>1</v>
      </c>
      <c r="G95" s="228">
        <v>204000.00000000003</v>
      </c>
      <c r="H95" s="175">
        <v>204000.00000000003</v>
      </c>
      <c r="I95" s="38" t="s">
        <v>554</v>
      </c>
    </row>
    <row r="96" spans="1:9" ht="15.95" customHeight="1">
      <c r="A96" s="497"/>
      <c r="B96" s="218"/>
      <c r="C96" s="249" t="s">
        <v>416</v>
      </c>
      <c r="D96" s="249"/>
      <c r="E96" s="225"/>
      <c r="F96" s="359">
        <v>1</v>
      </c>
      <c r="G96" s="251">
        <v>204000.00000000003</v>
      </c>
      <c r="H96" s="175">
        <v>204000.00000000003</v>
      </c>
      <c r="I96" s="38" t="s">
        <v>554</v>
      </c>
    </row>
    <row r="97" spans="1:9" ht="15.95" customHeight="1">
      <c r="A97" s="497"/>
      <c r="B97" s="218"/>
      <c r="C97" s="225" t="s">
        <v>414</v>
      </c>
      <c r="D97" s="225"/>
      <c r="E97" s="226"/>
      <c r="F97" s="226">
        <v>1</v>
      </c>
      <c r="G97" s="228">
        <v>272000</v>
      </c>
      <c r="H97" s="175">
        <v>272000</v>
      </c>
      <c r="I97" s="38" t="s">
        <v>554</v>
      </c>
    </row>
    <row r="98" spans="1:9" ht="15.95" customHeight="1">
      <c r="A98" s="497"/>
      <c r="B98" s="218"/>
      <c r="C98" s="225" t="s">
        <v>417</v>
      </c>
      <c r="D98" s="225"/>
      <c r="E98" s="226"/>
      <c r="F98" s="226">
        <v>1</v>
      </c>
      <c r="G98" s="228">
        <v>238000.00000000003</v>
      </c>
      <c r="H98" s="175">
        <v>238000.00000000003</v>
      </c>
      <c r="I98" s="38" t="s">
        <v>554</v>
      </c>
    </row>
    <row r="99" spans="1:9" ht="15.95" customHeight="1">
      <c r="A99" s="497"/>
      <c r="B99" s="218"/>
      <c r="C99" s="225" t="s">
        <v>418</v>
      </c>
      <c r="D99" s="225"/>
      <c r="E99" s="226"/>
      <c r="F99" s="226">
        <v>1</v>
      </c>
      <c r="G99" s="228">
        <v>340000</v>
      </c>
      <c r="H99" s="175">
        <v>340000</v>
      </c>
      <c r="I99" s="38" t="s">
        <v>554</v>
      </c>
    </row>
    <row r="100" spans="1:9" ht="15.95" customHeight="1">
      <c r="A100" s="497"/>
      <c r="B100" s="218"/>
      <c r="C100" s="225" t="s">
        <v>565</v>
      </c>
      <c r="D100" s="225"/>
      <c r="E100" s="226"/>
      <c r="F100" s="227">
        <v>1</v>
      </c>
      <c r="G100" s="228">
        <v>320000000</v>
      </c>
      <c r="H100" s="175">
        <v>320000000</v>
      </c>
      <c r="I100" s="38" t="s">
        <v>564</v>
      </c>
    </row>
    <row r="101" spans="1:9" ht="15.95" customHeight="1">
      <c r="A101" s="497"/>
      <c r="B101" s="218"/>
      <c r="C101" s="225"/>
      <c r="D101" s="225"/>
      <c r="E101" s="226"/>
      <c r="F101" s="227"/>
      <c r="G101" s="228"/>
      <c r="H101" s="175">
        <f t="shared" si="0"/>
        <v>0</v>
      </c>
      <c r="I101" s="38"/>
    </row>
    <row r="102" spans="1:9" ht="15.95" customHeight="1">
      <c r="A102" s="497"/>
      <c r="B102" s="218"/>
      <c r="C102" s="225"/>
      <c r="D102" s="225"/>
      <c r="E102" s="226"/>
      <c r="F102" s="226"/>
      <c r="G102" s="228"/>
      <c r="H102" s="175">
        <f t="shared" si="0"/>
        <v>0</v>
      </c>
      <c r="I102" s="38"/>
    </row>
    <row r="103" spans="1:9" ht="15.95" customHeight="1">
      <c r="A103" s="497"/>
      <c r="B103" s="218"/>
      <c r="C103" s="225"/>
      <c r="D103" s="225"/>
      <c r="E103" s="226"/>
      <c r="F103" s="227"/>
      <c r="G103" s="228"/>
      <c r="H103" s="175">
        <f t="shared" si="0"/>
        <v>0</v>
      </c>
      <c r="I103" s="38"/>
    </row>
    <row r="104" spans="1:9" ht="15.95" customHeight="1">
      <c r="A104" s="497"/>
      <c r="B104" s="218"/>
      <c r="C104" s="225"/>
      <c r="D104" s="225"/>
      <c r="E104" s="226"/>
      <c r="F104" s="227"/>
      <c r="G104" s="228"/>
      <c r="H104" s="175">
        <f t="shared" ref="H104" si="2">IF(F104=0,G104,G104*F104)</f>
        <v>0</v>
      </c>
      <c r="I104" s="38"/>
    </row>
    <row r="105" spans="1:9" ht="15.95" customHeight="1">
      <c r="A105" s="497"/>
      <c r="B105" s="218"/>
      <c r="C105" s="225"/>
      <c r="D105" s="225"/>
      <c r="E105" s="226"/>
      <c r="F105" s="227"/>
      <c r="G105" s="228"/>
      <c r="H105" s="175">
        <f t="shared" si="0"/>
        <v>0</v>
      </c>
      <c r="I105" s="38"/>
    </row>
    <row r="106" spans="1:9" ht="15.95" customHeight="1">
      <c r="A106" s="497"/>
      <c r="B106" s="218"/>
      <c r="C106" s="229"/>
      <c r="D106" s="229"/>
      <c r="E106" s="230"/>
      <c r="F106" s="231"/>
      <c r="G106" s="232"/>
      <c r="H106" s="185">
        <f t="shared" si="0"/>
        <v>0</v>
      </c>
      <c r="I106" s="233"/>
    </row>
    <row r="107" spans="1:9" ht="15.95" customHeight="1">
      <c r="A107" s="497"/>
      <c r="B107" s="234"/>
      <c r="C107" s="235"/>
      <c r="D107" s="236"/>
      <c r="E107" s="236"/>
      <c r="F107" s="238"/>
      <c r="G107" s="238"/>
      <c r="H107" s="239">
        <f>SUM(H47:H106)</f>
        <v>387988000</v>
      </c>
      <c r="I107" s="240"/>
    </row>
    <row r="108" spans="1:9" ht="15.95" customHeight="1">
      <c r="A108" s="497"/>
      <c r="B108" s="261" t="s">
        <v>53</v>
      </c>
      <c r="C108" s="225"/>
      <c r="D108" s="307"/>
      <c r="E108" s="307"/>
      <c r="F108" s="310"/>
      <c r="G108" s="228"/>
      <c r="H108" s="246">
        <f t="shared" si="0"/>
        <v>0</v>
      </c>
      <c r="I108" s="247"/>
    </row>
    <row r="109" spans="1:9" ht="15.95" customHeight="1">
      <c r="A109" s="497"/>
      <c r="B109" s="218"/>
      <c r="C109" s="225"/>
      <c r="D109" s="307"/>
      <c r="E109" s="307"/>
      <c r="F109" s="310"/>
      <c r="G109" s="228"/>
      <c r="H109" s="175">
        <f t="shared" si="0"/>
        <v>0</v>
      </c>
      <c r="I109" s="38"/>
    </row>
    <row r="110" spans="1:9" ht="15.95" customHeight="1">
      <c r="A110" s="497"/>
      <c r="B110" s="218"/>
      <c r="C110" s="225"/>
      <c r="D110" s="225"/>
      <c r="E110" s="225"/>
      <c r="F110" s="228"/>
      <c r="G110" s="228"/>
      <c r="H110" s="175">
        <f t="shared" si="0"/>
        <v>0</v>
      </c>
      <c r="I110" s="38"/>
    </row>
    <row r="111" spans="1:9" ht="15.95" customHeight="1">
      <c r="A111" s="497"/>
      <c r="B111" s="218"/>
      <c r="C111" s="225"/>
      <c r="D111" s="225"/>
      <c r="E111" s="225"/>
      <c r="F111" s="228"/>
      <c r="G111" s="228"/>
      <c r="H111" s="175">
        <f t="shared" si="0"/>
        <v>0</v>
      </c>
      <c r="I111" s="38"/>
    </row>
    <row r="112" spans="1:9" ht="15.95" customHeight="1">
      <c r="A112" s="497"/>
      <c r="B112" s="218"/>
      <c r="C112" s="225"/>
      <c r="D112" s="225"/>
      <c r="E112" s="225"/>
      <c r="F112" s="228"/>
      <c r="G112" s="228"/>
      <c r="H112" s="175">
        <f t="shared" si="0"/>
        <v>0</v>
      </c>
      <c r="I112" s="38"/>
    </row>
    <row r="113" spans="1:9" ht="15.95" customHeight="1">
      <c r="A113" s="497"/>
      <c r="B113" s="218"/>
      <c r="C113" s="225"/>
      <c r="D113" s="225"/>
      <c r="E113" s="225"/>
      <c r="F113" s="228"/>
      <c r="G113" s="228"/>
      <c r="H113" s="175">
        <f t="shared" si="0"/>
        <v>0</v>
      </c>
      <c r="I113" s="38"/>
    </row>
    <row r="114" spans="1:9" ht="15.95" customHeight="1">
      <c r="A114" s="497"/>
      <c r="B114" s="218"/>
      <c r="C114" s="229"/>
      <c r="D114" s="229"/>
      <c r="E114" s="229"/>
      <c r="F114" s="232"/>
      <c r="G114" s="232"/>
      <c r="H114" s="185">
        <f t="shared" si="0"/>
        <v>0</v>
      </c>
      <c r="I114" s="233"/>
    </row>
    <row r="115" spans="1:9" ht="15.95" customHeight="1">
      <c r="A115" s="497"/>
      <c r="B115" s="234"/>
      <c r="C115" s="235"/>
      <c r="D115" s="236"/>
      <c r="E115" s="236"/>
      <c r="F115" s="238"/>
      <c r="G115" s="238"/>
      <c r="H115" s="239">
        <f>SUM(H108:H114)</f>
        <v>0</v>
      </c>
      <c r="I115" s="240"/>
    </row>
    <row r="116" spans="1:9" ht="15.95" customHeight="1">
      <c r="A116" s="281"/>
      <c r="B116" s="282" t="s">
        <v>135</v>
      </c>
      <c r="C116" s="283"/>
      <c r="D116" s="240"/>
      <c r="E116" s="240"/>
      <c r="F116" s="285"/>
      <c r="G116" s="285"/>
      <c r="H116" s="239">
        <f>SUM(H115,H107,H46,H40)</f>
        <v>611443000</v>
      </c>
      <c r="I116" s="240"/>
    </row>
    <row r="117" spans="1:9" ht="15.95" customHeight="1">
      <c r="A117" s="498" t="s">
        <v>136</v>
      </c>
      <c r="B117" s="286" t="s">
        <v>59</v>
      </c>
      <c r="C117" s="283"/>
      <c r="D117" s="240"/>
      <c r="E117" s="286" t="s">
        <v>60</v>
      </c>
      <c r="F117" s="303"/>
      <c r="G117" s="289"/>
      <c r="H117" s="290">
        <f>F117*G117</f>
        <v>0</v>
      </c>
      <c r="I117" s="240"/>
    </row>
    <row r="118" spans="1:9" ht="15.95" customHeight="1">
      <c r="A118" s="497"/>
      <c r="B118" s="291" t="s">
        <v>154</v>
      </c>
      <c r="C118" s="292"/>
      <c r="D118" s="247"/>
      <c r="E118" s="291" t="s">
        <v>138</v>
      </c>
      <c r="F118" s="245"/>
      <c r="G118" s="245"/>
      <c r="H118" s="246">
        <f t="shared" ref="H118:H124" si="3">F118*G118</f>
        <v>0</v>
      </c>
      <c r="I118" s="247"/>
    </row>
    <row r="119" spans="1:9" ht="15.95" customHeight="1">
      <c r="A119" s="497"/>
      <c r="B119" s="324" t="s">
        <v>155</v>
      </c>
      <c r="C119" s="295"/>
      <c r="D119" s="38"/>
      <c r="E119" s="294" t="s">
        <v>138</v>
      </c>
      <c r="F119" s="340"/>
      <c r="G119" s="228"/>
      <c r="H119" s="175">
        <f t="shared" si="3"/>
        <v>0</v>
      </c>
      <c r="I119" s="38"/>
    </row>
    <row r="120" spans="1:9" ht="15.95" customHeight="1">
      <c r="A120" s="497"/>
      <c r="B120" s="294" t="s">
        <v>156</v>
      </c>
      <c r="C120" s="295"/>
      <c r="D120" s="38"/>
      <c r="E120" s="294" t="s">
        <v>138</v>
      </c>
      <c r="F120" s="340"/>
      <c r="G120" s="228"/>
      <c r="H120" s="175">
        <f t="shared" si="3"/>
        <v>0</v>
      </c>
      <c r="I120" s="38"/>
    </row>
    <row r="121" spans="1:9" ht="15.95" customHeight="1">
      <c r="A121" s="497"/>
      <c r="B121" s="294" t="s">
        <v>157</v>
      </c>
      <c r="C121" s="295"/>
      <c r="D121" s="38"/>
      <c r="E121" s="294" t="s">
        <v>138</v>
      </c>
      <c r="F121" s="228"/>
      <c r="G121" s="228"/>
      <c r="H121" s="175">
        <f t="shared" si="3"/>
        <v>0</v>
      </c>
      <c r="I121" s="38"/>
    </row>
    <row r="122" spans="1:9" ht="15.95" customHeight="1">
      <c r="A122" s="497"/>
      <c r="B122" s="294" t="s">
        <v>158</v>
      </c>
      <c r="C122" s="295"/>
      <c r="D122" s="38"/>
      <c r="E122" s="294" t="s">
        <v>138</v>
      </c>
      <c r="F122" s="228"/>
      <c r="G122" s="228"/>
      <c r="H122" s="175">
        <f t="shared" si="3"/>
        <v>0</v>
      </c>
      <c r="I122" s="38"/>
    </row>
    <row r="123" spans="1:9" ht="15.95" customHeight="1">
      <c r="A123" s="497"/>
      <c r="B123" s="294" t="s">
        <v>159</v>
      </c>
      <c r="C123" s="295"/>
      <c r="D123" s="38"/>
      <c r="E123" s="294" t="s">
        <v>138</v>
      </c>
      <c r="F123" s="228"/>
      <c r="G123" s="228"/>
      <c r="H123" s="175">
        <f t="shared" si="3"/>
        <v>0</v>
      </c>
      <c r="I123" s="38"/>
    </row>
    <row r="124" spans="1:9" ht="15.95" customHeight="1">
      <c r="A124" s="497"/>
      <c r="B124" s="297" t="s">
        <v>163</v>
      </c>
      <c r="C124" s="298"/>
      <c r="D124" s="233"/>
      <c r="E124" s="297" t="s">
        <v>138</v>
      </c>
      <c r="F124" s="232"/>
      <c r="G124" s="232"/>
      <c r="H124" s="185">
        <f t="shared" si="3"/>
        <v>0</v>
      </c>
      <c r="I124" s="233"/>
    </row>
    <row r="125" spans="1:9" ht="15.95" customHeight="1">
      <c r="A125" s="281"/>
      <c r="B125" s="300" t="s">
        <v>144</v>
      </c>
      <c r="C125" s="283"/>
      <c r="D125" s="240"/>
      <c r="E125" s="240"/>
      <c r="F125" s="238"/>
      <c r="G125" s="238"/>
      <c r="H125" s="238">
        <f>SUM(H117:H124)</f>
        <v>0</v>
      </c>
      <c r="I125" s="236"/>
    </row>
    <row r="126" spans="1:9" ht="15.95" customHeight="1">
      <c r="A126" s="287"/>
      <c r="B126" s="300" t="s">
        <v>161</v>
      </c>
      <c r="C126" s="283"/>
      <c r="D126" s="240"/>
      <c r="E126" s="216" t="s">
        <v>51</v>
      </c>
      <c r="F126" s="239"/>
      <c r="G126" s="239"/>
      <c r="H126" s="285"/>
      <c r="I126" s="240"/>
    </row>
    <row r="127" spans="1:9" ht="15.95" customHeight="1">
      <c r="A127" s="287"/>
      <c r="B127" s="300" t="s">
        <v>85</v>
      </c>
      <c r="C127" s="283"/>
      <c r="D127" s="240"/>
      <c r="E127" s="240"/>
      <c r="F127" s="239"/>
      <c r="G127" s="302"/>
      <c r="H127" s="303">
        <f>(H125+H116)*0.05</f>
        <v>30572150</v>
      </c>
      <c r="I127" s="283"/>
    </row>
    <row r="128" spans="1:9" ht="15.95" customHeight="1">
      <c r="A128" s="287"/>
      <c r="B128" s="300" t="s">
        <v>147</v>
      </c>
      <c r="C128" s="283"/>
      <c r="D128" s="240"/>
      <c r="E128" s="240"/>
      <c r="F128" s="239"/>
      <c r="G128" s="302"/>
      <c r="H128" s="303">
        <f>(H125+H116)*0.1</f>
        <v>61144300</v>
      </c>
      <c r="I128" s="283"/>
    </row>
    <row r="129" spans="1:9" ht="15.95" customHeight="1">
      <c r="A129" s="287"/>
      <c r="B129" s="300" t="s">
        <v>148</v>
      </c>
      <c r="C129" s="283"/>
      <c r="D129" s="240"/>
      <c r="E129" s="240"/>
      <c r="F129" s="239"/>
      <c r="G129" s="239"/>
      <c r="H129" s="238">
        <f>H116+H125+H126+H127+H128</f>
        <v>703159450</v>
      </c>
      <c r="I129" s="240"/>
    </row>
    <row r="130" spans="1:9">
      <c r="A130" s="136"/>
    </row>
  </sheetData>
  <mergeCells count="3">
    <mergeCell ref="A2:B2"/>
    <mergeCell ref="A3:A115"/>
    <mergeCell ref="A117:A12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F3:F21 F69:F81 F83:F85 F47:F67" numberStoredAsText="1"/>
    <ignoredError sqref="H40 H46 H107" formula="1"/>
  </ignoredError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6FEB-4D18-4053-95F2-B278BE232CD5}">
  <sheetPr>
    <tabColor rgb="FF00B050"/>
    <pageSetUpPr fitToPage="1"/>
  </sheetPr>
  <dimension ref="A1:I115"/>
  <sheetViews>
    <sheetView zoomScale="85" zoomScaleNormal="85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N41" sqref="N41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42.25" style="130" customWidth="1"/>
    <col min="4" max="4" width="14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41" width="9" style="130"/>
    <col min="242" max="242" width="5" style="130" customWidth="1"/>
    <col min="243" max="243" width="17.875" style="130" bestFit="1" customWidth="1"/>
    <col min="244" max="244" width="30.25" style="130" customWidth="1"/>
    <col min="245" max="245" width="14" style="130" customWidth="1"/>
    <col min="246" max="246" width="5.25" style="130" bestFit="1" customWidth="1"/>
    <col min="247" max="247" width="9" style="130"/>
    <col min="248" max="248" width="11.875" style="130" customWidth="1"/>
    <col min="249" max="249" width="13.625" style="130" customWidth="1"/>
    <col min="250" max="250" width="12.75" style="130" customWidth="1"/>
    <col min="251" max="497" width="9" style="130"/>
    <col min="498" max="498" width="5" style="130" customWidth="1"/>
    <col min="499" max="499" width="17.875" style="130" bestFit="1" customWidth="1"/>
    <col min="500" max="500" width="30.25" style="130" customWidth="1"/>
    <col min="501" max="501" width="14" style="130" customWidth="1"/>
    <col min="502" max="502" width="5.25" style="130" bestFit="1" customWidth="1"/>
    <col min="503" max="503" width="9" style="130"/>
    <col min="504" max="504" width="11.875" style="130" customWidth="1"/>
    <col min="505" max="505" width="13.625" style="130" customWidth="1"/>
    <col min="506" max="506" width="12.75" style="130" customWidth="1"/>
    <col min="507" max="753" width="9" style="130"/>
    <col min="754" max="754" width="5" style="130" customWidth="1"/>
    <col min="755" max="755" width="17.875" style="130" bestFit="1" customWidth="1"/>
    <col min="756" max="756" width="30.25" style="130" customWidth="1"/>
    <col min="757" max="757" width="14" style="130" customWidth="1"/>
    <col min="758" max="758" width="5.25" style="130" bestFit="1" customWidth="1"/>
    <col min="759" max="759" width="9" style="130"/>
    <col min="760" max="760" width="11.875" style="130" customWidth="1"/>
    <col min="761" max="761" width="13.625" style="130" customWidth="1"/>
    <col min="762" max="762" width="12.75" style="130" customWidth="1"/>
    <col min="763" max="1009" width="9" style="130"/>
    <col min="1010" max="1010" width="5" style="130" customWidth="1"/>
    <col min="1011" max="1011" width="17.875" style="130" bestFit="1" customWidth="1"/>
    <col min="1012" max="1012" width="30.25" style="130" customWidth="1"/>
    <col min="1013" max="1013" width="14" style="130" customWidth="1"/>
    <col min="1014" max="1014" width="5.25" style="130" bestFit="1" customWidth="1"/>
    <col min="1015" max="1015" width="9" style="130"/>
    <col min="1016" max="1016" width="11.875" style="130" customWidth="1"/>
    <col min="1017" max="1017" width="13.625" style="130" customWidth="1"/>
    <col min="1018" max="1018" width="12.75" style="130" customWidth="1"/>
    <col min="1019" max="1265" width="9" style="130"/>
    <col min="1266" max="1266" width="5" style="130" customWidth="1"/>
    <col min="1267" max="1267" width="17.875" style="130" bestFit="1" customWidth="1"/>
    <col min="1268" max="1268" width="30.25" style="130" customWidth="1"/>
    <col min="1269" max="1269" width="14" style="130" customWidth="1"/>
    <col min="1270" max="1270" width="5.25" style="130" bestFit="1" customWidth="1"/>
    <col min="1271" max="1271" width="9" style="130"/>
    <col min="1272" max="1272" width="11.875" style="130" customWidth="1"/>
    <col min="1273" max="1273" width="13.625" style="130" customWidth="1"/>
    <col min="1274" max="1274" width="12.75" style="130" customWidth="1"/>
    <col min="1275" max="1521" width="9" style="130"/>
    <col min="1522" max="1522" width="5" style="130" customWidth="1"/>
    <col min="1523" max="1523" width="17.875" style="130" bestFit="1" customWidth="1"/>
    <col min="1524" max="1524" width="30.25" style="130" customWidth="1"/>
    <col min="1525" max="1525" width="14" style="130" customWidth="1"/>
    <col min="1526" max="1526" width="5.25" style="130" bestFit="1" customWidth="1"/>
    <col min="1527" max="1527" width="9" style="130"/>
    <col min="1528" max="1528" width="11.875" style="130" customWidth="1"/>
    <col min="1529" max="1529" width="13.625" style="130" customWidth="1"/>
    <col min="1530" max="1530" width="12.75" style="130" customWidth="1"/>
    <col min="1531" max="1777" width="9" style="130"/>
    <col min="1778" max="1778" width="5" style="130" customWidth="1"/>
    <col min="1779" max="1779" width="17.875" style="130" bestFit="1" customWidth="1"/>
    <col min="1780" max="1780" width="30.25" style="130" customWidth="1"/>
    <col min="1781" max="1781" width="14" style="130" customWidth="1"/>
    <col min="1782" max="1782" width="5.25" style="130" bestFit="1" customWidth="1"/>
    <col min="1783" max="1783" width="9" style="130"/>
    <col min="1784" max="1784" width="11.875" style="130" customWidth="1"/>
    <col min="1785" max="1785" width="13.625" style="130" customWidth="1"/>
    <col min="1786" max="1786" width="12.75" style="130" customWidth="1"/>
    <col min="1787" max="2033" width="9" style="130"/>
    <col min="2034" max="2034" width="5" style="130" customWidth="1"/>
    <col min="2035" max="2035" width="17.875" style="130" bestFit="1" customWidth="1"/>
    <col min="2036" max="2036" width="30.25" style="130" customWidth="1"/>
    <col min="2037" max="2037" width="14" style="130" customWidth="1"/>
    <col min="2038" max="2038" width="5.25" style="130" bestFit="1" customWidth="1"/>
    <col min="2039" max="2039" width="9" style="130"/>
    <col min="2040" max="2040" width="11.875" style="130" customWidth="1"/>
    <col min="2041" max="2041" width="13.625" style="130" customWidth="1"/>
    <col min="2042" max="2042" width="12.75" style="130" customWidth="1"/>
    <col min="2043" max="2289" width="9" style="130"/>
    <col min="2290" max="2290" width="5" style="130" customWidth="1"/>
    <col min="2291" max="2291" width="17.875" style="130" bestFit="1" customWidth="1"/>
    <col min="2292" max="2292" width="30.25" style="130" customWidth="1"/>
    <col min="2293" max="2293" width="14" style="130" customWidth="1"/>
    <col min="2294" max="2294" width="5.25" style="130" bestFit="1" customWidth="1"/>
    <col min="2295" max="2295" width="9" style="130"/>
    <col min="2296" max="2296" width="11.875" style="130" customWidth="1"/>
    <col min="2297" max="2297" width="13.625" style="130" customWidth="1"/>
    <col min="2298" max="2298" width="12.75" style="130" customWidth="1"/>
    <col min="2299" max="2545" width="9" style="130"/>
    <col min="2546" max="2546" width="5" style="130" customWidth="1"/>
    <col min="2547" max="2547" width="17.875" style="130" bestFit="1" customWidth="1"/>
    <col min="2548" max="2548" width="30.25" style="130" customWidth="1"/>
    <col min="2549" max="2549" width="14" style="130" customWidth="1"/>
    <col min="2550" max="2550" width="5.25" style="130" bestFit="1" customWidth="1"/>
    <col min="2551" max="2551" width="9" style="130"/>
    <col min="2552" max="2552" width="11.875" style="130" customWidth="1"/>
    <col min="2553" max="2553" width="13.625" style="130" customWidth="1"/>
    <col min="2554" max="2554" width="12.75" style="130" customWidth="1"/>
    <col min="2555" max="2801" width="9" style="130"/>
    <col min="2802" max="2802" width="5" style="130" customWidth="1"/>
    <col min="2803" max="2803" width="17.875" style="130" bestFit="1" customWidth="1"/>
    <col min="2804" max="2804" width="30.25" style="130" customWidth="1"/>
    <col min="2805" max="2805" width="14" style="130" customWidth="1"/>
    <col min="2806" max="2806" width="5.25" style="130" bestFit="1" customWidth="1"/>
    <col min="2807" max="2807" width="9" style="130"/>
    <col min="2808" max="2808" width="11.875" style="130" customWidth="1"/>
    <col min="2809" max="2809" width="13.625" style="130" customWidth="1"/>
    <col min="2810" max="2810" width="12.75" style="130" customWidth="1"/>
    <col min="2811" max="3057" width="9" style="130"/>
    <col min="3058" max="3058" width="5" style="130" customWidth="1"/>
    <col min="3059" max="3059" width="17.875" style="130" bestFit="1" customWidth="1"/>
    <col min="3060" max="3060" width="30.25" style="130" customWidth="1"/>
    <col min="3061" max="3061" width="14" style="130" customWidth="1"/>
    <col min="3062" max="3062" width="5.25" style="130" bestFit="1" customWidth="1"/>
    <col min="3063" max="3063" width="9" style="130"/>
    <col min="3064" max="3064" width="11.875" style="130" customWidth="1"/>
    <col min="3065" max="3065" width="13.625" style="130" customWidth="1"/>
    <col min="3066" max="3066" width="12.75" style="130" customWidth="1"/>
    <col min="3067" max="3313" width="9" style="130"/>
    <col min="3314" max="3314" width="5" style="130" customWidth="1"/>
    <col min="3315" max="3315" width="17.875" style="130" bestFit="1" customWidth="1"/>
    <col min="3316" max="3316" width="30.25" style="130" customWidth="1"/>
    <col min="3317" max="3317" width="14" style="130" customWidth="1"/>
    <col min="3318" max="3318" width="5.25" style="130" bestFit="1" customWidth="1"/>
    <col min="3319" max="3319" width="9" style="130"/>
    <col min="3320" max="3320" width="11.875" style="130" customWidth="1"/>
    <col min="3321" max="3321" width="13.625" style="130" customWidth="1"/>
    <col min="3322" max="3322" width="12.75" style="130" customWidth="1"/>
    <col min="3323" max="3569" width="9" style="130"/>
    <col min="3570" max="3570" width="5" style="130" customWidth="1"/>
    <col min="3571" max="3571" width="17.875" style="130" bestFit="1" customWidth="1"/>
    <col min="3572" max="3572" width="30.25" style="130" customWidth="1"/>
    <col min="3573" max="3573" width="14" style="130" customWidth="1"/>
    <col min="3574" max="3574" width="5.25" style="130" bestFit="1" customWidth="1"/>
    <col min="3575" max="3575" width="9" style="130"/>
    <col min="3576" max="3576" width="11.875" style="130" customWidth="1"/>
    <col min="3577" max="3577" width="13.625" style="130" customWidth="1"/>
    <col min="3578" max="3578" width="12.75" style="130" customWidth="1"/>
    <col min="3579" max="3825" width="9" style="130"/>
    <col min="3826" max="3826" width="5" style="130" customWidth="1"/>
    <col min="3827" max="3827" width="17.875" style="130" bestFit="1" customWidth="1"/>
    <col min="3828" max="3828" width="30.25" style="130" customWidth="1"/>
    <col min="3829" max="3829" width="14" style="130" customWidth="1"/>
    <col min="3830" max="3830" width="5.25" style="130" bestFit="1" customWidth="1"/>
    <col min="3831" max="3831" width="9" style="130"/>
    <col min="3832" max="3832" width="11.875" style="130" customWidth="1"/>
    <col min="3833" max="3833" width="13.625" style="130" customWidth="1"/>
    <col min="3834" max="3834" width="12.75" style="130" customWidth="1"/>
    <col min="3835" max="4081" width="9" style="130"/>
    <col min="4082" max="4082" width="5" style="130" customWidth="1"/>
    <col min="4083" max="4083" width="17.875" style="130" bestFit="1" customWidth="1"/>
    <col min="4084" max="4084" width="30.25" style="130" customWidth="1"/>
    <col min="4085" max="4085" width="14" style="130" customWidth="1"/>
    <col min="4086" max="4086" width="5.25" style="130" bestFit="1" customWidth="1"/>
    <col min="4087" max="4087" width="9" style="130"/>
    <col min="4088" max="4088" width="11.875" style="130" customWidth="1"/>
    <col min="4089" max="4089" width="13.625" style="130" customWidth="1"/>
    <col min="4090" max="4090" width="12.75" style="130" customWidth="1"/>
    <col min="4091" max="4337" width="9" style="130"/>
    <col min="4338" max="4338" width="5" style="130" customWidth="1"/>
    <col min="4339" max="4339" width="17.875" style="130" bestFit="1" customWidth="1"/>
    <col min="4340" max="4340" width="30.25" style="130" customWidth="1"/>
    <col min="4341" max="4341" width="14" style="130" customWidth="1"/>
    <col min="4342" max="4342" width="5.25" style="130" bestFit="1" customWidth="1"/>
    <col min="4343" max="4343" width="9" style="130"/>
    <col min="4344" max="4344" width="11.875" style="130" customWidth="1"/>
    <col min="4345" max="4345" width="13.625" style="130" customWidth="1"/>
    <col min="4346" max="4346" width="12.75" style="130" customWidth="1"/>
    <col min="4347" max="4593" width="9" style="130"/>
    <col min="4594" max="4594" width="5" style="130" customWidth="1"/>
    <col min="4595" max="4595" width="17.875" style="130" bestFit="1" customWidth="1"/>
    <col min="4596" max="4596" width="30.25" style="130" customWidth="1"/>
    <col min="4597" max="4597" width="14" style="130" customWidth="1"/>
    <col min="4598" max="4598" width="5.25" style="130" bestFit="1" customWidth="1"/>
    <col min="4599" max="4599" width="9" style="130"/>
    <col min="4600" max="4600" width="11.875" style="130" customWidth="1"/>
    <col min="4601" max="4601" width="13.625" style="130" customWidth="1"/>
    <col min="4602" max="4602" width="12.75" style="130" customWidth="1"/>
    <col min="4603" max="4849" width="9" style="130"/>
    <col min="4850" max="4850" width="5" style="130" customWidth="1"/>
    <col min="4851" max="4851" width="17.875" style="130" bestFit="1" customWidth="1"/>
    <col min="4852" max="4852" width="30.25" style="130" customWidth="1"/>
    <col min="4853" max="4853" width="14" style="130" customWidth="1"/>
    <col min="4854" max="4854" width="5.25" style="130" bestFit="1" customWidth="1"/>
    <col min="4855" max="4855" width="9" style="130"/>
    <col min="4856" max="4856" width="11.875" style="130" customWidth="1"/>
    <col min="4857" max="4857" width="13.625" style="130" customWidth="1"/>
    <col min="4858" max="4858" width="12.75" style="130" customWidth="1"/>
    <col min="4859" max="5105" width="9" style="130"/>
    <col min="5106" max="5106" width="5" style="130" customWidth="1"/>
    <col min="5107" max="5107" width="17.875" style="130" bestFit="1" customWidth="1"/>
    <col min="5108" max="5108" width="30.25" style="130" customWidth="1"/>
    <col min="5109" max="5109" width="14" style="130" customWidth="1"/>
    <col min="5110" max="5110" width="5.25" style="130" bestFit="1" customWidth="1"/>
    <col min="5111" max="5111" width="9" style="130"/>
    <col min="5112" max="5112" width="11.875" style="130" customWidth="1"/>
    <col min="5113" max="5113" width="13.625" style="130" customWidth="1"/>
    <col min="5114" max="5114" width="12.75" style="130" customWidth="1"/>
    <col min="5115" max="5361" width="9" style="130"/>
    <col min="5362" max="5362" width="5" style="130" customWidth="1"/>
    <col min="5363" max="5363" width="17.875" style="130" bestFit="1" customWidth="1"/>
    <col min="5364" max="5364" width="30.25" style="130" customWidth="1"/>
    <col min="5365" max="5365" width="14" style="130" customWidth="1"/>
    <col min="5366" max="5366" width="5.25" style="130" bestFit="1" customWidth="1"/>
    <col min="5367" max="5367" width="9" style="130"/>
    <col min="5368" max="5368" width="11.875" style="130" customWidth="1"/>
    <col min="5369" max="5369" width="13.625" style="130" customWidth="1"/>
    <col min="5370" max="5370" width="12.75" style="130" customWidth="1"/>
    <col min="5371" max="5617" width="9" style="130"/>
    <col min="5618" max="5618" width="5" style="130" customWidth="1"/>
    <col min="5619" max="5619" width="17.875" style="130" bestFit="1" customWidth="1"/>
    <col min="5620" max="5620" width="30.25" style="130" customWidth="1"/>
    <col min="5621" max="5621" width="14" style="130" customWidth="1"/>
    <col min="5622" max="5622" width="5.25" style="130" bestFit="1" customWidth="1"/>
    <col min="5623" max="5623" width="9" style="130"/>
    <col min="5624" max="5624" width="11.875" style="130" customWidth="1"/>
    <col min="5625" max="5625" width="13.625" style="130" customWidth="1"/>
    <col min="5626" max="5626" width="12.75" style="130" customWidth="1"/>
    <col min="5627" max="5873" width="9" style="130"/>
    <col min="5874" max="5874" width="5" style="130" customWidth="1"/>
    <col min="5875" max="5875" width="17.875" style="130" bestFit="1" customWidth="1"/>
    <col min="5876" max="5876" width="30.25" style="130" customWidth="1"/>
    <col min="5877" max="5877" width="14" style="130" customWidth="1"/>
    <col min="5878" max="5878" width="5.25" style="130" bestFit="1" customWidth="1"/>
    <col min="5879" max="5879" width="9" style="130"/>
    <col min="5880" max="5880" width="11.875" style="130" customWidth="1"/>
    <col min="5881" max="5881" width="13.625" style="130" customWidth="1"/>
    <col min="5882" max="5882" width="12.75" style="130" customWidth="1"/>
    <col min="5883" max="6129" width="9" style="130"/>
    <col min="6130" max="6130" width="5" style="130" customWidth="1"/>
    <col min="6131" max="6131" width="17.875" style="130" bestFit="1" customWidth="1"/>
    <col min="6132" max="6132" width="30.25" style="130" customWidth="1"/>
    <col min="6133" max="6133" width="14" style="130" customWidth="1"/>
    <col min="6134" max="6134" width="5.25" style="130" bestFit="1" customWidth="1"/>
    <col min="6135" max="6135" width="9" style="130"/>
    <col min="6136" max="6136" width="11.875" style="130" customWidth="1"/>
    <col min="6137" max="6137" width="13.625" style="130" customWidth="1"/>
    <col min="6138" max="6138" width="12.75" style="130" customWidth="1"/>
    <col min="6139" max="6385" width="9" style="130"/>
    <col min="6386" max="6386" width="5" style="130" customWidth="1"/>
    <col min="6387" max="6387" width="17.875" style="130" bestFit="1" customWidth="1"/>
    <col min="6388" max="6388" width="30.25" style="130" customWidth="1"/>
    <col min="6389" max="6389" width="14" style="130" customWidth="1"/>
    <col min="6390" max="6390" width="5.25" style="130" bestFit="1" customWidth="1"/>
    <col min="6391" max="6391" width="9" style="130"/>
    <col min="6392" max="6392" width="11.875" style="130" customWidth="1"/>
    <col min="6393" max="6393" width="13.625" style="130" customWidth="1"/>
    <col min="6394" max="6394" width="12.75" style="130" customWidth="1"/>
    <col min="6395" max="6641" width="9" style="130"/>
    <col min="6642" max="6642" width="5" style="130" customWidth="1"/>
    <col min="6643" max="6643" width="17.875" style="130" bestFit="1" customWidth="1"/>
    <col min="6644" max="6644" width="30.25" style="130" customWidth="1"/>
    <col min="6645" max="6645" width="14" style="130" customWidth="1"/>
    <col min="6646" max="6646" width="5.25" style="130" bestFit="1" customWidth="1"/>
    <col min="6647" max="6647" width="9" style="130"/>
    <col min="6648" max="6648" width="11.875" style="130" customWidth="1"/>
    <col min="6649" max="6649" width="13.625" style="130" customWidth="1"/>
    <col min="6650" max="6650" width="12.75" style="130" customWidth="1"/>
    <col min="6651" max="6897" width="9" style="130"/>
    <col min="6898" max="6898" width="5" style="130" customWidth="1"/>
    <col min="6899" max="6899" width="17.875" style="130" bestFit="1" customWidth="1"/>
    <col min="6900" max="6900" width="30.25" style="130" customWidth="1"/>
    <col min="6901" max="6901" width="14" style="130" customWidth="1"/>
    <col min="6902" max="6902" width="5.25" style="130" bestFit="1" customWidth="1"/>
    <col min="6903" max="6903" width="9" style="130"/>
    <col min="6904" max="6904" width="11.875" style="130" customWidth="1"/>
    <col min="6905" max="6905" width="13.625" style="130" customWidth="1"/>
    <col min="6906" max="6906" width="12.75" style="130" customWidth="1"/>
    <col min="6907" max="7153" width="9" style="130"/>
    <col min="7154" max="7154" width="5" style="130" customWidth="1"/>
    <col min="7155" max="7155" width="17.875" style="130" bestFit="1" customWidth="1"/>
    <col min="7156" max="7156" width="30.25" style="130" customWidth="1"/>
    <col min="7157" max="7157" width="14" style="130" customWidth="1"/>
    <col min="7158" max="7158" width="5.25" style="130" bestFit="1" customWidth="1"/>
    <col min="7159" max="7159" width="9" style="130"/>
    <col min="7160" max="7160" width="11.875" style="130" customWidth="1"/>
    <col min="7161" max="7161" width="13.625" style="130" customWidth="1"/>
    <col min="7162" max="7162" width="12.75" style="130" customWidth="1"/>
    <col min="7163" max="7409" width="9" style="130"/>
    <col min="7410" max="7410" width="5" style="130" customWidth="1"/>
    <col min="7411" max="7411" width="17.875" style="130" bestFit="1" customWidth="1"/>
    <col min="7412" max="7412" width="30.25" style="130" customWidth="1"/>
    <col min="7413" max="7413" width="14" style="130" customWidth="1"/>
    <col min="7414" max="7414" width="5.25" style="130" bestFit="1" customWidth="1"/>
    <col min="7415" max="7415" width="9" style="130"/>
    <col min="7416" max="7416" width="11.875" style="130" customWidth="1"/>
    <col min="7417" max="7417" width="13.625" style="130" customWidth="1"/>
    <col min="7418" max="7418" width="12.75" style="130" customWidth="1"/>
    <col min="7419" max="7665" width="9" style="130"/>
    <col min="7666" max="7666" width="5" style="130" customWidth="1"/>
    <col min="7667" max="7667" width="17.875" style="130" bestFit="1" customWidth="1"/>
    <col min="7668" max="7668" width="30.25" style="130" customWidth="1"/>
    <col min="7669" max="7669" width="14" style="130" customWidth="1"/>
    <col min="7670" max="7670" width="5.25" style="130" bestFit="1" customWidth="1"/>
    <col min="7671" max="7671" width="9" style="130"/>
    <col min="7672" max="7672" width="11.875" style="130" customWidth="1"/>
    <col min="7673" max="7673" width="13.625" style="130" customWidth="1"/>
    <col min="7674" max="7674" width="12.75" style="130" customWidth="1"/>
    <col min="7675" max="7921" width="9" style="130"/>
    <col min="7922" max="7922" width="5" style="130" customWidth="1"/>
    <col min="7923" max="7923" width="17.875" style="130" bestFit="1" customWidth="1"/>
    <col min="7924" max="7924" width="30.25" style="130" customWidth="1"/>
    <col min="7925" max="7925" width="14" style="130" customWidth="1"/>
    <col min="7926" max="7926" width="5.25" style="130" bestFit="1" customWidth="1"/>
    <col min="7927" max="7927" width="9" style="130"/>
    <col min="7928" max="7928" width="11.875" style="130" customWidth="1"/>
    <col min="7929" max="7929" width="13.625" style="130" customWidth="1"/>
    <col min="7930" max="7930" width="12.75" style="130" customWidth="1"/>
    <col min="7931" max="8177" width="9" style="130"/>
    <col min="8178" max="8178" width="5" style="130" customWidth="1"/>
    <col min="8179" max="8179" width="17.875" style="130" bestFit="1" customWidth="1"/>
    <col min="8180" max="8180" width="30.25" style="130" customWidth="1"/>
    <col min="8181" max="8181" width="14" style="130" customWidth="1"/>
    <col min="8182" max="8182" width="5.25" style="130" bestFit="1" customWidth="1"/>
    <col min="8183" max="8183" width="9" style="130"/>
    <col min="8184" max="8184" width="11.875" style="130" customWidth="1"/>
    <col min="8185" max="8185" width="13.625" style="130" customWidth="1"/>
    <col min="8186" max="8186" width="12.75" style="130" customWidth="1"/>
    <col min="8187" max="8433" width="9" style="130"/>
    <col min="8434" max="8434" width="5" style="130" customWidth="1"/>
    <col min="8435" max="8435" width="17.875" style="130" bestFit="1" customWidth="1"/>
    <col min="8436" max="8436" width="30.25" style="130" customWidth="1"/>
    <col min="8437" max="8437" width="14" style="130" customWidth="1"/>
    <col min="8438" max="8438" width="5.25" style="130" bestFit="1" customWidth="1"/>
    <col min="8439" max="8439" width="9" style="130"/>
    <col min="8440" max="8440" width="11.875" style="130" customWidth="1"/>
    <col min="8441" max="8441" width="13.625" style="130" customWidth="1"/>
    <col min="8442" max="8442" width="12.75" style="130" customWidth="1"/>
    <col min="8443" max="8689" width="9" style="130"/>
    <col min="8690" max="8690" width="5" style="130" customWidth="1"/>
    <col min="8691" max="8691" width="17.875" style="130" bestFit="1" customWidth="1"/>
    <col min="8692" max="8692" width="30.25" style="130" customWidth="1"/>
    <col min="8693" max="8693" width="14" style="130" customWidth="1"/>
    <col min="8694" max="8694" width="5.25" style="130" bestFit="1" customWidth="1"/>
    <col min="8695" max="8695" width="9" style="130"/>
    <col min="8696" max="8696" width="11.875" style="130" customWidth="1"/>
    <col min="8697" max="8697" width="13.625" style="130" customWidth="1"/>
    <col min="8698" max="8698" width="12.75" style="130" customWidth="1"/>
    <col min="8699" max="8945" width="9" style="130"/>
    <col min="8946" max="8946" width="5" style="130" customWidth="1"/>
    <col min="8947" max="8947" width="17.875" style="130" bestFit="1" customWidth="1"/>
    <col min="8948" max="8948" width="30.25" style="130" customWidth="1"/>
    <col min="8949" max="8949" width="14" style="130" customWidth="1"/>
    <col min="8950" max="8950" width="5.25" style="130" bestFit="1" customWidth="1"/>
    <col min="8951" max="8951" width="9" style="130"/>
    <col min="8952" max="8952" width="11.875" style="130" customWidth="1"/>
    <col min="8953" max="8953" width="13.625" style="130" customWidth="1"/>
    <col min="8954" max="8954" width="12.75" style="130" customWidth="1"/>
    <col min="8955" max="9201" width="9" style="130"/>
    <col min="9202" max="9202" width="5" style="130" customWidth="1"/>
    <col min="9203" max="9203" width="17.875" style="130" bestFit="1" customWidth="1"/>
    <col min="9204" max="9204" width="30.25" style="130" customWidth="1"/>
    <col min="9205" max="9205" width="14" style="130" customWidth="1"/>
    <col min="9206" max="9206" width="5.25" style="130" bestFit="1" customWidth="1"/>
    <col min="9207" max="9207" width="9" style="130"/>
    <col min="9208" max="9208" width="11.875" style="130" customWidth="1"/>
    <col min="9209" max="9209" width="13.625" style="130" customWidth="1"/>
    <col min="9210" max="9210" width="12.75" style="130" customWidth="1"/>
    <col min="9211" max="9457" width="9" style="130"/>
    <col min="9458" max="9458" width="5" style="130" customWidth="1"/>
    <col min="9459" max="9459" width="17.875" style="130" bestFit="1" customWidth="1"/>
    <col min="9460" max="9460" width="30.25" style="130" customWidth="1"/>
    <col min="9461" max="9461" width="14" style="130" customWidth="1"/>
    <col min="9462" max="9462" width="5.25" style="130" bestFit="1" customWidth="1"/>
    <col min="9463" max="9463" width="9" style="130"/>
    <col min="9464" max="9464" width="11.875" style="130" customWidth="1"/>
    <col min="9465" max="9465" width="13.625" style="130" customWidth="1"/>
    <col min="9466" max="9466" width="12.75" style="130" customWidth="1"/>
    <col min="9467" max="9713" width="9" style="130"/>
    <col min="9714" max="9714" width="5" style="130" customWidth="1"/>
    <col min="9715" max="9715" width="17.875" style="130" bestFit="1" customWidth="1"/>
    <col min="9716" max="9716" width="30.25" style="130" customWidth="1"/>
    <col min="9717" max="9717" width="14" style="130" customWidth="1"/>
    <col min="9718" max="9718" width="5.25" style="130" bestFit="1" customWidth="1"/>
    <col min="9719" max="9719" width="9" style="130"/>
    <col min="9720" max="9720" width="11.875" style="130" customWidth="1"/>
    <col min="9721" max="9721" width="13.625" style="130" customWidth="1"/>
    <col min="9722" max="9722" width="12.75" style="130" customWidth="1"/>
    <col min="9723" max="9969" width="9" style="130"/>
    <col min="9970" max="9970" width="5" style="130" customWidth="1"/>
    <col min="9971" max="9971" width="17.875" style="130" bestFit="1" customWidth="1"/>
    <col min="9972" max="9972" width="30.25" style="130" customWidth="1"/>
    <col min="9973" max="9973" width="14" style="130" customWidth="1"/>
    <col min="9974" max="9974" width="5.25" style="130" bestFit="1" customWidth="1"/>
    <col min="9975" max="9975" width="9" style="130"/>
    <col min="9976" max="9976" width="11.875" style="130" customWidth="1"/>
    <col min="9977" max="9977" width="13.625" style="130" customWidth="1"/>
    <col min="9978" max="9978" width="12.75" style="130" customWidth="1"/>
    <col min="9979" max="10225" width="9" style="130"/>
    <col min="10226" max="10226" width="5" style="130" customWidth="1"/>
    <col min="10227" max="10227" width="17.875" style="130" bestFit="1" customWidth="1"/>
    <col min="10228" max="10228" width="30.25" style="130" customWidth="1"/>
    <col min="10229" max="10229" width="14" style="130" customWidth="1"/>
    <col min="10230" max="10230" width="5.25" style="130" bestFit="1" customWidth="1"/>
    <col min="10231" max="10231" width="9" style="130"/>
    <col min="10232" max="10232" width="11.875" style="130" customWidth="1"/>
    <col min="10233" max="10233" width="13.625" style="130" customWidth="1"/>
    <col min="10234" max="10234" width="12.75" style="130" customWidth="1"/>
    <col min="10235" max="10481" width="9" style="130"/>
    <col min="10482" max="10482" width="5" style="130" customWidth="1"/>
    <col min="10483" max="10483" width="17.875" style="130" bestFit="1" customWidth="1"/>
    <col min="10484" max="10484" width="30.25" style="130" customWidth="1"/>
    <col min="10485" max="10485" width="14" style="130" customWidth="1"/>
    <col min="10486" max="10486" width="5.25" style="130" bestFit="1" customWidth="1"/>
    <col min="10487" max="10487" width="9" style="130"/>
    <col min="10488" max="10488" width="11.875" style="130" customWidth="1"/>
    <col min="10489" max="10489" width="13.625" style="130" customWidth="1"/>
    <col min="10490" max="10490" width="12.75" style="130" customWidth="1"/>
    <col min="10491" max="10737" width="9" style="130"/>
    <col min="10738" max="10738" width="5" style="130" customWidth="1"/>
    <col min="10739" max="10739" width="17.875" style="130" bestFit="1" customWidth="1"/>
    <col min="10740" max="10740" width="30.25" style="130" customWidth="1"/>
    <col min="10741" max="10741" width="14" style="130" customWidth="1"/>
    <col min="10742" max="10742" width="5.25" style="130" bestFit="1" customWidth="1"/>
    <col min="10743" max="10743" width="9" style="130"/>
    <col min="10744" max="10744" width="11.875" style="130" customWidth="1"/>
    <col min="10745" max="10745" width="13.625" style="130" customWidth="1"/>
    <col min="10746" max="10746" width="12.75" style="130" customWidth="1"/>
    <col min="10747" max="10993" width="9" style="130"/>
    <col min="10994" max="10994" width="5" style="130" customWidth="1"/>
    <col min="10995" max="10995" width="17.875" style="130" bestFit="1" customWidth="1"/>
    <col min="10996" max="10996" width="30.25" style="130" customWidth="1"/>
    <col min="10997" max="10997" width="14" style="130" customWidth="1"/>
    <col min="10998" max="10998" width="5.25" style="130" bestFit="1" customWidth="1"/>
    <col min="10999" max="10999" width="9" style="130"/>
    <col min="11000" max="11000" width="11.875" style="130" customWidth="1"/>
    <col min="11001" max="11001" width="13.625" style="130" customWidth="1"/>
    <col min="11002" max="11002" width="12.75" style="130" customWidth="1"/>
    <col min="11003" max="11249" width="9" style="130"/>
    <col min="11250" max="11250" width="5" style="130" customWidth="1"/>
    <col min="11251" max="11251" width="17.875" style="130" bestFit="1" customWidth="1"/>
    <col min="11252" max="11252" width="30.25" style="130" customWidth="1"/>
    <col min="11253" max="11253" width="14" style="130" customWidth="1"/>
    <col min="11254" max="11254" width="5.25" style="130" bestFit="1" customWidth="1"/>
    <col min="11255" max="11255" width="9" style="130"/>
    <col min="11256" max="11256" width="11.875" style="130" customWidth="1"/>
    <col min="11257" max="11257" width="13.625" style="130" customWidth="1"/>
    <col min="11258" max="11258" width="12.75" style="130" customWidth="1"/>
    <col min="11259" max="11505" width="9" style="130"/>
    <col min="11506" max="11506" width="5" style="130" customWidth="1"/>
    <col min="11507" max="11507" width="17.875" style="130" bestFit="1" customWidth="1"/>
    <col min="11508" max="11508" width="30.25" style="130" customWidth="1"/>
    <col min="11509" max="11509" width="14" style="130" customWidth="1"/>
    <col min="11510" max="11510" width="5.25" style="130" bestFit="1" customWidth="1"/>
    <col min="11511" max="11511" width="9" style="130"/>
    <col min="11512" max="11512" width="11.875" style="130" customWidth="1"/>
    <col min="11513" max="11513" width="13.625" style="130" customWidth="1"/>
    <col min="11514" max="11514" width="12.75" style="130" customWidth="1"/>
    <col min="11515" max="11761" width="9" style="130"/>
    <col min="11762" max="11762" width="5" style="130" customWidth="1"/>
    <col min="11763" max="11763" width="17.875" style="130" bestFit="1" customWidth="1"/>
    <col min="11764" max="11764" width="30.25" style="130" customWidth="1"/>
    <col min="11765" max="11765" width="14" style="130" customWidth="1"/>
    <col min="11766" max="11766" width="5.25" style="130" bestFit="1" customWidth="1"/>
    <col min="11767" max="11767" width="9" style="130"/>
    <col min="11768" max="11768" width="11.875" style="130" customWidth="1"/>
    <col min="11769" max="11769" width="13.625" style="130" customWidth="1"/>
    <col min="11770" max="11770" width="12.75" style="130" customWidth="1"/>
    <col min="11771" max="12017" width="9" style="130"/>
    <col min="12018" max="12018" width="5" style="130" customWidth="1"/>
    <col min="12019" max="12019" width="17.875" style="130" bestFit="1" customWidth="1"/>
    <col min="12020" max="12020" width="30.25" style="130" customWidth="1"/>
    <col min="12021" max="12021" width="14" style="130" customWidth="1"/>
    <col min="12022" max="12022" width="5.25" style="130" bestFit="1" customWidth="1"/>
    <col min="12023" max="12023" width="9" style="130"/>
    <col min="12024" max="12024" width="11.875" style="130" customWidth="1"/>
    <col min="12025" max="12025" width="13.625" style="130" customWidth="1"/>
    <col min="12026" max="12026" width="12.75" style="130" customWidth="1"/>
    <col min="12027" max="12273" width="9" style="130"/>
    <col min="12274" max="12274" width="5" style="130" customWidth="1"/>
    <col min="12275" max="12275" width="17.875" style="130" bestFit="1" customWidth="1"/>
    <col min="12276" max="12276" width="30.25" style="130" customWidth="1"/>
    <col min="12277" max="12277" width="14" style="130" customWidth="1"/>
    <col min="12278" max="12278" width="5.25" style="130" bestFit="1" customWidth="1"/>
    <col min="12279" max="12279" width="9" style="130"/>
    <col min="12280" max="12280" width="11.875" style="130" customWidth="1"/>
    <col min="12281" max="12281" width="13.625" style="130" customWidth="1"/>
    <col min="12282" max="12282" width="12.75" style="130" customWidth="1"/>
    <col min="12283" max="12529" width="9" style="130"/>
    <col min="12530" max="12530" width="5" style="130" customWidth="1"/>
    <col min="12531" max="12531" width="17.875" style="130" bestFit="1" customWidth="1"/>
    <col min="12532" max="12532" width="30.25" style="130" customWidth="1"/>
    <col min="12533" max="12533" width="14" style="130" customWidth="1"/>
    <col min="12534" max="12534" width="5.25" style="130" bestFit="1" customWidth="1"/>
    <col min="12535" max="12535" width="9" style="130"/>
    <col min="12536" max="12536" width="11.875" style="130" customWidth="1"/>
    <col min="12537" max="12537" width="13.625" style="130" customWidth="1"/>
    <col min="12538" max="12538" width="12.75" style="130" customWidth="1"/>
    <col min="12539" max="12785" width="9" style="130"/>
    <col min="12786" max="12786" width="5" style="130" customWidth="1"/>
    <col min="12787" max="12787" width="17.875" style="130" bestFit="1" customWidth="1"/>
    <col min="12788" max="12788" width="30.25" style="130" customWidth="1"/>
    <col min="12789" max="12789" width="14" style="130" customWidth="1"/>
    <col min="12790" max="12790" width="5.25" style="130" bestFit="1" customWidth="1"/>
    <col min="12791" max="12791" width="9" style="130"/>
    <col min="12792" max="12792" width="11.875" style="130" customWidth="1"/>
    <col min="12793" max="12793" width="13.625" style="130" customWidth="1"/>
    <col min="12794" max="12794" width="12.75" style="130" customWidth="1"/>
    <col min="12795" max="13041" width="9" style="130"/>
    <col min="13042" max="13042" width="5" style="130" customWidth="1"/>
    <col min="13043" max="13043" width="17.875" style="130" bestFit="1" customWidth="1"/>
    <col min="13044" max="13044" width="30.25" style="130" customWidth="1"/>
    <col min="13045" max="13045" width="14" style="130" customWidth="1"/>
    <col min="13046" max="13046" width="5.25" style="130" bestFit="1" customWidth="1"/>
    <col min="13047" max="13047" width="9" style="130"/>
    <col min="13048" max="13048" width="11.875" style="130" customWidth="1"/>
    <col min="13049" max="13049" width="13.625" style="130" customWidth="1"/>
    <col min="13050" max="13050" width="12.75" style="130" customWidth="1"/>
    <col min="13051" max="13297" width="9" style="130"/>
    <col min="13298" max="13298" width="5" style="130" customWidth="1"/>
    <col min="13299" max="13299" width="17.875" style="130" bestFit="1" customWidth="1"/>
    <col min="13300" max="13300" width="30.25" style="130" customWidth="1"/>
    <col min="13301" max="13301" width="14" style="130" customWidth="1"/>
    <col min="13302" max="13302" width="5.25" style="130" bestFit="1" customWidth="1"/>
    <col min="13303" max="13303" width="9" style="130"/>
    <col min="13304" max="13304" width="11.875" style="130" customWidth="1"/>
    <col min="13305" max="13305" width="13.625" style="130" customWidth="1"/>
    <col min="13306" max="13306" width="12.75" style="130" customWidth="1"/>
    <col min="13307" max="13553" width="9" style="130"/>
    <col min="13554" max="13554" width="5" style="130" customWidth="1"/>
    <col min="13555" max="13555" width="17.875" style="130" bestFit="1" customWidth="1"/>
    <col min="13556" max="13556" width="30.25" style="130" customWidth="1"/>
    <col min="13557" max="13557" width="14" style="130" customWidth="1"/>
    <col min="13558" max="13558" width="5.25" style="130" bestFit="1" customWidth="1"/>
    <col min="13559" max="13559" width="9" style="130"/>
    <col min="13560" max="13560" width="11.875" style="130" customWidth="1"/>
    <col min="13561" max="13561" width="13.625" style="130" customWidth="1"/>
    <col min="13562" max="13562" width="12.75" style="130" customWidth="1"/>
    <col min="13563" max="13809" width="9" style="130"/>
    <col min="13810" max="13810" width="5" style="130" customWidth="1"/>
    <col min="13811" max="13811" width="17.875" style="130" bestFit="1" customWidth="1"/>
    <col min="13812" max="13812" width="30.25" style="130" customWidth="1"/>
    <col min="13813" max="13813" width="14" style="130" customWidth="1"/>
    <col min="13814" max="13814" width="5.25" style="130" bestFit="1" customWidth="1"/>
    <col min="13815" max="13815" width="9" style="130"/>
    <col min="13816" max="13816" width="11.875" style="130" customWidth="1"/>
    <col min="13817" max="13817" width="13.625" style="130" customWidth="1"/>
    <col min="13818" max="13818" width="12.75" style="130" customWidth="1"/>
    <col min="13819" max="14065" width="9" style="130"/>
    <col min="14066" max="14066" width="5" style="130" customWidth="1"/>
    <col min="14067" max="14067" width="17.875" style="130" bestFit="1" customWidth="1"/>
    <col min="14068" max="14068" width="30.25" style="130" customWidth="1"/>
    <col min="14069" max="14069" width="14" style="130" customWidth="1"/>
    <col min="14070" max="14070" width="5.25" style="130" bestFit="1" customWidth="1"/>
    <col min="14071" max="14071" width="9" style="130"/>
    <col min="14072" max="14072" width="11.875" style="130" customWidth="1"/>
    <col min="14073" max="14073" width="13.625" style="130" customWidth="1"/>
    <col min="14074" max="14074" width="12.75" style="130" customWidth="1"/>
    <col min="14075" max="14321" width="9" style="130"/>
    <col min="14322" max="14322" width="5" style="130" customWidth="1"/>
    <col min="14323" max="14323" width="17.875" style="130" bestFit="1" customWidth="1"/>
    <col min="14324" max="14324" width="30.25" style="130" customWidth="1"/>
    <col min="14325" max="14325" width="14" style="130" customWidth="1"/>
    <col min="14326" max="14326" width="5.25" style="130" bestFit="1" customWidth="1"/>
    <col min="14327" max="14327" width="9" style="130"/>
    <col min="14328" max="14328" width="11.875" style="130" customWidth="1"/>
    <col min="14329" max="14329" width="13.625" style="130" customWidth="1"/>
    <col min="14330" max="14330" width="12.75" style="130" customWidth="1"/>
    <col min="14331" max="14577" width="9" style="130"/>
    <col min="14578" max="14578" width="5" style="130" customWidth="1"/>
    <col min="14579" max="14579" width="17.875" style="130" bestFit="1" customWidth="1"/>
    <col min="14580" max="14580" width="30.25" style="130" customWidth="1"/>
    <col min="14581" max="14581" width="14" style="130" customWidth="1"/>
    <col min="14582" max="14582" width="5.25" style="130" bestFit="1" customWidth="1"/>
    <col min="14583" max="14583" width="9" style="130"/>
    <col min="14584" max="14584" width="11.875" style="130" customWidth="1"/>
    <col min="14585" max="14585" width="13.625" style="130" customWidth="1"/>
    <col min="14586" max="14586" width="12.75" style="130" customWidth="1"/>
    <col min="14587" max="14833" width="9" style="130"/>
    <col min="14834" max="14834" width="5" style="130" customWidth="1"/>
    <col min="14835" max="14835" width="17.875" style="130" bestFit="1" customWidth="1"/>
    <col min="14836" max="14836" width="30.25" style="130" customWidth="1"/>
    <col min="14837" max="14837" width="14" style="130" customWidth="1"/>
    <col min="14838" max="14838" width="5.25" style="130" bestFit="1" customWidth="1"/>
    <col min="14839" max="14839" width="9" style="130"/>
    <col min="14840" max="14840" width="11.875" style="130" customWidth="1"/>
    <col min="14841" max="14841" width="13.625" style="130" customWidth="1"/>
    <col min="14842" max="14842" width="12.75" style="130" customWidth="1"/>
    <col min="14843" max="15089" width="9" style="130"/>
    <col min="15090" max="15090" width="5" style="130" customWidth="1"/>
    <col min="15091" max="15091" width="17.875" style="130" bestFit="1" customWidth="1"/>
    <col min="15092" max="15092" width="30.25" style="130" customWidth="1"/>
    <col min="15093" max="15093" width="14" style="130" customWidth="1"/>
    <col min="15094" max="15094" width="5.25" style="130" bestFit="1" customWidth="1"/>
    <col min="15095" max="15095" width="9" style="130"/>
    <col min="15096" max="15096" width="11.875" style="130" customWidth="1"/>
    <col min="15097" max="15097" width="13.625" style="130" customWidth="1"/>
    <col min="15098" max="15098" width="12.75" style="130" customWidth="1"/>
    <col min="15099" max="15345" width="9" style="130"/>
    <col min="15346" max="15346" width="5" style="130" customWidth="1"/>
    <col min="15347" max="15347" width="17.875" style="130" bestFit="1" customWidth="1"/>
    <col min="15348" max="15348" width="30.25" style="130" customWidth="1"/>
    <col min="15349" max="15349" width="14" style="130" customWidth="1"/>
    <col min="15350" max="15350" width="5.25" style="130" bestFit="1" customWidth="1"/>
    <col min="15351" max="15351" width="9" style="130"/>
    <col min="15352" max="15352" width="11.875" style="130" customWidth="1"/>
    <col min="15353" max="15353" width="13.625" style="130" customWidth="1"/>
    <col min="15354" max="15354" width="12.75" style="130" customWidth="1"/>
    <col min="15355" max="15601" width="9" style="130"/>
    <col min="15602" max="15602" width="5" style="130" customWidth="1"/>
    <col min="15603" max="15603" width="17.875" style="130" bestFit="1" customWidth="1"/>
    <col min="15604" max="15604" width="30.25" style="130" customWidth="1"/>
    <col min="15605" max="15605" width="14" style="130" customWidth="1"/>
    <col min="15606" max="15606" width="5.25" style="130" bestFit="1" customWidth="1"/>
    <col min="15607" max="15607" width="9" style="130"/>
    <col min="15608" max="15608" width="11.875" style="130" customWidth="1"/>
    <col min="15609" max="15609" width="13.625" style="130" customWidth="1"/>
    <col min="15610" max="15610" width="12.75" style="130" customWidth="1"/>
    <col min="15611" max="15857" width="9" style="130"/>
    <col min="15858" max="15858" width="5" style="130" customWidth="1"/>
    <col min="15859" max="15859" width="17.875" style="130" bestFit="1" customWidth="1"/>
    <col min="15860" max="15860" width="30.25" style="130" customWidth="1"/>
    <col min="15861" max="15861" width="14" style="130" customWidth="1"/>
    <col min="15862" max="15862" width="5.25" style="130" bestFit="1" customWidth="1"/>
    <col min="15863" max="15863" width="9" style="130"/>
    <col min="15864" max="15864" width="11.875" style="130" customWidth="1"/>
    <col min="15865" max="15865" width="13.625" style="130" customWidth="1"/>
    <col min="15866" max="15866" width="12.75" style="130" customWidth="1"/>
    <col min="15867" max="16113" width="9" style="130"/>
    <col min="16114" max="16114" width="5" style="130" customWidth="1"/>
    <col min="16115" max="16115" width="17.875" style="130" bestFit="1" customWidth="1"/>
    <col min="16116" max="16116" width="30.25" style="130" customWidth="1"/>
    <col min="16117" max="16117" width="14" style="130" customWidth="1"/>
    <col min="16118" max="16118" width="5.25" style="130" bestFit="1" customWidth="1"/>
    <col min="16119" max="16119" width="9" style="130"/>
    <col min="16120" max="16120" width="11.875" style="130" customWidth="1"/>
    <col min="16121" max="16121" width="13.625" style="130" customWidth="1"/>
    <col min="16122" max="16122" width="12.75" style="130" customWidth="1"/>
    <col min="16123" max="16384" width="9" style="130"/>
  </cols>
  <sheetData>
    <row r="1" spans="1:9" ht="22.5" customHeight="1">
      <c r="B1" s="212" t="s">
        <v>149</v>
      </c>
      <c r="C1" s="305" t="s">
        <v>419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325" t="s">
        <v>343</v>
      </c>
      <c r="D3" s="341"/>
      <c r="E3" s="342" t="s">
        <v>51</v>
      </c>
      <c r="F3" s="341">
        <v>1</v>
      </c>
      <c r="G3" s="343">
        <v>3744000</v>
      </c>
      <c r="H3" s="175">
        <f t="shared" ref="H3:H31" si="0">IF(F3=0,G3,G3*F3)</f>
        <v>3744000</v>
      </c>
      <c r="I3" s="247"/>
    </row>
    <row r="4" spans="1:9" ht="15.95" customHeight="1">
      <c r="A4" s="497"/>
      <c r="B4" s="218"/>
      <c r="C4" s="325" t="s">
        <v>420</v>
      </c>
      <c r="D4" s="341"/>
      <c r="E4" s="342" t="s">
        <v>51</v>
      </c>
      <c r="F4" s="341">
        <v>1</v>
      </c>
      <c r="G4" s="343">
        <v>4104000</v>
      </c>
      <c r="H4" s="175">
        <f t="shared" si="0"/>
        <v>4104000</v>
      </c>
      <c r="I4" s="38"/>
    </row>
    <row r="5" spans="1:9" ht="15.95" customHeight="1">
      <c r="A5" s="497"/>
      <c r="B5" s="218"/>
      <c r="C5" s="325" t="s">
        <v>421</v>
      </c>
      <c r="D5" s="341"/>
      <c r="E5" s="342" t="s">
        <v>51</v>
      </c>
      <c r="F5" s="341">
        <v>1</v>
      </c>
      <c r="G5" s="343">
        <v>2448000</v>
      </c>
      <c r="H5" s="175">
        <f t="shared" si="0"/>
        <v>2448000</v>
      </c>
      <c r="I5" s="38"/>
    </row>
    <row r="6" spans="1:9" ht="15.95" customHeight="1">
      <c r="A6" s="497"/>
      <c r="B6" s="218"/>
      <c r="C6" s="325" t="s">
        <v>422</v>
      </c>
      <c r="D6" s="341"/>
      <c r="E6" s="342" t="s">
        <v>51</v>
      </c>
      <c r="F6" s="341">
        <v>1</v>
      </c>
      <c r="G6" s="343">
        <v>5616000</v>
      </c>
      <c r="H6" s="175">
        <f t="shared" si="0"/>
        <v>5616000</v>
      </c>
      <c r="I6" s="38"/>
    </row>
    <row r="7" spans="1:9" ht="15.95" customHeight="1">
      <c r="A7" s="497"/>
      <c r="B7" s="218"/>
      <c r="C7" s="325" t="s">
        <v>423</v>
      </c>
      <c r="D7" s="341"/>
      <c r="E7" s="342" t="s">
        <v>51</v>
      </c>
      <c r="F7" s="341">
        <v>1</v>
      </c>
      <c r="G7" s="343">
        <v>648000</v>
      </c>
      <c r="H7" s="175">
        <f t="shared" si="0"/>
        <v>648000</v>
      </c>
      <c r="I7" s="38"/>
    </row>
    <row r="8" spans="1:9" ht="15.95" customHeight="1">
      <c r="A8" s="497"/>
      <c r="B8" s="218"/>
      <c r="C8" s="325" t="s">
        <v>386</v>
      </c>
      <c r="D8" s="341"/>
      <c r="E8" s="342" t="s">
        <v>51</v>
      </c>
      <c r="F8" s="341">
        <v>1</v>
      </c>
      <c r="G8" s="343">
        <v>144000</v>
      </c>
      <c r="H8" s="175">
        <f t="shared" si="0"/>
        <v>144000</v>
      </c>
      <c r="I8" s="38"/>
    </row>
    <row r="9" spans="1:9" ht="15.95" customHeight="1">
      <c r="A9" s="497"/>
      <c r="B9" s="218"/>
      <c r="C9" s="325" t="s">
        <v>424</v>
      </c>
      <c r="D9" s="341"/>
      <c r="E9" s="342" t="s">
        <v>51</v>
      </c>
      <c r="F9" s="341">
        <v>1</v>
      </c>
      <c r="G9" s="343">
        <v>2088000</v>
      </c>
      <c r="H9" s="175">
        <f t="shared" si="0"/>
        <v>2088000</v>
      </c>
      <c r="I9" s="38"/>
    </row>
    <row r="10" spans="1:9" ht="15.95" customHeight="1">
      <c r="A10" s="497"/>
      <c r="B10" s="218"/>
      <c r="C10" s="325" t="s">
        <v>425</v>
      </c>
      <c r="D10" s="309"/>
      <c r="E10" s="342" t="s">
        <v>51</v>
      </c>
      <c r="F10" s="226">
        <v>1</v>
      </c>
      <c r="G10" s="228">
        <v>2232000</v>
      </c>
      <c r="H10" s="175">
        <f t="shared" si="0"/>
        <v>2232000</v>
      </c>
      <c r="I10" s="38"/>
    </row>
    <row r="11" spans="1:9" ht="15.95" customHeight="1">
      <c r="A11" s="497"/>
      <c r="B11" s="218"/>
      <c r="C11" s="309" t="s">
        <v>426</v>
      </c>
      <c r="D11" s="309"/>
      <c r="E11" s="342" t="s">
        <v>51</v>
      </c>
      <c r="F11" s="226">
        <v>1</v>
      </c>
      <c r="G11" s="228">
        <v>6120000</v>
      </c>
      <c r="H11" s="175">
        <f t="shared" si="0"/>
        <v>6120000</v>
      </c>
      <c r="I11" s="38"/>
    </row>
    <row r="12" spans="1:9" ht="15.95" customHeight="1">
      <c r="A12" s="497"/>
      <c r="B12" s="218"/>
      <c r="C12" s="309" t="s">
        <v>427</v>
      </c>
      <c r="D12" s="309"/>
      <c r="E12" s="342" t="s">
        <v>51</v>
      </c>
      <c r="F12" s="226">
        <v>2</v>
      </c>
      <c r="G12" s="228">
        <v>5688000</v>
      </c>
      <c r="H12" s="175">
        <f t="shared" si="0"/>
        <v>11376000</v>
      </c>
      <c r="I12" s="38"/>
    </row>
    <row r="13" spans="1:9" ht="15.95" customHeight="1">
      <c r="A13" s="497"/>
      <c r="B13" s="218"/>
      <c r="C13" s="309" t="s">
        <v>428</v>
      </c>
      <c r="D13" s="309"/>
      <c r="E13" s="342" t="s">
        <v>51</v>
      </c>
      <c r="F13" s="226">
        <v>2</v>
      </c>
      <c r="G13" s="228">
        <v>2520000</v>
      </c>
      <c r="H13" s="175">
        <f t="shared" si="0"/>
        <v>5040000</v>
      </c>
      <c r="I13" s="38"/>
    </row>
    <row r="14" spans="1:9" ht="15.95" customHeight="1">
      <c r="A14" s="497"/>
      <c r="B14" s="218"/>
      <c r="C14" s="309" t="s">
        <v>429</v>
      </c>
      <c r="D14" s="309"/>
      <c r="E14" s="342" t="s">
        <v>51</v>
      </c>
      <c r="F14" s="226">
        <v>2</v>
      </c>
      <c r="G14" s="228">
        <v>1152000</v>
      </c>
      <c r="H14" s="175">
        <f t="shared" si="0"/>
        <v>2304000</v>
      </c>
      <c r="I14" s="38"/>
    </row>
    <row r="15" spans="1:9" ht="15.95" customHeight="1">
      <c r="A15" s="497"/>
      <c r="B15" s="218"/>
      <c r="C15" s="309" t="s">
        <v>430</v>
      </c>
      <c r="D15" s="309"/>
      <c r="E15" s="342" t="s">
        <v>51</v>
      </c>
      <c r="F15" s="226">
        <v>2</v>
      </c>
      <c r="G15" s="228">
        <v>2448000</v>
      </c>
      <c r="H15" s="175">
        <f t="shared" si="0"/>
        <v>4896000</v>
      </c>
      <c r="I15" s="38"/>
    </row>
    <row r="16" spans="1:9" ht="15.95" customHeight="1">
      <c r="A16" s="497"/>
      <c r="B16" s="218"/>
      <c r="C16" s="309" t="s">
        <v>430</v>
      </c>
      <c r="D16" s="309"/>
      <c r="E16" s="342" t="s">
        <v>51</v>
      </c>
      <c r="F16" s="226">
        <v>2</v>
      </c>
      <c r="G16" s="228">
        <v>6840000</v>
      </c>
      <c r="H16" s="175">
        <f t="shared" si="0"/>
        <v>13680000</v>
      </c>
      <c r="I16" s="38"/>
    </row>
    <row r="17" spans="1:9" ht="15.95" customHeight="1">
      <c r="A17" s="497"/>
      <c r="B17" s="218"/>
      <c r="C17" s="309" t="s">
        <v>430</v>
      </c>
      <c r="D17" s="309"/>
      <c r="E17" s="342" t="s">
        <v>51</v>
      </c>
      <c r="F17" s="226">
        <v>2</v>
      </c>
      <c r="G17" s="228">
        <v>4176000</v>
      </c>
      <c r="H17" s="175">
        <f t="shared" si="0"/>
        <v>8352000</v>
      </c>
      <c r="I17" s="38"/>
    </row>
    <row r="18" spans="1:9" ht="15.95" customHeight="1">
      <c r="A18" s="497"/>
      <c r="B18" s="218"/>
      <c r="C18" s="309" t="s">
        <v>431</v>
      </c>
      <c r="D18" s="309"/>
      <c r="E18" s="342" t="s">
        <v>51</v>
      </c>
      <c r="F18" s="226">
        <v>2</v>
      </c>
      <c r="G18" s="228">
        <v>360000</v>
      </c>
      <c r="H18" s="175">
        <f t="shared" si="0"/>
        <v>720000</v>
      </c>
      <c r="I18" s="38"/>
    </row>
    <row r="19" spans="1:9" ht="15.95" customHeight="1">
      <c r="A19" s="497"/>
      <c r="B19" s="218"/>
      <c r="C19" s="325" t="s">
        <v>432</v>
      </c>
      <c r="D19" s="341"/>
      <c r="E19" s="342" t="s">
        <v>51</v>
      </c>
      <c r="F19" s="341">
        <v>2</v>
      </c>
      <c r="G19" s="343">
        <v>468000</v>
      </c>
      <c r="H19" s="175">
        <f t="shared" si="0"/>
        <v>936000</v>
      </c>
      <c r="I19" s="38"/>
    </row>
    <row r="20" spans="1:9" ht="15.95" customHeight="1">
      <c r="A20" s="497"/>
      <c r="B20" s="218"/>
      <c r="C20" s="325" t="s">
        <v>433</v>
      </c>
      <c r="D20" s="341"/>
      <c r="E20" s="342" t="s">
        <v>51</v>
      </c>
      <c r="F20" s="341">
        <v>2</v>
      </c>
      <c r="G20" s="343">
        <v>1008000</v>
      </c>
      <c r="H20" s="175">
        <f t="shared" si="0"/>
        <v>2016000</v>
      </c>
      <c r="I20" s="38"/>
    </row>
    <row r="21" spans="1:9" ht="15.95" customHeight="1">
      <c r="A21" s="497"/>
      <c r="B21" s="218"/>
      <c r="C21" s="325" t="s">
        <v>434</v>
      </c>
      <c r="D21" s="341"/>
      <c r="E21" s="342" t="s">
        <v>51</v>
      </c>
      <c r="F21" s="341">
        <v>2</v>
      </c>
      <c r="G21" s="343">
        <v>864000</v>
      </c>
      <c r="H21" s="175">
        <f t="shared" si="0"/>
        <v>1728000</v>
      </c>
      <c r="I21" s="38"/>
    </row>
    <row r="22" spans="1:9" ht="15.95" customHeight="1">
      <c r="A22" s="497"/>
      <c r="B22" s="218"/>
      <c r="C22" s="325" t="s">
        <v>435</v>
      </c>
      <c r="D22" s="341"/>
      <c r="E22" s="342" t="s">
        <v>51</v>
      </c>
      <c r="F22" s="341">
        <v>1</v>
      </c>
      <c r="G22" s="343">
        <v>1944000</v>
      </c>
      <c r="H22" s="175">
        <f t="shared" si="0"/>
        <v>1944000</v>
      </c>
      <c r="I22" s="38"/>
    </row>
    <row r="23" spans="1:9" ht="15.95" customHeight="1">
      <c r="A23" s="497"/>
      <c r="B23" s="218"/>
      <c r="C23" s="325" t="s">
        <v>436</v>
      </c>
      <c r="D23" s="309"/>
      <c r="E23" s="342" t="s">
        <v>51</v>
      </c>
      <c r="F23" s="226">
        <v>1</v>
      </c>
      <c r="G23" s="228">
        <v>2736000</v>
      </c>
      <c r="H23" s="175">
        <f t="shared" si="0"/>
        <v>2736000</v>
      </c>
      <c r="I23" s="38"/>
    </row>
    <row r="24" spans="1:9" ht="15.95" customHeight="1">
      <c r="A24" s="497"/>
      <c r="B24" s="218"/>
      <c r="C24" s="309" t="s">
        <v>437</v>
      </c>
      <c r="D24" s="309"/>
      <c r="E24" s="342" t="s">
        <v>51</v>
      </c>
      <c r="F24" s="226">
        <v>1</v>
      </c>
      <c r="G24" s="228">
        <v>7056000</v>
      </c>
      <c r="H24" s="175">
        <f t="shared" si="0"/>
        <v>7056000</v>
      </c>
      <c r="I24" s="38"/>
    </row>
    <row r="25" spans="1:9" ht="15.95" customHeight="1">
      <c r="A25" s="497"/>
      <c r="B25" s="218"/>
      <c r="C25" s="309" t="s">
        <v>438</v>
      </c>
      <c r="D25" s="309"/>
      <c r="E25" s="342" t="s">
        <v>51</v>
      </c>
      <c r="F25" s="226">
        <v>1</v>
      </c>
      <c r="G25" s="228">
        <v>2808000</v>
      </c>
      <c r="H25" s="175">
        <f t="shared" si="0"/>
        <v>2808000</v>
      </c>
      <c r="I25" s="38"/>
    </row>
    <row r="26" spans="1:9" ht="15.95" customHeight="1">
      <c r="A26" s="497"/>
      <c r="B26" s="218"/>
      <c r="C26" s="309" t="s">
        <v>439</v>
      </c>
      <c r="D26" s="309"/>
      <c r="E26" s="342" t="s">
        <v>51</v>
      </c>
      <c r="F26" s="226">
        <v>1</v>
      </c>
      <c r="G26" s="228">
        <v>1008000</v>
      </c>
      <c r="H26" s="175">
        <f t="shared" si="0"/>
        <v>1008000</v>
      </c>
      <c r="I26" s="38"/>
    </row>
    <row r="27" spans="1:9" ht="15.95" customHeight="1">
      <c r="A27" s="497"/>
      <c r="B27" s="218"/>
      <c r="C27" s="309" t="s">
        <v>248</v>
      </c>
      <c r="D27" s="309"/>
      <c r="E27" s="342" t="s">
        <v>51</v>
      </c>
      <c r="F27" s="226">
        <v>1</v>
      </c>
      <c r="G27" s="228">
        <v>2160000</v>
      </c>
      <c r="H27" s="175">
        <f t="shared" si="0"/>
        <v>2160000</v>
      </c>
      <c r="I27" s="38"/>
    </row>
    <row r="28" spans="1:9" ht="15.95" customHeight="1">
      <c r="A28" s="497"/>
      <c r="B28" s="218"/>
      <c r="C28" s="309" t="s">
        <v>440</v>
      </c>
      <c r="D28" s="309"/>
      <c r="E28" s="342" t="s">
        <v>51</v>
      </c>
      <c r="F28" s="226">
        <v>1</v>
      </c>
      <c r="G28" s="228">
        <v>2592000</v>
      </c>
      <c r="H28" s="175">
        <f t="shared" si="0"/>
        <v>2592000</v>
      </c>
      <c r="I28" s="38"/>
    </row>
    <row r="29" spans="1:9" ht="15.95" customHeight="1">
      <c r="A29" s="497"/>
      <c r="B29" s="218"/>
      <c r="C29" s="309" t="s">
        <v>284</v>
      </c>
      <c r="D29" s="309"/>
      <c r="E29" s="342" t="s">
        <v>51</v>
      </c>
      <c r="F29" s="226">
        <v>1</v>
      </c>
      <c r="G29" s="228">
        <v>1728000</v>
      </c>
      <c r="H29" s="175">
        <f t="shared" si="0"/>
        <v>1728000</v>
      </c>
      <c r="I29" s="38"/>
    </row>
    <row r="30" spans="1:9" ht="15.95" customHeight="1">
      <c r="A30" s="497"/>
      <c r="B30" s="218"/>
      <c r="C30" s="309" t="s">
        <v>441</v>
      </c>
      <c r="D30" s="309"/>
      <c r="E30" s="342" t="s">
        <v>51</v>
      </c>
      <c r="F30" s="226">
        <v>1</v>
      </c>
      <c r="G30" s="228">
        <v>720000</v>
      </c>
      <c r="H30" s="175">
        <f t="shared" si="0"/>
        <v>720000</v>
      </c>
      <c r="I30" s="38"/>
    </row>
    <row r="31" spans="1:9" ht="15.95" customHeight="1">
      <c r="A31" s="497"/>
      <c r="B31" s="218"/>
      <c r="C31" s="309"/>
      <c r="D31" s="309"/>
      <c r="E31" s="309"/>
      <c r="F31" s="228"/>
      <c r="G31" s="228"/>
      <c r="H31" s="175">
        <f t="shared" si="0"/>
        <v>0</v>
      </c>
      <c r="I31" s="38"/>
    </row>
    <row r="32" spans="1:9" ht="15.95" customHeight="1">
      <c r="A32" s="497"/>
      <c r="B32" s="218"/>
      <c r="C32" s="309"/>
      <c r="D32" s="309"/>
      <c r="E32" s="309"/>
      <c r="F32" s="228"/>
      <c r="G32" s="228"/>
      <c r="H32" s="175">
        <f t="shared" ref="H32:H34" si="1">IF(F32=0,G32,G32*F32)</f>
        <v>0</v>
      </c>
      <c r="I32" s="38"/>
    </row>
    <row r="33" spans="1:9" ht="15.95" customHeight="1">
      <c r="A33" s="497"/>
      <c r="B33" s="218"/>
      <c r="C33" s="225"/>
      <c r="D33" s="225"/>
      <c r="E33" s="225"/>
      <c r="F33" s="228"/>
      <c r="G33" s="228"/>
      <c r="H33" s="175">
        <f t="shared" si="1"/>
        <v>0</v>
      </c>
      <c r="I33" s="38"/>
    </row>
    <row r="34" spans="1:9" ht="15.95" customHeight="1">
      <c r="A34" s="497"/>
      <c r="B34" s="218"/>
      <c r="C34" s="225"/>
      <c r="D34" s="225"/>
      <c r="E34" s="225"/>
      <c r="F34" s="228"/>
      <c r="G34" s="228"/>
      <c r="H34" s="175">
        <f t="shared" si="1"/>
        <v>0</v>
      </c>
      <c r="I34" s="38"/>
    </row>
    <row r="35" spans="1:9" ht="15.95" customHeight="1">
      <c r="A35" s="497"/>
      <c r="B35" s="218"/>
      <c r="C35" s="229"/>
      <c r="D35" s="230"/>
      <c r="E35" s="230"/>
      <c r="F35" s="231"/>
      <c r="G35" s="232"/>
      <c r="H35" s="252">
        <f t="shared" ref="H35:H99" si="2">IF(F35=0,G35,G35*F35)</f>
        <v>0</v>
      </c>
      <c r="I35" s="253"/>
    </row>
    <row r="36" spans="1:9" ht="15.95" customHeight="1">
      <c r="A36" s="497"/>
      <c r="B36" s="234"/>
      <c r="C36" s="260"/>
      <c r="D36" s="260"/>
      <c r="E36" s="260"/>
      <c r="F36" s="258"/>
      <c r="G36" s="258"/>
      <c r="H36" s="259">
        <f>SUM(H3:H35)</f>
        <v>100944000</v>
      </c>
      <c r="I36" s="260"/>
    </row>
    <row r="37" spans="1:9" ht="15.95" customHeight="1">
      <c r="A37" s="497"/>
      <c r="B37" s="218" t="s">
        <v>150</v>
      </c>
      <c r="C37" s="219" t="s">
        <v>527</v>
      </c>
      <c r="D37" s="219"/>
      <c r="E37" s="225" t="s">
        <v>138</v>
      </c>
      <c r="F37" s="245">
        <v>18</v>
      </c>
      <c r="G37" s="245">
        <v>300000</v>
      </c>
      <c r="H37" s="223">
        <f t="shared" si="2"/>
        <v>5400000</v>
      </c>
      <c r="I37" s="224"/>
    </row>
    <row r="38" spans="1:9" ht="15.95" customHeight="1">
      <c r="A38" s="497"/>
      <c r="B38" s="218" t="s">
        <v>151</v>
      </c>
      <c r="C38" s="225" t="s">
        <v>528</v>
      </c>
      <c r="D38" s="225"/>
      <c r="E38" s="225" t="s">
        <v>138</v>
      </c>
      <c r="F38" s="346">
        <v>18</v>
      </c>
      <c r="G38" s="228">
        <v>300000</v>
      </c>
      <c r="H38" s="175">
        <f t="shared" si="2"/>
        <v>5400000</v>
      </c>
      <c r="I38" s="38"/>
    </row>
    <row r="39" spans="1:9" ht="15.95" customHeight="1">
      <c r="A39" s="497"/>
      <c r="B39" s="218"/>
      <c r="C39" s="225" t="s">
        <v>529</v>
      </c>
      <c r="D39" s="225"/>
      <c r="E39" s="225" t="s">
        <v>138</v>
      </c>
      <c r="F39" s="346">
        <v>25</v>
      </c>
      <c r="G39" s="228">
        <v>300000</v>
      </c>
      <c r="H39" s="175">
        <f t="shared" si="2"/>
        <v>7500000</v>
      </c>
      <c r="I39" s="38"/>
    </row>
    <row r="40" spans="1:9" ht="15.95" customHeight="1">
      <c r="A40" s="497"/>
      <c r="B40" s="218"/>
      <c r="C40" s="225"/>
      <c r="D40" s="225"/>
      <c r="E40" s="225"/>
      <c r="F40" s="346"/>
      <c r="G40" s="228"/>
      <c r="H40" s="175"/>
      <c r="I40" s="38"/>
    </row>
    <row r="41" spans="1:9" ht="15.95" customHeight="1">
      <c r="A41" s="497"/>
      <c r="B41" s="218"/>
      <c r="C41" s="229"/>
      <c r="D41" s="229"/>
      <c r="E41" s="225"/>
      <c r="F41" s="346"/>
      <c r="G41" s="228"/>
      <c r="H41" s="175"/>
      <c r="I41" s="233"/>
    </row>
    <row r="42" spans="1:9" ht="15.95" customHeight="1">
      <c r="A42" s="497"/>
      <c r="B42" s="234"/>
      <c r="C42" s="235"/>
      <c r="D42" s="236"/>
      <c r="E42" s="260"/>
      <c r="F42" s="258"/>
      <c r="G42" s="258"/>
      <c r="H42" s="239">
        <f>SUM(H37:H41)</f>
        <v>18300000</v>
      </c>
      <c r="I42" s="240"/>
    </row>
    <row r="43" spans="1:9" ht="15.95" customHeight="1">
      <c r="A43" s="497"/>
      <c r="B43" s="261" t="s">
        <v>152</v>
      </c>
      <c r="C43" s="344" t="s">
        <v>442</v>
      </c>
      <c r="D43" s="341"/>
      <c r="E43" s="342" t="s">
        <v>51</v>
      </c>
      <c r="F43" s="360" t="s">
        <v>329</v>
      </c>
      <c r="G43" s="343">
        <v>2244000</v>
      </c>
      <c r="H43" s="175">
        <f t="shared" si="2"/>
        <v>2244000</v>
      </c>
      <c r="I43" s="247" t="s">
        <v>566</v>
      </c>
    </row>
    <row r="44" spans="1:9" ht="15.95" customHeight="1">
      <c r="A44" s="497"/>
      <c r="B44" s="218" t="s">
        <v>153</v>
      </c>
      <c r="C44" s="225" t="s">
        <v>443</v>
      </c>
      <c r="D44" s="225"/>
      <c r="E44" s="342" t="s">
        <v>51</v>
      </c>
      <c r="F44" s="227" t="s">
        <v>330</v>
      </c>
      <c r="G44" s="228">
        <v>102000.00000000001</v>
      </c>
      <c r="H44" s="175">
        <f t="shared" si="2"/>
        <v>204000.00000000003</v>
      </c>
      <c r="I44" s="38" t="s">
        <v>566</v>
      </c>
    </row>
    <row r="45" spans="1:9" ht="15.95" customHeight="1">
      <c r="A45" s="497"/>
      <c r="B45" s="218"/>
      <c r="C45" s="225" t="s">
        <v>444</v>
      </c>
      <c r="D45" s="225"/>
      <c r="E45" s="342" t="s">
        <v>51</v>
      </c>
      <c r="F45" s="227" t="s">
        <v>330</v>
      </c>
      <c r="G45" s="228">
        <v>1224000</v>
      </c>
      <c r="H45" s="175">
        <f t="shared" si="2"/>
        <v>2448000</v>
      </c>
      <c r="I45" s="38" t="s">
        <v>566</v>
      </c>
    </row>
    <row r="46" spans="1:9" ht="15.95" customHeight="1">
      <c r="A46" s="497"/>
      <c r="B46" s="218"/>
      <c r="C46" s="225" t="s">
        <v>445</v>
      </c>
      <c r="D46" s="225"/>
      <c r="E46" s="342" t="s">
        <v>51</v>
      </c>
      <c r="F46" s="227" t="s">
        <v>329</v>
      </c>
      <c r="G46" s="228">
        <v>340000</v>
      </c>
      <c r="H46" s="175">
        <f t="shared" si="2"/>
        <v>340000</v>
      </c>
      <c r="I46" s="38" t="s">
        <v>566</v>
      </c>
    </row>
    <row r="47" spans="1:9" ht="15.95" customHeight="1">
      <c r="A47" s="497"/>
      <c r="B47" s="218"/>
      <c r="C47" s="225" t="s">
        <v>446</v>
      </c>
      <c r="D47" s="225"/>
      <c r="E47" s="342" t="s">
        <v>51</v>
      </c>
      <c r="F47" s="227" t="s">
        <v>329</v>
      </c>
      <c r="G47" s="228">
        <v>510000.00000000006</v>
      </c>
      <c r="H47" s="175">
        <f t="shared" si="2"/>
        <v>510000.00000000006</v>
      </c>
      <c r="I47" s="38" t="s">
        <v>566</v>
      </c>
    </row>
    <row r="48" spans="1:9" ht="15.95" customHeight="1">
      <c r="A48" s="497"/>
      <c r="B48" s="218"/>
      <c r="C48" s="225" t="s">
        <v>387</v>
      </c>
      <c r="D48" s="225"/>
      <c r="E48" s="342" t="s">
        <v>51</v>
      </c>
      <c r="F48" s="226">
        <v>1</v>
      </c>
      <c r="G48" s="228">
        <v>1020000.0000000001</v>
      </c>
      <c r="H48" s="175">
        <f t="shared" si="2"/>
        <v>1020000.0000000001</v>
      </c>
      <c r="I48" s="38" t="s">
        <v>483</v>
      </c>
    </row>
    <row r="49" spans="1:9" ht="15.95" customHeight="1">
      <c r="A49" s="497"/>
      <c r="B49" s="218"/>
      <c r="C49" s="225" t="s">
        <v>388</v>
      </c>
      <c r="D49" s="225"/>
      <c r="E49" s="342" t="s">
        <v>51</v>
      </c>
      <c r="F49" s="226">
        <v>2</v>
      </c>
      <c r="G49" s="228">
        <v>340000</v>
      </c>
      <c r="H49" s="175">
        <f t="shared" si="2"/>
        <v>680000</v>
      </c>
      <c r="I49" s="38" t="s">
        <v>483</v>
      </c>
    </row>
    <row r="50" spans="1:9" ht="15.95" customHeight="1">
      <c r="A50" s="497"/>
      <c r="B50" s="218"/>
      <c r="C50" s="225" t="s">
        <v>389</v>
      </c>
      <c r="D50" s="225" t="s">
        <v>452</v>
      </c>
      <c r="E50" s="342" t="s">
        <v>51</v>
      </c>
      <c r="F50" s="226">
        <v>1</v>
      </c>
      <c r="G50" s="228">
        <v>1496000</v>
      </c>
      <c r="H50" s="175">
        <f t="shared" si="2"/>
        <v>1496000</v>
      </c>
      <c r="I50" s="38" t="s">
        <v>203</v>
      </c>
    </row>
    <row r="51" spans="1:9" ht="15.95" customHeight="1">
      <c r="A51" s="497"/>
      <c r="B51" s="218"/>
      <c r="C51" s="225" t="s">
        <v>447</v>
      </c>
      <c r="D51" s="225"/>
      <c r="E51" s="342" t="s">
        <v>51</v>
      </c>
      <c r="F51" s="226">
        <v>1</v>
      </c>
      <c r="G51" s="228">
        <v>204000.00000000003</v>
      </c>
      <c r="H51" s="175">
        <f t="shared" si="2"/>
        <v>204000.00000000003</v>
      </c>
      <c r="I51" s="38" t="s">
        <v>325</v>
      </c>
    </row>
    <row r="52" spans="1:9" ht="15.95" customHeight="1">
      <c r="A52" s="497"/>
      <c r="B52" s="218"/>
      <c r="C52" s="225" t="s">
        <v>193</v>
      </c>
      <c r="D52" s="225"/>
      <c r="E52" s="342" t="s">
        <v>51</v>
      </c>
      <c r="F52" s="226">
        <v>1</v>
      </c>
      <c r="G52" s="228">
        <v>408000.00000000006</v>
      </c>
      <c r="H52" s="175">
        <f t="shared" si="2"/>
        <v>408000.00000000006</v>
      </c>
      <c r="I52" s="38" t="s">
        <v>200</v>
      </c>
    </row>
    <row r="53" spans="1:9" ht="15.95" customHeight="1">
      <c r="A53" s="497"/>
      <c r="B53" s="218"/>
      <c r="C53" s="225" t="s">
        <v>448</v>
      </c>
      <c r="D53" s="225"/>
      <c r="E53" s="342" t="s">
        <v>51</v>
      </c>
      <c r="F53" s="226">
        <v>1</v>
      </c>
      <c r="G53" s="228">
        <v>1360000</v>
      </c>
      <c r="H53" s="175">
        <f t="shared" si="2"/>
        <v>1360000</v>
      </c>
      <c r="I53" s="38" t="s">
        <v>567</v>
      </c>
    </row>
    <row r="54" spans="1:9" ht="15.95" customHeight="1">
      <c r="A54" s="497"/>
      <c r="B54" s="218"/>
      <c r="C54" s="225" t="s">
        <v>449</v>
      </c>
      <c r="D54" s="225"/>
      <c r="E54" s="342" t="s">
        <v>51</v>
      </c>
      <c r="F54" s="226">
        <v>2</v>
      </c>
      <c r="G54" s="228">
        <v>258400.00000000003</v>
      </c>
      <c r="H54" s="175">
        <f t="shared" si="2"/>
        <v>516800.00000000006</v>
      </c>
      <c r="I54" s="38" t="s">
        <v>203</v>
      </c>
    </row>
    <row r="55" spans="1:9" ht="15.95" customHeight="1">
      <c r="A55" s="497"/>
      <c r="B55" s="218"/>
      <c r="C55" s="225" t="s">
        <v>193</v>
      </c>
      <c r="D55" s="225"/>
      <c r="E55" s="342" t="s">
        <v>51</v>
      </c>
      <c r="F55" s="226">
        <v>2</v>
      </c>
      <c r="G55" s="228">
        <v>408000.00000000006</v>
      </c>
      <c r="H55" s="175">
        <f t="shared" si="2"/>
        <v>816000.00000000012</v>
      </c>
      <c r="I55" s="38" t="s">
        <v>200</v>
      </c>
    </row>
    <row r="56" spans="1:9" ht="15.95" customHeight="1">
      <c r="A56" s="497"/>
      <c r="B56" s="218"/>
      <c r="C56" s="225" t="s">
        <v>447</v>
      </c>
      <c r="D56" s="225"/>
      <c r="E56" s="342" t="s">
        <v>51</v>
      </c>
      <c r="F56" s="226">
        <v>2</v>
      </c>
      <c r="G56" s="228">
        <v>170000</v>
      </c>
      <c r="H56" s="175">
        <f t="shared" si="2"/>
        <v>340000</v>
      </c>
      <c r="I56" s="38" t="s">
        <v>325</v>
      </c>
    </row>
    <row r="57" spans="1:9" ht="15.95" customHeight="1">
      <c r="A57" s="497"/>
      <c r="B57" s="218"/>
      <c r="C57" s="225" t="s">
        <v>193</v>
      </c>
      <c r="D57" s="225"/>
      <c r="E57" s="342" t="s">
        <v>51</v>
      </c>
      <c r="F57" s="226">
        <v>2</v>
      </c>
      <c r="G57" s="228">
        <v>408000.00000000006</v>
      </c>
      <c r="H57" s="175">
        <f t="shared" si="2"/>
        <v>816000.00000000012</v>
      </c>
      <c r="I57" s="38" t="s">
        <v>200</v>
      </c>
    </row>
    <row r="58" spans="1:9" ht="15.95" customHeight="1">
      <c r="A58" s="497"/>
      <c r="B58" s="218"/>
      <c r="C58" s="225" t="s">
        <v>193</v>
      </c>
      <c r="D58" s="225"/>
      <c r="E58" s="342" t="s">
        <v>51</v>
      </c>
      <c r="F58" s="226">
        <v>2</v>
      </c>
      <c r="G58" s="228">
        <v>408000.00000000006</v>
      </c>
      <c r="H58" s="175">
        <f t="shared" si="2"/>
        <v>816000.00000000012</v>
      </c>
      <c r="I58" s="38" t="s">
        <v>200</v>
      </c>
    </row>
    <row r="59" spans="1:9" ht="15.95" customHeight="1">
      <c r="A59" s="497"/>
      <c r="B59" s="218"/>
      <c r="C59" s="225" t="s">
        <v>447</v>
      </c>
      <c r="D59" s="225"/>
      <c r="E59" s="342" t="s">
        <v>51</v>
      </c>
      <c r="F59" s="226">
        <v>2</v>
      </c>
      <c r="G59" s="228">
        <v>374000</v>
      </c>
      <c r="H59" s="175">
        <f t="shared" si="2"/>
        <v>748000</v>
      </c>
      <c r="I59" s="38" t="s">
        <v>325</v>
      </c>
    </row>
    <row r="60" spans="1:9" ht="15.95" customHeight="1">
      <c r="A60" s="497"/>
      <c r="B60" s="218"/>
      <c r="C60" s="225" t="s">
        <v>450</v>
      </c>
      <c r="D60" s="225"/>
      <c r="E60" s="342" t="s">
        <v>51</v>
      </c>
      <c r="F60" s="226">
        <v>2</v>
      </c>
      <c r="G60" s="228">
        <v>408000.00000000006</v>
      </c>
      <c r="H60" s="175">
        <f t="shared" si="2"/>
        <v>816000.00000000012</v>
      </c>
      <c r="I60" s="38" t="s">
        <v>481</v>
      </c>
    </row>
    <row r="61" spans="1:9" ht="15.95" customHeight="1">
      <c r="A61" s="497"/>
      <c r="B61" s="218"/>
      <c r="C61" s="225" t="s">
        <v>451</v>
      </c>
      <c r="D61" s="225"/>
      <c r="E61" s="342" t="s">
        <v>51</v>
      </c>
      <c r="F61" s="226">
        <v>2</v>
      </c>
      <c r="G61" s="228">
        <v>326400</v>
      </c>
      <c r="H61" s="175">
        <f t="shared" si="2"/>
        <v>652800</v>
      </c>
      <c r="I61" s="38" t="s">
        <v>531</v>
      </c>
    </row>
    <row r="62" spans="1:9" ht="15.95" customHeight="1">
      <c r="A62" s="497"/>
      <c r="B62" s="218"/>
      <c r="C62" s="225" t="s">
        <v>449</v>
      </c>
      <c r="D62" s="225"/>
      <c r="E62" s="342" t="s">
        <v>51</v>
      </c>
      <c r="F62" s="226">
        <v>2</v>
      </c>
      <c r="G62" s="228">
        <v>646000</v>
      </c>
      <c r="H62" s="175">
        <f t="shared" si="2"/>
        <v>1292000</v>
      </c>
      <c r="I62" s="38" t="s">
        <v>203</v>
      </c>
    </row>
    <row r="63" spans="1:9" ht="15.95" customHeight="1">
      <c r="A63" s="497"/>
      <c r="B63" s="218"/>
      <c r="C63" s="225" t="s">
        <v>193</v>
      </c>
      <c r="D63" s="225"/>
      <c r="E63" s="342" t="s">
        <v>51</v>
      </c>
      <c r="F63" s="226">
        <v>1</v>
      </c>
      <c r="G63" s="228">
        <v>748000</v>
      </c>
      <c r="H63" s="175">
        <f t="shared" si="2"/>
        <v>748000</v>
      </c>
      <c r="I63" s="38" t="s">
        <v>200</v>
      </c>
    </row>
    <row r="64" spans="1:9" ht="15.95" customHeight="1">
      <c r="A64" s="497"/>
      <c r="B64" s="218"/>
      <c r="C64" s="225" t="s">
        <v>447</v>
      </c>
      <c r="D64" s="225"/>
      <c r="E64" s="342" t="s">
        <v>51</v>
      </c>
      <c r="F64" s="226">
        <v>1</v>
      </c>
      <c r="G64" s="228">
        <v>816000.00000000012</v>
      </c>
      <c r="H64" s="175">
        <f t="shared" si="2"/>
        <v>816000.00000000012</v>
      </c>
      <c r="I64" s="38" t="s">
        <v>325</v>
      </c>
    </row>
    <row r="65" spans="1:9" ht="15.95" customHeight="1">
      <c r="A65" s="497"/>
      <c r="B65" s="218"/>
      <c r="C65" s="225" t="s">
        <v>447</v>
      </c>
      <c r="D65" s="225"/>
      <c r="E65" s="342" t="s">
        <v>51</v>
      </c>
      <c r="F65" s="226">
        <v>1</v>
      </c>
      <c r="G65" s="228">
        <v>340000</v>
      </c>
      <c r="H65" s="175">
        <f t="shared" si="2"/>
        <v>340000</v>
      </c>
      <c r="I65" s="38" t="s">
        <v>325</v>
      </c>
    </row>
    <row r="66" spans="1:9" ht="15.95" customHeight="1">
      <c r="A66" s="497"/>
      <c r="B66" s="218"/>
      <c r="C66" s="225" t="s">
        <v>390</v>
      </c>
      <c r="D66" s="225"/>
      <c r="E66" s="342" t="s">
        <v>51</v>
      </c>
      <c r="F66" s="226">
        <v>1</v>
      </c>
      <c r="G66" s="228">
        <v>408000.00000000006</v>
      </c>
      <c r="H66" s="175">
        <f t="shared" si="2"/>
        <v>408000.00000000006</v>
      </c>
      <c r="I66" s="38" t="s">
        <v>350</v>
      </c>
    </row>
    <row r="67" spans="1:9" ht="15.95" customHeight="1">
      <c r="A67" s="497"/>
      <c r="B67" s="218"/>
      <c r="C67" s="225" t="s">
        <v>250</v>
      </c>
      <c r="D67" s="225"/>
      <c r="E67" s="342" t="s">
        <v>51</v>
      </c>
      <c r="F67" s="226">
        <v>1</v>
      </c>
      <c r="G67" s="228">
        <v>1632000.0000000002</v>
      </c>
      <c r="H67" s="175">
        <f t="shared" si="2"/>
        <v>1632000.0000000002</v>
      </c>
      <c r="I67" s="38" t="s">
        <v>253</v>
      </c>
    </row>
    <row r="68" spans="1:9" ht="15.95" customHeight="1">
      <c r="A68" s="497"/>
      <c r="B68" s="218"/>
      <c r="C68" s="225" t="s">
        <v>258</v>
      </c>
      <c r="D68" s="225"/>
      <c r="E68" s="342" t="s">
        <v>51</v>
      </c>
      <c r="F68" s="226">
        <v>1</v>
      </c>
      <c r="G68" s="228">
        <v>680000</v>
      </c>
      <c r="H68" s="175">
        <f t="shared" si="2"/>
        <v>680000</v>
      </c>
      <c r="I68" s="38" t="s">
        <v>203</v>
      </c>
    </row>
    <row r="69" spans="1:9" ht="15.95" customHeight="1">
      <c r="A69" s="497"/>
      <c r="B69" s="218"/>
      <c r="C69" s="225" t="s">
        <v>320</v>
      </c>
      <c r="D69" s="225"/>
      <c r="E69" s="342" t="s">
        <v>51</v>
      </c>
      <c r="F69" s="226">
        <v>2</v>
      </c>
      <c r="G69" s="228">
        <v>680000</v>
      </c>
      <c r="H69" s="175">
        <f t="shared" si="2"/>
        <v>1360000</v>
      </c>
      <c r="I69" s="38" t="s">
        <v>203</v>
      </c>
    </row>
    <row r="70" spans="1:9" ht="15.95" customHeight="1">
      <c r="A70" s="497"/>
      <c r="B70" s="218"/>
      <c r="C70" s="225" t="s">
        <v>453</v>
      </c>
      <c r="D70" s="225"/>
      <c r="E70" s="342" t="s">
        <v>51</v>
      </c>
      <c r="F70" s="227" t="s">
        <v>329</v>
      </c>
      <c r="G70" s="228">
        <v>408000.00000000006</v>
      </c>
      <c r="H70" s="175">
        <f t="shared" si="2"/>
        <v>408000.00000000006</v>
      </c>
      <c r="I70" s="38" t="s">
        <v>555</v>
      </c>
    </row>
    <row r="71" spans="1:9" ht="15.95" customHeight="1">
      <c r="A71" s="497"/>
      <c r="B71" s="218"/>
      <c r="C71" s="225" t="s">
        <v>417</v>
      </c>
      <c r="D71" s="225"/>
      <c r="E71" s="342" t="s">
        <v>51</v>
      </c>
      <c r="F71" s="227" t="s">
        <v>329</v>
      </c>
      <c r="G71" s="228">
        <v>238000.00000000003</v>
      </c>
      <c r="H71" s="175">
        <f t="shared" si="2"/>
        <v>238000.00000000003</v>
      </c>
      <c r="I71" s="38" t="s">
        <v>555</v>
      </c>
    </row>
    <row r="72" spans="1:9" ht="15.95" customHeight="1">
      <c r="A72" s="497"/>
      <c r="B72" s="218"/>
      <c r="C72" s="225" t="s">
        <v>454</v>
      </c>
      <c r="D72" s="225"/>
      <c r="E72" s="342" t="s">
        <v>51</v>
      </c>
      <c r="F72" s="227" t="s">
        <v>329</v>
      </c>
      <c r="G72" s="228">
        <v>238000.00000000003</v>
      </c>
      <c r="H72" s="175">
        <f t="shared" si="2"/>
        <v>238000.00000000003</v>
      </c>
      <c r="I72" s="38" t="s">
        <v>555</v>
      </c>
    </row>
    <row r="73" spans="1:9" ht="15.95" customHeight="1">
      <c r="A73" s="497"/>
      <c r="B73" s="218"/>
      <c r="C73" s="225" t="s">
        <v>455</v>
      </c>
      <c r="D73" s="225"/>
      <c r="E73" s="342" t="s">
        <v>51</v>
      </c>
      <c r="F73" s="227" t="s">
        <v>329</v>
      </c>
      <c r="G73" s="228">
        <v>340000</v>
      </c>
      <c r="H73" s="175">
        <f t="shared" si="2"/>
        <v>340000</v>
      </c>
      <c r="I73" s="38" t="s">
        <v>555</v>
      </c>
    </row>
    <row r="74" spans="1:9" ht="15.95" customHeight="1">
      <c r="A74" s="497"/>
      <c r="B74" s="218"/>
      <c r="C74" s="225" t="s">
        <v>456</v>
      </c>
      <c r="D74" s="225"/>
      <c r="E74" s="342" t="s">
        <v>51</v>
      </c>
      <c r="F74" s="227" t="s">
        <v>330</v>
      </c>
      <c r="G74" s="228">
        <v>340000</v>
      </c>
      <c r="H74" s="175">
        <f t="shared" si="2"/>
        <v>680000</v>
      </c>
      <c r="I74" s="38" t="s">
        <v>555</v>
      </c>
    </row>
    <row r="75" spans="1:9" ht="15.95" customHeight="1">
      <c r="A75" s="497"/>
      <c r="B75" s="218"/>
      <c r="C75" s="225" t="s">
        <v>457</v>
      </c>
      <c r="D75" s="225"/>
      <c r="E75" s="342" t="s">
        <v>51</v>
      </c>
      <c r="F75" s="227" t="s">
        <v>330</v>
      </c>
      <c r="G75" s="228">
        <v>102000.00000000001</v>
      </c>
      <c r="H75" s="175">
        <f t="shared" si="2"/>
        <v>204000.00000000003</v>
      </c>
      <c r="I75" s="38" t="s">
        <v>555</v>
      </c>
    </row>
    <row r="76" spans="1:9" ht="15.95" customHeight="1">
      <c r="A76" s="497"/>
      <c r="B76" s="218"/>
      <c r="C76" s="225" t="s">
        <v>458</v>
      </c>
      <c r="D76" s="225"/>
      <c r="E76" s="342" t="s">
        <v>51</v>
      </c>
      <c r="F76" s="227" t="s">
        <v>330</v>
      </c>
      <c r="G76" s="228">
        <v>238000.00000000003</v>
      </c>
      <c r="H76" s="175">
        <f t="shared" si="2"/>
        <v>476000.00000000006</v>
      </c>
      <c r="I76" s="38" t="s">
        <v>555</v>
      </c>
    </row>
    <row r="77" spans="1:9" ht="15.95" customHeight="1">
      <c r="A77" s="497"/>
      <c r="B77" s="218"/>
      <c r="C77" s="225" t="s">
        <v>459</v>
      </c>
      <c r="D77" s="225"/>
      <c r="E77" s="342" t="s">
        <v>51</v>
      </c>
      <c r="F77" s="227" t="s">
        <v>330</v>
      </c>
      <c r="G77" s="228">
        <v>374000</v>
      </c>
      <c r="H77" s="175">
        <f t="shared" si="2"/>
        <v>748000</v>
      </c>
      <c r="I77" s="38" t="s">
        <v>555</v>
      </c>
    </row>
    <row r="78" spans="1:9" ht="15.95" customHeight="1">
      <c r="A78" s="497"/>
      <c r="B78" s="218"/>
      <c r="C78" s="225" t="s">
        <v>460</v>
      </c>
      <c r="D78" s="225"/>
      <c r="E78" s="342" t="s">
        <v>51</v>
      </c>
      <c r="F78" s="227" t="s">
        <v>330</v>
      </c>
      <c r="G78" s="228">
        <v>442000.00000000006</v>
      </c>
      <c r="H78" s="175">
        <f t="shared" si="2"/>
        <v>884000.00000000012</v>
      </c>
      <c r="I78" s="38" t="s">
        <v>555</v>
      </c>
    </row>
    <row r="79" spans="1:9" ht="15.95" customHeight="1">
      <c r="A79" s="497"/>
      <c r="B79" s="218"/>
      <c r="C79" s="225" t="s">
        <v>461</v>
      </c>
      <c r="D79" s="225"/>
      <c r="E79" s="342" t="s">
        <v>51</v>
      </c>
      <c r="F79" s="227" t="s">
        <v>330</v>
      </c>
      <c r="G79" s="228">
        <v>272000</v>
      </c>
      <c r="H79" s="175">
        <f t="shared" si="2"/>
        <v>544000</v>
      </c>
      <c r="I79" s="38" t="s">
        <v>555</v>
      </c>
    </row>
    <row r="80" spans="1:9" ht="15.95" customHeight="1">
      <c r="A80" s="497"/>
      <c r="B80" s="218"/>
      <c r="C80" s="225" t="s">
        <v>462</v>
      </c>
      <c r="D80" s="225"/>
      <c r="E80" s="342" t="s">
        <v>51</v>
      </c>
      <c r="F80" s="227" t="s">
        <v>330</v>
      </c>
      <c r="G80" s="228">
        <v>102000.00000000001</v>
      </c>
      <c r="H80" s="175">
        <f t="shared" si="2"/>
        <v>204000.00000000003</v>
      </c>
      <c r="I80" s="38" t="s">
        <v>555</v>
      </c>
    </row>
    <row r="81" spans="1:9" ht="15.95" customHeight="1">
      <c r="A81" s="497"/>
      <c r="B81" s="218"/>
      <c r="C81" s="225" t="s">
        <v>463</v>
      </c>
      <c r="D81" s="225"/>
      <c r="E81" s="342" t="s">
        <v>51</v>
      </c>
      <c r="F81" s="227" t="s">
        <v>330</v>
      </c>
      <c r="G81" s="228">
        <v>272000</v>
      </c>
      <c r="H81" s="175">
        <f t="shared" si="2"/>
        <v>544000</v>
      </c>
      <c r="I81" s="38" t="s">
        <v>555</v>
      </c>
    </row>
    <row r="82" spans="1:9" ht="15.95" customHeight="1">
      <c r="A82" s="497"/>
      <c r="B82" s="218"/>
      <c r="C82" s="225" t="s">
        <v>464</v>
      </c>
      <c r="D82" s="225"/>
      <c r="E82" s="342" t="s">
        <v>51</v>
      </c>
      <c r="F82" s="227" t="s">
        <v>330</v>
      </c>
      <c r="G82" s="228">
        <v>102000.00000000001</v>
      </c>
      <c r="H82" s="175">
        <f t="shared" si="2"/>
        <v>204000.00000000003</v>
      </c>
      <c r="I82" s="38" t="s">
        <v>555</v>
      </c>
    </row>
    <row r="83" spans="1:9" ht="15.95" customHeight="1">
      <c r="A83" s="497"/>
      <c r="B83" s="218"/>
      <c r="C83" s="225" t="s">
        <v>465</v>
      </c>
      <c r="D83" s="225"/>
      <c r="E83" s="342" t="s">
        <v>51</v>
      </c>
      <c r="F83" s="227" t="s">
        <v>330</v>
      </c>
      <c r="G83" s="228">
        <v>102000.00000000001</v>
      </c>
      <c r="H83" s="175">
        <f t="shared" si="2"/>
        <v>204000.00000000003</v>
      </c>
      <c r="I83" s="38" t="s">
        <v>555</v>
      </c>
    </row>
    <row r="84" spans="1:9" ht="15.95" customHeight="1">
      <c r="A84" s="497"/>
      <c r="B84" s="218"/>
      <c r="C84" s="225" t="s">
        <v>466</v>
      </c>
      <c r="D84" s="225"/>
      <c r="E84" s="342" t="s">
        <v>51</v>
      </c>
      <c r="F84" s="227" t="s">
        <v>329</v>
      </c>
      <c r="G84" s="228">
        <v>102000.00000000001</v>
      </c>
      <c r="H84" s="175">
        <f t="shared" si="2"/>
        <v>102000.00000000001</v>
      </c>
      <c r="I84" s="38" t="s">
        <v>555</v>
      </c>
    </row>
    <row r="85" spans="1:9" ht="15.95" customHeight="1">
      <c r="A85" s="497"/>
      <c r="B85" s="218"/>
      <c r="C85" s="225" t="s">
        <v>467</v>
      </c>
      <c r="D85" s="225"/>
      <c r="E85" s="342" t="s">
        <v>51</v>
      </c>
      <c r="F85" s="227" t="s">
        <v>329</v>
      </c>
      <c r="G85" s="228">
        <v>272000</v>
      </c>
      <c r="H85" s="175">
        <f t="shared" si="2"/>
        <v>272000</v>
      </c>
      <c r="I85" s="38" t="s">
        <v>555</v>
      </c>
    </row>
    <row r="86" spans="1:9" ht="15.95" customHeight="1">
      <c r="A86" s="497"/>
      <c r="B86" s="218"/>
      <c r="C86" s="225" t="s">
        <v>468</v>
      </c>
      <c r="D86" s="225"/>
      <c r="E86" s="342" t="s">
        <v>51</v>
      </c>
      <c r="F86" s="227" t="s">
        <v>329</v>
      </c>
      <c r="G86" s="228">
        <v>408000.00000000006</v>
      </c>
      <c r="H86" s="175">
        <f t="shared" si="2"/>
        <v>408000.00000000006</v>
      </c>
      <c r="I86" s="38" t="s">
        <v>555</v>
      </c>
    </row>
    <row r="87" spans="1:9" ht="15.95" customHeight="1">
      <c r="A87" s="497"/>
      <c r="B87" s="218"/>
      <c r="C87" s="225" t="s">
        <v>469</v>
      </c>
      <c r="D87" s="225"/>
      <c r="E87" s="342" t="s">
        <v>51</v>
      </c>
      <c r="F87" s="227" t="s">
        <v>329</v>
      </c>
      <c r="G87" s="228">
        <v>102000.00000000001</v>
      </c>
      <c r="H87" s="175">
        <f t="shared" si="2"/>
        <v>102000.00000000001</v>
      </c>
      <c r="I87" s="38" t="s">
        <v>555</v>
      </c>
    </row>
    <row r="88" spans="1:9" ht="15.95" customHeight="1">
      <c r="A88" s="497"/>
      <c r="B88" s="218"/>
      <c r="C88" s="225" t="s">
        <v>418</v>
      </c>
      <c r="D88" s="225"/>
      <c r="E88" s="342" t="s">
        <v>51</v>
      </c>
      <c r="F88" s="227" t="s">
        <v>329</v>
      </c>
      <c r="G88" s="228">
        <v>340000</v>
      </c>
      <c r="H88" s="175">
        <f t="shared" si="2"/>
        <v>340000</v>
      </c>
      <c r="I88" s="38" t="s">
        <v>555</v>
      </c>
    </row>
    <row r="89" spans="1:9" ht="15.95" customHeight="1">
      <c r="A89" s="497"/>
      <c r="B89" s="218"/>
      <c r="C89" s="225"/>
      <c r="D89" s="225"/>
      <c r="E89" s="226"/>
      <c r="F89" s="228"/>
      <c r="G89" s="228"/>
      <c r="H89" s="175">
        <f t="shared" si="2"/>
        <v>0</v>
      </c>
      <c r="I89" s="38"/>
    </row>
    <row r="90" spans="1:9" ht="15.95" customHeight="1">
      <c r="A90" s="497"/>
      <c r="B90" s="218"/>
      <c r="C90" s="225"/>
      <c r="D90" s="225"/>
      <c r="E90" s="226"/>
      <c r="F90" s="228"/>
      <c r="G90" s="228"/>
      <c r="H90" s="175">
        <f t="shared" si="2"/>
        <v>0</v>
      </c>
      <c r="I90" s="38"/>
    </row>
    <row r="91" spans="1:9" ht="15.95" customHeight="1">
      <c r="A91" s="497"/>
      <c r="B91" s="218"/>
      <c r="C91" s="229"/>
      <c r="D91" s="230"/>
      <c r="E91" s="230"/>
      <c r="F91" s="231"/>
      <c r="G91" s="232"/>
      <c r="H91" s="185">
        <f t="shared" si="2"/>
        <v>0</v>
      </c>
      <c r="I91" s="233"/>
    </row>
    <row r="92" spans="1:9" ht="15.95" customHeight="1">
      <c r="A92" s="497"/>
      <c r="B92" s="234"/>
      <c r="C92" s="235"/>
      <c r="D92" s="236"/>
      <c r="E92" s="236"/>
      <c r="F92" s="238"/>
      <c r="G92" s="238"/>
      <c r="H92" s="239">
        <f>SUM(H43:H91)</f>
        <v>30851600</v>
      </c>
      <c r="I92" s="240"/>
    </row>
    <row r="93" spans="1:9" ht="15.95" customHeight="1">
      <c r="A93" s="497"/>
      <c r="B93" s="261" t="s">
        <v>53</v>
      </c>
      <c r="C93" s="225"/>
      <c r="D93" s="307"/>
      <c r="E93" s="307"/>
      <c r="F93" s="310"/>
      <c r="G93" s="228"/>
      <c r="H93" s="246">
        <f t="shared" si="2"/>
        <v>0</v>
      </c>
      <c r="I93" s="247"/>
    </row>
    <row r="94" spans="1:9" ht="15.95" customHeight="1">
      <c r="A94" s="497"/>
      <c r="B94" s="218"/>
      <c r="C94" s="225"/>
      <c r="D94" s="345"/>
      <c r="E94" s="307"/>
      <c r="F94" s="310"/>
      <c r="G94" s="228"/>
      <c r="H94" s="175">
        <f t="shared" si="2"/>
        <v>0</v>
      </c>
      <c r="I94" s="38"/>
    </row>
    <row r="95" spans="1:9" ht="15.95" customHeight="1">
      <c r="A95" s="497"/>
      <c r="B95" s="218"/>
      <c r="C95" s="225"/>
      <c r="D95" s="307"/>
      <c r="E95" s="307"/>
      <c r="F95" s="310"/>
      <c r="G95" s="228"/>
      <c r="H95" s="175">
        <f t="shared" si="2"/>
        <v>0</v>
      </c>
      <c r="I95" s="38"/>
    </row>
    <row r="96" spans="1:9" ht="15.95" customHeight="1">
      <c r="A96" s="497"/>
      <c r="B96" s="218"/>
      <c r="C96" s="225"/>
      <c r="D96" s="225"/>
      <c r="E96" s="225"/>
      <c r="F96" s="228"/>
      <c r="G96" s="228"/>
      <c r="H96" s="175">
        <f t="shared" si="2"/>
        <v>0</v>
      </c>
      <c r="I96" s="38"/>
    </row>
    <row r="97" spans="1:9" ht="15.95" customHeight="1">
      <c r="A97" s="497"/>
      <c r="B97" s="218"/>
      <c r="C97" s="225"/>
      <c r="D97" s="225"/>
      <c r="E97" s="225"/>
      <c r="F97" s="228"/>
      <c r="G97" s="228"/>
      <c r="H97" s="175">
        <f t="shared" si="2"/>
        <v>0</v>
      </c>
      <c r="I97" s="38"/>
    </row>
    <row r="98" spans="1:9" ht="15.95" customHeight="1">
      <c r="A98" s="497"/>
      <c r="B98" s="218"/>
      <c r="C98" s="225"/>
      <c r="D98" s="225"/>
      <c r="E98" s="225"/>
      <c r="F98" s="228"/>
      <c r="G98" s="228"/>
      <c r="H98" s="175">
        <f t="shared" si="2"/>
        <v>0</v>
      </c>
      <c r="I98" s="38"/>
    </row>
    <row r="99" spans="1:9" ht="15.95" customHeight="1">
      <c r="A99" s="497"/>
      <c r="B99" s="218"/>
      <c r="C99" s="229"/>
      <c r="D99" s="229"/>
      <c r="E99" s="229"/>
      <c r="F99" s="232"/>
      <c r="G99" s="232"/>
      <c r="H99" s="185">
        <f t="shared" si="2"/>
        <v>0</v>
      </c>
      <c r="I99" s="233"/>
    </row>
    <row r="100" spans="1:9" ht="15.95" customHeight="1">
      <c r="A100" s="497"/>
      <c r="B100" s="234"/>
      <c r="C100" s="235"/>
      <c r="D100" s="236"/>
      <c r="E100" s="236"/>
      <c r="F100" s="238"/>
      <c r="G100" s="238"/>
      <c r="H100" s="239">
        <f>SUM(H93:H99)</f>
        <v>0</v>
      </c>
      <c r="I100" s="240"/>
    </row>
    <row r="101" spans="1:9" ht="15.95" customHeight="1">
      <c r="A101" s="281"/>
      <c r="B101" s="282" t="s">
        <v>135</v>
      </c>
      <c r="C101" s="283"/>
      <c r="D101" s="240"/>
      <c r="E101" s="240"/>
      <c r="F101" s="285"/>
      <c r="G101" s="285"/>
      <c r="H101" s="239">
        <f>SUM(H100,H92,H42,H36)</f>
        <v>150095600</v>
      </c>
      <c r="I101" s="240"/>
    </row>
    <row r="102" spans="1:9" ht="15.95" customHeight="1">
      <c r="A102" s="498" t="s">
        <v>136</v>
      </c>
      <c r="B102" s="286" t="s">
        <v>59</v>
      </c>
      <c r="C102" s="283"/>
      <c r="D102" s="240"/>
      <c r="E102" s="286" t="s">
        <v>60</v>
      </c>
      <c r="F102" s="303"/>
      <c r="G102" s="289"/>
      <c r="H102" s="290">
        <f>F102*G102</f>
        <v>0</v>
      </c>
      <c r="I102" s="240"/>
    </row>
    <row r="103" spans="1:9" ht="15.95" customHeight="1">
      <c r="A103" s="497"/>
      <c r="B103" s="291" t="s">
        <v>154</v>
      </c>
      <c r="C103" s="292"/>
      <c r="D103" s="247"/>
      <c r="E103" s="291" t="s">
        <v>138</v>
      </c>
      <c r="F103" s="245"/>
      <c r="G103" s="245"/>
      <c r="H103" s="246">
        <f t="shared" ref="H103:H109" si="3">F103*G103</f>
        <v>0</v>
      </c>
      <c r="I103" s="247"/>
    </row>
    <row r="104" spans="1:9" ht="15.95" customHeight="1">
      <c r="A104" s="497"/>
      <c r="B104" s="324" t="s">
        <v>155</v>
      </c>
      <c r="C104" s="295"/>
      <c r="D104" s="38"/>
      <c r="E104" s="294" t="s">
        <v>138</v>
      </c>
      <c r="F104" s="346"/>
      <c r="G104" s="228"/>
      <c r="H104" s="175">
        <f t="shared" si="3"/>
        <v>0</v>
      </c>
      <c r="I104" s="38"/>
    </row>
    <row r="105" spans="1:9" ht="15.95" customHeight="1">
      <c r="A105" s="497"/>
      <c r="B105" s="294" t="s">
        <v>156</v>
      </c>
      <c r="C105" s="295"/>
      <c r="D105" s="38"/>
      <c r="E105" s="294" t="s">
        <v>138</v>
      </c>
      <c r="F105" s="346"/>
      <c r="G105" s="228"/>
      <c r="H105" s="175">
        <f t="shared" si="3"/>
        <v>0</v>
      </c>
      <c r="I105" s="38"/>
    </row>
    <row r="106" spans="1:9" ht="15.95" customHeight="1">
      <c r="A106" s="497"/>
      <c r="B106" s="294" t="s">
        <v>157</v>
      </c>
      <c r="C106" s="295"/>
      <c r="D106" s="38"/>
      <c r="E106" s="294" t="s">
        <v>138</v>
      </c>
      <c r="F106" s="346"/>
      <c r="G106" s="228"/>
      <c r="H106" s="175">
        <f t="shared" si="3"/>
        <v>0</v>
      </c>
      <c r="I106" s="38"/>
    </row>
    <row r="107" spans="1:9" ht="15.95" customHeight="1">
      <c r="A107" s="497"/>
      <c r="B107" s="294" t="s">
        <v>158</v>
      </c>
      <c r="C107" s="295"/>
      <c r="D107" s="38"/>
      <c r="E107" s="294" t="s">
        <v>138</v>
      </c>
      <c r="F107" s="346"/>
      <c r="G107" s="228"/>
      <c r="H107" s="175">
        <f t="shared" si="3"/>
        <v>0</v>
      </c>
      <c r="I107" s="38"/>
    </row>
    <row r="108" spans="1:9" ht="15.95" customHeight="1">
      <c r="A108" s="497"/>
      <c r="B108" s="294" t="s">
        <v>159</v>
      </c>
      <c r="C108" s="295"/>
      <c r="D108" s="38"/>
      <c r="E108" s="294" t="s">
        <v>138</v>
      </c>
      <c r="F108" s="346"/>
      <c r="G108" s="228"/>
      <c r="H108" s="175">
        <f t="shared" si="3"/>
        <v>0</v>
      </c>
      <c r="I108" s="38"/>
    </row>
    <row r="109" spans="1:9" ht="15.95" customHeight="1">
      <c r="A109" s="497"/>
      <c r="B109" s="297" t="s">
        <v>164</v>
      </c>
      <c r="C109" s="298" t="s">
        <v>165</v>
      </c>
      <c r="D109" s="233"/>
      <c r="E109" s="297" t="s">
        <v>138</v>
      </c>
      <c r="F109" s="347"/>
      <c r="G109" s="232"/>
      <c r="H109" s="185">
        <f t="shared" si="3"/>
        <v>0</v>
      </c>
      <c r="I109" s="233"/>
    </row>
    <row r="110" spans="1:9" ht="15.95" customHeight="1">
      <c r="A110" s="281"/>
      <c r="B110" s="300" t="s">
        <v>144</v>
      </c>
      <c r="C110" s="283"/>
      <c r="D110" s="240"/>
      <c r="E110" s="240"/>
      <c r="F110" s="238"/>
      <c r="G110" s="238"/>
      <c r="H110" s="238">
        <f>SUM(H102:H109)</f>
        <v>0</v>
      </c>
      <c r="I110" s="236"/>
    </row>
    <row r="111" spans="1:9" ht="15.95" customHeight="1">
      <c r="A111" s="287"/>
      <c r="B111" s="300" t="s">
        <v>161</v>
      </c>
      <c r="C111" s="283"/>
      <c r="D111" s="240"/>
      <c r="E111" s="216" t="s">
        <v>51</v>
      </c>
      <c r="F111" s="239"/>
      <c r="G111" s="239"/>
      <c r="H111" s="285"/>
      <c r="I111" s="240"/>
    </row>
    <row r="112" spans="1:9" ht="15.95" customHeight="1">
      <c r="A112" s="287"/>
      <c r="B112" s="300" t="s">
        <v>85</v>
      </c>
      <c r="C112" s="283"/>
      <c r="D112" s="240"/>
      <c r="E112" s="240"/>
      <c r="F112" s="239"/>
      <c r="G112" s="302"/>
      <c r="H112" s="303">
        <f>(H110+H101)*0.05</f>
        <v>7504780</v>
      </c>
      <c r="I112" s="283"/>
    </row>
    <row r="113" spans="1:9" ht="15.95" customHeight="1">
      <c r="A113" s="287"/>
      <c r="B113" s="300" t="s">
        <v>147</v>
      </c>
      <c r="C113" s="283"/>
      <c r="D113" s="240"/>
      <c r="E113" s="240"/>
      <c r="F113" s="239"/>
      <c r="G113" s="302"/>
      <c r="H113" s="303">
        <f>(H110+H101)*0.1</f>
        <v>15009560</v>
      </c>
      <c r="I113" s="283"/>
    </row>
    <row r="114" spans="1:9" ht="15.95" customHeight="1">
      <c r="A114" s="287"/>
      <c r="B114" s="300" t="s">
        <v>148</v>
      </c>
      <c r="C114" s="283"/>
      <c r="D114" s="240"/>
      <c r="E114" s="240"/>
      <c r="F114" s="239"/>
      <c r="G114" s="239"/>
      <c r="H114" s="238">
        <f>H101+H110+H111+H112+H113</f>
        <v>172609940</v>
      </c>
      <c r="I114" s="240"/>
    </row>
    <row r="115" spans="1:9">
      <c r="A115" s="136"/>
    </row>
  </sheetData>
  <mergeCells count="3">
    <mergeCell ref="A2:B2"/>
    <mergeCell ref="A3:A100"/>
    <mergeCell ref="A102:A10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F43:F47 F70:F88" numberStoredAsText="1"/>
    <ignoredError sqref="H92" formula="1"/>
  </ignoredError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3AC2-68AB-447B-B398-5CB99ED6C4B0}">
  <sheetPr>
    <tabColor rgb="FF00B050"/>
    <pageSetUpPr fitToPage="1"/>
  </sheetPr>
  <dimension ref="A1:I88"/>
  <sheetViews>
    <sheetView zoomScale="85" workbookViewId="0">
      <pane xSplit="2" ySplit="2" topLeftCell="C3" activePane="bottomRight" state="frozen"/>
      <selection activeCell="W63" sqref="W63"/>
      <selection pane="topRight" activeCell="W63" sqref="W63"/>
      <selection pane="bottomLeft" activeCell="W63" sqref="W63"/>
      <selection pane="bottomRight" activeCell="O52" sqref="O52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31.875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41" width="9" style="130"/>
    <col min="242" max="242" width="5" style="130" customWidth="1"/>
    <col min="243" max="243" width="17.875" style="130" bestFit="1" customWidth="1"/>
    <col min="244" max="244" width="23.625" style="130" customWidth="1"/>
    <col min="245" max="245" width="18.25" style="130" customWidth="1"/>
    <col min="246" max="246" width="5.25" style="130" bestFit="1" customWidth="1"/>
    <col min="247" max="247" width="9" style="130"/>
    <col min="248" max="248" width="11.875" style="130" customWidth="1"/>
    <col min="249" max="249" width="13.625" style="130" customWidth="1"/>
    <col min="250" max="250" width="12.75" style="130" customWidth="1"/>
    <col min="251" max="497" width="9" style="130"/>
    <col min="498" max="498" width="5" style="130" customWidth="1"/>
    <col min="499" max="499" width="17.875" style="130" bestFit="1" customWidth="1"/>
    <col min="500" max="500" width="23.625" style="130" customWidth="1"/>
    <col min="501" max="501" width="18.25" style="130" customWidth="1"/>
    <col min="502" max="502" width="5.25" style="130" bestFit="1" customWidth="1"/>
    <col min="503" max="503" width="9" style="130"/>
    <col min="504" max="504" width="11.875" style="130" customWidth="1"/>
    <col min="505" max="505" width="13.625" style="130" customWidth="1"/>
    <col min="506" max="506" width="12.75" style="130" customWidth="1"/>
    <col min="507" max="753" width="9" style="130"/>
    <col min="754" max="754" width="5" style="130" customWidth="1"/>
    <col min="755" max="755" width="17.875" style="130" bestFit="1" customWidth="1"/>
    <col min="756" max="756" width="23.625" style="130" customWidth="1"/>
    <col min="757" max="757" width="18.25" style="130" customWidth="1"/>
    <col min="758" max="758" width="5.25" style="130" bestFit="1" customWidth="1"/>
    <col min="759" max="759" width="9" style="130"/>
    <col min="760" max="760" width="11.875" style="130" customWidth="1"/>
    <col min="761" max="761" width="13.625" style="130" customWidth="1"/>
    <col min="762" max="762" width="12.75" style="130" customWidth="1"/>
    <col min="763" max="1009" width="9" style="130"/>
    <col min="1010" max="1010" width="5" style="130" customWidth="1"/>
    <col min="1011" max="1011" width="17.875" style="130" bestFit="1" customWidth="1"/>
    <col min="1012" max="1012" width="23.625" style="130" customWidth="1"/>
    <col min="1013" max="1013" width="18.25" style="130" customWidth="1"/>
    <col min="1014" max="1014" width="5.25" style="130" bestFit="1" customWidth="1"/>
    <col min="1015" max="1015" width="9" style="130"/>
    <col min="1016" max="1016" width="11.875" style="130" customWidth="1"/>
    <col min="1017" max="1017" width="13.625" style="130" customWidth="1"/>
    <col min="1018" max="1018" width="12.75" style="130" customWidth="1"/>
    <col min="1019" max="1265" width="9" style="130"/>
    <col min="1266" max="1266" width="5" style="130" customWidth="1"/>
    <col min="1267" max="1267" width="17.875" style="130" bestFit="1" customWidth="1"/>
    <col min="1268" max="1268" width="23.625" style="130" customWidth="1"/>
    <col min="1269" max="1269" width="18.25" style="130" customWidth="1"/>
    <col min="1270" max="1270" width="5.25" style="130" bestFit="1" customWidth="1"/>
    <col min="1271" max="1271" width="9" style="130"/>
    <col min="1272" max="1272" width="11.875" style="130" customWidth="1"/>
    <col min="1273" max="1273" width="13.625" style="130" customWidth="1"/>
    <col min="1274" max="1274" width="12.75" style="130" customWidth="1"/>
    <col min="1275" max="1521" width="9" style="130"/>
    <col min="1522" max="1522" width="5" style="130" customWidth="1"/>
    <col min="1523" max="1523" width="17.875" style="130" bestFit="1" customWidth="1"/>
    <col min="1524" max="1524" width="23.625" style="130" customWidth="1"/>
    <col min="1525" max="1525" width="18.25" style="130" customWidth="1"/>
    <col min="1526" max="1526" width="5.25" style="130" bestFit="1" customWidth="1"/>
    <col min="1527" max="1527" width="9" style="130"/>
    <col min="1528" max="1528" width="11.875" style="130" customWidth="1"/>
    <col min="1529" max="1529" width="13.625" style="130" customWidth="1"/>
    <col min="1530" max="1530" width="12.75" style="130" customWidth="1"/>
    <col min="1531" max="1777" width="9" style="130"/>
    <col min="1778" max="1778" width="5" style="130" customWidth="1"/>
    <col min="1779" max="1779" width="17.875" style="130" bestFit="1" customWidth="1"/>
    <col min="1780" max="1780" width="23.625" style="130" customWidth="1"/>
    <col min="1781" max="1781" width="18.25" style="130" customWidth="1"/>
    <col min="1782" max="1782" width="5.25" style="130" bestFit="1" customWidth="1"/>
    <col min="1783" max="1783" width="9" style="130"/>
    <col min="1784" max="1784" width="11.875" style="130" customWidth="1"/>
    <col min="1785" max="1785" width="13.625" style="130" customWidth="1"/>
    <col min="1786" max="1786" width="12.75" style="130" customWidth="1"/>
    <col min="1787" max="2033" width="9" style="130"/>
    <col min="2034" max="2034" width="5" style="130" customWidth="1"/>
    <col min="2035" max="2035" width="17.875" style="130" bestFit="1" customWidth="1"/>
    <col min="2036" max="2036" width="23.625" style="130" customWidth="1"/>
    <col min="2037" max="2037" width="18.25" style="130" customWidth="1"/>
    <col min="2038" max="2038" width="5.25" style="130" bestFit="1" customWidth="1"/>
    <col min="2039" max="2039" width="9" style="130"/>
    <col min="2040" max="2040" width="11.875" style="130" customWidth="1"/>
    <col min="2041" max="2041" width="13.625" style="130" customWidth="1"/>
    <col min="2042" max="2042" width="12.75" style="130" customWidth="1"/>
    <col min="2043" max="2289" width="9" style="130"/>
    <col min="2290" max="2290" width="5" style="130" customWidth="1"/>
    <col min="2291" max="2291" width="17.875" style="130" bestFit="1" customWidth="1"/>
    <col min="2292" max="2292" width="23.625" style="130" customWidth="1"/>
    <col min="2293" max="2293" width="18.25" style="130" customWidth="1"/>
    <col min="2294" max="2294" width="5.25" style="130" bestFit="1" customWidth="1"/>
    <col min="2295" max="2295" width="9" style="130"/>
    <col min="2296" max="2296" width="11.875" style="130" customWidth="1"/>
    <col min="2297" max="2297" width="13.625" style="130" customWidth="1"/>
    <col min="2298" max="2298" width="12.75" style="130" customWidth="1"/>
    <col min="2299" max="2545" width="9" style="130"/>
    <col min="2546" max="2546" width="5" style="130" customWidth="1"/>
    <col min="2547" max="2547" width="17.875" style="130" bestFit="1" customWidth="1"/>
    <col min="2548" max="2548" width="23.625" style="130" customWidth="1"/>
    <col min="2549" max="2549" width="18.25" style="130" customWidth="1"/>
    <col min="2550" max="2550" width="5.25" style="130" bestFit="1" customWidth="1"/>
    <col min="2551" max="2551" width="9" style="130"/>
    <col min="2552" max="2552" width="11.875" style="130" customWidth="1"/>
    <col min="2553" max="2553" width="13.625" style="130" customWidth="1"/>
    <col min="2554" max="2554" width="12.75" style="130" customWidth="1"/>
    <col min="2555" max="2801" width="9" style="130"/>
    <col min="2802" max="2802" width="5" style="130" customWidth="1"/>
    <col min="2803" max="2803" width="17.875" style="130" bestFit="1" customWidth="1"/>
    <col min="2804" max="2804" width="23.625" style="130" customWidth="1"/>
    <col min="2805" max="2805" width="18.25" style="130" customWidth="1"/>
    <col min="2806" max="2806" width="5.25" style="130" bestFit="1" customWidth="1"/>
    <col min="2807" max="2807" width="9" style="130"/>
    <col min="2808" max="2808" width="11.875" style="130" customWidth="1"/>
    <col min="2809" max="2809" width="13.625" style="130" customWidth="1"/>
    <col min="2810" max="2810" width="12.75" style="130" customWidth="1"/>
    <col min="2811" max="3057" width="9" style="130"/>
    <col min="3058" max="3058" width="5" style="130" customWidth="1"/>
    <col min="3059" max="3059" width="17.875" style="130" bestFit="1" customWidth="1"/>
    <col min="3060" max="3060" width="23.625" style="130" customWidth="1"/>
    <col min="3061" max="3061" width="18.25" style="130" customWidth="1"/>
    <col min="3062" max="3062" width="5.25" style="130" bestFit="1" customWidth="1"/>
    <col min="3063" max="3063" width="9" style="130"/>
    <col min="3064" max="3064" width="11.875" style="130" customWidth="1"/>
    <col min="3065" max="3065" width="13.625" style="130" customWidth="1"/>
    <col min="3066" max="3066" width="12.75" style="130" customWidth="1"/>
    <col min="3067" max="3313" width="9" style="130"/>
    <col min="3314" max="3314" width="5" style="130" customWidth="1"/>
    <col min="3315" max="3315" width="17.875" style="130" bestFit="1" customWidth="1"/>
    <col min="3316" max="3316" width="23.625" style="130" customWidth="1"/>
    <col min="3317" max="3317" width="18.25" style="130" customWidth="1"/>
    <col min="3318" max="3318" width="5.25" style="130" bestFit="1" customWidth="1"/>
    <col min="3319" max="3319" width="9" style="130"/>
    <col min="3320" max="3320" width="11.875" style="130" customWidth="1"/>
    <col min="3321" max="3321" width="13.625" style="130" customWidth="1"/>
    <col min="3322" max="3322" width="12.75" style="130" customWidth="1"/>
    <col min="3323" max="3569" width="9" style="130"/>
    <col min="3570" max="3570" width="5" style="130" customWidth="1"/>
    <col min="3571" max="3571" width="17.875" style="130" bestFit="1" customWidth="1"/>
    <col min="3572" max="3572" width="23.625" style="130" customWidth="1"/>
    <col min="3573" max="3573" width="18.25" style="130" customWidth="1"/>
    <col min="3574" max="3574" width="5.25" style="130" bestFit="1" customWidth="1"/>
    <col min="3575" max="3575" width="9" style="130"/>
    <col min="3576" max="3576" width="11.875" style="130" customWidth="1"/>
    <col min="3577" max="3577" width="13.625" style="130" customWidth="1"/>
    <col min="3578" max="3578" width="12.75" style="130" customWidth="1"/>
    <col min="3579" max="3825" width="9" style="130"/>
    <col min="3826" max="3826" width="5" style="130" customWidth="1"/>
    <col min="3827" max="3827" width="17.875" style="130" bestFit="1" customWidth="1"/>
    <col min="3828" max="3828" width="23.625" style="130" customWidth="1"/>
    <col min="3829" max="3829" width="18.25" style="130" customWidth="1"/>
    <col min="3830" max="3830" width="5.25" style="130" bestFit="1" customWidth="1"/>
    <col min="3831" max="3831" width="9" style="130"/>
    <col min="3832" max="3832" width="11.875" style="130" customWidth="1"/>
    <col min="3833" max="3833" width="13.625" style="130" customWidth="1"/>
    <col min="3834" max="3834" width="12.75" style="130" customWidth="1"/>
    <col min="3835" max="4081" width="9" style="130"/>
    <col min="4082" max="4082" width="5" style="130" customWidth="1"/>
    <col min="4083" max="4083" width="17.875" style="130" bestFit="1" customWidth="1"/>
    <col min="4084" max="4084" width="23.625" style="130" customWidth="1"/>
    <col min="4085" max="4085" width="18.25" style="130" customWidth="1"/>
    <col min="4086" max="4086" width="5.25" style="130" bestFit="1" customWidth="1"/>
    <col min="4087" max="4087" width="9" style="130"/>
    <col min="4088" max="4088" width="11.875" style="130" customWidth="1"/>
    <col min="4089" max="4089" width="13.625" style="130" customWidth="1"/>
    <col min="4090" max="4090" width="12.75" style="130" customWidth="1"/>
    <col min="4091" max="4337" width="9" style="130"/>
    <col min="4338" max="4338" width="5" style="130" customWidth="1"/>
    <col min="4339" max="4339" width="17.875" style="130" bestFit="1" customWidth="1"/>
    <col min="4340" max="4340" width="23.625" style="130" customWidth="1"/>
    <col min="4341" max="4341" width="18.25" style="130" customWidth="1"/>
    <col min="4342" max="4342" width="5.25" style="130" bestFit="1" customWidth="1"/>
    <col min="4343" max="4343" width="9" style="130"/>
    <col min="4344" max="4344" width="11.875" style="130" customWidth="1"/>
    <col min="4345" max="4345" width="13.625" style="130" customWidth="1"/>
    <col min="4346" max="4346" width="12.75" style="130" customWidth="1"/>
    <col min="4347" max="4593" width="9" style="130"/>
    <col min="4594" max="4594" width="5" style="130" customWidth="1"/>
    <col min="4595" max="4595" width="17.875" style="130" bestFit="1" customWidth="1"/>
    <col min="4596" max="4596" width="23.625" style="130" customWidth="1"/>
    <col min="4597" max="4597" width="18.25" style="130" customWidth="1"/>
    <col min="4598" max="4598" width="5.25" style="130" bestFit="1" customWidth="1"/>
    <col min="4599" max="4599" width="9" style="130"/>
    <col min="4600" max="4600" width="11.875" style="130" customWidth="1"/>
    <col min="4601" max="4601" width="13.625" style="130" customWidth="1"/>
    <col min="4602" max="4602" width="12.75" style="130" customWidth="1"/>
    <col min="4603" max="4849" width="9" style="130"/>
    <col min="4850" max="4850" width="5" style="130" customWidth="1"/>
    <col min="4851" max="4851" width="17.875" style="130" bestFit="1" customWidth="1"/>
    <col min="4852" max="4852" width="23.625" style="130" customWidth="1"/>
    <col min="4853" max="4853" width="18.25" style="130" customWidth="1"/>
    <col min="4854" max="4854" width="5.25" style="130" bestFit="1" customWidth="1"/>
    <col min="4855" max="4855" width="9" style="130"/>
    <col min="4856" max="4856" width="11.875" style="130" customWidth="1"/>
    <col min="4857" max="4857" width="13.625" style="130" customWidth="1"/>
    <col min="4858" max="4858" width="12.75" style="130" customWidth="1"/>
    <col min="4859" max="5105" width="9" style="130"/>
    <col min="5106" max="5106" width="5" style="130" customWidth="1"/>
    <col min="5107" max="5107" width="17.875" style="130" bestFit="1" customWidth="1"/>
    <col min="5108" max="5108" width="23.625" style="130" customWidth="1"/>
    <col min="5109" max="5109" width="18.25" style="130" customWidth="1"/>
    <col min="5110" max="5110" width="5.25" style="130" bestFit="1" customWidth="1"/>
    <col min="5111" max="5111" width="9" style="130"/>
    <col min="5112" max="5112" width="11.875" style="130" customWidth="1"/>
    <col min="5113" max="5113" width="13.625" style="130" customWidth="1"/>
    <col min="5114" max="5114" width="12.75" style="130" customWidth="1"/>
    <col min="5115" max="5361" width="9" style="130"/>
    <col min="5362" max="5362" width="5" style="130" customWidth="1"/>
    <col min="5363" max="5363" width="17.875" style="130" bestFit="1" customWidth="1"/>
    <col min="5364" max="5364" width="23.625" style="130" customWidth="1"/>
    <col min="5365" max="5365" width="18.25" style="130" customWidth="1"/>
    <col min="5366" max="5366" width="5.25" style="130" bestFit="1" customWidth="1"/>
    <col min="5367" max="5367" width="9" style="130"/>
    <col min="5368" max="5368" width="11.875" style="130" customWidth="1"/>
    <col min="5369" max="5369" width="13.625" style="130" customWidth="1"/>
    <col min="5370" max="5370" width="12.75" style="130" customWidth="1"/>
    <col min="5371" max="5617" width="9" style="130"/>
    <col min="5618" max="5618" width="5" style="130" customWidth="1"/>
    <col min="5619" max="5619" width="17.875" style="130" bestFit="1" customWidth="1"/>
    <col min="5620" max="5620" width="23.625" style="130" customWidth="1"/>
    <col min="5621" max="5621" width="18.25" style="130" customWidth="1"/>
    <col min="5622" max="5622" width="5.25" style="130" bestFit="1" customWidth="1"/>
    <col min="5623" max="5623" width="9" style="130"/>
    <col min="5624" max="5624" width="11.875" style="130" customWidth="1"/>
    <col min="5625" max="5625" width="13.625" style="130" customWidth="1"/>
    <col min="5626" max="5626" width="12.75" style="130" customWidth="1"/>
    <col min="5627" max="5873" width="9" style="130"/>
    <col min="5874" max="5874" width="5" style="130" customWidth="1"/>
    <col min="5875" max="5875" width="17.875" style="130" bestFit="1" customWidth="1"/>
    <col min="5876" max="5876" width="23.625" style="130" customWidth="1"/>
    <col min="5877" max="5877" width="18.25" style="130" customWidth="1"/>
    <col min="5878" max="5878" width="5.25" style="130" bestFit="1" customWidth="1"/>
    <col min="5879" max="5879" width="9" style="130"/>
    <col min="5880" max="5880" width="11.875" style="130" customWidth="1"/>
    <col min="5881" max="5881" width="13.625" style="130" customWidth="1"/>
    <col min="5882" max="5882" width="12.75" style="130" customWidth="1"/>
    <col min="5883" max="6129" width="9" style="130"/>
    <col min="6130" max="6130" width="5" style="130" customWidth="1"/>
    <col min="6131" max="6131" width="17.875" style="130" bestFit="1" customWidth="1"/>
    <col min="6132" max="6132" width="23.625" style="130" customWidth="1"/>
    <col min="6133" max="6133" width="18.25" style="130" customWidth="1"/>
    <col min="6134" max="6134" width="5.25" style="130" bestFit="1" customWidth="1"/>
    <col min="6135" max="6135" width="9" style="130"/>
    <col min="6136" max="6136" width="11.875" style="130" customWidth="1"/>
    <col min="6137" max="6137" width="13.625" style="130" customWidth="1"/>
    <col min="6138" max="6138" width="12.75" style="130" customWidth="1"/>
    <col min="6139" max="6385" width="9" style="130"/>
    <col min="6386" max="6386" width="5" style="130" customWidth="1"/>
    <col min="6387" max="6387" width="17.875" style="130" bestFit="1" customWidth="1"/>
    <col min="6388" max="6388" width="23.625" style="130" customWidth="1"/>
    <col min="6389" max="6389" width="18.25" style="130" customWidth="1"/>
    <col min="6390" max="6390" width="5.25" style="130" bestFit="1" customWidth="1"/>
    <col min="6391" max="6391" width="9" style="130"/>
    <col min="6392" max="6392" width="11.875" style="130" customWidth="1"/>
    <col min="6393" max="6393" width="13.625" style="130" customWidth="1"/>
    <col min="6394" max="6394" width="12.75" style="130" customWidth="1"/>
    <col min="6395" max="6641" width="9" style="130"/>
    <col min="6642" max="6642" width="5" style="130" customWidth="1"/>
    <col min="6643" max="6643" width="17.875" style="130" bestFit="1" customWidth="1"/>
    <col min="6644" max="6644" width="23.625" style="130" customWidth="1"/>
    <col min="6645" max="6645" width="18.25" style="130" customWidth="1"/>
    <col min="6646" max="6646" width="5.25" style="130" bestFit="1" customWidth="1"/>
    <col min="6647" max="6647" width="9" style="130"/>
    <col min="6648" max="6648" width="11.875" style="130" customWidth="1"/>
    <col min="6649" max="6649" width="13.625" style="130" customWidth="1"/>
    <col min="6650" max="6650" width="12.75" style="130" customWidth="1"/>
    <col min="6651" max="6897" width="9" style="130"/>
    <col min="6898" max="6898" width="5" style="130" customWidth="1"/>
    <col min="6899" max="6899" width="17.875" style="130" bestFit="1" customWidth="1"/>
    <col min="6900" max="6900" width="23.625" style="130" customWidth="1"/>
    <col min="6901" max="6901" width="18.25" style="130" customWidth="1"/>
    <col min="6902" max="6902" width="5.25" style="130" bestFit="1" customWidth="1"/>
    <col min="6903" max="6903" width="9" style="130"/>
    <col min="6904" max="6904" width="11.875" style="130" customWidth="1"/>
    <col min="6905" max="6905" width="13.625" style="130" customWidth="1"/>
    <col min="6906" max="6906" width="12.75" style="130" customWidth="1"/>
    <col min="6907" max="7153" width="9" style="130"/>
    <col min="7154" max="7154" width="5" style="130" customWidth="1"/>
    <col min="7155" max="7155" width="17.875" style="130" bestFit="1" customWidth="1"/>
    <col min="7156" max="7156" width="23.625" style="130" customWidth="1"/>
    <col min="7157" max="7157" width="18.25" style="130" customWidth="1"/>
    <col min="7158" max="7158" width="5.25" style="130" bestFit="1" customWidth="1"/>
    <col min="7159" max="7159" width="9" style="130"/>
    <col min="7160" max="7160" width="11.875" style="130" customWidth="1"/>
    <col min="7161" max="7161" width="13.625" style="130" customWidth="1"/>
    <col min="7162" max="7162" width="12.75" style="130" customWidth="1"/>
    <col min="7163" max="7409" width="9" style="130"/>
    <col min="7410" max="7410" width="5" style="130" customWidth="1"/>
    <col min="7411" max="7411" width="17.875" style="130" bestFit="1" customWidth="1"/>
    <col min="7412" max="7412" width="23.625" style="130" customWidth="1"/>
    <col min="7413" max="7413" width="18.25" style="130" customWidth="1"/>
    <col min="7414" max="7414" width="5.25" style="130" bestFit="1" customWidth="1"/>
    <col min="7415" max="7415" width="9" style="130"/>
    <col min="7416" max="7416" width="11.875" style="130" customWidth="1"/>
    <col min="7417" max="7417" width="13.625" style="130" customWidth="1"/>
    <col min="7418" max="7418" width="12.75" style="130" customWidth="1"/>
    <col min="7419" max="7665" width="9" style="130"/>
    <col min="7666" max="7666" width="5" style="130" customWidth="1"/>
    <col min="7667" max="7667" width="17.875" style="130" bestFit="1" customWidth="1"/>
    <col min="7668" max="7668" width="23.625" style="130" customWidth="1"/>
    <col min="7669" max="7669" width="18.25" style="130" customWidth="1"/>
    <col min="7670" max="7670" width="5.25" style="130" bestFit="1" customWidth="1"/>
    <col min="7671" max="7671" width="9" style="130"/>
    <col min="7672" max="7672" width="11.875" style="130" customWidth="1"/>
    <col min="7673" max="7673" width="13.625" style="130" customWidth="1"/>
    <col min="7674" max="7674" width="12.75" style="130" customWidth="1"/>
    <col min="7675" max="7921" width="9" style="130"/>
    <col min="7922" max="7922" width="5" style="130" customWidth="1"/>
    <col min="7923" max="7923" width="17.875" style="130" bestFit="1" customWidth="1"/>
    <col min="7924" max="7924" width="23.625" style="130" customWidth="1"/>
    <col min="7925" max="7925" width="18.25" style="130" customWidth="1"/>
    <col min="7926" max="7926" width="5.25" style="130" bestFit="1" customWidth="1"/>
    <col min="7927" max="7927" width="9" style="130"/>
    <col min="7928" max="7928" width="11.875" style="130" customWidth="1"/>
    <col min="7929" max="7929" width="13.625" style="130" customWidth="1"/>
    <col min="7930" max="7930" width="12.75" style="130" customWidth="1"/>
    <col min="7931" max="8177" width="9" style="130"/>
    <col min="8178" max="8178" width="5" style="130" customWidth="1"/>
    <col min="8179" max="8179" width="17.875" style="130" bestFit="1" customWidth="1"/>
    <col min="8180" max="8180" width="23.625" style="130" customWidth="1"/>
    <col min="8181" max="8181" width="18.25" style="130" customWidth="1"/>
    <col min="8182" max="8182" width="5.25" style="130" bestFit="1" customWidth="1"/>
    <col min="8183" max="8183" width="9" style="130"/>
    <col min="8184" max="8184" width="11.875" style="130" customWidth="1"/>
    <col min="8185" max="8185" width="13.625" style="130" customWidth="1"/>
    <col min="8186" max="8186" width="12.75" style="130" customWidth="1"/>
    <col min="8187" max="8433" width="9" style="130"/>
    <col min="8434" max="8434" width="5" style="130" customWidth="1"/>
    <col min="8435" max="8435" width="17.875" style="130" bestFit="1" customWidth="1"/>
    <col min="8436" max="8436" width="23.625" style="130" customWidth="1"/>
    <col min="8437" max="8437" width="18.25" style="130" customWidth="1"/>
    <col min="8438" max="8438" width="5.25" style="130" bestFit="1" customWidth="1"/>
    <col min="8439" max="8439" width="9" style="130"/>
    <col min="8440" max="8440" width="11.875" style="130" customWidth="1"/>
    <col min="8441" max="8441" width="13.625" style="130" customWidth="1"/>
    <col min="8442" max="8442" width="12.75" style="130" customWidth="1"/>
    <col min="8443" max="8689" width="9" style="130"/>
    <col min="8690" max="8690" width="5" style="130" customWidth="1"/>
    <col min="8691" max="8691" width="17.875" style="130" bestFit="1" customWidth="1"/>
    <col min="8692" max="8692" width="23.625" style="130" customWidth="1"/>
    <col min="8693" max="8693" width="18.25" style="130" customWidth="1"/>
    <col min="8694" max="8694" width="5.25" style="130" bestFit="1" customWidth="1"/>
    <col min="8695" max="8695" width="9" style="130"/>
    <col min="8696" max="8696" width="11.875" style="130" customWidth="1"/>
    <col min="8697" max="8697" width="13.625" style="130" customWidth="1"/>
    <col min="8698" max="8698" width="12.75" style="130" customWidth="1"/>
    <col min="8699" max="8945" width="9" style="130"/>
    <col min="8946" max="8946" width="5" style="130" customWidth="1"/>
    <col min="8947" max="8947" width="17.875" style="130" bestFit="1" customWidth="1"/>
    <col min="8948" max="8948" width="23.625" style="130" customWidth="1"/>
    <col min="8949" max="8949" width="18.25" style="130" customWidth="1"/>
    <col min="8950" max="8950" width="5.25" style="130" bestFit="1" customWidth="1"/>
    <col min="8951" max="8951" width="9" style="130"/>
    <col min="8952" max="8952" width="11.875" style="130" customWidth="1"/>
    <col min="8953" max="8953" width="13.625" style="130" customWidth="1"/>
    <col min="8954" max="8954" width="12.75" style="130" customWidth="1"/>
    <col min="8955" max="9201" width="9" style="130"/>
    <col min="9202" max="9202" width="5" style="130" customWidth="1"/>
    <col min="9203" max="9203" width="17.875" style="130" bestFit="1" customWidth="1"/>
    <col min="9204" max="9204" width="23.625" style="130" customWidth="1"/>
    <col min="9205" max="9205" width="18.25" style="130" customWidth="1"/>
    <col min="9206" max="9206" width="5.25" style="130" bestFit="1" customWidth="1"/>
    <col min="9207" max="9207" width="9" style="130"/>
    <col min="9208" max="9208" width="11.875" style="130" customWidth="1"/>
    <col min="9209" max="9209" width="13.625" style="130" customWidth="1"/>
    <col min="9210" max="9210" width="12.75" style="130" customWidth="1"/>
    <col min="9211" max="9457" width="9" style="130"/>
    <col min="9458" max="9458" width="5" style="130" customWidth="1"/>
    <col min="9459" max="9459" width="17.875" style="130" bestFit="1" customWidth="1"/>
    <col min="9460" max="9460" width="23.625" style="130" customWidth="1"/>
    <col min="9461" max="9461" width="18.25" style="130" customWidth="1"/>
    <col min="9462" max="9462" width="5.25" style="130" bestFit="1" customWidth="1"/>
    <col min="9463" max="9463" width="9" style="130"/>
    <col min="9464" max="9464" width="11.875" style="130" customWidth="1"/>
    <col min="9465" max="9465" width="13.625" style="130" customWidth="1"/>
    <col min="9466" max="9466" width="12.75" style="130" customWidth="1"/>
    <col min="9467" max="9713" width="9" style="130"/>
    <col min="9714" max="9714" width="5" style="130" customWidth="1"/>
    <col min="9715" max="9715" width="17.875" style="130" bestFit="1" customWidth="1"/>
    <col min="9716" max="9716" width="23.625" style="130" customWidth="1"/>
    <col min="9717" max="9717" width="18.25" style="130" customWidth="1"/>
    <col min="9718" max="9718" width="5.25" style="130" bestFit="1" customWidth="1"/>
    <col min="9719" max="9719" width="9" style="130"/>
    <col min="9720" max="9720" width="11.875" style="130" customWidth="1"/>
    <col min="9721" max="9721" width="13.625" style="130" customWidth="1"/>
    <col min="9722" max="9722" width="12.75" style="130" customWidth="1"/>
    <col min="9723" max="9969" width="9" style="130"/>
    <col min="9970" max="9970" width="5" style="130" customWidth="1"/>
    <col min="9971" max="9971" width="17.875" style="130" bestFit="1" customWidth="1"/>
    <col min="9972" max="9972" width="23.625" style="130" customWidth="1"/>
    <col min="9973" max="9973" width="18.25" style="130" customWidth="1"/>
    <col min="9974" max="9974" width="5.25" style="130" bestFit="1" customWidth="1"/>
    <col min="9975" max="9975" width="9" style="130"/>
    <col min="9976" max="9976" width="11.875" style="130" customWidth="1"/>
    <col min="9977" max="9977" width="13.625" style="130" customWidth="1"/>
    <col min="9978" max="9978" width="12.75" style="130" customWidth="1"/>
    <col min="9979" max="10225" width="9" style="130"/>
    <col min="10226" max="10226" width="5" style="130" customWidth="1"/>
    <col min="10227" max="10227" width="17.875" style="130" bestFit="1" customWidth="1"/>
    <col min="10228" max="10228" width="23.625" style="130" customWidth="1"/>
    <col min="10229" max="10229" width="18.25" style="130" customWidth="1"/>
    <col min="10230" max="10230" width="5.25" style="130" bestFit="1" customWidth="1"/>
    <col min="10231" max="10231" width="9" style="130"/>
    <col min="10232" max="10232" width="11.875" style="130" customWidth="1"/>
    <col min="10233" max="10233" width="13.625" style="130" customWidth="1"/>
    <col min="10234" max="10234" width="12.75" style="130" customWidth="1"/>
    <col min="10235" max="10481" width="9" style="130"/>
    <col min="10482" max="10482" width="5" style="130" customWidth="1"/>
    <col min="10483" max="10483" width="17.875" style="130" bestFit="1" customWidth="1"/>
    <col min="10484" max="10484" width="23.625" style="130" customWidth="1"/>
    <col min="10485" max="10485" width="18.25" style="130" customWidth="1"/>
    <col min="10486" max="10486" width="5.25" style="130" bestFit="1" customWidth="1"/>
    <col min="10487" max="10487" width="9" style="130"/>
    <col min="10488" max="10488" width="11.875" style="130" customWidth="1"/>
    <col min="10489" max="10489" width="13.625" style="130" customWidth="1"/>
    <col min="10490" max="10490" width="12.75" style="130" customWidth="1"/>
    <col min="10491" max="10737" width="9" style="130"/>
    <col min="10738" max="10738" width="5" style="130" customWidth="1"/>
    <col min="10739" max="10739" width="17.875" style="130" bestFit="1" customWidth="1"/>
    <col min="10740" max="10740" width="23.625" style="130" customWidth="1"/>
    <col min="10741" max="10741" width="18.25" style="130" customWidth="1"/>
    <col min="10742" max="10742" width="5.25" style="130" bestFit="1" customWidth="1"/>
    <col min="10743" max="10743" width="9" style="130"/>
    <col min="10744" max="10744" width="11.875" style="130" customWidth="1"/>
    <col min="10745" max="10745" width="13.625" style="130" customWidth="1"/>
    <col min="10746" max="10746" width="12.75" style="130" customWidth="1"/>
    <col min="10747" max="10993" width="9" style="130"/>
    <col min="10994" max="10994" width="5" style="130" customWidth="1"/>
    <col min="10995" max="10995" width="17.875" style="130" bestFit="1" customWidth="1"/>
    <col min="10996" max="10996" width="23.625" style="130" customWidth="1"/>
    <col min="10997" max="10997" width="18.25" style="130" customWidth="1"/>
    <col min="10998" max="10998" width="5.25" style="130" bestFit="1" customWidth="1"/>
    <col min="10999" max="10999" width="9" style="130"/>
    <col min="11000" max="11000" width="11.875" style="130" customWidth="1"/>
    <col min="11001" max="11001" width="13.625" style="130" customWidth="1"/>
    <col min="11002" max="11002" width="12.75" style="130" customWidth="1"/>
    <col min="11003" max="11249" width="9" style="130"/>
    <col min="11250" max="11250" width="5" style="130" customWidth="1"/>
    <col min="11251" max="11251" width="17.875" style="130" bestFit="1" customWidth="1"/>
    <col min="11252" max="11252" width="23.625" style="130" customWidth="1"/>
    <col min="11253" max="11253" width="18.25" style="130" customWidth="1"/>
    <col min="11254" max="11254" width="5.25" style="130" bestFit="1" customWidth="1"/>
    <col min="11255" max="11255" width="9" style="130"/>
    <col min="11256" max="11256" width="11.875" style="130" customWidth="1"/>
    <col min="11257" max="11257" width="13.625" style="130" customWidth="1"/>
    <col min="11258" max="11258" width="12.75" style="130" customWidth="1"/>
    <col min="11259" max="11505" width="9" style="130"/>
    <col min="11506" max="11506" width="5" style="130" customWidth="1"/>
    <col min="11507" max="11507" width="17.875" style="130" bestFit="1" customWidth="1"/>
    <col min="11508" max="11508" width="23.625" style="130" customWidth="1"/>
    <col min="11509" max="11509" width="18.25" style="130" customWidth="1"/>
    <col min="11510" max="11510" width="5.25" style="130" bestFit="1" customWidth="1"/>
    <col min="11511" max="11511" width="9" style="130"/>
    <col min="11512" max="11512" width="11.875" style="130" customWidth="1"/>
    <col min="11513" max="11513" width="13.625" style="130" customWidth="1"/>
    <col min="11514" max="11514" width="12.75" style="130" customWidth="1"/>
    <col min="11515" max="11761" width="9" style="130"/>
    <col min="11762" max="11762" width="5" style="130" customWidth="1"/>
    <col min="11763" max="11763" width="17.875" style="130" bestFit="1" customWidth="1"/>
    <col min="11764" max="11764" width="23.625" style="130" customWidth="1"/>
    <col min="11765" max="11765" width="18.25" style="130" customWidth="1"/>
    <col min="11766" max="11766" width="5.25" style="130" bestFit="1" customWidth="1"/>
    <col min="11767" max="11767" width="9" style="130"/>
    <col min="11768" max="11768" width="11.875" style="130" customWidth="1"/>
    <col min="11769" max="11769" width="13.625" style="130" customWidth="1"/>
    <col min="11770" max="11770" width="12.75" style="130" customWidth="1"/>
    <col min="11771" max="12017" width="9" style="130"/>
    <col min="12018" max="12018" width="5" style="130" customWidth="1"/>
    <col min="12019" max="12019" width="17.875" style="130" bestFit="1" customWidth="1"/>
    <col min="12020" max="12020" width="23.625" style="130" customWidth="1"/>
    <col min="12021" max="12021" width="18.25" style="130" customWidth="1"/>
    <col min="12022" max="12022" width="5.25" style="130" bestFit="1" customWidth="1"/>
    <col min="12023" max="12023" width="9" style="130"/>
    <col min="12024" max="12024" width="11.875" style="130" customWidth="1"/>
    <col min="12025" max="12025" width="13.625" style="130" customWidth="1"/>
    <col min="12026" max="12026" width="12.75" style="130" customWidth="1"/>
    <col min="12027" max="12273" width="9" style="130"/>
    <col min="12274" max="12274" width="5" style="130" customWidth="1"/>
    <col min="12275" max="12275" width="17.875" style="130" bestFit="1" customWidth="1"/>
    <col min="12276" max="12276" width="23.625" style="130" customWidth="1"/>
    <col min="12277" max="12277" width="18.25" style="130" customWidth="1"/>
    <col min="12278" max="12278" width="5.25" style="130" bestFit="1" customWidth="1"/>
    <col min="12279" max="12279" width="9" style="130"/>
    <col min="12280" max="12280" width="11.875" style="130" customWidth="1"/>
    <col min="12281" max="12281" width="13.625" style="130" customWidth="1"/>
    <col min="12282" max="12282" width="12.75" style="130" customWidth="1"/>
    <col min="12283" max="12529" width="9" style="130"/>
    <col min="12530" max="12530" width="5" style="130" customWidth="1"/>
    <col min="12531" max="12531" width="17.875" style="130" bestFit="1" customWidth="1"/>
    <col min="12532" max="12532" width="23.625" style="130" customWidth="1"/>
    <col min="12533" max="12533" width="18.25" style="130" customWidth="1"/>
    <col min="12534" max="12534" width="5.25" style="130" bestFit="1" customWidth="1"/>
    <col min="12535" max="12535" width="9" style="130"/>
    <col min="12536" max="12536" width="11.875" style="130" customWidth="1"/>
    <col min="12537" max="12537" width="13.625" style="130" customWidth="1"/>
    <col min="12538" max="12538" width="12.75" style="130" customWidth="1"/>
    <col min="12539" max="12785" width="9" style="130"/>
    <col min="12786" max="12786" width="5" style="130" customWidth="1"/>
    <col min="12787" max="12787" width="17.875" style="130" bestFit="1" customWidth="1"/>
    <col min="12788" max="12788" width="23.625" style="130" customWidth="1"/>
    <col min="12789" max="12789" width="18.25" style="130" customWidth="1"/>
    <col min="12790" max="12790" width="5.25" style="130" bestFit="1" customWidth="1"/>
    <col min="12791" max="12791" width="9" style="130"/>
    <col min="12792" max="12792" width="11.875" style="130" customWidth="1"/>
    <col min="12793" max="12793" width="13.625" style="130" customWidth="1"/>
    <col min="12794" max="12794" width="12.75" style="130" customWidth="1"/>
    <col min="12795" max="13041" width="9" style="130"/>
    <col min="13042" max="13042" width="5" style="130" customWidth="1"/>
    <col min="13043" max="13043" width="17.875" style="130" bestFit="1" customWidth="1"/>
    <col min="13044" max="13044" width="23.625" style="130" customWidth="1"/>
    <col min="13045" max="13045" width="18.25" style="130" customWidth="1"/>
    <col min="13046" max="13046" width="5.25" style="130" bestFit="1" customWidth="1"/>
    <col min="13047" max="13047" width="9" style="130"/>
    <col min="13048" max="13048" width="11.875" style="130" customWidth="1"/>
    <col min="13049" max="13049" width="13.625" style="130" customWidth="1"/>
    <col min="13050" max="13050" width="12.75" style="130" customWidth="1"/>
    <col min="13051" max="13297" width="9" style="130"/>
    <col min="13298" max="13298" width="5" style="130" customWidth="1"/>
    <col min="13299" max="13299" width="17.875" style="130" bestFit="1" customWidth="1"/>
    <col min="13300" max="13300" width="23.625" style="130" customWidth="1"/>
    <col min="13301" max="13301" width="18.25" style="130" customWidth="1"/>
    <col min="13302" max="13302" width="5.25" style="130" bestFit="1" customWidth="1"/>
    <col min="13303" max="13303" width="9" style="130"/>
    <col min="13304" max="13304" width="11.875" style="130" customWidth="1"/>
    <col min="13305" max="13305" width="13.625" style="130" customWidth="1"/>
    <col min="13306" max="13306" width="12.75" style="130" customWidth="1"/>
    <col min="13307" max="13553" width="9" style="130"/>
    <col min="13554" max="13554" width="5" style="130" customWidth="1"/>
    <col min="13555" max="13555" width="17.875" style="130" bestFit="1" customWidth="1"/>
    <col min="13556" max="13556" width="23.625" style="130" customWidth="1"/>
    <col min="13557" max="13557" width="18.25" style="130" customWidth="1"/>
    <col min="13558" max="13558" width="5.25" style="130" bestFit="1" customWidth="1"/>
    <col min="13559" max="13559" width="9" style="130"/>
    <col min="13560" max="13560" width="11.875" style="130" customWidth="1"/>
    <col min="13561" max="13561" width="13.625" style="130" customWidth="1"/>
    <col min="13562" max="13562" width="12.75" style="130" customWidth="1"/>
    <col min="13563" max="13809" width="9" style="130"/>
    <col min="13810" max="13810" width="5" style="130" customWidth="1"/>
    <col min="13811" max="13811" width="17.875" style="130" bestFit="1" customWidth="1"/>
    <col min="13812" max="13812" width="23.625" style="130" customWidth="1"/>
    <col min="13813" max="13813" width="18.25" style="130" customWidth="1"/>
    <col min="13814" max="13814" width="5.25" style="130" bestFit="1" customWidth="1"/>
    <col min="13815" max="13815" width="9" style="130"/>
    <col min="13816" max="13816" width="11.875" style="130" customWidth="1"/>
    <col min="13817" max="13817" width="13.625" style="130" customWidth="1"/>
    <col min="13818" max="13818" width="12.75" style="130" customWidth="1"/>
    <col min="13819" max="14065" width="9" style="130"/>
    <col min="14066" max="14066" width="5" style="130" customWidth="1"/>
    <col min="14067" max="14067" width="17.875" style="130" bestFit="1" customWidth="1"/>
    <col min="14068" max="14068" width="23.625" style="130" customWidth="1"/>
    <col min="14069" max="14069" width="18.25" style="130" customWidth="1"/>
    <col min="14070" max="14070" width="5.25" style="130" bestFit="1" customWidth="1"/>
    <col min="14071" max="14071" width="9" style="130"/>
    <col min="14072" max="14072" width="11.875" style="130" customWidth="1"/>
    <col min="14073" max="14073" width="13.625" style="130" customWidth="1"/>
    <col min="14074" max="14074" width="12.75" style="130" customWidth="1"/>
    <col min="14075" max="14321" width="9" style="130"/>
    <col min="14322" max="14322" width="5" style="130" customWidth="1"/>
    <col min="14323" max="14323" width="17.875" style="130" bestFit="1" customWidth="1"/>
    <col min="14324" max="14324" width="23.625" style="130" customWidth="1"/>
    <col min="14325" max="14325" width="18.25" style="130" customWidth="1"/>
    <col min="14326" max="14326" width="5.25" style="130" bestFit="1" customWidth="1"/>
    <col min="14327" max="14327" width="9" style="130"/>
    <col min="14328" max="14328" width="11.875" style="130" customWidth="1"/>
    <col min="14329" max="14329" width="13.625" style="130" customWidth="1"/>
    <col min="14330" max="14330" width="12.75" style="130" customWidth="1"/>
    <col min="14331" max="14577" width="9" style="130"/>
    <col min="14578" max="14578" width="5" style="130" customWidth="1"/>
    <col min="14579" max="14579" width="17.875" style="130" bestFit="1" customWidth="1"/>
    <col min="14580" max="14580" width="23.625" style="130" customWidth="1"/>
    <col min="14581" max="14581" width="18.25" style="130" customWidth="1"/>
    <col min="14582" max="14582" width="5.25" style="130" bestFit="1" customWidth="1"/>
    <col min="14583" max="14583" width="9" style="130"/>
    <col min="14584" max="14584" width="11.875" style="130" customWidth="1"/>
    <col min="14585" max="14585" width="13.625" style="130" customWidth="1"/>
    <col min="14586" max="14586" width="12.75" style="130" customWidth="1"/>
    <col min="14587" max="14833" width="9" style="130"/>
    <col min="14834" max="14834" width="5" style="130" customWidth="1"/>
    <col min="14835" max="14835" width="17.875" style="130" bestFit="1" customWidth="1"/>
    <col min="14836" max="14836" width="23.625" style="130" customWidth="1"/>
    <col min="14837" max="14837" width="18.25" style="130" customWidth="1"/>
    <col min="14838" max="14838" width="5.25" style="130" bestFit="1" customWidth="1"/>
    <col min="14839" max="14839" width="9" style="130"/>
    <col min="14840" max="14840" width="11.875" style="130" customWidth="1"/>
    <col min="14841" max="14841" width="13.625" style="130" customWidth="1"/>
    <col min="14842" max="14842" width="12.75" style="130" customWidth="1"/>
    <col min="14843" max="15089" width="9" style="130"/>
    <col min="15090" max="15090" width="5" style="130" customWidth="1"/>
    <col min="15091" max="15091" width="17.875" style="130" bestFit="1" customWidth="1"/>
    <col min="15092" max="15092" width="23.625" style="130" customWidth="1"/>
    <col min="15093" max="15093" width="18.25" style="130" customWidth="1"/>
    <col min="15094" max="15094" width="5.25" style="130" bestFit="1" customWidth="1"/>
    <col min="15095" max="15095" width="9" style="130"/>
    <col min="15096" max="15096" width="11.875" style="130" customWidth="1"/>
    <col min="15097" max="15097" width="13.625" style="130" customWidth="1"/>
    <col min="15098" max="15098" width="12.75" style="130" customWidth="1"/>
    <col min="15099" max="15345" width="9" style="130"/>
    <col min="15346" max="15346" width="5" style="130" customWidth="1"/>
    <col min="15347" max="15347" width="17.875" style="130" bestFit="1" customWidth="1"/>
    <col min="15348" max="15348" width="23.625" style="130" customWidth="1"/>
    <col min="15349" max="15349" width="18.25" style="130" customWidth="1"/>
    <col min="15350" max="15350" width="5.25" style="130" bestFit="1" customWidth="1"/>
    <col min="15351" max="15351" width="9" style="130"/>
    <col min="15352" max="15352" width="11.875" style="130" customWidth="1"/>
    <col min="15353" max="15353" width="13.625" style="130" customWidth="1"/>
    <col min="15354" max="15354" width="12.75" style="130" customWidth="1"/>
    <col min="15355" max="15601" width="9" style="130"/>
    <col min="15602" max="15602" width="5" style="130" customWidth="1"/>
    <col min="15603" max="15603" width="17.875" style="130" bestFit="1" customWidth="1"/>
    <col min="15604" max="15604" width="23.625" style="130" customWidth="1"/>
    <col min="15605" max="15605" width="18.25" style="130" customWidth="1"/>
    <col min="15606" max="15606" width="5.25" style="130" bestFit="1" customWidth="1"/>
    <col min="15607" max="15607" width="9" style="130"/>
    <col min="15608" max="15608" width="11.875" style="130" customWidth="1"/>
    <col min="15609" max="15609" width="13.625" style="130" customWidth="1"/>
    <col min="15610" max="15610" width="12.75" style="130" customWidth="1"/>
    <col min="15611" max="15857" width="9" style="130"/>
    <col min="15858" max="15858" width="5" style="130" customWidth="1"/>
    <col min="15859" max="15859" width="17.875" style="130" bestFit="1" customWidth="1"/>
    <col min="15860" max="15860" width="23.625" style="130" customWidth="1"/>
    <col min="15861" max="15861" width="18.25" style="130" customWidth="1"/>
    <col min="15862" max="15862" width="5.25" style="130" bestFit="1" customWidth="1"/>
    <col min="15863" max="15863" width="9" style="130"/>
    <col min="15864" max="15864" width="11.875" style="130" customWidth="1"/>
    <col min="15865" max="15865" width="13.625" style="130" customWidth="1"/>
    <col min="15866" max="15866" width="12.75" style="130" customWidth="1"/>
    <col min="15867" max="16113" width="9" style="130"/>
    <col min="16114" max="16114" width="5" style="130" customWidth="1"/>
    <col min="16115" max="16115" width="17.875" style="130" bestFit="1" customWidth="1"/>
    <col min="16116" max="16116" width="23.625" style="130" customWidth="1"/>
    <col min="16117" max="16117" width="18.25" style="130" customWidth="1"/>
    <col min="16118" max="16118" width="5.25" style="130" bestFit="1" customWidth="1"/>
    <col min="16119" max="16119" width="9" style="130"/>
    <col min="16120" max="16120" width="11.875" style="130" customWidth="1"/>
    <col min="16121" max="16121" width="13.625" style="130" customWidth="1"/>
    <col min="16122" max="16122" width="12.75" style="130" customWidth="1"/>
    <col min="16123" max="16384" width="9" style="130"/>
  </cols>
  <sheetData>
    <row r="1" spans="1:9" ht="22.5" customHeight="1">
      <c r="B1" s="212" t="s">
        <v>149</v>
      </c>
      <c r="C1" s="305" t="s">
        <v>470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42" t="s">
        <v>343</v>
      </c>
      <c r="D3" s="242"/>
      <c r="E3" s="226" t="s">
        <v>51</v>
      </c>
      <c r="F3" s="243">
        <v>1</v>
      </c>
      <c r="G3" s="245">
        <v>3600000</v>
      </c>
      <c r="H3" s="175">
        <f t="shared" ref="H3:H15" si="0">IF(F3=0,G3,G3*F3)</f>
        <v>3600000</v>
      </c>
      <c r="I3" s="247"/>
    </row>
    <row r="4" spans="1:9" ht="15.95" customHeight="1">
      <c r="A4" s="497"/>
      <c r="B4" s="218"/>
      <c r="C4" s="344" t="s">
        <v>420</v>
      </c>
      <c r="D4" s="348"/>
      <c r="E4" s="226" t="s">
        <v>51</v>
      </c>
      <c r="F4" s="341">
        <v>1</v>
      </c>
      <c r="G4" s="343">
        <v>4608000</v>
      </c>
      <c r="H4" s="175">
        <f t="shared" si="0"/>
        <v>4608000</v>
      </c>
      <c r="I4" s="38"/>
    </row>
    <row r="5" spans="1:9" ht="15.95" customHeight="1">
      <c r="A5" s="497"/>
      <c r="B5" s="218"/>
      <c r="C5" s="225" t="s">
        <v>422</v>
      </c>
      <c r="D5" s="225"/>
      <c r="E5" s="226" t="s">
        <v>51</v>
      </c>
      <c r="F5" s="226">
        <v>1</v>
      </c>
      <c r="G5" s="228">
        <v>3456000</v>
      </c>
      <c r="H5" s="175">
        <f t="shared" si="0"/>
        <v>3456000</v>
      </c>
      <c r="I5" s="38"/>
    </row>
    <row r="6" spans="1:9" ht="15.95" customHeight="1">
      <c r="A6" s="497"/>
      <c r="B6" s="218"/>
      <c r="C6" s="225" t="s">
        <v>423</v>
      </c>
      <c r="D6" s="225"/>
      <c r="E6" s="226" t="s">
        <v>51</v>
      </c>
      <c r="F6" s="226">
        <v>1</v>
      </c>
      <c r="G6" s="228">
        <v>1584000</v>
      </c>
      <c r="H6" s="175">
        <f t="shared" si="0"/>
        <v>1584000</v>
      </c>
      <c r="I6" s="38"/>
    </row>
    <row r="7" spans="1:9" ht="15.95" customHeight="1">
      <c r="A7" s="497"/>
      <c r="B7" s="218"/>
      <c r="C7" s="225" t="s">
        <v>471</v>
      </c>
      <c r="D7" s="225"/>
      <c r="E7" s="226" t="s">
        <v>51</v>
      </c>
      <c r="F7" s="226">
        <v>1</v>
      </c>
      <c r="G7" s="228">
        <v>216000</v>
      </c>
      <c r="H7" s="175">
        <f t="shared" si="0"/>
        <v>216000</v>
      </c>
      <c r="I7" s="38"/>
    </row>
    <row r="8" spans="1:9" ht="15.95" customHeight="1">
      <c r="A8" s="497"/>
      <c r="B8" s="218"/>
      <c r="C8" s="225" t="s">
        <v>386</v>
      </c>
      <c r="D8" s="225"/>
      <c r="E8" s="226" t="s">
        <v>51</v>
      </c>
      <c r="F8" s="226">
        <v>1</v>
      </c>
      <c r="G8" s="228">
        <v>144000</v>
      </c>
      <c r="H8" s="175">
        <f t="shared" si="0"/>
        <v>144000</v>
      </c>
      <c r="I8" s="38"/>
    </row>
    <row r="9" spans="1:9" ht="15.95" customHeight="1">
      <c r="A9" s="497"/>
      <c r="B9" s="218"/>
      <c r="C9" s="225" t="s">
        <v>424</v>
      </c>
      <c r="D9" s="225"/>
      <c r="E9" s="226" t="s">
        <v>51</v>
      </c>
      <c r="F9" s="226">
        <v>1</v>
      </c>
      <c r="G9" s="228">
        <v>4680000</v>
      </c>
      <c r="H9" s="175">
        <f t="shared" si="0"/>
        <v>4680000</v>
      </c>
      <c r="I9" s="38"/>
    </row>
    <row r="10" spans="1:9" ht="15.95" customHeight="1">
      <c r="A10" s="497"/>
      <c r="B10" s="218"/>
      <c r="C10" s="225" t="s">
        <v>472</v>
      </c>
      <c r="D10" s="225"/>
      <c r="E10" s="226" t="s">
        <v>51</v>
      </c>
      <c r="F10" s="226">
        <v>1</v>
      </c>
      <c r="G10" s="228">
        <v>7056000</v>
      </c>
      <c r="H10" s="175">
        <f t="shared" si="0"/>
        <v>7056000</v>
      </c>
      <c r="I10" s="38"/>
    </row>
    <row r="11" spans="1:9" ht="15.95" customHeight="1">
      <c r="A11" s="497"/>
      <c r="B11" s="218"/>
      <c r="C11" s="225" t="s">
        <v>473</v>
      </c>
      <c r="D11" s="225"/>
      <c r="E11" s="226" t="s">
        <v>51</v>
      </c>
      <c r="F11" s="226">
        <v>2</v>
      </c>
      <c r="G11" s="228">
        <v>7056000</v>
      </c>
      <c r="H11" s="175">
        <f t="shared" si="0"/>
        <v>14112000</v>
      </c>
      <c r="I11" s="38"/>
    </row>
    <row r="12" spans="1:9" ht="15.95" customHeight="1">
      <c r="A12" s="497"/>
      <c r="B12" s="218"/>
      <c r="C12" s="225" t="s">
        <v>474</v>
      </c>
      <c r="D12" s="225"/>
      <c r="E12" s="226" t="s">
        <v>51</v>
      </c>
      <c r="F12" s="226">
        <v>1</v>
      </c>
      <c r="G12" s="228">
        <v>19440000</v>
      </c>
      <c r="H12" s="175">
        <f t="shared" si="0"/>
        <v>19440000</v>
      </c>
      <c r="I12" s="38"/>
    </row>
    <row r="13" spans="1:9" ht="15.95" customHeight="1">
      <c r="A13" s="497"/>
      <c r="B13" s="218"/>
      <c r="C13" s="225" t="s">
        <v>475</v>
      </c>
      <c r="D13" s="225"/>
      <c r="E13" s="226" t="s">
        <v>51</v>
      </c>
      <c r="F13" s="226">
        <v>1</v>
      </c>
      <c r="G13" s="228">
        <v>14400000</v>
      </c>
      <c r="H13" s="175">
        <f t="shared" si="0"/>
        <v>14400000</v>
      </c>
      <c r="I13" s="38"/>
    </row>
    <row r="14" spans="1:9" ht="15.95" customHeight="1">
      <c r="A14" s="497"/>
      <c r="B14" s="218"/>
      <c r="C14" s="225" t="s">
        <v>476</v>
      </c>
      <c r="D14" s="225"/>
      <c r="E14" s="226" t="s">
        <v>51</v>
      </c>
      <c r="F14" s="226">
        <v>1</v>
      </c>
      <c r="G14" s="228">
        <v>5328000</v>
      </c>
      <c r="H14" s="175">
        <f t="shared" si="0"/>
        <v>5328000</v>
      </c>
      <c r="I14" s="38"/>
    </row>
    <row r="15" spans="1:9" ht="15.95" customHeight="1">
      <c r="A15" s="497"/>
      <c r="B15" s="218"/>
      <c r="C15" s="225" t="s">
        <v>286</v>
      </c>
      <c r="D15" s="225"/>
      <c r="E15" s="226" t="s">
        <v>51</v>
      </c>
      <c r="F15" s="226">
        <v>1</v>
      </c>
      <c r="G15" s="228">
        <v>720000</v>
      </c>
      <c r="H15" s="175">
        <f t="shared" si="0"/>
        <v>720000</v>
      </c>
      <c r="I15" s="38"/>
    </row>
    <row r="16" spans="1:9" ht="15.95" customHeight="1">
      <c r="A16" s="497"/>
      <c r="B16" s="218"/>
      <c r="C16" s="249" t="s">
        <v>484</v>
      </c>
      <c r="D16" s="249"/>
      <c r="E16" s="359" t="s">
        <v>542</v>
      </c>
      <c r="F16" s="359">
        <v>1</v>
      </c>
      <c r="G16" s="251">
        <v>6209999.9999999991</v>
      </c>
      <c r="H16" s="252">
        <v>6209999.9999999991</v>
      </c>
      <c r="I16" s="253"/>
    </row>
    <row r="17" spans="1:9" ht="15.95" customHeight="1">
      <c r="A17" s="497"/>
      <c r="B17" s="218"/>
      <c r="C17" s="249" t="s">
        <v>284</v>
      </c>
      <c r="D17" s="249"/>
      <c r="E17" s="359" t="s">
        <v>542</v>
      </c>
      <c r="F17" s="359">
        <v>1</v>
      </c>
      <c r="G17" s="251">
        <v>1655999.9999999998</v>
      </c>
      <c r="H17" s="252">
        <v>1655999.9999999998</v>
      </c>
      <c r="I17" s="253"/>
    </row>
    <row r="18" spans="1:9" ht="15.95" customHeight="1">
      <c r="A18" s="497"/>
      <c r="B18" s="218"/>
      <c r="C18" s="229"/>
      <c r="D18" s="249"/>
      <c r="E18" s="249"/>
      <c r="F18" s="250"/>
      <c r="G18" s="251"/>
      <c r="H18" s="252"/>
      <c r="I18" s="253"/>
    </row>
    <row r="19" spans="1:9" ht="15.95" customHeight="1">
      <c r="A19" s="497"/>
      <c r="B19" s="234"/>
      <c r="C19" s="260"/>
      <c r="D19" s="260"/>
      <c r="E19" s="260"/>
      <c r="F19" s="258"/>
      <c r="G19" s="258"/>
      <c r="H19" s="290">
        <f>SUM(H3:H18)</f>
        <v>87210000</v>
      </c>
      <c r="I19" s="260"/>
    </row>
    <row r="20" spans="1:9" ht="15.95" customHeight="1">
      <c r="A20" s="497"/>
      <c r="B20" s="218" t="s">
        <v>150</v>
      </c>
      <c r="C20" s="219" t="s">
        <v>527</v>
      </c>
      <c r="D20" s="219"/>
      <c r="E20" s="226" t="s">
        <v>51</v>
      </c>
      <c r="F20" s="245">
        <v>1</v>
      </c>
      <c r="G20" s="245">
        <v>8760000</v>
      </c>
      <c r="H20" s="223">
        <f t="shared" ref="H20:H73" si="1">IF(F20=0,G20,G20*F20)</f>
        <v>8760000</v>
      </c>
      <c r="I20" s="224"/>
    </row>
    <row r="21" spans="1:9" ht="15.95" customHeight="1">
      <c r="A21" s="497"/>
      <c r="B21" s="218" t="s">
        <v>151</v>
      </c>
      <c r="C21" s="225" t="s">
        <v>528</v>
      </c>
      <c r="D21" s="225"/>
      <c r="E21" s="226" t="s">
        <v>51</v>
      </c>
      <c r="F21" s="228">
        <v>1</v>
      </c>
      <c r="G21" s="228">
        <v>8030000</v>
      </c>
      <c r="H21" s="175">
        <f t="shared" si="1"/>
        <v>8030000</v>
      </c>
      <c r="I21" s="38"/>
    </row>
    <row r="22" spans="1:9" ht="15.95" customHeight="1">
      <c r="A22" s="497"/>
      <c r="B22" s="218"/>
      <c r="C22" s="225" t="s">
        <v>529</v>
      </c>
      <c r="D22" s="225"/>
      <c r="E22" s="226" t="s">
        <v>51</v>
      </c>
      <c r="F22" s="228">
        <v>1</v>
      </c>
      <c r="G22" s="228">
        <v>8030000</v>
      </c>
      <c r="H22" s="175">
        <f t="shared" si="1"/>
        <v>8030000</v>
      </c>
      <c r="I22" s="38"/>
    </row>
    <row r="23" spans="1:9" ht="15.95" customHeight="1">
      <c r="A23" s="497"/>
      <c r="B23" s="218"/>
      <c r="C23" s="225"/>
      <c r="D23" s="225"/>
      <c r="E23" s="226"/>
      <c r="F23" s="228"/>
      <c r="G23" s="228"/>
      <c r="H23" s="175"/>
      <c r="I23" s="38"/>
    </row>
    <row r="24" spans="1:9" ht="15.95" customHeight="1">
      <c r="A24" s="497"/>
      <c r="B24" s="218"/>
      <c r="C24" s="229" t="s">
        <v>132</v>
      </c>
      <c r="D24" s="229"/>
      <c r="E24" s="226"/>
      <c r="F24" s="228"/>
      <c r="G24" s="228"/>
      <c r="H24" s="175"/>
      <c r="I24" s="233"/>
    </row>
    <row r="25" spans="1:9" ht="15.95" customHeight="1">
      <c r="A25" s="497"/>
      <c r="B25" s="234"/>
      <c r="C25" s="235"/>
      <c r="D25" s="236"/>
      <c r="E25" s="260"/>
      <c r="F25" s="258"/>
      <c r="G25" s="258"/>
      <c r="H25" s="239">
        <f>SUM(H20:H24)</f>
        <v>24820000</v>
      </c>
      <c r="I25" s="240"/>
    </row>
    <row r="26" spans="1:9" ht="15.95" customHeight="1">
      <c r="A26" s="497"/>
      <c r="B26" s="261" t="s">
        <v>152</v>
      </c>
      <c r="C26" s="242" t="s">
        <v>477</v>
      </c>
      <c r="D26" s="242"/>
      <c r="E26" s="243" t="s">
        <v>51</v>
      </c>
      <c r="F26" s="243">
        <v>1</v>
      </c>
      <c r="G26" s="245">
        <v>413999.99999999994</v>
      </c>
      <c r="H26" s="175">
        <f t="shared" ref="H26:H45" si="2">IF(F26=0,G26,G26*F26)</f>
        <v>413999.99999999994</v>
      </c>
      <c r="I26" s="247" t="s">
        <v>323</v>
      </c>
    </row>
    <row r="27" spans="1:9" ht="15.95" customHeight="1">
      <c r="A27" s="497"/>
      <c r="B27" s="218" t="s">
        <v>153</v>
      </c>
      <c r="C27" s="225" t="s">
        <v>444</v>
      </c>
      <c r="D27" s="225"/>
      <c r="E27" s="226" t="s">
        <v>51</v>
      </c>
      <c r="F27" s="226">
        <v>2</v>
      </c>
      <c r="G27" s="228">
        <v>1242000</v>
      </c>
      <c r="H27" s="175">
        <f t="shared" si="2"/>
        <v>2484000</v>
      </c>
      <c r="I27" s="38" t="s">
        <v>481</v>
      </c>
    </row>
    <row r="28" spans="1:9" ht="15.95" customHeight="1">
      <c r="A28" s="497"/>
      <c r="B28" s="218"/>
      <c r="C28" s="225" t="s">
        <v>478</v>
      </c>
      <c r="D28" s="225"/>
      <c r="E28" s="226" t="s">
        <v>51</v>
      </c>
      <c r="F28" s="226">
        <v>2</v>
      </c>
      <c r="G28" s="228">
        <v>276000</v>
      </c>
      <c r="H28" s="175">
        <f t="shared" si="2"/>
        <v>552000</v>
      </c>
      <c r="I28" s="38" t="s">
        <v>197</v>
      </c>
    </row>
    <row r="29" spans="1:9" ht="15.95" customHeight="1">
      <c r="A29" s="497"/>
      <c r="B29" s="218"/>
      <c r="C29" s="225" t="s">
        <v>368</v>
      </c>
      <c r="D29" s="225"/>
      <c r="E29" s="226" t="s">
        <v>51</v>
      </c>
      <c r="F29" s="226">
        <v>1</v>
      </c>
      <c r="G29" s="228">
        <v>1517999.9999999998</v>
      </c>
      <c r="H29" s="175">
        <f t="shared" si="2"/>
        <v>1517999.9999999998</v>
      </c>
      <c r="I29" s="38" t="s">
        <v>197</v>
      </c>
    </row>
    <row r="30" spans="1:9" ht="15.95" customHeight="1">
      <c r="A30" s="497"/>
      <c r="B30" s="218"/>
      <c r="C30" s="225" t="s">
        <v>479</v>
      </c>
      <c r="D30" s="225"/>
      <c r="E30" s="226" t="s">
        <v>51</v>
      </c>
      <c r="F30" s="226">
        <v>1</v>
      </c>
      <c r="G30" s="228">
        <v>655500</v>
      </c>
      <c r="H30" s="175">
        <f t="shared" si="2"/>
        <v>655500</v>
      </c>
      <c r="I30" s="38" t="s">
        <v>197</v>
      </c>
    </row>
    <row r="31" spans="1:9" ht="15.95" customHeight="1">
      <c r="A31" s="497"/>
      <c r="B31" s="218"/>
      <c r="C31" s="225" t="s">
        <v>480</v>
      </c>
      <c r="D31" s="225"/>
      <c r="E31" s="226" t="s">
        <v>51</v>
      </c>
      <c r="F31" s="226">
        <v>1</v>
      </c>
      <c r="G31" s="228">
        <v>1931999.9999999998</v>
      </c>
      <c r="H31" s="175">
        <f t="shared" si="2"/>
        <v>1931999.9999999998</v>
      </c>
      <c r="I31" s="38" t="s">
        <v>197</v>
      </c>
    </row>
    <row r="32" spans="1:9" ht="15.95" customHeight="1">
      <c r="A32" s="497"/>
      <c r="B32" s="218"/>
      <c r="C32" s="225" t="s">
        <v>240</v>
      </c>
      <c r="D32" s="225"/>
      <c r="E32" s="226" t="s">
        <v>51</v>
      </c>
      <c r="F32" s="226">
        <v>1</v>
      </c>
      <c r="G32" s="228">
        <v>496799.99999999994</v>
      </c>
      <c r="H32" s="175">
        <f t="shared" si="2"/>
        <v>496799.99999999994</v>
      </c>
      <c r="I32" s="38" t="s">
        <v>321</v>
      </c>
    </row>
    <row r="33" spans="1:9" ht="15.95" customHeight="1">
      <c r="A33" s="497"/>
      <c r="B33" s="218"/>
      <c r="C33" s="225" t="s">
        <v>387</v>
      </c>
      <c r="D33" s="225"/>
      <c r="E33" s="226" t="s">
        <v>51</v>
      </c>
      <c r="F33" s="226">
        <v>1</v>
      </c>
      <c r="G33" s="228">
        <v>1034999.9999999999</v>
      </c>
      <c r="H33" s="175">
        <f t="shared" si="2"/>
        <v>1034999.9999999999</v>
      </c>
      <c r="I33" s="38" t="s">
        <v>483</v>
      </c>
    </row>
    <row r="34" spans="1:9" ht="15.95" customHeight="1">
      <c r="A34" s="497"/>
      <c r="B34" s="218"/>
      <c r="C34" s="225" t="s">
        <v>388</v>
      </c>
      <c r="D34" s="225"/>
      <c r="E34" s="226" t="s">
        <v>51</v>
      </c>
      <c r="F34" s="226">
        <v>2</v>
      </c>
      <c r="G34" s="228">
        <v>345000</v>
      </c>
      <c r="H34" s="175">
        <f t="shared" si="2"/>
        <v>690000</v>
      </c>
      <c r="I34" s="38" t="s">
        <v>483</v>
      </c>
    </row>
    <row r="35" spans="1:9" ht="15.95" customHeight="1">
      <c r="A35" s="497"/>
      <c r="B35" s="218"/>
      <c r="C35" s="225" t="s">
        <v>389</v>
      </c>
      <c r="D35" s="225"/>
      <c r="E35" s="226" t="s">
        <v>51</v>
      </c>
      <c r="F35" s="226">
        <v>1</v>
      </c>
      <c r="G35" s="228">
        <v>1517999.9999999998</v>
      </c>
      <c r="H35" s="175">
        <f t="shared" si="2"/>
        <v>1517999.9999999998</v>
      </c>
      <c r="I35" s="38" t="s">
        <v>203</v>
      </c>
    </row>
    <row r="36" spans="1:9" ht="15.95" customHeight="1">
      <c r="A36" s="497"/>
      <c r="B36" s="218"/>
      <c r="C36" s="225" t="s">
        <v>193</v>
      </c>
      <c r="D36" s="225"/>
      <c r="E36" s="226" t="s">
        <v>51</v>
      </c>
      <c r="F36" s="226">
        <v>2</v>
      </c>
      <c r="G36" s="228">
        <v>2069999.9999999998</v>
      </c>
      <c r="H36" s="175">
        <f t="shared" si="2"/>
        <v>4139999.9999999995</v>
      </c>
      <c r="I36" s="38" t="s">
        <v>200</v>
      </c>
    </row>
    <row r="37" spans="1:9" ht="15.95" customHeight="1">
      <c r="A37" s="497"/>
      <c r="B37" s="218"/>
      <c r="C37" s="225" t="s">
        <v>447</v>
      </c>
      <c r="D37" s="225"/>
      <c r="E37" s="226" t="s">
        <v>51</v>
      </c>
      <c r="F37" s="226">
        <v>1</v>
      </c>
      <c r="G37" s="228">
        <v>1517999.9999999998</v>
      </c>
      <c r="H37" s="175">
        <f t="shared" si="2"/>
        <v>1517999.9999999998</v>
      </c>
      <c r="I37" s="38" t="s">
        <v>325</v>
      </c>
    </row>
    <row r="38" spans="1:9" ht="15.95" customHeight="1">
      <c r="A38" s="497"/>
      <c r="B38" s="218"/>
      <c r="C38" s="225" t="s">
        <v>193</v>
      </c>
      <c r="D38" s="225"/>
      <c r="E38" s="226" t="s">
        <v>51</v>
      </c>
      <c r="F38" s="226">
        <v>4</v>
      </c>
      <c r="G38" s="228">
        <v>1380000</v>
      </c>
      <c r="H38" s="175">
        <f t="shared" si="2"/>
        <v>5520000</v>
      </c>
      <c r="I38" s="38" t="s">
        <v>200</v>
      </c>
    </row>
    <row r="39" spans="1:9" ht="15.95" customHeight="1">
      <c r="A39" s="497"/>
      <c r="B39" s="218"/>
      <c r="C39" s="225" t="s">
        <v>482</v>
      </c>
      <c r="D39" s="225"/>
      <c r="E39" s="226" t="s">
        <v>51</v>
      </c>
      <c r="F39" s="226">
        <v>1</v>
      </c>
      <c r="G39" s="228">
        <v>1242000</v>
      </c>
      <c r="H39" s="175">
        <f t="shared" si="2"/>
        <v>1242000</v>
      </c>
      <c r="I39" s="38" t="s">
        <v>325</v>
      </c>
    </row>
    <row r="40" spans="1:9" ht="15.95" customHeight="1">
      <c r="A40" s="497"/>
      <c r="B40" s="218"/>
      <c r="C40" s="225" t="s">
        <v>482</v>
      </c>
      <c r="D40" s="225"/>
      <c r="E40" s="226" t="s">
        <v>51</v>
      </c>
      <c r="F40" s="226">
        <v>1</v>
      </c>
      <c r="G40" s="228">
        <v>1242000</v>
      </c>
      <c r="H40" s="175">
        <f t="shared" si="2"/>
        <v>1242000</v>
      </c>
      <c r="I40" s="38" t="s">
        <v>325</v>
      </c>
    </row>
    <row r="41" spans="1:9" ht="15.95" customHeight="1">
      <c r="A41" s="497"/>
      <c r="B41" s="218"/>
      <c r="C41" s="225" t="s">
        <v>193</v>
      </c>
      <c r="D41" s="225"/>
      <c r="E41" s="226" t="s">
        <v>51</v>
      </c>
      <c r="F41" s="226">
        <v>1</v>
      </c>
      <c r="G41" s="228">
        <v>1380000</v>
      </c>
      <c r="H41" s="175">
        <f t="shared" si="2"/>
        <v>1380000</v>
      </c>
      <c r="I41" s="38" t="s">
        <v>200</v>
      </c>
    </row>
    <row r="42" spans="1:9" ht="15.95" customHeight="1">
      <c r="A42" s="497"/>
      <c r="B42" s="218"/>
      <c r="C42" s="225" t="s">
        <v>482</v>
      </c>
      <c r="D42" s="225"/>
      <c r="E42" s="226" t="s">
        <v>51</v>
      </c>
      <c r="F42" s="226">
        <v>1</v>
      </c>
      <c r="G42" s="228">
        <v>655500</v>
      </c>
      <c r="H42" s="175">
        <f t="shared" si="2"/>
        <v>655500</v>
      </c>
      <c r="I42" s="38" t="s">
        <v>325</v>
      </c>
    </row>
    <row r="43" spans="1:9" ht="15.95" customHeight="1">
      <c r="A43" s="497"/>
      <c r="B43" s="218"/>
      <c r="C43" s="225" t="s">
        <v>250</v>
      </c>
      <c r="D43" s="225"/>
      <c r="E43" s="226" t="s">
        <v>51</v>
      </c>
      <c r="F43" s="226">
        <v>1</v>
      </c>
      <c r="G43" s="228">
        <v>1655999.9999999998</v>
      </c>
      <c r="H43" s="175">
        <f t="shared" si="2"/>
        <v>1655999.9999999998</v>
      </c>
      <c r="I43" s="38" t="s">
        <v>253</v>
      </c>
    </row>
    <row r="44" spans="1:9" ht="15.95" customHeight="1">
      <c r="A44" s="497"/>
      <c r="B44" s="218"/>
      <c r="C44" s="225" t="s">
        <v>258</v>
      </c>
      <c r="D44" s="225"/>
      <c r="E44" s="226" t="s">
        <v>51</v>
      </c>
      <c r="F44" s="226">
        <v>1</v>
      </c>
      <c r="G44" s="228">
        <v>690000</v>
      </c>
      <c r="H44" s="175">
        <f t="shared" si="2"/>
        <v>690000</v>
      </c>
      <c r="I44" s="38" t="s">
        <v>203</v>
      </c>
    </row>
    <row r="45" spans="1:9" ht="15.95" customHeight="1">
      <c r="A45" s="497"/>
      <c r="B45" s="218"/>
      <c r="C45" s="225" t="s">
        <v>320</v>
      </c>
      <c r="D45" s="225"/>
      <c r="E45" s="226" t="s">
        <v>51</v>
      </c>
      <c r="F45" s="226">
        <v>2</v>
      </c>
      <c r="G45" s="228">
        <v>690000</v>
      </c>
      <c r="H45" s="175">
        <f t="shared" si="2"/>
        <v>1380000</v>
      </c>
      <c r="I45" s="38" t="s">
        <v>203</v>
      </c>
    </row>
    <row r="46" spans="1:9" ht="15.95" customHeight="1">
      <c r="A46" s="497"/>
      <c r="B46" s="218"/>
      <c r="C46" s="225" t="s">
        <v>453</v>
      </c>
      <c r="D46" s="225"/>
      <c r="E46" s="226" t="s">
        <v>542</v>
      </c>
      <c r="F46" s="227">
        <v>1</v>
      </c>
      <c r="G46" s="228">
        <v>552000</v>
      </c>
      <c r="H46" s="175">
        <v>552000</v>
      </c>
      <c r="I46" s="38" t="s">
        <v>554</v>
      </c>
    </row>
    <row r="47" spans="1:9" ht="15.95" customHeight="1">
      <c r="A47" s="497"/>
      <c r="B47" s="218"/>
      <c r="C47" s="225" t="s">
        <v>485</v>
      </c>
      <c r="D47" s="225"/>
      <c r="E47" s="226" t="s">
        <v>542</v>
      </c>
      <c r="F47" s="227">
        <v>1</v>
      </c>
      <c r="G47" s="228">
        <v>241499.99999999997</v>
      </c>
      <c r="H47" s="175">
        <v>241499.99999999997</v>
      </c>
      <c r="I47" s="38" t="s">
        <v>554</v>
      </c>
    </row>
    <row r="48" spans="1:9" ht="15.95" customHeight="1">
      <c r="A48" s="497"/>
      <c r="B48" s="218"/>
      <c r="C48" s="225" t="s">
        <v>485</v>
      </c>
      <c r="D48" s="225"/>
      <c r="E48" s="226" t="s">
        <v>542</v>
      </c>
      <c r="F48" s="226">
        <v>1</v>
      </c>
      <c r="G48" s="228">
        <v>827999.99999999988</v>
      </c>
      <c r="H48" s="175">
        <v>827999.99999999988</v>
      </c>
      <c r="I48" s="38" t="s">
        <v>554</v>
      </c>
    </row>
    <row r="49" spans="1:9" ht="15.95" customHeight="1">
      <c r="A49" s="497"/>
      <c r="B49" s="218"/>
      <c r="C49" s="225" t="s">
        <v>485</v>
      </c>
      <c r="D49" s="225"/>
      <c r="E49" s="226" t="s">
        <v>542</v>
      </c>
      <c r="F49" s="226">
        <v>2</v>
      </c>
      <c r="G49" s="228">
        <v>413999.99999999994</v>
      </c>
      <c r="H49" s="175">
        <v>827999.99999999988</v>
      </c>
      <c r="I49" s="38" t="s">
        <v>554</v>
      </c>
    </row>
    <row r="50" spans="1:9" ht="15.95" customHeight="1">
      <c r="A50" s="497"/>
      <c r="B50" s="218"/>
      <c r="C50" s="225" t="s">
        <v>486</v>
      </c>
      <c r="D50" s="225"/>
      <c r="E50" s="226" t="s">
        <v>542</v>
      </c>
      <c r="F50" s="226">
        <v>1</v>
      </c>
      <c r="G50" s="228">
        <v>276000</v>
      </c>
      <c r="H50" s="175">
        <v>276000</v>
      </c>
      <c r="I50" s="38" t="s">
        <v>554</v>
      </c>
    </row>
    <row r="51" spans="1:9" ht="15.95" customHeight="1">
      <c r="A51" s="497"/>
      <c r="B51" s="218"/>
      <c r="C51" s="225" t="s">
        <v>487</v>
      </c>
      <c r="D51" s="225"/>
      <c r="E51" s="226" t="s">
        <v>542</v>
      </c>
      <c r="F51" s="226">
        <v>1</v>
      </c>
      <c r="G51" s="228">
        <v>413999.99999999994</v>
      </c>
      <c r="H51" s="175">
        <v>413999.99999999994</v>
      </c>
      <c r="I51" s="38" t="s">
        <v>554</v>
      </c>
    </row>
    <row r="52" spans="1:9" ht="15.95" customHeight="1">
      <c r="A52" s="497"/>
      <c r="B52" s="218"/>
      <c r="C52" s="225" t="s">
        <v>488</v>
      </c>
      <c r="D52" s="225"/>
      <c r="E52" s="226" t="s">
        <v>542</v>
      </c>
      <c r="F52" s="226">
        <v>1</v>
      </c>
      <c r="G52" s="228">
        <v>276000</v>
      </c>
      <c r="H52" s="175">
        <v>276000</v>
      </c>
      <c r="I52" s="38" t="s">
        <v>554</v>
      </c>
    </row>
    <row r="53" spans="1:9" ht="15.95" customHeight="1">
      <c r="A53" s="497"/>
      <c r="B53" s="218"/>
      <c r="C53" s="225" t="s">
        <v>418</v>
      </c>
      <c r="D53" s="225"/>
      <c r="E53" s="226" t="s">
        <v>542</v>
      </c>
      <c r="F53" s="226">
        <v>1</v>
      </c>
      <c r="G53" s="228">
        <v>345000</v>
      </c>
      <c r="H53" s="175">
        <v>345000</v>
      </c>
      <c r="I53" s="38" t="s">
        <v>554</v>
      </c>
    </row>
    <row r="54" spans="1:9" ht="15.95" customHeight="1">
      <c r="A54" s="497"/>
      <c r="B54" s="218"/>
      <c r="C54" s="225" t="s">
        <v>490</v>
      </c>
      <c r="D54" s="225"/>
      <c r="E54" s="226" t="s">
        <v>542</v>
      </c>
      <c r="F54" s="226">
        <v>1</v>
      </c>
      <c r="G54" s="228"/>
      <c r="H54" s="357" t="s">
        <v>533</v>
      </c>
      <c r="I54" s="314" t="s">
        <v>533</v>
      </c>
    </row>
    <row r="55" spans="1:9" ht="15.95" customHeight="1">
      <c r="A55" s="497"/>
      <c r="B55" s="218"/>
      <c r="C55" s="225" t="s">
        <v>491</v>
      </c>
      <c r="D55" s="225"/>
      <c r="E55" s="226" t="s">
        <v>542</v>
      </c>
      <c r="F55" s="226">
        <v>1</v>
      </c>
      <c r="G55" s="228"/>
      <c r="H55" s="357" t="s">
        <v>533</v>
      </c>
      <c r="I55" s="314" t="s">
        <v>533</v>
      </c>
    </row>
    <row r="56" spans="1:9" ht="15.95" customHeight="1">
      <c r="A56" s="497"/>
      <c r="B56" s="218"/>
      <c r="C56" s="225" t="s">
        <v>492</v>
      </c>
      <c r="D56" s="225"/>
      <c r="E56" s="226" t="s">
        <v>542</v>
      </c>
      <c r="F56" s="226">
        <v>1</v>
      </c>
      <c r="G56" s="227"/>
      <c r="H56" s="357" t="s">
        <v>533</v>
      </c>
      <c r="I56" s="357" t="s">
        <v>533</v>
      </c>
    </row>
    <row r="57" spans="1:9" ht="15.95" customHeight="1">
      <c r="A57" s="497"/>
      <c r="B57" s="218"/>
      <c r="C57" s="225"/>
      <c r="D57" s="225"/>
      <c r="E57" s="226"/>
      <c r="F57" s="226"/>
      <c r="G57" s="227"/>
      <c r="H57" s="357"/>
      <c r="I57" s="357"/>
    </row>
    <row r="58" spans="1:9" ht="15.95" customHeight="1">
      <c r="A58" s="497"/>
      <c r="B58" s="218"/>
      <c r="C58" s="225"/>
      <c r="D58" s="225"/>
      <c r="E58" s="226"/>
      <c r="F58" s="226"/>
      <c r="G58" s="227"/>
      <c r="H58" s="357"/>
      <c r="I58" s="357"/>
    </row>
    <row r="59" spans="1:9" ht="15.95" customHeight="1">
      <c r="A59" s="497"/>
      <c r="B59" s="218"/>
      <c r="C59" s="225"/>
      <c r="D59" s="225"/>
      <c r="E59" s="226"/>
      <c r="F59" s="228"/>
      <c r="G59" s="228"/>
      <c r="H59" s="175"/>
      <c r="I59" s="38"/>
    </row>
    <row r="60" spans="1:9" ht="15.95" customHeight="1">
      <c r="A60" s="497"/>
      <c r="B60" s="218"/>
      <c r="C60" s="225"/>
      <c r="D60" s="225"/>
      <c r="E60" s="226"/>
      <c r="F60" s="228"/>
      <c r="G60" s="228"/>
      <c r="H60" s="175"/>
      <c r="I60" s="38"/>
    </row>
    <row r="61" spans="1:9" ht="15.95" customHeight="1">
      <c r="A61" s="497"/>
      <c r="B61" s="218"/>
      <c r="C61" s="225"/>
      <c r="D61" s="225"/>
      <c r="E61" s="226"/>
      <c r="F61" s="228"/>
      <c r="G61" s="228"/>
      <c r="H61" s="175"/>
      <c r="I61" s="38"/>
    </row>
    <row r="62" spans="1:9" ht="15.95" customHeight="1">
      <c r="A62" s="497"/>
      <c r="B62" s="218"/>
      <c r="C62" s="225"/>
      <c r="D62" s="225"/>
      <c r="E62" s="226"/>
      <c r="F62" s="228"/>
      <c r="G62" s="228"/>
      <c r="H62" s="175"/>
      <c r="I62" s="38"/>
    </row>
    <row r="63" spans="1:9" ht="15.95" customHeight="1">
      <c r="A63" s="497"/>
      <c r="B63" s="218"/>
      <c r="C63" s="225"/>
      <c r="D63" s="225"/>
      <c r="E63" s="226"/>
      <c r="F63" s="228"/>
      <c r="G63" s="228"/>
      <c r="H63" s="175"/>
      <c r="I63" s="38"/>
    </row>
    <row r="64" spans="1:9" ht="15.95" customHeight="1">
      <c r="A64" s="497"/>
      <c r="B64" s="218"/>
      <c r="C64" s="225"/>
      <c r="D64" s="225"/>
      <c r="E64" s="226"/>
      <c r="F64" s="228"/>
      <c r="G64" s="228"/>
      <c r="H64" s="175"/>
      <c r="I64" s="38"/>
    </row>
    <row r="65" spans="1:9" ht="15.95" customHeight="1">
      <c r="A65" s="497"/>
      <c r="B65" s="218"/>
      <c r="C65" s="229"/>
      <c r="D65" s="230"/>
      <c r="E65" s="230"/>
      <c r="F65" s="231"/>
      <c r="G65" s="232"/>
      <c r="H65" s="185"/>
      <c r="I65" s="233"/>
    </row>
    <row r="66" spans="1:9" ht="15.95" customHeight="1">
      <c r="A66" s="497"/>
      <c r="B66" s="234"/>
      <c r="C66" s="235"/>
      <c r="D66" s="236"/>
      <c r="E66" s="236"/>
      <c r="F66" s="238"/>
      <c r="G66" s="238"/>
      <c r="H66" s="239">
        <f>SUM(H26:H65)</f>
        <v>34479300</v>
      </c>
      <c r="I66" s="240"/>
    </row>
    <row r="67" spans="1:9" ht="15.95" customHeight="1">
      <c r="A67" s="497"/>
      <c r="B67" s="261" t="s">
        <v>53</v>
      </c>
      <c r="C67" s="225"/>
      <c r="D67" s="307"/>
      <c r="E67" s="307"/>
      <c r="F67" s="310"/>
      <c r="G67" s="228"/>
      <c r="H67" s="246">
        <f t="shared" si="1"/>
        <v>0</v>
      </c>
      <c r="I67" s="247"/>
    </row>
    <row r="68" spans="1:9" ht="15.95" customHeight="1">
      <c r="A68" s="497"/>
      <c r="B68" s="218"/>
      <c r="C68" s="225"/>
      <c r="D68" s="345"/>
      <c r="E68" s="307"/>
      <c r="F68" s="310"/>
      <c r="G68" s="228"/>
      <c r="H68" s="175">
        <f t="shared" si="1"/>
        <v>0</v>
      </c>
      <c r="I68" s="38"/>
    </row>
    <row r="69" spans="1:9" ht="15.95" customHeight="1">
      <c r="A69" s="497"/>
      <c r="B69" s="218"/>
      <c r="C69" s="225"/>
      <c r="D69" s="307"/>
      <c r="E69" s="307"/>
      <c r="F69" s="310"/>
      <c r="G69" s="228"/>
      <c r="H69" s="175">
        <f t="shared" si="1"/>
        <v>0</v>
      </c>
      <c r="I69" s="38"/>
    </row>
    <row r="70" spans="1:9" ht="15.95" customHeight="1">
      <c r="A70" s="497"/>
      <c r="B70" s="218"/>
      <c r="C70" s="225"/>
      <c r="D70" s="225"/>
      <c r="E70" s="307"/>
      <c r="F70" s="227"/>
      <c r="G70" s="228"/>
      <c r="H70" s="175">
        <f t="shared" si="1"/>
        <v>0</v>
      </c>
      <c r="I70" s="38"/>
    </row>
    <row r="71" spans="1:9" ht="15.95" customHeight="1">
      <c r="A71" s="497"/>
      <c r="B71" s="218"/>
      <c r="C71" s="225"/>
      <c r="D71" s="225"/>
      <c r="E71" s="307"/>
      <c r="F71" s="227"/>
      <c r="G71" s="228"/>
      <c r="H71" s="175">
        <f t="shared" si="1"/>
        <v>0</v>
      </c>
      <c r="I71" s="38"/>
    </row>
    <row r="72" spans="1:9" ht="15.95" customHeight="1">
      <c r="A72" s="497"/>
      <c r="B72" s="218"/>
      <c r="C72" s="225"/>
      <c r="D72" s="225"/>
      <c r="E72" s="307"/>
      <c r="F72" s="228"/>
      <c r="G72" s="228"/>
      <c r="H72" s="175">
        <f t="shared" si="1"/>
        <v>0</v>
      </c>
      <c r="I72" s="38"/>
    </row>
    <row r="73" spans="1:9" ht="15.95" customHeight="1">
      <c r="A73" s="497"/>
      <c r="B73" s="218"/>
      <c r="C73" s="229"/>
      <c r="D73" s="229"/>
      <c r="E73" s="349"/>
      <c r="F73" s="232"/>
      <c r="G73" s="232"/>
      <c r="H73" s="185">
        <f t="shared" si="1"/>
        <v>0</v>
      </c>
      <c r="I73" s="233"/>
    </row>
    <row r="74" spans="1:9" ht="15.95" customHeight="1">
      <c r="A74" s="497"/>
      <c r="B74" s="234"/>
      <c r="C74" s="235"/>
      <c r="D74" s="236"/>
      <c r="E74" s="236"/>
      <c r="F74" s="238"/>
      <c r="G74" s="238"/>
      <c r="H74" s="239">
        <f>SUM(H67:H73)</f>
        <v>0</v>
      </c>
      <c r="I74" s="240"/>
    </row>
    <row r="75" spans="1:9" ht="15.95" customHeight="1">
      <c r="A75" s="281"/>
      <c r="B75" s="282" t="s">
        <v>135</v>
      </c>
      <c r="C75" s="283"/>
      <c r="D75" s="240"/>
      <c r="E75" s="240"/>
      <c r="F75" s="285"/>
      <c r="G75" s="285"/>
      <c r="H75" s="239">
        <f>SUM(H74,H66,H25,H19)</f>
        <v>146509300</v>
      </c>
      <c r="I75" s="240"/>
    </row>
    <row r="76" spans="1:9" ht="15.95" customHeight="1">
      <c r="A76" s="498" t="s">
        <v>136</v>
      </c>
      <c r="B76" s="286" t="s">
        <v>59</v>
      </c>
      <c r="C76" s="283"/>
      <c r="D76" s="240"/>
      <c r="E76" s="287" t="s">
        <v>60</v>
      </c>
      <c r="F76" s="303"/>
      <c r="G76" s="289"/>
      <c r="H76" s="290">
        <f>F76*G76</f>
        <v>0</v>
      </c>
      <c r="I76" s="240"/>
    </row>
    <row r="77" spans="1:9" ht="15.95" customHeight="1">
      <c r="A77" s="497"/>
      <c r="B77" s="291" t="s">
        <v>154</v>
      </c>
      <c r="C77" s="292"/>
      <c r="D77" s="247"/>
      <c r="E77" s="296" t="s">
        <v>138</v>
      </c>
      <c r="F77" s="245"/>
      <c r="G77" s="245"/>
      <c r="H77" s="175">
        <f t="shared" ref="H77:H83" si="3">F77*G77</f>
        <v>0</v>
      </c>
      <c r="I77" s="247"/>
    </row>
    <row r="78" spans="1:9" ht="15.95" customHeight="1">
      <c r="A78" s="497"/>
      <c r="B78" s="324" t="s">
        <v>155</v>
      </c>
      <c r="C78" s="295"/>
      <c r="D78" s="38"/>
      <c r="E78" s="296" t="s">
        <v>138</v>
      </c>
      <c r="F78" s="228"/>
      <c r="G78" s="228"/>
      <c r="H78" s="175">
        <f t="shared" si="3"/>
        <v>0</v>
      </c>
      <c r="I78" s="38"/>
    </row>
    <row r="79" spans="1:9" ht="15.95" customHeight="1">
      <c r="A79" s="497"/>
      <c r="B79" s="294" t="s">
        <v>156</v>
      </c>
      <c r="C79" s="295"/>
      <c r="D79" s="38"/>
      <c r="E79" s="296" t="s">
        <v>138</v>
      </c>
      <c r="F79" s="228"/>
      <c r="G79" s="228"/>
      <c r="H79" s="175">
        <f t="shared" si="3"/>
        <v>0</v>
      </c>
      <c r="I79" s="38"/>
    </row>
    <row r="80" spans="1:9" ht="15.95" customHeight="1">
      <c r="A80" s="497"/>
      <c r="B80" s="294" t="s">
        <v>157</v>
      </c>
      <c r="C80" s="295"/>
      <c r="D80" s="38"/>
      <c r="E80" s="296" t="s">
        <v>138</v>
      </c>
      <c r="F80" s="228"/>
      <c r="G80" s="228"/>
      <c r="H80" s="175">
        <f t="shared" si="3"/>
        <v>0</v>
      </c>
      <c r="I80" s="38"/>
    </row>
    <row r="81" spans="1:9" ht="15.95" customHeight="1">
      <c r="A81" s="497"/>
      <c r="B81" s="294" t="s">
        <v>158</v>
      </c>
      <c r="C81" s="295"/>
      <c r="D81" s="38"/>
      <c r="E81" s="296" t="s">
        <v>138</v>
      </c>
      <c r="F81" s="228"/>
      <c r="G81" s="228"/>
      <c r="H81" s="175">
        <f t="shared" si="3"/>
        <v>0</v>
      </c>
      <c r="I81" s="38"/>
    </row>
    <row r="82" spans="1:9" ht="15.95" customHeight="1">
      <c r="A82" s="497"/>
      <c r="B82" s="294" t="s">
        <v>159</v>
      </c>
      <c r="C82" s="295"/>
      <c r="D82" s="38"/>
      <c r="E82" s="296" t="s">
        <v>138</v>
      </c>
      <c r="F82" s="228"/>
      <c r="G82" s="228"/>
      <c r="H82" s="175">
        <f t="shared" si="3"/>
        <v>0</v>
      </c>
      <c r="I82" s="38"/>
    </row>
    <row r="83" spans="1:9" ht="15.95" customHeight="1">
      <c r="A83" s="497"/>
      <c r="B83" s="297" t="s">
        <v>164</v>
      </c>
      <c r="C83" s="298" t="s">
        <v>165</v>
      </c>
      <c r="D83" s="233"/>
      <c r="E83" s="299" t="s">
        <v>138</v>
      </c>
      <c r="F83" s="350"/>
      <c r="G83" s="232"/>
      <c r="H83" s="185">
        <f t="shared" si="3"/>
        <v>0</v>
      </c>
      <c r="I83" s="233"/>
    </row>
    <row r="84" spans="1:9" ht="15.95" customHeight="1">
      <c r="A84" s="281"/>
      <c r="B84" s="300" t="s">
        <v>144</v>
      </c>
      <c r="C84" s="283"/>
      <c r="D84" s="240"/>
      <c r="E84" s="240"/>
      <c r="F84" s="238"/>
      <c r="G84" s="238"/>
      <c r="H84" s="238">
        <f>SUM(H76:H83)</f>
        <v>0</v>
      </c>
      <c r="I84" s="236"/>
    </row>
    <row r="85" spans="1:9" ht="15.95" customHeight="1">
      <c r="A85" s="287"/>
      <c r="B85" s="300" t="s">
        <v>85</v>
      </c>
      <c r="C85" s="283"/>
      <c r="D85" s="240"/>
      <c r="E85" s="240"/>
      <c r="F85" s="239"/>
      <c r="G85" s="302"/>
      <c r="H85" s="239">
        <f>(H84+H75)*0.05</f>
        <v>7325465</v>
      </c>
      <c r="I85" s="283"/>
    </row>
    <row r="86" spans="1:9" ht="15.95" customHeight="1">
      <c r="A86" s="287"/>
      <c r="B86" s="300" t="s">
        <v>147</v>
      </c>
      <c r="C86" s="283"/>
      <c r="D86" s="240"/>
      <c r="E86" s="240"/>
      <c r="F86" s="239"/>
      <c r="G86" s="302"/>
      <c r="H86" s="239">
        <f>(H84+H75)*0.1</f>
        <v>14650930</v>
      </c>
      <c r="I86" s="283"/>
    </row>
    <row r="87" spans="1:9" ht="15.95" customHeight="1">
      <c r="A87" s="287"/>
      <c r="B87" s="300" t="s">
        <v>148</v>
      </c>
      <c r="C87" s="283"/>
      <c r="D87" s="240"/>
      <c r="E87" s="240"/>
      <c r="F87" s="239"/>
      <c r="G87" s="239"/>
      <c r="H87" s="238">
        <f>H74+H83+H84+H85+H86</f>
        <v>21976395</v>
      </c>
      <c r="I87" s="240"/>
    </row>
    <row r="88" spans="1:9">
      <c r="A88" s="136"/>
    </row>
  </sheetData>
  <mergeCells count="3">
    <mergeCell ref="A2:B2"/>
    <mergeCell ref="A3:A74"/>
    <mergeCell ref="A76:A8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6D42-1543-4BF4-8718-938272CABB75}">
  <sheetPr>
    <tabColor rgb="FF00B050"/>
    <pageSetUpPr fitToPage="1"/>
  </sheetPr>
  <dimension ref="A1:I85"/>
  <sheetViews>
    <sheetView zoomScale="85" workbookViewId="0">
      <pane xSplit="2" ySplit="2" topLeftCell="C3" activePane="bottomRight" state="frozen"/>
      <selection activeCell="W63" sqref="W63"/>
      <selection pane="topRight" activeCell="W63" sqref="W63"/>
      <selection pane="bottomLeft" activeCell="W63" sqref="W63"/>
      <selection pane="bottomRight" activeCell="N52" sqref="N51:N52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34.375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41" width="9" style="130"/>
    <col min="242" max="242" width="5" style="130" customWidth="1"/>
    <col min="243" max="243" width="17.875" style="130" bestFit="1" customWidth="1"/>
    <col min="244" max="244" width="23.625" style="130" customWidth="1"/>
    <col min="245" max="245" width="18.25" style="130" customWidth="1"/>
    <col min="246" max="246" width="5.25" style="130" bestFit="1" customWidth="1"/>
    <col min="247" max="247" width="9" style="130"/>
    <col min="248" max="248" width="11.875" style="130" customWidth="1"/>
    <col min="249" max="249" width="13.625" style="130" customWidth="1"/>
    <col min="250" max="250" width="12.75" style="130" customWidth="1"/>
    <col min="251" max="497" width="9" style="130"/>
    <col min="498" max="498" width="5" style="130" customWidth="1"/>
    <col min="499" max="499" width="17.875" style="130" bestFit="1" customWidth="1"/>
    <col min="500" max="500" width="23.625" style="130" customWidth="1"/>
    <col min="501" max="501" width="18.25" style="130" customWidth="1"/>
    <col min="502" max="502" width="5.25" style="130" bestFit="1" customWidth="1"/>
    <col min="503" max="503" width="9" style="130"/>
    <col min="504" max="504" width="11.875" style="130" customWidth="1"/>
    <col min="505" max="505" width="13.625" style="130" customWidth="1"/>
    <col min="506" max="506" width="12.75" style="130" customWidth="1"/>
    <col min="507" max="753" width="9" style="130"/>
    <col min="754" max="754" width="5" style="130" customWidth="1"/>
    <col min="755" max="755" width="17.875" style="130" bestFit="1" customWidth="1"/>
    <col min="756" max="756" width="23.625" style="130" customWidth="1"/>
    <col min="757" max="757" width="18.25" style="130" customWidth="1"/>
    <col min="758" max="758" width="5.25" style="130" bestFit="1" customWidth="1"/>
    <col min="759" max="759" width="9" style="130"/>
    <col min="760" max="760" width="11.875" style="130" customWidth="1"/>
    <col min="761" max="761" width="13.625" style="130" customWidth="1"/>
    <col min="762" max="762" width="12.75" style="130" customWidth="1"/>
    <col min="763" max="1009" width="9" style="130"/>
    <col min="1010" max="1010" width="5" style="130" customWidth="1"/>
    <col min="1011" max="1011" width="17.875" style="130" bestFit="1" customWidth="1"/>
    <col min="1012" max="1012" width="23.625" style="130" customWidth="1"/>
    <col min="1013" max="1013" width="18.25" style="130" customWidth="1"/>
    <col min="1014" max="1014" width="5.25" style="130" bestFit="1" customWidth="1"/>
    <col min="1015" max="1015" width="9" style="130"/>
    <col min="1016" max="1016" width="11.875" style="130" customWidth="1"/>
    <col min="1017" max="1017" width="13.625" style="130" customWidth="1"/>
    <col min="1018" max="1018" width="12.75" style="130" customWidth="1"/>
    <col min="1019" max="1265" width="9" style="130"/>
    <col min="1266" max="1266" width="5" style="130" customWidth="1"/>
    <col min="1267" max="1267" width="17.875" style="130" bestFit="1" customWidth="1"/>
    <col min="1268" max="1268" width="23.625" style="130" customWidth="1"/>
    <col min="1269" max="1269" width="18.25" style="130" customWidth="1"/>
    <col min="1270" max="1270" width="5.25" style="130" bestFit="1" customWidth="1"/>
    <col min="1271" max="1271" width="9" style="130"/>
    <col min="1272" max="1272" width="11.875" style="130" customWidth="1"/>
    <col min="1273" max="1273" width="13.625" style="130" customWidth="1"/>
    <col min="1274" max="1274" width="12.75" style="130" customWidth="1"/>
    <col min="1275" max="1521" width="9" style="130"/>
    <col min="1522" max="1522" width="5" style="130" customWidth="1"/>
    <col min="1523" max="1523" width="17.875" style="130" bestFit="1" customWidth="1"/>
    <col min="1524" max="1524" width="23.625" style="130" customWidth="1"/>
    <col min="1525" max="1525" width="18.25" style="130" customWidth="1"/>
    <col min="1526" max="1526" width="5.25" style="130" bestFit="1" customWidth="1"/>
    <col min="1527" max="1527" width="9" style="130"/>
    <col min="1528" max="1528" width="11.875" style="130" customWidth="1"/>
    <col min="1529" max="1529" width="13.625" style="130" customWidth="1"/>
    <col min="1530" max="1530" width="12.75" style="130" customWidth="1"/>
    <col min="1531" max="1777" width="9" style="130"/>
    <col min="1778" max="1778" width="5" style="130" customWidth="1"/>
    <col min="1779" max="1779" width="17.875" style="130" bestFit="1" customWidth="1"/>
    <col min="1780" max="1780" width="23.625" style="130" customWidth="1"/>
    <col min="1781" max="1781" width="18.25" style="130" customWidth="1"/>
    <col min="1782" max="1782" width="5.25" style="130" bestFit="1" customWidth="1"/>
    <col min="1783" max="1783" width="9" style="130"/>
    <col min="1784" max="1784" width="11.875" style="130" customWidth="1"/>
    <col min="1785" max="1785" width="13.625" style="130" customWidth="1"/>
    <col min="1786" max="1786" width="12.75" style="130" customWidth="1"/>
    <col min="1787" max="2033" width="9" style="130"/>
    <col min="2034" max="2034" width="5" style="130" customWidth="1"/>
    <col min="2035" max="2035" width="17.875" style="130" bestFit="1" customWidth="1"/>
    <col min="2036" max="2036" width="23.625" style="130" customWidth="1"/>
    <col min="2037" max="2037" width="18.25" style="130" customWidth="1"/>
    <col min="2038" max="2038" width="5.25" style="130" bestFit="1" customWidth="1"/>
    <col min="2039" max="2039" width="9" style="130"/>
    <col min="2040" max="2040" width="11.875" style="130" customWidth="1"/>
    <col min="2041" max="2041" width="13.625" style="130" customWidth="1"/>
    <col min="2042" max="2042" width="12.75" style="130" customWidth="1"/>
    <col min="2043" max="2289" width="9" style="130"/>
    <col min="2290" max="2290" width="5" style="130" customWidth="1"/>
    <col min="2291" max="2291" width="17.875" style="130" bestFit="1" customWidth="1"/>
    <col min="2292" max="2292" width="23.625" style="130" customWidth="1"/>
    <col min="2293" max="2293" width="18.25" style="130" customWidth="1"/>
    <col min="2294" max="2294" width="5.25" style="130" bestFit="1" customWidth="1"/>
    <col min="2295" max="2295" width="9" style="130"/>
    <col min="2296" max="2296" width="11.875" style="130" customWidth="1"/>
    <col min="2297" max="2297" width="13.625" style="130" customWidth="1"/>
    <col min="2298" max="2298" width="12.75" style="130" customWidth="1"/>
    <col min="2299" max="2545" width="9" style="130"/>
    <col min="2546" max="2546" width="5" style="130" customWidth="1"/>
    <col min="2547" max="2547" width="17.875" style="130" bestFit="1" customWidth="1"/>
    <col min="2548" max="2548" width="23.625" style="130" customWidth="1"/>
    <col min="2549" max="2549" width="18.25" style="130" customWidth="1"/>
    <col min="2550" max="2550" width="5.25" style="130" bestFit="1" customWidth="1"/>
    <col min="2551" max="2551" width="9" style="130"/>
    <col min="2552" max="2552" width="11.875" style="130" customWidth="1"/>
    <col min="2553" max="2553" width="13.625" style="130" customWidth="1"/>
    <col min="2554" max="2554" width="12.75" style="130" customWidth="1"/>
    <col min="2555" max="2801" width="9" style="130"/>
    <col min="2802" max="2802" width="5" style="130" customWidth="1"/>
    <col min="2803" max="2803" width="17.875" style="130" bestFit="1" customWidth="1"/>
    <col min="2804" max="2804" width="23.625" style="130" customWidth="1"/>
    <col min="2805" max="2805" width="18.25" style="130" customWidth="1"/>
    <col min="2806" max="2806" width="5.25" style="130" bestFit="1" customWidth="1"/>
    <col min="2807" max="2807" width="9" style="130"/>
    <col min="2808" max="2808" width="11.875" style="130" customWidth="1"/>
    <col min="2809" max="2809" width="13.625" style="130" customWidth="1"/>
    <col min="2810" max="2810" width="12.75" style="130" customWidth="1"/>
    <col min="2811" max="3057" width="9" style="130"/>
    <col min="3058" max="3058" width="5" style="130" customWidth="1"/>
    <col min="3059" max="3059" width="17.875" style="130" bestFit="1" customWidth="1"/>
    <col min="3060" max="3060" width="23.625" style="130" customWidth="1"/>
    <col min="3061" max="3061" width="18.25" style="130" customWidth="1"/>
    <col min="3062" max="3062" width="5.25" style="130" bestFit="1" customWidth="1"/>
    <col min="3063" max="3063" width="9" style="130"/>
    <col min="3064" max="3064" width="11.875" style="130" customWidth="1"/>
    <col min="3065" max="3065" width="13.625" style="130" customWidth="1"/>
    <col min="3066" max="3066" width="12.75" style="130" customWidth="1"/>
    <col min="3067" max="3313" width="9" style="130"/>
    <col min="3314" max="3314" width="5" style="130" customWidth="1"/>
    <col min="3315" max="3315" width="17.875" style="130" bestFit="1" customWidth="1"/>
    <col min="3316" max="3316" width="23.625" style="130" customWidth="1"/>
    <col min="3317" max="3317" width="18.25" style="130" customWidth="1"/>
    <col min="3318" max="3318" width="5.25" style="130" bestFit="1" customWidth="1"/>
    <col min="3319" max="3319" width="9" style="130"/>
    <col min="3320" max="3320" width="11.875" style="130" customWidth="1"/>
    <col min="3321" max="3321" width="13.625" style="130" customWidth="1"/>
    <col min="3322" max="3322" width="12.75" style="130" customWidth="1"/>
    <col min="3323" max="3569" width="9" style="130"/>
    <col min="3570" max="3570" width="5" style="130" customWidth="1"/>
    <col min="3571" max="3571" width="17.875" style="130" bestFit="1" customWidth="1"/>
    <col min="3572" max="3572" width="23.625" style="130" customWidth="1"/>
    <col min="3573" max="3573" width="18.25" style="130" customWidth="1"/>
    <col min="3574" max="3574" width="5.25" style="130" bestFit="1" customWidth="1"/>
    <col min="3575" max="3575" width="9" style="130"/>
    <col min="3576" max="3576" width="11.875" style="130" customWidth="1"/>
    <col min="3577" max="3577" width="13.625" style="130" customWidth="1"/>
    <col min="3578" max="3578" width="12.75" style="130" customWidth="1"/>
    <col min="3579" max="3825" width="9" style="130"/>
    <col min="3826" max="3826" width="5" style="130" customWidth="1"/>
    <col min="3827" max="3827" width="17.875" style="130" bestFit="1" customWidth="1"/>
    <col min="3828" max="3828" width="23.625" style="130" customWidth="1"/>
    <col min="3829" max="3829" width="18.25" style="130" customWidth="1"/>
    <col min="3830" max="3830" width="5.25" style="130" bestFit="1" customWidth="1"/>
    <col min="3831" max="3831" width="9" style="130"/>
    <col min="3832" max="3832" width="11.875" style="130" customWidth="1"/>
    <col min="3833" max="3833" width="13.625" style="130" customWidth="1"/>
    <col min="3834" max="3834" width="12.75" style="130" customWidth="1"/>
    <col min="3835" max="4081" width="9" style="130"/>
    <col min="4082" max="4082" width="5" style="130" customWidth="1"/>
    <col min="4083" max="4083" width="17.875" style="130" bestFit="1" customWidth="1"/>
    <col min="4084" max="4084" width="23.625" style="130" customWidth="1"/>
    <col min="4085" max="4085" width="18.25" style="130" customWidth="1"/>
    <col min="4086" max="4086" width="5.25" style="130" bestFit="1" customWidth="1"/>
    <col min="4087" max="4087" width="9" style="130"/>
    <col min="4088" max="4088" width="11.875" style="130" customWidth="1"/>
    <col min="4089" max="4089" width="13.625" style="130" customWidth="1"/>
    <col min="4090" max="4090" width="12.75" style="130" customWidth="1"/>
    <col min="4091" max="4337" width="9" style="130"/>
    <col min="4338" max="4338" width="5" style="130" customWidth="1"/>
    <col min="4339" max="4339" width="17.875" style="130" bestFit="1" customWidth="1"/>
    <col min="4340" max="4340" width="23.625" style="130" customWidth="1"/>
    <col min="4341" max="4341" width="18.25" style="130" customWidth="1"/>
    <col min="4342" max="4342" width="5.25" style="130" bestFit="1" customWidth="1"/>
    <col min="4343" max="4343" width="9" style="130"/>
    <col min="4344" max="4344" width="11.875" style="130" customWidth="1"/>
    <col min="4345" max="4345" width="13.625" style="130" customWidth="1"/>
    <col min="4346" max="4346" width="12.75" style="130" customWidth="1"/>
    <col min="4347" max="4593" width="9" style="130"/>
    <col min="4594" max="4594" width="5" style="130" customWidth="1"/>
    <col min="4595" max="4595" width="17.875" style="130" bestFit="1" customWidth="1"/>
    <col min="4596" max="4596" width="23.625" style="130" customWidth="1"/>
    <col min="4597" max="4597" width="18.25" style="130" customWidth="1"/>
    <col min="4598" max="4598" width="5.25" style="130" bestFit="1" customWidth="1"/>
    <col min="4599" max="4599" width="9" style="130"/>
    <col min="4600" max="4600" width="11.875" style="130" customWidth="1"/>
    <col min="4601" max="4601" width="13.625" style="130" customWidth="1"/>
    <col min="4602" max="4602" width="12.75" style="130" customWidth="1"/>
    <col min="4603" max="4849" width="9" style="130"/>
    <col min="4850" max="4850" width="5" style="130" customWidth="1"/>
    <col min="4851" max="4851" width="17.875" style="130" bestFit="1" customWidth="1"/>
    <col min="4852" max="4852" width="23.625" style="130" customWidth="1"/>
    <col min="4853" max="4853" width="18.25" style="130" customWidth="1"/>
    <col min="4854" max="4854" width="5.25" style="130" bestFit="1" customWidth="1"/>
    <col min="4855" max="4855" width="9" style="130"/>
    <col min="4856" max="4856" width="11.875" style="130" customWidth="1"/>
    <col min="4857" max="4857" width="13.625" style="130" customWidth="1"/>
    <col min="4858" max="4858" width="12.75" style="130" customWidth="1"/>
    <col min="4859" max="5105" width="9" style="130"/>
    <col min="5106" max="5106" width="5" style="130" customWidth="1"/>
    <col min="5107" max="5107" width="17.875" style="130" bestFit="1" customWidth="1"/>
    <col min="5108" max="5108" width="23.625" style="130" customWidth="1"/>
    <col min="5109" max="5109" width="18.25" style="130" customWidth="1"/>
    <col min="5110" max="5110" width="5.25" style="130" bestFit="1" customWidth="1"/>
    <col min="5111" max="5111" width="9" style="130"/>
    <col min="5112" max="5112" width="11.875" style="130" customWidth="1"/>
    <col min="5113" max="5113" width="13.625" style="130" customWidth="1"/>
    <col min="5114" max="5114" width="12.75" style="130" customWidth="1"/>
    <col min="5115" max="5361" width="9" style="130"/>
    <col min="5362" max="5362" width="5" style="130" customWidth="1"/>
    <col min="5363" max="5363" width="17.875" style="130" bestFit="1" customWidth="1"/>
    <col min="5364" max="5364" width="23.625" style="130" customWidth="1"/>
    <col min="5365" max="5365" width="18.25" style="130" customWidth="1"/>
    <col min="5366" max="5366" width="5.25" style="130" bestFit="1" customWidth="1"/>
    <col min="5367" max="5367" width="9" style="130"/>
    <col min="5368" max="5368" width="11.875" style="130" customWidth="1"/>
    <col min="5369" max="5369" width="13.625" style="130" customWidth="1"/>
    <col min="5370" max="5370" width="12.75" style="130" customWidth="1"/>
    <col min="5371" max="5617" width="9" style="130"/>
    <col min="5618" max="5618" width="5" style="130" customWidth="1"/>
    <col min="5619" max="5619" width="17.875" style="130" bestFit="1" customWidth="1"/>
    <col min="5620" max="5620" width="23.625" style="130" customWidth="1"/>
    <col min="5621" max="5621" width="18.25" style="130" customWidth="1"/>
    <col min="5622" max="5622" width="5.25" style="130" bestFit="1" customWidth="1"/>
    <col min="5623" max="5623" width="9" style="130"/>
    <col min="5624" max="5624" width="11.875" style="130" customWidth="1"/>
    <col min="5625" max="5625" width="13.625" style="130" customWidth="1"/>
    <col min="5626" max="5626" width="12.75" style="130" customWidth="1"/>
    <col min="5627" max="5873" width="9" style="130"/>
    <col min="5874" max="5874" width="5" style="130" customWidth="1"/>
    <col min="5875" max="5875" width="17.875" style="130" bestFit="1" customWidth="1"/>
    <col min="5876" max="5876" width="23.625" style="130" customWidth="1"/>
    <col min="5877" max="5877" width="18.25" style="130" customWidth="1"/>
    <col min="5878" max="5878" width="5.25" style="130" bestFit="1" customWidth="1"/>
    <col min="5879" max="5879" width="9" style="130"/>
    <col min="5880" max="5880" width="11.875" style="130" customWidth="1"/>
    <col min="5881" max="5881" width="13.625" style="130" customWidth="1"/>
    <col min="5882" max="5882" width="12.75" style="130" customWidth="1"/>
    <col min="5883" max="6129" width="9" style="130"/>
    <col min="6130" max="6130" width="5" style="130" customWidth="1"/>
    <col min="6131" max="6131" width="17.875" style="130" bestFit="1" customWidth="1"/>
    <col min="6132" max="6132" width="23.625" style="130" customWidth="1"/>
    <col min="6133" max="6133" width="18.25" style="130" customWidth="1"/>
    <col min="6134" max="6134" width="5.25" style="130" bestFit="1" customWidth="1"/>
    <col min="6135" max="6135" width="9" style="130"/>
    <col min="6136" max="6136" width="11.875" style="130" customWidth="1"/>
    <col min="6137" max="6137" width="13.625" style="130" customWidth="1"/>
    <col min="6138" max="6138" width="12.75" style="130" customWidth="1"/>
    <col min="6139" max="6385" width="9" style="130"/>
    <col min="6386" max="6386" width="5" style="130" customWidth="1"/>
    <col min="6387" max="6387" width="17.875" style="130" bestFit="1" customWidth="1"/>
    <col min="6388" max="6388" width="23.625" style="130" customWidth="1"/>
    <col min="6389" max="6389" width="18.25" style="130" customWidth="1"/>
    <col min="6390" max="6390" width="5.25" style="130" bestFit="1" customWidth="1"/>
    <col min="6391" max="6391" width="9" style="130"/>
    <col min="6392" max="6392" width="11.875" style="130" customWidth="1"/>
    <col min="6393" max="6393" width="13.625" style="130" customWidth="1"/>
    <col min="6394" max="6394" width="12.75" style="130" customWidth="1"/>
    <col min="6395" max="6641" width="9" style="130"/>
    <col min="6642" max="6642" width="5" style="130" customWidth="1"/>
    <col min="6643" max="6643" width="17.875" style="130" bestFit="1" customWidth="1"/>
    <col min="6644" max="6644" width="23.625" style="130" customWidth="1"/>
    <col min="6645" max="6645" width="18.25" style="130" customWidth="1"/>
    <col min="6646" max="6646" width="5.25" style="130" bestFit="1" customWidth="1"/>
    <col min="6647" max="6647" width="9" style="130"/>
    <col min="6648" max="6648" width="11.875" style="130" customWidth="1"/>
    <col min="6649" max="6649" width="13.625" style="130" customWidth="1"/>
    <col min="6650" max="6650" width="12.75" style="130" customWidth="1"/>
    <col min="6651" max="6897" width="9" style="130"/>
    <col min="6898" max="6898" width="5" style="130" customWidth="1"/>
    <col min="6899" max="6899" width="17.875" style="130" bestFit="1" customWidth="1"/>
    <col min="6900" max="6900" width="23.625" style="130" customWidth="1"/>
    <col min="6901" max="6901" width="18.25" style="130" customWidth="1"/>
    <col min="6902" max="6902" width="5.25" style="130" bestFit="1" customWidth="1"/>
    <col min="6903" max="6903" width="9" style="130"/>
    <col min="6904" max="6904" width="11.875" style="130" customWidth="1"/>
    <col min="6905" max="6905" width="13.625" style="130" customWidth="1"/>
    <col min="6906" max="6906" width="12.75" style="130" customWidth="1"/>
    <col min="6907" max="7153" width="9" style="130"/>
    <col min="7154" max="7154" width="5" style="130" customWidth="1"/>
    <col min="7155" max="7155" width="17.875" style="130" bestFit="1" customWidth="1"/>
    <col min="7156" max="7156" width="23.625" style="130" customWidth="1"/>
    <col min="7157" max="7157" width="18.25" style="130" customWidth="1"/>
    <col min="7158" max="7158" width="5.25" style="130" bestFit="1" customWidth="1"/>
    <col min="7159" max="7159" width="9" style="130"/>
    <col min="7160" max="7160" width="11.875" style="130" customWidth="1"/>
    <col min="7161" max="7161" width="13.625" style="130" customWidth="1"/>
    <col min="7162" max="7162" width="12.75" style="130" customWidth="1"/>
    <col min="7163" max="7409" width="9" style="130"/>
    <col min="7410" max="7410" width="5" style="130" customWidth="1"/>
    <col min="7411" max="7411" width="17.875" style="130" bestFit="1" customWidth="1"/>
    <col min="7412" max="7412" width="23.625" style="130" customWidth="1"/>
    <col min="7413" max="7413" width="18.25" style="130" customWidth="1"/>
    <col min="7414" max="7414" width="5.25" style="130" bestFit="1" customWidth="1"/>
    <col min="7415" max="7415" width="9" style="130"/>
    <col min="7416" max="7416" width="11.875" style="130" customWidth="1"/>
    <col min="7417" max="7417" width="13.625" style="130" customWidth="1"/>
    <col min="7418" max="7418" width="12.75" style="130" customWidth="1"/>
    <col min="7419" max="7665" width="9" style="130"/>
    <col min="7666" max="7666" width="5" style="130" customWidth="1"/>
    <col min="7667" max="7667" width="17.875" style="130" bestFit="1" customWidth="1"/>
    <col min="7668" max="7668" width="23.625" style="130" customWidth="1"/>
    <col min="7669" max="7669" width="18.25" style="130" customWidth="1"/>
    <col min="7670" max="7670" width="5.25" style="130" bestFit="1" customWidth="1"/>
    <col min="7671" max="7671" width="9" style="130"/>
    <col min="7672" max="7672" width="11.875" style="130" customWidth="1"/>
    <col min="7673" max="7673" width="13.625" style="130" customWidth="1"/>
    <col min="7674" max="7674" width="12.75" style="130" customWidth="1"/>
    <col min="7675" max="7921" width="9" style="130"/>
    <col min="7922" max="7922" width="5" style="130" customWidth="1"/>
    <col min="7923" max="7923" width="17.875" style="130" bestFit="1" customWidth="1"/>
    <col min="7924" max="7924" width="23.625" style="130" customWidth="1"/>
    <col min="7925" max="7925" width="18.25" style="130" customWidth="1"/>
    <col min="7926" max="7926" width="5.25" style="130" bestFit="1" customWidth="1"/>
    <col min="7927" max="7927" width="9" style="130"/>
    <col min="7928" max="7928" width="11.875" style="130" customWidth="1"/>
    <col min="7929" max="7929" width="13.625" style="130" customWidth="1"/>
    <col min="7930" max="7930" width="12.75" style="130" customWidth="1"/>
    <col min="7931" max="8177" width="9" style="130"/>
    <col min="8178" max="8178" width="5" style="130" customWidth="1"/>
    <col min="8179" max="8179" width="17.875" style="130" bestFit="1" customWidth="1"/>
    <col min="8180" max="8180" width="23.625" style="130" customWidth="1"/>
    <col min="8181" max="8181" width="18.25" style="130" customWidth="1"/>
    <col min="8182" max="8182" width="5.25" style="130" bestFit="1" customWidth="1"/>
    <col min="8183" max="8183" width="9" style="130"/>
    <col min="8184" max="8184" width="11.875" style="130" customWidth="1"/>
    <col min="8185" max="8185" width="13.625" style="130" customWidth="1"/>
    <col min="8186" max="8186" width="12.75" style="130" customWidth="1"/>
    <col min="8187" max="8433" width="9" style="130"/>
    <col min="8434" max="8434" width="5" style="130" customWidth="1"/>
    <col min="8435" max="8435" width="17.875" style="130" bestFit="1" customWidth="1"/>
    <col min="8436" max="8436" width="23.625" style="130" customWidth="1"/>
    <col min="8437" max="8437" width="18.25" style="130" customWidth="1"/>
    <col min="8438" max="8438" width="5.25" style="130" bestFit="1" customWidth="1"/>
    <col min="8439" max="8439" width="9" style="130"/>
    <col min="8440" max="8440" width="11.875" style="130" customWidth="1"/>
    <col min="8441" max="8441" width="13.625" style="130" customWidth="1"/>
    <col min="8442" max="8442" width="12.75" style="130" customWidth="1"/>
    <col min="8443" max="8689" width="9" style="130"/>
    <col min="8690" max="8690" width="5" style="130" customWidth="1"/>
    <col min="8691" max="8691" width="17.875" style="130" bestFit="1" customWidth="1"/>
    <col min="8692" max="8692" width="23.625" style="130" customWidth="1"/>
    <col min="8693" max="8693" width="18.25" style="130" customWidth="1"/>
    <col min="8694" max="8694" width="5.25" style="130" bestFit="1" customWidth="1"/>
    <col min="8695" max="8695" width="9" style="130"/>
    <col min="8696" max="8696" width="11.875" style="130" customWidth="1"/>
    <col min="8697" max="8697" width="13.625" style="130" customWidth="1"/>
    <col min="8698" max="8698" width="12.75" style="130" customWidth="1"/>
    <col min="8699" max="8945" width="9" style="130"/>
    <col min="8946" max="8946" width="5" style="130" customWidth="1"/>
    <col min="8947" max="8947" width="17.875" style="130" bestFit="1" customWidth="1"/>
    <col min="8948" max="8948" width="23.625" style="130" customWidth="1"/>
    <col min="8949" max="8949" width="18.25" style="130" customWidth="1"/>
    <col min="8950" max="8950" width="5.25" style="130" bestFit="1" customWidth="1"/>
    <col min="8951" max="8951" width="9" style="130"/>
    <col min="8952" max="8952" width="11.875" style="130" customWidth="1"/>
    <col min="8953" max="8953" width="13.625" style="130" customWidth="1"/>
    <col min="8954" max="8954" width="12.75" style="130" customWidth="1"/>
    <col min="8955" max="9201" width="9" style="130"/>
    <col min="9202" max="9202" width="5" style="130" customWidth="1"/>
    <col min="9203" max="9203" width="17.875" style="130" bestFit="1" customWidth="1"/>
    <col min="9204" max="9204" width="23.625" style="130" customWidth="1"/>
    <col min="9205" max="9205" width="18.25" style="130" customWidth="1"/>
    <col min="9206" max="9206" width="5.25" style="130" bestFit="1" customWidth="1"/>
    <col min="9207" max="9207" width="9" style="130"/>
    <col min="9208" max="9208" width="11.875" style="130" customWidth="1"/>
    <col min="9209" max="9209" width="13.625" style="130" customWidth="1"/>
    <col min="9210" max="9210" width="12.75" style="130" customWidth="1"/>
    <col min="9211" max="9457" width="9" style="130"/>
    <col min="9458" max="9458" width="5" style="130" customWidth="1"/>
    <col min="9459" max="9459" width="17.875" style="130" bestFit="1" customWidth="1"/>
    <col min="9460" max="9460" width="23.625" style="130" customWidth="1"/>
    <col min="9461" max="9461" width="18.25" style="130" customWidth="1"/>
    <col min="9462" max="9462" width="5.25" style="130" bestFit="1" customWidth="1"/>
    <col min="9463" max="9463" width="9" style="130"/>
    <col min="9464" max="9464" width="11.875" style="130" customWidth="1"/>
    <col min="9465" max="9465" width="13.625" style="130" customWidth="1"/>
    <col min="9466" max="9466" width="12.75" style="130" customWidth="1"/>
    <col min="9467" max="9713" width="9" style="130"/>
    <col min="9714" max="9714" width="5" style="130" customWidth="1"/>
    <col min="9715" max="9715" width="17.875" style="130" bestFit="1" customWidth="1"/>
    <col min="9716" max="9716" width="23.625" style="130" customWidth="1"/>
    <col min="9717" max="9717" width="18.25" style="130" customWidth="1"/>
    <col min="9718" max="9718" width="5.25" style="130" bestFit="1" customWidth="1"/>
    <col min="9719" max="9719" width="9" style="130"/>
    <col min="9720" max="9720" width="11.875" style="130" customWidth="1"/>
    <col min="9721" max="9721" width="13.625" style="130" customWidth="1"/>
    <col min="9722" max="9722" width="12.75" style="130" customWidth="1"/>
    <col min="9723" max="9969" width="9" style="130"/>
    <col min="9970" max="9970" width="5" style="130" customWidth="1"/>
    <col min="9971" max="9971" width="17.875" style="130" bestFit="1" customWidth="1"/>
    <col min="9972" max="9972" width="23.625" style="130" customWidth="1"/>
    <col min="9973" max="9973" width="18.25" style="130" customWidth="1"/>
    <col min="9974" max="9974" width="5.25" style="130" bestFit="1" customWidth="1"/>
    <col min="9975" max="9975" width="9" style="130"/>
    <col min="9976" max="9976" width="11.875" style="130" customWidth="1"/>
    <col min="9977" max="9977" width="13.625" style="130" customWidth="1"/>
    <col min="9978" max="9978" width="12.75" style="130" customWidth="1"/>
    <col min="9979" max="10225" width="9" style="130"/>
    <col min="10226" max="10226" width="5" style="130" customWidth="1"/>
    <col min="10227" max="10227" width="17.875" style="130" bestFit="1" customWidth="1"/>
    <col min="10228" max="10228" width="23.625" style="130" customWidth="1"/>
    <col min="10229" max="10229" width="18.25" style="130" customWidth="1"/>
    <col min="10230" max="10230" width="5.25" style="130" bestFit="1" customWidth="1"/>
    <col min="10231" max="10231" width="9" style="130"/>
    <col min="10232" max="10232" width="11.875" style="130" customWidth="1"/>
    <col min="10233" max="10233" width="13.625" style="130" customWidth="1"/>
    <col min="10234" max="10234" width="12.75" style="130" customWidth="1"/>
    <col min="10235" max="10481" width="9" style="130"/>
    <col min="10482" max="10482" width="5" style="130" customWidth="1"/>
    <col min="10483" max="10483" width="17.875" style="130" bestFit="1" customWidth="1"/>
    <col min="10484" max="10484" width="23.625" style="130" customWidth="1"/>
    <col min="10485" max="10485" width="18.25" style="130" customWidth="1"/>
    <col min="10486" max="10486" width="5.25" style="130" bestFit="1" customWidth="1"/>
    <col min="10487" max="10487" width="9" style="130"/>
    <col min="10488" max="10488" width="11.875" style="130" customWidth="1"/>
    <col min="10489" max="10489" width="13.625" style="130" customWidth="1"/>
    <col min="10490" max="10490" width="12.75" style="130" customWidth="1"/>
    <col min="10491" max="10737" width="9" style="130"/>
    <col min="10738" max="10738" width="5" style="130" customWidth="1"/>
    <col min="10739" max="10739" width="17.875" style="130" bestFit="1" customWidth="1"/>
    <col min="10740" max="10740" width="23.625" style="130" customWidth="1"/>
    <col min="10741" max="10741" width="18.25" style="130" customWidth="1"/>
    <col min="10742" max="10742" width="5.25" style="130" bestFit="1" customWidth="1"/>
    <col min="10743" max="10743" width="9" style="130"/>
    <col min="10744" max="10744" width="11.875" style="130" customWidth="1"/>
    <col min="10745" max="10745" width="13.625" style="130" customWidth="1"/>
    <col min="10746" max="10746" width="12.75" style="130" customWidth="1"/>
    <col min="10747" max="10993" width="9" style="130"/>
    <col min="10994" max="10994" width="5" style="130" customWidth="1"/>
    <col min="10995" max="10995" width="17.875" style="130" bestFit="1" customWidth="1"/>
    <col min="10996" max="10996" width="23.625" style="130" customWidth="1"/>
    <col min="10997" max="10997" width="18.25" style="130" customWidth="1"/>
    <col min="10998" max="10998" width="5.25" style="130" bestFit="1" customWidth="1"/>
    <col min="10999" max="10999" width="9" style="130"/>
    <col min="11000" max="11000" width="11.875" style="130" customWidth="1"/>
    <col min="11001" max="11001" width="13.625" style="130" customWidth="1"/>
    <col min="11002" max="11002" width="12.75" style="130" customWidth="1"/>
    <col min="11003" max="11249" width="9" style="130"/>
    <col min="11250" max="11250" width="5" style="130" customWidth="1"/>
    <col min="11251" max="11251" width="17.875" style="130" bestFit="1" customWidth="1"/>
    <col min="11252" max="11252" width="23.625" style="130" customWidth="1"/>
    <col min="11253" max="11253" width="18.25" style="130" customWidth="1"/>
    <col min="11254" max="11254" width="5.25" style="130" bestFit="1" customWidth="1"/>
    <col min="11255" max="11255" width="9" style="130"/>
    <col min="11256" max="11256" width="11.875" style="130" customWidth="1"/>
    <col min="11257" max="11257" width="13.625" style="130" customWidth="1"/>
    <col min="11258" max="11258" width="12.75" style="130" customWidth="1"/>
    <col min="11259" max="11505" width="9" style="130"/>
    <col min="11506" max="11506" width="5" style="130" customWidth="1"/>
    <col min="11507" max="11507" width="17.875" style="130" bestFit="1" customWidth="1"/>
    <col min="11508" max="11508" width="23.625" style="130" customWidth="1"/>
    <col min="11509" max="11509" width="18.25" style="130" customWidth="1"/>
    <col min="11510" max="11510" width="5.25" style="130" bestFit="1" customWidth="1"/>
    <col min="11511" max="11511" width="9" style="130"/>
    <col min="11512" max="11512" width="11.875" style="130" customWidth="1"/>
    <col min="11513" max="11513" width="13.625" style="130" customWidth="1"/>
    <col min="11514" max="11514" width="12.75" style="130" customWidth="1"/>
    <col min="11515" max="11761" width="9" style="130"/>
    <col min="11762" max="11762" width="5" style="130" customWidth="1"/>
    <col min="11763" max="11763" width="17.875" style="130" bestFit="1" customWidth="1"/>
    <col min="11764" max="11764" width="23.625" style="130" customWidth="1"/>
    <col min="11765" max="11765" width="18.25" style="130" customWidth="1"/>
    <col min="11766" max="11766" width="5.25" style="130" bestFit="1" customWidth="1"/>
    <col min="11767" max="11767" width="9" style="130"/>
    <col min="11768" max="11768" width="11.875" style="130" customWidth="1"/>
    <col min="11769" max="11769" width="13.625" style="130" customWidth="1"/>
    <col min="11770" max="11770" width="12.75" style="130" customWidth="1"/>
    <col min="11771" max="12017" width="9" style="130"/>
    <col min="12018" max="12018" width="5" style="130" customWidth="1"/>
    <col min="12019" max="12019" width="17.875" style="130" bestFit="1" customWidth="1"/>
    <col min="12020" max="12020" width="23.625" style="130" customWidth="1"/>
    <col min="12021" max="12021" width="18.25" style="130" customWidth="1"/>
    <col min="12022" max="12022" width="5.25" style="130" bestFit="1" customWidth="1"/>
    <col min="12023" max="12023" width="9" style="130"/>
    <col min="12024" max="12024" width="11.875" style="130" customWidth="1"/>
    <col min="12025" max="12025" width="13.625" style="130" customWidth="1"/>
    <col min="12026" max="12026" width="12.75" style="130" customWidth="1"/>
    <col min="12027" max="12273" width="9" style="130"/>
    <col min="12274" max="12274" width="5" style="130" customWidth="1"/>
    <col min="12275" max="12275" width="17.875" style="130" bestFit="1" customWidth="1"/>
    <col min="12276" max="12276" width="23.625" style="130" customWidth="1"/>
    <col min="12277" max="12277" width="18.25" style="130" customWidth="1"/>
    <col min="12278" max="12278" width="5.25" style="130" bestFit="1" customWidth="1"/>
    <col min="12279" max="12279" width="9" style="130"/>
    <col min="12280" max="12280" width="11.875" style="130" customWidth="1"/>
    <col min="12281" max="12281" width="13.625" style="130" customWidth="1"/>
    <col min="12282" max="12282" width="12.75" style="130" customWidth="1"/>
    <col min="12283" max="12529" width="9" style="130"/>
    <col min="12530" max="12530" width="5" style="130" customWidth="1"/>
    <col min="12531" max="12531" width="17.875" style="130" bestFit="1" customWidth="1"/>
    <col min="12532" max="12532" width="23.625" style="130" customWidth="1"/>
    <col min="12533" max="12533" width="18.25" style="130" customWidth="1"/>
    <col min="12534" max="12534" width="5.25" style="130" bestFit="1" customWidth="1"/>
    <col min="12535" max="12535" width="9" style="130"/>
    <col min="12536" max="12536" width="11.875" style="130" customWidth="1"/>
    <col min="12537" max="12537" width="13.625" style="130" customWidth="1"/>
    <col min="12538" max="12538" width="12.75" style="130" customWidth="1"/>
    <col min="12539" max="12785" width="9" style="130"/>
    <col min="12786" max="12786" width="5" style="130" customWidth="1"/>
    <col min="12787" max="12787" width="17.875" style="130" bestFit="1" customWidth="1"/>
    <col min="12788" max="12788" width="23.625" style="130" customWidth="1"/>
    <col min="12789" max="12789" width="18.25" style="130" customWidth="1"/>
    <col min="12790" max="12790" width="5.25" style="130" bestFit="1" customWidth="1"/>
    <col min="12791" max="12791" width="9" style="130"/>
    <col min="12792" max="12792" width="11.875" style="130" customWidth="1"/>
    <col min="12793" max="12793" width="13.625" style="130" customWidth="1"/>
    <col min="12794" max="12794" width="12.75" style="130" customWidth="1"/>
    <col min="12795" max="13041" width="9" style="130"/>
    <col min="13042" max="13042" width="5" style="130" customWidth="1"/>
    <col min="13043" max="13043" width="17.875" style="130" bestFit="1" customWidth="1"/>
    <col min="13044" max="13044" width="23.625" style="130" customWidth="1"/>
    <col min="13045" max="13045" width="18.25" style="130" customWidth="1"/>
    <col min="13046" max="13046" width="5.25" style="130" bestFit="1" customWidth="1"/>
    <col min="13047" max="13047" width="9" style="130"/>
    <col min="13048" max="13048" width="11.875" style="130" customWidth="1"/>
    <col min="13049" max="13049" width="13.625" style="130" customWidth="1"/>
    <col min="13050" max="13050" width="12.75" style="130" customWidth="1"/>
    <col min="13051" max="13297" width="9" style="130"/>
    <col min="13298" max="13298" width="5" style="130" customWidth="1"/>
    <col min="13299" max="13299" width="17.875" style="130" bestFit="1" customWidth="1"/>
    <col min="13300" max="13300" width="23.625" style="130" customWidth="1"/>
    <col min="13301" max="13301" width="18.25" style="130" customWidth="1"/>
    <col min="13302" max="13302" width="5.25" style="130" bestFit="1" customWidth="1"/>
    <col min="13303" max="13303" width="9" style="130"/>
    <col min="13304" max="13304" width="11.875" style="130" customWidth="1"/>
    <col min="13305" max="13305" width="13.625" style="130" customWidth="1"/>
    <col min="13306" max="13306" width="12.75" style="130" customWidth="1"/>
    <col min="13307" max="13553" width="9" style="130"/>
    <col min="13554" max="13554" width="5" style="130" customWidth="1"/>
    <col min="13555" max="13555" width="17.875" style="130" bestFit="1" customWidth="1"/>
    <col min="13556" max="13556" width="23.625" style="130" customWidth="1"/>
    <col min="13557" max="13557" width="18.25" style="130" customWidth="1"/>
    <col min="13558" max="13558" width="5.25" style="130" bestFit="1" customWidth="1"/>
    <col min="13559" max="13559" width="9" style="130"/>
    <col min="13560" max="13560" width="11.875" style="130" customWidth="1"/>
    <col min="13561" max="13561" width="13.625" style="130" customWidth="1"/>
    <col min="13562" max="13562" width="12.75" style="130" customWidth="1"/>
    <col min="13563" max="13809" width="9" style="130"/>
    <col min="13810" max="13810" width="5" style="130" customWidth="1"/>
    <col min="13811" max="13811" width="17.875" style="130" bestFit="1" customWidth="1"/>
    <col min="13812" max="13812" width="23.625" style="130" customWidth="1"/>
    <col min="13813" max="13813" width="18.25" style="130" customWidth="1"/>
    <col min="13814" max="13814" width="5.25" style="130" bestFit="1" customWidth="1"/>
    <col min="13815" max="13815" width="9" style="130"/>
    <col min="13816" max="13816" width="11.875" style="130" customWidth="1"/>
    <col min="13817" max="13817" width="13.625" style="130" customWidth="1"/>
    <col min="13818" max="13818" width="12.75" style="130" customWidth="1"/>
    <col min="13819" max="14065" width="9" style="130"/>
    <col min="14066" max="14066" width="5" style="130" customWidth="1"/>
    <col min="14067" max="14067" width="17.875" style="130" bestFit="1" customWidth="1"/>
    <col min="14068" max="14068" width="23.625" style="130" customWidth="1"/>
    <col min="14069" max="14069" width="18.25" style="130" customWidth="1"/>
    <col min="14070" max="14070" width="5.25" style="130" bestFit="1" customWidth="1"/>
    <col min="14071" max="14071" width="9" style="130"/>
    <col min="14072" max="14072" width="11.875" style="130" customWidth="1"/>
    <col min="14073" max="14073" width="13.625" style="130" customWidth="1"/>
    <col min="14074" max="14074" width="12.75" style="130" customWidth="1"/>
    <col min="14075" max="14321" width="9" style="130"/>
    <col min="14322" max="14322" width="5" style="130" customWidth="1"/>
    <col min="14323" max="14323" width="17.875" style="130" bestFit="1" customWidth="1"/>
    <col min="14324" max="14324" width="23.625" style="130" customWidth="1"/>
    <col min="14325" max="14325" width="18.25" style="130" customWidth="1"/>
    <col min="14326" max="14326" width="5.25" style="130" bestFit="1" customWidth="1"/>
    <col min="14327" max="14327" width="9" style="130"/>
    <col min="14328" max="14328" width="11.875" style="130" customWidth="1"/>
    <col min="14329" max="14329" width="13.625" style="130" customWidth="1"/>
    <col min="14330" max="14330" width="12.75" style="130" customWidth="1"/>
    <col min="14331" max="14577" width="9" style="130"/>
    <col min="14578" max="14578" width="5" style="130" customWidth="1"/>
    <col min="14579" max="14579" width="17.875" style="130" bestFit="1" customWidth="1"/>
    <col min="14580" max="14580" width="23.625" style="130" customWidth="1"/>
    <col min="14581" max="14581" width="18.25" style="130" customWidth="1"/>
    <col min="14582" max="14582" width="5.25" style="130" bestFit="1" customWidth="1"/>
    <col min="14583" max="14583" width="9" style="130"/>
    <col min="14584" max="14584" width="11.875" style="130" customWidth="1"/>
    <col min="14585" max="14585" width="13.625" style="130" customWidth="1"/>
    <col min="14586" max="14586" width="12.75" style="130" customWidth="1"/>
    <col min="14587" max="14833" width="9" style="130"/>
    <col min="14834" max="14834" width="5" style="130" customWidth="1"/>
    <col min="14835" max="14835" width="17.875" style="130" bestFit="1" customWidth="1"/>
    <col min="14836" max="14836" width="23.625" style="130" customWidth="1"/>
    <col min="14837" max="14837" width="18.25" style="130" customWidth="1"/>
    <col min="14838" max="14838" width="5.25" style="130" bestFit="1" customWidth="1"/>
    <col min="14839" max="14839" width="9" style="130"/>
    <col min="14840" max="14840" width="11.875" style="130" customWidth="1"/>
    <col min="14841" max="14841" width="13.625" style="130" customWidth="1"/>
    <col min="14842" max="14842" width="12.75" style="130" customWidth="1"/>
    <col min="14843" max="15089" width="9" style="130"/>
    <col min="15090" max="15090" width="5" style="130" customWidth="1"/>
    <col min="15091" max="15091" width="17.875" style="130" bestFit="1" customWidth="1"/>
    <col min="15092" max="15092" width="23.625" style="130" customWidth="1"/>
    <col min="15093" max="15093" width="18.25" style="130" customWidth="1"/>
    <col min="15094" max="15094" width="5.25" style="130" bestFit="1" customWidth="1"/>
    <col min="15095" max="15095" width="9" style="130"/>
    <col min="15096" max="15096" width="11.875" style="130" customWidth="1"/>
    <col min="15097" max="15097" width="13.625" style="130" customWidth="1"/>
    <col min="15098" max="15098" width="12.75" style="130" customWidth="1"/>
    <col min="15099" max="15345" width="9" style="130"/>
    <col min="15346" max="15346" width="5" style="130" customWidth="1"/>
    <col min="15347" max="15347" width="17.875" style="130" bestFit="1" customWidth="1"/>
    <col min="15348" max="15348" width="23.625" style="130" customWidth="1"/>
    <col min="15349" max="15349" width="18.25" style="130" customWidth="1"/>
    <col min="15350" max="15350" width="5.25" style="130" bestFit="1" customWidth="1"/>
    <col min="15351" max="15351" width="9" style="130"/>
    <col min="15352" max="15352" width="11.875" style="130" customWidth="1"/>
    <col min="15353" max="15353" width="13.625" style="130" customWidth="1"/>
    <col min="15354" max="15354" width="12.75" style="130" customWidth="1"/>
    <col min="15355" max="15601" width="9" style="130"/>
    <col min="15602" max="15602" width="5" style="130" customWidth="1"/>
    <col min="15603" max="15603" width="17.875" style="130" bestFit="1" customWidth="1"/>
    <col min="15604" max="15604" width="23.625" style="130" customWidth="1"/>
    <col min="15605" max="15605" width="18.25" style="130" customWidth="1"/>
    <col min="15606" max="15606" width="5.25" style="130" bestFit="1" customWidth="1"/>
    <col min="15607" max="15607" width="9" style="130"/>
    <col min="15608" max="15608" width="11.875" style="130" customWidth="1"/>
    <col min="15609" max="15609" width="13.625" style="130" customWidth="1"/>
    <col min="15610" max="15610" width="12.75" style="130" customWidth="1"/>
    <col min="15611" max="15857" width="9" style="130"/>
    <col min="15858" max="15858" width="5" style="130" customWidth="1"/>
    <col min="15859" max="15859" width="17.875" style="130" bestFit="1" customWidth="1"/>
    <col min="15860" max="15860" width="23.625" style="130" customWidth="1"/>
    <col min="15861" max="15861" width="18.25" style="130" customWidth="1"/>
    <col min="15862" max="15862" width="5.25" style="130" bestFit="1" customWidth="1"/>
    <col min="15863" max="15863" width="9" style="130"/>
    <col min="15864" max="15864" width="11.875" style="130" customWidth="1"/>
    <col min="15865" max="15865" width="13.625" style="130" customWidth="1"/>
    <col min="15866" max="15866" width="12.75" style="130" customWidth="1"/>
    <col min="15867" max="16113" width="9" style="130"/>
    <col min="16114" max="16114" width="5" style="130" customWidth="1"/>
    <col min="16115" max="16115" width="17.875" style="130" bestFit="1" customWidth="1"/>
    <col min="16116" max="16116" width="23.625" style="130" customWidth="1"/>
    <col min="16117" max="16117" width="18.25" style="130" customWidth="1"/>
    <col min="16118" max="16118" width="5.25" style="130" bestFit="1" customWidth="1"/>
    <col min="16119" max="16119" width="9" style="130"/>
    <col min="16120" max="16120" width="11.875" style="130" customWidth="1"/>
    <col min="16121" max="16121" width="13.625" style="130" customWidth="1"/>
    <col min="16122" max="16122" width="12.75" style="130" customWidth="1"/>
    <col min="16123" max="16384" width="9" style="130"/>
  </cols>
  <sheetData>
    <row r="1" spans="1:9" ht="22.5" customHeight="1">
      <c r="B1" s="212" t="s">
        <v>149</v>
      </c>
      <c r="C1" s="305" t="s">
        <v>489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42" t="s">
        <v>343</v>
      </c>
      <c r="D3" s="242"/>
      <c r="E3" s="243"/>
      <c r="F3" s="244">
        <v>1</v>
      </c>
      <c r="G3" s="245">
        <v>3600000</v>
      </c>
      <c r="H3" s="175">
        <f t="shared" ref="H3:H70" si="0">IF(F3=0,G3,G3*F3)</f>
        <v>3600000</v>
      </c>
      <c r="I3" s="247"/>
    </row>
    <row r="4" spans="1:9" ht="15.95" customHeight="1">
      <c r="A4" s="497"/>
      <c r="B4" s="218"/>
      <c r="C4" s="225" t="s">
        <v>420</v>
      </c>
      <c r="D4" s="225"/>
      <c r="E4" s="226"/>
      <c r="F4" s="227">
        <v>1</v>
      </c>
      <c r="G4" s="228">
        <v>4608000</v>
      </c>
      <c r="H4" s="175">
        <f t="shared" si="0"/>
        <v>4608000</v>
      </c>
      <c r="I4" s="38"/>
    </row>
    <row r="5" spans="1:9" ht="15.95" customHeight="1">
      <c r="A5" s="497"/>
      <c r="B5" s="218"/>
      <c r="C5" s="225" t="s">
        <v>422</v>
      </c>
      <c r="D5" s="225"/>
      <c r="E5" s="226"/>
      <c r="F5" s="227">
        <v>1</v>
      </c>
      <c r="G5" s="228">
        <v>3456000</v>
      </c>
      <c r="H5" s="175">
        <f t="shared" si="0"/>
        <v>3456000</v>
      </c>
      <c r="I5" s="38"/>
    </row>
    <row r="6" spans="1:9" ht="15.95" customHeight="1">
      <c r="A6" s="497"/>
      <c r="B6" s="218"/>
      <c r="C6" s="225" t="s">
        <v>423</v>
      </c>
      <c r="D6" s="225"/>
      <c r="E6" s="226"/>
      <c r="F6" s="227">
        <v>1</v>
      </c>
      <c r="G6" s="228">
        <v>1584000</v>
      </c>
      <c r="H6" s="175">
        <f t="shared" si="0"/>
        <v>1584000</v>
      </c>
      <c r="I6" s="38"/>
    </row>
    <row r="7" spans="1:9" ht="15.95" customHeight="1">
      <c r="A7" s="497"/>
      <c r="B7" s="218"/>
      <c r="C7" s="225" t="s">
        <v>386</v>
      </c>
      <c r="D7" s="225"/>
      <c r="E7" s="226"/>
      <c r="F7" s="227">
        <v>1</v>
      </c>
      <c r="G7" s="228">
        <v>144000</v>
      </c>
      <c r="H7" s="175">
        <f t="shared" si="0"/>
        <v>144000</v>
      </c>
      <c r="I7" s="38"/>
    </row>
    <row r="8" spans="1:9" ht="15.95" customHeight="1">
      <c r="A8" s="497"/>
      <c r="B8" s="218"/>
      <c r="C8" s="225" t="s">
        <v>424</v>
      </c>
      <c r="D8" s="225"/>
      <c r="E8" s="226"/>
      <c r="F8" s="227">
        <v>1</v>
      </c>
      <c r="G8" s="228">
        <v>5616000</v>
      </c>
      <c r="H8" s="175">
        <f t="shared" si="0"/>
        <v>5616000</v>
      </c>
      <c r="I8" s="38"/>
    </row>
    <row r="9" spans="1:9" ht="15.95" customHeight="1">
      <c r="A9" s="497"/>
      <c r="B9" s="218"/>
      <c r="C9" s="225" t="s">
        <v>472</v>
      </c>
      <c r="D9" s="225"/>
      <c r="E9" s="226"/>
      <c r="F9" s="227">
        <v>1</v>
      </c>
      <c r="G9" s="228">
        <v>8280000</v>
      </c>
      <c r="H9" s="175">
        <f t="shared" si="0"/>
        <v>8280000</v>
      </c>
      <c r="I9" s="38"/>
    </row>
    <row r="10" spans="1:9" ht="15.95" customHeight="1">
      <c r="A10" s="497"/>
      <c r="B10" s="218"/>
      <c r="C10" s="225" t="s">
        <v>473</v>
      </c>
      <c r="D10" s="225"/>
      <c r="E10" s="226"/>
      <c r="F10" s="227">
        <v>1</v>
      </c>
      <c r="G10" s="228">
        <v>7056000</v>
      </c>
      <c r="H10" s="175">
        <f t="shared" si="0"/>
        <v>7056000</v>
      </c>
      <c r="I10" s="38"/>
    </row>
    <row r="11" spans="1:9" ht="15.95" customHeight="1">
      <c r="A11" s="497"/>
      <c r="B11" s="218"/>
      <c r="C11" s="225" t="s">
        <v>493</v>
      </c>
      <c r="D11" s="225"/>
      <c r="E11" s="226"/>
      <c r="F11" s="227">
        <v>1</v>
      </c>
      <c r="G11" s="228">
        <v>19440000</v>
      </c>
      <c r="H11" s="175">
        <f t="shared" si="0"/>
        <v>19440000</v>
      </c>
      <c r="I11" s="38"/>
    </row>
    <row r="12" spans="1:9" ht="15.95" customHeight="1">
      <c r="A12" s="497"/>
      <c r="B12" s="218"/>
      <c r="C12" s="225" t="s">
        <v>494</v>
      </c>
      <c r="D12" s="225"/>
      <c r="E12" s="226"/>
      <c r="F12" s="227">
        <v>1</v>
      </c>
      <c r="G12" s="228">
        <v>19440000</v>
      </c>
      <c r="H12" s="175">
        <f t="shared" si="0"/>
        <v>19440000</v>
      </c>
      <c r="I12" s="38"/>
    </row>
    <row r="13" spans="1:9" ht="15.95" customHeight="1">
      <c r="A13" s="497"/>
      <c r="B13" s="218"/>
      <c r="C13" s="225" t="s">
        <v>476</v>
      </c>
      <c r="D13" s="225"/>
      <c r="E13" s="226"/>
      <c r="F13" s="227">
        <v>1</v>
      </c>
      <c r="G13" s="228">
        <v>5328000</v>
      </c>
      <c r="H13" s="175">
        <f t="shared" si="0"/>
        <v>5328000</v>
      </c>
      <c r="I13" s="38"/>
    </row>
    <row r="14" spans="1:9" ht="15.95" customHeight="1">
      <c r="A14" s="497"/>
      <c r="B14" s="218"/>
      <c r="C14" s="225" t="s">
        <v>286</v>
      </c>
      <c r="D14" s="225"/>
      <c r="E14" s="226"/>
      <c r="F14" s="227">
        <v>1</v>
      </c>
      <c r="G14" s="228">
        <v>720000</v>
      </c>
      <c r="H14" s="175">
        <f t="shared" si="0"/>
        <v>720000</v>
      </c>
      <c r="I14" s="38"/>
    </row>
    <row r="15" spans="1:9" ht="15.95" customHeight="1">
      <c r="A15" s="497"/>
      <c r="B15" s="218"/>
      <c r="C15" s="249" t="s">
        <v>284</v>
      </c>
      <c r="D15" s="249"/>
      <c r="E15" s="359" t="s">
        <v>542</v>
      </c>
      <c r="F15" s="250">
        <v>1</v>
      </c>
      <c r="G15" s="251">
        <v>1655999.9999999998</v>
      </c>
      <c r="H15" s="252">
        <v>1655999.9999999998</v>
      </c>
      <c r="I15" s="253"/>
    </row>
    <row r="16" spans="1:9" ht="15.95" customHeight="1">
      <c r="A16" s="497"/>
      <c r="B16" s="218"/>
      <c r="C16" s="249"/>
      <c r="D16" s="249"/>
      <c r="E16" s="359"/>
      <c r="F16" s="250"/>
      <c r="G16" s="251"/>
      <c r="H16" s="252"/>
      <c r="I16" s="253"/>
    </row>
    <row r="17" spans="1:9" ht="15.95" customHeight="1">
      <c r="A17" s="497"/>
      <c r="B17" s="218"/>
      <c r="C17" s="229"/>
      <c r="D17" s="230"/>
      <c r="E17" s="230"/>
      <c r="F17" s="231"/>
      <c r="G17" s="232"/>
      <c r="H17" s="252"/>
      <c r="I17" s="253"/>
    </row>
    <row r="18" spans="1:9" ht="15.95" customHeight="1">
      <c r="A18" s="497"/>
      <c r="B18" s="234"/>
      <c r="C18" s="260"/>
      <c r="D18" s="260"/>
      <c r="E18" s="260"/>
      <c r="F18" s="258"/>
      <c r="G18" s="258"/>
      <c r="H18" s="259">
        <f>SUM(H3:H17)</f>
        <v>80928000</v>
      </c>
      <c r="I18" s="260"/>
    </row>
    <row r="19" spans="1:9" ht="15.95" customHeight="1">
      <c r="A19" s="497"/>
      <c r="B19" s="218" t="s">
        <v>150</v>
      </c>
      <c r="C19" s="219" t="s">
        <v>527</v>
      </c>
      <c r="D19" s="219"/>
      <c r="E19" s="293" t="s">
        <v>51</v>
      </c>
      <c r="F19" s="245">
        <v>1</v>
      </c>
      <c r="G19" s="245">
        <v>8760000</v>
      </c>
      <c r="H19" s="223">
        <f t="shared" si="0"/>
        <v>8760000</v>
      </c>
      <c r="I19" s="224"/>
    </row>
    <row r="20" spans="1:9" ht="15.95" customHeight="1">
      <c r="A20" s="497"/>
      <c r="B20" s="218" t="s">
        <v>151</v>
      </c>
      <c r="C20" s="225" t="s">
        <v>528</v>
      </c>
      <c r="D20" s="225"/>
      <c r="E20" s="296" t="s">
        <v>51</v>
      </c>
      <c r="F20" s="228">
        <v>1</v>
      </c>
      <c r="G20" s="228">
        <v>8030000</v>
      </c>
      <c r="H20" s="175">
        <f t="shared" si="0"/>
        <v>8030000</v>
      </c>
      <c r="I20" s="38"/>
    </row>
    <row r="21" spans="1:9" ht="15.95" customHeight="1">
      <c r="A21" s="497"/>
      <c r="B21" s="218"/>
      <c r="C21" s="225" t="s">
        <v>529</v>
      </c>
      <c r="D21" s="225"/>
      <c r="E21" s="296" t="s">
        <v>51</v>
      </c>
      <c r="F21" s="228">
        <v>1</v>
      </c>
      <c r="G21" s="228">
        <v>8030000</v>
      </c>
      <c r="H21" s="175">
        <f t="shared" si="0"/>
        <v>8030000</v>
      </c>
      <c r="I21" s="38"/>
    </row>
    <row r="22" spans="1:9" ht="15.95" customHeight="1">
      <c r="A22" s="497"/>
      <c r="B22" s="218"/>
      <c r="C22" s="225"/>
      <c r="D22" s="225"/>
      <c r="E22" s="296"/>
      <c r="F22" s="228"/>
      <c r="G22" s="228"/>
      <c r="H22" s="175"/>
      <c r="I22" s="38"/>
    </row>
    <row r="23" spans="1:9" ht="15.95" customHeight="1">
      <c r="A23" s="497"/>
      <c r="B23" s="218"/>
      <c r="C23" s="229" t="s">
        <v>132</v>
      </c>
      <c r="D23" s="229"/>
      <c r="E23" s="296"/>
      <c r="F23" s="228"/>
      <c r="G23" s="228"/>
      <c r="H23" s="175"/>
      <c r="I23" s="233"/>
    </row>
    <row r="24" spans="1:9" ht="15.95" customHeight="1">
      <c r="A24" s="497"/>
      <c r="B24" s="234"/>
      <c r="C24" s="235"/>
      <c r="D24" s="236"/>
      <c r="E24" s="236"/>
      <c r="F24" s="312"/>
      <c r="G24" s="238"/>
      <c r="H24" s="239">
        <f>SUM(H19:H23)</f>
        <v>24820000</v>
      </c>
      <c r="I24" s="240"/>
    </row>
    <row r="25" spans="1:9" ht="15.95" customHeight="1">
      <c r="A25" s="497"/>
      <c r="B25" s="261" t="s">
        <v>152</v>
      </c>
      <c r="C25" s="242" t="s">
        <v>495</v>
      </c>
      <c r="D25" s="242"/>
      <c r="E25" s="243" t="s">
        <v>51</v>
      </c>
      <c r="F25" s="243">
        <v>1</v>
      </c>
      <c r="G25" s="245">
        <v>413999.99999999994</v>
      </c>
      <c r="H25" s="175">
        <f t="shared" ref="H25:H41" si="1">IF(F25=0,G25,G25*F25)</f>
        <v>413999.99999999994</v>
      </c>
      <c r="I25" s="247" t="s">
        <v>323</v>
      </c>
    </row>
    <row r="26" spans="1:9" ht="15.95" customHeight="1">
      <c r="A26" s="497"/>
      <c r="B26" s="218" t="s">
        <v>153</v>
      </c>
      <c r="C26" s="225" t="s">
        <v>387</v>
      </c>
      <c r="D26" s="225"/>
      <c r="E26" s="226" t="s">
        <v>51</v>
      </c>
      <c r="F26" s="226">
        <v>1</v>
      </c>
      <c r="G26" s="228">
        <v>1034999.9999999999</v>
      </c>
      <c r="H26" s="175">
        <f t="shared" si="1"/>
        <v>1034999.9999999999</v>
      </c>
      <c r="I26" s="38" t="s">
        <v>483</v>
      </c>
    </row>
    <row r="27" spans="1:9" ht="15.95" customHeight="1">
      <c r="A27" s="497"/>
      <c r="B27" s="218"/>
      <c r="C27" s="225" t="s">
        <v>388</v>
      </c>
      <c r="D27" s="225"/>
      <c r="E27" s="226" t="s">
        <v>51</v>
      </c>
      <c r="F27" s="226">
        <v>2</v>
      </c>
      <c r="G27" s="228">
        <v>345000</v>
      </c>
      <c r="H27" s="175">
        <f t="shared" si="1"/>
        <v>690000</v>
      </c>
      <c r="I27" s="38" t="s">
        <v>483</v>
      </c>
    </row>
    <row r="28" spans="1:9" ht="15.95" customHeight="1">
      <c r="A28" s="497"/>
      <c r="B28" s="218"/>
      <c r="C28" s="225" t="s">
        <v>389</v>
      </c>
      <c r="D28" s="225"/>
      <c r="E28" s="226" t="s">
        <v>51</v>
      </c>
      <c r="F28" s="226">
        <v>1</v>
      </c>
      <c r="G28" s="228">
        <v>1517999.9999999998</v>
      </c>
      <c r="H28" s="175">
        <f t="shared" si="1"/>
        <v>1517999.9999999998</v>
      </c>
      <c r="I28" s="38" t="s">
        <v>203</v>
      </c>
    </row>
    <row r="29" spans="1:9" ht="15.95" customHeight="1">
      <c r="A29" s="497"/>
      <c r="B29" s="218"/>
      <c r="C29" s="225" t="s">
        <v>193</v>
      </c>
      <c r="D29" s="225"/>
      <c r="E29" s="226" t="s">
        <v>51</v>
      </c>
      <c r="F29" s="226">
        <v>2</v>
      </c>
      <c r="G29" s="228">
        <v>2069999.9999999998</v>
      </c>
      <c r="H29" s="175">
        <f t="shared" si="1"/>
        <v>4139999.9999999995</v>
      </c>
      <c r="I29" s="38" t="s">
        <v>200</v>
      </c>
    </row>
    <row r="30" spans="1:9" ht="15.95" customHeight="1">
      <c r="A30" s="497"/>
      <c r="B30" s="218"/>
      <c r="C30" s="225" t="s">
        <v>447</v>
      </c>
      <c r="D30" s="225"/>
      <c r="E30" s="226" t="s">
        <v>51</v>
      </c>
      <c r="F30" s="226">
        <v>1</v>
      </c>
      <c r="G30" s="228">
        <v>1517999.9999999998</v>
      </c>
      <c r="H30" s="175">
        <f t="shared" si="1"/>
        <v>1517999.9999999998</v>
      </c>
      <c r="I30" s="38" t="s">
        <v>325</v>
      </c>
    </row>
    <row r="31" spans="1:9" ht="15.95" customHeight="1">
      <c r="A31" s="497"/>
      <c r="B31" s="218"/>
      <c r="C31" s="225" t="s">
        <v>444</v>
      </c>
      <c r="D31" s="225"/>
      <c r="E31" s="226" t="s">
        <v>51</v>
      </c>
      <c r="F31" s="226">
        <v>1</v>
      </c>
      <c r="G31" s="228">
        <v>1242000</v>
      </c>
      <c r="H31" s="175">
        <f t="shared" si="1"/>
        <v>1242000</v>
      </c>
      <c r="I31" s="38" t="s">
        <v>481</v>
      </c>
    </row>
    <row r="32" spans="1:9" ht="15.95" customHeight="1">
      <c r="A32" s="497"/>
      <c r="B32" s="218"/>
      <c r="C32" s="225" t="s">
        <v>193</v>
      </c>
      <c r="D32" s="225"/>
      <c r="E32" s="226" t="s">
        <v>51</v>
      </c>
      <c r="F32" s="226">
        <v>2</v>
      </c>
      <c r="G32" s="228">
        <v>1242000</v>
      </c>
      <c r="H32" s="175">
        <f t="shared" si="1"/>
        <v>2484000</v>
      </c>
      <c r="I32" s="38" t="s">
        <v>200</v>
      </c>
    </row>
    <row r="33" spans="1:9" ht="15.95" customHeight="1">
      <c r="A33" s="497"/>
      <c r="B33" s="218"/>
      <c r="C33" s="225" t="s">
        <v>496</v>
      </c>
      <c r="D33" s="225"/>
      <c r="E33" s="226" t="s">
        <v>51</v>
      </c>
      <c r="F33" s="226">
        <v>2</v>
      </c>
      <c r="G33" s="228">
        <v>952199.99999999988</v>
      </c>
      <c r="H33" s="175">
        <f t="shared" si="1"/>
        <v>1904399.9999999998</v>
      </c>
      <c r="I33" s="38" t="s">
        <v>325</v>
      </c>
    </row>
    <row r="34" spans="1:9" ht="15.95" customHeight="1">
      <c r="A34" s="497"/>
      <c r="B34" s="218"/>
      <c r="C34" s="225" t="s">
        <v>497</v>
      </c>
      <c r="D34" s="225"/>
      <c r="E34" s="226" t="s">
        <v>51</v>
      </c>
      <c r="F34" s="226">
        <v>96</v>
      </c>
      <c r="G34" s="228">
        <v>22080</v>
      </c>
      <c r="H34" s="175">
        <f t="shared" si="1"/>
        <v>2119680</v>
      </c>
      <c r="I34" s="38" t="s">
        <v>498</v>
      </c>
    </row>
    <row r="35" spans="1:9" ht="15.95" customHeight="1">
      <c r="A35" s="497"/>
      <c r="B35" s="218"/>
      <c r="C35" s="225" t="s">
        <v>193</v>
      </c>
      <c r="D35" s="225"/>
      <c r="E35" s="226" t="s">
        <v>51</v>
      </c>
      <c r="F35" s="226">
        <v>5</v>
      </c>
      <c r="G35" s="228">
        <v>1517999.9999999998</v>
      </c>
      <c r="H35" s="175">
        <f t="shared" si="1"/>
        <v>7589999.9999999991</v>
      </c>
      <c r="I35" s="38" t="s">
        <v>200</v>
      </c>
    </row>
    <row r="36" spans="1:9" ht="15.95" customHeight="1">
      <c r="A36" s="497"/>
      <c r="B36" s="218"/>
      <c r="C36" s="225" t="s">
        <v>482</v>
      </c>
      <c r="D36" s="225"/>
      <c r="E36" s="226" t="s">
        <v>51</v>
      </c>
      <c r="F36" s="226">
        <v>1</v>
      </c>
      <c r="G36" s="228">
        <v>1242000</v>
      </c>
      <c r="H36" s="175">
        <f t="shared" si="1"/>
        <v>1242000</v>
      </c>
      <c r="I36" s="38" t="s">
        <v>325</v>
      </c>
    </row>
    <row r="37" spans="1:9" ht="15.95" customHeight="1">
      <c r="A37" s="497"/>
      <c r="B37" s="218"/>
      <c r="C37" s="225" t="s">
        <v>193</v>
      </c>
      <c r="D37" s="225"/>
      <c r="E37" s="226" t="s">
        <v>51</v>
      </c>
      <c r="F37" s="226">
        <v>1</v>
      </c>
      <c r="G37" s="228">
        <v>1380000</v>
      </c>
      <c r="H37" s="175">
        <f t="shared" si="1"/>
        <v>1380000</v>
      </c>
      <c r="I37" s="38" t="s">
        <v>200</v>
      </c>
    </row>
    <row r="38" spans="1:9" ht="15.95" customHeight="1">
      <c r="A38" s="497"/>
      <c r="B38" s="218"/>
      <c r="C38" s="225" t="s">
        <v>482</v>
      </c>
      <c r="D38" s="225"/>
      <c r="E38" s="226" t="s">
        <v>51</v>
      </c>
      <c r="F38" s="226">
        <v>1</v>
      </c>
      <c r="G38" s="228">
        <v>655500</v>
      </c>
      <c r="H38" s="175">
        <f t="shared" si="1"/>
        <v>655500</v>
      </c>
      <c r="I38" s="38" t="s">
        <v>325</v>
      </c>
    </row>
    <row r="39" spans="1:9" ht="15.95" customHeight="1">
      <c r="A39" s="497"/>
      <c r="B39" s="218"/>
      <c r="C39" s="225" t="s">
        <v>250</v>
      </c>
      <c r="D39" s="225" t="s">
        <v>338</v>
      </c>
      <c r="E39" s="226" t="s">
        <v>51</v>
      </c>
      <c r="F39" s="226">
        <v>1</v>
      </c>
      <c r="G39" s="228">
        <v>1655999.9999999998</v>
      </c>
      <c r="H39" s="175">
        <f t="shared" si="1"/>
        <v>1655999.9999999998</v>
      </c>
      <c r="I39" s="38" t="s">
        <v>253</v>
      </c>
    </row>
    <row r="40" spans="1:9" ht="15.95" customHeight="1">
      <c r="A40" s="497"/>
      <c r="B40" s="218"/>
      <c r="C40" s="225" t="s">
        <v>259</v>
      </c>
      <c r="D40" s="225" t="s">
        <v>339</v>
      </c>
      <c r="E40" s="226" t="s">
        <v>51</v>
      </c>
      <c r="F40" s="226">
        <v>1</v>
      </c>
      <c r="G40" s="228">
        <v>690000</v>
      </c>
      <c r="H40" s="175">
        <f t="shared" si="1"/>
        <v>690000</v>
      </c>
      <c r="I40" s="38" t="s">
        <v>203</v>
      </c>
    </row>
    <row r="41" spans="1:9" ht="15.95" customHeight="1">
      <c r="A41" s="497"/>
      <c r="B41" s="218"/>
      <c r="C41" s="225" t="s">
        <v>354</v>
      </c>
      <c r="D41" s="225"/>
      <c r="E41" s="226" t="s">
        <v>51</v>
      </c>
      <c r="F41" s="227">
        <v>2</v>
      </c>
      <c r="G41" s="228">
        <v>690000</v>
      </c>
      <c r="H41" s="175">
        <f t="shared" si="1"/>
        <v>1380000</v>
      </c>
      <c r="I41" s="38" t="s">
        <v>203</v>
      </c>
    </row>
    <row r="42" spans="1:9" ht="15.95" customHeight="1">
      <c r="A42" s="497"/>
      <c r="B42" s="218"/>
      <c r="C42" s="225" t="s">
        <v>453</v>
      </c>
      <c r="D42" s="225"/>
      <c r="E42" s="226" t="s">
        <v>542</v>
      </c>
      <c r="F42" s="227">
        <v>1</v>
      </c>
      <c r="G42" s="228">
        <v>552000</v>
      </c>
      <c r="H42" s="175">
        <v>552000</v>
      </c>
      <c r="I42" s="38" t="s">
        <v>554</v>
      </c>
    </row>
    <row r="43" spans="1:9" ht="15.95" customHeight="1">
      <c r="A43" s="497"/>
      <c r="B43" s="218"/>
      <c r="C43" s="225" t="s">
        <v>417</v>
      </c>
      <c r="D43" s="225"/>
      <c r="E43" s="226" t="s">
        <v>542</v>
      </c>
      <c r="F43" s="227">
        <v>1</v>
      </c>
      <c r="G43" s="228">
        <v>241499.99999999997</v>
      </c>
      <c r="H43" s="175">
        <v>241499.99999999997</v>
      </c>
      <c r="I43" s="38" t="s">
        <v>554</v>
      </c>
    </row>
    <row r="44" spans="1:9" ht="15.95" customHeight="1">
      <c r="A44" s="497"/>
      <c r="B44" s="218"/>
      <c r="C44" s="225" t="s">
        <v>500</v>
      </c>
      <c r="D44" s="225"/>
      <c r="E44" s="226" t="s">
        <v>542</v>
      </c>
      <c r="F44" s="227">
        <v>1</v>
      </c>
      <c r="G44" s="228">
        <v>827999.99999999988</v>
      </c>
      <c r="H44" s="175">
        <v>827999.99999999988</v>
      </c>
      <c r="I44" s="38" t="s">
        <v>323</v>
      </c>
    </row>
    <row r="45" spans="1:9" ht="15.95" customHeight="1">
      <c r="A45" s="497"/>
      <c r="B45" s="218"/>
      <c r="C45" s="225" t="s">
        <v>568</v>
      </c>
      <c r="D45" s="225"/>
      <c r="E45" s="226" t="s">
        <v>542</v>
      </c>
      <c r="F45" s="227">
        <v>1</v>
      </c>
      <c r="G45" s="228">
        <v>413999.99999999994</v>
      </c>
      <c r="H45" s="175">
        <v>413999.99999999994</v>
      </c>
      <c r="I45" s="38" t="s">
        <v>554</v>
      </c>
    </row>
    <row r="46" spans="1:9" ht="15.95" customHeight="1">
      <c r="A46" s="497"/>
      <c r="B46" s="218"/>
      <c r="C46" s="225" t="s">
        <v>569</v>
      </c>
      <c r="D46" s="225"/>
      <c r="E46" s="226" t="s">
        <v>542</v>
      </c>
      <c r="F46" s="227">
        <v>1</v>
      </c>
      <c r="G46" s="228">
        <v>276000</v>
      </c>
      <c r="H46" s="175">
        <v>276000</v>
      </c>
      <c r="I46" s="38" t="s">
        <v>554</v>
      </c>
    </row>
    <row r="47" spans="1:9" ht="15.95" customHeight="1">
      <c r="A47" s="497"/>
      <c r="B47" s="218"/>
      <c r="C47" s="225" t="s">
        <v>501</v>
      </c>
      <c r="D47" s="225"/>
      <c r="E47" s="226" t="s">
        <v>542</v>
      </c>
      <c r="F47" s="227">
        <v>1</v>
      </c>
      <c r="G47" s="228">
        <v>276000</v>
      </c>
      <c r="H47" s="175">
        <v>276000</v>
      </c>
      <c r="I47" s="38" t="s">
        <v>554</v>
      </c>
    </row>
    <row r="48" spans="1:9" ht="15.95" customHeight="1">
      <c r="A48" s="497"/>
      <c r="B48" s="218"/>
      <c r="C48" s="225" t="s">
        <v>488</v>
      </c>
      <c r="D48" s="225"/>
      <c r="E48" s="226" t="s">
        <v>542</v>
      </c>
      <c r="F48" s="227">
        <v>1</v>
      </c>
      <c r="G48" s="228">
        <v>276000</v>
      </c>
      <c r="H48" s="175">
        <v>276000</v>
      </c>
      <c r="I48" s="38" t="s">
        <v>554</v>
      </c>
    </row>
    <row r="49" spans="1:9" ht="15.95" customHeight="1">
      <c r="A49" s="497"/>
      <c r="B49" s="218"/>
      <c r="C49" s="225" t="s">
        <v>502</v>
      </c>
      <c r="D49" s="225"/>
      <c r="E49" s="226" t="s">
        <v>542</v>
      </c>
      <c r="F49" s="227">
        <v>1</v>
      </c>
      <c r="G49" s="228">
        <v>345000</v>
      </c>
      <c r="H49" s="175">
        <v>345000</v>
      </c>
      <c r="I49" s="38" t="s">
        <v>350</v>
      </c>
    </row>
    <row r="50" spans="1:9" ht="15.95" customHeight="1">
      <c r="A50" s="497"/>
      <c r="B50" s="218"/>
      <c r="C50" s="225" t="s">
        <v>478</v>
      </c>
      <c r="D50" s="225"/>
      <c r="E50" s="226" t="s">
        <v>542</v>
      </c>
      <c r="F50" s="227">
        <v>1</v>
      </c>
      <c r="G50" s="228">
        <v>276000</v>
      </c>
      <c r="H50" s="175">
        <v>276000</v>
      </c>
      <c r="I50" s="38" t="s">
        <v>197</v>
      </c>
    </row>
    <row r="51" spans="1:9" ht="15.95" customHeight="1">
      <c r="A51" s="497"/>
      <c r="B51" s="218"/>
      <c r="C51" s="225" t="s">
        <v>570</v>
      </c>
      <c r="D51" s="225"/>
      <c r="E51" s="226" t="s">
        <v>542</v>
      </c>
      <c r="F51" s="227">
        <v>1</v>
      </c>
      <c r="G51" s="228">
        <v>413999.99999999994</v>
      </c>
      <c r="H51" s="175">
        <v>413999.99999999994</v>
      </c>
      <c r="I51" s="38" t="s">
        <v>197</v>
      </c>
    </row>
    <row r="52" spans="1:9" ht="15.95" customHeight="1">
      <c r="A52" s="497"/>
      <c r="B52" s="218"/>
      <c r="C52" s="225" t="s">
        <v>479</v>
      </c>
      <c r="D52" s="225"/>
      <c r="E52" s="226" t="s">
        <v>542</v>
      </c>
      <c r="F52" s="227">
        <v>1</v>
      </c>
      <c r="G52" s="228">
        <v>655500</v>
      </c>
      <c r="H52" s="175">
        <v>655500</v>
      </c>
      <c r="I52" s="38" t="s">
        <v>197</v>
      </c>
    </row>
    <row r="53" spans="1:9" ht="15.95" customHeight="1">
      <c r="A53" s="497"/>
      <c r="B53" s="218"/>
      <c r="C53" s="225" t="s">
        <v>480</v>
      </c>
      <c r="D53" s="225"/>
      <c r="E53" s="226" t="s">
        <v>542</v>
      </c>
      <c r="F53" s="227">
        <v>1</v>
      </c>
      <c r="G53" s="228">
        <v>1931999.9999999998</v>
      </c>
      <c r="H53" s="175">
        <v>1931999.9999999998</v>
      </c>
      <c r="I53" s="38" t="s">
        <v>197</v>
      </c>
    </row>
    <row r="54" spans="1:9" ht="15.95" customHeight="1">
      <c r="A54" s="497"/>
      <c r="B54" s="218"/>
      <c r="C54" s="225"/>
      <c r="D54" s="225"/>
      <c r="E54" s="226"/>
      <c r="F54" s="227"/>
      <c r="G54" s="228"/>
      <c r="H54" s="175">
        <f t="shared" ref="H54:H59" si="2">IF(F54=0,G54,G54*F54)</f>
        <v>0</v>
      </c>
      <c r="I54" s="38"/>
    </row>
    <row r="55" spans="1:9" ht="15.95" customHeight="1">
      <c r="A55" s="497"/>
      <c r="B55" s="218"/>
      <c r="C55" s="225"/>
      <c r="D55" s="225"/>
      <c r="E55" s="225"/>
      <c r="F55" s="228"/>
      <c r="G55" s="228"/>
      <c r="H55" s="175">
        <f t="shared" si="2"/>
        <v>0</v>
      </c>
      <c r="I55" s="38"/>
    </row>
    <row r="56" spans="1:9" ht="15.95" customHeight="1">
      <c r="A56" s="497"/>
      <c r="B56" s="218"/>
      <c r="C56" s="225"/>
      <c r="D56" s="225"/>
      <c r="E56" s="225"/>
      <c r="F56" s="228"/>
      <c r="G56" s="228"/>
      <c r="H56" s="175">
        <f t="shared" si="2"/>
        <v>0</v>
      </c>
      <c r="I56" s="38"/>
    </row>
    <row r="57" spans="1:9" ht="15.95" customHeight="1">
      <c r="A57" s="497"/>
      <c r="B57" s="218"/>
      <c r="C57" s="225"/>
      <c r="D57" s="225"/>
      <c r="E57" s="225"/>
      <c r="F57" s="228"/>
      <c r="G57" s="228"/>
      <c r="H57" s="175">
        <f t="shared" si="2"/>
        <v>0</v>
      </c>
      <c r="I57" s="38"/>
    </row>
    <row r="58" spans="1:9" ht="15.95" customHeight="1">
      <c r="A58" s="497"/>
      <c r="B58" s="218"/>
      <c r="C58" s="225"/>
      <c r="D58" s="225"/>
      <c r="E58" s="225"/>
      <c r="F58" s="228"/>
      <c r="G58" s="228"/>
      <c r="H58" s="175">
        <f t="shared" si="2"/>
        <v>0</v>
      </c>
      <c r="I58" s="38"/>
    </row>
    <row r="59" spans="1:9" ht="15.95" customHeight="1">
      <c r="A59" s="497"/>
      <c r="B59" s="218"/>
      <c r="C59" s="225"/>
      <c r="D59" s="225"/>
      <c r="E59" s="225"/>
      <c r="F59" s="228"/>
      <c r="G59" s="228"/>
      <c r="H59" s="175">
        <f t="shared" si="2"/>
        <v>0</v>
      </c>
      <c r="I59" s="38"/>
    </row>
    <row r="60" spans="1:9" ht="15.95" customHeight="1">
      <c r="A60" s="497"/>
      <c r="B60" s="218"/>
      <c r="C60" s="225"/>
      <c r="D60" s="225"/>
      <c r="E60" s="225"/>
      <c r="F60" s="228"/>
      <c r="G60" s="228"/>
      <c r="H60" s="175">
        <f t="shared" si="0"/>
        <v>0</v>
      </c>
      <c r="I60" s="38"/>
    </row>
    <row r="61" spans="1:9" ht="15.95" customHeight="1">
      <c r="A61" s="497"/>
      <c r="B61" s="218"/>
      <c r="C61" s="225"/>
      <c r="D61" s="225"/>
      <c r="E61" s="225"/>
      <c r="F61" s="228"/>
      <c r="G61" s="228"/>
      <c r="H61" s="175">
        <f t="shared" si="0"/>
        <v>0</v>
      </c>
      <c r="I61" s="38"/>
    </row>
    <row r="62" spans="1:9" ht="15.95" customHeight="1">
      <c r="A62" s="497"/>
      <c r="B62" s="218"/>
      <c r="C62" s="229" t="s">
        <v>132</v>
      </c>
      <c r="D62" s="230"/>
      <c r="E62" s="230" t="s">
        <v>133</v>
      </c>
      <c r="F62" s="231"/>
      <c r="G62" s="232"/>
      <c r="H62" s="185">
        <f t="shared" si="0"/>
        <v>0</v>
      </c>
      <c r="I62" s="233"/>
    </row>
    <row r="63" spans="1:9" ht="15.95" customHeight="1">
      <c r="A63" s="497"/>
      <c r="B63" s="234"/>
      <c r="C63" s="235"/>
      <c r="D63" s="236"/>
      <c r="E63" s="236"/>
      <c r="F63" s="238"/>
      <c r="G63" s="238"/>
      <c r="H63" s="239">
        <f>SUM(H25:H62)</f>
        <v>38144580</v>
      </c>
      <c r="I63" s="240"/>
    </row>
    <row r="64" spans="1:9" ht="15.95" customHeight="1">
      <c r="A64" s="497"/>
      <c r="B64" s="261" t="s">
        <v>53</v>
      </c>
      <c r="C64" s="225"/>
      <c r="D64" s="307"/>
      <c r="E64" s="307"/>
      <c r="F64" s="310"/>
      <c r="G64" s="228"/>
      <c r="H64" s="246">
        <f t="shared" si="0"/>
        <v>0</v>
      </c>
      <c r="I64" s="247"/>
    </row>
    <row r="65" spans="1:9" ht="15.95" customHeight="1">
      <c r="A65" s="497"/>
      <c r="B65" s="218"/>
      <c r="C65" s="225"/>
      <c r="D65" s="307"/>
      <c r="E65" s="307"/>
      <c r="F65" s="310"/>
      <c r="G65" s="228"/>
      <c r="H65" s="175">
        <f t="shared" si="0"/>
        <v>0</v>
      </c>
      <c r="I65" s="38"/>
    </row>
    <row r="66" spans="1:9" ht="15.95" customHeight="1">
      <c r="A66" s="497"/>
      <c r="B66" s="218"/>
      <c r="C66" s="225"/>
      <c r="D66" s="307"/>
      <c r="E66" s="307"/>
      <c r="F66" s="310"/>
      <c r="G66" s="228"/>
      <c r="H66" s="175">
        <f t="shared" si="0"/>
        <v>0</v>
      </c>
      <c r="I66" s="38"/>
    </row>
    <row r="67" spans="1:9" ht="15.95" customHeight="1">
      <c r="A67" s="497"/>
      <c r="B67" s="218"/>
      <c r="C67" s="225"/>
      <c r="D67" s="225"/>
      <c r="E67" s="225"/>
      <c r="F67" s="228"/>
      <c r="G67" s="228"/>
      <c r="H67" s="175">
        <f t="shared" si="0"/>
        <v>0</v>
      </c>
      <c r="I67" s="38"/>
    </row>
    <row r="68" spans="1:9" ht="15.95" customHeight="1">
      <c r="A68" s="497"/>
      <c r="B68" s="218"/>
      <c r="C68" s="225"/>
      <c r="D68" s="225"/>
      <c r="E68" s="225"/>
      <c r="F68" s="228"/>
      <c r="G68" s="228"/>
      <c r="H68" s="175">
        <f t="shared" si="0"/>
        <v>0</v>
      </c>
      <c r="I68" s="38"/>
    </row>
    <row r="69" spans="1:9" ht="15.95" customHeight="1">
      <c r="A69" s="497"/>
      <c r="B69" s="218"/>
      <c r="C69" s="225"/>
      <c r="D69" s="225"/>
      <c r="E69" s="225"/>
      <c r="F69" s="228"/>
      <c r="G69" s="228"/>
      <c r="H69" s="175">
        <f t="shared" si="0"/>
        <v>0</v>
      </c>
      <c r="I69" s="38"/>
    </row>
    <row r="70" spans="1:9" ht="15.95" customHeight="1">
      <c r="A70" s="497"/>
      <c r="B70" s="218"/>
      <c r="C70" s="229" t="s">
        <v>132</v>
      </c>
      <c r="D70" s="229"/>
      <c r="E70" s="230" t="s">
        <v>133</v>
      </c>
      <c r="F70" s="231"/>
      <c r="G70" s="232"/>
      <c r="H70" s="185">
        <f t="shared" si="0"/>
        <v>0</v>
      </c>
      <c r="I70" s="233"/>
    </row>
    <row r="71" spans="1:9" ht="15.95" customHeight="1">
      <c r="A71" s="497"/>
      <c r="B71" s="234"/>
      <c r="C71" s="235"/>
      <c r="D71" s="236"/>
      <c r="E71" s="236"/>
      <c r="F71" s="238"/>
      <c r="G71" s="238"/>
      <c r="H71" s="239">
        <f>SUM(H64:H70)</f>
        <v>0</v>
      </c>
      <c r="I71" s="240"/>
    </row>
    <row r="72" spans="1:9" ht="15.95" customHeight="1">
      <c r="A72" s="281"/>
      <c r="B72" s="282" t="s">
        <v>135</v>
      </c>
      <c r="C72" s="283"/>
      <c r="D72" s="240"/>
      <c r="E72" s="240"/>
      <c r="F72" s="285"/>
      <c r="G72" s="285"/>
      <c r="H72" s="239">
        <f>SUM(H71,H63,H24,H18)</f>
        <v>143892580</v>
      </c>
      <c r="I72" s="240"/>
    </row>
    <row r="73" spans="1:9" ht="15.95" customHeight="1">
      <c r="A73" s="498" t="s">
        <v>136</v>
      </c>
      <c r="B73" s="286" t="s">
        <v>59</v>
      </c>
      <c r="C73" s="283"/>
      <c r="D73" s="240"/>
      <c r="E73" s="286" t="s">
        <v>60</v>
      </c>
      <c r="F73" s="303"/>
      <c r="G73" s="289"/>
      <c r="H73" s="290">
        <f>F73*G73</f>
        <v>0</v>
      </c>
      <c r="I73" s="240"/>
    </row>
    <row r="74" spans="1:9" ht="15.95" customHeight="1">
      <c r="A74" s="497"/>
      <c r="B74" s="291" t="s">
        <v>154</v>
      </c>
      <c r="C74" s="292"/>
      <c r="D74" s="247"/>
      <c r="E74" s="296" t="s">
        <v>138</v>
      </c>
      <c r="F74" s="245"/>
      <c r="G74" s="245"/>
      <c r="H74" s="246">
        <f t="shared" ref="H74:H80" si="3">F74*G74</f>
        <v>0</v>
      </c>
      <c r="I74" s="247"/>
    </row>
    <row r="75" spans="1:9" ht="15.95" customHeight="1">
      <c r="A75" s="497"/>
      <c r="B75" s="324" t="s">
        <v>155</v>
      </c>
      <c r="C75" s="295"/>
      <c r="D75" s="38"/>
      <c r="E75" s="296" t="s">
        <v>138</v>
      </c>
      <c r="F75" s="228"/>
      <c r="G75" s="228"/>
      <c r="H75" s="175">
        <f t="shared" si="3"/>
        <v>0</v>
      </c>
      <c r="I75" s="38"/>
    </row>
    <row r="76" spans="1:9" ht="15.95" customHeight="1">
      <c r="A76" s="497"/>
      <c r="B76" s="294" t="s">
        <v>156</v>
      </c>
      <c r="C76" s="295"/>
      <c r="D76" s="38"/>
      <c r="E76" s="296" t="s">
        <v>138</v>
      </c>
      <c r="F76" s="228"/>
      <c r="G76" s="228"/>
      <c r="H76" s="175">
        <f t="shared" si="3"/>
        <v>0</v>
      </c>
      <c r="I76" s="38"/>
    </row>
    <row r="77" spans="1:9" ht="15.95" customHeight="1">
      <c r="A77" s="497"/>
      <c r="B77" s="294" t="s">
        <v>157</v>
      </c>
      <c r="C77" s="295"/>
      <c r="D77" s="38"/>
      <c r="E77" s="296" t="s">
        <v>138</v>
      </c>
      <c r="F77" s="228"/>
      <c r="G77" s="228"/>
      <c r="H77" s="175">
        <f t="shared" si="3"/>
        <v>0</v>
      </c>
      <c r="I77" s="38"/>
    </row>
    <row r="78" spans="1:9" ht="15.95" customHeight="1">
      <c r="A78" s="497"/>
      <c r="B78" s="294" t="s">
        <v>158</v>
      </c>
      <c r="C78" s="295"/>
      <c r="D78" s="38"/>
      <c r="E78" s="296" t="s">
        <v>138</v>
      </c>
      <c r="F78" s="228"/>
      <c r="G78" s="228"/>
      <c r="H78" s="175">
        <f t="shared" si="3"/>
        <v>0</v>
      </c>
      <c r="I78" s="38"/>
    </row>
    <row r="79" spans="1:9" ht="15.95" customHeight="1">
      <c r="A79" s="497"/>
      <c r="B79" s="294" t="s">
        <v>159</v>
      </c>
      <c r="C79" s="295"/>
      <c r="D79" s="38"/>
      <c r="E79" s="296" t="s">
        <v>138</v>
      </c>
      <c r="F79" s="228"/>
      <c r="G79" s="228"/>
      <c r="H79" s="175">
        <f t="shared" si="3"/>
        <v>0</v>
      </c>
      <c r="I79" s="38"/>
    </row>
    <row r="80" spans="1:9" ht="15.95" customHeight="1">
      <c r="A80" s="497"/>
      <c r="B80" s="297" t="s">
        <v>163</v>
      </c>
      <c r="C80" s="298"/>
      <c r="D80" s="233"/>
      <c r="E80" s="299" t="s">
        <v>138</v>
      </c>
      <c r="F80" s="232"/>
      <c r="G80" s="232"/>
      <c r="H80" s="185">
        <f t="shared" si="3"/>
        <v>0</v>
      </c>
      <c r="I80" s="233"/>
    </row>
    <row r="81" spans="1:9" ht="15.95" customHeight="1">
      <c r="A81" s="281"/>
      <c r="B81" s="300" t="s">
        <v>144</v>
      </c>
      <c r="C81" s="283"/>
      <c r="D81" s="240"/>
      <c r="E81" s="240"/>
      <c r="F81" s="238"/>
      <c r="G81" s="238"/>
      <c r="H81" s="238">
        <f>SUM(H73:H80)</f>
        <v>0</v>
      </c>
      <c r="I81" s="236"/>
    </row>
    <row r="82" spans="1:9" ht="15.95" customHeight="1">
      <c r="A82" s="287"/>
      <c r="B82" s="300" t="s">
        <v>85</v>
      </c>
      <c r="C82" s="283"/>
      <c r="D82" s="240"/>
      <c r="E82" s="240"/>
      <c r="F82" s="239"/>
      <c r="G82" s="302"/>
      <c r="H82" s="303">
        <f>(H81+H72)*0.05</f>
        <v>7194629</v>
      </c>
      <c r="I82" s="283"/>
    </row>
    <row r="83" spans="1:9" ht="15.95" customHeight="1">
      <c r="A83" s="287"/>
      <c r="B83" s="300" t="s">
        <v>147</v>
      </c>
      <c r="C83" s="283"/>
      <c r="D83" s="240"/>
      <c r="E83" s="240"/>
      <c r="F83" s="239"/>
      <c r="G83" s="302"/>
      <c r="H83" s="303">
        <f>(H81+H72)*0.1</f>
        <v>14389258</v>
      </c>
      <c r="I83" s="283"/>
    </row>
    <row r="84" spans="1:9" ht="15.95" customHeight="1">
      <c r="A84" s="287"/>
      <c r="B84" s="300" t="s">
        <v>148</v>
      </c>
      <c r="C84" s="283"/>
      <c r="D84" s="240"/>
      <c r="E84" s="240"/>
      <c r="F84" s="239"/>
      <c r="G84" s="239"/>
      <c r="H84" s="238">
        <f>H71+H80+H81+H82+H83</f>
        <v>21583887</v>
      </c>
      <c r="I84" s="240"/>
    </row>
    <row r="85" spans="1:9">
      <c r="A85" s="136"/>
    </row>
  </sheetData>
  <mergeCells count="3">
    <mergeCell ref="A2:B2"/>
    <mergeCell ref="A3:A71"/>
    <mergeCell ref="A73:A8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DFC3-58A7-4D6D-B6B6-75B015FCEE2D}">
  <sheetPr>
    <tabColor rgb="FF00B050"/>
    <pageSetUpPr fitToPage="1"/>
  </sheetPr>
  <dimension ref="A1:I93"/>
  <sheetViews>
    <sheetView zoomScale="85" workbookViewId="0">
      <pane xSplit="2" ySplit="2" topLeftCell="C18" activePane="bottomRight" state="frozen"/>
      <selection activeCell="W63" sqref="W63"/>
      <selection pane="topRight" activeCell="W63" sqref="W63"/>
      <selection pane="bottomLeft" activeCell="W63" sqref="W63"/>
      <selection pane="bottomRight" activeCell="O66" sqref="O66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32.125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41" width="9" style="130"/>
    <col min="242" max="242" width="5" style="130" customWidth="1"/>
    <col min="243" max="243" width="17.875" style="130" bestFit="1" customWidth="1"/>
    <col min="244" max="244" width="23.625" style="130" customWidth="1"/>
    <col min="245" max="245" width="18.25" style="130" customWidth="1"/>
    <col min="246" max="246" width="5.25" style="130" bestFit="1" customWidth="1"/>
    <col min="247" max="247" width="9" style="130"/>
    <col min="248" max="248" width="11.875" style="130" customWidth="1"/>
    <col min="249" max="249" width="13.625" style="130" customWidth="1"/>
    <col min="250" max="250" width="12.75" style="130" customWidth="1"/>
    <col min="251" max="497" width="9" style="130"/>
    <col min="498" max="498" width="5" style="130" customWidth="1"/>
    <col min="499" max="499" width="17.875" style="130" bestFit="1" customWidth="1"/>
    <col min="500" max="500" width="23.625" style="130" customWidth="1"/>
    <col min="501" max="501" width="18.25" style="130" customWidth="1"/>
    <col min="502" max="502" width="5.25" style="130" bestFit="1" customWidth="1"/>
    <col min="503" max="503" width="9" style="130"/>
    <col min="504" max="504" width="11.875" style="130" customWidth="1"/>
    <col min="505" max="505" width="13.625" style="130" customWidth="1"/>
    <col min="506" max="506" width="12.75" style="130" customWidth="1"/>
    <col min="507" max="753" width="9" style="130"/>
    <col min="754" max="754" width="5" style="130" customWidth="1"/>
    <col min="755" max="755" width="17.875" style="130" bestFit="1" customWidth="1"/>
    <col min="756" max="756" width="23.625" style="130" customWidth="1"/>
    <col min="757" max="757" width="18.25" style="130" customWidth="1"/>
    <col min="758" max="758" width="5.25" style="130" bestFit="1" customWidth="1"/>
    <col min="759" max="759" width="9" style="130"/>
    <col min="760" max="760" width="11.875" style="130" customWidth="1"/>
    <col min="761" max="761" width="13.625" style="130" customWidth="1"/>
    <col min="762" max="762" width="12.75" style="130" customWidth="1"/>
    <col min="763" max="1009" width="9" style="130"/>
    <col min="1010" max="1010" width="5" style="130" customWidth="1"/>
    <col min="1011" max="1011" width="17.875" style="130" bestFit="1" customWidth="1"/>
    <col min="1012" max="1012" width="23.625" style="130" customWidth="1"/>
    <col min="1013" max="1013" width="18.25" style="130" customWidth="1"/>
    <col min="1014" max="1014" width="5.25" style="130" bestFit="1" customWidth="1"/>
    <col min="1015" max="1015" width="9" style="130"/>
    <col min="1016" max="1016" width="11.875" style="130" customWidth="1"/>
    <col min="1017" max="1017" width="13.625" style="130" customWidth="1"/>
    <col min="1018" max="1018" width="12.75" style="130" customWidth="1"/>
    <col min="1019" max="1265" width="9" style="130"/>
    <col min="1266" max="1266" width="5" style="130" customWidth="1"/>
    <col min="1267" max="1267" width="17.875" style="130" bestFit="1" customWidth="1"/>
    <col min="1268" max="1268" width="23.625" style="130" customWidth="1"/>
    <col min="1269" max="1269" width="18.25" style="130" customWidth="1"/>
    <col min="1270" max="1270" width="5.25" style="130" bestFit="1" customWidth="1"/>
    <col min="1271" max="1271" width="9" style="130"/>
    <col min="1272" max="1272" width="11.875" style="130" customWidth="1"/>
    <col min="1273" max="1273" width="13.625" style="130" customWidth="1"/>
    <col min="1274" max="1274" width="12.75" style="130" customWidth="1"/>
    <col min="1275" max="1521" width="9" style="130"/>
    <col min="1522" max="1522" width="5" style="130" customWidth="1"/>
    <col min="1523" max="1523" width="17.875" style="130" bestFit="1" customWidth="1"/>
    <col min="1524" max="1524" width="23.625" style="130" customWidth="1"/>
    <col min="1525" max="1525" width="18.25" style="130" customWidth="1"/>
    <col min="1526" max="1526" width="5.25" style="130" bestFit="1" customWidth="1"/>
    <col min="1527" max="1527" width="9" style="130"/>
    <col min="1528" max="1528" width="11.875" style="130" customWidth="1"/>
    <col min="1529" max="1529" width="13.625" style="130" customWidth="1"/>
    <col min="1530" max="1530" width="12.75" style="130" customWidth="1"/>
    <col min="1531" max="1777" width="9" style="130"/>
    <col min="1778" max="1778" width="5" style="130" customWidth="1"/>
    <col min="1779" max="1779" width="17.875" style="130" bestFit="1" customWidth="1"/>
    <col min="1780" max="1780" width="23.625" style="130" customWidth="1"/>
    <col min="1781" max="1781" width="18.25" style="130" customWidth="1"/>
    <col min="1782" max="1782" width="5.25" style="130" bestFit="1" customWidth="1"/>
    <col min="1783" max="1783" width="9" style="130"/>
    <col min="1784" max="1784" width="11.875" style="130" customWidth="1"/>
    <col min="1785" max="1785" width="13.625" style="130" customWidth="1"/>
    <col min="1786" max="1786" width="12.75" style="130" customWidth="1"/>
    <col min="1787" max="2033" width="9" style="130"/>
    <col min="2034" max="2034" width="5" style="130" customWidth="1"/>
    <col min="2035" max="2035" width="17.875" style="130" bestFit="1" customWidth="1"/>
    <col min="2036" max="2036" width="23.625" style="130" customWidth="1"/>
    <col min="2037" max="2037" width="18.25" style="130" customWidth="1"/>
    <col min="2038" max="2038" width="5.25" style="130" bestFit="1" customWidth="1"/>
    <col min="2039" max="2039" width="9" style="130"/>
    <col min="2040" max="2040" width="11.875" style="130" customWidth="1"/>
    <col min="2041" max="2041" width="13.625" style="130" customWidth="1"/>
    <col min="2042" max="2042" width="12.75" style="130" customWidth="1"/>
    <col min="2043" max="2289" width="9" style="130"/>
    <col min="2290" max="2290" width="5" style="130" customWidth="1"/>
    <col min="2291" max="2291" width="17.875" style="130" bestFit="1" customWidth="1"/>
    <col min="2292" max="2292" width="23.625" style="130" customWidth="1"/>
    <col min="2293" max="2293" width="18.25" style="130" customWidth="1"/>
    <col min="2294" max="2294" width="5.25" style="130" bestFit="1" customWidth="1"/>
    <col min="2295" max="2295" width="9" style="130"/>
    <col min="2296" max="2296" width="11.875" style="130" customWidth="1"/>
    <col min="2297" max="2297" width="13.625" style="130" customWidth="1"/>
    <col min="2298" max="2298" width="12.75" style="130" customWidth="1"/>
    <col min="2299" max="2545" width="9" style="130"/>
    <col min="2546" max="2546" width="5" style="130" customWidth="1"/>
    <col min="2547" max="2547" width="17.875" style="130" bestFit="1" customWidth="1"/>
    <col min="2548" max="2548" width="23.625" style="130" customWidth="1"/>
    <col min="2549" max="2549" width="18.25" style="130" customWidth="1"/>
    <col min="2550" max="2550" width="5.25" style="130" bestFit="1" customWidth="1"/>
    <col min="2551" max="2551" width="9" style="130"/>
    <col min="2552" max="2552" width="11.875" style="130" customWidth="1"/>
    <col min="2553" max="2553" width="13.625" style="130" customWidth="1"/>
    <col min="2554" max="2554" width="12.75" style="130" customWidth="1"/>
    <col min="2555" max="2801" width="9" style="130"/>
    <col min="2802" max="2802" width="5" style="130" customWidth="1"/>
    <col min="2803" max="2803" width="17.875" style="130" bestFit="1" customWidth="1"/>
    <col min="2804" max="2804" width="23.625" style="130" customWidth="1"/>
    <col min="2805" max="2805" width="18.25" style="130" customWidth="1"/>
    <col min="2806" max="2806" width="5.25" style="130" bestFit="1" customWidth="1"/>
    <col min="2807" max="2807" width="9" style="130"/>
    <col min="2808" max="2808" width="11.875" style="130" customWidth="1"/>
    <col min="2809" max="2809" width="13.625" style="130" customWidth="1"/>
    <col min="2810" max="2810" width="12.75" style="130" customWidth="1"/>
    <col min="2811" max="3057" width="9" style="130"/>
    <col min="3058" max="3058" width="5" style="130" customWidth="1"/>
    <col min="3059" max="3059" width="17.875" style="130" bestFit="1" customWidth="1"/>
    <col min="3060" max="3060" width="23.625" style="130" customWidth="1"/>
    <col min="3061" max="3061" width="18.25" style="130" customWidth="1"/>
    <col min="3062" max="3062" width="5.25" style="130" bestFit="1" customWidth="1"/>
    <col min="3063" max="3063" width="9" style="130"/>
    <col min="3064" max="3064" width="11.875" style="130" customWidth="1"/>
    <col min="3065" max="3065" width="13.625" style="130" customWidth="1"/>
    <col min="3066" max="3066" width="12.75" style="130" customWidth="1"/>
    <col min="3067" max="3313" width="9" style="130"/>
    <col min="3314" max="3314" width="5" style="130" customWidth="1"/>
    <col min="3315" max="3315" width="17.875" style="130" bestFit="1" customWidth="1"/>
    <col min="3316" max="3316" width="23.625" style="130" customWidth="1"/>
    <col min="3317" max="3317" width="18.25" style="130" customWidth="1"/>
    <col min="3318" max="3318" width="5.25" style="130" bestFit="1" customWidth="1"/>
    <col min="3319" max="3319" width="9" style="130"/>
    <col min="3320" max="3320" width="11.875" style="130" customWidth="1"/>
    <col min="3321" max="3321" width="13.625" style="130" customWidth="1"/>
    <col min="3322" max="3322" width="12.75" style="130" customWidth="1"/>
    <col min="3323" max="3569" width="9" style="130"/>
    <col min="3570" max="3570" width="5" style="130" customWidth="1"/>
    <col min="3571" max="3571" width="17.875" style="130" bestFit="1" customWidth="1"/>
    <col min="3572" max="3572" width="23.625" style="130" customWidth="1"/>
    <col min="3573" max="3573" width="18.25" style="130" customWidth="1"/>
    <col min="3574" max="3574" width="5.25" style="130" bestFit="1" customWidth="1"/>
    <col min="3575" max="3575" width="9" style="130"/>
    <col min="3576" max="3576" width="11.875" style="130" customWidth="1"/>
    <col min="3577" max="3577" width="13.625" style="130" customWidth="1"/>
    <col min="3578" max="3578" width="12.75" style="130" customWidth="1"/>
    <col min="3579" max="3825" width="9" style="130"/>
    <col min="3826" max="3826" width="5" style="130" customWidth="1"/>
    <col min="3827" max="3827" width="17.875" style="130" bestFit="1" customWidth="1"/>
    <col min="3828" max="3828" width="23.625" style="130" customWidth="1"/>
    <col min="3829" max="3829" width="18.25" style="130" customWidth="1"/>
    <col min="3830" max="3830" width="5.25" style="130" bestFit="1" customWidth="1"/>
    <col min="3831" max="3831" width="9" style="130"/>
    <col min="3832" max="3832" width="11.875" style="130" customWidth="1"/>
    <col min="3833" max="3833" width="13.625" style="130" customWidth="1"/>
    <col min="3834" max="3834" width="12.75" style="130" customWidth="1"/>
    <col min="3835" max="4081" width="9" style="130"/>
    <col min="4082" max="4082" width="5" style="130" customWidth="1"/>
    <col min="4083" max="4083" width="17.875" style="130" bestFit="1" customWidth="1"/>
    <col min="4084" max="4084" width="23.625" style="130" customWidth="1"/>
    <col min="4085" max="4085" width="18.25" style="130" customWidth="1"/>
    <col min="4086" max="4086" width="5.25" style="130" bestFit="1" customWidth="1"/>
    <col min="4087" max="4087" width="9" style="130"/>
    <col min="4088" max="4088" width="11.875" style="130" customWidth="1"/>
    <col min="4089" max="4089" width="13.625" style="130" customWidth="1"/>
    <col min="4090" max="4090" width="12.75" style="130" customWidth="1"/>
    <col min="4091" max="4337" width="9" style="130"/>
    <col min="4338" max="4338" width="5" style="130" customWidth="1"/>
    <col min="4339" max="4339" width="17.875" style="130" bestFit="1" customWidth="1"/>
    <col min="4340" max="4340" width="23.625" style="130" customWidth="1"/>
    <col min="4341" max="4341" width="18.25" style="130" customWidth="1"/>
    <col min="4342" max="4342" width="5.25" style="130" bestFit="1" customWidth="1"/>
    <col min="4343" max="4343" width="9" style="130"/>
    <col min="4344" max="4344" width="11.875" style="130" customWidth="1"/>
    <col min="4345" max="4345" width="13.625" style="130" customWidth="1"/>
    <col min="4346" max="4346" width="12.75" style="130" customWidth="1"/>
    <col min="4347" max="4593" width="9" style="130"/>
    <col min="4594" max="4594" width="5" style="130" customWidth="1"/>
    <col min="4595" max="4595" width="17.875" style="130" bestFit="1" customWidth="1"/>
    <col min="4596" max="4596" width="23.625" style="130" customWidth="1"/>
    <col min="4597" max="4597" width="18.25" style="130" customWidth="1"/>
    <col min="4598" max="4598" width="5.25" style="130" bestFit="1" customWidth="1"/>
    <col min="4599" max="4599" width="9" style="130"/>
    <col min="4600" max="4600" width="11.875" style="130" customWidth="1"/>
    <col min="4601" max="4601" width="13.625" style="130" customWidth="1"/>
    <col min="4602" max="4602" width="12.75" style="130" customWidth="1"/>
    <col min="4603" max="4849" width="9" style="130"/>
    <col min="4850" max="4850" width="5" style="130" customWidth="1"/>
    <col min="4851" max="4851" width="17.875" style="130" bestFit="1" customWidth="1"/>
    <col min="4852" max="4852" width="23.625" style="130" customWidth="1"/>
    <col min="4853" max="4853" width="18.25" style="130" customWidth="1"/>
    <col min="4854" max="4854" width="5.25" style="130" bestFit="1" customWidth="1"/>
    <col min="4855" max="4855" width="9" style="130"/>
    <col min="4856" max="4856" width="11.875" style="130" customWidth="1"/>
    <col min="4857" max="4857" width="13.625" style="130" customWidth="1"/>
    <col min="4858" max="4858" width="12.75" style="130" customWidth="1"/>
    <col min="4859" max="5105" width="9" style="130"/>
    <col min="5106" max="5106" width="5" style="130" customWidth="1"/>
    <col min="5107" max="5107" width="17.875" style="130" bestFit="1" customWidth="1"/>
    <col min="5108" max="5108" width="23.625" style="130" customWidth="1"/>
    <col min="5109" max="5109" width="18.25" style="130" customWidth="1"/>
    <col min="5110" max="5110" width="5.25" style="130" bestFit="1" customWidth="1"/>
    <col min="5111" max="5111" width="9" style="130"/>
    <col min="5112" max="5112" width="11.875" style="130" customWidth="1"/>
    <col min="5113" max="5113" width="13.625" style="130" customWidth="1"/>
    <col min="5114" max="5114" width="12.75" style="130" customWidth="1"/>
    <col min="5115" max="5361" width="9" style="130"/>
    <col min="5362" max="5362" width="5" style="130" customWidth="1"/>
    <col min="5363" max="5363" width="17.875" style="130" bestFit="1" customWidth="1"/>
    <col min="5364" max="5364" width="23.625" style="130" customWidth="1"/>
    <col min="5365" max="5365" width="18.25" style="130" customWidth="1"/>
    <col min="5366" max="5366" width="5.25" style="130" bestFit="1" customWidth="1"/>
    <col min="5367" max="5367" width="9" style="130"/>
    <col min="5368" max="5368" width="11.875" style="130" customWidth="1"/>
    <col min="5369" max="5369" width="13.625" style="130" customWidth="1"/>
    <col min="5370" max="5370" width="12.75" style="130" customWidth="1"/>
    <col min="5371" max="5617" width="9" style="130"/>
    <col min="5618" max="5618" width="5" style="130" customWidth="1"/>
    <col min="5619" max="5619" width="17.875" style="130" bestFit="1" customWidth="1"/>
    <col min="5620" max="5620" width="23.625" style="130" customWidth="1"/>
    <col min="5621" max="5621" width="18.25" style="130" customWidth="1"/>
    <col min="5622" max="5622" width="5.25" style="130" bestFit="1" customWidth="1"/>
    <col min="5623" max="5623" width="9" style="130"/>
    <col min="5624" max="5624" width="11.875" style="130" customWidth="1"/>
    <col min="5625" max="5625" width="13.625" style="130" customWidth="1"/>
    <col min="5626" max="5626" width="12.75" style="130" customWidth="1"/>
    <col min="5627" max="5873" width="9" style="130"/>
    <col min="5874" max="5874" width="5" style="130" customWidth="1"/>
    <col min="5875" max="5875" width="17.875" style="130" bestFit="1" customWidth="1"/>
    <col min="5876" max="5876" width="23.625" style="130" customWidth="1"/>
    <col min="5877" max="5877" width="18.25" style="130" customWidth="1"/>
    <col min="5878" max="5878" width="5.25" style="130" bestFit="1" customWidth="1"/>
    <col min="5879" max="5879" width="9" style="130"/>
    <col min="5880" max="5880" width="11.875" style="130" customWidth="1"/>
    <col min="5881" max="5881" width="13.625" style="130" customWidth="1"/>
    <col min="5882" max="5882" width="12.75" style="130" customWidth="1"/>
    <col min="5883" max="6129" width="9" style="130"/>
    <col min="6130" max="6130" width="5" style="130" customWidth="1"/>
    <col min="6131" max="6131" width="17.875" style="130" bestFit="1" customWidth="1"/>
    <col min="6132" max="6132" width="23.625" style="130" customWidth="1"/>
    <col min="6133" max="6133" width="18.25" style="130" customWidth="1"/>
    <col min="6134" max="6134" width="5.25" style="130" bestFit="1" customWidth="1"/>
    <col min="6135" max="6135" width="9" style="130"/>
    <col min="6136" max="6136" width="11.875" style="130" customWidth="1"/>
    <col min="6137" max="6137" width="13.625" style="130" customWidth="1"/>
    <col min="6138" max="6138" width="12.75" style="130" customWidth="1"/>
    <col min="6139" max="6385" width="9" style="130"/>
    <col min="6386" max="6386" width="5" style="130" customWidth="1"/>
    <col min="6387" max="6387" width="17.875" style="130" bestFit="1" customWidth="1"/>
    <col min="6388" max="6388" width="23.625" style="130" customWidth="1"/>
    <col min="6389" max="6389" width="18.25" style="130" customWidth="1"/>
    <col min="6390" max="6390" width="5.25" style="130" bestFit="1" customWidth="1"/>
    <col min="6391" max="6391" width="9" style="130"/>
    <col min="6392" max="6392" width="11.875" style="130" customWidth="1"/>
    <col min="6393" max="6393" width="13.625" style="130" customWidth="1"/>
    <col min="6394" max="6394" width="12.75" style="130" customWidth="1"/>
    <col min="6395" max="6641" width="9" style="130"/>
    <col min="6642" max="6642" width="5" style="130" customWidth="1"/>
    <col min="6643" max="6643" width="17.875" style="130" bestFit="1" customWidth="1"/>
    <col min="6644" max="6644" width="23.625" style="130" customWidth="1"/>
    <col min="6645" max="6645" width="18.25" style="130" customWidth="1"/>
    <col min="6646" max="6646" width="5.25" style="130" bestFit="1" customWidth="1"/>
    <col min="6647" max="6647" width="9" style="130"/>
    <col min="6648" max="6648" width="11.875" style="130" customWidth="1"/>
    <col min="6649" max="6649" width="13.625" style="130" customWidth="1"/>
    <col min="6650" max="6650" width="12.75" style="130" customWidth="1"/>
    <col min="6651" max="6897" width="9" style="130"/>
    <col min="6898" max="6898" width="5" style="130" customWidth="1"/>
    <col min="6899" max="6899" width="17.875" style="130" bestFit="1" customWidth="1"/>
    <col min="6900" max="6900" width="23.625" style="130" customWidth="1"/>
    <col min="6901" max="6901" width="18.25" style="130" customWidth="1"/>
    <col min="6902" max="6902" width="5.25" style="130" bestFit="1" customWidth="1"/>
    <col min="6903" max="6903" width="9" style="130"/>
    <col min="6904" max="6904" width="11.875" style="130" customWidth="1"/>
    <col min="6905" max="6905" width="13.625" style="130" customWidth="1"/>
    <col min="6906" max="6906" width="12.75" style="130" customWidth="1"/>
    <col min="6907" max="7153" width="9" style="130"/>
    <col min="7154" max="7154" width="5" style="130" customWidth="1"/>
    <col min="7155" max="7155" width="17.875" style="130" bestFit="1" customWidth="1"/>
    <col min="7156" max="7156" width="23.625" style="130" customWidth="1"/>
    <col min="7157" max="7157" width="18.25" style="130" customWidth="1"/>
    <col min="7158" max="7158" width="5.25" style="130" bestFit="1" customWidth="1"/>
    <col min="7159" max="7159" width="9" style="130"/>
    <col min="7160" max="7160" width="11.875" style="130" customWidth="1"/>
    <col min="7161" max="7161" width="13.625" style="130" customWidth="1"/>
    <col min="7162" max="7162" width="12.75" style="130" customWidth="1"/>
    <col min="7163" max="7409" width="9" style="130"/>
    <col min="7410" max="7410" width="5" style="130" customWidth="1"/>
    <col min="7411" max="7411" width="17.875" style="130" bestFit="1" customWidth="1"/>
    <col min="7412" max="7412" width="23.625" style="130" customWidth="1"/>
    <col min="7413" max="7413" width="18.25" style="130" customWidth="1"/>
    <col min="7414" max="7414" width="5.25" style="130" bestFit="1" customWidth="1"/>
    <col min="7415" max="7415" width="9" style="130"/>
    <col min="7416" max="7416" width="11.875" style="130" customWidth="1"/>
    <col min="7417" max="7417" width="13.625" style="130" customWidth="1"/>
    <col min="7418" max="7418" width="12.75" style="130" customWidth="1"/>
    <col min="7419" max="7665" width="9" style="130"/>
    <col min="7666" max="7666" width="5" style="130" customWidth="1"/>
    <col min="7667" max="7667" width="17.875" style="130" bestFit="1" customWidth="1"/>
    <col min="7668" max="7668" width="23.625" style="130" customWidth="1"/>
    <col min="7669" max="7669" width="18.25" style="130" customWidth="1"/>
    <col min="7670" max="7670" width="5.25" style="130" bestFit="1" customWidth="1"/>
    <col min="7671" max="7671" width="9" style="130"/>
    <col min="7672" max="7672" width="11.875" style="130" customWidth="1"/>
    <col min="7673" max="7673" width="13.625" style="130" customWidth="1"/>
    <col min="7674" max="7674" width="12.75" style="130" customWidth="1"/>
    <col min="7675" max="7921" width="9" style="130"/>
    <col min="7922" max="7922" width="5" style="130" customWidth="1"/>
    <col min="7923" max="7923" width="17.875" style="130" bestFit="1" customWidth="1"/>
    <col min="7924" max="7924" width="23.625" style="130" customWidth="1"/>
    <col min="7925" max="7925" width="18.25" style="130" customWidth="1"/>
    <col min="7926" max="7926" width="5.25" style="130" bestFit="1" customWidth="1"/>
    <col min="7927" max="7927" width="9" style="130"/>
    <col min="7928" max="7928" width="11.875" style="130" customWidth="1"/>
    <col min="7929" max="7929" width="13.625" style="130" customWidth="1"/>
    <col min="7930" max="7930" width="12.75" style="130" customWidth="1"/>
    <col min="7931" max="8177" width="9" style="130"/>
    <col min="8178" max="8178" width="5" style="130" customWidth="1"/>
    <col min="8179" max="8179" width="17.875" style="130" bestFit="1" customWidth="1"/>
    <col min="8180" max="8180" width="23.625" style="130" customWidth="1"/>
    <col min="8181" max="8181" width="18.25" style="130" customWidth="1"/>
    <col min="8182" max="8182" width="5.25" style="130" bestFit="1" customWidth="1"/>
    <col min="8183" max="8183" width="9" style="130"/>
    <col min="8184" max="8184" width="11.875" style="130" customWidth="1"/>
    <col min="8185" max="8185" width="13.625" style="130" customWidth="1"/>
    <col min="8186" max="8186" width="12.75" style="130" customWidth="1"/>
    <col min="8187" max="8433" width="9" style="130"/>
    <col min="8434" max="8434" width="5" style="130" customWidth="1"/>
    <col min="8435" max="8435" width="17.875" style="130" bestFit="1" customWidth="1"/>
    <col min="8436" max="8436" width="23.625" style="130" customWidth="1"/>
    <col min="8437" max="8437" width="18.25" style="130" customWidth="1"/>
    <col min="8438" max="8438" width="5.25" style="130" bestFit="1" customWidth="1"/>
    <col min="8439" max="8439" width="9" style="130"/>
    <col min="8440" max="8440" width="11.875" style="130" customWidth="1"/>
    <col min="8441" max="8441" width="13.625" style="130" customWidth="1"/>
    <col min="8442" max="8442" width="12.75" style="130" customWidth="1"/>
    <col min="8443" max="8689" width="9" style="130"/>
    <col min="8690" max="8690" width="5" style="130" customWidth="1"/>
    <col min="8691" max="8691" width="17.875" style="130" bestFit="1" customWidth="1"/>
    <col min="8692" max="8692" width="23.625" style="130" customWidth="1"/>
    <col min="8693" max="8693" width="18.25" style="130" customWidth="1"/>
    <col min="8694" max="8694" width="5.25" style="130" bestFit="1" customWidth="1"/>
    <col min="8695" max="8695" width="9" style="130"/>
    <col min="8696" max="8696" width="11.875" style="130" customWidth="1"/>
    <col min="8697" max="8697" width="13.625" style="130" customWidth="1"/>
    <col min="8698" max="8698" width="12.75" style="130" customWidth="1"/>
    <col min="8699" max="8945" width="9" style="130"/>
    <col min="8946" max="8946" width="5" style="130" customWidth="1"/>
    <col min="8947" max="8947" width="17.875" style="130" bestFit="1" customWidth="1"/>
    <col min="8948" max="8948" width="23.625" style="130" customWidth="1"/>
    <col min="8949" max="8949" width="18.25" style="130" customWidth="1"/>
    <col min="8950" max="8950" width="5.25" style="130" bestFit="1" customWidth="1"/>
    <col min="8951" max="8951" width="9" style="130"/>
    <col min="8952" max="8952" width="11.875" style="130" customWidth="1"/>
    <col min="8953" max="8953" width="13.625" style="130" customWidth="1"/>
    <col min="8954" max="8954" width="12.75" style="130" customWidth="1"/>
    <col min="8955" max="9201" width="9" style="130"/>
    <col min="9202" max="9202" width="5" style="130" customWidth="1"/>
    <col min="9203" max="9203" width="17.875" style="130" bestFit="1" customWidth="1"/>
    <col min="9204" max="9204" width="23.625" style="130" customWidth="1"/>
    <col min="9205" max="9205" width="18.25" style="130" customWidth="1"/>
    <col min="9206" max="9206" width="5.25" style="130" bestFit="1" customWidth="1"/>
    <col min="9207" max="9207" width="9" style="130"/>
    <col min="9208" max="9208" width="11.875" style="130" customWidth="1"/>
    <col min="9209" max="9209" width="13.625" style="130" customWidth="1"/>
    <col min="9210" max="9210" width="12.75" style="130" customWidth="1"/>
    <col min="9211" max="9457" width="9" style="130"/>
    <col min="9458" max="9458" width="5" style="130" customWidth="1"/>
    <col min="9459" max="9459" width="17.875" style="130" bestFit="1" customWidth="1"/>
    <col min="9460" max="9460" width="23.625" style="130" customWidth="1"/>
    <col min="9461" max="9461" width="18.25" style="130" customWidth="1"/>
    <col min="9462" max="9462" width="5.25" style="130" bestFit="1" customWidth="1"/>
    <col min="9463" max="9463" width="9" style="130"/>
    <col min="9464" max="9464" width="11.875" style="130" customWidth="1"/>
    <col min="9465" max="9465" width="13.625" style="130" customWidth="1"/>
    <col min="9466" max="9466" width="12.75" style="130" customWidth="1"/>
    <col min="9467" max="9713" width="9" style="130"/>
    <col min="9714" max="9714" width="5" style="130" customWidth="1"/>
    <col min="9715" max="9715" width="17.875" style="130" bestFit="1" customWidth="1"/>
    <col min="9716" max="9716" width="23.625" style="130" customWidth="1"/>
    <col min="9717" max="9717" width="18.25" style="130" customWidth="1"/>
    <col min="9718" max="9718" width="5.25" style="130" bestFit="1" customWidth="1"/>
    <col min="9719" max="9719" width="9" style="130"/>
    <col min="9720" max="9720" width="11.875" style="130" customWidth="1"/>
    <col min="9721" max="9721" width="13.625" style="130" customWidth="1"/>
    <col min="9722" max="9722" width="12.75" style="130" customWidth="1"/>
    <col min="9723" max="9969" width="9" style="130"/>
    <col min="9970" max="9970" width="5" style="130" customWidth="1"/>
    <col min="9971" max="9971" width="17.875" style="130" bestFit="1" customWidth="1"/>
    <col min="9972" max="9972" width="23.625" style="130" customWidth="1"/>
    <col min="9973" max="9973" width="18.25" style="130" customWidth="1"/>
    <col min="9974" max="9974" width="5.25" style="130" bestFit="1" customWidth="1"/>
    <col min="9975" max="9975" width="9" style="130"/>
    <col min="9976" max="9976" width="11.875" style="130" customWidth="1"/>
    <col min="9977" max="9977" width="13.625" style="130" customWidth="1"/>
    <col min="9978" max="9978" width="12.75" style="130" customWidth="1"/>
    <col min="9979" max="10225" width="9" style="130"/>
    <col min="10226" max="10226" width="5" style="130" customWidth="1"/>
    <col min="10227" max="10227" width="17.875" style="130" bestFit="1" customWidth="1"/>
    <col min="10228" max="10228" width="23.625" style="130" customWidth="1"/>
    <col min="10229" max="10229" width="18.25" style="130" customWidth="1"/>
    <col min="10230" max="10230" width="5.25" style="130" bestFit="1" customWidth="1"/>
    <col min="10231" max="10231" width="9" style="130"/>
    <col min="10232" max="10232" width="11.875" style="130" customWidth="1"/>
    <col min="10233" max="10233" width="13.625" style="130" customWidth="1"/>
    <col min="10234" max="10234" width="12.75" style="130" customWidth="1"/>
    <col min="10235" max="10481" width="9" style="130"/>
    <col min="10482" max="10482" width="5" style="130" customWidth="1"/>
    <col min="10483" max="10483" width="17.875" style="130" bestFit="1" customWidth="1"/>
    <col min="10484" max="10484" width="23.625" style="130" customWidth="1"/>
    <col min="10485" max="10485" width="18.25" style="130" customWidth="1"/>
    <col min="10486" max="10486" width="5.25" style="130" bestFit="1" customWidth="1"/>
    <col min="10487" max="10487" width="9" style="130"/>
    <col min="10488" max="10488" width="11.875" style="130" customWidth="1"/>
    <col min="10489" max="10489" width="13.625" style="130" customWidth="1"/>
    <col min="10490" max="10490" width="12.75" style="130" customWidth="1"/>
    <col min="10491" max="10737" width="9" style="130"/>
    <col min="10738" max="10738" width="5" style="130" customWidth="1"/>
    <col min="10739" max="10739" width="17.875" style="130" bestFit="1" customWidth="1"/>
    <col min="10740" max="10740" width="23.625" style="130" customWidth="1"/>
    <col min="10741" max="10741" width="18.25" style="130" customWidth="1"/>
    <col min="10742" max="10742" width="5.25" style="130" bestFit="1" customWidth="1"/>
    <col min="10743" max="10743" width="9" style="130"/>
    <col min="10744" max="10744" width="11.875" style="130" customWidth="1"/>
    <col min="10745" max="10745" width="13.625" style="130" customWidth="1"/>
    <col min="10746" max="10746" width="12.75" style="130" customWidth="1"/>
    <col min="10747" max="10993" width="9" style="130"/>
    <col min="10994" max="10994" width="5" style="130" customWidth="1"/>
    <col min="10995" max="10995" width="17.875" style="130" bestFit="1" customWidth="1"/>
    <col min="10996" max="10996" width="23.625" style="130" customWidth="1"/>
    <col min="10997" max="10997" width="18.25" style="130" customWidth="1"/>
    <col min="10998" max="10998" width="5.25" style="130" bestFit="1" customWidth="1"/>
    <col min="10999" max="10999" width="9" style="130"/>
    <col min="11000" max="11000" width="11.875" style="130" customWidth="1"/>
    <col min="11001" max="11001" width="13.625" style="130" customWidth="1"/>
    <col min="11002" max="11002" width="12.75" style="130" customWidth="1"/>
    <col min="11003" max="11249" width="9" style="130"/>
    <col min="11250" max="11250" width="5" style="130" customWidth="1"/>
    <col min="11251" max="11251" width="17.875" style="130" bestFit="1" customWidth="1"/>
    <col min="11252" max="11252" width="23.625" style="130" customWidth="1"/>
    <col min="11253" max="11253" width="18.25" style="130" customWidth="1"/>
    <col min="11254" max="11254" width="5.25" style="130" bestFit="1" customWidth="1"/>
    <col min="11255" max="11255" width="9" style="130"/>
    <col min="11256" max="11256" width="11.875" style="130" customWidth="1"/>
    <col min="11257" max="11257" width="13.625" style="130" customWidth="1"/>
    <col min="11258" max="11258" width="12.75" style="130" customWidth="1"/>
    <col min="11259" max="11505" width="9" style="130"/>
    <col min="11506" max="11506" width="5" style="130" customWidth="1"/>
    <col min="11507" max="11507" width="17.875" style="130" bestFit="1" customWidth="1"/>
    <col min="11508" max="11508" width="23.625" style="130" customWidth="1"/>
    <col min="11509" max="11509" width="18.25" style="130" customWidth="1"/>
    <col min="11510" max="11510" width="5.25" style="130" bestFit="1" customWidth="1"/>
    <col min="11511" max="11511" width="9" style="130"/>
    <col min="11512" max="11512" width="11.875" style="130" customWidth="1"/>
    <col min="11513" max="11513" width="13.625" style="130" customWidth="1"/>
    <col min="11514" max="11514" width="12.75" style="130" customWidth="1"/>
    <col min="11515" max="11761" width="9" style="130"/>
    <col min="11762" max="11762" width="5" style="130" customWidth="1"/>
    <col min="11763" max="11763" width="17.875" style="130" bestFit="1" customWidth="1"/>
    <col min="11764" max="11764" width="23.625" style="130" customWidth="1"/>
    <col min="11765" max="11765" width="18.25" style="130" customWidth="1"/>
    <col min="11766" max="11766" width="5.25" style="130" bestFit="1" customWidth="1"/>
    <col min="11767" max="11767" width="9" style="130"/>
    <col min="11768" max="11768" width="11.875" style="130" customWidth="1"/>
    <col min="11769" max="11769" width="13.625" style="130" customWidth="1"/>
    <col min="11770" max="11770" width="12.75" style="130" customWidth="1"/>
    <col min="11771" max="12017" width="9" style="130"/>
    <col min="12018" max="12018" width="5" style="130" customWidth="1"/>
    <col min="12019" max="12019" width="17.875" style="130" bestFit="1" customWidth="1"/>
    <col min="12020" max="12020" width="23.625" style="130" customWidth="1"/>
    <col min="12021" max="12021" width="18.25" style="130" customWidth="1"/>
    <col min="12022" max="12022" width="5.25" style="130" bestFit="1" customWidth="1"/>
    <col min="12023" max="12023" width="9" style="130"/>
    <col min="12024" max="12024" width="11.875" style="130" customWidth="1"/>
    <col min="12025" max="12025" width="13.625" style="130" customWidth="1"/>
    <col min="12026" max="12026" width="12.75" style="130" customWidth="1"/>
    <col min="12027" max="12273" width="9" style="130"/>
    <col min="12274" max="12274" width="5" style="130" customWidth="1"/>
    <col min="12275" max="12275" width="17.875" style="130" bestFit="1" customWidth="1"/>
    <col min="12276" max="12276" width="23.625" style="130" customWidth="1"/>
    <col min="12277" max="12277" width="18.25" style="130" customWidth="1"/>
    <col min="12278" max="12278" width="5.25" style="130" bestFit="1" customWidth="1"/>
    <col min="12279" max="12279" width="9" style="130"/>
    <col min="12280" max="12280" width="11.875" style="130" customWidth="1"/>
    <col min="12281" max="12281" width="13.625" style="130" customWidth="1"/>
    <col min="12282" max="12282" width="12.75" style="130" customWidth="1"/>
    <col min="12283" max="12529" width="9" style="130"/>
    <col min="12530" max="12530" width="5" style="130" customWidth="1"/>
    <col min="12531" max="12531" width="17.875" style="130" bestFit="1" customWidth="1"/>
    <col min="12532" max="12532" width="23.625" style="130" customWidth="1"/>
    <col min="12533" max="12533" width="18.25" style="130" customWidth="1"/>
    <col min="12534" max="12534" width="5.25" style="130" bestFit="1" customWidth="1"/>
    <col min="12535" max="12535" width="9" style="130"/>
    <col min="12536" max="12536" width="11.875" style="130" customWidth="1"/>
    <col min="12537" max="12537" width="13.625" style="130" customWidth="1"/>
    <col min="12538" max="12538" width="12.75" style="130" customWidth="1"/>
    <col min="12539" max="12785" width="9" style="130"/>
    <col min="12786" max="12786" width="5" style="130" customWidth="1"/>
    <col min="12787" max="12787" width="17.875" style="130" bestFit="1" customWidth="1"/>
    <col min="12788" max="12788" width="23.625" style="130" customWidth="1"/>
    <col min="12789" max="12789" width="18.25" style="130" customWidth="1"/>
    <col min="12790" max="12790" width="5.25" style="130" bestFit="1" customWidth="1"/>
    <col min="12791" max="12791" width="9" style="130"/>
    <col min="12792" max="12792" width="11.875" style="130" customWidth="1"/>
    <col min="12793" max="12793" width="13.625" style="130" customWidth="1"/>
    <col min="12794" max="12794" width="12.75" style="130" customWidth="1"/>
    <col min="12795" max="13041" width="9" style="130"/>
    <col min="13042" max="13042" width="5" style="130" customWidth="1"/>
    <col min="13043" max="13043" width="17.875" style="130" bestFit="1" customWidth="1"/>
    <col min="13044" max="13044" width="23.625" style="130" customWidth="1"/>
    <col min="13045" max="13045" width="18.25" style="130" customWidth="1"/>
    <col min="13046" max="13046" width="5.25" style="130" bestFit="1" customWidth="1"/>
    <col min="13047" max="13047" width="9" style="130"/>
    <col min="13048" max="13048" width="11.875" style="130" customWidth="1"/>
    <col min="13049" max="13049" width="13.625" style="130" customWidth="1"/>
    <col min="13050" max="13050" width="12.75" style="130" customWidth="1"/>
    <col min="13051" max="13297" width="9" style="130"/>
    <col min="13298" max="13298" width="5" style="130" customWidth="1"/>
    <col min="13299" max="13299" width="17.875" style="130" bestFit="1" customWidth="1"/>
    <col min="13300" max="13300" width="23.625" style="130" customWidth="1"/>
    <col min="13301" max="13301" width="18.25" style="130" customWidth="1"/>
    <col min="13302" max="13302" width="5.25" style="130" bestFit="1" customWidth="1"/>
    <col min="13303" max="13303" width="9" style="130"/>
    <col min="13304" max="13304" width="11.875" style="130" customWidth="1"/>
    <col min="13305" max="13305" width="13.625" style="130" customWidth="1"/>
    <col min="13306" max="13306" width="12.75" style="130" customWidth="1"/>
    <col min="13307" max="13553" width="9" style="130"/>
    <col min="13554" max="13554" width="5" style="130" customWidth="1"/>
    <col min="13555" max="13555" width="17.875" style="130" bestFit="1" customWidth="1"/>
    <col min="13556" max="13556" width="23.625" style="130" customWidth="1"/>
    <col min="13557" max="13557" width="18.25" style="130" customWidth="1"/>
    <col min="13558" max="13558" width="5.25" style="130" bestFit="1" customWidth="1"/>
    <col min="13559" max="13559" width="9" style="130"/>
    <col min="13560" max="13560" width="11.875" style="130" customWidth="1"/>
    <col min="13561" max="13561" width="13.625" style="130" customWidth="1"/>
    <col min="13562" max="13562" width="12.75" style="130" customWidth="1"/>
    <col min="13563" max="13809" width="9" style="130"/>
    <col min="13810" max="13810" width="5" style="130" customWidth="1"/>
    <col min="13811" max="13811" width="17.875" style="130" bestFit="1" customWidth="1"/>
    <col min="13812" max="13812" width="23.625" style="130" customWidth="1"/>
    <col min="13813" max="13813" width="18.25" style="130" customWidth="1"/>
    <col min="13814" max="13814" width="5.25" style="130" bestFit="1" customWidth="1"/>
    <col min="13815" max="13815" width="9" style="130"/>
    <col min="13816" max="13816" width="11.875" style="130" customWidth="1"/>
    <col min="13817" max="13817" width="13.625" style="130" customWidth="1"/>
    <col min="13818" max="13818" width="12.75" style="130" customWidth="1"/>
    <col min="13819" max="14065" width="9" style="130"/>
    <col min="14066" max="14066" width="5" style="130" customWidth="1"/>
    <col min="14067" max="14067" width="17.875" style="130" bestFit="1" customWidth="1"/>
    <col min="14068" max="14068" width="23.625" style="130" customWidth="1"/>
    <col min="14069" max="14069" width="18.25" style="130" customWidth="1"/>
    <col min="14070" max="14070" width="5.25" style="130" bestFit="1" customWidth="1"/>
    <col min="14071" max="14071" width="9" style="130"/>
    <col min="14072" max="14072" width="11.875" style="130" customWidth="1"/>
    <col min="14073" max="14073" width="13.625" style="130" customWidth="1"/>
    <col min="14074" max="14074" width="12.75" style="130" customWidth="1"/>
    <col min="14075" max="14321" width="9" style="130"/>
    <col min="14322" max="14322" width="5" style="130" customWidth="1"/>
    <col min="14323" max="14323" width="17.875" style="130" bestFit="1" customWidth="1"/>
    <col min="14324" max="14324" width="23.625" style="130" customWidth="1"/>
    <col min="14325" max="14325" width="18.25" style="130" customWidth="1"/>
    <col min="14326" max="14326" width="5.25" style="130" bestFit="1" customWidth="1"/>
    <col min="14327" max="14327" width="9" style="130"/>
    <col min="14328" max="14328" width="11.875" style="130" customWidth="1"/>
    <col min="14329" max="14329" width="13.625" style="130" customWidth="1"/>
    <col min="14330" max="14330" width="12.75" style="130" customWidth="1"/>
    <col min="14331" max="14577" width="9" style="130"/>
    <col min="14578" max="14578" width="5" style="130" customWidth="1"/>
    <col min="14579" max="14579" width="17.875" style="130" bestFit="1" customWidth="1"/>
    <col min="14580" max="14580" width="23.625" style="130" customWidth="1"/>
    <col min="14581" max="14581" width="18.25" style="130" customWidth="1"/>
    <col min="14582" max="14582" width="5.25" style="130" bestFit="1" customWidth="1"/>
    <col min="14583" max="14583" width="9" style="130"/>
    <col min="14584" max="14584" width="11.875" style="130" customWidth="1"/>
    <col min="14585" max="14585" width="13.625" style="130" customWidth="1"/>
    <col min="14586" max="14586" width="12.75" style="130" customWidth="1"/>
    <col min="14587" max="14833" width="9" style="130"/>
    <col min="14834" max="14834" width="5" style="130" customWidth="1"/>
    <col min="14835" max="14835" width="17.875" style="130" bestFit="1" customWidth="1"/>
    <col min="14836" max="14836" width="23.625" style="130" customWidth="1"/>
    <col min="14837" max="14837" width="18.25" style="130" customWidth="1"/>
    <col min="14838" max="14838" width="5.25" style="130" bestFit="1" customWidth="1"/>
    <col min="14839" max="14839" width="9" style="130"/>
    <col min="14840" max="14840" width="11.875" style="130" customWidth="1"/>
    <col min="14841" max="14841" width="13.625" style="130" customWidth="1"/>
    <col min="14842" max="14842" width="12.75" style="130" customWidth="1"/>
    <col min="14843" max="15089" width="9" style="130"/>
    <col min="15090" max="15090" width="5" style="130" customWidth="1"/>
    <col min="15091" max="15091" width="17.875" style="130" bestFit="1" customWidth="1"/>
    <col min="15092" max="15092" width="23.625" style="130" customWidth="1"/>
    <col min="15093" max="15093" width="18.25" style="130" customWidth="1"/>
    <col min="15094" max="15094" width="5.25" style="130" bestFit="1" customWidth="1"/>
    <col min="15095" max="15095" width="9" style="130"/>
    <col min="15096" max="15096" width="11.875" style="130" customWidth="1"/>
    <col min="15097" max="15097" width="13.625" style="130" customWidth="1"/>
    <col min="15098" max="15098" width="12.75" style="130" customWidth="1"/>
    <col min="15099" max="15345" width="9" style="130"/>
    <col min="15346" max="15346" width="5" style="130" customWidth="1"/>
    <col min="15347" max="15347" width="17.875" style="130" bestFit="1" customWidth="1"/>
    <col min="15348" max="15348" width="23.625" style="130" customWidth="1"/>
    <col min="15349" max="15349" width="18.25" style="130" customWidth="1"/>
    <col min="15350" max="15350" width="5.25" style="130" bestFit="1" customWidth="1"/>
    <col min="15351" max="15351" width="9" style="130"/>
    <col min="15352" max="15352" width="11.875" style="130" customWidth="1"/>
    <col min="15353" max="15353" width="13.625" style="130" customWidth="1"/>
    <col min="15354" max="15354" width="12.75" style="130" customWidth="1"/>
    <col min="15355" max="15601" width="9" style="130"/>
    <col min="15602" max="15602" width="5" style="130" customWidth="1"/>
    <col min="15603" max="15603" width="17.875" style="130" bestFit="1" customWidth="1"/>
    <col min="15604" max="15604" width="23.625" style="130" customWidth="1"/>
    <col min="15605" max="15605" width="18.25" style="130" customWidth="1"/>
    <col min="15606" max="15606" width="5.25" style="130" bestFit="1" customWidth="1"/>
    <col min="15607" max="15607" width="9" style="130"/>
    <col min="15608" max="15608" width="11.875" style="130" customWidth="1"/>
    <col min="15609" max="15609" width="13.625" style="130" customWidth="1"/>
    <col min="15610" max="15610" width="12.75" style="130" customWidth="1"/>
    <col min="15611" max="15857" width="9" style="130"/>
    <col min="15858" max="15858" width="5" style="130" customWidth="1"/>
    <col min="15859" max="15859" width="17.875" style="130" bestFit="1" customWidth="1"/>
    <col min="15860" max="15860" width="23.625" style="130" customWidth="1"/>
    <col min="15861" max="15861" width="18.25" style="130" customWidth="1"/>
    <col min="15862" max="15862" width="5.25" style="130" bestFit="1" customWidth="1"/>
    <col min="15863" max="15863" width="9" style="130"/>
    <col min="15864" max="15864" width="11.875" style="130" customWidth="1"/>
    <col min="15865" max="15865" width="13.625" style="130" customWidth="1"/>
    <col min="15866" max="15866" width="12.75" style="130" customWidth="1"/>
    <col min="15867" max="16113" width="9" style="130"/>
    <col min="16114" max="16114" width="5" style="130" customWidth="1"/>
    <col min="16115" max="16115" width="17.875" style="130" bestFit="1" customWidth="1"/>
    <col min="16116" max="16116" width="23.625" style="130" customWidth="1"/>
    <col min="16117" max="16117" width="18.25" style="130" customWidth="1"/>
    <col min="16118" max="16118" width="5.25" style="130" bestFit="1" customWidth="1"/>
    <col min="16119" max="16119" width="9" style="130"/>
    <col min="16120" max="16120" width="11.875" style="130" customWidth="1"/>
    <col min="16121" max="16121" width="13.625" style="130" customWidth="1"/>
    <col min="16122" max="16122" width="12.75" style="130" customWidth="1"/>
    <col min="16123" max="16384" width="9" style="130"/>
  </cols>
  <sheetData>
    <row r="1" spans="1:9" ht="22.5" customHeight="1">
      <c r="B1" s="212" t="s">
        <v>149</v>
      </c>
      <c r="C1" s="305" t="s">
        <v>503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42" t="s">
        <v>343</v>
      </c>
      <c r="D3" s="242"/>
      <c r="E3" s="242"/>
      <c r="F3" s="244" t="s">
        <v>329</v>
      </c>
      <c r="G3" s="245">
        <v>3600000</v>
      </c>
      <c r="H3" s="175">
        <f t="shared" ref="H3:H77" si="0">IF(F3=0,G3,G3*F3)</f>
        <v>3600000</v>
      </c>
      <c r="I3" s="247"/>
    </row>
    <row r="4" spans="1:9" ht="15.95" customHeight="1">
      <c r="A4" s="497"/>
      <c r="B4" s="218"/>
      <c r="C4" s="225" t="s">
        <v>420</v>
      </c>
      <c r="D4" s="225"/>
      <c r="E4" s="225"/>
      <c r="F4" s="227" t="s">
        <v>329</v>
      </c>
      <c r="G4" s="228">
        <v>4608000</v>
      </c>
      <c r="H4" s="175">
        <f t="shared" si="0"/>
        <v>4608000</v>
      </c>
      <c r="I4" s="38"/>
    </row>
    <row r="5" spans="1:9" ht="15.95" customHeight="1">
      <c r="A5" s="497"/>
      <c r="B5" s="218"/>
      <c r="C5" s="225" t="s">
        <v>422</v>
      </c>
      <c r="D5" s="225"/>
      <c r="E5" s="225"/>
      <c r="F5" s="227" t="s">
        <v>329</v>
      </c>
      <c r="G5" s="228">
        <v>3456000</v>
      </c>
      <c r="H5" s="175">
        <f t="shared" si="0"/>
        <v>3456000</v>
      </c>
      <c r="I5" s="38"/>
    </row>
    <row r="6" spans="1:9" ht="15.95" customHeight="1">
      <c r="A6" s="497"/>
      <c r="B6" s="218"/>
      <c r="C6" s="225" t="s">
        <v>423</v>
      </c>
      <c r="D6" s="225"/>
      <c r="E6" s="225"/>
      <c r="F6" s="227" t="s">
        <v>329</v>
      </c>
      <c r="G6" s="228">
        <v>1584000</v>
      </c>
      <c r="H6" s="175">
        <f t="shared" si="0"/>
        <v>1584000</v>
      </c>
      <c r="I6" s="38"/>
    </row>
    <row r="7" spans="1:9" ht="15.95" customHeight="1">
      <c r="A7" s="497"/>
      <c r="B7" s="218"/>
      <c r="C7" s="225" t="s">
        <v>386</v>
      </c>
      <c r="D7" s="225"/>
      <c r="E7" s="225"/>
      <c r="F7" s="227" t="s">
        <v>329</v>
      </c>
      <c r="G7" s="228">
        <v>144000</v>
      </c>
      <c r="H7" s="175">
        <f t="shared" si="0"/>
        <v>144000</v>
      </c>
      <c r="I7" s="38"/>
    </row>
    <row r="8" spans="1:9" ht="15.95" customHeight="1">
      <c r="A8" s="497"/>
      <c r="B8" s="218"/>
      <c r="C8" s="225" t="s">
        <v>424</v>
      </c>
      <c r="D8" s="225"/>
      <c r="E8" s="225"/>
      <c r="F8" s="227" t="s">
        <v>329</v>
      </c>
      <c r="G8" s="228">
        <v>5616000</v>
      </c>
      <c r="H8" s="175">
        <f t="shared" si="0"/>
        <v>5616000</v>
      </c>
      <c r="I8" s="38"/>
    </row>
    <row r="9" spans="1:9" ht="15.95" customHeight="1">
      <c r="A9" s="497"/>
      <c r="B9" s="218"/>
      <c r="C9" s="225" t="s">
        <v>472</v>
      </c>
      <c r="D9" s="225"/>
      <c r="E9" s="225"/>
      <c r="F9" s="227" t="s">
        <v>329</v>
      </c>
      <c r="G9" s="228">
        <v>8280000</v>
      </c>
      <c r="H9" s="175">
        <f t="shared" si="0"/>
        <v>8280000</v>
      </c>
      <c r="I9" s="38"/>
    </row>
    <row r="10" spans="1:9" ht="15.95" customHeight="1">
      <c r="A10" s="497"/>
      <c r="B10" s="218"/>
      <c r="C10" s="225" t="s">
        <v>473</v>
      </c>
      <c r="D10" s="225"/>
      <c r="E10" s="225"/>
      <c r="F10" s="227" t="s">
        <v>329</v>
      </c>
      <c r="G10" s="228">
        <v>7056000</v>
      </c>
      <c r="H10" s="175">
        <f t="shared" si="0"/>
        <v>7056000</v>
      </c>
      <c r="I10" s="38"/>
    </row>
    <row r="11" spans="1:9" ht="15.95" customHeight="1">
      <c r="A11" s="497"/>
      <c r="B11" s="218"/>
      <c r="C11" s="225" t="s">
        <v>504</v>
      </c>
      <c r="D11" s="225"/>
      <c r="E11" s="225"/>
      <c r="F11" s="227" t="s">
        <v>329</v>
      </c>
      <c r="G11" s="228">
        <v>48240000</v>
      </c>
      <c r="H11" s="175">
        <f t="shared" si="0"/>
        <v>48240000</v>
      </c>
      <c r="I11" s="38"/>
    </row>
    <row r="12" spans="1:9" ht="15.95" customHeight="1">
      <c r="A12" s="497"/>
      <c r="B12" s="218"/>
      <c r="C12" s="225" t="s">
        <v>494</v>
      </c>
      <c r="D12" s="225"/>
      <c r="E12" s="225"/>
      <c r="F12" s="227" t="s">
        <v>329</v>
      </c>
      <c r="G12" s="228">
        <v>19440000</v>
      </c>
      <c r="H12" s="175">
        <f t="shared" si="0"/>
        <v>19440000</v>
      </c>
      <c r="I12" s="38"/>
    </row>
    <row r="13" spans="1:9" ht="15.95" customHeight="1">
      <c r="A13" s="497"/>
      <c r="B13" s="218"/>
      <c r="C13" s="225" t="s">
        <v>476</v>
      </c>
      <c r="D13" s="225"/>
      <c r="E13" s="225"/>
      <c r="F13" s="227" t="s">
        <v>329</v>
      </c>
      <c r="G13" s="228">
        <v>5328000</v>
      </c>
      <c r="H13" s="175">
        <f t="shared" si="0"/>
        <v>5328000</v>
      </c>
      <c r="I13" s="38"/>
    </row>
    <row r="14" spans="1:9" ht="15.95" customHeight="1">
      <c r="A14" s="497"/>
      <c r="B14" s="218"/>
      <c r="C14" s="225" t="s">
        <v>505</v>
      </c>
      <c r="D14" s="225"/>
      <c r="E14" s="225"/>
      <c r="F14" s="227" t="s">
        <v>329</v>
      </c>
      <c r="G14" s="228">
        <v>720000</v>
      </c>
      <c r="H14" s="175">
        <f t="shared" si="0"/>
        <v>720000</v>
      </c>
      <c r="I14" s="38"/>
    </row>
    <row r="15" spans="1:9" ht="15.95" customHeight="1">
      <c r="A15" s="497"/>
      <c r="B15" s="218"/>
      <c r="C15" s="225" t="s">
        <v>571</v>
      </c>
      <c r="D15" s="225"/>
      <c r="E15" s="225"/>
      <c r="F15" s="227">
        <v>1</v>
      </c>
      <c r="G15" s="228">
        <v>1655999.9999999998</v>
      </c>
      <c r="H15" s="175">
        <v>1655999.9999999998</v>
      </c>
      <c r="I15" s="38"/>
    </row>
    <row r="16" spans="1:9" ht="15.95" customHeight="1">
      <c r="A16" s="497"/>
      <c r="B16" s="218"/>
      <c r="C16" s="225"/>
      <c r="D16" s="225"/>
      <c r="E16" s="225"/>
      <c r="F16" s="227"/>
      <c r="G16" s="228"/>
      <c r="H16" s="175"/>
      <c r="I16" s="38"/>
    </row>
    <row r="17" spans="1:9" ht="15.95" customHeight="1">
      <c r="A17" s="497"/>
      <c r="B17" s="218"/>
      <c r="C17" s="225"/>
      <c r="D17" s="225"/>
      <c r="E17" s="225"/>
      <c r="F17" s="227"/>
      <c r="G17" s="228"/>
      <c r="H17" s="175"/>
      <c r="I17" s="38"/>
    </row>
    <row r="18" spans="1:9" ht="15.95" customHeight="1">
      <c r="A18" s="497"/>
      <c r="B18" s="218"/>
      <c r="C18" s="225"/>
      <c r="D18" s="225"/>
      <c r="E18" s="225"/>
      <c r="F18" s="227"/>
      <c r="G18" s="228"/>
      <c r="H18" s="175"/>
      <c r="I18" s="38"/>
    </row>
    <row r="19" spans="1:9" ht="15.95" customHeight="1">
      <c r="A19" s="497"/>
      <c r="B19" s="218"/>
      <c r="C19" s="225"/>
      <c r="D19" s="225"/>
      <c r="E19" s="225"/>
      <c r="F19" s="227"/>
      <c r="G19" s="228"/>
      <c r="H19" s="175"/>
      <c r="I19" s="38"/>
    </row>
    <row r="20" spans="1:9" ht="15.95" customHeight="1">
      <c r="A20" s="497"/>
      <c r="B20" s="218"/>
      <c r="C20" s="225"/>
      <c r="D20" s="225"/>
      <c r="E20" s="225"/>
      <c r="F20" s="227"/>
      <c r="G20" s="228"/>
      <c r="H20" s="175"/>
      <c r="I20" s="38"/>
    </row>
    <row r="21" spans="1:9" ht="15.95" customHeight="1">
      <c r="A21" s="497"/>
      <c r="B21" s="218"/>
      <c r="C21" s="225"/>
      <c r="D21" s="225"/>
      <c r="E21" s="225"/>
      <c r="F21" s="227"/>
      <c r="G21" s="228"/>
      <c r="H21" s="175"/>
      <c r="I21" s="38"/>
    </row>
    <row r="22" spans="1:9" ht="15.95" customHeight="1">
      <c r="A22" s="497"/>
      <c r="B22" s="218"/>
      <c r="C22" s="225"/>
      <c r="D22" s="225"/>
      <c r="E22" s="225"/>
      <c r="F22" s="227"/>
      <c r="G22" s="228"/>
      <c r="H22" s="175"/>
      <c r="I22" s="38"/>
    </row>
    <row r="23" spans="1:9" ht="15.95" customHeight="1">
      <c r="A23" s="497"/>
      <c r="B23" s="218"/>
      <c r="C23" s="225"/>
      <c r="D23" s="225"/>
      <c r="E23" s="225"/>
      <c r="F23" s="227"/>
      <c r="G23" s="228"/>
      <c r="H23" s="175"/>
      <c r="I23" s="38"/>
    </row>
    <row r="24" spans="1:9" ht="15.95" customHeight="1">
      <c r="A24" s="497"/>
      <c r="B24" s="218"/>
      <c r="C24" s="225"/>
      <c r="D24" s="225"/>
      <c r="E24" s="225"/>
      <c r="F24" s="227"/>
      <c r="G24" s="228"/>
      <c r="H24" s="175"/>
      <c r="I24" s="38"/>
    </row>
    <row r="25" spans="1:9" ht="15.95" customHeight="1">
      <c r="A25" s="497"/>
      <c r="B25" s="218"/>
      <c r="C25" s="225"/>
      <c r="D25" s="225"/>
      <c r="E25" s="225"/>
      <c r="F25" s="227"/>
      <c r="G25" s="228"/>
      <c r="H25" s="175"/>
      <c r="I25" s="38"/>
    </row>
    <row r="26" spans="1:9" ht="15.95" customHeight="1">
      <c r="A26" s="497"/>
      <c r="B26" s="218"/>
      <c r="C26" s="225"/>
      <c r="D26" s="225"/>
      <c r="E26" s="225"/>
      <c r="F26" s="227"/>
      <c r="G26" s="228"/>
      <c r="H26" s="175"/>
      <c r="I26" s="38"/>
    </row>
    <row r="27" spans="1:9" ht="15.95" customHeight="1">
      <c r="A27" s="497"/>
      <c r="B27" s="218"/>
      <c r="C27" s="225"/>
      <c r="D27" s="225"/>
      <c r="E27" s="225"/>
      <c r="F27" s="227"/>
      <c r="G27" s="228"/>
      <c r="H27" s="175"/>
      <c r="I27" s="38"/>
    </row>
    <row r="28" spans="1:9" ht="15.95" customHeight="1">
      <c r="A28" s="497"/>
      <c r="B28" s="218"/>
      <c r="C28" s="225"/>
      <c r="D28" s="225"/>
      <c r="E28" s="225"/>
      <c r="F28" s="227"/>
      <c r="G28" s="228"/>
      <c r="H28" s="175"/>
      <c r="I28" s="38"/>
    </row>
    <row r="29" spans="1:9" ht="15.95" customHeight="1">
      <c r="A29" s="497"/>
      <c r="B29" s="218"/>
      <c r="C29" s="225"/>
      <c r="D29" s="225"/>
      <c r="E29" s="225"/>
      <c r="F29" s="227"/>
      <c r="G29" s="228"/>
      <c r="H29" s="175"/>
      <c r="I29" s="38"/>
    </row>
    <row r="30" spans="1:9" ht="15.95" customHeight="1">
      <c r="A30" s="497"/>
      <c r="B30" s="218"/>
      <c r="C30" s="225"/>
      <c r="D30" s="225"/>
      <c r="E30" s="225"/>
      <c r="F30" s="227"/>
      <c r="G30" s="228"/>
      <c r="H30" s="175"/>
      <c r="I30" s="38"/>
    </row>
    <row r="31" spans="1:9" ht="15.95" customHeight="1">
      <c r="A31" s="497"/>
      <c r="B31" s="218"/>
      <c r="C31" s="225"/>
      <c r="D31" s="225"/>
      <c r="E31" s="225"/>
      <c r="F31" s="228"/>
      <c r="G31" s="228"/>
      <c r="H31" s="175"/>
      <c r="I31" s="38"/>
    </row>
    <row r="32" spans="1:9" ht="15.95" customHeight="1">
      <c r="A32" s="497"/>
      <c r="B32" s="218"/>
      <c r="C32" s="225"/>
      <c r="D32" s="225"/>
      <c r="E32" s="225"/>
      <c r="F32" s="228"/>
      <c r="G32" s="228"/>
      <c r="H32" s="175"/>
      <c r="I32" s="38"/>
    </row>
    <row r="33" spans="1:9" ht="15.95" customHeight="1">
      <c r="A33" s="497"/>
      <c r="B33" s="218"/>
      <c r="C33" s="229" t="s">
        <v>132</v>
      </c>
      <c r="D33" s="249"/>
      <c r="E33" s="249"/>
      <c r="F33" s="251"/>
      <c r="G33" s="251"/>
      <c r="H33" s="175"/>
      <c r="I33" s="253"/>
    </row>
    <row r="34" spans="1:9" ht="15.95" customHeight="1">
      <c r="A34" s="497"/>
      <c r="B34" s="234"/>
      <c r="C34" s="260"/>
      <c r="D34" s="260"/>
      <c r="E34" s="260"/>
      <c r="F34" s="258"/>
      <c r="G34" s="258"/>
      <c r="H34" s="259">
        <f>SUM(H3:H33)</f>
        <v>109728000</v>
      </c>
      <c r="I34" s="260"/>
    </row>
    <row r="35" spans="1:9" ht="15.95" customHeight="1">
      <c r="A35" s="497"/>
      <c r="B35" s="218" t="s">
        <v>150</v>
      </c>
      <c r="C35" s="219" t="s">
        <v>527</v>
      </c>
      <c r="D35" s="219"/>
      <c r="E35" s="293" t="s">
        <v>51</v>
      </c>
      <c r="F35" s="245">
        <v>1</v>
      </c>
      <c r="G35" s="245">
        <v>8760000</v>
      </c>
      <c r="H35" s="223">
        <f t="shared" si="0"/>
        <v>8760000</v>
      </c>
      <c r="I35" s="224"/>
    </row>
    <row r="36" spans="1:9" ht="15.95" customHeight="1">
      <c r="A36" s="497"/>
      <c r="B36" s="218" t="s">
        <v>151</v>
      </c>
      <c r="C36" s="225" t="s">
        <v>528</v>
      </c>
      <c r="D36" s="225"/>
      <c r="E36" s="296" t="s">
        <v>51</v>
      </c>
      <c r="F36" s="228">
        <v>1</v>
      </c>
      <c r="G36" s="228">
        <v>8030000</v>
      </c>
      <c r="H36" s="175">
        <f t="shared" si="0"/>
        <v>8030000</v>
      </c>
      <c r="I36" s="38"/>
    </row>
    <row r="37" spans="1:9" ht="15.95" customHeight="1">
      <c r="A37" s="497"/>
      <c r="B37" s="218"/>
      <c r="C37" s="225" t="s">
        <v>529</v>
      </c>
      <c r="D37" s="225"/>
      <c r="E37" s="296" t="s">
        <v>51</v>
      </c>
      <c r="F37" s="228">
        <v>1</v>
      </c>
      <c r="G37" s="228">
        <v>8030000</v>
      </c>
      <c r="H37" s="175">
        <f t="shared" si="0"/>
        <v>8030000</v>
      </c>
      <c r="I37" s="38"/>
    </row>
    <row r="38" spans="1:9" ht="15.95" customHeight="1">
      <c r="A38" s="497"/>
      <c r="B38" s="218"/>
      <c r="C38" s="225"/>
      <c r="D38" s="225"/>
      <c r="E38" s="296"/>
      <c r="F38" s="228"/>
      <c r="G38" s="228"/>
      <c r="H38" s="175">
        <f t="shared" si="0"/>
        <v>0</v>
      </c>
      <c r="I38" s="38"/>
    </row>
    <row r="39" spans="1:9" ht="15.95" customHeight="1">
      <c r="A39" s="497"/>
      <c r="B39" s="218"/>
      <c r="C39" s="229" t="s">
        <v>132</v>
      </c>
      <c r="D39" s="229"/>
      <c r="E39" s="296"/>
      <c r="F39" s="228"/>
      <c r="G39" s="228"/>
      <c r="H39" s="175">
        <f t="shared" si="0"/>
        <v>0</v>
      </c>
      <c r="I39" s="233"/>
    </row>
    <row r="40" spans="1:9" ht="15.95" customHeight="1">
      <c r="A40" s="497"/>
      <c r="B40" s="234"/>
      <c r="C40" s="235"/>
      <c r="D40" s="236"/>
      <c r="E40" s="236"/>
      <c r="F40" s="312"/>
      <c r="G40" s="238"/>
      <c r="H40" s="239">
        <f>SUM(H35:H39)</f>
        <v>24820000</v>
      </c>
      <c r="I40" s="240"/>
    </row>
    <row r="41" spans="1:9" ht="15.95" customHeight="1">
      <c r="A41" s="497"/>
      <c r="B41" s="261" t="s">
        <v>152</v>
      </c>
      <c r="C41" s="225" t="s">
        <v>495</v>
      </c>
      <c r="D41" s="225"/>
      <c r="E41" s="225"/>
      <c r="F41" s="226">
        <v>1</v>
      </c>
      <c r="G41" s="228">
        <v>413999.99999999994</v>
      </c>
      <c r="H41" s="175">
        <f t="shared" ref="H41:H56" si="1">IF(F41=0,G41,G41*F41)</f>
        <v>413999.99999999994</v>
      </c>
      <c r="I41" s="38" t="s">
        <v>323</v>
      </c>
    </row>
    <row r="42" spans="1:9" ht="15.95" customHeight="1">
      <c r="A42" s="497"/>
      <c r="B42" s="218" t="s">
        <v>153</v>
      </c>
      <c r="C42" s="225" t="s">
        <v>387</v>
      </c>
      <c r="D42" s="225"/>
      <c r="E42" s="225"/>
      <c r="F42" s="226">
        <v>1</v>
      </c>
      <c r="G42" s="228">
        <v>1034999.9999999999</v>
      </c>
      <c r="H42" s="175">
        <f t="shared" si="1"/>
        <v>1034999.9999999999</v>
      </c>
      <c r="I42" s="38" t="s">
        <v>483</v>
      </c>
    </row>
    <row r="43" spans="1:9" ht="15.95" customHeight="1">
      <c r="A43" s="497"/>
      <c r="B43" s="218"/>
      <c r="C43" s="225" t="s">
        <v>388</v>
      </c>
      <c r="D43" s="225"/>
      <c r="E43" s="225"/>
      <c r="F43" s="226">
        <v>2</v>
      </c>
      <c r="G43" s="228">
        <v>345000</v>
      </c>
      <c r="H43" s="175">
        <f t="shared" si="1"/>
        <v>690000</v>
      </c>
      <c r="I43" s="38" t="s">
        <v>483</v>
      </c>
    </row>
    <row r="44" spans="1:9" ht="15.95" customHeight="1">
      <c r="A44" s="497"/>
      <c r="B44" s="218"/>
      <c r="C44" s="225" t="s">
        <v>389</v>
      </c>
      <c r="D44" s="225" t="s">
        <v>452</v>
      </c>
      <c r="E44" s="225"/>
      <c r="F44" s="226">
        <v>1</v>
      </c>
      <c r="G44" s="228">
        <v>1517999.9999999998</v>
      </c>
      <c r="H44" s="175">
        <f t="shared" si="1"/>
        <v>1517999.9999999998</v>
      </c>
      <c r="I44" s="38" t="s">
        <v>203</v>
      </c>
    </row>
    <row r="45" spans="1:9" ht="15.95" customHeight="1">
      <c r="A45" s="497"/>
      <c r="B45" s="218"/>
      <c r="C45" s="225" t="s">
        <v>193</v>
      </c>
      <c r="D45" s="225"/>
      <c r="E45" s="225"/>
      <c r="F45" s="226">
        <v>2</v>
      </c>
      <c r="G45" s="228">
        <v>2069999.9999999998</v>
      </c>
      <c r="H45" s="175">
        <f t="shared" si="1"/>
        <v>4139999.9999999995</v>
      </c>
      <c r="I45" s="38" t="s">
        <v>200</v>
      </c>
    </row>
    <row r="46" spans="1:9" ht="15.95" customHeight="1">
      <c r="A46" s="497"/>
      <c r="B46" s="218"/>
      <c r="C46" s="225" t="s">
        <v>447</v>
      </c>
      <c r="D46" s="225"/>
      <c r="E46" s="225"/>
      <c r="F46" s="226">
        <v>1</v>
      </c>
      <c r="G46" s="228">
        <v>1517999.9999999998</v>
      </c>
      <c r="H46" s="175">
        <f t="shared" si="1"/>
        <v>1517999.9999999998</v>
      </c>
      <c r="I46" s="38" t="s">
        <v>325</v>
      </c>
    </row>
    <row r="47" spans="1:9" ht="15.95" customHeight="1">
      <c r="A47" s="497"/>
      <c r="B47" s="218"/>
      <c r="C47" s="225" t="s">
        <v>444</v>
      </c>
      <c r="D47" s="225"/>
      <c r="E47" s="225"/>
      <c r="F47" s="226">
        <v>1</v>
      </c>
      <c r="G47" s="228">
        <v>1242000</v>
      </c>
      <c r="H47" s="175">
        <f t="shared" si="1"/>
        <v>1242000</v>
      </c>
      <c r="I47" s="38" t="s">
        <v>481</v>
      </c>
    </row>
    <row r="48" spans="1:9" ht="15.95" customHeight="1">
      <c r="A48" s="497"/>
      <c r="B48" s="218"/>
      <c r="C48" s="225" t="s">
        <v>193</v>
      </c>
      <c r="D48" s="225"/>
      <c r="E48" s="225"/>
      <c r="F48" s="226">
        <v>20</v>
      </c>
      <c r="G48" s="228">
        <v>3035999.9999999995</v>
      </c>
      <c r="H48" s="175">
        <f t="shared" si="1"/>
        <v>60719999.999999993</v>
      </c>
      <c r="I48" s="38" t="s">
        <v>200</v>
      </c>
    </row>
    <row r="49" spans="1:9" ht="15.95" customHeight="1">
      <c r="A49" s="497"/>
      <c r="B49" s="218"/>
      <c r="C49" s="225" t="s">
        <v>496</v>
      </c>
      <c r="D49" s="225"/>
      <c r="E49" s="225"/>
      <c r="F49" s="226">
        <v>22</v>
      </c>
      <c r="G49" s="228">
        <v>2394300</v>
      </c>
      <c r="H49" s="175">
        <f t="shared" si="1"/>
        <v>52674600</v>
      </c>
      <c r="I49" s="38" t="s">
        <v>325</v>
      </c>
    </row>
    <row r="50" spans="1:9" ht="15.95" customHeight="1">
      <c r="A50" s="497"/>
      <c r="B50" s="218"/>
      <c r="C50" s="225" t="s">
        <v>193</v>
      </c>
      <c r="D50" s="225"/>
      <c r="E50" s="225"/>
      <c r="F50" s="226">
        <v>2</v>
      </c>
      <c r="G50" s="228">
        <v>1793999.9999999998</v>
      </c>
      <c r="H50" s="175">
        <f t="shared" si="1"/>
        <v>3587999.9999999995</v>
      </c>
      <c r="I50" s="38" t="s">
        <v>200</v>
      </c>
    </row>
    <row r="51" spans="1:9" ht="15.95" customHeight="1">
      <c r="A51" s="497"/>
      <c r="B51" s="218"/>
      <c r="C51" s="225" t="s">
        <v>482</v>
      </c>
      <c r="D51" s="225"/>
      <c r="E51" s="225"/>
      <c r="F51" s="226">
        <v>1</v>
      </c>
      <c r="G51" s="228">
        <v>1242000</v>
      </c>
      <c r="H51" s="175">
        <f t="shared" si="1"/>
        <v>1242000</v>
      </c>
      <c r="I51" s="38" t="s">
        <v>325</v>
      </c>
    </row>
    <row r="52" spans="1:9" ht="15.95" customHeight="1">
      <c r="A52" s="497"/>
      <c r="B52" s="218"/>
      <c r="C52" s="225" t="s">
        <v>193</v>
      </c>
      <c r="D52" s="225"/>
      <c r="E52" s="225"/>
      <c r="F52" s="226">
        <v>1</v>
      </c>
      <c r="G52" s="228">
        <v>1380000</v>
      </c>
      <c r="H52" s="175">
        <f t="shared" si="1"/>
        <v>1380000</v>
      </c>
      <c r="I52" s="38" t="s">
        <v>200</v>
      </c>
    </row>
    <row r="53" spans="1:9" ht="15.95" customHeight="1">
      <c r="A53" s="497"/>
      <c r="B53" s="218"/>
      <c r="C53" s="225" t="s">
        <v>482</v>
      </c>
      <c r="D53" s="225"/>
      <c r="E53" s="225"/>
      <c r="F53" s="226">
        <v>1</v>
      </c>
      <c r="G53" s="228">
        <v>655500</v>
      </c>
      <c r="H53" s="175">
        <f t="shared" si="1"/>
        <v>655500</v>
      </c>
      <c r="I53" s="38" t="s">
        <v>325</v>
      </c>
    </row>
    <row r="54" spans="1:9" ht="15.95" customHeight="1">
      <c r="A54" s="497"/>
      <c r="B54" s="218"/>
      <c r="C54" s="225" t="s">
        <v>250</v>
      </c>
      <c r="D54" s="225"/>
      <c r="E54" s="225"/>
      <c r="F54" s="226">
        <v>1</v>
      </c>
      <c r="G54" s="228">
        <v>1655999.9999999998</v>
      </c>
      <c r="H54" s="175">
        <f t="shared" si="1"/>
        <v>1655999.9999999998</v>
      </c>
      <c r="I54" s="38" t="s">
        <v>253</v>
      </c>
    </row>
    <row r="55" spans="1:9" ht="15.95" customHeight="1">
      <c r="A55" s="497"/>
      <c r="B55" s="218"/>
      <c r="C55" s="225" t="s">
        <v>258</v>
      </c>
      <c r="D55" s="225"/>
      <c r="E55" s="225"/>
      <c r="F55" s="226">
        <v>1</v>
      </c>
      <c r="G55" s="228">
        <v>690000</v>
      </c>
      <c r="H55" s="175">
        <f t="shared" si="1"/>
        <v>690000</v>
      </c>
      <c r="I55" s="38" t="s">
        <v>203</v>
      </c>
    </row>
    <row r="56" spans="1:9" ht="15.95" customHeight="1">
      <c r="A56" s="497"/>
      <c r="B56" s="218"/>
      <c r="C56" s="225" t="s">
        <v>320</v>
      </c>
      <c r="D56" s="225"/>
      <c r="E56" s="225"/>
      <c r="F56" s="226">
        <v>2</v>
      </c>
      <c r="G56" s="228">
        <v>690000</v>
      </c>
      <c r="H56" s="175">
        <f t="shared" si="1"/>
        <v>1380000</v>
      </c>
      <c r="I56" s="38" t="s">
        <v>203</v>
      </c>
    </row>
    <row r="57" spans="1:9" ht="15.95" customHeight="1">
      <c r="A57" s="497"/>
      <c r="B57" s="218"/>
      <c r="C57" s="225" t="s">
        <v>478</v>
      </c>
      <c r="D57" s="225"/>
      <c r="E57" s="225"/>
      <c r="F57" s="227">
        <v>1</v>
      </c>
      <c r="G57" s="228">
        <v>276000</v>
      </c>
      <c r="H57" s="175">
        <v>276000</v>
      </c>
      <c r="I57" s="38" t="s">
        <v>197</v>
      </c>
    </row>
    <row r="58" spans="1:9" ht="15.95" customHeight="1">
      <c r="A58" s="497"/>
      <c r="B58" s="218"/>
      <c r="C58" s="225" t="s">
        <v>479</v>
      </c>
      <c r="D58" s="225"/>
      <c r="E58" s="225"/>
      <c r="F58" s="227">
        <v>1</v>
      </c>
      <c r="G58" s="228">
        <v>655500</v>
      </c>
      <c r="H58" s="175">
        <v>655500</v>
      </c>
      <c r="I58" s="38" t="s">
        <v>197</v>
      </c>
    </row>
    <row r="59" spans="1:9" ht="15.95" customHeight="1">
      <c r="A59" s="497"/>
      <c r="B59" s="218"/>
      <c r="C59" s="225" t="s">
        <v>480</v>
      </c>
      <c r="D59" s="225"/>
      <c r="E59" s="225"/>
      <c r="F59" s="227">
        <v>1</v>
      </c>
      <c r="G59" s="228">
        <v>1931999.9999999998</v>
      </c>
      <c r="H59" s="175">
        <v>1931999.9999999998</v>
      </c>
      <c r="I59" s="38" t="s">
        <v>197</v>
      </c>
    </row>
    <row r="60" spans="1:9" ht="15.95" customHeight="1">
      <c r="A60" s="497"/>
      <c r="B60" s="218"/>
      <c r="C60" s="225" t="s">
        <v>453</v>
      </c>
      <c r="D60" s="225"/>
      <c r="E60" s="225"/>
      <c r="F60" s="227">
        <v>1</v>
      </c>
      <c r="G60" s="228">
        <v>552000</v>
      </c>
      <c r="H60" s="175">
        <v>552000</v>
      </c>
      <c r="I60" s="38" t="s">
        <v>555</v>
      </c>
    </row>
    <row r="61" spans="1:9" ht="15.95" customHeight="1">
      <c r="A61" s="497"/>
      <c r="B61" s="218"/>
      <c r="C61" s="225" t="s">
        <v>417</v>
      </c>
      <c r="D61" s="225"/>
      <c r="E61" s="225"/>
      <c r="F61" s="227">
        <v>1</v>
      </c>
      <c r="G61" s="228">
        <v>241499.99999999997</v>
      </c>
      <c r="H61" s="175">
        <v>241499.99999999997</v>
      </c>
      <c r="I61" s="38" t="s">
        <v>555</v>
      </c>
    </row>
    <row r="62" spans="1:9" ht="15.95" customHeight="1">
      <c r="A62" s="497"/>
      <c r="B62" s="218"/>
      <c r="C62" s="225" t="s">
        <v>500</v>
      </c>
      <c r="D62" s="225"/>
      <c r="E62" s="225"/>
      <c r="F62" s="227">
        <v>1</v>
      </c>
      <c r="G62" s="228">
        <v>827999.99999999988</v>
      </c>
      <c r="H62" s="175">
        <v>827999.99999999988</v>
      </c>
      <c r="I62" s="38" t="s">
        <v>555</v>
      </c>
    </row>
    <row r="63" spans="1:9" ht="15.95" customHeight="1">
      <c r="A63" s="497"/>
      <c r="B63" s="218"/>
      <c r="C63" s="225" t="s">
        <v>506</v>
      </c>
      <c r="D63" s="225"/>
      <c r="E63" s="225"/>
      <c r="F63" s="227">
        <v>1</v>
      </c>
      <c r="G63" s="228">
        <v>413999.99999999994</v>
      </c>
      <c r="H63" s="175">
        <v>413999.99999999994</v>
      </c>
      <c r="I63" s="38" t="s">
        <v>555</v>
      </c>
    </row>
    <row r="64" spans="1:9" ht="15.95" customHeight="1">
      <c r="A64" s="497"/>
      <c r="B64" s="218"/>
      <c r="C64" s="225" t="s">
        <v>507</v>
      </c>
      <c r="D64" s="225"/>
      <c r="E64" s="225"/>
      <c r="F64" s="227">
        <v>20</v>
      </c>
      <c r="G64" s="228">
        <v>276000</v>
      </c>
      <c r="H64" s="175">
        <v>5520000</v>
      </c>
      <c r="I64" s="38" t="s">
        <v>555</v>
      </c>
    </row>
    <row r="65" spans="1:9" ht="15.95" customHeight="1">
      <c r="A65" s="497"/>
      <c r="B65" s="218"/>
      <c r="C65" s="225" t="s">
        <v>501</v>
      </c>
      <c r="D65" s="225"/>
      <c r="E65" s="225"/>
      <c r="F65" s="227">
        <v>1</v>
      </c>
      <c r="G65" s="228">
        <v>276000</v>
      </c>
      <c r="H65" s="175">
        <v>276000</v>
      </c>
      <c r="I65" s="38" t="s">
        <v>555</v>
      </c>
    </row>
    <row r="66" spans="1:9" ht="15.95" customHeight="1">
      <c r="A66" s="497"/>
      <c r="B66" s="218"/>
      <c r="C66" s="225" t="s">
        <v>488</v>
      </c>
      <c r="D66" s="225"/>
      <c r="E66" s="225"/>
      <c r="F66" s="227">
        <v>1</v>
      </c>
      <c r="G66" s="228">
        <v>276000</v>
      </c>
      <c r="H66" s="175">
        <v>276000</v>
      </c>
      <c r="I66" s="38" t="s">
        <v>555</v>
      </c>
    </row>
    <row r="67" spans="1:9" ht="15.95" customHeight="1">
      <c r="A67" s="497"/>
      <c r="B67" s="218"/>
      <c r="C67" s="225" t="s">
        <v>502</v>
      </c>
      <c r="D67" s="225"/>
      <c r="E67" s="225"/>
      <c r="F67" s="227">
        <v>1</v>
      </c>
      <c r="G67" s="228">
        <v>345000</v>
      </c>
      <c r="H67" s="175">
        <v>345000</v>
      </c>
      <c r="I67" s="38" t="s">
        <v>555</v>
      </c>
    </row>
    <row r="68" spans="1:9" ht="15.95" customHeight="1">
      <c r="A68" s="497"/>
      <c r="B68" s="218"/>
      <c r="C68" s="225"/>
      <c r="D68" s="225"/>
      <c r="E68" s="225"/>
      <c r="F68" s="227"/>
      <c r="G68" s="228"/>
      <c r="H68" s="175">
        <f t="shared" si="0"/>
        <v>0</v>
      </c>
      <c r="I68" s="38"/>
    </row>
    <row r="69" spans="1:9" ht="15.95" customHeight="1">
      <c r="A69" s="497"/>
      <c r="B69" s="218"/>
      <c r="C69" s="229"/>
      <c r="D69" s="229"/>
      <c r="E69" s="229"/>
      <c r="F69" s="232"/>
      <c r="G69" s="232"/>
      <c r="H69" s="185">
        <f t="shared" si="0"/>
        <v>0</v>
      </c>
      <c r="I69" s="233"/>
    </row>
    <row r="70" spans="1:9" ht="15.95" customHeight="1">
      <c r="A70" s="497"/>
      <c r="B70" s="234"/>
      <c r="C70" s="235"/>
      <c r="D70" s="236"/>
      <c r="E70" s="236"/>
      <c r="F70" s="238"/>
      <c r="G70" s="238"/>
      <c r="H70" s="239">
        <f>SUM(H41:H69)</f>
        <v>145859100</v>
      </c>
      <c r="I70" s="240"/>
    </row>
    <row r="71" spans="1:9" ht="15.95" customHeight="1">
      <c r="A71" s="497"/>
      <c r="B71" s="261" t="s">
        <v>53</v>
      </c>
      <c r="C71" s="242"/>
      <c r="D71" s="242"/>
      <c r="E71" s="242"/>
      <c r="F71" s="245"/>
      <c r="G71" s="245"/>
      <c r="H71" s="246">
        <f t="shared" si="0"/>
        <v>0</v>
      </c>
      <c r="I71" s="247"/>
    </row>
    <row r="72" spans="1:9" ht="15.95" customHeight="1">
      <c r="A72" s="497"/>
      <c r="B72" s="218"/>
      <c r="C72" s="225"/>
      <c r="D72" s="225"/>
      <c r="E72" s="225"/>
      <c r="F72" s="228"/>
      <c r="G72" s="228"/>
      <c r="H72" s="175">
        <f t="shared" si="0"/>
        <v>0</v>
      </c>
      <c r="I72" s="38"/>
    </row>
    <row r="73" spans="1:9" ht="15.95" customHeight="1">
      <c r="A73" s="497"/>
      <c r="B73" s="218"/>
      <c r="C73" s="225"/>
      <c r="D73" s="225"/>
      <c r="E73" s="225"/>
      <c r="F73" s="228"/>
      <c r="G73" s="228"/>
      <c r="H73" s="175">
        <f t="shared" si="0"/>
        <v>0</v>
      </c>
      <c r="I73" s="38"/>
    </row>
    <row r="74" spans="1:9" ht="15.95" customHeight="1">
      <c r="A74" s="497"/>
      <c r="B74" s="218"/>
      <c r="C74" s="225"/>
      <c r="D74" s="225"/>
      <c r="E74" s="225"/>
      <c r="F74" s="228"/>
      <c r="G74" s="228"/>
      <c r="H74" s="175">
        <f t="shared" si="0"/>
        <v>0</v>
      </c>
      <c r="I74" s="38"/>
    </row>
    <row r="75" spans="1:9" ht="15.95" customHeight="1">
      <c r="A75" s="497"/>
      <c r="B75" s="218"/>
      <c r="C75" s="225"/>
      <c r="D75" s="225"/>
      <c r="E75" s="225"/>
      <c r="F75" s="228"/>
      <c r="G75" s="228"/>
      <c r="H75" s="175">
        <f t="shared" si="0"/>
        <v>0</v>
      </c>
      <c r="I75" s="38"/>
    </row>
    <row r="76" spans="1:9" ht="15.95" customHeight="1">
      <c r="A76" s="497"/>
      <c r="B76" s="218"/>
      <c r="C76" s="225"/>
      <c r="D76" s="225"/>
      <c r="E76" s="225"/>
      <c r="F76" s="228"/>
      <c r="G76" s="228"/>
      <c r="H76" s="175">
        <f t="shared" si="0"/>
        <v>0</v>
      </c>
      <c r="I76" s="38"/>
    </row>
    <row r="77" spans="1:9" ht="15.95" customHeight="1">
      <c r="A77" s="497"/>
      <c r="B77" s="218"/>
      <c r="C77" s="229" t="s">
        <v>132</v>
      </c>
      <c r="D77" s="229"/>
      <c r="E77" s="229"/>
      <c r="F77" s="232"/>
      <c r="G77" s="232"/>
      <c r="H77" s="185">
        <f t="shared" si="0"/>
        <v>0</v>
      </c>
      <c r="I77" s="233"/>
    </row>
    <row r="78" spans="1:9" ht="15.95" customHeight="1">
      <c r="A78" s="497"/>
      <c r="B78" s="234"/>
      <c r="C78" s="235"/>
      <c r="D78" s="236"/>
      <c r="E78" s="236"/>
      <c r="F78" s="238"/>
      <c r="G78" s="238"/>
      <c r="H78" s="239">
        <f>SUM(H71:H77)</f>
        <v>0</v>
      </c>
      <c r="I78" s="240"/>
    </row>
    <row r="79" spans="1:9" ht="15.95" customHeight="1">
      <c r="A79" s="281"/>
      <c r="B79" s="282" t="s">
        <v>135</v>
      </c>
      <c r="C79" s="283"/>
      <c r="D79" s="240"/>
      <c r="E79" s="240"/>
      <c r="F79" s="285"/>
      <c r="G79" s="285"/>
      <c r="H79" s="239">
        <f>SUM(H78,H70,H40,H34)</f>
        <v>280407100</v>
      </c>
      <c r="I79" s="240"/>
    </row>
    <row r="80" spans="1:9" ht="15.95" customHeight="1">
      <c r="A80" s="498" t="s">
        <v>136</v>
      </c>
      <c r="B80" s="286" t="s">
        <v>59</v>
      </c>
      <c r="C80" s="283"/>
      <c r="D80" s="240"/>
      <c r="E80" s="287" t="s">
        <v>60</v>
      </c>
      <c r="F80" s="303"/>
      <c r="G80" s="289"/>
      <c r="H80" s="290">
        <f>F80*G80</f>
        <v>0</v>
      </c>
      <c r="I80" s="240"/>
    </row>
    <row r="81" spans="1:9" ht="15.95" customHeight="1">
      <c r="A81" s="497"/>
      <c r="B81" s="291" t="s">
        <v>154</v>
      </c>
      <c r="C81" s="292"/>
      <c r="D81" s="247"/>
      <c r="E81" s="296" t="s">
        <v>138</v>
      </c>
      <c r="F81" s="245"/>
      <c r="G81" s="245"/>
      <c r="H81" s="246">
        <f t="shared" ref="H81:H87" si="2">F81*G81</f>
        <v>0</v>
      </c>
      <c r="I81" s="247"/>
    </row>
    <row r="82" spans="1:9" ht="15.95" customHeight="1">
      <c r="A82" s="497"/>
      <c r="B82" s="324" t="s">
        <v>155</v>
      </c>
      <c r="C82" s="295"/>
      <c r="D82" s="38"/>
      <c r="E82" s="296" t="s">
        <v>138</v>
      </c>
      <c r="F82" s="228"/>
      <c r="G82" s="228"/>
      <c r="H82" s="175">
        <f t="shared" si="2"/>
        <v>0</v>
      </c>
      <c r="I82" s="38"/>
    </row>
    <row r="83" spans="1:9" ht="15.95" customHeight="1">
      <c r="A83" s="497"/>
      <c r="B83" s="294" t="s">
        <v>156</v>
      </c>
      <c r="C83" s="295"/>
      <c r="D83" s="38"/>
      <c r="E83" s="296" t="s">
        <v>138</v>
      </c>
      <c r="F83" s="228"/>
      <c r="G83" s="228"/>
      <c r="H83" s="175">
        <f t="shared" si="2"/>
        <v>0</v>
      </c>
      <c r="I83" s="38"/>
    </row>
    <row r="84" spans="1:9" ht="15.95" customHeight="1">
      <c r="A84" s="497"/>
      <c r="B84" s="294" t="s">
        <v>157</v>
      </c>
      <c r="C84" s="295"/>
      <c r="D84" s="38"/>
      <c r="E84" s="296" t="s">
        <v>138</v>
      </c>
      <c r="F84" s="228"/>
      <c r="G84" s="228"/>
      <c r="H84" s="175">
        <f t="shared" si="2"/>
        <v>0</v>
      </c>
      <c r="I84" s="38"/>
    </row>
    <row r="85" spans="1:9" ht="15.95" customHeight="1">
      <c r="A85" s="497"/>
      <c r="B85" s="294" t="s">
        <v>158</v>
      </c>
      <c r="C85" s="295"/>
      <c r="D85" s="38"/>
      <c r="E85" s="296" t="s">
        <v>138</v>
      </c>
      <c r="F85" s="228"/>
      <c r="G85" s="228"/>
      <c r="H85" s="175">
        <f t="shared" si="2"/>
        <v>0</v>
      </c>
      <c r="I85" s="38"/>
    </row>
    <row r="86" spans="1:9" ht="15.95" customHeight="1">
      <c r="A86" s="497"/>
      <c r="B86" s="294" t="s">
        <v>159</v>
      </c>
      <c r="C86" s="295"/>
      <c r="D86" s="38"/>
      <c r="E86" s="296" t="s">
        <v>138</v>
      </c>
      <c r="F86" s="228"/>
      <c r="G86" s="228"/>
      <c r="H86" s="175">
        <f t="shared" si="2"/>
        <v>0</v>
      </c>
      <c r="I86" s="38"/>
    </row>
    <row r="87" spans="1:9" ht="15.95" customHeight="1">
      <c r="A87" s="497"/>
      <c r="B87" s="297" t="s">
        <v>163</v>
      </c>
      <c r="C87" s="298"/>
      <c r="D87" s="233"/>
      <c r="E87" s="299" t="s">
        <v>138</v>
      </c>
      <c r="F87" s="232"/>
      <c r="G87" s="232"/>
      <c r="H87" s="185">
        <f t="shared" si="2"/>
        <v>0</v>
      </c>
      <c r="I87" s="233"/>
    </row>
    <row r="88" spans="1:9" ht="15.95" customHeight="1">
      <c r="A88" s="281"/>
      <c r="B88" s="300" t="s">
        <v>144</v>
      </c>
      <c r="C88" s="283"/>
      <c r="D88" s="240"/>
      <c r="E88" s="240"/>
      <c r="F88" s="238"/>
      <c r="G88" s="238"/>
      <c r="H88" s="238">
        <f>SUM(H81:H87)</f>
        <v>0</v>
      </c>
      <c r="I88" s="236"/>
    </row>
    <row r="89" spans="1:9" ht="15.95" customHeight="1">
      <c r="A89" s="287"/>
      <c r="B89" s="300" t="s">
        <v>161</v>
      </c>
      <c r="C89" s="283"/>
      <c r="D89" s="240"/>
      <c r="E89" s="240"/>
      <c r="F89" s="239"/>
      <c r="G89" s="239"/>
      <c r="H89" s="285"/>
      <c r="I89" s="240"/>
    </row>
    <row r="90" spans="1:9" ht="15.95" customHeight="1">
      <c r="A90" s="287"/>
      <c r="B90" s="300" t="s">
        <v>85</v>
      </c>
      <c r="C90" s="283"/>
      <c r="D90" s="240"/>
      <c r="E90" s="240"/>
      <c r="F90" s="239"/>
      <c r="G90" s="302"/>
      <c r="H90" s="303">
        <f>(H88+H79)*0.05</f>
        <v>14020355</v>
      </c>
      <c r="I90" s="283"/>
    </row>
    <row r="91" spans="1:9" ht="15.95" customHeight="1">
      <c r="A91" s="287"/>
      <c r="B91" s="300" t="s">
        <v>147</v>
      </c>
      <c r="C91" s="283"/>
      <c r="D91" s="240"/>
      <c r="E91" s="240"/>
      <c r="F91" s="239"/>
      <c r="G91" s="302"/>
      <c r="H91" s="303">
        <f>(H88+H79)*0.1</f>
        <v>28040710</v>
      </c>
      <c r="I91" s="283"/>
    </row>
    <row r="92" spans="1:9" ht="15.95" customHeight="1">
      <c r="A92" s="287"/>
      <c r="B92" s="300" t="s">
        <v>148</v>
      </c>
      <c r="C92" s="283"/>
      <c r="D92" s="240"/>
      <c r="E92" s="240"/>
      <c r="F92" s="239"/>
      <c r="G92" s="239"/>
      <c r="H92" s="238">
        <f>H79+H88+H89+H90+H91</f>
        <v>322468165</v>
      </c>
      <c r="I92" s="240"/>
    </row>
    <row r="93" spans="1:9">
      <c r="A93" s="136"/>
    </row>
  </sheetData>
  <mergeCells count="3">
    <mergeCell ref="A2:B2"/>
    <mergeCell ref="A3:A78"/>
    <mergeCell ref="A80:A8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F3:F14" numberStoredAsText="1"/>
    <ignoredError sqref="H70" formula="1"/>
  </ignoredError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1E5D-AC90-41DD-A6DB-33B0A6DF8706}">
  <sheetPr>
    <tabColor rgb="FF00B050"/>
    <pageSetUpPr fitToPage="1"/>
  </sheetPr>
  <dimension ref="A1:I69"/>
  <sheetViews>
    <sheetView zoomScale="85" workbookViewId="0">
      <pane xSplit="2" ySplit="2" topLeftCell="C3" activePane="bottomRight" state="frozen"/>
      <selection activeCell="W63" sqref="W63"/>
      <selection pane="topRight" activeCell="W63" sqref="W63"/>
      <selection pane="bottomLeft" activeCell="W63" sqref="W63"/>
      <selection pane="bottomRight" activeCell="N36" sqref="N36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27.5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41" width="9" style="130"/>
    <col min="242" max="242" width="5" style="130" customWidth="1"/>
    <col min="243" max="243" width="17.875" style="130" bestFit="1" customWidth="1"/>
    <col min="244" max="244" width="23.625" style="130" customWidth="1"/>
    <col min="245" max="245" width="18.25" style="130" customWidth="1"/>
    <col min="246" max="246" width="5.25" style="130" bestFit="1" customWidth="1"/>
    <col min="247" max="247" width="9" style="130"/>
    <col min="248" max="248" width="11.875" style="130" customWidth="1"/>
    <col min="249" max="249" width="13.625" style="130" customWidth="1"/>
    <col min="250" max="250" width="12.75" style="130" customWidth="1"/>
    <col min="251" max="497" width="9" style="130"/>
    <col min="498" max="498" width="5" style="130" customWidth="1"/>
    <col min="499" max="499" width="17.875" style="130" bestFit="1" customWidth="1"/>
    <col min="500" max="500" width="23.625" style="130" customWidth="1"/>
    <col min="501" max="501" width="18.25" style="130" customWidth="1"/>
    <col min="502" max="502" width="5.25" style="130" bestFit="1" customWidth="1"/>
    <col min="503" max="503" width="9" style="130"/>
    <col min="504" max="504" width="11.875" style="130" customWidth="1"/>
    <col min="505" max="505" width="13.625" style="130" customWidth="1"/>
    <col min="506" max="506" width="12.75" style="130" customWidth="1"/>
    <col min="507" max="753" width="9" style="130"/>
    <col min="754" max="754" width="5" style="130" customWidth="1"/>
    <col min="755" max="755" width="17.875" style="130" bestFit="1" customWidth="1"/>
    <col min="756" max="756" width="23.625" style="130" customWidth="1"/>
    <col min="757" max="757" width="18.25" style="130" customWidth="1"/>
    <col min="758" max="758" width="5.25" style="130" bestFit="1" customWidth="1"/>
    <col min="759" max="759" width="9" style="130"/>
    <col min="760" max="760" width="11.875" style="130" customWidth="1"/>
    <col min="761" max="761" width="13.625" style="130" customWidth="1"/>
    <col min="762" max="762" width="12.75" style="130" customWidth="1"/>
    <col min="763" max="1009" width="9" style="130"/>
    <col min="1010" max="1010" width="5" style="130" customWidth="1"/>
    <col min="1011" max="1011" width="17.875" style="130" bestFit="1" customWidth="1"/>
    <col min="1012" max="1012" width="23.625" style="130" customWidth="1"/>
    <col min="1013" max="1013" width="18.25" style="130" customWidth="1"/>
    <col min="1014" max="1014" width="5.25" style="130" bestFit="1" customWidth="1"/>
    <col min="1015" max="1015" width="9" style="130"/>
    <col min="1016" max="1016" width="11.875" style="130" customWidth="1"/>
    <col min="1017" max="1017" width="13.625" style="130" customWidth="1"/>
    <col min="1018" max="1018" width="12.75" style="130" customWidth="1"/>
    <col min="1019" max="1265" width="9" style="130"/>
    <col min="1266" max="1266" width="5" style="130" customWidth="1"/>
    <col min="1267" max="1267" width="17.875" style="130" bestFit="1" customWidth="1"/>
    <col min="1268" max="1268" width="23.625" style="130" customWidth="1"/>
    <col min="1269" max="1269" width="18.25" style="130" customWidth="1"/>
    <col min="1270" max="1270" width="5.25" style="130" bestFit="1" customWidth="1"/>
    <col min="1271" max="1271" width="9" style="130"/>
    <col min="1272" max="1272" width="11.875" style="130" customWidth="1"/>
    <col min="1273" max="1273" width="13.625" style="130" customWidth="1"/>
    <col min="1274" max="1274" width="12.75" style="130" customWidth="1"/>
    <col min="1275" max="1521" width="9" style="130"/>
    <col min="1522" max="1522" width="5" style="130" customWidth="1"/>
    <col min="1523" max="1523" width="17.875" style="130" bestFit="1" customWidth="1"/>
    <col min="1524" max="1524" width="23.625" style="130" customWidth="1"/>
    <col min="1525" max="1525" width="18.25" style="130" customWidth="1"/>
    <col min="1526" max="1526" width="5.25" style="130" bestFit="1" customWidth="1"/>
    <col min="1527" max="1527" width="9" style="130"/>
    <col min="1528" max="1528" width="11.875" style="130" customWidth="1"/>
    <col min="1529" max="1529" width="13.625" style="130" customWidth="1"/>
    <col min="1530" max="1530" width="12.75" style="130" customWidth="1"/>
    <col min="1531" max="1777" width="9" style="130"/>
    <col min="1778" max="1778" width="5" style="130" customWidth="1"/>
    <col min="1779" max="1779" width="17.875" style="130" bestFit="1" customWidth="1"/>
    <col min="1780" max="1780" width="23.625" style="130" customWidth="1"/>
    <col min="1781" max="1781" width="18.25" style="130" customWidth="1"/>
    <col min="1782" max="1782" width="5.25" style="130" bestFit="1" customWidth="1"/>
    <col min="1783" max="1783" width="9" style="130"/>
    <col min="1784" max="1784" width="11.875" style="130" customWidth="1"/>
    <col min="1785" max="1785" width="13.625" style="130" customWidth="1"/>
    <col min="1786" max="1786" width="12.75" style="130" customWidth="1"/>
    <col min="1787" max="2033" width="9" style="130"/>
    <col min="2034" max="2034" width="5" style="130" customWidth="1"/>
    <col min="2035" max="2035" width="17.875" style="130" bestFit="1" customWidth="1"/>
    <col min="2036" max="2036" width="23.625" style="130" customWidth="1"/>
    <col min="2037" max="2037" width="18.25" style="130" customWidth="1"/>
    <col min="2038" max="2038" width="5.25" style="130" bestFit="1" customWidth="1"/>
    <col min="2039" max="2039" width="9" style="130"/>
    <col min="2040" max="2040" width="11.875" style="130" customWidth="1"/>
    <col min="2041" max="2041" width="13.625" style="130" customWidth="1"/>
    <col min="2042" max="2042" width="12.75" style="130" customWidth="1"/>
    <col min="2043" max="2289" width="9" style="130"/>
    <col min="2290" max="2290" width="5" style="130" customWidth="1"/>
    <col min="2291" max="2291" width="17.875" style="130" bestFit="1" customWidth="1"/>
    <col min="2292" max="2292" width="23.625" style="130" customWidth="1"/>
    <col min="2293" max="2293" width="18.25" style="130" customWidth="1"/>
    <col min="2294" max="2294" width="5.25" style="130" bestFit="1" customWidth="1"/>
    <col min="2295" max="2295" width="9" style="130"/>
    <col min="2296" max="2296" width="11.875" style="130" customWidth="1"/>
    <col min="2297" max="2297" width="13.625" style="130" customWidth="1"/>
    <col min="2298" max="2298" width="12.75" style="130" customWidth="1"/>
    <col min="2299" max="2545" width="9" style="130"/>
    <col min="2546" max="2546" width="5" style="130" customWidth="1"/>
    <col min="2547" max="2547" width="17.875" style="130" bestFit="1" customWidth="1"/>
    <col min="2548" max="2548" width="23.625" style="130" customWidth="1"/>
    <col min="2549" max="2549" width="18.25" style="130" customWidth="1"/>
    <col min="2550" max="2550" width="5.25" style="130" bestFit="1" customWidth="1"/>
    <col min="2551" max="2551" width="9" style="130"/>
    <col min="2552" max="2552" width="11.875" style="130" customWidth="1"/>
    <col min="2553" max="2553" width="13.625" style="130" customWidth="1"/>
    <col min="2554" max="2554" width="12.75" style="130" customWidth="1"/>
    <col min="2555" max="2801" width="9" style="130"/>
    <col min="2802" max="2802" width="5" style="130" customWidth="1"/>
    <col min="2803" max="2803" width="17.875" style="130" bestFit="1" customWidth="1"/>
    <col min="2804" max="2804" width="23.625" style="130" customWidth="1"/>
    <col min="2805" max="2805" width="18.25" style="130" customWidth="1"/>
    <col min="2806" max="2806" width="5.25" style="130" bestFit="1" customWidth="1"/>
    <col min="2807" max="2807" width="9" style="130"/>
    <col min="2808" max="2808" width="11.875" style="130" customWidth="1"/>
    <col min="2809" max="2809" width="13.625" style="130" customWidth="1"/>
    <col min="2810" max="2810" width="12.75" style="130" customWidth="1"/>
    <col min="2811" max="3057" width="9" style="130"/>
    <col min="3058" max="3058" width="5" style="130" customWidth="1"/>
    <col min="3059" max="3059" width="17.875" style="130" bestFit="1" customWidth="1"/>
    <col min="3060" max="3060" width="23.625" style="130" customWidth="1"/>
    <col min="3061" max="3061" width="18.25" style="130" customWidth="1"/>
    <col min="3062" max="3062" width="5.25" style="130" bestFit="1" customWidth="1"/>
    <col min="3063" max="3063" width="9" style="130"/>
    <col min="3064" max="3064" width="11.875" style="130" customWidth="1"/>
    <col min="3065" max="3065" width="13.625" style="130" customWidth="1"/>
    <col min="3066" max="3066" width="12.75" style="130" customWidth="1"/>
    <col min="3067" max="3313" width="9" style="130"/>
    <col min="3314" max="3314" width="5" style="130" customWidth="1"/>
    <col min="3315" max="3315" width="17.875" style="130" bestFit="1" customWidth="1"/>
    <col min="3316" max="3316" width="23.625" style="130" customWidth="1"/>
    <col min="3317" max="3317" width="18.25" style="130" customWidth="1"/>
    <col min="3318" max="3318" width="5.25" style="130" bestFit="1" customWidth="1"/>
    <col min="3319" max="3319" width="9" style="130"/>
    <col min="3320" max="3320" width="11.875" style="130" customWidth="1"/>
    <col min="3321" max="3321" width="13.625" style="130" customWidth="1"/>
    <col min="3322" max="3322" width="12.75" style="130" customWidth="1"/>
    <col min="3323" max="3569" width="9" style="130"/>
    <col min="3570" max="3570" width="5" style="130" customWidth="1"/>
    <col min="3571" max="3571" width="17.875" style="130" bestFit="1" customWidth="1"/>
    <col min="3572" max="3572" width="23.625" style="130" customWidth="1"/>
    <col min="3573" max="3573" width="18.25" style="130" customWidth="1"/>
    <col min="3574" max="3574" width="5.25" style="130" bestFit="1" customWidth="1"/>
    <col min="3575" max="3575" width="9" style="130"/>
    <col min="3576" max="3576" width="11.875" style="130" customWidth="1"/>
    <col min="3577" max="3577" width="13.625" style="130" customWidth="1"/>
    <col min="3578" max="3578" width="12.75" style="130" customWidth="1"/>
    <col min="3579" max="3825" width="9" style="130"/>
    <col min="3826" max="3826" width="5" style="130" customWidth="1"/>
    <col min="3827" max="3827" width="17.875" style="130" bestFit="1" customWidth="1"/>
    <col min="3828" max="3828" width="23.625" style="130" customWidth="1"/>
    <col min="3829" max="3829" width="18.25" style="130" customWidth="1"/>
    <col min="3830" max="3830" width="5.25" style="130" bestFit="1" customWidth="1"/>
    <col min="3831" max="3831" width="9" style="130"/>
    <col min="3832" max="3832" width="11.875" style="130" customWidth="1"/>
    <col min="3833" max="3833" width="13.625" style="130" customWidth="1"/>
    <col min="3834" max="3834" width="12.75" style="130" customWidth="1"/>
    <col min="3835" max="4081" width="9" style="130"/>
    <col min="4082" max="4082" width="5" style="130" customWidth="1"/>
    <col min="4083" max="4083" width="17.875" style="130" bestFit="1" customWidth="1"/>
    <col min="4084" max="4084" width="23.625" style="130" customWidth="1"/>
    <col min="4085" max="4085" width="18.25" style="130" customWidth="1"/>
    <col min="4086" max="4086" width="5.25" style="130" bestFit="1" customWidth="1"/>
    <col min="4087" max="4087" width="9" style="130"/>
    <col min="4088" max="4088" width="11.875" style="130" customWidth="1"/>
    <col min="4089" max="4089" width="13.625" style="130" customWidth="1"/>
    <col min="4090" max="4090" width="12.75" style="130" customWidth="1"/>
    <col min="4091" max="4337" width="9" style="130"/>
    <col min="4338" max="4338" width="5" style="130" customWidth="1"/>
    <col min="4339" max="4339" width="17.875" style="130" bestFit="1" customWidth="1"/>
    <col min="4340" max="4340" width="23.625" style="130" customWidth="1"/>
    <col min="4341" max="4341" width="18.25" style="130" customWidth="1"/>
    <col min="4342" max="4342" width="5.25" style="130" bestFit="1" customWidth="1"/>
    <col min="4343" max="4343" width="9" style="130"/>
    <col min="4344" max="4344" width="11.875" style="130" customWidth="1"/>
    <col min="4345" max="4345" width="13.625" style="130" customWidth="1"/>
    <col min="4346" max="4346" width="12.75" style="130" customWidth="1"/>
    <col min="4347" max="4593" width="9" style="130"/>
    <col min="4594" max="4594" width="5" style="130" customWidth="1"/>
    <col min="4595" max="4595" width="17.875" style="130" bestFit="1" customWidth="1"/>
    <col min="4596" max="4596" width="23.625" style="130" customWidth="1"/>
    <col min="4597" max="4597" width="18.25" style="130" customWidth="1"/>
    <col min="4598" max="4598" width="5.25" style="130" bestFit="1" customWidth="1"/>
    <col min="4599" max="4599" width="9" style="130"/>
    <col min="4600" max="4600" width="11.875" style="130" customWidth="1"/>
    <col min="4601" max="4601" width="13.625" style="130" customWidth="1"/>
    <col min="4602" max="4602" width="12.75" style="130" customWidth="1"/>
    <col min="4603" max="4849" width="9" style="130"/>
    <col min="4850" max="4850" width="5" style="130" customWidth="1"/>
    <col min="4851" max="4851" width="17.875" style="130" bestFit="1" customWidth="1"/>
    <col min="4852" max="4852" width="23.625" style="130" customWidth="1"/>
    <col min="4853" max="4853" width="18.25" style="130" customWidth="1"/>
    <col min="4854" max="4854" width="5.25" style="130" bestFit="1" customWidth="1"/>
    <col min="4855" max="4855" width="9" style="130"/>
    <col min="4856" max="4856" width="11.875" style="130" customWidth="1"/>
    <col min="4857" max="4857" width="13.625" style="130" customWidth="1"/>
    <col min="4858" max="4858" width="12.75" style="130" customWidth="1"/>
    <col min="4859" max="5105" width="9" style="130"/>
    <col min="5106" max="5106" width="5" style="130" customWidth="1"/>
    <col min="5107" max="5107" width="17.875" style="130" bestFit="1" customWidth="1"/>
    <col min="5108" max="5108" width="23.625" style="130" customWidth="1"/>
    <col min="5109" max="5109" width="18.25" style="130" customWidth="1"/>
    <col min="5110" max="5110" width="5.25" style="130" bestFit="1" customWidth="1"/>
    <col min="5111" max="5111" width="9" style="130"/>
    <col min="5112" max="5112" width="11.875" style="130" customWidth="1"/>
    <col min="5113" max="5113" width="13.625" style="130" customWidth="1"/>
    <col min="5114" max="5114" width="12.75" style="130" customWidth="1"/>
    <col min="5115" max="5361" width="9" style="130"/>
    <col min="5362" max="5362" width="5" style="130" customWidth="1"/>
    <col min="5363" max="5363" width="17.875" style="130" bestFit="1" customWidth="1"/>
    <col min="5364" max="5364" width="23.625" style="130" customWidth="1"/>
    <col min="5365" max="5365" width="18.25" style="130" customWidth="1"/>
    <col min="5366" max="5366" width="5.25" style="130" bestFit="1" customWidth="1"/>
    <col min="5367" max="5367" width="9" style="130"/>
    <col min="5368" max="5368" width="11.875" style="130" customWidth="1"/>
    <col min="5369" max="5369" width="13.625" style="130" customWidth="1"/>
    <col min="5370" max="5370" width="12.75" style="130" customWidth="1"/>
    <col min="5371" max="5617" width="9" style="130"/>
    <col min="5618" max="5618" width="5" style="130" customWidth="1"/>
    <col min="5619" max="5619" width="17.875" style="130" bestFit="1" customWidth="1"/>
    <col min="5620" max="5620" width="23.625" style="130" customWidth="1"/>
    <col min="5621" max="5621" width="18.25" style="130" customWidth="1"/>
    <col min="5622" max="5622" width="5.25" style="130" bestFit="1" customWidth="1"/>
    <col min="5623" max="5623" width="9" style="130"/>
    <col min="5624" max="5624" width="11.875" style="130" customWidth="1"/>
    <col min="5625" max="5625" width="13.625" style="130" customWidth="1"/>
    <col min="5626" max="5626" width="12.75" style="130" customWidth="1"/>
    <col min="5627" max="5873" width="9" style="130"/>
    <col min="5874" max="5874" width="5" style="130" customWidth="1"/>
    <col min="5875" max="5875" width="17.875" style="130" bestFit="1" customWidth="1"/>
    <col min="5876" max="5876" width="23.625" style="130" customWidth="1"/>
    <col min="5877" max="5877" width="18.25" style="130" customWidth="1"/>
    <col min="5878" max="5878" width="5.25" style="130" bestFit="1" customWidth="1"/>
    <col min="5879" max="5879" width="9" style="130"/>
    <col min="5880" max="5880" width="11.875" style="130" customWidth="1"/>
    <col min="5881" max="5881" width="13.625" style="130" customWidth="1"/>
    <col min="5882" max="5882" width="12.75" style="130" customWidth="1"/>
    <col min="5883" max="6129" width="9" style="130"/>
    <col min="6130" max="6130" width="5" style="130" customWidth="1"/>
    <col min="6131" max="6131" width="17.875" style="130" bestFit="1" customWidth="1"/>
    <col min="6132" max="6132" width="23.625" style="130" customWidth="1"/>
    <col min="6133" max="6133" width="18.25" style="130" customWidth="1"/>
    <col min="6134" max="6134" width="5.25" style="130" bestFit="1" customWidth="1"/>
    <col min="6135" max="6135" width="9" style="130"/>
    <col min="6136" max="6136" width="11.875" style="130" customWidth="1"/>
    <col min="6137" max="6137" width="13.625" style="130" customWidth="1"/>
    <col min="6138" max="6138" width="12.75" style="130" customWidth="1"/>
    <col min="6139" max="6385" width="9" style="130"/>
    <col min="6386" max="6386" width="5" style="130" customWidth="1"/>
    <col min="6387" max="6387" width="17.875" style="130" bestFit="1" customWidth="1"/>
    <col min="6388" max="6388" width="23.625" style="130" customWidth="1"/>
    <col min="6389" max="6389" width="18.25" style="130" customWidth="1"/>
    <col min="6390" max="6390" width="5.25" style="130" bestFit="1" customWidth="1"/>
    <col min="6391" max="6391" width="9" style="130"/>
    <col min="6392" max="6392" width="11.875" style="130" customWidth="1"/>
    <col min="6393" max="6393" width="13.625" style="130" customWidth="1"/>
    <col min="6394" max="6394" width="12.75" style="130" customWidth="1"/>
    <col min="6395" max="6641" width="9" style="130"/>
    <col min="6642" max="6642" width="5" style="130" customWidth="1"/>
    <col min="6643" max="6643" width="17.875" style="130" bestFit="1" customWidth="1"/>
    <col min="6644" max="6644" width="23.625" style="130" customWidth="1"/>
    <col min="6645" max="6645" width="18.25" style="130" customWidth="1"/>
    <col min="6646" max="6646" width="5.25" style="130" bestFit="1" customWidth="1"/>
    <col min="6647" max="6647" width="9" style="130"/>
    <col min="6648" max="6648" width="11.875" style="130" customWidth="1"/>
    <col min="6649" max="6649" width="13.625" style="130" customWidth="1"/>
    <col min="6650" max="6650" width="12.75" style="130" customWidth="1"/>
    <col min="6651" max="6897" width="9" style="130"/>
    <col min="6898" max="6898" width="5" style="130" customWidth="1"/>
    <col min="6899" max="6899" width="17.875" style="130" bestFit="1" customWidth="1"/>
    <col min="6900" max="6900" width="23.625" style="130" customWidth="1"/>
    <col min="6901" max="6901" width="18.25" style="130" customWidth="1"/>
    <col min="6902" max="6902" width="5.25" style="130" bestFit="1" customWidth="1"/>
    <col min="6903" max="6903" width="9" style="130"/>
    <col min="6904" max="6904" width="11.875" style="130" customWidth="1"/>
    <col min="6905" max="6905" width="13.625" style="130" customWidth="1"/>
    <col min="6906" max="6906" width="12.75" style="130" customWidth="1"/>
    <col min="6907" max="7153" width="9" style="130"/>
    <col min="7154" max="7154" width="5" style="130" customWidth="1"/>
    <col min="7155" max="7155" width="17.875" style="130" bestFit="1" customWidth="1"/>
    <col min="7156" max="7156" width="23.625" style="130" customWidth="1"/>
    <col min="7157" max="7157" width="18.25" style="130" customWidth="1"/>
    <col min="7158" max="7158" width="5.25" style="130" bestFit="1" customWidth="1"/>
    <col min="7159" max="7159" width="9" style="130"/>
    <col min="7160" max="7160" width="11.875" style="130" customWidth="1"/>
    <col min="7161" max="7161" width="13.625" style="130" customWidth="1"/>
    <col min="7162" max="7162" width="12.75" style="130" customWidth="1"/>
    <col min="7163" max="7409" width="9" style="130"/>
    <col min="7410" max="7410" width="5" style="130" customWidth="1"/>
    <col min="7411" max="7411" width="17.875" style="130" bestFit="1" customWidth="1"/>
    <col min="7412" max="7412" width="23.625" style="130" customWidth="1"/>
    <col min="7413" max="7413" width="18.25" style="130" customWidth="1"/>
    <col min="7414" max="7414" width="5.25" style="130" bestFit="1" customWidth="1"/>
    <col min="7415" max="7415" width="9" style="130"/>
    <col min="7416" max="7416" width="11.875" style="130" customWidth="1"/>
    <col min="7417" max="7417" width="13.625" style="130" customWidth="1"/>
    <col min="7418" max="7418" width="12.75" style="130" customWidth="1"/>
    <col min="7419" max="7665" width="9" style="130"/>
    <col min="7666" max="7666" width="5" style="130" customWidth="1"/>
    <col min="7667" max="7667" width="17.875" style="130" bestFit="1" customWidth="1"/>
    <col min="7668" max="7668" width="23.625" style="130" customWidth="1"/>
    <col min="7669" max="7669" width="18.25" style="130" customWidth="1"/>
    <col min="7670" max="7670" width="5.25" style="130" bestFit="1" customWidth="1"/>
    <col min="7671" max="7671" width="9" style="130"/>
    <col min="7672" max="7672" width="11.875" style="130" customWidth="1"/>
    <col min="7673" max="7673" width="13.625" style="130" customWidth="1"/>
    <col min="7674" max="7674" width="12.75" style="130" customWidth="1"/>
    <col min="7675" max="7921" width="9" style="130"/>
    <col min="7922" max="7922" width="5" style="130" customWidth="1"/>
    <col min="7923" max="7923" width="17.875" style="130" bestFit="1" customWidth="1"/>
    <col min="7924" max="7924" width="23.625" style="130" customWidth="1"/>
    <col min="7925" max="7925" width="18.25" style="130" customWidth="1"/>
    <col min="7926" max="7926" width="5.25" style="130" bestFit="1" customWidth="1"/>
    <col min="7927" max="7927" width="9" style="130"/>
    <col min="7928" max="7928" width="11.875" style="130" customWidth="1"/>
    <col min="7929" max="7929" width="13.625" style="130" customWidth="1"/>
    <col min="7930" max="7930" width="12.75" style="130" customWidth="1"/>
    <col min="7931" max="8177" width="9" style="130"/>
    <col min="8178" max="8178" width="5" style="130" customWidth="1"/>
    <col min="8179" max="8179" width="17.875" style="130" bestFit="1" customWidth="1"/>
    <col min="8180" max="8180" width="23.625" style="130" customWidth="1"/>
    <col min="8181" max="8181" width="18.25" style="130" customWidth="1"/>
    <col min="8182" max="8182" width="5.25" style="130" bestFit="1" customWidth="1"/>
    <col min="8183" max="8183" width="9" style="130"/>
    <col min="8184" max="8184" width="11.875" style="130" customWidth="1"/>
    <col min="8185" max="8185" width="13.625" style="130" customWidth="1"/>
    <col min="8186" max="8186" width="12.75" style="130" customWidth="1"/>
    <col min="8187" max="8433" width="9" style="130"/>
    <col min="8434" max="8434" width="5" style="130" customWidth="1"/>
    <col min="8435" max="8435" width="17.875" style="130" bestFit="1" customWidth="1"/>
    <col min="8436" max="8436" width="23.625" style="130" customWidth="1"/>
    <col min="8437" max="8437" width="18.25" style="130" customWidth="1"/>
    <col min="8438" max="8438" width="5.25" style="130" bestFit="1" customWidth="1"/>
    <col min="8439" max="8439" width="9" style="130"/>
    <col min="8440" max="8440" width="11.875" style="130" customWidth="1"/>
    <col min="8441" max="8441" width="13.625" style="130" customWidth="1"/>
    <col min="8442" max="8442" width="12.75" style="130" customWidth="1"/>
    <col min="8443" max="8689" width="9" style="130"/>
    <col min="8690" max="8690" width="5" style="130" customWidth="1"/>
    <col min="8691" max="8691" width="17.875" style="130" bestFit="1" customWidth="1"/>
    <col min="8692" max="8692" width="23.625" style="130" customWidth="1"/>
    <col min="8693" max="8693" width="18.25" style="130" customWidth="1"/>
    <col min="8694" max="8694" width="5.25" style="130" bestFit="1" customWidth="1"/>
    <col min="8695" max="8695" width="9" style="130"/>
    <col min="8696" max="8696" width="11.875" style="130" customWidth="1"/>
    <col min="8697" max="8697" width="13.625" style="130" customWidth="1"/>
    <col min="8698" max="8698" width="12.75" style="130" customWidth="1"/>
    <col min="8699" max="8945" width="9" style="130"/>
    <col min="8946" max="8946" width="5" style="130" customWidth="1"/>
    <col min="8947" max="8947" width="17.875" style="130" bestFit="1" customWidth="1"/>
    <col min="8948" max="8948" width="23.625" style="130" customWidth="1"/>
    <col min="8949" max="8949" width="18.25" style="130" customWidth="1"/>
    <col min="8950" max="8950" width="5.25" style="130" bestFit="1" customWidth="1"/>
    <col min="8951" max="8951" width="9" style="130"/>
    <col min="8952" max="8952" width="11.875" style="130" customWidth="1"/>
    <col min="8953" max="8953" width="13.625" style="130" customWidth="1"/>
    <col min="8954" max="8954" width="12.75" style="130" customWidth="1"/>
    <col min="8955" max="9201" width="9" style="130"/>
    <col min="9202" max="9202" width="5" style="130" customWidth="1"/>
    <col min="9203" max="9203" width="17.875" style="130" bestFit="1" customWidth="1"/>
    <col min="9204" max="9204" width="23.625" style="130" customWidth="1"/>
    <col min="9205" max="9205" width="18.25" style="130" customWidth="1"/>
    <col min="9206" max="9206" width="5.25" style="130" bestFit="1" customWidth="1"/>
    <col min="9207" max="9207" width="9" style="130"/>
    <col min="9208" max="9208" width="11.875" style="130" customWidth="1"/>
    <col min="9209" max="9209" width="13.625" style="130" customWidth="1"/>
    <col min="9210" max="9210" width="12.75" style="130" customWidth="1"/>
    <col min="9211" max="9457" width="9" style="130"/>
    <col min="9458" max="9458" width="5" style="130" customWidth="1"/>
    <col min="9459" max="9459" width="17.875" style="130" bestFit="1" customWidth="1"/>
    <col min="9460" max="9460" width="23.625" style="130" customWidth="1"/>
    <col min="9461" max="9461" width="18.25" style="130" customWidth="1"/>
    <col min="9462" max="9462" width="5.25" style="130" bestFit="1" customWidth="1"/>
    <col min="9463" max="9463" width="9" style="130"/>
    <col min="9464" max="9464" width="11.875" style="130" customWidth="1"/>
    <col min="9465" max="9465" width="13.625" style="130" customWidth="1"/>
    <col min="9466" max="9466" width="12.75" style="130" customWidth="1"/>
    <col min="9467" max="9713" width="9" style="130"/>
    <col min="9714" max="9714" width="5" style="130" customWidth="1"/>
    <col min="9715" max="9715" width="17.875" style="130" bestFit="1" customWidth="1"/>
    <col min="9716" max="9716" width="23.625" style="130" customWidth="1"/>
    <col min="9717" max="9717" width="18.25" style="130" customWidth="1"/>
    <col min="9718" max="9718" width="5.25" style="130" bestFit="1" customWidth="1"/>
    <col min="9719" max="9719" width="9" style="130"/>
    <col min="9720" max="9720" width="11.875" style="130" customWidth="1"/>
    <col min="9721" max="9721" width="13.625" style="130" customWidth="1"/>
    <col min="9722" max="9722" width="12.75" style="130" customWidth="1"/>
    <col min="9723" max="9969" width="9" style="130"/>
    <col min="9970" max="9970" width="5" style="130" customWidth="1"/>
    <col min="9971" max="9971" width="17.875" style="130" bestFit="1" customWidth="1"/>
    <col min="9972" max="9972" width="23.625" style="130" customWidth="1"/>
    <col min="9973" max="9973" width="18.25" style="130" customWidth="1"/>
    <col min="9974" max="9974" width="5.25" style="130" bestFit="1" customWidth="1"/>
    <col min="9975" max="9975" width="9" style="130"/>
    <col min="9976" max="9976" width="11.875" style="130" customWidth="1"/>
    <col min="9977" max="9977" width="13.625" style="130" customWidth="1"/>
    <col min="9978" max="9978" width="12.75" style="130" customWidth="1"/>
    <col min="9979" max="10225" width="9" style="130"/>
    <col min="10226" max="10226" width="5" style="130" customWidth="1"/>
    <col min="10227" max="10227" width="17.875" style="130" bestFit="1" customWidth="1"/>
    <col min="10228" max="10228" width="23.625" style="130" customWidth="1"/>
    <col min="10229" max="10229" width="18.25" style="130" customWidth="1"/>
    <col min="10230" max="10230" width="5.25" style="130" bestFit="1" customWidth="1"/>
    <col min="10231" max="10231" width="9" style="130"/>
    <col min="10232" max="10232" width="11.875" style="130" customWidth="1"/>
    <col min="10233" max="10233" width="13.625" style="130" customWidth="1"/>
    <col min="10234" max="10234" width="12.75" style="130" customWidth="1"/>
    <col min="10235" max="10481" width="9" style="130"/>
    <col min="10482" max="10482" width="5" style="130" customWidth="1"/>
    <col min="10483" max="10483" width="17.875" style="130" bestFit="1" customWidth="1"/>
    <col min="10484" max="10484" width="23.625" style="130" customWidth="1"/>
    <col min="10485" max="10485" width="18.25" style="130" customWidth="1"/>
    <col min="10486" max="10486" width="5.25" style="130" bestFit="1" customWidth="1"/>
    <col min="10487" max="10487" width="9" style="130"/>
    <col min="10488" max="10488" width="11.875" style="130" customWidth="1"/>
    <col min="10489" max="10489" width="13.625" style="130" customWidth="1"/>
    <col min="10490" max="10490" width="12.75" style="130" customWidth="1"/>
    <col min="10491" max="10737" width="9" style="130"/>
    <col min="10738" max="10738" width="5" style="130" customWidth="1"/>
    <col min="10739" max="10739" width="17.875" style="130" bestFit="1" customWidth="1"/>
    <col min="10740" max="10740" width="23.625" style="130" customWidth="1"/>
    <col min="10741" max="10741" width="18.25" style="130" customWidth="1"/>
    <col min="10742" max="10742" width="5.25" style="130" bestFit="1" customWidth="1"/>
    <col min="10743" max="10743" width="9" style="130"/>
    <col min="10744" max="10744" width="11.875" style="130" customWidth="1"/>
    <col min="10745" max="10745" width="13.625" style="130" customWidth="1"/>
    <col min="10746" max="10746" width="12.75" style="130" customWidth="1"/>
    <col min="10747" max="10993" width="9" style="130"/>
    <col min="10994" max="10994" width="5" style="130" customWidth="1"/>
    <col min="10995" max="10995" width="17.875" style="130" bestFit="1" customWidth="1"/>
    <col min="10996" max="10996" width="23.625" style="130" customWidth="1"/>
    <col min="10997" max="10997" width="18.25" style="130" customWidth="1"/>
    <col min="10998" max="10998" width="5.25" style="130" bestFit="1" customWidth="1"/>
    <col min="10999" max="10999" width="9" style="130"/>
    <col min="11000" max="11000" width="11.875" style="130" customWidth="1"/>
    <col min="11001" max="11001" width="13.625" style="130" customWidth="1"/>
    <col min="11002" max="11002" width="12.75" style="130" customWidth="1"/>
    <col min="11003" max="11249" width="9" style="130"/>
    <col min="11250" max="11250" width="5" style="130" customWidth="1"/>
    <col min="11251" max="11251" width="17.875" style="130" bestFit="1" customWidth="1"/>
    <col min="11252" max="11252" width="23.625" style="130" customWidth="1"/>
    <col min="11253" max="11253" width="18.25" style="130" customWidth="1"/>
    <col min="11254" max="11254" width="5.25" style="130" bestFit="1" customWidth="1"/>
    <col min="11255" max="11255" width="9" style="130"/>
    <col min="11256" max="11256" width="11.875" style="130" customWidth="1"/>
    <col min="11257" max="11257" width="13.625" style="130" customWidth="1"/>
    <col min="11258" max="11258" width="12.75" style="130" customWidth="1"/>
    <col min="11259" max="11505" width="9" style="130"/>
    <col min="11506" max="11506" width="5" style="130" customWidth="1"/>
    <col min="11507" max="11507" width="17.875" style="130" bestFit="1" customWidth="1"/>
    <col min="11508" max="11508" width="23.625" style="130" customWidth="1"/>
    <col min="11509" max="11509" width="18.25" style="130" customWidth="1"/>
    <col min="11510" max="11510" width="5.25" style="130" bestFit="1" customWidth="1"/>
    <col min="11511" max="11511" width="9" style="130"/>
    <col min="11512" max="11512" width="11.875" style="130" customWidth="1"/>
    <col min="11513" max="11513" width="13.625" style="130" customWidth="1"/>
    <col min="11514" max="11514" width="12.75" style="130" customWidth="1"/>
    <col min="11515" max="11761" width="9" style="130"/>
    <col min="11762" max="11762" width="5" style="130" customWidth="1"/>
    <col min="11763" max="11763" width="17.875" style="130" bestFit="1" customWidth="1"/>
    <col min="11764" max="11764" width="23.625" style="130" customWidth="1"/>
    <col min="11765" max="11765" width="18.25" style="130" customWidth="1"/>
    <col min="11766" max="11766" width="5.25" style="130" bestFit="1" customWidth="1"/>
    <col min="11767" max="11767" width="9" style="130"/>
    <col min="11768" max="11768" width="11.875" style="130" customWidth="1"/>
    <col min="11769" max="11769" width="13.625" style="130" customWidth="1"/>
    <col min="11770" max="11770" width="12.75" style="130" customWidth="1"/>
    <col min="11771" max="12017" width="9" style="130"/>
    <col min="12018" max="12018" width="5" style="130" customWidth="1"/>
    <col min="12019" max="12019" width="17.875" style="130" bestFit="1" customWidth="1"/>
    <col min="12020" max="12020" width="23.625" style="130" customWidth="1"/>
    <col min="12021" max="12021" width="18.25" style="130" customWidth="1"/>
    <col min="12022" max="12022" width="5.25" style="130" bestFit="1" customWidth="1"/>
    <col min="12023" max="12023" width="9" style="130"/>
    <col min="12024" max="12024" width="11.875" style="130" customWidth="1"/>
    <col min="12025" max="12025" width="13.625" style="130" customWidth="1"/>
    <col min="12026" max="12026" width="12.75" style="130" customWidth="1"/>
    <col min="12027" max="12273" width="9" style="130"/>
    <col min="12274" max="12274" width="5" style="130" customWidth="1"/>
    <col min="12275" max="12275" width="17.875" style="130" bestFit="1" customWidth="1"/>
    <col min="12276" max="12276" width="23.625" style="130" customWidth="1"/>
    <col min="12277" max="12277" width="18.25" style="130" customWidth="1"/>
    <col min="12278" max="12278" width="5.25" style="130" bestFit="1" customWidth="1"/>
    <col min="12279" max="12279" width="9" style="130"/>
    <col min="12280" max="12280" width="11.875" style="130" customWidth="1"/>
    <col min="12281" max="12281" width="13.625" style="130" customWidth="1"/>
    <col min="12282" max="12282" width="12.75" style="130" customWidth="1"/>
    <col min="12283" max="12529" width="9" style="130"/>
    <col min="12530" max="12530" width="5" style="130" customWidth="1"/>
    <col min="12531" max="12531" width="17.875" style="130" bestFit="1" customWidth="1"/>
    <col min="12532" max="12532" width="23.625" style="130" customWidth="1"/>
    <col min="12533" max="12533" width="18.25" style="130" customWidth="1"/>
    <col min="12534" max="12534" width="5.25" style="130" bestFit="1" customWidth="1"/>
    <col min="12535" max="12535" width="9" style="130"/>
    <col min="12536" max="12536" width="11.875" style="130" customWidth="1"/>
    <col min="12537" max="12537" width="13.625" style="130" customWidth="1"/>
    <col min="12538" max="12538" width="12.75" style="130" customWidth="1"/>
    <col min="12539" max="12785" width="9" style="130"/>
    <col min="12786" max="12786" width="5" style="130" customWidth="1"/>
    <col min="12787" max="12787" width="17.875" style="130" bestFit="1" customWidth="1"/>
    <col min="12788" max="12788" width="23.625" style="130" customWidth="1"/>
    <col min="12789" max="12789" width="18.25" style="130" customWidth="1"/>
    <col min="12790" max="12790" width="5.25" style="130" bestFit="1" customWidth="1"/>
    <col min="12791" max="12791" width="9" style="130"/>
    <col min="12792" max="12792" width="11.875" style="130" customWidth="1"/>
    <col min="12793" max="12793" width="13.625" style="130" customWidth="1"/>
    <col min="12794" max="12794" width="12.75" style="130" customWidth="1"/>
    <col min="12795" max="13041" width="9" style="130"/>
    <col min="13042" max="13042" width="5" style="130" customWidth="1"/>
    <col min="13043" max="13043" width="17.875" style="130" bestFit="1" customWidth="1"/>
    <col min="13044" max="13044" width="23.625" style="130" customWidth="1"/>
    <col min="13045" max="13045" width="18.25" style="130" customWidth="1"/>
    <col min="13046" max="13046" width="5.25" style="130" bestFit="1" customWidth="1"/>
    <col min="13047" max="13047" width="9" style="130"/>
    <col min="13048" max="13048" width="11.875" style="130" customWidth="1"/>
    <col min="13049" max="13049" width="13.625" style="130" customWidth="1"/>
    <col min="13050" max="13050" width="12.75" style="130" customWidth="1"/>
    <col min="13051" max="13297" width="9" style="130"/>
    <col min="13298" max="13298" width="5" style="130" customWidth="1"/>
    <col min="13299" max="13299" width="17.875" style="130" bestFit="1" customWidth="1"/>
    <col min="13300" max="13300" width="23.625" style="130" customWidth="1"/>
    <col min="13301" max="13301" width="18.25" style="130" customWidth="1"/>
    <col min="13302" max="13302" width="5.25" style="130" bestFit="1" customWidth="1"/>
    <col min="13303" max="13303" width="9" style="130"/>
    <col min="13304" max="13304" width="11.875" style="130" customWidth="1"/>
    <col min="13305" max="13305" width="13.625" style="130" customWidth="1"/>
    <col min="13306" max="13306" width="12.75" style="130" customWidth="1"/>
    <col min="13307" max="13553" width="9" style="130"/>
    <col min="13554" max="13554" width="5" style="130" customWidth="1"/>
    <col min="13555" max="13555" width="17.875" style="130" bestFit="1" customWidth="1"/>
    <col min="13556" max="13556" width="23.625" style="130" customWidth="1"/>
    <col min="13557" max="13557" width="18.25" style="130" customWidth="1"/>
    <col min="13558" max="13558" width="5.25" style="130" bestFit="1" customWidth="1"/>
    <col min="13559" max="13559" width="9" style="130"/>
    <col min="13560" max="13560" width="11.875" style="130" customWidth="1"/>
    <col min="13561" max="13561" width="13.625" style="130" customWidth="1"/>
    <col min="13562" max="13562" width="12.75" style="130" customWidth="1"/>
    <col min="13563" max="13809" width="9" style="130"/>
    <col min="13810" max="13810" width="5" style="130" customWidth="1"/>
    <col min="13811" max="13811" width="17.875" style="130" bestFit="1" customWidth="1"/>
    <col min="13812" max="13812" width="23.625" style="130" customWidth="1"/>
    <col min="13813" max="13813" width="18.25" style="130" customWidth="1"/>
    <col min="13814" max="13814" width="5.25" style="130" bestFit="1" customWidth="1"/>
    <col min="13815" max="13815" width="9" style="130"/>
    <col min="13816" max="13816" width="11.875" style="130" customWidth="1"/>
    <col min="13817" max="13817" width="13.625" style="130" customWidth="1"/>
    <col min="13818" max="13818" width="12.75" style="130" customWidth="1"/>
    <col min="13819" max="14065" width="9" style="130"/>
    <col min="14066" max="14066" width="5" style="130" customWidth="1"/>
    <col min="14067" max="14067" width="17.875" style="130" bestFit="1" customWidth="1"/>
    <col min="14068" max="14068" width="23.625" style="130" customWidth="1"/>
    <col min="14069" max="14069" width="18.25" style="130" customWidth="1"/>
    <col min="14070" max="14070" width="5.25" style="130" bestFit="1" customWidth="1"/>
    <col min="14071" max="14071" width="9" style="130"/>
    <col min="14072" max="14072" width="11.875" style="130" customWidth="1"/>
    <col min="14073" max="14073" width="13.625" style="130" customWidth="1"/>
    <col min="14074" max="14074" width="12.75" style="130" customWidth="1"/>
    <col min="14075" max="14321" width="9" style="130"/>
    <col min="14322" max="14322" width="5" style="130" customWidth="1"/>
    <col min="14323" max="14323" width="17.875" style="130" bestFit="1" customWidth="1"/>
    <col min="14324" max="14324" width="23.625" style="130" customWidth="1"/>
    <col min="14325" max="14325" width="18.25" style="130" customWidth="1"/>
    <col min="14326" max="14326" width="5.25" style="130" bestFit="1" customWidth="1"/>
    <col min="14327" max="14327" width="9" style="130"/>
    <col min="14328" max="14328" width="11.875" style="130" customWidth="1"/>
    <col min="14329" max="14329" width="13.625" style="130" customWidth="1"/>
    <col min="14330" max="14330" width="12.75" style="130" customWidth="1"/>
    <col min="14331" max="14577" width="9" style="130"/>
    <col min="14578" max="14578" width="5" style="130" customWidth="1"/>
    <col min="14579" max="14579" width="17.875" style="130" bestFit="1" customWidth="1"/>
    <col min="14580" max="14580" width="23.625" style="130" customWidth="1"/>
    <col min="14581" max="14581" width="18.25" style="130" customWidth="1"/>
    <col min="14582" max="14582" width="5.25" style="130" bestFit="1" customWidth="1"/>
    <col min="14583" max="14583" width="9" style="130"/>
    <col min="14584" max="14584" width="11.875" style="130" customWidth="1"/>
    <col min="14585" max="14585" width="13.625" style="130" customWidth="1"/>
    <col min="14586" max="14586" width="12.75" style="130" customWidth="1"/>
    <col min="14587" max="14833" width="9" style="130"/>
    <col min="14834" max="14834" width="5" style="130" customWidth="1"/>
    <col min="14835" max="14835" width="17.875" style="130" bestFit="1" customWidth="1"/>
    <col min="14836" max="14836" width="23.625" style="130" customWidth="1"/>
    <col min="14837" max="14837" width="18.25" style="130" customWidth="1"/>
    <col min="14838" max="14838" width="5.25" style="130" bestFit="1" customWidth="1"/>
    <col min="14839" max="14839" width="9" style="130"/>
    <col min="14840" max="14840" width="11.875" style="130" customWidth="1"/>
    <col min="14841" max="14841" width="13.625" style="130" customWidth="1"/>
    <col min="14842" max="14842" width="12.75" style="130" customWidth="1"/>
    <col min="14843" max="15089" width="9" style="130"/>
    <col min="15090" max="15090" width="5" style="130" customWidth="1"/>
    <col min="15091" max="15091" width="17.875" style="130" bestFit="1" customWidth="1"/>
    <col min="15092" max="15092" width="23.625" style="130" customWidth="1"/>
    <col min="15093" max="15093" width="18.25" style="130" customWidth="1"/>
    <col min="15094" max="15094" width="5.25" style="130" bestFit="1" customWidth="1"/>
    <col min="15095" max="15095" width="9" style="130"/>
    <col min="15096" max="15096" width="11.875" style="130" customWidth="1"/>
    <col min="15097" max="15097" width="13.625" style="130" customWidth="1"/>
    <col min="15098" max="15098" width="12.75" style="130" customWidth="1"/>
    <col min="15099" max="15345" width="9" style="130"/>
    <col min="15346" max="15346" width="5" style="130" customWidth="1"/>
    <col min="15347" max="15347" width="17.875" style="130" bestFit="1" customWidth="1"/>
    <col min="15348" max="15348" width="23.625" style="130" customWidth="1"/>
    <col min="15349" max="15349" width="18.25" style="130" customWidth="1"/>
    <col min="15350" max="15350" width="5.25" style="130" bestFit="1" customWidth="1"/>
    <col min="15351" max="15351" width="9" style="130"/>
    <col min="15352" max="15352" width="11.875" style="130" customWidth="1"/>
    <col min="15353" max="15353" width="13.625" style="130" customWidth="1"/>
    <col min="15354" max="15354" width="12.75" style="130" customWidth="1"/>
    <col min="15355" max="15601" width="9" style="130"/>
    <col min="15602" max="15602" width="5" style="130" customWidth="1"/>
    <col min="15603" max="15603" width="17.875" style="130" bestFit="1" customWidth="1"/>
    <col min="15604" max="15604" width="23.625" style="130" customWidth="1"/>
    <col min="15605" max="15605" width="18.25" style="130" customWidth="1"/>
    <col min="15606" max="15606" width="5.25" style="130" bestFit="1" customWidth="1"/>
    <col min="15607" max="15607" width="9" style="130"/>
    <col min="15608" max="15608" width="11.875" style="130" customWidth="1"/>
    <col min="15609" max="15609" width="13.625" style="130" customWidth="1"/>
    <col min="15610" max="15610" width="12.75" style="130" customWidth="1"/>
    <col min="15611" max="15857" width="9" style="130"/>
    <col min="15858" max="15858" width="5" style="130" customWidth="1"/>
    <col min="15859" max="15859" width="17.875" style="130" bestFit="1" customWidth="1"/>
    <col min="15860" max="15860" width="23.625" style="130" customWidth="1"/>
    <col min="15861" max="15861" width="18.25" style="130" customWidth="1"/>
    <col min="15862" max="15862" width="5.25" style="130" bestFit="1" customWidth="1"/>
    <col min="15863" max="15863" width="9" style="130"/>
    <col min="15864" max="15864" width="11.875" style="130" customWidth="1"/>
    <col min="15865" max="15865" width="13.625" style="130" customWidth="1"/>
    <col min="15866" max="15866" width="12.75" style="130" customWidth="1"/>
    <col min="15867" max="16113" width="9" style="130"/>
    <col min="16114" max="16114" width="5" style="130" customWidth="1"/>
    <col min="16115" max="16115" width="17.875" style="130" bestFit="1" customWidth="1"/>
    <col min="16116" max="16116" width="23.625" style="130" customWidth="1"/>
    <col min="16117" max="16117" width="18.25" style="130" customWidth="1"/>
    <col min="16118" max="16118" width="5.25" style="130" bestFit="1" customWidth="1"/>
    <col min="16119" max="16119" width="9" style="130"/>
    <col min="16120" max="16120" width="11.875" style="130" customWidth="1"/>
    <col min="16121" max="16121" width="13.625" style="130" customWidth="1"/>
    <col min="16122" max="16122" width="12.75" style="130" customWidth="1"/>
    <col min="16123" max="16384" width="9" style="130"/>
  </cols>
  <sheetData>
    <row r="1" spans="1:9" ht="22.5" customHeight="1">
      <c r="B1" s="212" t="s">
        <v>149</v>
      </c>
      <c r="C1" s="305" t="s">
        <v>508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42" t="s">
        <v>343</v>
      </c>
      <c r="D3" s="242"/>
      <c r="E3" s="243" t="s">
        <v>51</v>
      </c>
      <c r="F3" s="244">
        <v>1</v>
      </c>
      <c r="G3" s="245">
        <v>3600000</v>
      </c>
      <c r="H3" s="175">
        <f t="shared" ref="H3:H12" si="0">IF(F3=0,G3,G3*F3)</f>
        <v>3600000</v>
      </c>
      <c r="I3" s="247"/>
    </row>
    <row r="4" spans="1:9" ht="15.95" customHeight="1">
      <c r="A4" s="497"/>
      <c r="B4" s="218"/>
      <c r="C4" s="225" t="s">
        <v>420</v>
      </c>
      <c r="D4" s="225"/>
      <c r="E4" s="226" t="s">
        <v>51</v>
      </c>
      <c r="F4" s="227">
        <v>1</v>
      </c>
      <c r="G4" s="228">
        <v>4608000</v>
      </c>
      <c r="H4" s="175">
        <f t="shared" si="0"/>
        <v>4608000</v>
      </c>
      <c r="I4" s="38"/>
    </row>
    <row r="5" spans="1:9" ht="15.95" customHeight="1">
      <c r="A5" s="497"/>
      <c r="B5" s="218"/>
      <c r="C5" s="225" t="s">
        <v>422</v>
      </c>
      <c r="D5" s="225"/>
      <c r="E5" s="226" t="s">
        <v>51</v>
      </c>
      <c r="F5" s="227">
        <v>1</v>
      </c>
      <c r="G5" s="228">
        <v>3456000</v>
      </c>
      <c r="H5" s="175">
        <f t="shared" si="0"/>
        <v>3456000</v>
      </c>
      <c r="I5" s="38"/>
    </row>
    <row r="6" spans="1:9" ht="15.95" customHeight="1">
      <c r="A6" s="497"/>
      <c r="B6" s="218"/>
      <c r="C6" s="225" t="s">
        <v>423</v>
      </c>
      <c r="D6" s="225"/>
      <c r="E6" s="226" t="s">
        <v>51</v>
      </c>
      <c r="F6" s="227">
        <v>1</v>
      </c>
      <c r="G6" s="228">
        <v>1584000</v>
      </c>
      <c r="H6" s="175">
        <f t="shared" si="0"/>
        <v>1584000</v>
      </c>
      <c r="I6" s="38"/>
    </row>
    <row r="7" spans="1:9" ht="15.95" customHeight="1">
      <c r="A7" s="497"/>
      <c r="B7" s="218"/>
      <c r="C7" s="225" t="s">
        <v>386</v>
      </c>
      <c r="D7" s="225"/>
      <c r="E7" s="226" t="s">
        <v>51</v>
      </c>
      <c r="F7" s="227">
        <v>1</v>
      </c>
      <c r="G7" s="228">
        <v>144000</v>
      </c>
      <c r="H7" s="175">
        <f t="shared" si="0"/>
        <v>144000</v>
      </c>
      <c r="I7" s="38"/>
    </row>
    <row r="8" spans="1:9" ht="15.95" customHeight="1">
      <c r="A8" s="497"/>
      <c r="B8" s="218"/>
      <c r="C8" s="225" t="s">
        <v>424</v>
      </c>
      <c r="D8" s="225"/>
      <c r="E8" s="226" t="s">
        <v>51</v>
      </c>
      <c r="F8" s="227">
        <v>1</v>
      </c>
      <c r="G8" s="228">
        <v>4176000</v>
      </c>
      <c r="H8" s="175">
        <f t="shared" si="0"/>
        <v>4176000</v>
      </c>
      <c r="I8" s="38"/>
    </row>
    <row r="9" spans="1:9" ht="15.95" customHeight="1">
      <c r="A9" s="497"/>
      <c r="B9" s="218"/>
      <c r="C9" s="225" t="s">
        <v>472</v>
      </c>
      <c r="D9" s="225"/>
      <c r="E9" s="226" t="s">
        <v>51</v>
      </c>
      <c r="F9" s="227">
        <v>1</v>
      </c>
      <c r="G9" s="228">
        <v>5976000</v>
      </c>
      <c r="H9" s="175">
        <f t="shared" si="0"/>
        <v>5976000</v>
      </c>
      <c r="I9" s="38"/>
    </row>
    <row r="10" spans="1:9" ht="15.95" customHeight="1">
      <c r="A10" s="497"/>
      <c r="B10" s="218"/>
      <c r="C10" s="225" t="s">
        <v>473</v>
      </c>
      <c r="D10" s="225"/>
      <c r="E10" s="226" t="s">
        <v>51</v>
      </c>
      <c r="F10" s="227">
        <v>1</v>
      </c>
      <c r="G10" s="228">
        <v>7056000</v>
      </c>
      <c r="H10" s="175">
        <f t="shared" si="0"/>
        <v>7056000</v>
      </c>
      <c r="I10" s="38"/>
    </row>
    <row r="11" spans="1:9" ht="15.95" customHeight="1">
      <c r="A11" s="497"/>
      <c r="B11" s="218"/>
      <c r="C11" s="225" t="s">
        <v>509</v>
      </c>
      <c r="D11" s="225"/>
      <c r="E11" s="226" t="s">
        <v>51</v>
      </c>
      <c r="F11" s="227">
        <v>1</v>
      </c>
      <c r="G11" s="228">
        <v>19440000</v>
      </c>
      <c r="H11" s="175">
        <f t="shared" si="0"/>
        <v>19440000</v>
      </c>
      <c r="I11" s="38"/>
    </row>
    <row r="12" spans="1:9" ht="15.95" customHeight="1">
      <c r="A12" s="497"/>
      <c r="B12" s="218"/>
      <c r="C12" s="225" t="s">
        <v>476</v>
      </c>
      <c r="D12" s="225"/>
      <c r="E12" s="226" t="s">
        <v>51</v>
      </c>
      <c r="F12" s="227">
        <v>1</v>
      </c>
      <c r="G12" s="228">
        <v>5328000</v>
      </c>
      <c r="H12" s="175">
        <f t="shared" si="0"/>
        <v>5328000</v>
      </c>
      <c r="I12" s="38"/>
    </row>
    <row r="13" spans="1:9" ht="15.95" customHeight="1">
      <c r="A13" s="497"/>
      <c r="B13" s="218"/>
      <c r="C13" s="225" t="s">
        <v>572</v>
      </c>
      <c r="D13" s="225"/>
      <c r="E13" s="226" t="s">
        <v>542</v>
      </c>
      <c r="F13" s="227">
        <v>1</v>
      </c>
      <c r="G13" s="228">
        <v>720000</v>
      </c>
      <c r="H13" s="175">
        <v>720000</v>
      </c>
      <c r="I13" s="38"/>
    </row>
    <row r="14" spans="1:9" ht="15.95" customHeight="1">
      <c r="A14" s="497"/>
      <c r="B14" s="218"/>
      <c r="C14" s="225" t="s">
        <v>571</v>
      </c>
      <c r="D14" s="225"/>
      <c r="E14" s="226" t="s">
        <v>542</v>
      </c>
      <c r="F14" s="227">
        <v>1</v>
      </c>
      <c r="G14" s="228">
        <v>1655999.9999999998</v>
      </c>
      <c r="H14" s="175">
        <v>1655999.9999999998</v>
      </c>
      <c r="I14" s="38"/>
    </row>
    <row r="15" spans="1:9" ht="15.95" customHeight="1">
      <c r="A15" s="497"/>
      <c r="B15" s="234"/>
      <c r="C15" s="260"/>
      <c r="D15" s="260"/>
      <c r="E15" s="260"/>
      <c r="F15" s="258"/>
      <c r="G15" s="258"/>
      <c r="H15" s="259">
        <f>SUM(H3:H14)</f>
        <v>57744000</v>
      </c>
      <c r="I15" s="260"/>
    </row>
    <row r="16" spans="1:9" ht="15.95" customHeight="1">
      <c r="A16" s="497"/>
      <c r="B16" s="218" t="s">
        <v>150</v>
      </c>
      <c r="C16" s="219" t="s">
        <v>527</v>
      </c>
      <c r="D16" s="219"/>
      <c r="E16" s="220" t="s">
        <v>51</v>
      </c>
      <c r="F16" s="245">
        <v>1</v>
      </c>
      <c r="G16" s="245">
        <v>8760000</v>
      </c>
      <c r="H16" s="223">
        <f t="shared" ref="H16:H17" si="1">IF(F16=0,G16,G16*F16)</f>
        <v>8760000</v>
      </c>
      <c r="I16" s="224"/>
    </row>
    <row r="17" spans="1:9" ht="15.95" customHeight="1">
      <c r="A17" s="497"/>
      <c r="B17" s="218" t="s">
        <v>151</v>
      </c>
      <c r="C17" s="225" t="s">
        <v>528</v>
      </c>
      <c r="D17" s="225"/>
      <c r="E17" s="220" t="s">
        <v>51</v>
      </c>
      <c r="F17" s="228">
        <v>1</v>
      </c>
      <c r="G17" s="228">
        <v>8030000</v>
      </c>
      <c r="H17" s="175">
        <f t="shared" si="1"/>
        <v>8030000</v>
      </c>
      <c r="I17" s="38"/>
    </row>
    <row r="18" spans="1:9" ht="15.95" customHeight="1">
      <c r="A18" s="497"/>
      <c r="B18" s="218"/>
      <c r="C18" s="225" t="s">
        <v>529</v>
      </c>
      <c r="D18" s="219"/>
      <c r="E18" s="220" t="s">
        <v>51</v>
      </c>
      <c r="F18" s="228">
        <v>1</v>
      </c>
      <c r="G18" s="228">
        <v>8030000</v>
      </c>
      <c r="H18" s="223">
        <f t="shared" ref="H18:H53" si="2">IF(F18=0,G18,G18*F18)</f>
        <v>8030000</v>
      </c>
      <c r="I18" s="224"/>
    </row>
    <row r="19" spans="1:9" ht="15.95" customHeight="1">
      <c r="A19" s="497"/>
      <c r="B19" s="218"/>
      <c r="C19" s="225"/>
      <c r="D19" s="225"/>
      <c r="E19" s="219"/>
      <c r="F19" s="228"/>
      <c r="G19" s="228"/>
      <c r="H19" s="175">
        <f t="shared" si="2"/>
        <v>0</v>
      </c>
      <c r="I19" s="38"/>
    </row>
    <row r="20" spans="1:9" ht="15.95" customHeight="1">
      <c r="A20" s="497"/>
      <c r="B20" s="234"/>
      <c r="C20" s="225"/>
      <c r="D20" s="225"/>
      <c r="E20" s="219"/>
      <c r="F20" s="228"/>
      <c r="G20" s="228"/>
      <c r="H20" s="239">
        <f>SUM(H18:H19)</f>
        <v>8030000</v>
      </c>
      <c r="I20" s="240"/>
    </row>
    <row r="21" spans="1:9" ht="15.95" customHeight="1">
      <c r="A21" s="497"/>
      <c r="B21" s="261" t="s">
        <v>152</v>
      </c>
      <c r="C21" s="242" t="s">
        <v>495</v>
      </c>
      <c r="D21" s="242"/>
      <c r="E21" s="243" t="s">
        <v>51</v>
      </c>
      <c r="F21" s="244" t="s">
        <v>329</v>
      </c>
      <c r="G21" s="245">
        <v>413999.99999999994</v>
      </c>
      <c r="H21" s="175">
        <f t="shared" ref="H21:H34" si="3">IF(F21=0,G21,G21*F21)</f>
        <v>413999.99999999994</v>
      </c>
      <c r="I21" s="247" t="s">
        <v>323</v>
      </c>
    </row>
    <row r="22" spans="1:9" ht="15.95" customHeight="1">
      <c r="A22" s="497"/>
      <c r="B22" s="218" t="s">
        <v>153</v>
      </c>
      <c r="C22" s="225" t="s">
        <v>387</v>
      </c>
      <c r="D22" s="225"/>
      <c r="E22" s="226" t="s">
        <v>51</v>
      </c>
      <c r="F22" s="227" t="s">
        <v>329</v>
      </c>
      <c r="G22" s="228">
        <v>1034999.9999999999</v>
      </c>
      <c r="H22" s="175">
        <f t="shared" si="3"/>
        <v>1034999.9999999999</v>
      </c>
      <c r="I22" s="38" t="s">
        <v>483</v>
      </c>
    </row>
    <row r="23" spans="1:9" ht="15.95" customHeight="1">
      <c r="A23" s="497"/>
      <c r="B23" s="218"/>
      <c r="C23" s="225" t="s">
        <v>388</v>
      </c>
      <c r="D23" s="225"/>
      <c r="E23" s="226" t="s">
        <v>51</v>
      </c>
      <c r="F23" s="227" t="s">
        <v>330</v>
      </c>
      <c r="G23" s="228">
        <v>345000</v>
      </c>
      <c r="H23" s="175">
        <f t="shared" si="3"/>
        <v>690000</v>
      </c>
      <c r="I23" s="38" t="s">
        <v>483</v>
      </c>
    </row>
    <row r="24" spans="1:9" ht="15.95" customHeight="1">
      <c r="A24" s="497"/>
      <c r="B24" s="218"/>
      <c r="C24" s="225" t="s">
        <v>389</v>
      </c>
      <c r="D24" s="225"/>
      <c r="E24" s="226" t="s">
        <v>51</v>
      </c>
      <c r="F24" s="227" t="s">
        <v>329</v>
      </c>
      <c r="G24" s="228">
        <v>1517999.9999999998</v>
      </c>
      <c r="H24" s="175">
        <f t="shared" si="3"/>
        <v>1517999.9999999998</v>
      </c>
      <c r="I24" s="38" t="s">
        <v>203</v>
      </c>
    </row>
    <row r="25" spans="1:9" ht="15.95" customHeight="1">
      <c r="A25" s="497"/>
      <c r="B25" s="218"/>
      <c r="C25" s="225" t="s">
        <v>193</v>
      </c>
      <c r="D25" s="225"/>
      <c r="E25" s="226" t="s">
        <v>51</v>
      </c>
      <c r="F25" s="227" t="s">
        <v>330</v>
      </c>
      <c r="G25" s="228">
        <v>2069999.9999999998</v>
      </c>
      <c r="H25" s="175">
        <f t="shared" si="3"/>
        <v>4139999.9999999995</v>
      </c>
      <c r="I25" s="38" t="s">
        <v>200</v>
      </c>
    </row>
    <row r="26" spans="1:9" ht="15.95" customHeight="1">
      <c r="A26" s="497"/>
      <c r="B26" s="218"/>
      <c r="C26" s="225" t="s">
        <v>447</v>
      </c>
      <c r="D26" s="225"/>
      <c r="E26" s="226" t="s">
        <v>51</v>
      </c>
      <c r="F26" s="227" t="s">
        <v>329</v>
      </c>
      <c r="G26" s="228">
        <v>1173000</v>
      </c>
      <c r="H26" s="175">
        <f t="shared" si="3"/>
        <v>1173000</v>
      </c>
      <c r="I26" s="38" t="s">
        <v>325</v>
      </c>
    </row>
    <row r="27" spans="1:9" ht="15.95" customHeight="1">
      <c r="A27" s="497"/>
      <c r="B27" s="218"/>
      <c r="C27" s="225" t="s">
        <v>444</v>
      </c>
      <c r="D27" s="225"/>
      <c r="E27" s="226" t="s">
        <v>51</v>
      </c>
      <c r="F27" s="227" t="s">
        <v>329</v>
      </c>
      <c r="G27" s="228">
        <v>1242000</v>
      </c>
      <c r="H27" s="175">
        <f t="shared" si="3"/>
        <v>1242000</v>
      </c>
      <c r="I27" s="38" t="s">
        <v>481</v>
      </c>
    </row>
    <row r="28" spans="1:9" ht="15.95" customHeight="1">
      <c r="A28" s="497"/>
      <c r="B28" s="218"/>
      <c r="C28" s="225" t="s">
        <v>193</v>
      </c>
      <c r="D28" s="225"/>
      <c r="E28" s="226" t="s">
        <v>51</v>
      </c>
      <c r="F28" s="227" t="s">
        <v>329</v>
      </c>
      <c r="G28" s="228">
        <v>3794999.9999999995</v>
      </c>
      <c r="H28" s="175">
        <f t="shared" si="3"/>
        <v>3794999.9999999995</v>
      </c>
      <c r="I28" s="38" t="s">
        <v>200</v>
      </c>
    </row>
    <row r="29" spans="1:9" ht="15.95" customHeight="1">
      <c r="A29" s="497"/>
      <c r="B29" s="218"/>
      <c r="C29" s="225" t="s">
        <v>496</v>
      </c>
      <c r="D29" s="225"/>
      <c r="E29" s="226" t="s">
        <v>51</v>
      </c>
      <c r="F29" s="227" t="s">
        <v>329</v>
      </c>
      <c r="G29" s="228">
        <v>2394300</v>
      </c>
      <c r="H29" s="175">
        <f t="shared" si="3"/>
        <v>2394300</v>
      </c>
      <c r="I29" s="38" t="s">
        <v>325</v>
      </c>
    </row>
    <row r="30" spans="1:9" ht="15.95" customHeight="1">
      <c r="A30" s="497"/>
      <c r="B30" s="218"/>
      <c r="C30" s="225" t="s">
        <v>193</v>
      </c>
      <c r="D30" s="225"/>
      <c r="E30" s="226" t="s">
        <v>51</v>
      </c>
      <c r="F30" s="227" t="s">
        <v>329</v>
      </c>
      <c r="G30" s="228">
        <v>1380000</v>
      </c>
      <c r="H30" s="175">
        <f t="shared" si="3"/>
        <v>1380000</v>
      </c>
      <c r="I30" s="38" t="s">
        <v>200</v>
      </c>
    </row>
    <row r="31" spans="1:9" ht="15.95" customHeight="1">
      <c r="A31" s="497"/>
      <c r="B31" s="218"/>
      <c r="C31" s="225" t="s">
        <v>482</v>
      </c>
      <c r="D31" s="225"/>
      <c r="E31" s="226" t="s">
        <v>51</v>
      </c>
      <c r="F31" s="227" t="s">
        <v>329</v>
      </c>
      <c r="G31" s="228">
        <v>655500</v>
      </c>
      <c r="H31" s="175">
        <f t="shared" si="3"/>
        <v>655500</v>
      </c>
      <c r="I31" s="38" t="s">
        <v>325</v>
      </c>
    </row>
    <row r="32" spans="1:9" ht="15.95" customHeight="1">
      <c r="A32" s="497"/>
      <c r="B32" s="218"/>
      <c r="C32" s="225" t="s">
        <v>250</v>
      </c>
      <c r="D32" s="225"/>
      <c r="E32" s="226" t="s">
        <v>51</v>
      </c>
      <c r="F32" s="227" t="s">
        <v>329</v>
      </c>
      <c r="G32" s="228">
        <v>1655999.9999999998</v>
      </c>
      <c r="H32" s="175">
        <f t="shared" si="3"/>
        <v>1655999.9999999998</v>
      </c>
      <c r="I32" s="38" t="s">
        <v>253</v>
      </c>
    </row>
    <row r="33" spans="1:9" ht="15.95" customHeight="1">
      <c r="A33" s="497"/>
      <c r="B33" s="218"/>
      <c r="C33" s="225" t="s">
        <v>258</v>
      </c>
      <c r="D33" s="225"/>
      <c r="E33" s="226" t="s">
        <v>51</v>
      </c>
      <c r="F33" s="227" t="s">
        <v>329</v>
      </c>
      <c r="G33" s="228">
        <v>690000</v>
      </c>
      <c r="H33" s="175">
        <f t="shared" si="3"/>
        <v>690000</v>
      </c>
      <c r="I33" s="38" t="s">
        <v>203</v>
      </c>
    </row>
    <row r="34" spans="1:9" ht="15.95" customHeight="1">
      <c r="A34" s="497"/>
      <c r="B34" s="218"/>
      <c r="C34" s="225" t="s">
        <v>320</v>
      </c>
      <c r="D34" s="225"/>
      <c r="E34" s="226" t="s">
        <v>51</v>
      </c>
      <c r="F34" s="227" t="s">
        <v>330</v>
      </c>
      <c r="G34" s="228">
        <v>690000</v>
      </c>
      <c r="H34" s="175">
        <f t="shared" si="3"/>
        <v>1380000</v>
      </c>
      <c r="I34" s="38" t="s">
        <v>203</v>
      </c>
    </row>
    <row r="35" spans="1:9" ht="15.95" customHeight="1">
      <c r="A35" s="497"/>
      <c r="B35" s="218"/>
      <c r="C35" s="225" t="s">
        <v>478</v>
      </c>
      <c r="D35" s="225"/>
      <c r="E35" s="226" t="s">
        <v>542</v>
      </c>
      <c r="F35" s="227">
        <v>1</v>
      </c>
      <c r="G35" s="228">
        <v>276000</v>
      </c>
      <c r="H35" s="175">
        <v>276000</v>
      </c>
      <c r="I35" s="38" t="s">
        <v>197</v>
      </c>
    </row>
    <row r="36" spans="1:9" ht="15.95" customHeight="1">
      <c r="A36" s="497"/>
      <c r="B36" s="218"/>
      <c r="C36" s="225" t="s">
        <v>479</v>
      </c>
      <c r="D36" s="225"/>
      <c r="E36" s="226" t="s">
        <v>542</v>
      </c>
      <c r="F36" s="227">
        <v>1</v>
      </c>
      <c r="G36" s="228">
        <v>655500</v>
      </c>
      <c r="H36" s="175">
        <v>655500</v>
      </c>
      <c r="I36" s="38" t="s">
        <v>197</v>
      </c>
    </row>
    <row r="37" spans="1:9" ht="15.95" customHeight="1">
      <c r="A37" s="497"/>
      <c r="B37" s="218"/>
      <c r="C37" s="225" t="s">
        <v>480</v>
      </c>
      <c r="D37" s="225"/>
      <c r="E37" s="226" t="s">
        <v>542</v>
      </c>
      <c r="F37" s="227">
        <v>1</v>
      </c>
      <c r="G37" s="228">
        <v>1931999.9999999998</v>
      </c>
      <c r="H37" s="175">
        <v>1931999.9999999998</v>
      </c>
      <c r="I37" s="38" t="s">
        <v>197</v>
      </c>
    </row>
    <row r="38" spans="1:9" ht="15.95" customHeight="1">
      <c r="A38" s="497"/>
      <c r="B38" s="218"/>
      <c r="C38" s="225" t="s">
        <v>499</v>
      </c>
      <c r="D38" s="225"/>
      <c r="E38" s="226" t="s">
        <v>542</v>
      </c>
      <c r="F38" s="227">
        <v>1</v>
      </c>
      <c r="G38" s="228">
        <v>552000</v>
      </c>
      <c r="H38" s="175">
        <v>552000</v>
      </c>
      <c r="I38" s="38" t="s">
        <v>197</v>
      </c>
    </row>
    <row r="39" spans="1:9" ht="15.95" customHeight="1">
      <c r="A39" s="497"/>
      <c r="B39" s="218"/>
      <c r="C39" s="225" t="s">
        <v>485</v>
      </c>
      <c r="D39" s="225"/>
      <c r="E39" s="226" t="s">
        <v>542</v>
      </c>
      <c r="F39" s="227">
        <v>1</v>
      </c>
      <c r="G39" s="228">
        <v>241499.99999999997</v>
      </c>
      <c r="H39" s="175">
        <v>241499.99999999997</v>
      </c>
      <c r="I39" s="38" t="s">
        <v>555</v>
      </c>
    </row>
    <row r="40" spans="1:9" ht="15.95" customHeight="1">
      <c r="A40" s="497"/>
      <c r="B40" s="218"/>
      <c r="C40" s="225" t="s">
        <v>485</v>
      </c>
      <c r="D40" s="225"/>
      <c r="E40" s="226" t="s">
        <v>542</v>
      </c>
      <c r="F40" s="227">
        <v>1</v>
      </c>
      <c r="G40" s="228">
        <v>621000</v>
      </c>
      <c r="H40" s="175">
        <v>621000</v>
      </c>
      <c r="I40" s="38" t="s">
        <v>323</v>
      </c>
    </row>
    <row r="41" spans="1:9" ht="15.95" customHeight="1">
      <c r="A41" s="497"/>
      <c r="B41" s="218"/>
      <c r="C41" s="225" t="s">
        <v>485</v>
      </c>
      <c r="D41" s="225"/>
      <c r="E41" s="226" t="s">
        <v>542</v>
      </c>
      <c r="F41" s="227">
        <v>1</v>
      </c>
      <c r="G41" s="228">
        <v>413999.99999999994</v>
      </c>
      <c r="H41" s="175">
        <v>413999.99999999994</v>
      </c>
      <c r="I41" s="38" t="s">
        <v>555</v>
      </c>
    </row>
    <row r="42" spans="1:9" ht="15.95" customHeight="1">
      <c r="A42" s="497"/>
      <c r="B42" s="218"/>
      <c r="C42" s="225" t="s">
        <v>499</v>
      </c>
      <c r="D42" s="225"/>
      <c r="E42" s="226" t="s">
        <v>542</v>
      </c>
      <c r="F42" s="227">
        <v>1</v>
      </c>
      <c r="G42" s="228">
        <v>276000</v>
      </c>
      <c r="H42" s="175">
        <v>276000</v>
      </c>
      <c r="I42" s="38" t="s">
        <v>555</v>
      </c>
    </row>
    <row r="43" spans="1:9" ht="15.95" customHeight="1">
      <c r="A43" s="497"/>
      <c r="B43" s="218"/>
      <c r="C43" s="225" t="s">
        <v>499</v>
      </c>
      <c r="D43" s="225"/>
      <c r="E43" s="226" t="s">
        <v>542</v>
      </c>
      <c r="F43" s="227">
        <v>1</v>
      </c>
      <c r="G43" s="228">
        <v>276000</v>
      </c>
      <c r="H43" s="175">
        <v>276000</v>
      </c>
      <c r="I43" s="38" t="s">
        <v>555</v>
      </c>
    </row>
    <row r="44" spans="1:9" ht="15.95" customHeight="1">
      <c r="A44" s="497"/>
      <c r="B44" s="218"/>
      <c r="C44" s="225" t="s">
        <v>499</v>
      </c>
      <c r="D44" s="225"/>
      <c r="E44" s="226" t="s">
        <v>542</v>
      </c>
      <c r="F44" s="227">
        <v>1</v>
      </c>
      <c r="G44" s="228">
        <v>345000</v>
      </c>
      <c r="H44" s="175">
        <v>345000</v>
      </c>
      <c r="I44" s="38" t="s">
        <v>350</v>
      </c>
    </row>
    <row r="45" spans="1:9" ht="15.95" customHeight="1">
      <c r="A45" s="497"/>
      <c r="B45" s="218"/>
      <c r="C45" s="225"/>
      <c r="D45" s="225"/>
      <c r="E45" s="226"/>
      <c r="F45" s="227"/>
      <c r="G45" s="228"/>
      <c r="H45" s="175"/>
      <c r="I45" s="38"/>
    </row>
    <row r="46" spans="1:9" ht="15.95" customHeight="1">
      <c r="A46" s="497"/>
      <c r="B46" s="234"/>
      <c r="C46" s="235"/>
      <c r="D46" s="236"/>
      <c r="E46" s="236"/>
      <c r="F46" s="238"/>
      <c r="G46" s="238"/>
      <c r="H46" s="239">
        <f>SUM(H21:H45)</f>
        <v>27751800</v>
      </c>
      <c r="I46" s="240"/>
    </row>
    <row r="47" spans="1:9" ht="15.95" customHeight="1">
      <c r="A47" s="497"/>
      <c r="B47" s="261" t="s">
        <v>53</v>
      </c>
      <c r="C47" s="242"/>
      <c r="D47" s="242"/>
      <c r="E47" s="242"/>
      <c r="F47" s="245"/>
      <c r="G47" s="245"/>
      <c r="H47" s="246">
        <f t="shared" si="2"/>
        <v>0</v>
      </c>
      <c r="I47" s="247"/>
    </row>
    <row r="48" spans="1:9" ht="15.95" customHeight="1">
      <c r="A48" s="497"/>
      <c r="B48" s="218"/>
      <c r="C48" s="225"/>
      <c r="D48" s="225"/>
      <c r="E48" s="225"/>
      <c r="F48" s="228"/>
      <c r="G48" s="228"/>
      <c r="H48" s="175">
        <f t="shared" si="2"/>
        <v>0</v>
      </c>
      <c r="I48" s="38"/>
    </row>
    <row r="49" spans="1:9" ht="15.95" customHeight="1">
      <c r="A49" s="497"/>
      <c r="B49" s="218"/>
      <c r="C49" s="225"/>
      <c r="D49" s="225"/>
      <c r="E49" s="225"/>
      <c r="F49" s="228"/>
      <c r="G49" s="228"/>
      <c r="H49" s="175">
        <f t="shared" si="2"/>
        <v>0</v>
      </c>
      <c r="I49" s="38"/>
    </row>
    <row r="50" spans="1:9" ht="15.95" customHeight="1">
      <c r="A50" s="497"/>
      <c r="B50" s="218"/>
      <c r="C50" s="225"/>
      <c r="D50" s="225"/>
      <c r="E50" s="225"/>
      <c r="F50" s="228"/>
      <c r="G50" s="228"/>
      <c r="H50" s="175">
        <f t="shared" si="2"/>
        <v>0</v>
      </c>
      <c r="I50" s="38"/>
    </row>
    <row r="51" spans="1:9" ht="15.95" customHeight="1">
      <c r="A51" s="497"/>
      <c r="B51" s="218"/>
      <c r="C51" s="225"/>
      <c r="D51" s="225"/>
      <c r="E51" s="225"/>
      <c r="F51" s="228"/>
      <c r="G51" s="228"/>
      <c r="H51" s="175">
        <f t="shared" si="2"/>
        <v>0</v>
      </c>
      <c r="I51" s="38"/>
    </row>
    <row r="52" spans="1:9" ht="15.95" customHeight="1">
      <c r="A52" s="497"/>
      <c r="B52" s="218"/>
      <c r="C52" s="225"/>
      <c r="D52" s="225"/>
      <c r="E52" s="225"/>
      <c r="F52" s="228"/>
      <c r="G52" s="228"/>
      <c r="H52" s="175">
        <f t="shared" si="2"/>
        <v>0</v>
      </c>
      <c r="I52" s="38"/>
    </row>
    <row r="53" spans="1:9" ht="15.95" customHeight="1">
      <c r="A53" s="497"/>
      <c r="B53" s="218"/>
      <c r="C53" s="229" t="s">
        <v>132</v>
      </c>
      <c r="D53" s="229"/>
      <c r="E53" s="229"/>
      <c r="F53" s="232"/>
      <c r="G53" s="232"/>
      <c r="H53" s="185">
        <f t="shared" si="2"/>
        <v>0</v>
      </c>
      <c r="I53" s="233"/>
    </row>
    <row r="54" spans="1:9" ht="15.95" customHeight="1">
      <c r="A54" s="497"/>
      <c r="B54" s="234"/>
      <c r="C54" s="235"/>
      <c r="D54" s="236"/>
      <c r="E54" s="236"/>
      <c r="F54" s="238"/>
      <c r="G54" s="238"/>
      <c r="H54" s="239">
        <f>SUM(H47:H53)</f>
        <v>0</v>
      </c>
      <c r="I54" s="240"/>
    </row>
    <row r="55" spans="1:9" ht="15.95" customHeight="1">
      <c r="A55" s="281"/>
      <c r="B55" s="282" t="s">
        <v>135</v>
      </c>
      <c r="C55" s="283"/>
      <c r="D55" s="240"/>
      <c r="E55" s="240"/>
      <c r="F55" s="285"/>
      <c r="G55" s="285"/>
      <c r="H55" s="239">
        <f>SUM(H54,H46,H20,H15)</f>
        <v>93525800</v>
      </c>
      <c r="I55" s="240"/>
    </row>
    <row r="56" spans="1:9" ht="15.95" customHeight="1">
      <c r="A56" s="498" t="s">
        <v>136</v>
      </c>
      <c r="B56" s="286" t="s">
        <v>59</v>
      </c>
      <c r="C56" s="283"/>
      <c r="D56" s="240"/>
      <c r="E56" s="286" t="s">
        <v>60</v>
      </c>
      <c r="F56" s="303"/>
      <c r="G56" s="289"/>
      <c r="H56" s="290">
        <f>F56*G56</f>
        <v>0</v>
      </c>
      <c r="I56" s="240"/>
    </row>
    <row r="57" spans="1:9" ht="15.95" customHeight="1">
      <c r="A57" s="497"/>
      <c r="B57" s="291" t="s">
        <v>154</v>
      </c>
      <c r="C57" s="292"/>
      <c r="D57" s="247"/>
      <c r="E57" s="296" t="s">
        <v>138</v>
      </c>
      <c r="F57" s="245"/>
      <c r="G57" s="245"/>
      <c r="H57" s="246">
        <f t="shared" ref="H57:H63" si="4">F57*G57</f>
        <v>0</v>
      </c>
      <c r="I57" s="247"/>
    </row>
    <row r="58" spans="1:9" ht="15.95" customHeight="1">
      <c r="A58" s="497"/>
      <c r="B58" s="324" t="s">
        <v>155</v>
      </c>
      <c r="C58" s="295"/>
      <c r="D58" s="38"/>
      <c r="E58" s="296" t="s">
        <v>138</v>
      </c>
      <c r="F58" s="228"/>
      <c r="G58" s="228"/>
      <c r="H58" s="175">
        <f t="shared" si="4"/>
        <v>0</v>
      </c>
      <c r="I58" s="38"/>
    </row>
    <row r="59" spans="1:9" ht="15.95" customHeight="1">
      <c r="A59" s="497"/>
      <c r="B59" s="294" t="s">
        <v>156</v>
      </c>
      <c r="C59" s="295"/>
      <c r="D59" s="38"/>
      <c r="E59" s="296" t="s">
        <v>138</v>
      </c>
      <c r="F59" s="228"/>
      <c r="G59" s="228"/>
      <c r="H59" s="175">
        <f t="shared" si="4"/>
        <v>0</v>
      </c>
      <c r="I59" s="38"/>
    </row>
    <row r="60" spans="1:9" ht="15.95" customHeight="1">
      <c r="A60" s="497"/>
      <c r="B60" s="294" t="s">
        <v>157</v>
      </c>
      <c r="C60" s="295"/>
      <c r="D60" s="38"/>
      <c r="E60" s="296" t="s">
        <v>138</v>
      </c>
      <c r="F60" s="228"/>
      <c r="G60" s="228"/>
      <c r="H60" s="175">
        <f t="shared" si="4"/>
        <v>0</v>
      </c>
      <c r="I60" s="38"/>
    </row>
    <row r="61" spans="1:9" ht="15.95" customHeight="1">
      <c r="A61" s="497"/>
      <c r="B61" s="294" t="s">
        <v>158</v>
      </c>
      <c r="C61" s="295"/>
      <c r="D61" s="38"/>
      <c r="E61" s="296" t="s">
        <v>138</v>
      </c>
      <c r="F61" s="228"/>
      <c r="G61" s="228"/>
      <c r="H61" s="175">
        <f t="shared" si="4"/>
        <v>0</v>
      </c>
      <c r="I61" s="38"/>
    </row>
    <row r="62" spans="1:9" ht="15.95" customHeight="1">
      <c r="A62" s="497"/>
      <c r="B62" s="294" t="s">
        <v>159</v>
      </c>
      <c r="C62" s="295"/>
      <c r="D62" s="38"/>
      <c r="E62" s="296" t="s">
        <v>138</v>
      </c>
      <c r="F62" s="228"/>
      <c r="G62" s="228"/>
      <c r="H62" s="175">
        <f t="shared" si="4"/>
        <v>0</v>
      </c>
      <c r="I62" s="38"/>
    </row>
    <row r="63" spans="1:9" ht="15.95" customHeight="1">
      <c r="A63" s="497"/>
      <c r="B63" s="297" t="s">
        <v>163</v>
      </c>
      <c r="C63" s="298"/>
      <c r="D63" s="233"/>
      <c r="E63" s="299" t="s">
        <v>138</v>
      </c>
      <c r="F63" s="232"/>
      <c r="G63" s="232"/>
      <c r="H63" s="185">
        <f t="shared" si="4"/>
        <v>0</v>
      </c>
      <c r="I63" s="233"/>
    </row>
    <row r="64" spans="1:9" ht="15.95" customHeight="1">
      <c r="A64" s="281"/>
      <c r="B64" s="300" t="s">
        <v>144</v>
      </c>
      <c r="C64" s="283"/>
      <c r="D64" s="240"/>
      <c r="E64" s="240"/>
      <c r="F64" s="238"/>
      <c r="G64" s="238"/>
      <c r="H64" s="238">
        <f>SUM(H56:H63)</f>
        <v>0</v>
      </c>
      <c r="I64" s="236"/>
    </row>
    <row r="65" spans="1:9" ht="15.95" customHeight="1">
      <c r="A65" s="287"/>
      <c r="B65" s="300" t="s">
        <v>161</v>
      </c>
      <c r="C65" s="283"/>
      <c r="D65" s="240"/>
      <c r="E65" s="240"/>
      <c r="F65" s="239"/>
      <c r="G65" s="239"/>
      <c r="H65" s="285"/>
      <c r="I65" s="240"/>
    </row>
    <row r="66" spans="1:9" ht="15.95" customHeight="1">
      <c r="A66" s="287"/>
      <c r="B66" s="300" t="s">
        <v>85</v>
      </c>
      <c r="C66" s="283"/>
      <c r="D66" s="240"/>
      <c r="E66" s="240"/>
      <c r="F66" s="239"/>
      <c r="G66" s="302"/>
      <c r="H66" s="303">
        <f>(H64+H55)*0.05</f>
        <v>4676290</v>
      </c>
      <c r="I66" s="283"/>
    </row>
    <row r="67" spans="1:9" ht="15.95" customHeight="1">
      <c r="A67" s="287"/>
      <c r="B67" s="300" t="s">
        <v>147</v>
      </c>
      <c r="C67" s="283"/>
      <c r="D67" s="240"/>
      <c r="E67" s="240"/>
      <c r="F67" s="239"/>
      <c r="G67" s="302"/>
      <c r="H67" s="303">
        <f>(H64+H55)*0.1</f>
        <v>9352580</v>
      </c>
      <c r="I67" s="283"/>
    </row>
    <row r="68" spans="1:9" ht="15.95" customHeight="1">
      <c r="A68" s="287"/>
      <c r="B68" s="300" t="s">
        <v>148</v>
      </c>
      <c r="C68" s="283"/>
      <c r="D68" s="240"/>
      <c r="E68" s="240"/>
      <c r="F68" s="239"/>
      <c r="G68" s="239"/>
      <c r="H68" s="238">
        <f>H55+H64+H65+H66+H67</f>
        <v>107554670</v>
      </c>
      <c r="I68" s="240"/>
    </row>
    <row r="69" spans="1:9">
      <c r="A69" s="136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ignoredErrors>
    <ignoredError sqref="F21:F34" numberStoredAsText="1"/>
  </ignoredError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EDD2-D2C9-420E-A730-E014EFC9C72D}">
  <sheetPr>
    <tabColor rgb="FF00B050"/>
    <pageSetUpPr fitToPage="1"/>
  </sheetPr>
  <dimension ref="A1:I76"/>
  <sheetViews>
    <sheetView zoomScale="85" workbookViewId="0">
      <pane xSplit="2" ySplit="2" topLeftCell="C3" activePane="bottomRight" state="frozen"/>
      <selection activeCell="W63" sqref="W63"/>
      <selection pane="topRight" activeCell="W63" sqref="W63"/>
      <selection pane="bottomLeft" activeCell="W63" sqref="W63"/>
      <selection pane="bottomRight" activeCell="T47" sqref="T47"/>
    </sheetView>
  </sheetViews>
  <sheetFormatPr defaultColWidth="9" defaultRowHeight="13.5"/>
  <cols>
    <col min="1" max="1" width="5" style="130" customWidth="1"/>
    <col min="2" max="2" width="17.875" style="130" bestFit="1" customWidth="1"/>
    <col min="3" max="3" width="35" style="130" customWidth="1"/>
    <col min="4" max="4" width="18.25" style="130" customWidth="1"/>
    <col min="5" max="5" width="5.25" style="130" bestFit="1" customWidth="1"/>
    <col min="6" max="6" width="9" style="165"/>
    <col min="7" max="7" width="11.875" style="165" customWidth="1"/>
    <col min="8" max="8" width="13.625" style="165" customWidth="1"/>
    <col min="9" max="9" width="12.75" style="130" customWidth="1"/>
    <col min="10" max="241" width="9" style="130"/>
    <col min="242" max="242" width="5" style="130" customWidth="1"/>
    <col min="243" max="243" width="17.875" style="130" bestFit="1" customWidth="1"/>
    <col min="244" max="244" width="23.625" style="130" customWidth="1"/>
    <col min="245" max="245" width="18.25" style="130" customWidth="1"/>
    <col min="246" max="246" width="5.25" style="130" bestFit="1" customWidth="1"/>
    <col min="247" max="247" width="9" style="130"/>
    <col min="248" max="248" width="11.875" style="130" customWidth="1"/>
    <col min="249" max="249" width="13.625" style="130" customWidth="1"/>
    <col min="250" max="250" width="12.75" style="130" customWidth="1"/>
    <col min="251" max="497" width="9" style="130"/>
    <col min="498" max="498" width="5" style="130" customWidth="1"/>
    <col min="499" max="499" width="17.875" style="130" bestFit="1" customWidth="1"/>
    <col min="500" max="500" width="23.625" style="130" customWidth="1"/>
    <col min="501" max="501" width="18.25" style="130" customWidth="1"/>
    <col min="502" max="502" width="5.25" style="130" bestFit="1" customWidth="1"/>
    <col min="503" max="503" width="9" style="130"/>
    <col min="504" max="504" width="11.875" style="130" customWidth="1"/>
    <col min="505" max="505" width="13.625" style="130" customWidth="1"/>
    <col min="506" max="506" width="12.75" style="130" customWidth="1"/>
    <col min="507" max="753" width="9" style="130"/>
    <col min="754" max="754" width="5" style="130" customWidth="1"/>
    <col min="755" max="755" width="17.875" style="130" bestFit="1" customWidth="1"/>
    <col min="756" max="756" width="23.625" style="130" customWidth="1"/>
    <col min="757" max="757" width="18.25" style="130" customWidth="1"/>
    <col min="758" max="758" width="5.25" style="130" bestFit="1" customWidth="1"/>
    <col min="759" max="759" width="9" style="130"/>
    <col min="760" max="760" width="11.875" style="130" customWidth="1"/>
    <col min="761" max="761" width="13.625" style="130" customWidth="1"/>
    <col min="762" max="762" width="12.75" style="130" customWidth="1"/>
    <col min="763" max="1009" width="9" style="130"/>
    <col min="1010" max="1010" width="5" style="130" customWidth="1"/>
    <col min="1011" max="1011" width="17.875" style="130" bestFit="1" customWidth="1"/>
    <col min="1012" max="1012" width="23.625" style="130" customWidth="1"/>
    <col min="1013" max="1013" width="18.25" style="130" customWidth="1"/>
    <col min="1014" max="1014" width="5.25" style="130" bestFit="1" customWidth="1"/>
    <col min="1015" max="1015" width="9" style="130"/>
    <col min="1016" max="1016" width="11.875" style="130" customWidth="1"/>
    <col min="1017" max="1017" width="13.625" style="130" customWidth="1"/>
    <col min="1018" max="1018" width="12.75" style="130" customWidth="1"/>
    <col min="1019" max="1265" width="9" style="130"/>
    <col min="1266" max="1266" width="5" style="130" customWidth="1"/>
    <col min="1267" max="1267" width="17.875" style="130" bestFit="1" customWidth="1"/>
    <col min="1268" max="1268" width="23.625" style="130" customWidth="1"/>
    <col min="1269" max="1269" width="18.25" style="130" customWidth="1"/>
    <col min="1270" max="1270" width="5.25" style="130" bestFit="1" customWidth="1"/>
    <col min="1271" max="1271" width="9" style="130"/>
    <col min="1272" max="1272" width="11.875" style="130" customWidth="1"/>
    <col min="1273" max="1273" width="13.625" style="130" customWidth="1"/>
    <col min="1274" max="1274" width="12.75" style="130" customWidth="1"/>
    <col min="1275" max="1521" width="9" style="130"/>
    <col min="1522" max="1522" width="5" style="130" customWidth="1"/>
    <col min="1523" max="1523" width="17.875" style="130" bestFit="1" customWidth="1"/>
    <col min="1524" max="1524" width="23.625" style="130" customWidth="1"/>
    <col min="1525" max="1525" width="18.25" style="130" customWidth="1"/>
    <col min="1526" max="1526" width="5.25" style="130" bestFit="1" customWidth="1"/>
    <col min="1527" max="1527" width="9" style="130"/>
    <col min="1528" max="1528" width="11.875" style="130" customWidth="1"/>
    <col min="1529" max="1529" width="13.625" style="130" customWidth="1"/>
    <col min="1530" max="1530" width="12.75" style="130" customWidth="1"/>
    <col min="1531" max="1777" width="9" style="130"/>
    <col min="1778" max="1778" width="5" style="130" customWidth="1"/>
    <col min="1779" max="1779" width="17.875" style="130" bestFit="1" customWidth="1"/>
    <col min="1780" max="1780" width="23.625" style="130" customWidth="1"/>
    <col min="1781" max="1781" width="18.25" style="130" customWidth="1"/>
    <col min="1782" max="1782" width="5.25" style="130" bestFit="1" customWidth="1"/>
    <col min="1783" max="1783" width="9" style="130"/>
    <col min="1784" max="1784" width="11.875" style="130" customWidth="1"/>
    <col min="1785" max="1785" width="13.625" style="130" customWidth="1"/>
    <col min="1786" max="1786" width="12.75" style="130" customWidth="1"/>
    <col min="1787" max="2033" width="9" style="130"/>
    <col min="2034" max="2034" width="5" style="130" customWidth="1"/>
    <col min="2035" max="2035" width="17.875" style="130" bestFit="1" customWidth="1"/>
    <col min="2036" max="2036" width="23.625" style="130" customWidth="1"/>
    <col min="2037" max="2037" width="18.25" style="130" customWidth="1"/>
    <col min="2038" max="2038" width="5.25" style="130" bestFit="1" customWidth="1"/>
    <col min="2039" max="2039" width="9" style="130"/>
    <col min="2040" max="2040" width="11.875" style="130" customWidth="1"/>
    <col min="2041" max="2041" width="13.625" style="130" customWidth="1"/>
    <col min="2042" max="2042" width="12.75" style="130" customWidth="1"/>
    <col min="2043" max="2289" width="9" style="130"/>
    <col min="2290" max="2290" width="5" style="130" customWidth="1"/>
    <col min="2291" max="2291" width="17.875" style="130" bestFit="1" customWidth="1"/>
    <col min="2292" max="2292" width="23.625" style="130" customWidth="1"/>
    <col min="2293" max="2293" width="18.25" style="130" customWidth="1"/>
    <col min="2294" max="2294" width="5.25" style="130" bestFit="1" customWidth="1"/>
    <col min="2295" max="2295" width="9" style="130"/>
    <col min="2296" max="2296" width="11.875" style="130" customWidth="1"/>
    <col min="2297" max="2297" width="13.625" style="130" customWidth="1"/>
    <col min="2298" max="2298" width="12.75" style="130" customWidth="1"/>
    <col min="2299" max="2545" width="9" style="130"/>
    <col min="2546" max="2546" width="5" style="130" customWidth="1"/>
    <col min="2547" max="2547" width="17.875" style="130" bestFit="1" customWidth="1"/>
    <col min="2548" max="2548" width="23.625" style="130" customWidth="1"/>
    <col min="2549" max="2549" width="18.25" style="130" customWidth="1"/>
    <col min="2550" max="2550" width="5.25" style="130" bestFit="1" customWidth="1"/>
    <col min="2551" max="2551" width="9" style="130"/>
    <col min="2552" max="2552" width="11.875" style="130" customWidth="1"/>
    <col min="2553" max="2553" width="13.625" style="130" customWidth="1"/>
    <col min="2554" max="2554" width="12.75" style="130" customWidth="1"/>
    <col min="2555" max="2801" width="9" style="130"/>
    <col min="2802" max="2802" width="5" style="130" customWidth="1"/>
    <col min="2803" max="2803" width="17.875" style="130" bestFit="1" customWidth="1"/>
    <col min="2804" max="2804" width="23.625" style="130" customWidth="1"/>
    <col min="2805" max="2805" width="18.25" style="130" customWidth="1"/>
    <col min="2806" max="2806" width="5.25" style="130" bestFit="1" customWidth="1"/>
    <col min="2807" max="2807" width="9" style="130"/>
    <col min="2808" max="2808" width="11.875" style="130" customWidth="1"/>
    <col min="2809" max="2809" width="13.625" style="130" customWidth="1"/>
    <col min="2810" max="2810" width="12.75" style="130" customWidth="1"/>
    <col min="2811" max="3057" width="9" style="130"/>
    <col min="3058" max="3058" width="5" style="130" customWidth="1"/>
    <col min="3059" max="3059" width="17.875" style="130" bestFit="1" customWidth="1"/>
    <col min="3060" max="3060" width="23.625" style="130" customWidth="1"/>
    <col min="3061" max="3061" width="18.25" style="130" customWidth="1"/>
    <col min="3062" max="3062" width="5.25" style="130" bestFit="1" customWidth="1"/>
    <col min="3063" max="3063" width="9" style="130"/>
    <col min="3064" max="3064" width="11.875" style="130" customWidth="1"/>
    <col min="3065" max="3065" width="13.625" style="130" customWidth="1"/>
    <col min="3066" max="3066" width="12.75" style="130" customWidth="1"/>
    <col min="3067" max="3313" width="9" style="130"/>
    <col min="3314" max="3314" width="5" style="130" customWidth="1"/>
    <col min="3315" max="3315" width="17.875" style="130" bestFit="1" customWidth="1"/>
    <col min="3316" max="3316" width="23.625" style="130" customWidth="1"/>
    <col min="3317" max="3317" width="18.25" style="130" customWidth="1"/>
    <col min="3318" max="3318" width="5.25" style="130" bestFit="1" customWidth="1"/>
    <col min="3319" max="3319" width="9" style="130"/>
    <col min="3320" max="3320" width="11.875" style="130" customWidth="1"/>
    <col min="3321" max="3321" width="13.625" style="130" customWidth="1"/>
    <col min="3322" max="3322" width="12.75" style="130" customWidth="1"/>
    <col min="3323" max="3569" width="9" style="130"/>
    <col min="3570" max="3570" width="5" style="130" customWidth="1"/>
    <col min="3571" max="3571" width="17.875" style="130" bestFit="1" customWidth="1"/>
    <col min="3572" max="3572" width="23.625" style="130" customWidth="1"/>
    <col min="3573" max="3573" width="18.25" style="130" customWidth="1"/>
    <col min="3574" max="3574" width="5.25" style="130" bestFit="1" customWidth="1"/>
    <col min="3575" max="3575" width="9" style="130"/>
    <col min="3576" max="3576" width="11.875" style="130" customWidth="1"/>
    <col min="3577" max="3577" width="13.625" style="130" customWidth="1"/>
    <col min="3578" max="3578" width="12.75" style="130" customWidth="1"/>
    <col min="3579" max="3825" width="9" style="130"/>
    <col min="3826" max="3826" width="5" style="130" customWidth="1"/>
    <col min="3827" max="3827" width="17.875" style="130" bestFit="1" customWidth="1"/>
    <col min="3828" max="3828" width="23.625" style="130" customWidth="1"/>
    <col min="3829" max="3829" width="18.25" style="130" customWidth="1"/>
    <col min="3830" max="3830" width="5.25" style="130" bestFit="1" customWidth="1"/>
    <col min="3831" max="3831" width="9" style="130"/>
    <col min="3832" max="3832" width="11.875" style="130" customWidth="1"/>
    <col min="3833" max="3833" width="13.625" style="130" customWidth="1"/>
    <col min="3834" max="3834" width="12.75" style="130" customWidth="1"/>
    <col min="3835" max="4081" width="9" style="130"/>
    <col min="4082" max="4082" width="5" style="130" customWidth="1"/>
    <col min="4083" max="4083" width="17.875" style="130" bestFit="1" customWidth="1"/>
    <col min="4084" max="4084" width="23.625" style="130" customWidth="1"/>
    <col min="4085" max="4085" width="18.25" style="130" customWidth="1"/>
    <col min="4086" max="4086" width="5.25" style="130" bestFit="1" customWidth="1"/>
    <col min="4087" max="4087" width="9" style="130"/>
    <col min="4088" max="4088" width="11.875" style="130" customWidth="1"/>
    <col min="4089" max="4089" width="13.625" style="130" customWidth="1"/>
    <col min="4090" max="4090" width="12.75" style="130" customWidth="1"/>
    <col min="4091" max="4337" width="9" style="130"/>
    <col min="4338" max="4338" width="5" style="130" customWidth="1"/>
    <col min="4339" max="4339" width="17.875" style="130" bestFit="1" customWidth="1"/>
    <col min="4340" max="4340" width="23.625" style="130" customWidth="1"/>
    <col min="4341" max="4341" width="18.25" style="130" customWidth="1"/>
    <col min="4342" max="4342" width="5.25" style="130" bestFit="1" customWidth="1"/>
    <col min="4343" max="4343" width="9" style="130"/>
    <col min="4344" max="4344" width="11.875" style="130" customWidth="1"/>
    <col min="4345" max="4345" width="13.625" style="130" customWidth="1"/>
    <col min="4346" max="4346" width="12.75" style="130" customWidth="1"/>
    <col min="4347" max="4593" width="9" style="130"/>
    <col min="4594" max="4594" width="5" style="130" customWidth="1"/>
    <col min="4595" max="4595" width="17.875" style="130" bestFit="1" customWidth="1"/>
    <col min="4596" max="4596" width="23.625" style="130" customWidth="1"/>
    <col min="4597" max="4597" width="18.25" style="130" customWidth="1"/>
    <col min="4598" max="4598" width="5.25" style="130" bestFit="1" customWidth="1"/>
    <col min="4599" max="4599" width="9" style="130"/>
    <col min="4600" max="4600" width="11.875" style="130" customWidth="1"/>
    <col min="4601" max="4601" width="13.625" style="130" customWidth="1"/>
    <col min="4602" max="4602" width="12.75" style="130" customWidth="1"/>
    <col min="4603" max="4849" width="9" style="130"/>
    <col min="4850" max="4850" width="5" style="130" customWidth="1"/>
    <col min="4851" max="4851" width="17.875" style="130" bestFit="1" customWidth="1"/>
    <col min="4852" max="4852" width="23.625" style="130" customWidth="1"/>
    <col min="4853" max="4853" width="18.25" style="130" customWidth="1"/>
    <col min="4854" max="4854" width="5.25" style="130" bestFit="1" customWidth="1"/>
    <col min="4855" max="4855" width="9" style="130"/>
    <col min="4856" max="4856" width="11.875" style="130" customWidth="1"/>
    <col min="4857" max="4857" width="13.625" style="130" customWidth="1"/>
    <col min="4858" max="4858" width="12.75" style="130" customWidth="1"/>
    <col min="4859" max="5105" width="9" style="130"/>
    <col min="5106" max="5106" width="5" style="130" customWidth="1"/>
    <col min="5107" max="5107" width="17.875" style="130" bestFit="1" customWidth="1"/>
    <col min="5108" max="5108" width="23.625" style="130" customWidth="1"/>
    <col min="5109" max="5109" width="18.25" style="130" customWidth="1"/>
    <col min="5110" max="5110" width="5.25" style="130" bestFit="1" customWidth="1"/>
    <col min="5111" max="5111" width="9" style="130"/>
    <col min="5112" max="5112" width="11.875" style="130" customWidth="1"/>
    <col min="5113" max="5113" width="13.625" style="130" customWidth="1"/>
    <col min="5114" max="5114" width="12.75" style="130" customWidth="1"/>
    <col min="5115" max="5361" width="9" style="130"/>
    <col min="5362" max="5362" width="5" style="130" customWidth="1"/>
    <col min="5363" max="5363" width="17.875" style="130" bestFit="1" customWidth="1"/>
    <col min="5364" max="5364" width="23.625" style="130" customWidth="1"/>
    <col min="5365" max="5365" width="18.25" style="130" customWidth="1"/>
    <col min="5366" max="5366" width="5.25" style="130" bestFit="1" customWidth="1"/>
    <col min="5367" max="5367" width="9" style="130"/>
    <col min="5368" max="5368" width="11.875" style="130" customWidth="1"/>
    <col min="5369" max="5369" width="13.625" style="130" customWidth="1"/>
    <col min="5370" max="5370" width="12.75" style="130" customWidth="1"/>
    <col min="5371" max="5617" width="9" style="130"/>
    <col min="5618" max="5618" width="5" style="130" customWidth="1"/>
    <col min="5619" max="5619" width="17.875" style="130" bestFit="1" customWidth="1"/>
    <col min="5620" max="5620" width="23.625" style="130" customWidth="1"/>
    <col min="5621" max="5621" width="18.25" style="130" customWidth="1"/>
    <col min="5622" max="5622" width="5.25" style="130" bestFit="1" customWidth="1"/>
    <col min="5623" max="5623" width="9" style="130"/>
    <col min="5624" max="5624" width="11.875" style="130" customWidth="1"/>
    <col min="5625" max="5625" width="13.625" style="130" customWidth="1"/>
    <col min="5626" max="5626" width="12.75" style="130" customWidth="1"/>
    <col min="5627" max="5873" width="9" style="130"/>
    <col min="5874" max="5874" width="5" style="130" customWidth="1"/>
    <col min="5875" max="5875" width="17.875" style="130" bestFit="1" customWidth="1"/>
    <col min="5876" max="5876" width="23.625" style="130" customWidth="1"/>
    <col min="5877" max="5877" width="18.25" style="130" customWidth="1"/>
    <col min="5878" max="5878" width="5.25" style="130" bestFit="1" customWidth="1"/>
    <col min="5879" max="5879" width="9" style="130"/>
    <col min="5880" max="5880" width="11.875" style="130" customWidth="1"/>
    <col min="5881" max="5881" width="13.625" style="130" customWidth="1"/>
    <col min="5882" max="5882" width="12.75" style="130" customWidth="1"/>
    <col min="5883" max="6129" width="9" style="130"/>
    <col min="6130" max="6130" width="5" style="130" customWidth="1"/>
    <col min="6131" max="6131" width="17.875" style="130" bestFit="1" customWidth="1"/>
    <col min="6132" max="6132" width="23.625" style="130" customWidth="1"/>
    <col min="6133" max="6133" width="18.25" style="130" customWidth="1"/>
    <col min="6134" max="6134" width="5.25" style="130" bestFit="1" customWidth="1"/>
    <col min="6135" max="6135" width="9" style="130"/>
    <col min="6136" max="6136" width="11.875" style="130" customWidth="1"/>
    <col min="6137" max="6137" width="13.625" style="130" customWidth="1"/>
    <col min="6138" max="6138" width="12.75" style="130" customWidth="1"/>
    <col min="6139" max="6385" width="9" style="130"/>
    <col min="6386" max="6386" width="5" style="130" customWidth="1"/>
    <col min="6387" max="6387" width="17.875" style="130" bestFit="1" customWidth="1"/>
    <col min="6388" max="6388" width="23.625" style="130" customWidth="1"/>
    <col min="6389" max="6389" width="18.25" style="130" customWidth="1"/>
    <col min="6390" max="6390" width="5.25" style="130" bestFit="1" customWidth="1"/>
    <col min="6391" max="6391" width="9" style="130"/>
    <col min="6392" max="6392" width="11.875" style="130" customWidth="1"/>
    <col min="6393" max="6393" width="13.625" style="130" customWidth="1"/>
    <col min="6394" max="6394" width="12.75" style="130" customWidth="1"/>
    <col min="6395" max="6641" width="9" style="130"/>
    <col min="6642" max="6642" width="5" style="130" customWidth="1"/>
    <col min="6643" max="6643" width="17.875" style="130" bestFit="1" customWidth="1"/>
    <col min="6644" max="6644" width="23.625" style="130" customWidth="1"/>
    <col min="6645" max="6645" width="18.25" style="130" customWidth="1"/>
    <col min="6646" max="6646" width="5.25" style="130" bestFit="1" customWidth="1"/>
    <col min="6647" max="6647" width="9" style="130"/>
    <col min="6648" max="6648" width="11.875" style="130" customWidth="1"/>
    <col min="6649" max="6649" width="13.625" style="130" customWidth="1"/>
    <col min="6650" max="6650" width="12.75" style="130" customWidth="1"/>
    <col min="6651" max="6897" width="9" style="130"/>
    <col min="6898" max="6898" width="5" style="130" customWidth="1"/>
    <col min="6899" max="6899" width="17.875" style="130" bestFit="1" customWidth="1"/>
    <col min="6900" max="6900" width="23.625" style="130" customWidth="1"/>
    <col min="6901" max="6901" width="18.25" style="130" customWidth="1"/>
    <col min="6902" max="6902" width="5.25" style="130" bestFit="1" customWidth="1"/>
    <col min="6903" max="6903" width="9" style="130"/>
    <col min="6904" max="6904" width="11.875" style="130" customWidth="1"/>
    <col min="6905" max="6905" width="13.625" style="130" customWidth="1"/>
    <col min="6906" max="6906" width="12.75" style="130" customWidth="1"/>
    <col min="6907" max="7153" width="9" style="130"/>
    <col min="7154" max="7154" width="5" style="130" customWidth="1"/>
    <col min="7155" max="7155" width="17.875" style="130" bestFit="1" customWidth="1"/>
    <col min="7156" max="7156" width="23.625" style="130" customWidth="1"/>
    <col min="7157" max="7157" width="18.25" style="130" customWidth="1"/>
    <col min="7158" max="7158" width="5.25" style="130" bestFit="1" customWidth="1"/>
    <col min="7159" max="7159" width="9" style="130"/>
    <col min="7160" max="7160" width="11.875" style="130" customWidth="1"/>
    <col min="7161" max="7161" width="13.625" style="130" customWidth="1"/>
    <col min="7162" max="7162" width="12.75" style="130" customWidth="1"/>
    <col min="7163" max="7409" width="9" style="130"/>
    <col min="7410" max="7410" width="5" style="130" customWidth="1"/>
    <col min="7411" max="7411" width="17.875" style="130" bestFit="1" customWidth="1"/>
    <col min="7412" max="7412" width="23.625" style="130" customWidth="1"/>
    <col min="7413" max="7413" width="18.25" style="130" customWidth="1"/>
    <col min="7414" max="7414" width="5.25" style="130" bestFit="1" customWidth="1"/>
    <col min="7415" max="7415" width="9" style="130"/>
    <col min="7416" max="7416" width="11.875" style="130" customWidth="1"/>
    <col min="7417" max="7417" width="13.625" style="130" customWidth="1"/>
    <col min="7418" max="7418" width="12.75" style="130" customWidth="1"/>
    <col min="7419" max="7665" width="9" style="130"/>
    <col min="7666" max="7666" width="5" style="130" customWidth="1"/>
    <col min="7667" max="7667" width="17.875" style="130" bestFit="1" customWidth="1"/>
    <col min="7668" max="7668" width="23.625" style="130" customWidth="1"/>
    <col min="7669" max="7669" width="18.25" style="130" customWidth="1"/>
    <col min="7670" max="7670" width="5.25" style="130" bestFit="1" customWidth="1"/>
    <col min="7671" max="7671" width="9" style="130"/>
    <col min="7672" max="7672" width="11.875" style="130" customWidth="1"/>
    <col min="7673" max="7673" width="13.625" style="130" customWidth="1"/>
    <col min="7674" max="7674" width="12.75" style="130" customWidth="1"/>
    <col min="7675" max="7921" width="9" style="130"/>
    <col min="7922" max="7922" width="5" style="130" customWidth="1"/>
    <col min="7923" max="7923" width="17.875" style="130" bestFit="1" customWidth="1"/>
    <col min="7924" max="7924" width="23.625" style="130" customWidth="1"/>
    <col min="7925" max="7925" width="18.25" style="130" customWidth="1"/>
    <col min="7926" max="7926" width="5.25" style="130" bestFit="1" customWidth="1"/>
    <col min="7927" max="7927" width="9" style="130"/>
    <col min="7928" max="7928" width="11.875" style="130" customWidth="1"/>
    <col min="7929" max="7929" width="13.625" style="130" customWidth="1"/>
    <col min="7930" max="7930" width="12.75" style="130" customWidth="1"/>
    <col min="7931" max="8177" width="9" style="130"/>
    <col min="8178" max="8178" width="5" style="130" customWidth="1"/>
    <col min="8179" max="8179" width="17.875" style="130" bestFit="1" customWidth="1"/>
    <col min="8180" max="8180" width="23.625" style="130" customWidth="1"/>
    <col min="8181" max="8181" width="18.25" style="130" customWidth="1"/>
    <col min="8182" max="8182" width="5.25" style="130" bestFit="1" customWidth="1"/>
    <col min="8183" max="8183" width="9" style="130"/>
    <col min="8184" max="8184" width="11.875" style="130" customWidth="1"/>
    <col min="8185" max="8185" width="13.625" style="130" customWidth="1"/>
    <col min="8186" max="8186" width="12.75" style="130" customWidth="1"/>
    <col min="8187" max="8433" width="9" style="130"/>
    <col min="8434" max="8434" width="5" style="130" customWidth="1"/>
    <col min="8435" max="8435" width="17.875" style="130" bestFit="1" customWidth="1"/>
    <col min="8436" max="8436" width="23.625" style="130" customWidth="1"/>
    <col min="8437" max="8437" width="18.25" style="130" customWidth="1"/>
    <col min="8438" max="8438" width="5.25" style="130" bestFit="1" customWidth="1"/>
    <col min="8439" max="8439" width="9" style="130"/>
    <col min="8440" max="8440" width="11.875" style="130" customWidth="1"/>
    <col min="8441" max="8441" width="13.625" style="130" customWidth="1"/>
    <col min="8442" max="8442" width="12.75" style="130" customWidth="1"/>
    <col min="8443" max="8689" width="9" style="130"/>
    <col min="8690" max="8690" width="5" style="130" customWidth="1"/>
    <col min="8691" max="8691" width="17.875" style="130" bestFit="1" customWidth="1"/>
    <col min="8692" max="8692" width="23.625" style="130" customWidth="1"/>
    <col min="8693" max="8693" width="18.25" style="130" customWidth="1"/>
    <col min="8694" max="8694" width="5.25" style="130" bestFit="1" customWidth="1"/>
    <col min="8695" max="8695" width="9" style="130"/>
    <col min="8696" max="8696" width="11.875" style="130" customWidth="1"/>
    <col min="8697" max="8697" width="13.625" style="130" customWidth="1"/>
    <col min="8698" max="8698" width="12.75" style="130" customWidth="1"/>
    <col min="8699" max="8945" width="9" style="130"/>
    <col min="8946" max="8946" width="5" style="130" customWidth="1"/>
    <col min="8947" max="8947" width="17.875" style="130" bestFit="1" customWidth="1"/>
    <col min="8948" max="8948" width="23.625" style="130" customWidth="1"/>
    <col min="8949" max="8949" width="18.25" style="130" customWidth="1"/>
    <col min="8950" max="8950" width="5.25" style="130" bestFit="1" customWidth="1"/>
    <col min="8951" max="8951" width="9" style="130"/>
    <col min="8952" max="8952" width="11.875" style="130" customWidth="1"/>
    <col min="8953" max="8953" width="13.625" style="130" customWidth="1"/>
    <col min="8954" max="8954" width="12.75" style="130" customWidth="1"/>
    <col min="8955" max="9201" width="9" style="130"/>
    <col min="9202" max="9202" width="5" style="130" customWidth="1"/>
    <col min="9203" max="9203" width="17.875" style="130" bestFit="1" customWidth="1"/>
    <col min="9204" max="9204" width="23.625" style="130" customWidth="1"/>
    <col min="9205" max="9205" width="18.25" style="130" customWidth="1"/>
    <col min="9206" max="9206" width="5.25" style="130" bestFit="1" customWidth="1"/>
    <col min="9207" max="9207" width="9" style="130"/>
    <col min="9208" max="9208" width="11.875" style="130" customWidth="1"/>
    <col min="9209" max="9209" width="13.625" style="130" customWidth="1"/>
    <col min="9210" max="9210" width="12.75" style="130" customWidth="1"/>
    <col min="9211" max="9457" width="9" style="130"/>
    <col min="9458" max="9458" width="5" style="130" customWidth="1"/>
    <col min="9459" max="9459" width="17.875" style="130" bestFit="1" customWidth="1"/>
    <col min="9460" max="9460" width="23.625" style="130" customWidth="1"/>
    <col min="9461" max="9461" width="18.25" style="130" customWidth="1"/>
    <col min="9462" max="9462" width="5.25" style="130" bestFit="1" customWidth="1"/>
    <col min="9463" max="9463" width="9" style="130"/>
    <col min="9464" max="9464" width="11.875" style="130" customWidth="1"/>
    <col min="9465" max="9465" width="13.625" style="130" customWidth="1"/>
    <col min="9466" max="9466" width="12.75" style="130" customWidth="1"/>
    <col min="9467" max="9713" width="9" style="130"/>
    <col min="9714" max="9714" width="5" style="130" customWidth="1"/>
    <col min="9715" max="9715" width="17.875" style="130" bestFit="1" customWidth="1"/>
    <col min="9716" max="9716" width="23.625" style="130" customWidth="1"/>
    <col min="9717" max="9717" width="18.25" style="130" customWidth="1"/>
    <col min="9718" max="9718" width="5.25" style="130" bestFit="1" customWidth="1"/>
    <col min="9719" max="9719" width="9" style="130"/>
    <col min="9720" max="9720" width="11.875" style="130" customWidth="1"/>
    <col min="9721" max="9721" width="13.625" style="130" customWidth="1"/>
    <col min="9722" max="9722" width="12.75" style="130" customWidth="1"/>
    <col min="9723" max="9969" width="9" style="130"/>
    <col min="9970" max="9970" width="5" style="130" customWidth="1"/>
    <col min="9971" max="9971" width="17.875" style="130" bestFit="1" customWidth="1"/>
    <col min="9972" max="9972" width="23.625" style="130" customWidth="1"/>
    <col min="9973" max="9973" width="18.25" style="130" customWidth="1"/>
    <col min="9974" max="9974" width="5.25" style="130" bestFit="1" customWidth="1"/>
    <col min="9975" max="9975" width="9" style="130"/>
    <col min="9976" max="9976" width="11.875" style="130" customWidth="1"/>
    <col min="9977" max="9977" width="13.625" style="130" customWidth="1"/>
    <col min="9978" max="9978" width="12.75" style="130" customWidth="1"/>
    <col min="9979" max="10225" width="9" style="130"/>
    <col min="10226" max="10226" width="5" style="130" customWidth="1"/>
    <col min="10227" max="10227" width="17.875" style="130" bestFit="1" customWidth="1"/>
    <col min="10228" max="10228" width="23.625" style="130" customWidth="1"/>
    <col min="10229" max="10229" width="18.25" style="130" customWidth="1"/>
    <col min="10230" max="10230" width="5.25" style="130" bestFit="1" customWidth="1"/>
    <col min="10231" max="10231" width="9" style="130"/>
    <col min="10232" max="10232" width="11.875" style="130" customWidth="1"/>
    <col min="10233" max="10233" width="13.625" style="130" customWidth="1"/>
    <col min="10234" max="10234" width="12.75" style="130" customWidth="1"/>
    <col min="10235" max="10481" width="9" style="130"/>
    <col min="10482" max="10482" width="5" style="130" customWidth="1"/>
    <col min="10483" max="10483" width="17.875" style="130" bestFit="1" customWidth="1"/>
    <col min="10484" max="10484" width="23.625" style="130" customWidth="1"/>
    <col min="10485" max="10485" width="18.25" style="130" customWidth="1"/>
    <col min="10486" max="10486" width="5.25" style="130" bestFit="1" customWidth="1"/>
    <col min="10487" max="10487" width="9" style="130"/>
    <col min="10488" max="10488" width="11.875" style="130" customWidth="1"/>
    <col min="10489" max="10489" width="13.625" style="130" customWidth="1"/>
    <col min="10490" max="10490" width="12.75" style="130" customWidth="1"/>
    <col min="10491" max="10737" width="9" style="130"/>
    <col min="10738" max="10738" width="5" style="130" customWidth="1"/>
    <col min="10739" max="10739" width="17.875" style="130" bestFit="1" customWidth="1"/>
    <col min="10740" max="10740" width="23.625" style="130" customWidth="1"/>
    <col min="10741" max="10741" width="18.25" style="130" customWidth="1"/>
    <col min="10742" max="10742" width="5.25" style="130" bestFit="1" customWidth="1"/>
    <col min="10743" max="10743" width="9" style="130"/>
    <col min="10744" max="10744" width="11.875" style="130" customWidth="1"/>
    <col min="10745" max="10745" width="13.625" style="130" customWidth="1"/>
    <col min="10746" max="10746" width="12.75" style="130" customWidth="1"/>
    <col min="10747" max="10993" width="9" style="130"/>
    <col min="10994" max="10994" width="5" style="130" customWidth="1"/>
    <col min="10995" max="10995" width="17.875" style="130" bestFit="1" customWidth="1"/>
    <col min="10996" max="10996" width="23.625" style="130" customWidth="1"/>
    <col min="10997" max="10997" width="18.25" style="130" customWidth="1"/>
    <col min="10998" max="10998" width="5.25" style="130" bestFit="1" customWidth="1"/>
    <col min="10999" max="10999" width="9" style="130"/>
    <col min="11000" max="11000" width="11.875" style="130" customWidth="1"/>
    <col min="11001" max="11001" width="13.625" style="130" customWidth="1"/>
    <col min="11002" max="11002" width="12.75" style="130" customWidth="1"/>
    <col min="11003" max="11249" width="9" style="130"/>
    <col min="11250" max="11250" width="5" style="130" customWidth="1"/>
    <col min="11251" max="11251" width="17.875" style="130" bestFit="1" customWidth="1"/>
    <col min="11252" max="11252" width="23.625" style="130" customWidth="1"/>
    <col min="11253" max="11253" width="18.25" style="130" customWidth="1"/>
    <col min="11254" max="11254" width="5.25" style="130" bestFit="1" customWidth="1"/>
    <col min="11255" max="11255" width="9" style="130"/>
    <col min="11256" max="11256" width="11.875" style="130" customWidth="1"/>
    <col min="11257" max="11257" width="13.625" style="130" customWidth="1"/>
    <col min="11258" max="11258" width="12.75" style="130" customWidth="1"/>
    <col min="11259" max="11505" width="9" style="130"/>
    <col min="11506" max="11506" width="5" style="130" customWidth="1"/>
    <col min="11507" max="11507" width="17.875" style="130" bestFit="1" customWidth="1"/>
    <col min="11508" max="11508" width="23.625" style="130" customWidth="1"/>
    <col min="11509" max="11509" width="18.25" style="130" customWidth="1"/>
    <col min="11510" max="11510" width="5.25" style="130" bestFit="1" customWidth="1"/>
    <col min="11511" max="11511" width="9" style="130"/>
    <col min="11512" max="11512" width="11.875" style="130" customWidth="1"/>
    <col min="11513" max="11513" width="13.625" style="130" customWidth="1"/>
    <col min="11514" max="11514" width="12.75" style="130" customWidth="1"/>
    <col min="11515" max="11761" width="9" style="130"/>
    <col min="11762" max="11762" width="5" style="130" customWidth="1"/>
    <col min="11763" max="11763" width="17.875" style="130" bestFit="1" customWidth="1"/>
    <col min="11764" max="11764" width="23.625" style="130" customWidth="1"/>
    <col min="11765" max="11765" width="18.25" style="130" customWidth="1"/>
    <col min="11766" max="11766" width="5.25" style="130" bestFit="1" customWidth="1"/>
    <col min="11767" max="11767" width="9" style="130"/>
    <col min="11768" max="11768" width="11.875" style="130" customWidth="1"/>
    <col min="11769" max="11769" width="13.625" style="130" customWidth="1"/>
    <col min="11770" max="11770" width="12.75" style="130" customWidth="1"/>
    <col min="11771" max="12017" width="9" style="130"/>
    <col min="12018" max="12018" width="5" style="130" customWidth="1"/>
    <col min="12019" max="12019" width="17.875" style="130" bestFit="1" customWidth="1"/>
    <col min="12020" max="12020" width="23.625" style="130" customWidth="1"/>
    <col min="12021" max="12021" width="18.25" style="130" customWidth="1"/>
    <col min="12022" max="12022" width="5.25" style="130" bestFit="1" customWidth="1"/>
    <col min="12023" max="12023" width="9" style="130"/>
    <col min="12024" max="12024" width="11.875" style="130" customWidth="1"/>
    <col min="12025" max="12025" width="13.625" style="130" customWidth="1"/>
    <col min="12026" max="12026" width="12.75" style="130" customWidth="1"/>
    <col min="12027" max="12273" width="9" style="130"/>
    <col min="12274" max="12274" width="5" style="130" customWidth="1"/>
    <col min="12275" max="12275" width="17.875" style="130" bestFit="1" customWidth="1"/>
    <col min="12276" max="12276" width="23.625" style="130" customWidth="1"/>
    <col min="12277" max="12277" width="18.25" style="130" customWidth="1"/>
    <col min="12278" max="12278" width="5.25" style="130" bestFit="1" customWidth="1"/>
    <col min="12279" max="12279" width="9" style="130"/>
    <col min="12280" max="12280" width="11.875" style="130" customWidth="1"/>
    <col min="12281" max="12281" width="13.625" style="130" customWidth="1"/>
    <col min="12282" max="12282" width="12.75" style="130" customWidth="1"/>
    <col min="12283" max="12529" width="9" style="130"/>
    <col min="12530" max="12530" width="5" style="130" customWidth="1"/>
    <col min="12531" max="12531" width="17.875" style="130" bestFit="1" customWidth="1"/>
    <col min="12532" max="12532" width="23.625" style="130" customWidth="1"/>
    <col min="12533" max="12533" width="18.25" style="130" customWidth="1"/>
    <col min="12534" max="12534" width="5.25" style="130" bestFit="1" customWidth="1"/>
    <col min="12535" max="12535" width="9" style="130"/>
    <col min="12536" max="12536" width="11.875" style="130" customWidth="1"/>
    <col min="12537" max="12537" width="13.625" style="130" customWidth="1"/>
    <col min="12538" max="12538" width="12.75" style="130" customWidth="1"/>
    <col min="12539" max="12785" width="9" style="130"/>
    <col min="12786" max="12786" width="5" style="130" customWidth="1"/>
    <col min="12787" max="12787" width="17.875" style="130" bestFit="1" customWidth="1"/>
    <col min="12788" max="12788" width="23.625" style="130" customWidth="1"/>
    <col min="12789" max="12789" width="18.25" style="130" customWidth="1"/>
    <col min="12790" max="12790" width="5.25" style="130" bestFit="1" customWidth="1"/>
    <col min="12791" max="12791" width="9" style="130"/>
    <col min="12792" max="12792" width="11.875" style="130" customWidth="1"/>
    <col min="12793" max="12793" width="13.625" style="130" customWidth="1"/>
    <col min="12794" max="12794" width="12.75" style="130" customWidth="1"/>
    <col min="12795" max="13041" width="9" style="130"/>
    <col min="13042" max="13042" width="5" style="130" customWidth="1"/>
    <col min="13043" max="13043" width="17.875" style="130" bestFit="1" customWidth="1"/>
    <col min="13044" max="13044" width="23.625" style="130" customWidth="1"/>
    <col min="13045" max="13045" width="18.25" style="130" customWidth="1"/>
    <col min="13046" max="13046" width="5.25" style="130" bestFit="1" customWidth="1"/>
    <col min="13047" max="13047" width="9" style="130"/>
    <col min="13048" max="13048" width="11.875" style="130" customWidth="1"/>
    <col min="13049" max="13049" width="13.625" style="130" customWidth="1"/>
    <col min="13050" max="13050" width="12.75" style="130" customWidth="1"/>
    <col min="13051" max="13297" width="9" style="130"/>
    <col min="13298" max="13298" width="5" style="130" customWidth="1"/>
    <col min="13299" max="13299" width="17.875" style="130" bestFit="1" customWidth="1"/>
    <col min="13300" max="13300" width="23.625" style="130" customWidth="1"/>
    <col min="13301" max="13301" width="18.25" style="130" customWidth="1"/>
    <col min="13302" max="13302" width="5.25" style="130" bestFit="1" customWidth="1"/>
    <col min="13303" max="13303" width="9" style="130"/>
    <col min="13304" max="13304" width="11.875" style="130" customWidth="1"/>
    <col min="13305" max="13305" width="13.625" style="130" customWidth="1"/>
    <col min="13306" max="13306" width="12.75" style="130" customWidth="1"/>
    <col min="13307" max="13553" width="9" style="130"/>
    <col min="13554" max="13554" width="5" style="130" customWidth="1"/>
    <col min="13555" max="13555" width="17.875" style="130" bestFit="1" customWidth="1"/>
    <col min="13556" max="13556" width="23.625" style="130" customWidth="1"/>
    <col min="13557" max="13557" width="18.25" style="130" customWidth="1"/>
    <col min="13558" max="13558" width="5.25" style="130" bestFit="1" customWidth="1"/>
    <col min="13559" max="13559" width="9" style="130"/>
    <col min="13560" max="13560" width="11.875" style="130" customWidth="1"/>
    <col min="13561" max="13561" width="13.625" style="130" customWidth="1"/>
    <col min="13562" max="13562" width="12.75" style="130" customWidth="1"/>
    <col min="13563" max="13809" width="9" style="130"/>
    <col min="13810" max="13810" width="5" style="130" customWidth="1"/>
    <col min="13811" max="13811" width="17.875" style="130" bestFit="1" customWidth="1"/>
    <col min="13812" max="13812" width="23.625" style="130" customWidth="1"/>
    <col min="13813" max="13813" width="18.25" style="130" customWidth="1"/>
    <col min="13814" max="13814" width="5.25" style="130" bestFit="1" customWidth="1"/>
    <col min="13815" max="13815" width="9" style="130"/>
    <col min="13816" max="13816" width="11.875" style="130" customWidth="1"/>
    <col min="13817" max="13817" width="13.625" style="130" customWidth="1"/>
    <col min="13818" max="13818" width="12.75" style="130" customWidth="1"/>
    <col min="13819" max="14065" width="9" style="130"/>
    <col min="14066" max="14066" width="5" style="130" customWidth="1"/>
    <col min="14067" max="14067" width="17.875" style="130" bestFit="1" customWidth="1"/>
    <col min="14068" max="14068" width="23.625" style="130" customWidth="1"/>
    <col min="14069" max="14069" width="18.25" style="130" customWidth="1"/>
    <col min="14070" max="14070" width="5.25" style="130" bestFit="1" customWidth="1"/>
    <col min="14071" max="14071" width="9" style="130"/>
    <col min="14072" max="14072" width="11.875" style="130" customWidth="1"/>
    <col min="14073" max="14073" width="13.625" style="130" customWidth="1"/>
    <col min="14074" max="14074" width="12.75" style="130" customWidth="1"/>
    <col min="14075" max="14321" width="9" style="130"/>
    <col min="14322" max="14322" width="5" style="130" customWidth="1"/>
    <col min="14323" max="14323" width="17.875" style="130" bestFit="1" customWidth="1"/>
    <col min="14324" max="14324" width="23.625" style="130" customWidth="1"/>
    <col min="14325" max="14325" width="18.25" style="130" customWidth="1"/>
    <col min="14326" max="14326" width="5.25" style="130" bestFit="1" customWidth="1"/>
    <col min="14327" max="14327" width="9" style="130"/>
    <col min="14328" max="14328" width="11.875" style="130" customWidth="1"/>
    <col min="14329" max="14329" width="13.625" style="130" customWidth="1"/>
    <col min="14330" max="14330" width="12.75" style="130" customWidth="1"/>
    <col min="14331" max="14577" width="9" style="130"/>
    <col min="14578" max="14578" width="5" style="130" customWidth="1"/>
    <col min="14579" max="14579" width="17.875" style="130" bestFit="1" customWidth="1"/>
    <col min="14580" max="14580" width="23.625" style="130" customWidth="1"/>
    <col min="14581" max="14581" width="18.25" style="130" customWidth="1"/>
    <col min="14582" max="14582" width="5.25" style="130" bestFit="1" customWidth="1"/>
    <col min="14583" max="14583" width="9" style="130"/>
    <col min="14584" max="14584" width="11.875" style="130" customWidth="1"/>
    <col min="14585" max="14585" width="13.625" style="130" customWidth="1"/>
    <col min="14586" max="14586" width="12.75" style="130" customWidth="1"/>
    <col min="14587" max="14833" width="9" style="130"/>
    <col min="14834" max="14834" width="5" style="130" customWidth="1"/>
    <col min="14835" max="14835" width="17.875" style="130" bestFit="1" customWidth="1"/>
    <col min="14836" max="14836" width="23.625" style="130" customWidth="1"/>
    <col min="14837" max="14837" width="18.25" style="130" customWidth="1"/>
    <col min="14838" max="14838" width="5.25" style="130" bestFit="1" customWidth="1"/>
    <col min="14839" max="14839" width="9" style="130"/>
    <col min="14840" max="14840" width="11.875" style="130" customWidth="1"/>
    <col min="14841" max="14841" width="13.625" style="130" customWidth="1"/>
    <col min="14842" max="14842" width="12.75" style="130" customWidth="1"/>
    <col min="14843" max="15089" width="9" style="130"/>
    <col min="15090" max="15090" width="5" style="130" customWidth="1"/>
    <col min="15091" max="15091" width="17.875" style="130" bestFit="1" customWidth="1"/>
    <col min="15092" max="15092" width="23.625" style="130" customWidth="1"/>
    <col min="15093" max="15093" width="18.25" style="130" customWidth="1"/>
    <col min="15094" max="15094" width="5.25" style="130" bestFit="1" customWidth="1"/>
    <col min="15095" max="15095" width="9" style="130"/>
    <col min="15096" max="15096" width="11.875" style="130" customWidth="1"/>
    <col min="15097" max="15097" width="13.625" style="130" customWidth="1"/>
    <col min="15098" max="15098" width="12.75" style="130" customWidth="1"/>
    <col min="15099" max="15345" width="9" style="130"/>
    <col min="15346" max="15346" width="5" style="130" customWidth="1"/>
    <col min="15347" max="15347" width="17.875" style="130" bestFit="1" customWidth="1"/>
    <col min="15348" max="15348" width="23.625" style="130" customWidth="1"/>
    <col min="15349" max="15349" width="18.25" style="130" customWidth="1"/>
    <col min="15350" max="15350" width="5.25" style="130" bestFit="1" customWidth="1"/>
    <col min="15351" max="15351" width="9" style="130"/>
    <col min="15352" max="15352" width="11.875" style="130" customWidth="1"/>
    <col min="15353" max="15353" width="13.625" style="130" customWidth="1"/>
    <col min="15354" max="15354" width="12.75" style="130" customWidth="1"/>
    <col min="15355" max="15601" width="9" style="130"/>
    <col min="15602" max="15602" width="5" style="130" customWidth="1"/>
    <col min="15603" max="15603" width="17.875" style="130" bestFit="1" customWidth="1"/>
    <col min="15604" max="15604" width="23.625" style="130" customWidth="1"/>
    <col min="15605" max="15605" width="18.25" style="130" customWidth="1"/>
    <col min="15606" max="15606" width="5.25" style="130" bestFit="1" customWidth="1"/>
    <col min="15607" max="15607" width="9" style="130"/>
    <col min="15608" max="15608" width="11.875" style="130" customWidth="1"/>
    <col min="15609" max="15609" width="13.625" style="130" customWidth="1"/>
    <col min="15610" max="15610" width="12.75" style="130" customWidth="1"/>
    <col min="15611" max="15857" width="9" style="130"/>
    <col min="15858" max="15858" width="5" style="130" customWidth="1"/>
    <col min="15859" max="15859" width="17.875" style="130" bestFit="1" customWidth="1"/>
    <col min="15860" max="15860" width="23.625" style="130" customWidth="1"/>
    <col min="15861" max="15861" width="18.25" style="130" customWidth="1"/>
    <col min="15862" max="15862" width="5.25" style="130" bestFit="1" customWidth="1"/>
    <col min="15863" max="15863" width="9" style="130"/>
    <col min="15864" max="15864" width="11.875" style="130" customWidth="1"/>
    <col min="15865" max="15865" width="13.625" style="130" customWidth="1"/>
    <col min="15866" max="15866" width="12.75" style="130" customWidth="1"/>
    <col min="15867" max="16113" width="9" style="130"/>
    <col min="16114" max="16114" width="5" style="130" customWidth="1"/>
    <col min="16115" max="16115" width="17.875" style="130" bestFit="1" customWidth="1"/>
    <col min="16116" max="16116" width="23.625" style="130" customWidth="1"/>
    <col min="16117" max="16117" width="18.25" style="130" customWidth="1"/>
    <col min="16118" max="16118" width="5.25" style="130" bestFit="1" customWidth="1"/>
    <col min="16119" max="16119" width="9" style="130"/>
    <col min="16120" max="16120" width="11.875" style="130" customWidth="1"/>
    <col min="16121" max="16121" width="13.625" style="130" customWidth="1"/>
    <col min="16122" max="16122" width="12.75" style="130" customWidth="1"/>
    <col min="16123" max="16384" width="9" style="130"/>
  </cols>
  <sheetData>
    <row r="1" spans="1:9" ht="22.5" customHeight="1">
      <c r="B1" s="212" t="s">
        <v>149</v>
      </c>
      <c r="C1" s="305" t="s">
        <v>510</v>
      </c>
      <c r="F1" s="306"/>
      <c r="I1" s="130" t="s">
        <v>120</v>
      </c>
    </row>
    <row r="2" spans="1:9" s="136" customFormat="1" ht="16.5" customHeight="1">
      <c r="A2" s="378" t="s">
        <v>121</v>
      </c>
      <c r="B2" s="491"/>
      <c r="C2" s="137" t="s">
        <v>122</v>
      </c>
      <c r="D2" s="131" t="s">
        <v>123</v>
      </c>
      <c r="E2" s="131" t="s">
        <v>40</v>
      </c>
      <c r="F2" s="284" t="s">
        <v>41</v>
      </c>
      <c r="G2" s="284" t="s">
        <v>124</v>
      </c>
      <c r="H2" s="284" t="s">
        <v>125</v>
      </c>
      <c r="I2" s="131" t="s">
        <v>126</v>
      </c>
    </row>
    <row r="3" spans="1:9" ht="15.95" customHeight="1">
      <c r="A3" s="492" t="s">
        <v>127</v>
      </c>
      <c r="B3" s="218" t="s">
        <v>128</v>
      </c>
      <c r="C3" s="242"/>
      <c r="D3" s="242"/>
      <c r="E3" s="242"/>
      <c r="F3" s="245"/>
      <c r="G3" s="245"/>
      <c r="H3" s="246">
        <f>IF(F3=0,G3,G3*F3)</f>
        <v>0</v>
      </c>
      <c r="I3" s="247"/>
    </row>
    <row r="4" spans="1:9" ht="15.95" customHeight="1">
      <c r="A4" s="497"/>
      <c r="B4" s="218"/>
      <c r="C4" s="225"/>
      <c r="D4" s="225"/>
      <c r="E4" s="225"/>
      <c r="F4" s="228"/>
      <c r="G4" s="228"/>
      <c r="H4" s="175">
        <f>IF(F4=0,G4,G4*F4)</f>
        <v>0</v>
      </c>
      <c r="I4" s="38"/>
    </row>
    <row r="5" spans="1:9" ht="15.95" customHeight="1">
      <c r="A5" s="497"/>
      <c r="B5" s="218"/>
      <c r="C5" s="225"/>
      <c r="D5" s="225"/>
      <c r="E5" s="225"/>
      <c r="F5" s="228"/>
      <c r="G5" s="228"/>
      <c r="H5" s="175">
        <f t="shared" ref="H5:H60" si="0">IF(F5=0,G5,G5*F5)</f>
        <v>0</v>
      </c>
      <c r="I5" s="38"/>
    </row>
    <row r="6" spans="1:9" ht="15.95" customHeight="1">
      <c r="A6" s="497"/>
      <c r="B6" s="218"/>
      <c r="C6" s="225"/>
      <c r="D6" s="225"/>
      <c r="E6" s="225"/>
      <c r="F6" s="228"/>
      <c r="G6" s="228"/>
      <c r="H6" s="175">
        <f t="shared" si="0"/>
        <v>0</v>
      </c>
      <c r="I6" s="38"/>
    </row>
    <row r="7" spans="1:9" ht="15.95" customHeight="1">
      <c r="A7" s="497"/>
      <c r="B7" s="218"/>
      <c r="C7" s="225"/>
      <c r="D7" s="225"/>
      <c r="E7" s="225"/>
      <c r="F7" s="228"/>
      <c r="G7" s="228"/>
      <c r="H7" s="175">
        <f t="shared" si="0"/>
        <v>0</v>
      </c>
      <c r="I7" s="38"/>
    </row>
    <row r="8" spans="1:9" ht="15.95" customHeight="1">
      <c r="A8" s="497"/>
      <c r="B8" s="218"/>
      <c r="C8" s="225"/>
      <c r="D8" s="225"/>
      <c r="E8" s="225"/>
      <c r="F8" s="228"/>
      <c r="G8" s="228"/>
      <c r="H8" s="175">
        <f t="shared" si="0"/>
        <v>0</v>
      </c>
      <c r="I8" s="38"/>
    </row>
    <row r="9" spans="1:9" ht="15.95" customHeight="1">
      <c r="A9" s="497"/>
      <c r="B9" s="218"/>
      <c r="C9" s="225"/>
      <c r="D9" s="225"/>
      <c r="E9" s="225"/>
      <c r="F9" s="228"/>
      <c r="G9" s="228"/>
      <c r="H9" s="175">
        <f t="shared" si="0"/>
        <v>0</v>
      </c>
      <c r="I9" s="38"/>
    </row>
    <row r="10" spans="1:9" ht="15.95" customHeight="1">
      <c r="A10" s="497"/>
      <c r="B10" s="218"/>
      <c r="C10" s="225"/>
      <c r="D10" s="225"/>
      <c r="E10" s="225"/>
      <c r="F10" s="228"/>
      <c r="G10" s="228"/>
      <c r="H10" s="175">
        <f t="shared" si="0"/>
        <v>0</v>
      </c>
      <c r="I10" s="38"/>
    </row>
    <row r="11" spans="1:9" ht="15.95" customHeight="1">
      <c r="A11" s="497"/>
      <c r="B11" s="218"/>
      <c r="C11" s="225"/>
      <c r="D11" s="225"/>
      <c r="E11" s="225"/>
      <c r="F11" s="228"/>
      <c r="G11" s="228"/>
      <c r="H11" s="175">
        <f t="shared" si="0"/>
        <v>0</v>
      </c>
      <c r="I11" s="38"/>
    </row>
    <row r="12" spans="1:9" ht="15.95" customHeight="1">
      <c r="A12" s="497"/>
      <c r="B12" s="218"/>
      <c r="C12" s="225"/>
      <c r="D12" s="225"/>
      <c r="E12" s="225"/>
      <c r="F12" s="228"/>
      <c r="G12" s="228"/>
      <c r="H12" s="175">
        <f t="shared" si="0"/>
        <v>0</v>
      </c>
      <c r="I12" s="38"/>
    </row>
    <row r="13" spans="1:9" ht="15.95" customHeight="1">
      <c r="A13" s="497"/>
      <c r="B13" s="218"/>
      <c r="C13" s="225"/>
      <c r="D13" s="225"/>
      <c r="E13" s="225"/>
      <c r="F13" s="228"/>
      <c r="G13" s="228"/>
      <c r="H13" s="175">
        <f t="shared" si="0"/>
        <v>0</v>
      </c>
      <c r="I13" s="38"/>
    </row>
    <row r="14" spans="1:9" ht="15.95" customHeight="1">
      <c r="A14" s="497"/>
      <c r="B14" s="218"/>
      <c r="C14" s="225"/>
      <c r="D14" s="225"/>
      <c r="E14" s="225"/>
      <c r="F14" s="228"/>
      <c r="G14" s="228"/>
      <c r="H14" s="175">
        <f t="shared" si="0"/>
        <v>0</v>
      </c>
      <c r="I14" s="38"/>
    </row>
    <row r="15" spans="1:9" ht="15.95" customHeight="1">
      <c r="A15" s="497"/>
      <c r="B15" s="218"/>
      <c r="C15" s="225"/>
      <c r="D15" s="225"/>
      <c r="E15" s="225"/>
      <c r="F15" s="228"/>
      <c r="G15" s="228"/>
      <c r="H15" s="175">
        <f t="shared" si="0"/>
        <v>0</v>
      </c>
      <c r="I15" s="38"/>
    </row>
    <row r="16" spans="1:9" ht="15.95" customHeight="1">
      <c r="A16" s="497"/>
      <c r="B16" s="218"/>
      <c r="C16" s="225"/>
      <c r="D16" s="225"/>
      <c r="E16" s="225"/>
      <c r="F16" s="228"/>
      <c r="G16" s="228"/>
      <c r="H16" s="175">
        <f t="shared" si="0"/>
        <v>0</v>
      </c>
      <c r="I16" s="38"/>
    </row>
    <row r="17" spans="1:9" ht="15.95" customHeight="1">
      <c r="A17" s="497"/>
      <c r="B17" s="218"/>
      <c r="C17" s="225"/>
      <c r="D17" s="225"/>
      <c r="E17" s="225"/>
      <c r="F17" s="228"/>
      <c r="G17" s="228"/>
      <c r="H17" s="175">
        <f t="shared" si="0"/>
        <v>0</v>
      </c>
      <c r="I17" s="38"/>
    </row>
    <row r="18" spans="1:9" ht="15.95" customHeight="1">
      <c r="A18" s="497"/>
      <c r="B18" s="218"/>
      <c r="C18" s="225"/>
      <c r="D18" s="225"/>
      <c r="E18" s="225"/>
      <c r="F18" s="228"/>
      <c r="G18" s="228"/>
      <c r="H18" s="175">
        <f t="shared" si="0"/>
        <v>0</v>
      </c>
      <c r="I18" s="38"/>
    </row>
    <row r="19" spans="1:9" ht="15.95" customHeight="1">
      <c r="A19" s="497"/>
      <c r="B19" s="218"/>
      <c r="C19" s="225"/>
      <c r="D19" s="225"/>
      <c r="E19" s="225"/>
      <c r="F19" s="228"/>
      <c r="G19" s="228"/>
      <c r="H19" s="175">
        <f t="shared" si="0"/>
        <v>0</v>
      </c>
      <c r="I19" s="38"/>
    </row>
    <row r="20" spans="1:9" ht="15.95" customHeight="1">
      <c r="A20" s="497"/>
      <c r="B20" s="218"/>
      <c r="C20" s="225"/>
      <c r="D20" s="225"/>
      <c r="E20" s="225"/>
      <c r="F20" s="228"/>
      <c r="G20" s="228"/>
      <c r="H20" s="175">
        <f t="shared" si="0"/>
        <v>0</v>
      </c>
      <c r="I20" s="38"/>
    </row>
    <row r="21" spans="1:9" ht="15.95" customHeight="1">
      <c r="A21" s="497"/>
      <c r="B21" s="218"/>
      <c r="C21" s="225"/>
      <c r="D21" s="225"/>
      <c r="E21" s="225"/>
      <c r="F21" s="228"/>
      <c r="G21" s="228"/>
      <c r="H21" s="175">
        <f t="shared" si="0"/>
        <v>0</v>
      </c>
      <c r="I21" s="38"/>
    </row>
    <row r="22" spans="1:9" ht="15.95" customHeight="1">
      <c r="A22" s="497"/>
      <c r="B22" s="218"/>
      <c r="C22" s="225"/>
      <c r="D22" s="225"/>
      <c r="E22" s="225"/>
      <c r="F22" s="228"/>
      <c r="G22" s="228"/>
      <c r="H22" s="175">
        <f t="shared" si="0"/>
        <v>0</v>
      </c>
      <c r="I22" s="38"/>
    </row>
    <row r="23" spans="1:9" ht="15.95" customHeight="1">
      <c r="A23" s="497"/>
      <c r="B23" s="218"/>
      <c r="C23" s="229" t="s">
        <v>132</v>
      </c>
      <c r="D23" s="249"/>
      <c r="E23" s="249"/>
      <c r="F23" s="251"/>
      <c r="G23" s="251"/>
      <c r="H23" s="252">
        <f t="shared" si="0"/>
        <v>0</v>
      </c>
      <c r="I23" s="253"/>
    </row>
    <row r="24" spans="1:9" ht="15.95" customHeight="1">
      <c r="A24" s="497"/>
      <c r="B24" s="234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>
      <c r="A25" s="497"/>
      <c r="B25" s="218" t="s">
        <v>150</v>
      </c>
      <c r="C25" s="219" t="s">
        <v>511</v>
      </c>
      <c r="D25" s="220"/>
      <c r="E25" s="220" t="s">
        <v>51</v>
      </c>
      <c r="F25" s="221">
        <v>1</v>
      </c>
      <c r="G25" s="222">
        <v>6500000</v>
      </c>
      <c r="H25" s="223">
        <f t="shared" si="0"/>
        <v>6500000</v>
      </c>
      <c r="I25" s="224"/>
    </row>
    <row r="26" spans="1:9" ht="15.95" customHeight="1">
      <c r="A26" s="497"/>
      <c r="B26" s="218" t="s">
        <v>151</v>
      </c>
      <c r="C26" s="225" t="s">
        <v>512</v>
      </c>
      <c r="D26" s="226"/>
      <c r="E26" s="226" t="s">
        <v>60</v>
      </c>
      <c r="F26" s="227">
        <v>223</v>
      </c>
      <c r="G26" s="228">
        <v>300000</v>
      </c>
      <c r="H26" s="175">
        <f t="shared" ref="H26:H28" si="1">IF(F26=0,G26,G26*F26)</f>
        <v>66900000</v>
      </c>
      <c r="I26" s="38"/>
    </row>
    <row r="27" spans="1:9" ht="15.95" customHeight="1">
      <c r="A27" s="497"/>
      <c r="B27" s="218"/>
      <c r="C27" s="225" t="s">
        <v>514</v>
      </c>
      <c r="D27" s="226"/>
      <c r="E27" s="226" t="s">
        <v>60</v>
      </c>
      <c r="F27" s="227">
        <v>28</v>
      </c>
      <c r="G27" s="228">
        <v>350000</v>
      </c>
      <c r="H27" s="175">
        <f t="shared" si="1"/>
        <v>9800000</v>
      </c>
      <c r="I27" s="38"/>
    </row>
    <row r="28" spans="1:9" ht="15.95" customHeight="1">
      <c r="A28" s="497"/>
      <c r="B28" s="218"/>
      <c r="C28" s="225" t="s">
        <v>512</v>
      </c>
      <c r="D28" s="226"/>
      <c r="E28" s="226" t="s">
        <v>60</v>
      </c>
      <c r="F28" s="227">
        <v>180</v>
      </c>
      <c r="G28" s="228">
        <v>500000</v>
      </c>
      <c r="H28" s="175">
        <f t="shared" si="1"/>
        <v>90000000</v>
      </c>
      <c r="I28" s="38"/>
    </row>
    <row r="29" spans="1:9" ht="15.95" customHeight="1">
      <c r="A29" s="497"/>
      <c r="B29" s="218"/>
      <c r="C29" s="225" t="s">
        <v>513</v>
      </c>
      <c r="D29" s="226"/>
      <c r="E29" s="226" t="s">
        <v>60</v>
      </c>
      <c r="F29" s="227">
        <v>28</v>
      </c>
      <c r="G29" s="228">
        <v>500000</v>
      </c>
      <c r="H29" s="175">
        <f t="shared" si="0"/>
        <v>14000000</v>
      </c>
      <c r="I29" s="38"/>
    </row>
    <row r="30" spans="1:9" ht="15.95" customHeight="1">
      <c r="A30" s="497"/>
      <c r="B30" s="218"/>
      <c r="C30" s="225" t="s">
        <v>515</v>
      </c>
      <c r="D30" s="226"/>
      <c r="E30" s="226" t="s">
        <v>60</v>
      </c>
      <c r="F30" s="227">
        <v>40</v>
      </c>
      <c r="G30" s="228">
        <v>650000</v>
      </c>
      <c r="H30" s="175">
        <f t="shared" si="0"/>
        <v>26000000</v>
      </c>
      <c r="I30" s="38"/>
    </row>
    <row r="31" spans="1:9" ht="15.95" customHeight="1">
      <c r="A31" s="497"/>
      <c r="B31" s="218"/>
      <c r="C31" s="225" t="s">
        <v>516</v>
      </c>
      <c r="D31" s="226"/>
      <c r="E31" s="226" t="s">
        <v>60</v>
      </c>
      <c r="F31" s="227">
        <v>28</v>
      </c>
      <c r="G31" s="228">
        <v>500000</v>
      </c>
      <c r="H31" s="175">
        <f t="shared" si="0"/>
        <v>14000000</v>
      </c>
      <c r="I31" s="38"/>
    </row>
    <row r="32" spans="1:9" ht="15.95" customHeight="1">
      <c r="A32" s="497"/>
      <c r="B32" s="218"/>
      <c r="C32" s="225" t="s">
        <v>517</v>
      </c>
      <c r="D32" s="226"/>
      <c r="E32" s="226" t="s">
        <v>51</v>
      </c>
      <c r="F32" s="227">
        <v>1</v>
      </c>
      <c r="G32" s="228">
        <v>30000000</v>
      </c>
      <c r="H32" s="175">
        <f t="shared" ref="H32" si="2">IF(F32=0,G32,G32*F32)</f>
        <v>30000000</v>
      </c>
      <c r="I32" s="38"/>
    </row>
    <row r="33" spans="1:9" ht="15.95" customHeight="1">
      <c r="A33" s="497"/>
      <c r="B33" s="218"/>
      <c r="C33" s="225" t="s">
        <v>518</v>
      </c>
      <c r="D33" s="226"/>
      <c r="E33" s="226"/>
      <c r="F33" s="227"/>
      <c r="G33" s="227" t="s">
        <v>247</v>
      </c>
      <c r="H33" s="357" t="s">
        <v>247</v>
      </c>
      <c r="I33" s="38"/>
    </row>
    <row r="34" spans="1:9" ht="15.95" customHeight="1">
      <c r="A34" s="497"/>
      <c r="B34" s="218"/>
      <c r="C34" s="225"/>
      <c r="D34" s="226"/>
      <c r="E34" s="226"/>
      <c r="F34" s="227"/>
      <c r="G34" s="227"/>
      <c r="H34" s="357"/>
      <c r="I34" s="38"/>
    </row>
    <row r="35" spans="1:9" ht="15.95" customHeight="1">
      <c r="A35" s="497"/>
      <c r="B35" s="218"/>
      <c r="C35" s="229"/>
      <c r="D35" s="230"/>
      <c r="E35" s="230"/>
      <c r="F35" s="231"/>
      <c r="G35" s="232"/>
      <c r="H35" s="175">
        <f t="shared" si="0"/>
        <v>0</v>
      </c>
      <c r="I35" s="233"/>
    </row>
    <row r="36" spans="1:9" ht="15.95" customHeight="1">
      <c r="A36" s="497"/>
      <c r="B36" s="234"/>
      <c r="C36" s="235"/>
      <c r="D36" s="215"/>
      <c r="E36" s="215"/>
      <c r="F36" s="361"/>
      <c r="G36" s="238"/>
      <c r="H36" s="239">
        <f>SUM(H25:H35)</f>
        <v>257200000</v>
      </c>
      <c r="I36" s="240"/>
    </row>
    <row r="37" spans="1:9" ht="15.95" customHeight="1">
      <c r="A37" s="497"/>
      <c r="B37" s="261" t="s">
        <v>152</v>
      </c>
      <c r="C37" s="242"/>
      <c r="D37" s="243"/>
      <c r="E37" s="243"/>
      <c r="F37" s="244"/>
      <c r="G37" s="245"/>
      <c r="H37" s="246">
        <f t="shared" si="0"/>
        <v>0</v>
      </c>
      <c r="I37" s="247"/>
    </row>
    <row r="38" spans="1:9" ht="15.95" customHeight="1">
      <c r="A38" s="497"/>
      <c r="B38" s="218" t="s">
        <v>153</v>
      </c>
      <c r="C38" s="225"/>
      <c r="D38" s="226"/>
      <c r="E38" s="226"/>
      <c r="F38" s="227"/>
      <c r="G38" s="228"/>
      <c r="H38" s="175">
        <f t="shared" si="0"/>
        <v>0</v>
      </c>
      <c r="I38" s="38"/>
    </row>
    <row r="39" spans="1:9" ht="15.95" customHeight="1">
      <c r="A39" s="497"/>
      <c r="B39" s="218"/>
      <c r="C39" s="225"/>
      <c r="D39" s="226"/>
      <c r="E39" s="226"/>
      <c r="F39" s="227"/>
      <c r="G39" s="228"/>
      <c r="H39" s="175">
        <f t="shared" si="0"/>
        <v>0</v>
      </c>
      <c r="I39" s="38"/>
    </row>
    <row r="40" spans="1:9" ht="15.95" customHeight="1">
      <c r="A40" s="497"/>
      <c r="B40" s="218"/>
      <c r="C40" s="225"/>
      <c r="D40" s="226"/>
      <c r="E40" s="226"/>
      <c r="F40" s="227"/>
      <c r="G40" s="228"/>
      <c r="H40" s="175">
        <f t="shared" si="0"/>
        <v>0</v>
      </c>
      <c r="I40" s="38"/>
    </row>
    <row r="41" spans="1:9" ht="15.95" customHeight="1">
      <c r="A41" s="497"/>
      <c r="B41" s="218"/>
      <c r="C41" s="225"/>
      <c r="D41" s="226"/>
      <c r="E41" s="226"/>
      <c r="F41" s="227"/>
      <c r="G41" s="228"/>
      <c r="H41" s="175">
        <f t="shared" si="0"/>
        <v>0</v>
      </c>
      <c r="I41" s="38"/>
    </row>
    <row r="42" spans="1:9" ht="15.95" customHeight="1">
      <c r="A42" s="497"/>
      <c r="B42" s="218"/>
      <c r="C42" s="225"/>
      <c r="D42" s="226"/>
      <c r="E42" s="226"/>
      <c r="F42" s="227"/>
      <c r="G42" s="228"/>
      <c r="H42" s="175">
        <f t="shared" si="0"/>
        <v>0</v>
      </c>
      <c r="I42" s="38"/>
    </row>
    <row r="43" spans="1:9" ht="15.95" customHeight="1">
      <c r="A43" s="497"/>
      <c r="B43" s="218"/>
      <c r="C43" s="225"/>
      <c r="D43" s="226"/>
      <c r="E43" s="226"/>
      <c r="F43" s="227"/>
      <c r="G43" s="228"/>
      <c r="H43" s="175">
        <f t="shared" si="0"/>
        <v>0</v>
      </c>
      <c r="I43" s="38"/>
    </row>
    <row r="44" spans="1:9" ht="15.95" customHeight="1">
      <c r="A44" s="497"/>
      <c r="B44" s="218"/>
      <c r="C44" s="225"/>
      <c r="D44" s="226"/>
      <c r="E44" s="226"/>
      <c r="F44" s="227"/>
      <c r="G44" s="228"/>
      <c r="H44" s="175">
        <f t="shared" si="0"/>
        <v>0</v>
      </c>
      <c r="I44" s="38"/>
    </row>
    <row r="45" spans="1:9" ht="15.95" customHeight="1">
      <c r="A45" s="497"/>
      <c r="B45" s="218"/>
      <c r="C45" s="225"/>
      <c r="D45" s="226"/>
      <c r="E45" s="226"/>
      <c r="F45" s="227"/>
      <c r="G45" s="228"/>
      <c r="H45" s="175">
        <f t="shared" si="0"/>
        <v>0</v>
      </c>
      <c r="I45" s="38"/>
    </row>
    <row r="46" spans="1:9" ht="15.95" customHeight="1">
      <c r="A46" s="497"/>
      <c r="B46" s="218"/>
      <c r="C46" s="225"/>
      <c r="D46" s="226"/>
      <c r="E46" s="226"/>
      <c r="F46" s="227"/>
      <c r="G46" s="228"/>
      <c r="H46" s="175">
        <f t="shared" si="0"/>
        <v>0</v>
      </c>
      <c r="I46" s="38"/>
    </row>
    <row r="47" spans="1:9" ht="15.95" customHeight="1">
      <c r="A47" s="497"/>
      <c r="B47" s="218"/>
      <c r="C47" s="225"/>
      <c r="D47" s="226"/>
      <c r="E47" s="226"/>
      <c r="F47" s="227"/>
      <c r="G47" s="228"/>
      <c r="H47" s="175">
        <f t="shared" si="0"/>
        <v>0</v>
      </c>
      <c r="I47" s="38"/>
    </row>
    <row r="48" spans="1:9" ht="15.95" customHeight="1">
      <c r="A48" s="497"/>
      <c r="B48" s="218"/>
      <c r="C48" s="225"/>
      <c r="D48" s="226"/>
      <c r="E48" s="226"/>
      <c r="F48" s="227"/>
      <c r="G48" s="228"/>
      <c r="H48" s="175">
        <f t="shared" si="0"/>
        <v>0</v>
      </c>
      <c r="I48" s="38"/>
    </row>
    <row r="49" spans="1:9" ht="15.95" customHeight="1">
      <c r="A49" s="497"/>
      <c r="B49" s="218"/>
      <c r="C49" s="225"/>
      <c r="D49" s="226"/>
      <c r="E49" s="226"/>
      <c r="F49" s="227"/>
      <c r="G49" s="228"/>
      <c r="H49" s="175">
        <f t="shared" si="0"/>
        <v>0</v>
      </c>
      <c r="I49" s="38"/>
    </row>
    <row r="50" spans="1:9" ht="15.95" customHeight="1">
      <c r="A50" s="497"/>
      <c r="B50" s="218"/>
      <c r="C50" s="225"/>
      <c r="D50" s="226"/>
      <c r="E50" s="226"/>
      <c r="F50" s="227"/>
      <c r="G50" s="228"/>
      <c r="H50" s="175">
        <f t="shared" si="0"/>
        <v>0</v>
      </c>
      <c r="I50" s="38"/>
    </row>
    <row r="51" spans="1:9" ht="15.95" customHeight="1">
      <c r="A51" s="497"/>
      <c r="B51" s="218"/>
      <c r="C51" s="225"/>
      <c r="D51" s="226"/>
      <c r="E51" s="226"/>
      <c r="F51" s="227"/>
      <c r="G51" s="228"/>
      <c r="H51" s="175">
        <f t="shared" si="0"/>
        <v>0</v>
      </c>
      <c r="I51" s="38"/>
    </row>
    <row r="52" spans="1:9" ht="15.95" customHeight="1">
      <c r="A52" s="497"/>
      <c r="B52" s="218"/>
      <c r="C52" s="229" t="s">
        <v>132</v>
      </c>
      <c r="D52" s="230"/>
      <c r="E52" s="230"/>
      <c r="F52" s="231"/>
      <c r="G52" s="232"/>
      <c r="H52" s="185">
        <f t="shared" si="0"/>
        <v>0</v>
      </c>
      <c r="I52" s="233"/>
    </row>
    <row r="53" spans="1:9" ht="15.95" customHeight="1">
      <c r="A53" s="497"/>
      <c r="B53" s="234"/>
      <c r="C53" s="235"/>
      <c r="D53" s="215"/>
      <c r="E53" s="215"/>
      <c r="F53" s="237"/>
      <c r="G53" s="238"/>
      <c r="H53" s="239">
        <f>SUM(H37:H52)</f>
        <v>0</v>
      </c>
      <c r="I53" s="240"/>
    </row>
    <row r="54" spans="1:9" ht="15.95" customHeight="1">
      <c r="A54" s="497"/>
      <c r="B54" s="261" t="s">
        <v>53</v>
      </c>
      <c r="C54" s="242" t="s">
        <v>526</v>
      </c>
      <c r="D54" s="243"/>
      <c r="E54" s="226" t="s">
        <v>51</v>
      </c>
      <c r="F54" s="227">
        <v>1</v>
      </c>
      <c r="G54" s="245">
        <v>40000000</v>
      </c>
      <c r="H54" s="246">
        <f t="shared" si="0"/>
        <v>40000000</v>
      </c>
      <c r="I54" s="247"/>
    </row>
    <row r="55" spans="1:9" ht="15.95" customHeight="1">
      <c r="A55" s="497"/>
      <c r="B55" s="218"/>
      <c r="C55" s="225"/>
      <c r="D55" s="226"/>
      <c r="E55" s="226"/>
      <c r="F55" s="227"/>
      <c r="G55" s="228"/>
      <c r="H55" s="175">
        <f t="shared" si="0"/>
        <v>0</v>
      </c>
      <c r="I55" s="38"/>
    </row>
    <row r="56" spans="1:9" ht="15.95" customHeight="1">
      <c r="A56" s="497"/>
      <c r="B56" s="218"/>
      <c r="C56" s="225"/>
      <c r="D56" s="226"/>
      <c r="E56" s="226"/>
      <c r="F56" s="227"/>
      <c r="G56" s="228"/>
      <c r="H56" s="175">
        <f t="shared" si="0"/>
        <v>0</v>
      </c>
      <c r="I56" s="38"/>
    </row>
    <row r="57" spans="1:9" ht="15.95" customHeight="1">
      <c r="A57" s="497"/>
      <c r="B57" s="218"/>
      <c r="C57" s="225"/>
      <c r="D57" s="226"/>
      <c r="E57" s="226"/>
      <c r="F57" s="227"/>
      <c r="G57" s="228"/>
      <c r="H57" s="175">
        <f t="shared" si="0"/>
        <v>0</v>
      </c>
      <c r="I57" s="38"/>
    </row>
    <row r="58" spans="1:9" ht="15.95" customHeight="1">
      <c r="A58" s="497"/>
      <c r="B58" s="218"/>
      <c r="C58" s="225"/>
      <c r="D58" s="226"/>
      <c r="E58" s="226"/>
      <c r="F58" s="227"/>
      <c r="G58" s="228"/>
      <c r="H58" s="175">
        <f t="shared" si="0"/>
        <v>0</v>
      </c>
      <c r="I58" s="38"/>
    </row>
    <row r="59" spans="1:9" ht="15.95" customHeight="1">
      <c r="A59" s="497"/>
      <c r="B59" s="218"/>
      <c r="C59" s="225"/>
      <c r="D59" s="226"/>
      <c r="E59" s="226"/>
      <c r="F59" s="227"/>
      <c r="G59" s="228"/>
      <c r="H59" s="175">
        <f t="shared" si="0"/>
        <v>0</v>
      </c>
      <c r="I59" s="38"/>
    </row>
    <row r="60" spans="1:9" ht="15.95" customHeight="1">
      <c r="A60" s="497"/>
      <c r="B60" s="218"/>
      <c r="C60" s="229" t="s">
        <v>132</v>
      </c>
      <c r="D60" s="230"/>
      <c r="E60" s="230"/>
      <c r="F60" s="231"/>
      <c r="G60" s="232"/>
      <c r="H60" s="185">
        <f t="shared" si="0"/>
        <v>0</v>
      </c>
      <c r="I60" s="233"/>
    </row>
    <row r="61" spans="1:9" ht="15.95" customHeight="1">
      <c r="A61" s="497"/>
      <c r="B61" s="234"/>
      <c r="C61" s="235"/>
      <c r="D61" s="215"/>
      <c r="E61" s="215"/>
      <c r="F61" s="237"/>
      <c r="G61" s="238"/>
      <c r="H61" s="239">
        <f>SUM(H54:H60)</f>
        <v>40000000</v>
      </c>
      <c r="I61" s="240"/>
    </row>
    <row r="62" spans="1:9" ht="15.95" customHeight="1">
      <c r="A62" s="281"/>
      <c r="B62" s="282" t="s">
        <v>135</v>
      </c>
      <c r="C62" s="283"/>
      <c r="D62" s="240"/>
      <c r="E62" s="240"/>
      <c r="F62" s="284"/>
      <c r="G62" s="285"/>
      <c r="H62" s="239">
        <f>SUM(H61,H53,H36,H24)</f>
        <v>297200000</v>
      </c>
      <c r="I62" s="240"/>
    </row>
    <row r="63" spans="1:9" ht="15.95" customHeight="1">
      <c r="A63" s="498" t="s">
        <v>136</v>
      </c>
      <c r="B63" s="286" t="s">
        <v>59</v>
      </c>
      <c r="C63" s="283"/>
      <c r="D63" s="240"/>
      <c r="E63" s="286" t="s">
        <v>60</v>
      </c>
      <c r="F63" s="303"/>
      <c r="G63" s="289"/>
      <c r="H63" s="290">
        <f>F63*G63</f>
        <v>0</v>
      </c>
      <c r="I63" s="240"/>
    </row>
    <row r="64" spans="1:9" ht="15.95" customHeight="1">
      <c r="A64" s="497"/>
      <c r="B64" s="291" t="s">
        <v>154</v>
      </c>
      <c r="C64" s="292"/>
      <c r="D64" s="247"/>
      <c r="E64" s="291" t="s">
        <v>138</v>
      </c>
      <c r="F64" s="245"/>
      <c r="G64" s="245"/>
      <c r="H64" s="246">
        <f t="shared" ref="H64:H70" si="3">F64*G64</f>
        <v>0</v>
      </c>
      <c r="I64" s="247"/>
    </row>
    <row r="65" spans="1:9" ht="15.95" customHeight="1">
      <c r="A65" s="497"/>
      <c r="B65" s="324" t="s">
        <v>155</v>
      </c>
      <c r="C65" s="295"/>
      <c r="D65" s="38"/>
      <c r="E65" s="294" t="s">
        <v>138</v>
      </c>
      <c r="F65" s="228"/>
      <c r="G65" s="228"/>
      <c r="H65" s="175">
        <f t="shared" si="3"/>
        <v>0</v>
      </c>
      <c r="I65" s="38"/>
    </row>
    <row r="66" spans="1:9" ht="15.95" customHeight="1">
      <c r="A66" s="497"/>
      <c r="B66" s="294" t="s">
        <v>156</v>
      </c>
      <c r="C66" s="295"/>
      <c r="D66" s="38"/>
      <c r="E66" s="294" t="s">
        <v>138</v>
      </c>
      <c r="F66" s="228"/>
      <c r="G66" s="228"/>
      <c r="H66" s="175">
        <f t="shared" si="3"/>
        <v>0</v>
      </c>
      <c r="I66" s="38"/>
    </row>
    <row r="67" spans="1:9" ht="15.95" customHeight="1">
      <c r="A67" s="497"/>
      <c r="B67" s="294" t="s">
        <v>157</v>
      </c>
      <c r="C67" s="295"/>
      <c r="D67" s="38"/>
      <c r="E67" s="294" t="s">
        <v>138</v>
      </c>
      <c r="F67" s="228"/>
      <c r="G67" s="228"/>
      <c r="H67" s="175">
        <f t="shared" si="3"/>
        <v>0</v>
      </c>
      <c r="I67" s="38"/>
    </row>
    <row r="68" spans="1:9" ht="15.95" customHeight="1">
      <c r="A68" s="497"/>
      <c r="B68" s="294" t="s">
        <v>158</v>
      </c>
      <c r="C68" s="295"/>
      <c r="D68" s="38"/>
      <c r="E68" s="294" t="s">
        <v>138</v>
      </c>
      <c r="F68" s="228"/>
      <c r="G68" s="228"/>
      <c r="H68" s="175">
        <f t="shared" si="3"/>
        <v>0</v>
      </c>
      <c r="I68" s="38"/>
    </row>
    <row r="69" spans="1:9" ht="15.95" customHeight="1">
      <c r="A69" s="497"/>
      <c r="B69" s="294" t="s">
        <v>159</v>
      </c>
      <c r="C69" s="295"/>
      <c r="D69" s="38"/>
      <c r="E69" s="294" t="s">
        <v>138</v>
      </c>
      <c r="F69" s="228"/>
      <c r="G69" s="228"/>
      <c r="H69" s="175">
        <f t="shared" si="3"/>
        <v>0</v>
      </c>
      <c r="I69" s="38"/>
    </row>
    <row r="70" spans="1:9" ht="15.95" customHeight="1">
      <c r="A70" s="497"/>
      <c r="B70" s="297" t="s">
        <v>163</v>
      </c>
      <c r="C70" s="298"/>
      <c r="D70" s="233"/>
      <c r="E70" s="297" t="s">
        <v>138</v>
      </c>
      <c r="F70" s="232"/>
      <c r="G70" s="232"/>
      <c r="H70" s="185">
        <f t="shared" si="3"/>
        <v>0</v>
      </c>
      <c r="I70" s="233"/>
    </row>
    <row r="71" spans="1:9" ht="15.95" customHeight="1">
      <c r="A71" s="281"/>
      <c r="B71" s="300" t="s">
        <v>144</v>
      </c>
      <c r="C71" s="283"/>
      <c r="D71" s="240"/>
      <c r="E71" s="240"/>
      <c r="F71" s="238"/>
      <c r="G71" s="238"/>
      <c r="H71" s="238">
        <f>SUM(H63:H70)</f>
        <v>0</v>
      </c>
      <c r="I71" s="236"/>
    </row>
    <row r="72" spans="1:9" ht="15.95" customHeight="1">
      <c r="A72" s="287"/>
      <c r="B72" s="300" t="s">
        <v>161</v>
      </c>
      <c r="C72" s="283"/>
      <c r="D72" s="240"/>
      <c r="E72" s="240"/>
      <c r="F72" s="239"/>
      <c r="G72" s="239"/>
      <c r="H72" s="285"/>
      <c r="I72" s="240"/>
    </row>
    <row r="73" spans="1:9" ht="15.95" customHeight="1">
      <c r="A73" s="287"/>
      <c r="B73" s="300" t="s">
        <v>85</v>
      </c>
      <c r="C73" s="283"/>
      <c r="D73" s="240"/>
      <c r="E73" s="240"/>
      <c r="F73" s="239"/>
      <c r="G73" s="302"/>
      <c r="H73" s="303">
        <f>(H71+H62)*0.05</f>
        <v>14860000</v>
      </c>
      <c r="I73" s="283"/>
    </row>
    <row r="74" spans="1:9" ht="15.95" customHeight="1">
      <c r="A74" s="287"/>
      <c r="B74" s="300" t="s">
        <v>147</v>
      </c>
      <c r="C74" s="283"/>
      <c r="D74" s="240"/>
      <c r="E74" s="240"/>
      <c r="F74" s="239"/>
      <c r="G74" s="302"/>
      <c r="H74" s="303">
        <f>(H71+H62)*0.1</f>
        <v>29720000</v>
      </c>
      <c r="I74" s="283"/>
    </row>
    <row r="75" spans="1:9" ht="15.95" customHeight="1">
      <c r="A75" s="287"/>
      <c r="B75" s="300" t="s">
        <v>148</v>
      </c>
      <c r="C75" s="283"/>
      <c r="D75" s="240"/>
      <c r="E75" s="240"/>
      <c r="F75" s="239"/>
      <c r="G75" s="239"/>
      <c r="H75" s="238">
        <f>H62+H71+H72+H73+H74</f>
        <v>341780000</v>
      </c>
      <c r="I75" s="240"/>
    </row>
    <row r="76" spans="1:9">
      <c r="A76" s="136"/>
    </row>
  </sheetData>
  <mergeCells count="3">
    <mergeCell ref="A2:B2"/>
    <mergeCell ref="A3:A61"/>
    <mergeCell ref="A63:A70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3317-D435-497D-95C7-9AB4E85FF4D1}">
  <sheetPr>
    <pageSetUpPr fitToPage="1"/>
  </sheetPr>
  <dimension ref="A1:D36"/>
  <sheetViews>
    <sheetView zoomScale="85" workbookViewId="0">
      <selection activeCell="T44" sqref="T44"/>
    </sheetView>
  </sheetViews>
  <sheetFormatPr defaultColWidth="9" defaultRowHeight="17.25" customHeight="1"/>
  <cols>
    <col min="1" max="1" width="16.5" style="130" customWidth="1"/>
    <col min="2" max="3" width="27.625" style="130" customWidth="1"/>
    <col min="4" max="4" width="11.5" style="130" customWidth="1"/>
    <col min="5" max="256" width="9" style="130"/>
    <col min="257" max="257" width="16.5" style="130" customWidth="1"/>
    <col min="258" max="259" width="27.625" style="130" customWidth="1"/>
    <col min="260" max="260" width="11.5" style="130" customWidth="1"/>
    <col min="261" max="512" width="9" style="130"/>
    <col min="513" max="513" width="16.5" style="130" customWidth="1"/>
    <col min="514" max="515" width="27.625" style="130" customWidth="1"/>
    <col min="516" max="516" width="11.5" style="130" customWidth="1"/>
    <col min="517" max="768" width="9" style="130"/>
    <col min="769" max="769" width="16.5" style="130" customWidth="1"/>
    <col min="770" max="771" width="27.625" style="130" customWidth="1"/>
    <col min="772" max="772" width="11.5" style="130" customWidth="1"/>
    <col min="773" max="1024" width="9" style="130"/>
    <col min="1025" max="1025" width="16.5" style="130" customWidth="1"/>
    <col min="1026" max="1027" width="27.625" style="130" customWidth="1"/>
    <col min="1028" max="1028" width="11.5" style="130" customWidth="1"/>
    <col min="1029" max="1280" width="9" style="130"/>
    <col min="1281" max="1281" width="16.5" style="130" customWidth="1"/>
    <col min="1282" max="1283" width="27.625" style="130" customWidth="1"/>
    <col min="1284" max="1284" width="11.5" style="130" customWidth="1"/>
    <col min="1285" max="1536" width="9" style="130"/>
    <col min="1537" max="1537" width="16.5" style="130" customWidth="1"/>
    <col min="1538" max="1539" width="27.625" style="130" customWidth="1"/>
    <col min="1540" max="1540" width="11.5" style="130" customWidth="1"/>
    <col min="1541" max="1792" width="9" style="130"/>
    <col min="1793" max="1793" width="16.5" style="130" customWidth="1"/>
    <col min="1794" max="1795" width="27.625" style="130" customWidth="1"/>
    <col min="1796" max="1796" width="11.5" style="130" customWidth="1"/>
    <col min="1797" max="2048" width="9" style="130"/>
    <col min="2049" max="2049" width="16.5" style="130" customWidth="1"/>
    <col min="2050" max="2051" width="27.625" style="130" customWidth="1"/>
    <col min="2052" max="2052" width="11.5" style="130" customWidth="1"/>
    <col min="2053" max="2304" width="9" style="130"/>
    <col min="2305" max="2305" width="16.5" style="130" customWidth="1"/>
    <col min="2306" max="2307" width="27.625" style="130" customWidth="1"/>
    <col min="2308" max="2308" width="11.5" style="130" customWidth="1"/>
    <col min="2309" max="2560" width="9" style="130"/>
    <col min="2561" max="2561" width="16.5" style="130" customWidth="1"/>
    <col min="2562" max="2563" width="27.625" style="130" customWidth="1"/>
    <col min="2564" max="2564" width="11.5" style="130" customWidth="1"/>
    <col min="2565" max="2816" width="9" style="130"/>
    <col min="2817" max="2817" width="16.5" style="130" customWidth="1"/>
    <col min="2818" max="2819" width="27.625" style="130" customWidth="1"/>
    <col min="2820" max="2820" width="11.5" style="130" customWidth="1"/>
    <col min="2821" max="3072" width="9" style="130"/>
    <col min="3073" max="3073" width="16.5" style="130" customWidth="1"/>
    <col min="3074" max="3075" width="27.625" style="130" customWidth="1"/>
    <col min="3076" max="3076" width="11.5" style="130" customWidth="1"/>
    <col min="3077" max="3328" width="9" style="130"/>
    <col min="3329" max="3329" width="16.5" style="130" customWidth="1"/>
    <col min="3330" max="3331" width="27.625" style="130" customWidth="1"/>
    <col min="3332" max="3332" width="11.5" style="130" customWidth="1"/>
    <col min="3333" max="3584" width="9" style="130"/>
    <col min="3585" max="3585" width="16.5" style="130" customWidth="1"/>
    <col min="3586" max="3587" width="27.625" style="130" customWidth="1"/>
    <col min="3588" max="3588" width="11.5" style="130" customWidth="1"/>
    <col min="3589" max="3840" width="9" style="130"/>
    <col min="3841" max="3841" width="16.5" style="130" customWidth="1"/>
    <col min="3842" max="3843" width="27.625" style="130" customWidth="1"/>
    <col min="3844" max="3844" width="11.5" style="130" customWidth="1"/>
    <col min="3845" max="4096" width="9" style="130"/>
    <col min="4097" max="4097" width="16.5" style="130" customWidth="1"/>
    <col min="4098" max="4099" width="27.625" style="130" customWidth="1"/>
    <col min="4100" max="4100" width="11.5" style="130" customWidth="1"/>
    <col min="4101" max="4352" width="9" style="130"/>
    <col min="4353" max="4353" width="16.5" style="130" customWidth="1"/>
    <col min="4354" max="4355" width="27.625" style="130" customWidth="1"/>
    <col min="4356" max="4356" width="11.5" style="130" customWidth="1"/>
    <col min="4357" max="4608" width="9" style="130"/>
    <col min="4609" max="4609" width="16.5" style="130" customWidth="1"/>
    <col min="4610" max="4611" width="27.625" style="130" customWidth="1"/>
    <col min="4612" max="4612" width="11.5" style="130" customWidth="1"/>
    <col min="4613" max="4864" width="9" style="130"/>
    <col min="4865" max="4865" width="16.5" style="130" customWidth="1"/>
    <col min="4866" max="4867" width="27.625" style="130" customWidth="1"/>
    <col min="4868" max="4868" width="11.5" style="130" customWidth="1"/>
    <col min="4869" max="5120" width="9" style="130"/>
    <col min="5121" max="5121" width="16.5" style="130" customWidth="1"/>
    <col min="5122" max="5123" width="27.625" style="130" customWidth="1"/>
    <col min="5124" max="5124" width="11.5" style="130" customWidth="1"/>
    <col min="5125" max="5376" width="9" style="130"/>
    <col min="5377" max="5377" width="16.5" style="130" customWidth="1"/>
    <col min="5378" max="5379" width="27.625" style="130" customWidth="1"/>
    <col min="5380" max="5380" width="11.5" style="130" customWidth="1"/>
    <col min="5381" max="5632" width="9" style="130"/>
    <col min="5633" max="5633" width="16.5" style="130" customWidth="1"/>
    <col min="5634" max="5635" width="27.625" style="130" customWidth="1"/>
    <col min="5636" max="5636" width="11.5" style="130" customWidth="1"/>
    <col min="5637" max="5888" width="9" style="130"/>
    <col min="5889" max="5889" width="16.5" style="130" customWidth="1"/>
    <col min="5890" max="5891" width="27.625" style="130" customWidth="1"/>
    <col min="5892" max="5892" width="11.5" style="130" customWidth="1"/>
    <col min="5893" max="6144" width="9" style="130"/>
    <col min="6145" max="6145" width="16.5" style="130" customWidth="1"/>
    <col min="6146" max="6147" width="27.625" style="130" customWidth="1"/>
    <col min="6148" max="6148" width="11.5" style="130" customWidth="1"/>
    <col min="6149" max="6400" width="9" style="130"/>
    <col min="6401" max="6401" width="16.5" style="130" customWidth="1"/>
    <col min="6402" max="6403" width="27.625" style="130" customWidth="1"/>
    <col min="6404" max="6404" width="11.5" style="130" customWidth="1"/>
    <col min="6405" max="6656" width="9" style="130"/>
    <col min="6657" max="6657" width="16.5" style="130" customWidth="1"/>
    <col min="6658" max="6659" width="27.625" style="130" customWidth="1"/>
    <col min="6660" max="6660" width="11.5" style="130" customWidth="1"/>
    <col min="6661" max="6912" width="9" style="130"/>
    <col min="6913" max="6913" width="16.5" style="130" customWidth="1"/>
    <col min="6914" max="6915" width="27.625" style="130" customWidth="1"/>
    <col min="6916" max="6916" width="11.5" style="130" customWidth="1"/>
    <col min="6917" max="7168" width="9" style="130"/>
    <col min="7169" max="7169" width="16.5" style="130" customWidth="1"/>
    <col min="7170" max="7171" width="27.625" style="130" customWidth="1"/>
    <col min="7172" max="7172" width="11.5" style="130" customWidth="1"/>
    <col min="7173" max="7424" width="9" style="130"/>
    <col min="7425" max="7425" width="16.5" style="130" customWidth="1"/>
    <col min="7426" max="7427" width="27.625" style="130" customWidth="1"/>
    <col min="7428" max="7428" width="11.5" style="130" customWidth="1"/>
    <col min="7429" max="7680" width="9" style="130"/>
    <col min="7681" max="7681" width="16.5" style="130" customWidth="1"/>
    <col min="7682" max="7683" width="27.625" style="130" customWidth="1"/>
    <col min="7684" max="7684" width="11.5" style="130" customWidth="1"/>
    <col min="7685" max="7936" width="9" style="130"/>
    <col min="7937" max="7937" width="16.5" style="130" customWidth="1"/>
    <col min="7938" max="7939" width="27.625" style="130" customWidth="1"/>
    <col min="7940" max="7940" width="11.5" style="130" customWidth="1"/>
    <col min="7941" max="8192" width="9" style="130"/>
    <col min="8193" max="8193" width="16.5" style="130" customWidth="1"/>
    <col min="8194" max="8195" width="27.625" style="130" customWidth="1"/>
    <col min="8196" max="8196" width="11.5" style="130" customWidth="1"/>
    <col min="8197" max="8448" width="9" style="130"/>
    <col min="8449" max="8449" width="16.5" style="130" customWidth="1"/>
    <col min="8450" max="8451" width="27.625" style="130" customWidth="1"/>
    <col min="8452" max="8452" width="11.5" style="130" customWidth="1"/>
    <col min="8453" max="8704" width="9" style="130"/>
    <col min="8705" max="8705" width="16.5" style="130" customWidth="1"/>
    <col min="8706" max="8707" width="27.625" style="130" customWidth="1"/>
    <col min="8708" max="8708" width="11.5" style="130" customWidth="1"/>
    <col min="8709" max="8960" width="9" style="130"/>
    <col min="8961" max="8961" width="16.5" style="130" customWidth="1"/>
    <col min="8962" max="8963" width="27.625" style="130" customWidth="1"/>
    <col min="8964" max="8964" width="11.5" style="130" customWidth="1"/>
    <col min="8965" max="9216" width="9" style="130"/>
    <col min="9217" max="9217" width="16.5" style="130" customWidth="1"/>
    <col min="9218" max="9219" width="27.625" style="130" customWidth="1"/>
    <col min="9220" max="9220" width="11.5" style="130" customWidth="1"/>
    <col min="9221" max="9472" width="9" style="130"/>
    <col min="9473" max="9473" width="16.5" style="130" customWidth="1"/>
    <col min="9474" max="9475" width="27.625" style="130" customWidth="1"/>
    <col min="9476" max="9476" width="11.5" style="130" customWidth="1"/>
    <col min="9477" max="9728" width="9" style="130"/>
    <col min="9729" max="9729" width="16.5" style="130" customWidth="1"/>
    <col min="9730" max="9731" width="27.625" style="130" customWidth="1"/>
    <col min="9732" max="9732" width="11.5" style="130" customWidth="1"/>
    <col min="9733" max="9984" width="9" style="130"/>
    <col min="9985" max="9985" width="16.5" style="130" customWidth="1"/>
    <col min="9986" max="9987" width="27.625" style="130" customWidth="1"/>
    <col min="9988" max="9988" width="11.5" style="130" customWidth="1"/>
    <col min="9989" max="10240" width="9" style="130"/>
    <col min="10241" max="10241" width="16.5" style="130" customWidth="1"/>
    <col min="10242" max="10243" width="27.625" style="130" customWidth="1"/>
    <col min="10244" max="10244" width="11.5" style="130" customWidth="1"/>
    <col min="10245" max="10496" width="9" style="130"/>
    <col min="10497" max="10497" width="16.5" style="130" customWidth="1"/>
    <col min="10498" max="10499" width="27.625" style="130" customWidth="1"/>
    <col min="10500" max="10500" width="11.5" style="130" customWidth="1"/>
    <col min="10501" max="10752" width="9" style="130"/>
    <col min="10753" max="10753" width="16.5" style="130" customWidth="1"/>
    <col min="10754" max="10755" width="27.625" style="130" customWidth="1"/>
    <col min="10756" max="10756" width="11.5" style="130" customWidth="1"/>
    <col min="10757" max="11008" width="9" style="130"/>
    <col min="11009" max="11009" width="16.5" style="130" customWidth="1"/>
    <col min="11010" max="11011" width="27.625" style="130" customWidth="1"/>
    <col min="11012" max="11012" width="11.5" style="130" customWidth="1"/>
    <col min="11013" max="11264" width="9" style="130"/>
    <col min="11265" max="11265" width="16.5" style="130" customWidth="1"/>
    <col min="11266" max="11267" width="27.625" style="130" customWidth="1"/>
    <col min="11268" max="11268" width="11.5" style="130" customWidth="1"/>
    <col min="11269" max="11520" width="9" style="130"/>
    <col min="11521" max="11521" width="16.5" style="130" customWidth="1"/>
    <col min="11522" max="11523" width="27.625" style="130" customWidth="1"/>
    <col min="11524" max="11524" width="11.5" style="130" customWidth="1"/>
    <col min="11525" max="11776" width="9" style="130"/>
    <col min="11777" max="11777" width="16.5" style="130" customWidth="1"/>
    <col min="11778" max="11779" width="27.625" style="130" customWidth="1"/>
    <col min="11780" max="11780" width="11.5" style="130" customWidth="1"/>
    <col min="11781" max="12032" width="9" style="130"/>
    <col min="12033" max="12033" width="16.5" style="130" customWidth="1"/>
    <col min="12034" max="12035" width="27.625" style="130" customWidth="1"/>
    <col min="12036" max="12036" width="11.5" style="130" customWidth="1"/>
    <col min="12037" max="12288" width="9" style="130"/>
    <col min="12289" max="12289" width="16.5" style="130" customWidth="1"/>
    <col min="12290" max="12291" width="27.625" style="130" customWidth="1"/>
    <col min="12292" max="12292" width="11.5" style="130" customWidth="1"/>
    <col min="12293" max="12544" width="9" style="130"/>
    <col min="12545" max="12545" width="16.5" style="130" customWidth="1"/>
    <col min="12546" max="12547" width="27.625" style="130" customWidth="1"/>
    <col min="12548" max="12548" width="11.5" style="130" customWidth="1"/>
    <col min="12549" max="12800" width="9" style="130"/>
    <col min="12801" max="12801" width="16.5" style="130" customWidth="1"/>
    <col min="12802" max="12803" width="27.625" style="130" customWidth="1"/>
    <col min="12804" max="12804" width="11.5" style="130" customWidth="1"/>
    <col min="12805" max="13056" width="9" style="130"/>
    <col min="13057" max="13057" width="16.5" style="130" customWidth="1"/>
    <col min="13058" max="13059" width="27.625" style="130" customWidth="1"/>
    <col min="13060" max="13060" width="11.5" style="130" customWidth="1"/>
    <col min="13061" max="13312" width="9" style="130"/>
    <col min="13313" max="13313" width="16.5" style="130" customWidth="1"/>
    <col min="13314" max="13315" width="27.625" style="130" customWidth="1"/>
    <col min="13316" max="13316" width="11.5" style="130" customWidth="1"/>
    <col min="13317" max="13568" width="9" style="130"/>
    <col min="13569" max="13569" width="16.5" style="130" customWidth="1"/>
    <col min="13570" max="13571" width="27.625" style="130" customWidth="1"/>
    <col min="13572" max="13572" width="11.5" style="130" customWidth="1"/>
    <col min="13573" max="13824" width="9" style="130"/>
    <col min="13825" max="13825" width="16.5" style="130" customWidth="1"/>
    <col min="13826" max="13827" width="27.625" style="130" customWidth="1"/>
    <col min="13828" max="13828" width="11.5" style="130" customWidth="1"/>
    <col min="13829" max="14080" width="9" style="130"/>
    <col min="14081" max="14081" width="16.5" style="130" customWidth="1"/>
    <col min="14082" max="14083" width="27.625" style="130" customWidth="1"/>
    <col min="14084" max="14084" width="11.5" style="130" customWidth="1"/>
    <col min="14085" max="14336" width="9" style="130"/>
    <col min="14337" max="14337" width="16.5" style="130" customWidth="1"/>
    <col min="14338" max="14339" width="27.625" style="130" customWidth="1"/>
    <col min="14340" max="14340" width="11.5" style="130" customWidth="1"/>
    <col min="14341" max="14592" width="9" style="130"/>
    <col min="14593" max="14593" width="16.5" style="130" customWidth="1"/>
    <col min="14594" max="14595" width="27.625" style="130" customWidth="1"/>
    <col min="14596" max="14596" width="11.5" style="130" customWidth="1"/>
    <col min="14597" max="14848" width="9" style="130"/>
    <col min="14849" max="14849" width="16.5" style="130" customWidth="1"/>
    <col min="14850" max="14851" width="27.625" style="130" customWidth="1"/>
    <col min="14852" max="14852" width="11.5" style="130" customWidth="1"/>
    <col min="14853" max="15104" width="9" style="130"/>
    <col min="15105" max="15105" width="16.5" style="130" customWidth="1"/>
    <col min="15106" max="15107" width="27.625" style="130" customWidth="1"/>
    <col min="15108" max="15108" width="11.5" style="130" customWidth="1"/>
    <col min="15109" max="15360" width="9" style="130"/>
    <col min="15361" max="15361" width="16.5" style="130" customWidth="1"/>
    <col min="15362" max="15363" width="27.625" style="130" customWidth="1"/>
    <col min="15364" max="15364" width="11.5" style="130" customWidth="1"/>
    <col min="15365" max="15616" width="9" style="130"/>
    <col min="15617" max="15617" width="16.5" style="130" customWidth="1"/>
    <col min="15618" max="15619" width="27.625" style="130" customWidth="1"/>
    <col min="15620" max="15620" width="11.5" style="130" customWidth="1"/>
    <col min="15621" max="15872" width="9" style="130"/>
    <col min="15873" max="15873" width="16.5" style="130" customWidth="1"/>
    <col min="15874" max="15875" width="27.625" style="130" customWidth="1"/>
    <col min="15876" max="15876" width="11.5" style="130" customWidth="1"/>
    <col min="15877" max="16128" width="9" style="130"/>
    <col min="16129" max="16129" width="16.5" style="130" customWidth="1"/>
    <col min="16130" max="16131" width="27.625" style="130" customWidth="1"/>
    <col min="16132" max="16132" width="11.5" style="130" customWidth="1"/>
    <col min="16133" max="16384" width="9" style="130"/>
  </cols>
  <sheetData>
    <row r="1" spans="1:4" ht="17.25" customHeight="1">
      <c r="A1" s="130" t="s">
        <v>166</v>
      </c>
    </row>
    <row r="2" spans="1:4" ht="17.25" customHeight="1">
      <c r="D2" s="136" t="s">
        <v>120</v>
      </c>
    </row>
    <row r="3" spans="1:4" ht="24.75" customHeight="1">
      <c r="A3" s="351" t="s">
        <v>167</v>
      </c>
    </row>
    <row r="4" spans="1:4" ht="11.25" customHeight="1"/>
    <row r="5" spans="1:4" s="353" customFormat="1" ht="21" customHeight="1" thickBot="1">
      <c r="A5" s="352" t="s">
        <v>168</v>
      </c>
      <c r="B5" s="352" t="s">
        <v>169</v>
      </c>
      <c r="C5" s="352" t="s">
        <v>170</v>
      </c>
      <c r="D5" s="352" t="s">
        <v>21</v>
      </c>
    </row>
    <row r="6" spans="1:4" ht="17.25" customHeight="1" thickTop="1">
      <c r="A6" s="354"/>
      <c r="B6" s="354"/>
      <c r="C6" s="354"/>
      <c r="D6" s="354"/>
    </row>
    <row r="7" spans="1:4" ht="17.25" customHeight="1">
      <c r="A7" s="354"/>
      <c r="B7" s="354"/>
      <c r="C7" s="354"/>
      <c r="D7" s="354"/>
    </row>
    <row r="8" spans="1:4" ht="17.25" customHeight="1">
      <c r="A8" s="354"/>
      <c r="B8" s="354"/>
      <c r="C8" s="354"/>
      <c r="D8" s="354"/>
    </row>
    <row r="9" spans="1:4" ht="17.25" customHeight="1">
      <c r="A9" s="354"/>
      <c r="B9" s="354"/>
      <c r="C9" s="354"/>
      <c r="D9" s="354"/>
    </row>
    <row r="10" spans="1:4" ht="17.25" customHeight="1">
      <c r="A10" s="354"/>
      <c r="B10" s="354"/>
      <c r="C10" s="354"/>
      <c r="D10" s="354"/>
    </row>
    <row r="11" spans="1:4" ht="17.25" customHeight="1">
      <c r="A11" s="354"/>
      <c r="B11" s="354"/>
      <c r="C11" s="354"/>
      <c r="D11" s="354"/>
    </row>
    <row r="12" spans="1:4" ht="17.25" customHeight="1">
      <c r="A12" s="354"/>
      <c r="B12" s="354"/>
      <c r="C12" s="354"/>
      <c r="D12" s="354"/>
    </row>
    <row r="13" spans="1:4" ht="17.25" customHeight="1">
      <c r="A13" s="354"/>
      <c r="B13" s="354"/>
      <c r="C13" s="354"/>
      <c r="D13" s="354"/>
    </row>
    <row r="14" spans="1:4" ht="17.25" customHeight="1">
      <c r="A14" s="354"/>
      <c r="B14" s="354"/>
      <c r="C14" s="354"/>
      <c r="D14" s="354"/>
    </row>
    <row r="15" spans="1:4" ht="17.25" customHeight="1">
      <c r="A15" s="354"/>
      <c r="B15" s="354"/>
      <c r="C15" s="354"/>
      <c r="D15" s="354"/>
    </row>
    <row r="16" spans="1:4" ht="17.25" customHeight="1">
      <c r="A16" s="354"/>
      <c r="B16" s="354"/>
      <c r="C16" s="354"/>
      <c r="D16" s="354"/>
    </row>
    <row r="17" spans="1:4" ht="17.25" customHeight="1">
      <c r="A17" s="354"/>
      <c r="B17" s="354"/>
      <c r="C17" s="354"/>
      <c r="D17" s="354"/>
    </row>
    <row r="18" spans="1:4" ht="17.25" customHeight="1">
      <c r="A18" s="354"/>
      <c r="B18" s="354"/>
      <c r="C18" s="354"/>
      <c r="D18" s="354"/>
    </row>
    <row r="19" spans="1:4" ht="17.25" customHeight="1">
      <c r="A19" s="354"/>
      <c r="B19" s="354"/>
      <c r="C19" s="354"/>
      <c r="D19" s="354"/>
    </row>
    <row r="20" spans="1:4" ht="17.25" customHeight="1">
      <c r="A20" s="354"/>
      <c r="B20" s="354"/>
      <c r="C20" s="354"/>
      <c r="D20" s="354"/>
    </row>
    <row r="21" spans="1:4" ht="17.25" customHeight="1">
      <c r="A21" s="354"/>
      <c r="B21" s="354"/>
      <c r="C21" s="354"/>
      <c r="D21" s="354"/>
    </row>
    <row r="22" spans="1:4" ht="17.25" customHeight="1">
      <c r="A22" s="354"/>
      <c r="B22" s="354"/>
      <c r="C22" s="354"/>
      <c r="D22" s="354"/>
    </row>
    <row r="23" spans="1:4" ht="17.25" customHeight="1">
      <c r="A23" s="354"/>
      <c r="B23" s="354"/>
      <c r="C23" s="354"/>
      <c r="D23" s="354"/>
    </row>
    <row r="24" spans="1:4" ht="17.25" customHeight="1">
      <c r="A24" s="354"/>
      <c r="B24" s="354"/>
      <c r="C24" s="354"/>
      <c r="D24" s="354"/>
    </row>
    <row r="25" spans="1:4" ht="17.25" customHeight="1">
      <c r="A25" s="354"/>
      <c r="B25" s="354"/>
      <c r="C25" s="354"/>
      <c r="D25" s="354"/>
    </row>
    <row r="26" spans="1:4" ht="17.25" customHeight="1">
      <c r="A26" s="354"/>
      <c r="B26" s="354"/>
      <c r="C26" s="354"/>
      <c r="D26" s="354"/>
    </row>
    <row r="27" spans="1:4" ht="17.25" customHeight="1">
      <c r="A27" s="354"/>
      <c r="B27" s="354"/>
      <c r="C27" s="354"/>
      <c r="D27" s="354"/>
    </row>
    <row r="28" spans="1:4" ht="17.25" customHeight="1">
      <c r="A28" s="354"/>
      <c r="B28" s="354"/>
      <c r="C28" s="354"/>
      <c r="D28" s="354"/>
    </row>
    <row r="29" spans="1:4" ht="17.25" customHeight="1">
      <c r="A29" s="354"/>
      <c r="B29" s="354"/>
      <c r="C29" s="354"/>
      <c r="D29" s="354"/>
    </row>
    <row r="30" spans="1:4" ht="17.25" customHeight="1">
      <c r="A30" s="354"/>
      <c r="B30" s="354"/>
      <c r="C30" s="354"/>
      <c r="D30" s="354"/>
    </row>
    <row r="31" spans="1:4" ht="17.25" customHeight="1">
      <c r="A31" s="354"/>
      <c r="B31" s="354"/>
      <c r="C31" s="354"/>
      <c r="D31" s="354"/>
    </row>
    <row r="32" spans="1:4" ht="17.25" customHeight="1">
      <c r="A32" s="354"/>
      <c r="B32" s="354"/>
      <c r="C32" s="354"/>
      <c r="D32" s="354"/>
    </row>
    <row r="33" spans="1:4" ht="17.25" customHeight="1">
      <c r="A33" s="354"/>
      <c r="B33" s="354"/>
      <c r="C33" s="354"/>
      <c r="D33" s="354"/>
    </row>
    <row r="34" spans="1:4" ht="17.25" customHeight="1">
      <c r="A34" s="354"/>
      <c r="B34" s="354"/>
      <c r="C34" s="354"/>
      <c r="D34" s="354"/>
    </row>
    <row r="35" spans="1:4" ht="17.25" customHeight="1">
      <c r="A35" s="354"/>
      <c r="B35" s="354"/>
      <c r="C35" s="354"/>
      <c r="D35" s="354"/>
    </row>
    <row r="36" spans="1:4" ht="17.25" customHeight="1">
      <c r="A36" s="236"/>
      <c r="B36" s="236"/>
      <c r="C36" s="236"/>
      <c r="D36" s="236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435f4589ec11d9dca9e07ab5d6a9da34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533e8f78bb66428125cbe98c8735d5fc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Props1.xml><?xml version="1.0" encoding="utf-8"?>
<ds:datastoreItem xmlns:ds="http://schemas.openxmlformats.org/officeDocument/2006/customXml" ds:itemID="{1F87ACFF-1BE8-4436-A3F2-E4D5FE4990C3}"/>
</file>

<file path=customXml/itemProps2.xml><?xml version="1.0" encoding="utf-8"?>
<ds:datastoreItem xmlns:ds="http://schemas.openxmlformats.org/officeDocument/2006/customXml" ds:itemID="{8E5B44C4-101B-43A3-A693-25A6AC3D0744}"/>
</file>

<file path=customXml/itemProps3.xml><?xml version="1.0" encoding="utf-8"?>
<ds:datastoreItem xmlns:ds="http://schemas.openxmlformats.org/officeDocument/2006/customXml" ds:itemID="{0DF89560-F037-406A-9FD1-5176FA35624F}"/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포승 I-Pin 헤어핀 성형기</vt:lpstr>
      <vt:lpstr>U핀 가정열 설비</vt:lpstr>
      <vt:lpstr>I핀 가정열 설비</vt:lpstr>
      <vt:lpstr>코어 자동화 로딩기</vt:lpstr>
      <vt:lpstr>절연지 삽입</vt:lpstr>
      <vt:lpstr>인서팅</vt:lpstr>
      <vt:lpstr>확관</vt:lpstr>
      <vt:lpstr>트위스팅</vt:lpstr>
      <vt:lpstr>하부컷팅</vt:lpstr>
      <vt:lpstr>납품, 현지설치 및 이벤트 양산대응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30833@device.wia.co.kr</dc:creator>
  <cp:lastModifiedBy>장 소영</cp:lastModifiedBy>
  <dcterms:created xsi:type="dcterms:W3CDTF">2025-04-06T23:18:38Z</dcterms:created>
  <dcterms:modified xsi:type="dcterms:W3CDTF">2025-09-08T09:24:18Z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0cd02f-714d-4653-8382-0ecf5aacd0fa_Enabled">
    <vt:lpwstr>true</vt:lpwstr>
  </property>
  <property fmtid="{D5CDD505-2E9C-101B-9397-08002B2CF9AE}" pid="3" name="MSIP_Label_230cd02f-714d-4653-8382-0ecf5aacd0fa_SetDate">
    <vt:lpwstr>2025-04-14T23:32:41Z</vt:lpwstr>
  </property>
  <property fmtid="{D5CDD505-2E9C-101B-9397-08002B2CF9AE}" pid="4" name="MSIP_Label_230cd02f-714d-4653-8382-0ecf5aacd0fa_Method">
    <vt:lpwstr>Privileged</vt:lpwstr>
  </property>
  <property fmtid="{D5CDD505-2E9C-101B-9397-08002B2CF9AE}" pid="5" name="MSIP_Label_230cd02f-714d-4653-8382-0ecf5aacd0fa_Name">
    <vt:lpwstr>외부 전송용(No Protection)</vt:lpwstr>
  </property>
  <property fmtid="{D5CDD505-2E9C-101B-9397-08002B2CF9AE}" pid="6" name="MSIP_Label_230cd02f-714d-4653-8382-0ecf5aacd0fa_SiteId">
    <vt:lpwstr>9682717c-e5aa-4e3f-ae88-3507a84b4611</vt:lpwstr>
  </property>
  <property fmtid="{D5CDD505-2E9C-101B-9397-08002B2CF9AE}" pid="7" name="MSIP_Label_230cd02f-714d-4653-8382-0ecf5aacd0fa_ActionId">
    <vt:lpwstr>7bc33b23-fab9-4a7e-9157-cbbf122e10ee</vt:lpwstr>
  </property>
  <property fmtid="{D5CDD505-2E9C-101B-9397-08002B2CF9AE}" pid="8" name="MSIP_Label_230cd02f-714d-4653-8382-0ecf5aacd0fa_ContentBits">
    <vt:lpwstr>6</vt:lpwstr>
  </property>
  <property fmtid="{D5CDD505-2E9C-101B-9397-08002B2CF9AE}" pid="9" name="ContentTypeId">
    <vt:lpwstr>0x01010084EEACC2FBBAA64B8A9BB96350026B5F</vt:lpwstr>
  </property>
  <property fmtid="{D5CDD505-2E9C-101B-9397-08002B2CF9AE}" pid="10" name="MediaServiceImageTags">
    <vt:lpwstr/>
  </property>
</Properties>
</file>